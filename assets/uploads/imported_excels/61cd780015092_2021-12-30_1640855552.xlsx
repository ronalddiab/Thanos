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8_{CDAFF7F5-8548-4446-9C8A-D14E0465FDF5}" xr6:coauthVersionLast="47" xr6:coauthVersionMax="47" xr10:uidLastSave="{00000000-0000-0000-0000-000000000000}"/>
  <bookViews>
    <workbookView xWindow="-120" yWindow="-120" windowWidth="20730" windowHeight="11160" tabRatio="915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6" i="30" l="1"/>
  <c r="E157" i="30"/>
  <c r="G157" i="30" s="1"/>
  <c r="E158" i="30"/>
  <c r="G158" i="30" s="1"/>
  <c r="E19" i="30"/>
  <c r="G158" i="29"/>
  <c r="G157" i="29"/>
  <c r="E158" i="29"/>
  <c r="E9" i="29"/>
  <c r="G157" i="24"/>
  <c r="H157" i="24" s="1"/>
  <c r="H157" i="25" s="1"/>
  <c r="H157" i="40" s="1"/>
  <c r="H157" i="27" s="1"/>
  <c r="G158" i="24"/>
  <c r="H158" i="24" s="1"/>
  <c r="H158" i="25" s="1"/>
  <c r="H158" i="40" s="1"/>
  <c r="H158" i="27" s="1"/>
  <c r="G156" i="28"/>
  <c r="G157" i="28"/>
  <c r="G158" i="28"/>
  <c r="E156" i="28"/>
  <c r="E157" i="28"/>
  <c r="E158" i="28"/>
  <c r="E36" i="28"/>
  <c r="E37" i="28"/>
  <c r="E38" i="28"/>
  <c r="E39" i="28"/>
  <c r="E40" i="28"/>
  <c r="E41" i="28"/>
  <c r="E42" i="28"/>
  <c r="E43" i="28"/>
  <c r="E44" i="28"/>
  <c r="E45" i="28"/>
  <c r="E46" i="28"/>
  <c r="G156" i="27"/>
  <c r="G157" i="27"/>
  <c r="G157" i="40"/>
  <c r="G158" i="40"/>
  <c r="E156" i="27"/>
  <c r="E157" i="27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E156" i="25"/>
  <c r="G156" i="25" s="1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" i="21"/>
  <c r="E156" i="20"/>
  <c r="G156" i="20" s="1"/>
  <c r="E157" i="20"/>
  <c r="G157" i="20" s="1"/>
  <c r="E158" i="20"/>
  <c r="G158" i="20" s="1"/>
  <c r="E156" i="19"/>
  <c r="G156" i="19" s="1"/>
  <c r="E157" i="19"/>
  <c r="G157" i="19" s="1"/>
  <c r="E15" i="17"/>
  <c r="F191" i="18"/>
  <c r="E157" i="18"/>
  <c r="G157" i="18" s="1"/>
  <c r="H157" i="18" s="1"/>
  <c r="E158" i="18"/>
  <c r="E156" i="17"/>
  <c r="E157" i="17"/>
  <c r="G157" i="17" s="1"/>
  <c r="E158" i="17"/>
  <c r="G158" i="17" s="1"/>
  <c r="E7" i="17"/>
  <c r="E8" i="17"/>
  <c r="H158" i="28" l="1"/>
  <c r="H157" i="28"/>
  <c r="H158" i="22"/>
  <c r="J158" i="22" s="1"/>
  <c r="H157" i="22"/>
  <c r="J157" i="22" s="1"/>
  <c r="G158" i="16"/>
  <c r="H158" i="16" s="1"/>
  <c r="J158" i="16" s="1"/>
  <c r="G157" i="16"/>
  <c r="H157" i="16" s="1"/>
  <c r="J157" i="16" s="1"/>
  <c r="G15" i="15"/>
  <c r="E139" i="13" l="1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8" i="13"/>
  <c r="E9" i="13"/>
  <c r="E10" i="13"/>
  <c r="E11" i="13"/>
  <c r="E12" i="13"/>
  <c r="E129" i="12"/>
  <c r="E130" i="12"/>
  <c r="E131" i="12"/>
  <c r="E132" i="12"/>
  <c r="E133" i="12"/>
  <c r="E134" i="12"/>
  <c r="E50" i="11" l="1"/>
  <c r="E51" i="11"/>
  <c r="E52" i="11"/>
  <c r="E53" i="11"/>
  <c r="E54" i="11"/>
  <c r="E55" i="11"/>
  <c r="E56" i="11"/>
  <c r="E57" i="11"/>
  <c r="E58" i="11"/>
  <c r="G15" i="17"/>
  <c r="E15" i="22"/>
  <c r="E121" i="33"/>
  <c r="E49" i="33"/>
  <c r="E134" i="4"/>
  <c r="E7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O7" i="16"/>
  <c r="H190" i="20" l="1"/>
  <c r="I190" i="20" s="1"/>
  <c r="K190" i="20" s="1"/>
  <c r="H190" i="19"/>
  <c r="I190" i="19" s="1"/>
  <c r="K190" i="19" s="1"/>
  <c r="E134" i="10" l="1"/>
  <c r="E146" i="33" l="1"/>
  <c r="E155" i="5"/>
  <c r="E149" i="4"/>
  <c r="E150" i="4"/>
  <c r="E151" i="4"/>
  <c r="E152" i="4"/>
  <c r="E8" i="4"/>
  <c r="E9" i="4"/>
  <c r="E69" i="3"/>
  <c r="E155" i="3"/>
  <c r="G134" i="2"/>
  <c r="G37" i="2"/>
  <c r="G18" i="2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6" i="20"/>
  <c r="E167" i="20"/>
  <c r="E168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9" i="20"/>
  <c r="E18" i="20"/>
  <c r="E11" i="20"/>
  <c r="E12" i="20"/>
  <c r="E57" i="19"/>
  <c r="E84" i="17" l="1"/>
  <c r="E134" i="16"/>
  <c r="J188" i="15"/>
  <c r="E134" i="14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" i="5"/>
  <c r="E155" i="4"/>
  <c r="O11" i="3" l="1"/>
  <c r="O11" i="2" l="1"/>
  <c r="E79" i="25" l="1"/>
  <c r="E156" i="31"/>
  <c r="G156" i="31" s="1"/>
  <c r="E155" i="31"/>
  <c r="G155" i="31" s="1"/>
  <c r="E156" i="43"/>
  <c r="G156" i="43" s="1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E156" i="40"/>
  <c r="G156" i="40" s="1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E156" i="15"/>
  <c r="G156" i="15" s="1"/>
  <c r="E155" i="15"/>
  <c r="G155" i="15" s="1"/>
  <c r="E156" i="14"/>
  <c r="G156" i="14" s="1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6" i="10"/>
  <c r="G156" i="10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E156" i="33"/>
  <c r="G156" i="33" s="1"/>
  <c r="E155" i="33"/>
  <c r="G155" i="33" s="1"/>
  <c r="E156" i="5"/>
  <c r="G156" i="5" s="1"/>
  <c r="G155" i="5"/>
  <c r="E156" i="4"/>
  <c r="G156" i="4" s="1"/>
  <c r="G155" i="4"/>
  <c r="E156" i="3"/>
  <c r="G156" i="3" s="1"/>
  <c r="H156" i="3" s="1"/>
  <c r="J156" i="3" s="1"/>
  <c r="G155" i="3"/>
  <c r="H155" i="3" s="1"/>
  <c r="J155" i="3" s="1"/>
  <c r="G156" i="2"/>
  <c r="G155" i="2"/>
  <c r="J156" i="2"/>
  <c r="J155" i="2"/>
  <c r="H156" i="4" l="1"/>
  <c r="H156" i="5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E152" i="43"/>
  <c r="G152" i="43" s="1"/>
  <c r="E151" i="43"/>
  <c r="G151" i="43" s="1"/>
  <c r="Z34" i="44" s="1"/>
  <c r="E150" i="43"/>
  <c r="G150" i="43" s="1"/>
  <c r="E149" i="43"/>
  <c r="G149" i="43" s="1"/>
  <c r="E148" i="43"/>
  <c r="G148" i="43" s="1"/>
  <c r="W34" i="44" s="1"/>
  <c r="E147" i="43"/>
  <c r="G147" i="43" s="1"/>
  <c r="V34" i="44" s="1"/>
  <c r="E146" i="43"/>
  <c r="G146" i="43" s="1"/>
  <c r="T34" i="44" s="1"/>
  <c r="E145" i="43"/>
  <c r="G145" i="43" s="1"/>
  <c r="S34" i="44" s="1"/>
  <c r="E144" i="43"/>
  <c r="G144" i="43" s="1"/>
  <c r="U34" i="44" s="1"/>
  <c r="E143" i="43"/>
  <c r="G143" i="43" s="1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E134" i="25"/>
  <c r="G134" i="25" s="1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H156" i="33"/>
  <c r="J156" i="33" s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E152" i="11"/>
  <c r="G152" i="11" s="1"/>
  <c r="E151" i="11"/>
  <c r="G151" i="11" s="1"/>
  <c r="Z14" i="44" s="1"/>
  <c r="E150" i="11"/>
  <c r="G150" i="11" s="1"/>
  <c r="E149" i="11"/>
  <c r="G149" i="11" s="1"/>
  <c r="E148" i="11"/>
  <c r="G148" i="11" s="1"/>
  <c r="W14" i="44" s="1"/>
  <c r="E147" i="11"/>
  <c r="G147" i="11" s="1"/>
  <c r="V14" i="44" s="1"/>
  <c r="E146" i="11"/>
  <c r="G146" i="11" s="1"/>
  <c r="T14" i="44" s="1"/>
  <c r="E145" i="11"/>
  <c r="G145" i="11" s="1"/>
  <c r="S14" i="44" s="1"/>
  <c r="E144" i="11"/>
  <c r="G144" i="11" s="1"/>
  <c r="U14" i="44" s="1"/>
  <c r="E143" i="11"/>
  <c r="G143" i="11" s="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5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8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42" i="43"/>
  <c r="E141" i="43"/>
  <c r="E140" i="43"/>
  <c r="E139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6" i="43"/>
  <c r="E55" i="43"/>
  <c r="E54" i="43"/>
  <c r="E53" i="43"/>
  <c r="E52" i="43"/>
  <c r="E51" i="43"/>
  <c r="E50" i="43"/>
  <c r="E49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24" i="43"/>
  <c r="E23" i="43"/>
  <c r="E22" i="43"/>
  <c r="E18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112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8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8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E83" i="28"/>
  <c r="E82" i="28"/>
  <c r="E79" i="28"/>
  <c r="E78" i="28"/>
  <c r="E77" i="28"/>
  <c r="E76" i="28"/>
  <c r="E75" i="28"/>
  <c r="E74" i="28"/>
  <c r="E70" i="28"/>
  <c r="E69" i="28"/>
  <c r="E68" i="28"/>
  <c r="E67" i="28"/>
  <c r="E66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E23" i="28"/>
  <c r="E22" i="28"/>
  <c r="E18" i="28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" i="27"/>
  <c r="E12" i="27"/>
  <c r="E11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24" i="40"/>
  <c r="E23" i="40"/>
  <c r="E22" i="40"/>
  <c r="E18" i="40"/>
  <c r="E12" i="40"/>
  <c r="E11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33" i="25"/>
  <c r="E132" i="25"/>
  <c r="E131" i="25"/>
  <c r="E130" i="25"/>
  <c r="E129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8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8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8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8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E54" i="21"/>
  <c r="E53" i="21"/>
  <c r="E52" i="21"/>
  <c r="E51" i="21"/>
  <c r="E50" i="21"/>
  <c r="E49" i="21"/>
  <c r="E35" i="21"/>
  <c r="E24" i="21"/>
  <c r="E23" i="21"/>
  <c r="E22" i="21"/>
  <c r="E18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4" i="19"/>
  <c r="E23" i="19"/>
  <c r="E22" i="19"/>
  <c r="E18" i="19"/>
  <c r="E12" i="19"/>
  <c r="E11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8" i="18"/>
  <c r="E167" i="18"/>
  <c r="E166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8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8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8" i="16"/>
  <c r="E12" i="16"/>
  <c r="E11" i="16"/>
  <c r="E185" i="15"/>
  <c r="E184" i="15"/>
  <c r="E183" i="15"/>
  <c r="E180" i="15"/>
  <c r="E179" i="15"/>
  <c r="E178" i="15"/>
  <c r="E175" i="15"/>
  <c r="E173" i="15"/>
  <c r="E168" i="15"/>
  <c r="E167" i="15"/>
  <c r="E166" i="15"/>
  <c r="E165" i="15"/>
  <c r="E164" i="15"/>
  <c r="E163" i="15"/>
  <c r="E162" i="15"/>
  <c r="E161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8" i="15"/>
  <c r="E12" i="15"/>
  <c r="E11" i="15"/>
  <c r="E10" i="15"/>
  <c r="E10" i="16" s="1"/>
  <c r="E10" i="17" s="1"/>
  <c r="E10" i="18" s="1"/>
  <c r="E10" i="19" s="1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8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" i="13"/>
  <c r="E185" i="12"/>
  <c r="E184" i="12"/>
  <c r="E183" i="12"/>
  <c r="E180" i="12"/>
  <c r="E179" i="12"/>
  <c r="E178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58" i="12"/>
  <c r="E57" i="12"/>
  <c r="E55" i="12"/>
  <c r="E54" i="12"/>
  <c r="E53" i="12"/>
  <c r="E52" i="12"/>
  <c r="E51" i="12"/>
  <c r="E49" i="12"/>
  <c r="E46" i="12"/>
  <c r="E45" i="12"/>
  <c r="E44" i="12"/>
  <c r="E42" i="12"/>
  <c r="E40" i="12"/>
  <c r="E39" i="12"/>
  <c r="E38" i="12"/>
  <c r="E37" i="12"/>
  <c r="E35" i="12"/>
  <c r="E24" i="12"/>
  <c r="E23" i="12"/>
  <c r="E22" i="12"/>
  <c r="E18" i="12"/>
  <c r="E12" i="12"/>
  <c r="E11" i="12"/>
  <c r="E10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42" i="11"/>
  <c r="E141" i="11"/>
  <c r="E140" i="11"/>
  <c r="E139" i="11"/>
  <c r="E138" i="11"/>
  <c r="E133" i="11"/>
  <c r="E132" i="11"/>
  <c r="E131" i="11"/>
  <c r="E130" i="11"/>
  <c r="E129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24" i="11"/>
  <c r="E23" i="11"/>
  <c r="E22" i="11"/>
  <c r="E18" i="11"/>
  <c r="E12" i="11"/>
  <c r="E11" i="11"/>
  <c r="E10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58" i="10"/>
  <c r="E57" i="10"/>
  <c r="E56" i="10"/>
  <c r="E55" i="10"/>
  <c r="E54" i="10"/>
  <c r="E53" i="10"/>
  <c r="E52" i="10"/>
  <c r="E51" i="10"/>
  <c r="E50" i="10"/>
  <c r="E49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24" i="10"/>
  <c r="E23" i="10"/>
  <c r="E22" i="10"/>
  <c r="E18" i="10"/>
  <c r="E12" i="10"/>
  <c r="E11" i="10"/>
  <c r="E10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4" i="9"/>
  <c r="E23" i="9"/>
  <c r="E22" i="9"/>
  <c r="E18" i="9"/>
  <c r="E12" i="9"/>
  <c r="E11" i="9"/>
  <c r="E10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8" i="8"/>
  <c r="E12" i="8"/>
  <c r="E11" i="8"/>
  <c r="E10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8" i="7"/>
  <c r="E12" i="7"/>
  <c r="E11" i="7"/>
  <c r="E10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E92" i="33"/>
  <c r="E91" i="33"/>
  <c r="E90" i="33"/>
  <c r="E89" i="33"/>
  <c r="E88" i="33"/>
  <c r="E87" i="33"/>
  <c r="E86" i="33"/>
  <c r="E85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8" i="33"/>
  <c r="E12" i="33"/>
  <c r="E11" i="33"/>
  <c r="E10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5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8" i="5"/>
  <c r="E57" i="5"/>
  <c r="E56" i="5"/>
  <c r="E55" i="5"/>
  <c r="E54" i="5"/>
  <c r="E53" i="5"/>
  <c r="E52" i="5"/>
  <c r="E51" i="5"/>
  <c r="E50" i="5"/>
  <c r="E49" i="5"/>
  <c r="E46" i="5"/>
  <c r="E45" i="5"/>
  <c r="E44" i="5"/>
  <c r="E43" i="5"/>
  <c r="E42" i="5"/>
  <c r="E41" i="5"/>
  <c r="E40" i="5"/>
  <c r="E39" i="5"/>
  <c r="E38" i="5"/>
  <c r="E37" i="5"/>
  <c r="E36" i="5"/>
  <c r="E35" i="5"/>
  <c r="E24" i="5"/>
  <c r="E23" i="5"/>
  <c r="E22" i="5"/>
  <c r="E18" i="5"/>
  <c r="E12" i="5"/>
  <c r="E11" i="5"/>
  <c r="E10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24" i="4"/>
  <c r="E23" i="4"/>
  <c r="E22" i="4"/>
  <c r="E19" i="4"/>
  <c r="E19" i="5" s="1"/>
  <c r="E19" i="33" s="1"/>
  <c r="E19" i="7" s="1"/>
  <c r="E19" i="8" s="1"/>
  <c r="E19" i="9" s="1"/>
  <c r="E19" i="10" s="1"/>
  <c r="E19" i="11" s="1"/>
  <c r="E19" i="12" s="1"/>
  <c r="E19" i="13" s="1"/>
  <c r="E19" i="14" s="1"/>
  <c r="E19" i="15" s="1"/>
  <c r="E19" i="16" s="1"/>
  <c r="E19" i="17" s="1"/>
  <c r="E19" i="18" s="1"/>
  <c r="E19" i="19" s="1"/>
  <c r="E18" i="4"/>
  <c r="E15" i="4"/>
  <c r="E15" i="33" s="1"/>
  <c r="E15" i="7" s="1"/>
  <c r="E15" i="8" s="1"/>
  <c r="E15" i="9" s="1"/>
  <c r="E15" i="10" s="1"/>
  <c r="E15" i="11" s="1"/>
  <c r="E12" i="4"/>
  <c r="E11" i="4"/>
  <c r="E10" i="4"/>
  <c r="E9" i="5"/>
  <c r="E9" i="33" s="1"/>
  <c r="E9" i="7" s="1"/>
  <c r="E9" i="8" s="1"/>
  <c r="E9" i="9" s="1"/>
  <c r="E9" i="10" s="1"/>
  <c r="E9" i="11" s="1"/>
  <c r="E8" i="5"/>
  <c r="E8" i="33" s="1"/>
  <c r="E8" i="7" s="1"/>
  <c r="E8" i="8" s="1"/>
  <c r="E8" i="9" s="1"/>
  <c r="E8" i="10" s="1"/>
  <c r="E8" i="11" s="1"/>
  <c r="E7" i="5"/>
  <c r="E7" i="33" s="1"/>
  <c r="E7" i="7" s="1"/>
  <c r="E7" i="8" s="1"/>
  <c r="E7" i="9" s="1"/>
  <c r="E7" i="10" s="1"/>
  <c r="E7" i="11" s="1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G19" i="3" s="1"/>
  <c r="E18" i="3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61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G22" i="3" s="1"/>
  <c r="E15" i="3"/>
  <c r="G15" i="3" s="1"/>
  <c r="E12" i="3"/>
  <c r="E11" i="3"/>
  <c r="G11" i="3" s="1"/>
  <c r="E10" i="3"/>
  <c r="G10" i="3" s="1"/>
  <c r="E8" i="3"/>
  <c r="G8" i="3" s="1"/>
  <c r="E27" i="3" s="1"/>
  <c r="E7" i="3"/>
  <c r="G7" i="3" s="1"/>
  <c r="E9" i="3"/>
  <c r="G9" i="3" s="1"/>
  <c r="H182" i="2"/>
  <c r="J182" i="2" s="1"/>
  <c r="H177" i="2"/>
  <c r="J177" i="2" s="1"/>
  <c r="H127" i="2"/>
  <c r="J127" i="2" s="1"/>
  <c r="G23" i="2"/>
  <c r="H23" i="2" s="1"/>
  <c r="J23" i="2" s="1"/>
  <c r="G22" i="2"/>
  <c r="G19" i="2"/>
  <c r="G15" i="2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G18" i="3"/>
  <c r="I7" i="3"/>
  <c r="E15" i="12" l="1"/>
  <c r="E8" i="12"/>
  <c r="E8" i="14" s="1"/>
  <c r="E7" i="12"/>
  <c r="E7" i="13" s="1"/>
  <c r="E7" i="14" s="1"/>
  <c r="E15" i="16"/>
  <c r="E9" i="12"/>
  <c r="G149" i="19"/>
  <c r="E10" i="20"/>
  <c r="E10" i="21" s="1"/>
  <c r="E10" i="22" s="1"/>
  <c r="E10" i="23" s="1"/>
  <c r="E10" i="24" s="1"/>
  <c r="E10" i="25" s="1"/>
  <c r="E10" i="40" s="1"/>
  <c r="E10" i="27" s="1"/>
  <c r="E10" i="28" s="1"/>
  <c r="E10" i="29" s="1"/>
  <c r="E10" i="30" s="1"/>
  <c r="E10" i="43" s="1"/>
  <c r="E10" i="31" s="1"/>
  <c r="F10" i="31" s="1"/>
  <c r="G10" i="19"/>
  <c r="G151" i="19"/>
  <c r="Z22" i="44" s="1"/>
  <c r="G146" i="19"/>
  <c r="T22" i="44" s="1"/>
  <c r="G147" i="19"/>
  <c r="V22" i="44" s="1"/>
  <c r="H156" i="7"/>
  <c r="J156" i="7" s="1"/>
  <c r="P16" i="3"/>
  <c r="P17" i="3"/>
  <c r="G145" i="19"/>
  <c r="S22" i="44" s="1"/>
  <c r="E19" i="21"/>
  <c r="E19" i="22" s="1"/>
  <c r="E19" i="23" s="1"/>
  <c r="E19" i="24" s="1"/>
  <c r="E19" i="25" s="1"/>
  <c r="E19" i="40" s="1"/>
  <c r="E19" i="27" s="1"/>
  <c r="E19" i="28" s="1"/>
  <c r="E19" i="29" s="1"/>
  <c r="E19" i="43" s="1"/>
  <c r="E19" i="31" s="1"/>
  <c r="E15" i="23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H10" i="3"/>
  <c r="J10" i="3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9" i="3"/>
  <c r="J9" i="3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G20" i="3"/>
  <c r="H7" i="2"/>
  <c r="J7" i="2" s="1"/>
  <c r="G20" i="2"/>
  <c r="H20" i="2" s="1"/>
  <c r="J20" i="2" s="1"/>
  <c r="I20" i="2" s="1"/>
  <c r="G13" i="3"/>
  <c r="E15" i="13" l="1"/>
  <c r="E15" i="24"/>
  <c r="E15" i="18"/>
  <c r="G15" i="18" s="1"/>
  <c r="O15" i="16"/>
  <c r="E8" i="15"/>
  <c r="E7" i="15"/>
  <c r="Z37" i="44"/>
  <c r="Z36" i="44"/>
  <c r="H15" i="3"/>
  <c r="J15" i="3" s="1"/>
  <c r="I16" i="3" s="1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H20" i="3"/>
  <c r="J12" i="3"/>
  <c r="H13" i="3"/>
  <c r="H7" i="3"/>
  <c r="J7" i="3" s="1"/>
  <c r="I13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9" i="31"/>
  <c r="G18" i="31"/>
  <c r="G10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9" i="43"/>
  <c r="G18" i="43"/>
  <c r="E31" i="43" s="1"/>
  <c r="G31" i="43" s="1"/>
  <c r="G10" i="43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9" i="30"/>
  <c r="G18" i="30"/>
  <c r="E31" i="30" s="1"/>
  <c r="G31" i="30" s="1"/>
  <c r="G10" i="30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9" i="29"/>
  <c r="G18" i="29"/>
  <c r="E31" i="29" s="1"/>
  <c r="G31" i="29" s="1"/>
  <c r="G10" i="29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G84" i="28"/>
  <c r="Z30" i="1" s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AD15" i="45" s="1"/>
  <c r="G69" i="28"/>
  <c r="AD14" i="45" s="1"/>
  <c r="G68" i="28"/>
  <c r="AD13" i="45" s="1"/>
  <c r="G67" i="28"/>
  <c r="G66" i="28"/>
  <c r="G65" i="28"/>
  <c r="G63" i="28"/>
  <c r="AD8" i="45" s="1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9" i="28"/>
  <c r="G18" i="28"/>
  <c r="E31" i="28" s="1"/>
  <c r="G31" i="28" s="1"/>
  <c r="G10" i="28"/>
  <c r="K9" i="28"/>
  <c r="M8" i="28"/>
  <c r="G185" i="27"/>
  <c r="G184" i="27"/>
  <c r="G183" i="27"/>
  <c r="G180" i="27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9" i="27"/>
  <c r="G18" i="27"/>
  <c r="E31" i="27" s="1"/>
  <c r="G31" i="27" s="1"/>
  <c r="G10" i="27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G84" i="40"/>
  <c r="Z28" i="1" s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G68" i="40"/>
  <c r="AB13" i="45" s="1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9" i="40"/>
  <c r="G18" i="40"/>
  <c r="E31" i="40" s="1"/>
  <c r="G31" i="40" s="1"/>
  <c r="G10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9" i="25"/>
  <c r="G18" i="25"/>
  <c r="E31" i="25" s="1"/>
  <c r="G31" i="25" s="1"/>
  <c r="G10" i="25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9" i="24"/>
  <c r="G18" i="24"/>
  <c r="E31" i="24" s="1"/>
  <c r="G31" i="24" s="1"/>
  <c r="G10" i="24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9" i="23"/>
  <c r="G18" i="23"/>
  <c r="E31" i="23" s="1"/>
  <c r="G31" i="23" s="1"/>
  <c r="G10" i="23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9" i="22"/>
  <c r="G18" i="22"/>
  <c r="E31" i="22" s="1"/>
  <c r="G31" i="22" s="1"/>
  <c r="G15" i="22"/>
  <c r="G10" i="22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9" i="21"/>
  <c r="G18" i="21"/>
  <c r="E31" i="21" s="1"/>
  <c r="G31" i="21" s="1"/>
  <c r="G15" i="21"/>
  <c r="G10" i="2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9" i="20"/>
  <c r="G18" i="20"/>
  <c r="E31" i="20" s="1"/>
  <c r="G31" i="20" s="1"/>
  <c r="G10" i="20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E29" i="19"/>
  <c r="G29" i="19" s="1"/>
  <c r="G22" i="19"/>
  <c r="G1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9" i="18"/>
  <c r="G18" i="18"/>
  <c r="E31" i="18" s="1"/>
  <c r="G31" i="18" s="1"/>
  <c r="G10" i="18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9" i="17"/>
  <c r="G18" i="17"/>
  <c r="E31" i="17" s="1"/>
  <c r="G31" i="17" s="1"/>
  <c r="G10" i="17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9" i="16"/>
  <c r="G18" i="16"/>
  <c r="E31" i="16" s="1"/>
  <c r="G31" i="16" s="1"/>
  <c r="G15" i="16"/>
  <c r="G10" i="16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9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9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O15" i="45" s="1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9" i="13"/>
  <c r="G18" i="13"/>
  <c r="E31" i="13" s="1"/>
  <c r="G31" i="13" s="1"/>
  <c r="G10" i="13"/>
  <c r="K9" i="13"/>
  <c r="M8" i="13"/>
  <c r="G8" i="13"/>
  <c r="G7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N7" i="45" s="1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9" i="12"/>
  <c r="G18" i="12"/>
  <c r="E31" i="12" s="1"/>
  <c r="G31" i="12" s="1"/>
  <c r="G15" i="12"/>
  <c r="G10" i="12"/>
  <c r="K9" i="12"/>
  <c r="M8" i="12"/>
  <c r="G8" i="12"/>
  <c r="G7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9" i="11"/>
  <c r="G18" i="11"/>
  <c r="E31" i="11" s="1"/>
  <c r="G31" i="11" s="1"/>
  <c r="G15" i="11"/>
  <c r="G10" i="11"/>
  <c r="K9" i="11"/>
  <c r="G9" i="11"/>
  <c r="M8" i="11"/>
  <c r="G8" i="11"/>
  <c r="G7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9" i="10"/>
  <c r="G18" i="10"/>
  <c r="E31" i="10" s="1"/>
  <c r="G31" i="10" s="1"/>
  <c r="G15" i="10"/>
  <c r="G10" i="10"/>
  <c r="K9" i="10"/>
  <c r="G9" i="10"/>
  <c r="M8" i="10"/>
  <c r="G8" i="10"/>
  <c r="G7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9" i="9"/>
  <c r="G18" i="9"/>
  <c r="G15" i="9"/>
  <c r="G10" i="9"/>
  <c r="K9" i="9"/>
  <c r="G9" i="9"/>
  <c r="M8" i="9"/>
  <c r="G8" i="9"/>
  <c r="G7" i="9"/>
  <c r="AD13" i="44" l="1"/>
  <c r="G47" i="29"/>
  <c r="AD29" i="44"/>
  <c r="G153" i="19"/>
  <c r="G47" i="17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G15" i="23"/>
  <c r="G79" i="23" s="1"/>
  <c r="G80" i="23" s="1"/>
  <c r="AD25" i="44"/>
  <c r="AD23" i="44"/>
  <c r="AD20" i="44"/>
  <c r="AD19" i="44"/>
  <c r="AD18" i="44"/>
  <c r="AD17" i="44"/>
  <c r="AD16" i="44"/>
  <c r="AD15" i="44"/>
  <c r="AD14" i="44"/>
  <c r="AD12" i="44"/>
  <c r="G7" i="14"/>
  <c r="G15" i="13"/>
  <c r="G8" i="14"/>
  <c r="E27" i="14" s="1"/>
  <c r="G27" i="14" s="1"/>
  <c r="G15" i="24"/>
  <c r="G79" i="24" s="1"/>
  <c r="G80" i="24" s="1"/>
  <c r="G79" i="18"/>
  <c r="G80" i="18" s="1"/>
  <c r="G9" i="13"/>
  <c r="G9" i="12"/>
  <c r="G7" i="15"/>
  <c r="E7" i="16"/>
  <c r="E8" i="16"/>
  <c r="G8" i="15"/>
  <c r="E27" i="15" s="1"/>
  <c r="G27" i="15" s="1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I153" i="19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G125" i="17"/>
  <c r="I125" i="17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I125" i="13" s="1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35" i="17"/>
  <c r="I135" i="17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187" i="16"/>
  <c r="G187" i="12"/>
  <c r="G187" i="30"/>
  <c r="G94" i="29"/>
  <c r="G187" i="40"/>
  <c r="G188" i="40"/>
  <c r="G188" i="30"/>
  <c r="G188" i="23"/>
  <c r="G187" i="23"/>
  <c r="G187" i="20"/>
  <c r="G98" i="20"/>
  <c r="G188" i="22"/>
  <c r="G188" i="25"/>
  <c r="G188" i="29"/>
  <c r="O7" i="45"/>
  <c r="G187" i="13"/>
  <c r="G187" i="27"/>
  <c r="G187" i="43"/>
  <c r="G188" i="10"/>
  <c r="G188" i="19"/>
  <c r="G188" i="18"/>
  <c r="G188" i="15"/>
  <c r="G188" i="13"/>
  <c r="G188" i="14"/>
  <c r="G102" i="11"/>
  <c r="G103" i="11" s="1"/>
  <c r="G100" i="12"/>
  <c r="G101" i="12" s="1"/>
  <c r="G100" i="20"/>
  <c r="G100" i="27"/>
  <c r="G187" i="31"/>
  <c r="L7" i="45"/>
  <c r="G187" i="10"/>
  <c r="G188" i="9"/>
  <c r="G188" i="17"/>
  <c r="G188" i="28"/>
  <c r="G188" i="31"/>
  <c r="G188" i="16"/>
  <c r="G188" i="20"/>
  <c r="G188" i="24"/>
  <c r="G188" i="27"/>
  <c r="G188" i="43"/>
  <c r="K7" i="45"/>
  <c r="G187" i="9"/>
  <c r="G187" i="22"/>
  <c r="G187" i="25"/>
  <c r="G187" i="29"/>
  <c r="G188" i="12"/>
  <c r="G188" i="11"/>
  <c r="G187" i="11"/>
  <c r="E30" i="14"/>
  <c r="G30" i="14" s="1"/>
  <c r="G187" i="14"/>
  <c r="E30" i="18"/>
  <c r="G30" i="18" s="1"/>
  <c r="G187" i="18"/>
  <c r="E30" i="15"/>
  <c r="G30" i="15" s="1"/>
  <c r="G187" i="15"/>
  <c r="E30" i="17"/>
  <c r="G30" i="17" s="1"/>
  <c r="G187" i="17"/>
  <c r="E30" i="19"/>
  <c r="G30" i="19" s="1"/>
  <c r="G187" i="19"/>
  <c r="E30" i="13"/>
  <c r="G30" i="13" s="1"/>
  <c r="W7" i="45"/>
  <c r="G187" i="21"/>
  <c r="E30" i="28"/>
  <c r="G30" i="28" s="1"/>
  <c r="G187" i="28"/>
  <c r="E30" i="24"/>
  <c r="G30" i="24" s="1"/>
  <c r="G187" i="24"/>
  <c r="G188" i="21"/>
  <c r="H156" i="9"/>
  <c r="H156" i="10" s="1"/>
  <c r="G102" i="30"/>
  <c r="G100" i="43"/>
  <c r="G94" i="13"/>
  <c r="G95" i="13" s="1"/>
  <c r="G104" i="25"/>
  <c r="G102" i="9"/>
  <c r="G103" i="9" s="1"/>
  <c r="G100" i="18"/>
  <c r="G102" i="21"/>
  <c r="G100" i="22"/>
  <c r="G104" i="13"/>
  <c r="G105" i="13" s="1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G101" i="11" s="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03" i="13" s="1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97" i="11" s="1"/>
  <c r="G102" i="12"/>
  <c r="G103" i="12" s="1"/>
  <c r="G98" i="13"/>
  <c r="G99" i="13" s="1"/>
  <c r="G100" i="13"/>
  <c r="G101" i="13" s="1"/>
  <c r="G102" i="27"/>
  <c r="G100" i="28"/>
  <c r="G102" i="43"/>
  <c r="J152" i="5"/>
  <c r="H152" i="33"/>
  <c r="G100" i="9"/>
  <c r="G101" i="9" s="1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J13" i="3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79" i="22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181" i="14"/>
  <c r="G189" i="14" s="1"/>
  <c r="I90" i="14"/>
  <c r="G176" i="13"/>
  <c r="G181" i="13"/>
  <c r="G189" i="13" s="1"/>
  <c r="I85" i="13"/>
  <c r="G79" i="13"/>
  <c r="G186" i="12"/>
  <c r="G47" i="12"/>
  <c r="I90" i="11"/>
  <c r="G71" i="11"/>
  <c r="G47" i="11"/>
  <c r="G186" i="10"/>
  <c r="G79" i="10"/>
  <c r="G47" i="10"/>
  <c r="G71" i="9"/>
  <c r="G96" i="9"/>
  <c r="G97" i="9" s="1"/>
  <c r="G47" i="9"/>
  <c r="I88" i="31"/>
  <c r="G59" i="31"/>
  <c r="E30" i="31"/>
  <c r="G30" i="31" s="1"/>
  <c r="G176" i="31"/>
  <c r="G181" i="31"/>
  <c r="G189" i="31" s="1"/>
  <c r="G64" i="31"/>
  <c r="G96" i="31"/>
  <c r="G47" i="31"/>
  <c r="G20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101" i="14" s="1"/>
  <c r="G96" i="15"/>
  <c r="G79" i="16"/>
  <c r="G80" i="16" s="1"/>
  <c r="G20" i="17"/>
  <c r="G102" i="17"/>
  <c r="G71" i="29"/>
  <c r="G176" i="18"/>
  <c r="G186" i="28"/>
  <c r="E30" i="43"/>
  <c r="G30" i="43" s="1"/>
  <c r="G104" i="14"/>
  <c r="G96" i="14"/>
  <c r="G104" i="43"/>
  <c r="G64" i="43"/>
  <c r="G176" i="43"/>
  <c r="G181" i="43"/>
  <c r="G189" i="43" s="1"/>
  <c r="G96" i="12"/>
  <c r="G97" i="12" s="1"/>
  <c r="G102" i="14"/>
  <c r="G103" i="14" s="1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9" i="21"/>
  <c r="G71" i="22"/>
  <c r="I90" i="22"/>
  <c r="G20" i="43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E30" i="30"/>
  <c r="G30" i="30" s="1"/>
  <c r="G176" i="30"/>
  <c r="G96" i="30"/>
  <c r="G104" i="30"/>
  <c r="G64" i="30"/>
  <c r="G20" i="30"/>
  <c r="I85" i="30"/>
  <c r="I88" i="29"/>
  <c r="G59" i="29"/>
  <c r="E30" i="29"/>
  <c r="G30" i="29" s="1"/>
  <c r="G176" i="29"/>
  <c r="G181" i="29"/>
  <c r="G189" i="29" s="1"/>
  <c r="G64" i="29"/>
  <c r="G20" i="29"/>
  <c r="I85" i="29"/>
  <c r="I90" i="28"/>
  <c r="G71" i="28"/>
  <c r="I85" i="28"/>
  <c r="G47" i="28"/>
  <c r="G20" i="28"/>
  <c r="G59" i="28"/>
  <c r="G64" i="28"/>
  <c r="G94" i="28"/>
  <c r="G98" i="28"/>
  <c r="I88" i="27"/>
  <c r="G94" i="27"/>
  <c r="G59" i="27"/>
  <c r="G98" i="27"/>
  <c r="E30" i="27"/>
  <c r="G30" i="27" s="1"/>
  <c r="G176" i="27"/>
  <c r="G181" i="27"/>
  <c r="G189" i="27" s="1"/>
  <c r="G96" i="27"/>
  <c r="G104" i="27"/>
  <c r="G64" i="27"/>
  <c r="G20" i="27"/>
  <c r="I85" i="27"/>
  <c r="I88" i="40"/>
  <c r="G94" i="40"/>
  <c r="G59" i="40"/>
  <c r="G98" i="40"/>
  <c r="E30" i="40"/>
  <c r="G30" i="40" s="1"/>
  <c r="G176" i="40"/>
  <c r="G181" i="40"/>
  <c r="G189" i="40" s="1"/>
  <c r="G104" i="40"/>
  <c r="G64" i="40"/>
  <c r="G20" i="40"/>
  <c r="I85" i="40"/>
  <c r="I88" i="25"/>
  <c r="G59" i="25"/>
  <c r="E30" i="25"/>
  <c r="G30" i="25" s="1"/>
  <c r="G176" i="25"/>
  <c r="G181" i="25"/>
  <c r="G189" i="25" s="1"/>
  <c r="G64" i="25"/>
  <c r="G47" i="25"/>
  <c r="G20" i="25"/>
  <c r="I85" i="25"/>
  <c r="I90" i="24"/>
  <c r="G71" i="24"/>
  <c r="I85" i="24"/>
  <c r="G47" i="24"/>
  <c r="I88" i="24"/>
  <c r="G20" i="24"/>
  <c r="G59" i="24"/>
  <c r="G64" i="24"/>
  <c r="G94" i="24"/>
  <c r="G98" i="24"/>
  <c r="I88" i="23"/>
  <c r="G94" i="23"/>
  <c r="G59" i="23"/>
  <c r="G98" i="23"/>
  <c r="E30" i="23"/>
  <c r="G30" i="23" s="1"/>
  <c r="G176" i="23"/>
  <c r="G181" i="23"/>
  <c r="G189" i="23" s="1"/>
  <c r="G96" i="23"/>
  <c r="G104" i="23"/>
  <c r="G64" i="23"/>
  <c r="G20" i="23"/>
  <c r="I85" i="23"/>
  <c r="I88" i="22"/>
  <c r="G94" i="22"/>
  <c r="G59" i="22"/>
  <c r="G98" i="22"/>
  <c r="E30" i="22"/>
  <c r="G30" i="22" s="1"/>
  <c r="G176" i="22"/>
  <c r="G181" i="22"/>
  <c r="G189" i="22" s="1"/>
  <c r="G96" i="22"/>
  <c r="G104" i="22"/>
  <c r="G64" i="22"/>
  <c r="G20" i="22"/>
  <c r="I85" i="22"/>
  <c r="E28" i="22"/>
  <c r="G28" i="22" s="1"/>
  <c r="E30" i="21"/>
  <c r="G30" i="21" s="1"/>
  <c r="G64" i="21"/>
  <c r="G59" i="21"/>
  <c r="G71" i="21"/>
  <c r="I85" i="21"/>
  <c r="I90" i="21"/>
  <c r="G47" i="21"/>
  <c r="I88" i="21"/>
  <c r="G20" i="21"/>
  <c r="G94" i="21"/>
  <c r="G98" i="21"/>
  <c r="E28" i="21"/>
  <c r="G28" i="21" s="1"/>
  <c r="I88" i="20"/>
  <c r="G59" i="20"/>
  <c r="E30" i="20"/>
  <c r="G30" i="20" s="1"/>
  <c r="G176" i="20"/>
  <c r="G181" i="20"/>
  <c r="G189" i="20" s="1"/>
  <c r="G96" i="20"/>
  <c r="G64" i="20"/>
  <c r="G47" i="20"/>
  <c r="G20" i="20"/>
  <c r="I85" i="20"/>
  <c r="G64" i="19"/>
  <c r="I90" i="19"/>
  <c r="G96" i="19"/>
  <c r="G59" i="19"/>
  <c r="G71" i="19"/>
  <c r="G60" i="19"/>
  <c r="I88" i="19"/>
  <c r="G20" i="19"/>
  <c r="G94" i="19"/>
  <c r="G98" i="19"/>
  <c r="I85" i="18"/>
  <c r="G71" i="18"/>
  <c r="G47" i="18"/>
  <c r="G60" i="18" s="1"/>
  <c r="G20" i="18"/>
  <c r="G59" i="18"/>
  <c r="G64" i="18"/>
  <c r="G94" i="18"/>
  <c r="G98" i="18"/>
  <c r="G71" i="17"/>
  <c r="I85" i="17"/>
  <c r="I90" i="17"/>
  <c r="G186" i="17"/>
  <c r="G59" i="17"/>
  <c r="G64" i="17"/>
  <c r="G94" i="17"/>
  <c r="G98" i="17"/>
  <c r="E28" i="17"/>
  <c r="G28" i="17" s="1"/>
  <c r="I88" i="16"/>
  <c r="G94" i="16"/>
  <c r="G59" i="16"/>
  <c r="G98" i="16"/>
  <c r="E30" i="16"/>
  <c r="G30" i="16" s="1"/>
  <c r="G176" i="16"/>
  <c r="G181" i="16"/>
  <c r="G189" i="16" s="1"/>
  <c r="G96" i="16"/>
  <c r="G104" i="16"/>
  <c r="G64" i="16"/>
  <c r="G20" i="16"/>
  <c r="I85" i="16"/>
  <c r="E28" i="16"/>
  <c r="G28" i="16" s="1"/>
  <c r="I90" i="15"/>
  <c r="G64" i="15"/>
  <c r="G59" i="15"/>
  <c r="G71" i="15"/>
  <c r="I85" i="15"/>
  <c r="G47" i="15"/>
  <c r="I88" i="15"/>
  <c r="G20" i="15"/>
  <c r="G94" i="15"/>
  <c r="G98" i="15"/>
  <c r="E28" i="15"/>
  <c r="G28" i="15" s="1"/>
  <c r="I85" i="14"/>
  <c r="G186" i="14"/>
  <c r="G71" i="14"/>
  <c r="G47" i="14"/>
  <c r="G20" i="14"/>
  <c r="G59" i="14"/>
  <c r="G64" i="14"/>
  <c r="G94" i="14"/>
  <c r="G98" i="14"/>
  <c r="G59" i="13"/>
  <c r="G71" i="13"/>
  <c r="E27" i="13"/>
  <c r="G27" i="13" s="1"/>
  <c r="G64" i="13"/>
  <c r="I90" i="13"/>
  <c r="G96" i="13"/>
  <c r="G186" i="13"/>
  <c r="G47" i="13"/>
  <c r="I88" i="13"/>
  <c r="G20" i="13"/>
  <c r="E28" i="13"/>
  <c r="G28" i="13" s="1"/>
  <c r="E30" i="12"/>
  <c r="G30" i="12" s="1"/>
  <c r="G64" i="12"/>
  <c r="I88" i="12"/>
  <c r="G94" i="12"/>
  <c r="G59" i="12"/>
  <c r="G98" i="12"/>
  <c r="G176" i="12"/>
  <c r="G181" i="12"/>
  <c r="G189" i="12" s="1"/>
  <c r="G79" i="12"/>
  <c r="E27" i="12"/>
  <c r="G27" i="12" s="1"/>
  <c r="G104" i="12"/>
  <c r="E28" i="12"/>
  <c r="G28" i="12" s="1"/>
  <c r="G20" i="12"/>
  <c r="I85" i="12"/>
  <c r="G64" i="11"/>
  <c r="I88" i="11"/>
  <c r="G94" i="11"/>
  <c r="G59" i="11"/>
  <c r="G98" i="11"/>
  <c r="G176" i="11"/>
  <c r="G181" i="11"/>
  <c r="G189" i="11" s="1"/>
  <c r="G79" i="11"/>
  <c r="E27" i="11"/>
  <c r="G27" i="11" s="1"/>
  <c r="E30" i="11"/>
  <c r="G30" i="11" s="1"/>
  <c r="G104" i="11"/>
  <c r="G20" i="11"/>
  <c r="I85" i="11"/>
  <c r="E28" i="11"/>
  <c r="G28" i="11" s="1"/>
  <c r="E30" i="10"/>
  <c r="G30" i="10" s="1"/>
  <c r="G104" i="10"/>
  <c r="G64" i="10"/>
  <c r="I88" i="10"/>
  <c r="G94" i="10"/>
  <c r="G59" i="10"/>
  <c r="G98" i="10"/>
  <c r="G100" i="10"/>
  <c r="G102" i="10"/>
  <c r="G176" i="10"/>
  <c r="G181" i="10"/>
  <c r="G189" i="10" s="1"/>
  <c r="E27" i="10"/>
  <c r="G27" i="10" s="1"/>
  <c r="G96" i="10"/>
  <c r="G20" i="10"/>
  <c r="I85" i="10"/>
  <c r="E28" i="10"/>
  <c r="G28" i="10" s="1"/>
  <c r="G64" i="9"/>
  <c r="I88" i="9"/>
  <c r="G20" i="9"/>
  <c r="G59" i="9"/>
  <c r="G94" i="9"/>
  <c r="G98" i="9"/>
  <c r="G176" i="9"/>
  <c r="G181" i="9"/>
  <c r="G189" i="9" s="1"/>
  <c r="G79" i="9"/>
  <c r="E27" i="9"/>
  <c r="G27" i="9" s="1"/>
  <c r="E30" i="9"/>
  <c r="G30" i="9" s="1"/>
  <c r="G104" i="9"/>
  <c r="E28" i="9"/>
  <c r="G28" i="9" s="1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9" i="8"/>
  <c r="G18" i="8"/>
  <c r="E31" i="8" s="1"/>
  <c r="G31" i="8" s="1"/>
  <c r="G15" i="8"/>
  <c r="G10" i="8"/>
  <c r="K9" i="8"/>
  <c r="G9" i="8"/>
  <c r="M8" i="8"/>
  <c r="G8" i="8"/>
  <c r="G7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9" i="7"/>
  <c r="G18" i="7"/>
  <c r="E31" i="7" s="1"/>
  <c r="G31" i="7" s="1"/>
  <c r="G15" i="7"/>
  <c r="G10" i="7"/>
  <c r="K9" i="7"/>
  <c r="G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112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4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G27" i="2"/>
  <c r="H27" i="2" s="1"/>
  <c r="G60" i="29" l="1"/>
  <c r="G60" i="17"/>
  <c r="E28" i="23"/>
  <c r="G28" i="23" s="1"/>
  <c r="E28" i="24"/>
  <c r="G28" i="24" s="1"/>
  <c r="E28" i="18"/>
  <c r="G28" i="18" s="1"/>
  <c r="AD11" i="44"/>
  <c r="AD10" i="44"/>
  <c r="AD9" i="44"/>
  <c r="AD8" i="44"/>
  <c r="AD7" i="44"/>
  <c r="AD6" i="44"/>
  <c r="E15" i="19"/>
  <c r="G15" i="19" s="1"/>
  <c r="G79" i="19" s="1"/>
  <c r="G105" i="14"/>
  <c r="G97" i="14"/>
  <c r="E15" i="14"/>
  <c r="G15" i="14" s="1"/>
  <c r="G97" i="15"/>
  <c r="G101" i="15"/>
  <c r="G105" i="15"/>
  <c r="G103" i="15"/>
  <c r="E15" i="20"/>
  <c r="G15" i="20" s="1"/>
  <c r="E15" i="25"/>
  <c r="E9" i="14"/>
  <c r="N8" i="16"/>
  <c r="G8" i="16"/>
  <c r="E27" i="16" s="1"/>
  <c r="G27" i="16" s="1"/>
  <c r="G32" i="16" s="1"/>
  <c r="N7" i="16"/>
  <c r="G7" i="16"/>
  <c r="G103" i="16" s="1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G8" i="17"/>
  <c r="E27" i="17" s="1"/>
  <c r="G27" i="17" s="1"/>
  <c r="G32" i="17" s="1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2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G187" i="8"/>
  <c r="H183" i="2"/>
  <c r="J183" i="2" s="1"/>
  <c r="G186" i="2"/>
  <c r="G102" i="5"/>
  <c r="G103" i="5" s="1"/>
  <c r="H127" i="7"/>
  <c r="H127" i="8" s="1"/>
  <c r="E7" i="45"/>
  <c r="G187" i="3"/>
  <c r="G188" i="4"/>
  <c r="I7" i="45"/>
  <c r="G187" i="7"/>
  <c r="G188" i="8"/>
  <c r="G32" i="15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G99" i="8" s="1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I59" i="12" s="1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H70" i="28" s="1"/>
  <c r="H70" i="29" s="1"/>
  <c r="H70" i="30" s="1"/>
  <c r="H70" i="43" s="1"/>
  <c r="H70" i="31" s="1"/>
  <c r="J70" i="31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AL4" i="1"/>
  <c r="H178" i="2"/>
  <c r="J178" i="2" s="1"/>
  <c r="D21" i="45"/>
  <c r="G102" i="4"/>
  <c r="G103" i="4" s="1"/>
  <c r="G100" i="5"/>
  <c r="G101" i="5" s="1"/>
  <c r="G94" i="8"/>
  <c r="G95" i="8" s="1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H63" i="28" s="1"/>
  <c r="H63" i="29" s="1"/>
  <c r="H63" i="30" s="1"/>
  <c r="H63" i="43" s="1"/>
  <c r="H63" i="31" s="1"/>
  <c r="J63" i="31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60" i="11"/>
  <c r="I59" i="11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H65" i="28" s="1"/>
  <c r="H65" i="29" s="1"/>
  <c r="H65" i="30" s="1"/>
  <c r="H65" i="43" s="1"/>
  <c r="H65" i="31" s="1"/>
  <c r="J65" i="31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G101" i="8" s="1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H69" i="28" s="1"/>
  <c r="H69" i="29" s="1"/>
  <c r="H69" i="30" s="1"/>
  <c r="H69" i="43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H66" i="28" s="1"/>
  <c r="H66" i="29" s="1"/>
  <c r="H66" i="30" s="1"/>
  <c r="H66" i="43" s="1"/>
  <c r="H66" i="31" s="1"/>
  <c r="J66" i="31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H67" i="28" s="1"/>
  <c r="H67" i="29" s="1"/>
  <c r="H67" i="30" s="1"/>
  <c r="H67" i="43" s="1"/>
  <c r="H67" i="31" s="1"/>
  <c r="J67" i="31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H68" i="28" s="1"/>
  <c r="H68" i="29" s="1"/>
  <c r="H68" i="30" s="1"/>
  <c r="H68" i="43" s="1"/>
  <c r="H68" i="31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H15" i="8" s="1"/>
  <c r="H15" i="9" s="1"/>
  <c r="H15" i="10" s="1"/>
  <c r="H15" i="11" s="1"/>
  <c r="H15" i="12" s="1"/>
  <c r="H15" i="13" s="1"/>
  <c r="I90" i="33"/>
  <c r="H8" i="5"/>
  <c r="H8" i="33" s="1"/>
  <c r="H8" i="7" s="1"/>
  <c r="H8" i="8" s="1"/>
  <c r="H8" i="9" s="1"/>
  <c r="H8" i="10" s="1"/>
  <c r="H8" i="11" s="1"/>
  <c r="H8" i="12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10" i="18" s="1"/>
  <c r="H10" i="19" s="1"/>
  <c r="H10" i="20" s="1"/>
  <c r="H10" i="21" s="1"/>
  <c r="H10" i="22" s="1"/>
  <c r="H10" i="23" s="1"/>
  <c r="H10" i="24" s="1"/>
  <c r="H10" i="25" s="1"/>
  <c r="H10" i="40" s="1"/>
  <c r="H10" i="27" s="1"/>
  <c r="H10" i="28" s="1"/>
  <c r="H10" i="29" s="1"/>
  <c r="H10" i="30" s="1"/>
  <c r="H10" i="43" s="1"/>
  <c r="H10" i="31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H9" i="7" s="1"/>
  <c r="H9" i="8" s="1"/>
  <c r="H9" i="9" s="1"/>
  <c r="H9" i="10" s="1"/>
  <c r="H9" i="11" s="1"/>
  <c r="H9" i="12" s="1"/>
  <c r="H9" i="13" s="1"/>
  <c r="G47" i="5"/>
  <c r="G71" i="5"/>
  <c r="H7" i="5"/>
  <c r="H7" i="33" s="1"/>
  <c r="H7" i="7" s="1"/>
  <c r="H7" i="8" s="1"/>
  <c r="H7" i="9" s="1"/>
  <c r="H7" i="10" s="1"/>
  <c r="H7" i="11" s="1"/>
  <c r="H7" i="12" s="1"/>
  <c r="H7" i="13" s="1"/>
  <c r="H7" i="14" s="1"/>
  <c r="H7" i="15" s="1"/>
  <c r="H19" i="5"/>
  <c r="H19" i="33" s="1"/>
  <c r="H19" i="7" s="1"/>
  <c r="H19" i="8" s="1"/>
  <c r="H19" i="9" s="1"/>
  <c r="H19" i="10" s="1"/>
  <c r="H19" i="11" s="1"/>
  <c r="H19" i="12" s="1"/>
  <c r="H19" i="13" s="1"/>
  <c r="H19" i="14" s="1"/>
  <c r="H19" i="15" s="1"/>
  <c r="H19" i="16" s="1"/>
  <c r="H19" i="17" s="1"/>
  <c r="H19" i="18" s="1"/>
  <c r="H19" i="19" s="1"/>
  <c r="H19" i="20" s="1"/>
  <c r="H19" i="21" s="1"/>
  <c r="H19" i="22" s="1"/>
  <c r="H19" i="23" s="1"/>
  <c r="H19" i="24" s="1"/>
  <c r="H19" i="25" s="1"/>
  <c r="H19" i="40" s="1"/>
  <c r="H19" i="27" s="1"/>
  <c r="H19" i="28" s="1"/>
  <c r="H19" i="29" s="1"/>
  <c r="H19" i="30" s="1"/>
  <c r="H19" i="43" s="1"/>
  <c r="H19" i="31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92" i="3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80" i="22"/>
  <c r="G60" i="22"/>
  <c r="G80" i="21"/>
  <c r="G60" i="16"/>
  <c r="G80" i="15"/>
  <c r="G80" i="13"/>
  <c r="H80" i="13" s="1"/>
  <c r="J80" i="13" s="1"/>
  <c r="G80" i="10"/>
  <c r="G60" i="10"/>
  <c r="I59" i="10" s="1"/>
  <c r="G186" i="8"/>
  <c r="G79" i="8"/>
  <c r="G96" i="8"/>
  <c r="G97" i="8" s="1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G80" i="12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95" i="15"/>
  <c r="G99" i="15"/>
  <c r="G60" i="15"/>
  <c r="G95" i="14"/>
  <c r="G60" i="14"/>
  <c r="G99" i="14"/>
  <c r="G32" i="13"/>
  <c r="G97" i="13"/>
  <c r="G60" i="13"/>
  <c r="G105" i="12"/>
  <c r="G32" i="12"/>
  <c r="G99" i="12"/>
  <c r="G95" i="12"/>
  <c r="G95" i="11"/>
  <c r="G80" i="11"/>
  <c r="G105" i="11"/>
  <c r="G32" i="11"/>
  <c r="G99" i="11"/>
  <c r="G32" i="10"/>
  <c r="G99" i="10"/>
  <c r="G103" i="10"/>
  <c r="G95" i="10"/>
  <c r="G105" i="10"/>
  <c r="G97" i="10"/>
  <c r="G101" i="10"/>
  <c r="G95" i="9"/>
  <c r="G80" i="9"/>
  <c r="G105" i="9"/>
  <c r="G60" i="9"/>
  <c r="G32" i="9"/>
  <c r="G99" i="9"/>
  <c r="I88" i="8"/>
  <c r="G104" i="8"/>
  <c r="G59" i="8"/>
  <c r="G102" i="8"/>
  <c r="G176" i="8"/>
  <c r="G181" i="8"/>
  <c r="G189" i="8" s="1"/>
  <c r="E27" i="8"/>
  <c r="G27" i="8" s="1"/>
  <c r="E30" i="8"/>
  <c r="G30" i="8" s="1"/>
  <c r="G64" i="8"/>
  <c r="G47" i="8"/>
  <c r="G20" i="8"/>
  <c r="I85" i="8"/>
  <c r="E28" i="8"/>
  <c r="G28" i="8" s="1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E30" i="7"/>
  <c r="G30" i="7" s="1"/>
  <c r="G64" i="7"/>
  <c r="G47" i="7"/>
  <c r="G20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101" i="4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H47" i="2" s="1"/>
  <c r="I88" i="2"/>
  <c r="G59" i="2"/>
  <c r="H59" i="2" s="1"/>
  <c r="G64" i="2"/>
  <c r="H64" i="2" s="1"/>
  <c r="G94" i="2"/>
  <c r="H94" i="2" s="1"/>
  <c r="G98" i="2"/>
  <c r="H98" i="2" s="1"/>
  <c r="G28" i="2"/>
  <c r="H28" i="2" s="1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E131" i="50"/>
  <c r="G131" i="50" s="1"/>
  <c r="E130" i="50"/>
  <c r="G130" i="50" s="1"/>
  <c r="E129" i="50"/>
  <c r="G129" i="50" s="1"/>
  <c r="E128" i="50"/>
  <c r="G128" i="50" s="1"/>
  <c r="G117" i="50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G120" i="50"/>
  <c r="G118" i="50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E19" i="50"/>
  <c r="G19" i="50" s="1"/>
  <c r="G18" i="50"/>
  <c r="E18" i="50"/>
  <c r="G15" i="50"/>
  <c r="E10" i="50"/>
  <c r="G10" i="50" s="1"/>
  <c r="K9" i="50"/>
  <c r="G9" i="50"/>
  <c r="M8" i="50"/>
  <c r="H7" i="16" l="1"/>
  <c r="G97" i="16"/>
  <c r="G95" i="16"/>
  <c r="G105" i="16"/>
  <c r="I59" i="16"/>
  <c r="G99" i="16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G79" i="14"/>
  <c r="G80" i="14" s="1"/>
  <c r="E28" i="14"/>
  <c r="G28" i="14" s="1"/>
  <c r="G32" i="14" s="1"/>
  <c r="G15" i="25"/>
  <c r="E28" i="19"/>
  <c r="G28" i="19" s="1"/>
  <c r="G79" i="20"/>
  <c r="G80" i="20" s="1"/>
  <c r="E28" i="20"/>
  <c r="G28" i="20" s="1"/>
  <c r="E9" i="15"/>
  <c r="G9" i="14"/>
  <c r="H9" i="14" s="1"/>
  <c r="G101" i="16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G7" i="17"/>
  <c r="E8" i="18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60" i="4"/>
  <c r="G30" i="3"/>
  <c r="H30" i="3" s="1"/>
  <c r="H30" i="4" s="1"/>
  <c r="H30" i="5" s="1"/>
  <c r="H30" i="33" s="1"/>
  <c r="H30" i="7" s="1"/>
  <c r="H30" i="8" s="1"/>
  <c r="H30" i="9" s="1"/>
  <c r="H30" i="10" s="1"/>
  <c r="H30" i="11" s="1"/>
  <c r="H30" i="12" s="1"/>
  <c r="H30" i="13" s="1"/>
  <c r="H30" i="14" s="1"/>
  <c r="H30" i="15" s="1"/>
  <c r="H30" i="16" s="1"/>
  <c r="H30" i="17" s="1"/>
  <c r="H30" i="18" s="1"/>
  <c r="H30" i="19" s="1"/>
  <c r="H30" i="20" s="1"/>
  <c r="H30" i="21" s="1"/>
  <c r="H30" i="22" s="1"/>
  <c r="H30" i="23" s="1"/>
  <c r="H30" i="24" s="1"/>
  <c r="H30" i="25" s="1"/>
  <c r="H30" i="40" s="1"/>
  <c r="H30" i="27" s="1"/>
  <c r="H30" i="28" s="1"/>
  <c r="H30" i="29" s="1"/>
  <c r="H30" i="30" s="1"/>
  <c r="H30" i="43" s="1"/>
  <c r="H30" i="31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H28" i="9" s="1"/>
  <c r="H28" i="10" s="1"/>
  <c r="H28" i="11" s="1"/>
  <c r="H28" i="12" s="1"/>
  <c r="H28" i="13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4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H20" i="7" s="1"/>
  <c r="H20" i="8" s="1"/>
  <c r="H20" i="9" s="1"/>
  <c r="H20" i="10" s="1"/>
  <c r="H20" i="11" s="1"/>
  <c r="H20" i="12" s="1"/>
  <c r="H20" i="13" s="1"/>
  <c r="H20" i="14" s="1"/>
  <c r="H20" i="15" s="1"/>
  <c r="H20" i="16" s="1"/>
  <c r="H20" i="17" s="1"/>
  <c r="H20" i="18" s="1"/>
  <c r="H20" i="19" s="1"/>
  <c r="H20" i="20" s="1"/>
  <c r="H20" i="21" s="1"/>
  <c r="H20" i="22" s="1"/>
  <c r="H20" i="23" s="1"/>
  <c r="H20" i="24" s="1"/>
  <c r="H20" i="25" s="1"/>
  <c r="H20" i="40" s="1"/>
  <c r="H20" i="27" s="1"/>
  <c r="H20" i="28" s="1"/>
  <c r="H20" i="29" s="1"/>
  <c r="H20" i="30" s="1"/>
  <c r="H20" i="43" s="1"/>
  <c r="H20" i="31" s="1"/>
  <c r="J77" i="43"/>
  <c r="J65" i="43"/>
  <c r="J70" i="43"/>
  <c r="J78" i="43"/>
  <c r="J68" i="31"/>
  <c r="H141" i="3"/>
  <c r="J141" i="3" s="1"/>
  <c r="H179" i="3"/>
  <c r="H179" i="4" s="1"/>
  <c r="H180" i="3"/>
  <c r="J180" i="3" s="1"/>
  <c r="J66" i="43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79" i="9" s="1"/>
  <c r="H79" i="10" s="1"/>
  <c r="H79" i="11" s="1"/>
  <c r="H79" i="12" s="1"/>
  <c r="H79" i="13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9" i="31"/>
  <c r="J69" i="31" s="1"/>
  <c r="J69" i="43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64" i="28" s="1"/>
  <c r="H64" i="29" s="1"/>
  <c r="H64" i="30" s="1"/>
  <c r="H64" i="43" s="1"/>
  <c r="H64" i="31" s="1"/>
  <c r="J64" i="31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71" i="28" s="1"/>
  <c r="H71" i="29" s="1"/>
  <c r="H71" i="30" s="1"/>
  <c r="H71" i="43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J68" i="43"/>
  <c r="J67" i="43"/>
  <c r="G80" i="7"/>
  <c r="J63" i="43"/>
  <c r="I59" i="15"/>
  <c r="I59" i="14"/>
  <c r="I59" i="13"/>
  <c r="I59" i="9"/>
  <c r="G60" i="8"/>
  <c r="G105" i="8"/>
  <c r="G32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60" i="2"/>
  <c r="H60" i="2" s="1"/>
  <c r="G20" i="50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I85" i="50"/>
  <c r="G98" i="50"/>
  <c r="G79" i="50"/>
  <c r="G96" i="50"/>
  <c r="E31" i="50"/>
  <c r="G31" i="50" s="1"/>
  <c r="G102" i="50"/>
  <c r="G100" i="50"/>
  <c r="G116" i="50"/>
  <c r="E30" i="50"/>
  <c r="G30" i="50" s="1"/>
  <c r="G71" i="50"/>
  <c r="G121" i="50"/>
  <c r="I88" i="50"/>
  <c r="G119" i="50"/>
  <c r="G123" i="50"/>
  <c r="G59" i="50"/>
  <c r="G64" i="50"/>
  <c r="E28" i="50"/>
  <c r="G28" i="50" s="1"/>
  <c r="I90" i="50"/>
  <c r="G47" i="50"/>
  <c r="G80" i="19" l="1"/>
  <c r="H80" i="19" s="1"/>
  <c r="H7" i="17"/>
  <c r="H28" i="14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122" i="4"/>
  <c r="J122" i="4" s="1"/>
  <c r="H183" i="4"/>
  <c r="J183" i="4" s="1"/>
  <c r="G79" i="25"/>
  <c r="G80" i="25" s="1"/>
  <c r="E28" i="25"/>
  <c r="G28" i="25" s="1"/>
  <c r="E15" i="40"/>
  <c r="H15" i="25"/>
  <c r="E9" i="16"/>
  <c r="G9" i="15"/>
  <c r="H9" i="15" s="1"/>
  <c r="J74" i="43"/>
  <c r="H74" i="31"/>
  <c r="J74" i="31" s="1"/>
  <c r="H104" i="30"/>
  <c r="H104" i="43" s="1"/>
  <c r="H135" i="3"/>
  <c r="H135" i="4" s="1"/>
  <c r="I59" i="17"/>
  <c r="G8" i="18"/>
  <c r="E27" i="18" s="1"/>
  <c r="G27" i="18" s="1"/>
  <c r="G32" i="18" s="1"/>
  <c r="G97" i="17"/>
  <c r="G99" i="17"/>
  <c r="G105" i="17"/>
  <c r="G95" i="17"/>
  <c r="G101" i="17"/>
  <c r="G103" i="17"/>
  <c r="E7" i="18"/>
  <c r="J178" i="3"/>
  <c r="H181" i="3"/>
  <c r="H181" i="4" s="1"/>
  <c r="J117" i="3"/>
  <c r="H79" i="14"/>
  <c r="H79" i="15" s="1"/>
  <c r="H79" i="16" s="1"/>
  <c r="H79" i="17" s="1"/>
  <c r="H79" i="18" s="1"/>
  <c r="H79" i="19" s="1"/>
  <c r="H79" i="20" s="1"/>
  <c r="H79" i="21" s="1"/>
  <c r="H79" i="22" s="1"/>
  <c r="H79" i="23" s="1"/>
  <c r="H79" i="24" s="1"/>
  <c r="J79" i="13"/>
  <c r="H118" i="4"/>
  <c r="J118" i="4" s="1"/>
  <c r="H138" i="4"/>
  <c r="H138" i="5" s="1"/>
  <c r="G32" i="3"/>
  <c r="H32" i="3" s="1"/>
  <c r="H32" i="4" s="1"/>
  <c r="H32" i="5" s="1"/>
  <c r="H32" i="33" s="1"/>
  <c r="H32" i="7" s="1"/>
  <c r="H32" i="8" s="1"/>
  <c r="H32" i="9" s="1"/>
  <c r="H32" i="10" s="1"/>
  <c r="H32" i="11" s="1"/>
  <c r="H32" i="12" s="1"/>
  <c r="H32" i="13" s="1"/>
  <c r="H32" i="14" s="1"/>
  <c r="H32" i="15" s="1"/>
  <c r="H32" i="16" s="1"/>
  <c r="H32" i="17" s="1"/>
  <c r="H115" i="4"/>
  <c r="H115" i="5" s="1"/>
  <c r="H121" i="4"/>
  <c r="J121" i="4" s="1"/>
  <c r="H27" i="3"/>
  <c r="H27" i="4" s="1"/>
  <c r="H27" i="5" s="1"/>
  <c r="H27" i="33" s="1"/>
  <c r="H27" i="7" s="1"/>
  <c r="H27" i="8" s="1"/>
  <c r="H27" i="9" s="1"/>
  <c r="H27" i="10" s="1"/>
  <c r="H27" i="11" s="1"/>
  <c r="H27" i="12" s="1"/>
  <c r="H27" i="13" s="1"/>
  <c r="H27" i="14" s="1"/>
  <c r="H27" i="15" s="1"/>
  <c r="H27" i="16" s="1"/>
  <c r="H27" i="17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97" i="9" s="1"/>
  <c r="H97" i="10" s="1"/>
  <c r="H97" i="11" s="1"/>
  <c r="H97" i="12" s="1"/>
  <c r="H97" i="13" s="1"/>
  <c r="H97" i="14" s="1"/>
  <c r="H97" i="15" s="1"/>
  <c r="H97" i="16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05" i="9" s="1"/>
  <c r="H105" i="10" s="1"/>
  <c r="H105" i="11" s="1"/>
  <c r="H105" i="12" s="1"/>
  <c r="H105" i="13" s="1"/>
  <c r="H105" i="14" s="1"/>
  <c r="H105" i="15" s="1"/>
  <c r="H105" i="16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03" i="9" s="1"/>
  <c r="H103" i="10" s="1"/>
  <c r="H103" i="11" s="1"/>
  <c r="H103" i="12" s="1"/>
  <c r="H103" i="13" s="1"/>
  <c r="H103" i="14" s="1"/>
  <c r="H103" i="15" s="1"/>
  <c r="H103" i="16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1" i="9" s="1"/>
  <c r="H101" i="10" s="1"/>
  <c r="H101" i="11" s="1"/>
  <c r="H101" i="12" s="1"/>
  <c r="H101" i="13" s="1"/>
  <c r="H101" i="14" s="1"/>
  <c r="H101" i="15" s="1"/>
  <c r="H101" i="16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H71" i="31"/>
  <c r="J71" i="31" s="1"/>
  <c r="J71" i="43"/>
  <c r="J64" i="43"/>
  <c r="J100" i="43"/>
  <c r="H100" i="31"/>
  <c r="J100" i="31" s="1"/>
  <c r="H95" i="3"/>
  <c r="H95" i="4" s="1"/>
  <c r="H95" i="5" s="1"/>
  <c r="H95" i="33" s="1"/>
  <c r="H95" i="7" s="1"/>
  <c r="H95" i="8" s="1"/>
  <c r="H95" i="9" s="1"/>
  <c r="H95" i="10" s="1"/>
  <c r="H95" i="11" s="1"/>
  <c r="H95" i="12" s="1"/>
  <c r="H95" i="13" s="1"/>
  <c r="H95" i="14" s="1"/>
  <c r="H95" i="15" s="1"/>
  <c r="H95" i="16" s="1"/>
  <c r="H95" i="17" s="1"/>
  <c r="J98" i="43"/>
  <c r="H99" i="3"/>
  <c r="H99" i="4" s="1"/>
  <c r="H99" i="5" s="1"/>
  <c r="H99" i="33" s="1"/>
  <c r="H99" i="7" s="1"/>
  <c r="H99" i="8" s="1"/>
  <c r="H99" i="9" s="1"/>
  <c r="H99" i="10" s="1"/>
  <c r="H99" i="11" s="1"/>
  <c r="H99" i="12" s="1"/>
  <c r="H99" i="13" s="1"/>
  <c r="H99" i="14" s="1"/>
  <c r="H99" i="15" s="1"/>
  <c r="H99" i="16" s="1"/>
  <c r="J83" i="31"/>
  <c r="J83" i="43"/>
  <c r="I59" i="8"/>
  <c r="I59" i="7"/>
  <c r="I59" i="33"/>
  <c r="I59" i="4"/>
  <c r="I59" i="3"/>
  <c r="I59" i="2"/>
  <c r="G80" i="50"/>
  <c r="G181" i="50"/>
  <c r="H181" i="50" s="1"/>
  <c r="J181" i="50" s="1"/>
  <c r="H173" i="50"/>
  <c r="J173" i="50" s="1"/>
  <c r="G60" i="50"/>
  <c r="B26" i="48"/>
  <c r="H183" i="5" l="1"/>
  <c r="H183" i="33" s="1"/>
  <c r="H28" i="25"/>
  <c r="H79" i="25"/>
  <c r="J79" i="25" s="1"/>
  <c r="H122" i="5"/>
  <c r="J122" i="5" s="1"/>
  <c r="G15" i="40"/>
  <c r="G9" i="16"/>
  <c r="H9" i="16" s="1"/>
  <c r="E9" i="17"/>
  <c r="H104" i="31"/>
  <c r="J104" i="31" s="1"/>
  <c r="J104" i="43"/>
  <c r="J135" i="3"/>
  <c r="H105" i="17"/>
  <c r="H97" i="17"/>
  <c r="H135" i="5"/>
  <c r="J135" i="4"/>
  <c r="H27" i="18"/>
  <c r="H32" i="18"/>
  <c r="E8" i="19"/>
  <c r="H103" i="17"/>
  <c r="H99" i="17"/>
  <c r="H101" i="17"/>
  <c r="G7" i="18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J183" i="5" l="1"/>
  <c r="H122" i="33"/>
  <c r="J122" i="33" s="1"/>
  <c r="G79" i="40"/>
  <c r="E28" i="40"/>
  <c r="G28" i="40" s="1"/>
  <c r="H28" i="40" s="1"/>
  <c r="E15" i="27"/>
  <c r="H15" i="40"/>
  <c r="G9" i="17"/>
  <c r="H9" i="17" s="1"/>
  <c r="E9" i="18"/>
  <c r="G9" i="18" s="1"/>
  <c r="E8" i="20"/>
  <c r="H162" i="33"/>
  <c r="H162" i="7" s="1"/>
  <c r="J135" i="5"/>
  <c r="H135" i="33"/>
  <c r="G105" i="18"/>
  <c r="H105" i="18" s="1"/>
  <c r="G101" i="18"/>
  <c r="H101" i="18" s="1"/>
  <c r="G103" i="18"/>
  <c r="H103" i="18" s="1"/>
  <c r="G97" i="18"/>
  <c r="H97" i="18" s="1"/>
  <c r="G99" i="18"/>
  <c r="H99" i="18" s="1"/>
  <c r="G95" i="18"/>
  <c r="H95" i="18" s="1"/>
  <c r="I59" i="18"/>
  <c r="H7" i="18"/>
  <c r="E7" i="19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9" i="18" l="1"/>
  <c r="E9" i="19"/>
  <c r="E9" i="20" s="1"/>
  <c r="G15" i="27"/>
  <c r="G80" i="40"/>
  <c r="H79" i="40"/>
  <c r="G8" i="20"/>
  <c r="E27" i="20" s="1"/>
  <c r="G27" i="20" s="1"/>
  <c r="G32" i="20" s="1"/>
  <c r="E8" i="21"/>
  <c r="G8" i="21" s="1"/>
  <c r="E27" i="21" s="1"/>
  <c r="G27" i="21" s="1"/>
  <c r="G32" i="21" s="1"/>
  <c r="G8" i="19"/>
  <c r="E27" i="19" s="1"/>
  <c r="G27" i="19" s="1"/>
  <c r="G32" i="19" s="1"/>
  <c r="H32" i="19" s="1"/>
  <c r="J162" i="33"/>
  <c r="J135" i="33"/>
  <c r="H135" i="7"/>
  <c r="E7" i="20"/>
  <c r="G7" i="19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2" i="48"/>
  <c r="H32" i="20" l="1"/>
  <c r="H32" i="21" s="1"/>
  <c r="G9" i="19"/>
  <c r="H9" i="19" s="1"/>
  <c r="H27" i="19"/>
  <c r="H27" i="20" s="1"/>
  <c r="H27" i="21" s="1"/>
  <c r="E28" i="27"/>
  <c r="G28" i="27" s="1"/>
  <c r="H28" i="27" s="1"/>
  <c r="G79" i="27"/>
  <c r="G80" i="27" s="1"/>
  <c r="E15" i="28"/>
  <c r="H15" i="27"/>
  <c r="E9" i="21"/>
  <c r="G9" i="20"/>
  <c r="H135" i="8"/>
  <c r="J135" i="7"/>
  <c r="E8" i="22"/>
  <c r="G101" i="19"/>
  <c r="H101" i="19" s="1"/>
  <c r="G103" i="19"/>
  <c r="H103" i="19" s="1"/>
  <c r="G99" i="19"/>
  <c r="H99" i="19" s="1"/>
  <c r="G95" i="19"/>
  <c r="H95" i="19" s="1"/>
  <c r="G105" i="19"/>
  <c r="H105" i="19" s="1"/>
  <c r="G97" i="19"/>
  <c r="H97" i="19" s="1"/>
  <c r="I59" i="19"/>
  <c r="E7" i="21"/>
  <c r="G7" i="20"/>
  <c r="H7" i="19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H9" i="20" l="1"/>
  <c r="G15" i="28"/>
  <c r="H79" i="27"/>
  <c r="G9" i="21"/>
  <c r="H135" i="9"/>
  <c r="J135" i="8"/>
  <c r="H7" i="20"/>
  <c r="G103" i="20"/>
  <c r="H103" i="20" s="1"/>
  <c r="G99" i="20"/>
  <c r="H99" i="20" s="1"/>
  <c r="G105" i="20"/>
  <c r="H105" i="20" s="1"/>
  <c r="G101" i="20"/>
  <c r="H101" i="20" s="1"/>
  <c r="G97" i="20"/>
  <c r="H97" i="20" s="1"/>
  <c r="G95" i="20"/>
  <c r="H95" i="20" s="1"/>
  <c r="I59" i="20"/>
  <c r="G7" i="21"/>
  <c r="G8" i="22"/>
  <c r="E27" i="22" s="1"/>
  <c r="G27" i="22" s="1"/>
  <c r="G32" i="22" s="1"/>
  <c r="H32" i="22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H168" i="18"/>
  <c r="J168" i="17"/>
  <c r="J177" i="14"/>
  <c r="H177" i="15"/>
  <c r="H132" i="10"/>
  <c r="J132" i="9"/>
  <c r="H166" i="18"/>
  <c r="J166" i="17"/>
  <c r="H167" i="18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9" i="21" l="1"/>
  <c r="E9" i="22"/>
  <c r="G9" i="22" s="1"/>
  <c r="E28" i="28"/>
  <c r="G28" i="28" s="1"/>
  <c r="H28" i="28" s="1"/>
  <c r="G79" i="28"/>
  <c r="G80" i="28" s="1"/>
  <c r="E15" i="29"/>
  <c r="H15" i="28"/>
  <c r="H135" i="10"/>
  <c r="J135" i="9"/>
  <c r="G101" i="21"/>
  <c r="H101" i="21" s="1"/>
  <c r="G103" i="21"/>
  <c r="H103" i="21" s="1"/>
  <c r="G99" i="21"/>
  <c r="H99" i="21" s="1"/>
  <c r="G95" i="21"/>
  <c r="H95" i="21" s="1"/>
  <c r="G105" i="21"/>
  <c r="H105" i="21" s="1"/>
  <c r="G97" i="21"/>
  <c r="H97" i="21" s="1"/>
  <c r="I59" i="21"/>
  <c r="E7" i="22"/>
  <c r="H7" i="21"/>
  <c r="E8" i="23"/>
  <c r="H27" i="22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67" i="18"/>
  <c r="J128" i="10"/>
  <c r="H128" i="11"/>
  <c r="H166" i="19"/>
  <c r="J166" i="18"/>
  <c r="H168" i="19"/>
  <c r="J168" i="18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H9" i="22" l="1"/>
  <c r="G15" i="29"/>
  <c r="H79" i="28"/>
  <c r="H135" i="11"/>
  <c r="J135" i="10"/>
  <c r="G8" i="23"/>
  <c r="E27" i="23" s="1"/>
  <c r="G27" i="23" s="1"/>
  <c r="G32" i="23" s="1"/>
  <c r="H32" i="23" s="1"/>
  <c r="G7" i="22"/>
  <c r="H7" i="22" s="1"/>
  <c r="E9" i="23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H168" i="20"/>
  <c r="J168" i="19"/>
  <c r="H177" i="17"/>
  <c r="J177" i="16"/>
  <c r="J166" i="19"/>
  <c r="H166" i="20"/>
  <c r="H167" i="20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G79" i="29" l="1"/>
  <c r="G80" i="29" s="1"/>
  <c r="E28" i="29"/>
  <c r="G28" i="29" s="1"/>
  <c r="H28" i="29" s="1"/>
  <c r="E15" i="30"/>
  <c r="H15" i="29"/>
  <c r="H135" i="22"/>
  <c r="H135" i="23"/>
  <c r="H135" i="18"/>
  <c r="H135" i="19"/>
  <c r="H135" i="24"/>
  <c r="H135" i="30" s="1"/>
  <c r="H135" i="20"/>
  <c r="H135" i="16"/>
  <c r="H135" i="13"/>
  <c r="H135" i="14" s="1"/>
  <c r="J135" i="14" s="1"/>
  <c r="H135" i="12"/>
  <c r="J135" i="12" s="1"/>
  <c r="H135" i="17"/>
  <c r="J135" i="11"/>
  <c r="G9" i="23"/>
  <c r="H9" i="23" s="1"/>
  <c r="E8" i="24"/>
  <c r="G97" i="22"/>
  <c r="H97" i="22" s="1"/>
  <c r="G95" i="22"/>
  <c r="H95" i="22" s="1"/>
  <c r="G103" i="22"/>
  <c r="H103" i="22" s="1"/>
  <c r="G101" i="22"/>
  <c r="H101" i="22" s="1"/>
  <c r="G105" i="22"/>
  <c r="H105" i="22" s="1"/>
  <c r="G99" i="22"/>
  <c r="H99" i="22" s="1"/>
  <c r="I59" i="22"/>
  <c r="E7" i="23"/>
  <c r="H27" i="23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J167" i="20"/>
  <c r="H167" i="21"/>
  <c r="J168" i="20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J166" i="20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G15" i="30" l="1"/>
  <c r="H79" i="29"/>
  <c r="H135" i="43"/>
  <c r="H135" i="40"/>
  <c r="H135" i="27"/>
  <c r="H135" i="29"/>
  <c r="H135" i="25"/>
  <c r="H135" i="31"/>
  <c r="H135" i="28"/>
  <c r="G7" i="23"/>
  <c r="G8" i="24"/>
  <c r="E27" i="24" s="1"/>
  <c r="G27" i="24" s="1"/>
  <c r="G32" i="24" s="1"/>
  <c r="H32" i="24" s="1"/>
  <c r="E9" i="24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G79" i="30" l="1"/>
  <c r="G80" i="30" s="1"/>
  <c r="E28" i="30"/>
  <c r="G28" i="30" s="1"/>
  <c r="H28" i="30" s="1"/>
  <c r="E15" i="43"/>
  <c r="H15" i="30"/>
  <c r="E8" i="25"/>
  <c r="G103" i="23"/>
  <c r="H103" i="23" s="1"/>
  <c r="G99" i="23"/>
  <c r="H99" i="23" s="1"/>
  <c r="G97" i="23"/>
  <c r="H97" i="23" s="1"/>
  <c r="G95" i="23"/>
  <c r="H95" i="23" s="1"/>
  <c r="G101" i="23"/>
  <c r="H101" i="23" s="1"/>
  <c r="G105" i="23"/>
  <c r="H105" i="23" s="1"/>
  <c r="I59" i="23"/>
  <c r="H7" i="23"/>
  <c r="E7" i="24"/>
  <c r="H27" i="24"/>
  <c r="G9" i="24"/>
  <c r="H9" i="24" s="1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2" i="50"/>
  <c r="J132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F15" i="43" l="1"/>
  <c r="G15" i="43" s="1"/>
  <c r="H79" i="30"/>
  <c r="E9" i="25"/>
  <c r="G7" i="24"/>
  <c r="H7" i="24" s="1"/>
  <c r="G8" i="25"/>
  <c r="E27" i="25" s="1"/>
  <c r="G27" i="25" s="1"/>
  <c r="G32" i="25" s="1"/>
  <c r="H32" i="25" s="1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H187" i="14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H156" i="40" l="1"/>
  <c r="H156" i="27" s="1"/>
  <c r="H156" i="28" s="1"/>
  <c r="J156" i="25"/>
  <c r="E28" i="43"/>
  <c r="G28" i="43" s="1"/>
  <c r="H28" i="43" s="1"/>
  <c r="G79" i="43"/>
  <c r="G80" i="43" s="1"/>
  <c r="E15" i="31"/>
  <c r="F15" i="31" s="1"/>
  <c r="G15" i="31" s="1"/>
  <c r="H15" i="43"/>
  <c r="H27" i="25"/>
  <c r="G9" i="25"/>
  <c r="H9" i="25" s="1"/>
  <c r="G105" i="24"/>
  <c r="H105" i="24" s="1"/>
  <c r="G97" i="24"/>
  <c r="H97" i="24" s="1"/>
  <c r="G103" i="24"/>
  <c r="H103" i="24" s="1"/>
  <c r="G101" i="24"/>
  <c r="H101" i="24" s="1"/>
  <c r="G99" i="24"/>
  <c r="H99" i="24" s="1"/>
  <c r="G95" i="24"/>
  <c r="H95" i="24" s="1"/>
  <c r="I59" i="24"/>
  <c r="E7" i="25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87" i="15"/>
  <c r="J187" i="14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H15" i="31" l="1"/>
  <c r="G79" i="31"/>
  <c r="G80" i="31" s="1"/>
  <c r="E28" i="31"/>
  <c r="G28" i="31" s="1"/>
  <c r="H28" i="31" s="1"/>
  <c r="H79" i="43"/>
  <c r="G7" i="25"/>
  <c r="E9" i="40"/>
  <c r="G8" i="40"/>
  <c r="E27" i="40" s="1"/>
  <c r="G27" i="40" s="1"/>
  <c r="G32" i="40" s="1"/>
  <c r="H32" i="40" s="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87" i="16"/>
  <c r="J187" i="15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H79" i="31" l="1"/>
  <c r="H27" i="40"/>
  <c r="G9" i="40"/>
  <c r="H9" i="40" s="1"/>
  <c r="G105" i="25"/>
  <c r="H105" i="25" s="1"/>
  <c r="G99" i="25"/>
  <c r="H99" i="25" s="1"/>
  <c r="G95" i="25"/>
  <c r="H95" i="25" s="1"/>
  <c r="G103" i="25"/>
  <c r="H103" i="25" s="1"/>
  <c r="G97" i="25"/>
  <c r="H97" i="25" s="1"/>
  <c r="G101" i="25"/>
  <c r="H101" i="25" s="1"/>
  <c r="I59" i="25"/>
  <c r="H7" i="25"/>
  <c r="E7" i="40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87" i="17"/>
  <c r="J187" i="16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G8" i="27" l="1"/>
  <c r="E27" i="27" s="1"/>
  <c r="G27" i="27" s="1"/>
  <c r="G32" i="27" s="1"/>
  <c r="H32" i="27" s="1"/>
  <c r="E8" i="28"/>
  <c r="G7" i="40"/>
  <c r="H7" i="40" s="1"/>
  <c r="E9" i="27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87" i="18"/>
  <c r="J187" i="17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8" l="1"/>
  <c r="E8" i="29"/>
  <c r="G8" i="29" s="1"/>
  <c r="H27" i="27"/>
  <c r="G97" i="40"/>
  <c r="H97" i="40" s="1"/>
  <c r="G95" i="40"/>
  <c r="H95" i="40" s="1"/>
  <c r="G101" i="40"/>
  <c r="H101" i="40" s="1"/>
  <c r="G105" i="40"/>
  <c r="H105" i="40" s="1"/>
  <c r="G103" i="40"/>
  <c r="H103" i="40" s="1"/>
  <c r="G99" i="40"/>
  <c r="H99" i="40" s="1"/>
  <c r="I59" i="40"/>
  <c r="G9" i="27"/>
  <c r="H9" i="27" s="1"/>
  <c r="E7" i="27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7" i="19"/>
  <c r="J187" i="18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3" i="48"/>
  <c r="H4" i="45" s="1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O8" i="29" l="1"/>
  <c r="O10" i="29" s="1"/>
  <c r="O15" i="29"/>
  <c r="E27" i="28"/>
  <c r="G27" i="28" s="1"/>
  <c r="G32" i="28" s="1"/>
  <c r="H32" i="28" s="1"/>
  <c r="E27" i="29"/>
  <c r="G27" i="29" s="1"/>
  <c r="G32" i="29" s="1"/>
  <c r="H32" i="29" s="1"/>
  <c r="H27" i="28"/>
  <c r="G7" i="27"/>
  <c r="E9" i="28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87" i="20"/>
  <c r="J187" i="19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4" i="48"/>
  <c r="E33" i="48" s="1"/>
  <c r="E8" i="30" l="1"/>
  <c r="G8" i="30" s="1"/>
  <c r="E27" i="30" s="1"/>
  <c r="G27" i="30" s="1"/>
  <c r="G32" i="30" s="1"/>
  <c r="H32" i="30" s="1"/>
  <c r="H27" i="29"/>
  <c r="G9" i="28"/>
  <c r="H9" i="28" s="1"/>
  <c r="G101" i="27"/>
  <c r="H101" i="27" s="1"/>
  <c r="G105" i="27"/>
  <c r="H105" i="27" s="1"/>
  <c r="G103" i="27"/>
  <c r="H103" i="27" s="1"/>
  <c r="G99" i="27"/>
  <c r="H99" i="27" s="1"/>
  <c r="G97" i="27"/>
  <c r="H97" i="27" s="1"/>
  <c r="G95" i="27"/>
  <c r="H95" i="27" s="1"/>
  <c r="I59" i="27"/>
  <c r="H7" i="27"/>
  <c r="H156" i="43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87" i="21"/>
  <c r="J187" i="20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E8" i="43" l="1"/>
  <c r="H27" i="30"/>
  <c r="G7" i="28"/>
  <c r="O9" i="28" s="1"/>
  <c r="H155" i="31"/>
  <c r="J155" i="31" s="1"/>
  <c r="J155" i="43"/>
  <c r="H156" i="31"/>
  <c r="J156" i="31" s="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87" i="22"/>
  <c r="J187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F8" i="43" l="1"/>
  <c r="E8" i="31" s="1"/>
  <c r="G105" i="28"/>
  <c r="H105" i="28" s="1"/>
  <c r="G103" i="28"/>
  <c r="H103" i="28" s="1"/>
  <c r="G101" i="28"/>
  <c r="H101" i="28" s="1"/>
  <c r="G97" i="28"/>
  <c r="H97" i="28" s="1"/>
  <c r="G95" i="28"/>
  <c r="H95" i="28" s="1"/>
  <c r="G99" i="28"/>
  <c r="H99" i="28" s="1"/>
  <c r="I59" i="28"/>
  <c r="E7" i="29"/>
  <c r="G7" i="29" s="1"/>
  <c r="O12" i="29" s="1"/>
  <c r="G9" i="29"/>
  <c r="H9" i="29" s="1"/>
  <c r="H7" i="28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87" i="23"/>
  <c r="J187" i="22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G8" i="43" l="1"/>
  <c r="E27" i="43" s="1"/>
  <c r="G27" i="43" s="1"/>
  <c r="G32" i="43" s="1"/>
  <c r="H32" i="43" s="1"/>
  <c r="E8" i="50"/>
  <c r="G8" i="50" s="1"/>
  <c r="E27" i="50" s="1"/>
  <c r="G27" i="50" s="1"/>
  <c r="G32" i="50" s="1"/>
  <c r="F8" i="31"/>
  <c r="G8" i="31" s="1"/>
  <c r="E27" i="31" s="1"/>
  <c r="G27" i="31" s="1"/>
  <c r="G32" i="31" s="1"/>
  <c r="E9" i="30"/>
  <c r="H7" i="29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87" i="24"/>
  <c r="J187" i="23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27" i="43" l="1"/>
  <c r="H27" i="31" s="1"/>
  <c r="H32" i="31"/>
  <c r="G9" i="30"/>
  <c r="H9" i="30" s="1"/>
  <c r="G99" i="29"/>
  <c r="H99" i="29" s="1"/>
  <c r="G95" i="29"/>
  <c r="H95" i="29" s="1"/>
  <c r="G97" i="29"/>
  <c r="H97" i="29" s="1"/>
  <c r="G101" i="29"/>
  <c r="H101" i="29" s="1"/>
  <c r="G105" i="29"/>
  <c r="H105" i="29" s="1"/>
  <c r="G103" i="29"/>
  <c r="H103" i="29" s="1"/>
  <c r="I59" i="29"/>
  <c r="E7" i="30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0" i="50"/>
  <c r="J120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7" i="25"/>
  <c r="J187" i="24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E9" i="43" l="1"/>
  <c r="F9" i="43" s="1"/>
  <c r="G9" i="43" s="1"/>
  <c r="H9" i="43" s="1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87" i="40"/>
  <c r="J187" i="25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E9" i="31" l="1"/>
  <c r="F9" i="31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F7" i="43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87" i="27"/>
  <c r="J187" i="40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G9" i="31" l="1"/>
  <c r="H9" i="31" s="1"/>
  <c r="E7" i="3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87" i="28"/>
  <c r="J187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AB25" i="49" l="1"/>
  <c r="N7" i="31"/>
  <c r="G7" i="31"/>
  <c r="G7" i="43"/>
  <c r="E7" i="50"/>
  <c r="G7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J165" i="30"/>
  <c r="H187" i="29"/>
  <c r="J187" i="28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AC36" i="44" l="1"/>
  <c r="AC37" i="44"/>
  <c r="G103" i="50"/>
  <c r="G97" i="50"/>
  <c r="G99" i="50"/>
  <c r="G105" i="50"/>
  <c r="G95" i="50"/>
  <c r="G101" i="50"/>
  <c r="I59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79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8" i="50"/>
  <c r="J128" i="50" s="1"/>
  <c r="H178" i="31"/>
  <c r="J178" i="31" s="1"/>
  <c r="J178" i="43"/>
  <c r="H121" i="50"/>
  <c r="J121" i="50" s="1"/>
  <c r="H181" i="43"/>
  <c r="J181" i="30"/>
  <c r="H173" i="31"/>
  <c r="J173" i="31" s="1"/>
  <c r="J173" i="43"/>
  <c r="H116" i="50"/>
  <c r="J116" i="50" s="1"/>
  <c r="H186" i="43"/>
  <c r="J186" i="30"/>
  <c r="J180" i="43"/>
  <c r="H180" i="31"/>
  <c r="J180" i="31" s="1"/>
  <c r="H123" i="50"/>
  <c r="J123" i="50" s="1"/>
  <c r="H176" i="30"/>
  <c r="J176" i="29"/>
  <c r="J183" i="43"/>
  <c r="H183" i="31"/>
  <c r="J183" i="31" s="1"/>
  <c r="J174" i="43"/>
  <c r="H174" i="31"/>
  <c r="J174" i="31" s="1"/>
  <c r="H117" i="50"/>
  <c r="J117" i="50" s="1"/>
  <c r="J179" i="43"/>
  <c r="H179" i="31"/>
  <c r="J179" i="31" s="1"/>
  <c r="H122" i="50"/>
  <c r="J122" i="50" s="1"/>
  <c r="J184" i="43"/>
  <c r="H184" i="31"/>
  <c r="J184" i="31" s="1"/>
  <c r="H127" i="50"/>
  <c r="J127" i="50" s="1"/>
  <c r="H175" i="43"/>
  <c r="J175" i="30"/>
  <c r="H188" i="30"/>
  <c r="J188" i="29"/>
  <c r="J162" i="43"/>
  <c r="H162" i="31"/>
  <c r="J162" i="31" s="1"/>
  <c r="H187" i="30"/>
  <c r="J187" i="29"/>
  <c r="J164" i="43"/>
  <c r="H164" i="31"/>
  <c r="H163" i="43"/>
  <c r="J163" i="30"/>
  <c r="H161" i="31"/>
  <c r="J161" i="31" s="1"/>
  <c r="J161" i="43"/>
  <c r="H165" i="31"/>
  <c r="J165" i="31" s="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101" i="31" l="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8" i="50"/>
  <c r="J118" i="50" s="1"/>
  <c r="H181" i="31"/>
  <c r="J181" i="31" s="1"/>
  <c r="J181" i="43"/>
  <c r="J186" i="43"/>
  <c r="H186" i="31"/>
  <c r="J186" i="31" s="1"/>
  <c r="H129" i="50"/>
  <c r="J129" i="50" s="1"/>
  <c r="H163" i="31"/>
  <c r="J163" i="31" s="1"/>
  <c r="J163" i="43"/>
  <c r="H187" i="43"/>
  <c r="J187" i="30"/>
  <c r="H188" i="43"/>
  <c r="J188" i="30"/>
  <c r="J113" i="43"/>
  <c r="H113" i="31"/>
  <c r="J113" i="31" s="1"/>
  <c r="AN10" i="49"/>
  <c r="AE10" i="49"/>
  <c r="Y13" i="44"/>
  <c r="X10" i="49" s="1"/>
  <c r="AD10" i="49"/>
  <c r="AD36" i="44" l="1"/>
  <c r="AD37" i="44"/>
  <c r="AU36" i="44"/>
  <c r="AU37" i="44"/>
  <c r="AC32" i="49"/>
  <c r="H176" i="31"/>
  <c r="J176" i="31" s="1"/>
  <c r="J176" i="43"/>
  <c r="H119" i="50"/>
  <c r="J119" i="50" s="1"/>
  <c r="H188" i="31"/>
  <c r="J188" i="31" s="1"/>
  <c r="J188" i="43"/>
  <c r="H131" i="50"/>
  <c r="J131" i="50" s="1"/>
  <c r="J187" i="43"/>
  <c r="H187" i="31"/>
  <c r="J187" i="31" s="1"/>
  <c r="H130" i="50"/>
  <c r="J130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AT10" i="49" l="1"/>
  <c r="BB10" i="49"/>
  <c r="AS10" i="49"/>
  <c r="BA10" i="49"/>
  <c r="C9" i="44" l="1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J7" i="48" l="1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N34" i="1" l="1"/>
  <c r="G32" i="47"/>
  <c r="AT35" i="44"/>
  <c r="AT32" i="49"/>
  <c r="BB32" i="49"/>
  <c r="AS32" i="49"/>
  <c r="BA32" i="49"/>
  <c r="AI25" i="45" l="1"/>
  <c r="AI27" i="45"/>
  <c r="AD20" i="49" l="1"/>
  <c r="L15" i="44" l="1"/>
  <c r="K12" i="49" s="1"/>
  <c r="Y15" i="44"/>
  <c r="X12" i="49" s="1"/>
  <c r="AX7" i="49" l="1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AU17" i="49" l="1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" i="1" l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BA16" i="44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AZ11" i="44"/>
  <c r="BH7" i="49"/>
  <c r="AZ10" i="44"/>
  <c r="E2" i="49"/>
  <c r="F3" i="49"/>
  <c r="AZ36" i="1"/>
  <c r="AZ21" i="1"/>
  <c r="H33" i="1"/>
  <c r="J33" i="1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BM5" i="49" s="1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BM4" i="49" s="1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AY37" i="44" l="1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BM6" i="49" s="1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O9" i="1" l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G8" i="49"/>
  <c r="AT11" i="44"/>
  <c r="BM8" i="49" s="1"/>
  <c r="G7" i="47"/>
  <c r="N9" i="1"/>
  <c r="G8" i="47"/>
  <c r="N10" i="1"/>
  <c r="E9" i="47"/>
  <c r="K11" i="1"/>
  <c r="BK11" i="1"/>
  <c r="BM11" i="1"/>
  <c r="BL11" i="1"/>
  <c r="G12" i="1"/>
  <c r="BC12" i="44" l="1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BM10" i="49" s="1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9" i="49" l="1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G11" i="47"/>
  <c r="AN15" i="44"/>
  <c r="AT15" i="44" s="1"/>
  <c r="BM12" i="49" s="1"/>
  <c r="L14" i="1"/>
  <c r="G12" i="47" s="1"/>
  <c r="E19" i="47"/>
  <c r="BM21" i="1"/>
  <c r="K21" i="1"/>
  <c r="BL21" i="1"/>
  <c r="BK21" i="1"/>
  <c r="BM11" i="49" l="1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G19" i="1"/>
  <c r="B20" i="44"/>
  <c r="BC20" i="44" s="1"/>
  <c r="G14" i="47"/>
  <c r="N16" i="1"/>
  <c r="BG14" i="49"/>
  <c r="AT17" i="44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BA17" i="44"/>
  <c r="AT18" i="44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G21" i="1"/>
  <c r="B22" i="44"/>
  <c r="BC22" i="44" s="1"/>
  <c r="L18" i="1"/>
  <c r="G16" i="47" s="1"/>
  <c r="BM15" i="49"/>
  <c r="BA18" i="44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G17" i="49"/>
  <c r="N19" i="1"/>
  <c r="G17" i="47"/>
  <c r="BA19" i="44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A20" i="44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A21" i="44"/>
  <c r="BM18" i="49"/>
  <c r="N21" i="1"/>
  <c r="G19" i="47"/>
  <c r="BG19" i="49"/>
  <c r="AT22" i="44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G20" i="49"/>
  <c r="BM19" i="49"/>
  <c r="BA22" i="44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G21" i="49"/>
  <c r="BA23" i="44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A24" i="44"/>
  <c r="BM21" i="49"/>
  <c r="BG22" i="49"/>
  <c r="AT25" i="44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G23" i="49"/>
  <c r="BA25" i="44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A26" i="44"/>
  <c r="BM23" i="49"/>
  <c r="BG24" i="49"/>
  <c r="AT27" i="44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A27" i="44"/>
  <c r="BM24" i="49"/>
  <c r="BG25" i="49"/>
  <c r="AT28" i="44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G26" i="49"/>
  <c r="G26" i="47"/>
  <c r="N28" i="1"/>
  <c r="BA28" i="44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N29" i="1"/>
  <c r="G27" i="47"/>
  <c r="BA29" i="44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A30" i="44"/>
  <c r="BM27" i="49"/>
  <c r="AT31" i="44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5" i="50"/>
  <c r="J85" i="50" s="1"/>
  <c r="Q30" i="1"/>
  <c r="BN30" i="1" s="1"/>
  <c r="O31" i="1"/>
  <c r="E33" i="44"/>
  <c r="O32" i="1"/>
  <c r="I30" i="47" s="1"/>
  <c r="AT32" i="44"/>
  <c r="BG29" i="49"/>
  <c r="L32" i="1"/>
  <c r="D33" i="44"/>
  <c r="AN33" i="44"/>
  <c r="BM28" i="49"/>
  <c r="BA31" i="44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A32" i="44"/>
  <c r="BM29" i="49"/>
  <c r="D34" i="44"/>
  <c r="D36" i="44" s="1"/>
  <c r="L33" i="1"/>
  <c r="AN34" i="44"/>
  <c r="AN37" i="44" s="1"/>
  <c r="N32" i="1"/>
  <c r="G30" i="47"/>
  <c r="BG30" i="49"/>
  <c r="AT33" i="44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0" i="50"/>
  <c r="J90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2" i="50"/>
  <c r="J92" i="50" s="1"/>
  <c r="J92" i="2"/>
  <c r="H83" i="50"/>
  <c r="J83" i="50" s="1"/>
  <c r="BN32" i="1"/>
  <c r="M30" i="47"/>
  <c r="O33" i="1"/>
  <c r="I31" i="47" s="1"/>
  <c r="E34" i="44"/>
  <c r="N33" i="1"/>
  <c r="N35" i="1" s="1"/>
  <c r="G31" i="47"/>
  <c r="L35" i="1"/>
  <c r="BA33" i="44"/>
  <c r="BM30" i="49"/>
  <c r="AT34" i="44"/>
  <c r="AT36" i="44" s="1"/>
  <c r="BG31" i="49"/>
  <c r="BG35" i="1"/>
  <c r="BO35" i="1" s="1"/>
  <c r="BP35" i="1" s="1"/>
  <c r="AT37" i="44" l="1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7" i="50"/>
  <c r="J87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89" i="50"/>
  <c r="J89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2" i="50"/>
  <c r="J102" i="50" s="1"/>
  <c r="H94" i="50"/>
  <c r="J94" i="50" s="1"/>
  <c r="J74" i="2"/>
  <c r="H88" i="50"/>
  <c r="J88" i="50" s="1"/>
  <c r="H84" i="50"/>
  <c r="J84" i="50" s="1"/>
  <c r="J83" i="2"/>
  <c r="H96" i="50"/>
  <c r="J96" i="50" s="1"/>
  <c r="H82" i="50"/>
  <c r="J82" i="50" s="1"/>
  <c r="H77" i="50"/>
  <c r="J77" i="50" s="1"/>
  <c r="H78" i="50"/>
  <c r="J78" i="50" s="1"/>
  <c r="H74" i="50"/>
  <c r="J74" i="50" s="1"/>
  <c r="H76" i="50"/>
  <c r="J76" i="50" s="1"/>
  <c r="H62" i="50"/>
  <c r="J62" i="50" s="1"/>
  <c r="H75" i="50"/>
  <c r="J75" i="50" s="1"/>
  <c r="AH6" i="45"/>
  <c r="AH24" i="45" s="1"/>
  <c r="BD32" i="49" s="1"/>
  <c r="R33" i="1"/>
  <c r="Q33" i="1"/>
  <c r="BA34" i="44"/>
  <c r="BA36" i="44" s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1" i="50"/>
  <c r="J91" i="50" s="1"/>
  <c r="H98" i="50"/>
  <c r="J98" i="50" s="1"/>
  <c r="H100" i="50"/>
  <c r="J100" i="50" s="1"/>
  <c r="J94" i="2"/>
  <c r="H104" i="50"/>
  <c r="J104" i="50" s="1"/>
  <c r="H86" i="50"/>
  <c r="J86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3" i="50"/>
  <c r="J63" i="50" s="1"/>
  <c r="J71" i="2"/>
  <c r="H71" i="50"/>
  <c r="J71" i="50" s="1"/>
  <c r="H65" i="50"/>
  <c r="J65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7" i="50"/>
  <c r="J67" i="50" s="1"/>
  <c r="H69" i="50"/>
  <c r="J69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1" i="50"/>
  <c r="J101" i="50" s="1"/>
  <c r="H95" i="50"/>
  <c r="J95" i="50" s="1"/>
  <c r="H105" i="50"/>
  <c r="J105" i="50" s="1"/>
  <c r="H97" i="50"/>
  <c r="J97" i="50" s="1"/>
  <c r="H103" i="50"/>
  <c r="J103" i="50" s="1"/>
  <c r="H99" i="50"/>
  <c r="J99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4" i="50"/>
  <c r="J64" i="50" s="1"/>
  <c r="J70" i="2"/>
  <c r="H70" i="50"/>
  <c r="J70" i="50" s="1"/>
  <c r="H68" i="50"/>
  <c r="J68" i="50" s="1"/>
  <c r="H66" i="50"/>
  <c r="J66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5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8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E11" i="50"/>
  <c r="G11" i="50" s="1"/>
  <c r="G12" i="8"/>
  <c r="G11" i="40"/>
  <c r="G11" i="10"/>
  <c r="G11" i="18"/>
  <c r="G12" i="25"/>
  <c r="G11" i="28"/>
  <c r="G12" i="11"/>
  <c r="G11" i="13"/>
  <c r="G12" i="21"/>
  <c r="G12" i="23"/>
  <c r="G11" i="19"/>
  <c r="G12" i="22"/>
  <c r="G12" i="19"/>
  <c r="E12" i="50"/>
  <c r="G12" i="50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3" i="20" s="1"/>
  <c r="G12" i="15"/>
  <c r="G11" i="22"/>
  <c r="G12" i="40"/>
  <c r="G11" i="7"/>
  <c r="G12" i="9"/>
  <c r="G12" i="14"/>
  <c r="G12" i="7"/>
  <c r="G13" i="22" l="1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2" i="31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H11" i="19" s="1"/>
  <c r="H11" i="20" s="1"/>
  <c r="H11" i="21" s="1"/>
  <c r="H11" i="22" s="1"/>
  <c r="H11" i="23" s="1"/>
  <c r="H11" i="24" s="1"/>
  <c r="H11" i="25" s="1"/>
  <c r="H11" i="40" s="1"/>
  <c r="H11" i="27" s="1"/>
  <c r="H11" i="28" s="1"/>
  <c r="H11" i="29" s="1"/>
  <c r="H11" i="30" s="1"/>
  <c r="H11" i="43" s="1"/>
  <c r="H11" i="31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3" i="50"/>
  <c r="G13" i="29"/>
  <c r="G13" i="43"/>
  <c r="G13" i="10"/>
  <c r="G13" i="16"/>
  <c r="G13" i="19"/>
  <c r="G13" i="28"/>
  <c r="G13" i="9"/>
  <c r="G13" i="21"/>
  <c r="G13" i="27"/>
  <c r="G13" i="33"/>
  <c r="H13" i="33" s="1"/>
  <c r="H13" i="7" l="1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3" i="50"/>
  <c r="I60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1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11" i="20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11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1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1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1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11" i="25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1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1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1" i="28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1" i="29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1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I9" i="50" s="1"/>
  <c r="J12" i="43"/>
  <c r="J9" i="43"/>
  <c r="J11" i="43"/>
  <c r="J11" i="31"/>
  <c r="H10" i="50"/>
  <c r="J10" i="50" s="1"/>
  <c r="J10" i="43"/>
  <c r="J9" i="31"/>
  <c r="H9" i="50"/>
  <c r="J9" i="50" s="1"/>
  <c r="H11" i="50"/>
  <c r="J11" i="50" s="1"/>
  <c r="H12" i="50"/>
  <c r="J12" i="50" s="1"/>
  <c r="J10" i="31"/>
  <c r="J12" i="31"/>
  <c r="J15" i="43"/>
  <c r="I16" i="43" s="1"/>
  <c r="J15" i="31"/>
  <c r="I16" i="31" s="1"/>
  <c r="H15" i="50"/>
  <c r="J15" i="50" s="1"/>
  <c r="I16" i="50" s="1"/>
  <c r="J18" i="31"/>
  <c r="J18" i="43"/>
  <c r="J20" i="43"/>
  <c r="I20" i="43" s="1"/>
  <c r="H18" i="50"/>
  <c r="J18" i="50" s="1"/>
  <c r="J19" i="43"/>
  <c r="H19" i="50"/>
  <c r="J19" i="50" s="1"/>
  <c r="J19" i="31"/>
  <c r="H20" i="50"/>
  <c r="J20" i="50" s="1"/>
  <c r="I20" i="50" s="1"/>
  <c r="J20" i="31"/>
  <c r="I20" i="31" s="1"/>
  <c r="J22" i="43"/>
  <c r="J24" i="43"/>
  <c r="H23" i="50"/>
  <c r="J23" i="50" s="1"/>
  <c r="J23" i="43"/>
  <c r="J24" i="31"/>
  <c r="H22" i="50"/>
  <c r="J22" i="50" s="1"/>
  <c r="J22" i="31"/>
  <c r="J23" i="31"/>
  <c r="H24" i="50"/>
  <c r="J24" i="50" s="1"/>
  <c r="J27" i="43"/>
  <c r="J28" i="43"/>
  <c r="H28" i="50"/>
  <c r="J28" i="50" s="1"/>
  <c r="J32" i="31"/>
  <c r="J32" i="43"/>
  <c r="J31" i="43"/>
  <c r="J30" i="43"/>
  <c r="J30" i="31"/>
  <c r="J31" i="31"/>
  <c r="H30" i="50"/>
  <c r="J30" i="50" s="1"/>
  <c r="J29" i="43"/>
  <c r="J29" i="31"/>
  <c r="H29" i="50"/>
  <c r="J29" i="50" s="1"/>
  <c r="H27" i="50"/>
  <c r="J27" i="50" s="1"/>
  <c r="J27" i="31"/>
  <c r="H32" i="50"/>
  <c r="J32" i="50" s="1"/>
  <c r="H31" i="50"/>
  <c r="J31" i="50" s="1"/>
  <c r="J28" i="31"/>
  <c r="J42" i="43"/>
  <c r="J41" i="43"/>
  <c r="J35" i="43"/>
  <c r="J40" i="43"/>
  <c r="J43" i="43"/>
  <c r="J41" i="31"/>
  <c r="J44" i="43"/>
  <c r="H40" i="50"/>
  <c r="J40" i="50" s="1"/>
  <c r="J45" i="43"/>
  <c r="J39" i="43"/>
  <c r="J36" i="43"/>
  <c r="J38" i="43"/>
  <c r="J47" i="31"/>
  <c r="J47" i="43"/>
  <c r="H36" i="50"/>
  <c r="J36" i="50" s="1"/>
  <c r="J42" i="31"/>
  <c r="J45" i="31"/>
  <c r="H35" i="50"/>
  <c r="J35" i="50" s="1"/>
  <c r="H45" i="50"/>
  <c r="J45" i="50" s="1"/>
  <c r="J46" i="31"/>
  <c r="J46" i="43"/>
  <c r="H38" i="50"/>
  <c r="J38" i="50" s="1"/>
  <c r="H37" i="50"/>
  <c r="J37" i="50" s="1"/>
  <c r="J37" i="43"/>
  <c r="J37" i="31"/>
  <c r="H46" i="50"/>
  <c r="J46" i="50" s="1"/>
  <c r="J40" i="31"/>
  <c r="J39" i="31"/>
  <c r="H47" i="50"/>
  <c r="J47" i="50" s="1"/>
  <c r="H43" i="50"/>
  <c r="J43" i="50" s="1"/>
  <c r="J35" i="31"/>
  <c r="J44" i="31"/>
  <c r="H41" i="50"/>
  <c r="J41" i="50" s="1"/>
  <c r="J43" i="31"/>
  <c r="H39" i="50"/>
  <c r="J39" i="50" s="1"/>
  <c r="J38" i="31"/>
  <c r="H42" i="50"/>
  <c r="J42" i="50" s="1"/>
  <c r="H44" i="50"/>
  <c r="J44" i="50" s="1"/>
  <c r="J36" i="31"/>
  <c r="J58" i="43"/>
  <c r="J59" i="43"/>
  <c r="H59" i="50"/>
  <c r="J59" i="50" s="1"/>
  <c r="J49" i="43"/>
  <c r="J54" i="43"/>
  <c r="H49" i="50"/>
  <c r="J49" i="50" s="1"/>
  <c r="H58" i="50"/>
  <c r="J58" i="50" s="1"/>
  <c r="J50" i="43"/>
  <c r="J49" i="31"/>
  <c r="H56" i="50"/>
  <c r="J56" i="50" s="1"/>
  <c r="J56" i="43"/>
  <c r="J60" i="43"/>
  <c r="H50" i="50"/>
  <c r="J50" i="50" s="1"/>
  <c r="J53" i="43"/>
  <c r="H53" i="50"/>
  <c r="J53" i="50" s="1"/>
  <c r="J55" i="43"/>
  <c r="J57" i="43"/>
  <c r="H54" i="50"/>
  <c r="J54" i="50" s="1"/>
  <c r="J56" i="31"/>
  <c r="J54" i="31"/>
  <c r="J52" i="43"/>
  <c r="J53" i="31"/>
  <c r="H55" i="50"/>
  <c r="J55" i="50" s="1"/>
  <c r="J51" i="31"/>
  <c r="J51" i="43"/>
  <c r="H52" i="50"/>
  <c r="J52" i="50" s="1"/>
  <c r="J50" i="31"/>
  <c r="J52" i="31"/>
  <c r="H60" i="50"/>
  <c r="J60" i="50" s="1"/>
  <c r="H57" i="50"/>
  <c r="J57" i="50" s="1"/>
  <c r="J57" i="31"/>
  <c r="H51" i="50"/>
  <c r="J51" i="50" s="1"/>
  <c r="J58" i="31"/>
  <c r="J55" i="31"/>
  <c r="J60" i="31"/>
  <c r="J59" i="31"/>
  <c r="J8" i="12"/>
  <c r="H8" i="13"/>
  <c r="H8" i="14" s="1"/>
  <c r="H13" i="28" l="1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3" i="31" l="1"/>
  <c r="J13" i="31" s="1"/>
  <c r="H13" i="50"/>
  <c r="J13" i="50" s="1"/>
  <c r="J13" i="29"/>
  <c r="J13" i="28"/>
  <c r="J13" i="30"/>
  <c r="H8" i="16"/>
  <c r="J8" i="15"/>
  <c r="J8" i="16" l="1"/>
  <c r="H8" i="17"/>
  <c r="J8" i="17" l="1"/>
  <c r="H8" i="18"/>
  <c r="H8" i="19" l="1"/>
  <c r="J8" i="18"/>
  <c r="J8" i="19" l="1"/>
  <c r="H8" i="20"/>
  <c r="H8" i="21" l="1"/>
  <c r="J8" i="20"/>
  <c r="H8" i="22" l="1"/>
  <c r="J8" i="21"/>
  <c r="H8" i="23" l="1"/>
  <c r="J8" i="22"/>
  <c r="J8" i="23" l="1"/>
  <c r="H8" i="24"/>
  <c r="J8" i="24" l="1"/>
  <c r="H8" i="25"/>
  <c r="J8" i="25" l="1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<sst xmlns="http://schemas.openxmlformats.org/spreadsheetml/2006/main" count="10769" uniqueCount="371">
  <si>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</si>
  <si>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</si>
  <si>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</si>
  <si>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</si>
  <si>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</si>
  <si>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</si>
  <si>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</si>
  <si>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</si>
  <si>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</si>
  <si>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</si>
  <si>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</si>
  <si>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</si>
  <si>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</si>
  <si>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</si>
  <si>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</si>
  <si>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</si>
  <si>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</si>
  <si>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</si>
  <si>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</si>
  <si>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</si>
  <si>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</si>
  <si>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</si>
  <si>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</si>
  <si>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</si>
  <si>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</si>
  <si>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</si>
  <si>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</si>
  <si>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</si>
  <si>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</si>
  <si>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</si>
  <si>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</si>
  <si>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</si>
  <si>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</si>
  <si>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</si>
  <si>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</si>
  <si>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</si>
  <si>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</si>
  <si>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</si>
  <si>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</si>
  <si>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</si>
  <si>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</si>
  <si>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</si>
  <si>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</si>
  <si>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</si>
  <si>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</si>
  <si>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</si>
  <si>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</si>
  <si>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</si>
  <si>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</si>
  <si>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</si>
  <si>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</si>
  <si>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</si>
  <si>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</si>
  <si>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</si>
  <si>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</si>
  <si>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</si>
  <si>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</si>
  <si>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</si>
  <si>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</si>
  <si>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</si>
  <si>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</si>
  <si>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</si>
  <si>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</si>
  <si>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</si>
  <si>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</si>
  <si>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</si>
  <si>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</si>
  <si>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</si>
  <si>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</si>
  <si>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</si>
  <si>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</si>
  <si>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</si>
  <si>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</si>
  <si>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</si>
  <si>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</si>
  <si>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</si>
  <si>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</si>
  <si>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</si>
  <si>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</si>
  <si>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</si>
  <si>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</si>
  <si>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</si>
  <si>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</si>
  <si>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</si>
  <si>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</si>
  <si>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</si>
  <si>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</si>
  <si>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</si>
  <si>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</si>
  <si>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</si>
  <si>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</si>
  <si>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</si>
  <si>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</si>
  <si>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</si>
  <si>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</si>
  <si>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</si>
  <si>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</si>
  <si>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</si>
  <si>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</si>
  <si>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</si>
  <si>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</si>
  <si>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</si>
  <si>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</si>
  <si>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</si>
  <si>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</si>
  <si>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</si>
  <si>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</si>
  <si>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</si>
  <si>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</si>
  <si>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</si>
  <si>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</si>
  <si>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</si>
  <si>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</si>
  <si>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</si>
  <si>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</si>
  <si>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</si>
  <si>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</si>
  <si>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</si>
  <si>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</si>
  <si>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</si>
  <si>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</si>
  <si>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</si>
  <si>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</si>
  <si>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</si>
  <si>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</si>
  <si>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</si>
  <si>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</si>
  <si>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</si>
  <si>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</si>
  <si>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</si>
  <si>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</si>
  <si>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</si>
  <si>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</si>
  <si>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</si>
  <si>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</si>
  <si>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</si>
  <si>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</si>
  <si>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</si>
  <si>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</si>
  <si>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</si>
  <si>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</si>
  <si>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</si>
  <si>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</si>
  <si>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</si>
  <si>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</si>
  <si>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</si>
  <si>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</si>
  <si>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</si>
  <si>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</si>
  <si>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</si>
  <si>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</si>
  <si>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</si>
  <si>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</si>
  <si>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</si>
  <si>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</si>
  <si>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</si>
  <si>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</si>
  <si>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</si>
  <si>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</si>
  <si>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</si>
  <si>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</si>
  <si>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</si>
  <si>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</si>
  <si>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</si>
  <si>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</si>
  <si>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</si>
  <si>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</si>
  <si>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</si>
  <si>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</si>
  <si>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</si>
  <si>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</si>
  <si>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</si>
  <si>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</si>
  <si>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</si>
  <si>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</si>
  <si>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</si>
  <si>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</si>
  <si>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</si>
  <si>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</si>
  <si>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</si>
  <si>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</si>
  <si>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</si>
  <si>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</si>
  <si>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</si>
  <si>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</si>
  <si>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</si>
  <si>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</si>
  <si>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</si>
  <si>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</si>
  <si>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</si>
  <si>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</si>
  <si>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</si>
  <si>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</si>
  <si>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</si>
  <si>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</si>
  <si>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</si>
  <si>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</si>
  <si>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</si>
  <si>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</si>
  <si>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</si>
  <si>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</si>
  <si>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</si>
  <si>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</si>
  <si>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</si>
  <si>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</si>
  <si>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</si>
  <si>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</si>
  <si>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</si>
  <si>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</si>
  <si>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</si>
  <si>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</si>
  <si>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</si>
  <si>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</si>
  <si>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</si>
  <si>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</si>
  <si>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</si>
  <si>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</si>
  <si>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</si>
  <si>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</si>
  <si>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</si>
  <si>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</si>
  <si>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</si>
  <si>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</si>
  <si>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</si>
  <si>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</si>
  <si>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</si>
  <si>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</si>
  <si>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</si>
  <si>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</si>
  <si>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</si>
  <si>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</si>
  <si>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</si>
  <si>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</si>
  <si>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</si>
  <si>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</si>
  <si>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</si>
  <si>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</si>
  <si>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</si>
  <si>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</si>
  <si>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</si>
  <si>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</si>
  <si>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</si>
  <si>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</si>
  <si>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</si>
  <si>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</si>
  <si>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</si>
  <si>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</si>
  <si>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</si>
  <si>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</si>
  <si>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</si>
  <si>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</si>
  <si>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</si>
  <si>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</si>
  <si>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</si>
  <si>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</si>
  <si>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</si>
  <si>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</si>
  <si>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</si>
  <si>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</si>
  <si>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</si>
  <si>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</si>
  <si>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</si>
  <si>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</si>
  <si>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</si>
  <si>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</si>
  <si>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</si>
  <si>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</si>
  <si>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</si>
  <si>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</si>
  <si>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</si>
  <si>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</si>
  <si>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</si>
  <si>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</si>
  <si>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</si>
  <si>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</si>
  <si>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</si>
  <si>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</si>
  <si>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</si>
  <si>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</si>
  <si>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</si>
  <si>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</si>
  <si>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</si>
  <si>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</si>
  <si>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</si>
  <si>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</si>
  <si>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</si>
  <si>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</si>
  <si>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</si>
  <si>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</si>
  <si>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</si>
  <si>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</si>
  <si>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</si>
  <si>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</si>
  <si>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</si>
  <si>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</si>
  <si>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</si>
  <si>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</si>
  <si>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</si>
  <si>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</si>
  <si>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</si>
  <si>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</si>
  <si>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</si>
  <si>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</si>
  <si>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</si>
  <si>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</si>
  <si>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</si>
  <si>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</si>
  <si>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</si>
  <si>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</si>
  <si>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</si>
  <si>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</si>
  <si>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</si>
  <si>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</si>
  <si>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</si>
  <si>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</si>
  <si>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</si>
  <si>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</si>
  <si>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</si>
  <si>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</si>
  <si>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</si>
  <si>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</si>
  <si>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</si>
  <si>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</si>
  <si>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</si>
  <si>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</si>
  <si>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</si>
  <si>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</si>
  <si>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</si>
  <si>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</si>
  <si>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</si>
  <si>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</si>
  <si>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</si>
  <si>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</si>
  <si>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</si>
  <si>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</si>
  <si>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</si>
  <si>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</si>
  <si>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</si>
  <si>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</si>
  <si>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</si>
  <si>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</si>
  <si>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</si>
  <si>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</si>
  <si>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</si>
  <si>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</si>
  <si>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</si>
  <si>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</si>
  <si>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</si>
  <si>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</si>
  <si>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</si>
  <si>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</si>
  <si>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</si>
  <si>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</si>
  <si>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</si>
  <si>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</si>
  <si>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</si>
  <si>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</si>
  <si>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</si>
  <si>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</si>
  <si>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</si>
  <si>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 xml:space="preserve">Prepaired by--- Prakash </t>
  </si>
  <si>
    <t>7th floor</t>
  </si>
  <si>
    <t>Prepaired by---Nilesh</t>
  </si>
  <si>
    <t>Cooling Tower ( L.T. Room )</t>
  </si>
  <si>
    <t xml:space="preserve">Prepaired by--- Nilesh </t>
  </si>
  <si>
    <t>sump pump power panel (WTP)</t>
  </si>
  <si>
    <t>Fire pump power panel (WTP)</t>
  </si>
  <si>
    <t>+</t>
  </si>
  <si>
    <t>Prepaired by--- Devendra</t>
  </si>
  <si>
    <t>Need to check</t>
  </si>
  <si>
    <t>meter need to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</si>
</sst>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_ ;[Red]\-0\ "/>
  </numFmts>
  <fonts count="85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sz val="18"/>
      <name val="Arial Unicode MS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i/>
      <sz val="20"/>
      <name val="Arial"/>
      <family val="2"/>
    </font>
    <font>
      <sz val="16"/>
      <color theme="1"/>
      <name val="Calibri"/>
      <family val="2"/>
      <scheme val="minor"/>
    </font>
    <font>
      <b/>
      <sz val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929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4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4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4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4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8" fontId="43" fillId="8" borderId="1" xfId="5" applyNumberFormat="1" applyFont="1" applyFill="1" applyBorder="1" applyAlignment="1" applyProtection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5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6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7" fontId="32" fillId="8" borderId="16" xfId="3" applyNumberFormat="1" applyFont="1" applyFill="1" applyBorder="1" applyAlignment="1">
      <alignment vertical="center"/>
    </xf>
    <xf numFmtId="167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2" borderId="0" xfId="0" applyFont="1" applyFill="1"/>
    <xf numFmtId="1" fontId="11" fillId="12" borderId="0" xfId="0" applyNumberFormat="1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4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0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0" fillId="9" borderId="1" xfId="3" applyFont="1" applyFill="1" applyBorder="1" applyAlignment="1">
      <alignment horizont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>
      <alignment horizontal="center" vertical="center"/>
    </xf>
    <xf numFmtId="1" fontId="70" fillId="9" borderId="12" xfId="3" applyNumberFormat="1" applyFont="1" applyFill="1" applyBorder="1" applyAlignment="1">
      <alignment horizontal="center" vertical="center"/>
    </xf>
    <xf numFmtId="0" fontId="70" fillId="9" borderId="1" xfId="3" applyFont="1" applyFill="1" applyBorder="1" applyAlignment="1">
      <alignment horizontal="left"/>
    </xf>
    <xf numFmtId="0" fontId="70" fillId="9" borderId="1" xfId="3" applyFont="1" applyFill="1" applyBorder="1" applyAlignment="1"/>
    <xf numFmtId="10" fontId="70" fillId="9" borderId="1" xfId="3" applyNumberFormat="1" applyFont="1" applyFill="1" applyBorder="1" applyAlignment="1">
      <alignment horizontal="center"/>
    </xf>
    <xf numFmtId="1" fontId="70" fillId="9" borderId="1" xfId="3" applyNumberFormat="1" applyFont="1" applyFill="1" applyBorder="1" applyAlignment="1">
      <alignment horizontal="center"/>
    </xf>
    <xf numFmtId="1" fontId="70" fillId="9" borderId="12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left"/>
    </xf>
    <xf numFmtId="2" fontId="70" fillId="9" borderId="1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 vertical="center"/>
    </xf>
    <xf numFmtId="2" fontId="70" fillId="2" borderId="1" xfId="3" applyNumberFormat="1" applyFont="1" applyFill="1" applyBorder="1" applyAlignment="1">
      <alignment horizontal="center" vertical="center"/>
    </xf>
    <xf numFmtId="164" fontId="70" fillId="8" borderId="1" xfId="3" applyNumberFormat="1" applyFont="1" applyFill="1" applyBorder="1" applyAlignment="1">
      <alignment horizontal="center" wrapText="1" shrinkToFit="1"/>
    </xf>
    <xf numFmtId="2" fontId="70" fillId="8" borderId="1" xfId="3" applyNumberFormat="1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164" fontId="70" fillId="8" borderId="12" xfId="3" applyNumberFormat="1" applyFont="1" applyFill="1" applyBorder="1" applyAlignment="1">
      <alignment horizontal="center" wrapText="1" shrinkToFit="1"/>
    </xf>
    <xf numFmtId="0" fontId="70" fillId="12" borderId="1" xfId="3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/>
    </xf>
    <xf numFmtId="0" fontId="70" fillId="12" borderId="12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center"/>
    </xf>
    <xf numFmtId="1" fontId="70" fillId="2" borderId="1" xfId="5" applyNumberFormat="1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/>
    </xf>
    <xf numFmtId="0" fontId="70" fillId="2" borderId="1" xfId="3" applyNumberFormat="1" applyFont="1" applyFill="1" applyBorder="1" applyAlignment="1">
      <alignment horizontal="center"/>
    </xf>
    <xf numFmtId="1" fontId="70" fillId="8" borderId="12" xfId="5" applyNumberFormat="1" applyFont="1" applyFill="1" applyBorder="1" applyAlignment="1" applyProtection="1">
      <alignment horizontal="center"/>
    </xf>
    <xf numFmtId="0" fontId="70" fillId="8" borderId="5" xfId="3" applyFont="1" applyFill="1" applyBorder="1" applyAlignment="1">
      <alignment horizontal="left" vertical="center"/>
    </xf>
    <xf numFmtId="0" fontId="70" fillId="8" borderId="10" xfId="3" applyFont="1" applyFill="1" applyBorder="1" applyAlignment="1">
      <alignment horizontal="left" vertical="center"/>
    </xf>
    <xf numFmtId="0" fontId="70" fillId="8" borderId="7" xfId="3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center"/>
    </xf>
    <xf numFmtId="1" fontId="70" fillId="2" borderId="7" xfId="3" applyNumberFormat="1" applyFont="1" applyFill="1" applyBorder="1" applyAlignment="1">
      <alignment horizontal="center"/>
    </xf>
    <xf numFmtId="167" fontId="70" fillId="8" borderId="1" xfId="3" applyNumberFormat="1" applyFont="1" applyFill="1" applyBorder="1" applyAlignment="1">
      <alignment vertical="center"/>
    </xf>
    <xf numFmtId="0" fontId="70" fillId="0" borderId="1" xfId="4" applyFont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right"/>
    </xf>
    <xf numFmtId="0" fontId="70" fillId="13" borderId="1" xfId="3" applyFont="1" applyFill="1" applyBorder="1" applyAlignment="1">
      <alignment horizontal="center"/>
    </xf>
    <xf numFmtId="2" fontId="70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/>
    </xf>
    <xf numFmtId="0" fontId="70" fillId="2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1" fontId="73" fillId="2" borderId="1" xfId="5" applyNumberFormat="1" applyFont="1" applyFill="1" applyBorder="1" applyAlignment="1">
      <alignment horizontal="center" vertical="center"/>
    </xf>
    <xf numFmtId="0" fontId="70" fillId="2" borderId="1" xfId="3" applyFont="1" applyFill="1" applyBorder="1" applyAlignment="1">
      <alignment horizontal="left" vertical="center"/>
    </xf>
    <xf numFmtId="0" fontId="70" fillId="2" borderId="1" xfId="3" applyFont="1" applyFill="1" applyBorder="1" applyAlignment="1">
      <alignment horizontal="center"/>
    </xf>
    <xf numFmtId="1" fontId="70" fillId="2" borderId="12" xfId="5" applyNumberFormat="1" applyFont="1" applyFill="1" applyBorder="1" applyAlignment="1" applyProtection="1">
      <alignment horizontal="center"/>
    </xf>
    <xf numFmtId="1" fontId="48" fillId="12" borderId="1" xfId="3" applyNumberFormat="1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1" fontId="70" fillId="8" borderId="1" xfId="5" applyNumberFormat="1" applyFont="1" applyFill="1" applyBorder="1" applyAlignment="1">
      <alignment horizontal="center" vertical="center"/>
    </xf>
    <xf numFmtId="0" fontId="70" fillId="0" borderId="1" xfId="4" applyFont="1" applyBorder="1"/>
    <xf numFmtId="0" fontId="74" fillId="8" borderId="1" xfId="3" applyFont="1" applyFill="1" applyBorder="1" applyAlignment="1">
      <alignment horizontal="center"/>
    </xf>
    <xf numFmtId="164" fontId="74" fillId="8" borderId="1" xfId="5" applyNumberFormat="1" applyFont="1" applyFill="1" applyBorder="1" applyAlignment="1">
      <alignment horizontal="center" vertical="center"/>
    </xf>
    <xf numFmtId="1" fontId="70" fillId="2" borderId="1" xfId="5" applyNumberFormat="1" applyFont="1" applyFill="1" applyBorder="1" applyAlignment="1" applyProtection="1">
      <alignment horizontal="center"/>
    </xf>
    <xf numFmtId="0" fontId="70" fillId="13" borderId="1" xfId="3" applyFont="1" applyFill="1" applyBorder="1" applyAlignment="1">
      <alignment horizontal="center" vertical="center"/>
    </xf>
    <xf numFmtId="0" fontId="74" fillId="2" borderId="1" xfId="4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 vertical="center"/>
    </xf>
    <xf numFmtId="1" fontId="70" fillId="12" borderId="1" xfId="3" applyNumberFormat="1" applyFont="1" applyFill="1" applyBorder="1" applyAlignment="1">
      <alignment horizontal="center" vertical="center"/>
    </xf>
    <xf numFmtId="0" fontId="73" fillId="12" borderId="1" xfId="3" applyFont="1" applyFill="1" applyBorder="1" applyAlignment="1">
      <alignment horizontal="center" vertical="center"/>
    </xf>
    <xf numFmtId="1" fontId="70" fillId="12" borderId="12" xfId="3" applyNumberFormat="1" applyFont="1" applyFill="1" applyBorder="1" applyAlignment="1">
      <alignment horizontal="center" vertical="center"/>
    </xf>
    <xf numFmtId="0" fontId="75" fillId="2" borderId="3" xfId="3" applyFont="1" applyFill="1" applyBorder="1" applyAlignment="1">
      <alignment horizontal="center"/>
    </xf>
    <xf numFmtId="0" fontId="75" fillId="2" borderId="4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2" fontId="75" fillId="8" borderId="1" xfId="3" applyNumberFormat="1" applyFont="1" applyFill="1" applyBorder="1" applyAlignment="1">
      <alignment horizontal="center"/>
    </xf>
    <xf numFmtId="164" fontId="48" fillId="8" borderId="1" xfId="3" applyNumberFormat="1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2" fontId="70" fillId="8" borderId="1" xfId="9" applyNumberFormat="1" applyFont="1" applyFill="1" applyBorder="1" applyAlignment="1">
      <alignment horizontal="center"/>
    </xf>
    <xf numFmtId="168" fontId="48" fillId="8" borderId="1" xfId="5" applyNumberFormat="1" applyFont="1" applyFill="1" applyBorder="1" applyAlignment="1" applyProtection="1">
      <alignment horizontal="center" vertical="center"/>
    </xf>
    <xf numFmtId="164" fontId="73" fillId="8" borderId="1" xfId="5" applyNumberFormat="1" applyFont="1" applyFill="1" applyBorder="1" applyAlignment="1" applyProtection="1">
      <alignment horizontal="center"/>
    </xf>
    <xf numFmtId="2" fontId="73" fillId="8" borderId="1" xfId="3" applyNumberFormat="1" applyFont="1" applyFill="1" applyBorder="1" applyAlignment="1">
      <alignment horizontal="right"/>
    </xf>
    <xf numFmtId="0" fontId="75" fillId="13" borderId="3" xfId="3" applyFont="1" applyFill="1" applyBorder="1" applyAlignment="1">
      <alignment horizontal="center"/>
    </xf>
    <xf numFmtId="0" fontId="75" fillId="13" borderId="4" xfId="3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169" fontId="74" fillId="8" borderId="1" xfId="5" applyNumberFormat="1" applyFont="1" applyFill="1" applyBorder="1" applyAlignment="1" applyProtection="1">
      <alignment horizontal="center" vertical="center"/>
    </xf>
    <xf numFmtId="1" fontId="74" fillId="2" borderId="1" xfId="3" applyNumberFormat="1" applyFont="1" applyFill="1" applyBorder="1" applyAlignment="1">
      <alignment horizontal="center" vertical="top"/>
    </xf>
    <xf numFmtId="0" fontId="70" fillId="12" borderId="1" xfId="3" applyFont="1" applyFill="1" applyBorder="1" applyAlignment="1">
      <alignment horizontal="left"/>
    </xf>
    <xf numFmtId="0" fontId="70" fillId="0" borderId="1" xfId="4" applyFont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justify"/>
    </xf>
    <xf numFmtId="0" fontId="70" fillId="17" borderId="1" xfId="3" applyFont="1" applyFill="1" applyBorder="1" applyAlignment="1">
      <alignment horizontal="center"/>
    </xf>
    <xf numFmtId="1" fontId="48" fillId="17" borderId="1" xfId="3" applyNumberFormat="1" applyFont="1" applyFill="1" applyBorder="1" applyAlignment="1">
      <alignment horizontal="center"/>
    </xf>
    <xf numFmtId="0" fontId="70" fillId="17" borderId="12" xfId="3" applyFont="1" applyFill="1" applyBorder="1" applyAlignment="1">
      <alignment horizontal="center"/>
    </xf>
    <xf numFmtId="1" fontId="48" fillId="2" borderId="1" xfId="3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right" wrapText="1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1" fontId="48" fillId="0" borderId="24" xfId="0" applyNumberFormat="1" applyFont="1" applyBorder="1"/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0" fillId="12" borderId="1" xfId="5" applyNumberFormat="1" applyFont="1" applyFill="1" applyBorder="1" applyAlignment="1">
      <alignment horizontal="center"/>
    </xf>
    <xf numFmtId="1" fontId="70" fillId="12" borderId="12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9" fontId="70" fillId="8" borderId="1" xfId="6" applyNumberFormat="1" applyFont="1" applyFill="1" applyBorder="1" applyAlignment="1">
      <alignment horizontal="center"/>
    </xf>
    <xf numFmtId="165" fontId="70" fillId="0" borderId="1" xfId="6" applyNumberFormat="1" applyFont="1" applyFill="1" applyBorder="1" applyAlignment="1"/>
    <xf numFmtId="1" fontId="70" fillId="8" borderId="1" xfId="5" applyNumberFormat="1" applyFont="1" applyFill="1" applyBorder="1" applyAlignment="1">
      <alignment horizontal="right"/>
    </xf>
    <xf numFmtId="0" fontId="70" fillId="8" borderId="6" xfId="3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center"/>
    </xf>
    <xf numFmtId="9" fontId="70" fillId="8" borderId="6" xfId="6" applyNumberFormat="1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right"/>
    </xf>
    <xf numFmtId="1" fontId="70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1" fontId="48" fillId="0" borderId="1" xfId="0" applyNumberFormat="1" applyFont="1" applyBorder="1"/>
    <xf numFmtId="0" fontId="70" fillId="0" borderId="1" xfId="0" applyFont="1" applyBorder="1" applyAlignment="1">
      <alignment horizontal="center"/>
    </xf>
    <xf numFmtId="1" fontId="70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0" borderId="0" xfId="3" applyFont="1" applyFill="1" applyBorder="1" applyAlignment="1">
      <alignment horizontal="center"/>
    </xf>
    <xf numFmtId="0" fontId="73" fillId="0" borderId="1" xfId="0" applyFont="1" applyFill="1" applyBorder="1"/>
    <xf numFmtId="0" fontId="70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0" fillId="0" borderId="1" xfId="3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 vertical="center"/>
    </xf>
    <xf numFmtId="1" fontId="70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4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6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77" fillId="9" borderId="1" xfId="3" applyFont="1" applyFill="1" applyBorder="1" applyAlignment="1">
      <alignment horizontal="center" vertical="center"/>
    </xf>
    <xf numFmtId="2" fontId="77" fillId="9" borderId="1" xfId="3" applyNumberFormat="1" applyFont="1" applyFill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166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7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2" fontId="70" fillId="0" borderId="1" xfId="3" applyNumberFormat="1" applyFont="1" applyFill="1" applyBorder="1" applyAlignment="1">
      <alignment horizontal="right"/>
    </xf>
    <xf numFmtId="1" fontId="70" fillId="0" borderId="1" xfId="5" applyNumberFormat="1" applyFont="1" applyFill="1" applyBorder="1" applyAlignment="1" applyProtection="1">
      <alignment horizontal="center"/>
    </xf>
    <xf numFmtId="2" fontId="73" fillId="0" borderId="1" xfId="3" applyNumberFormat="1" applyFont="1" applyFill="1" applyBorder="1" applyAlignment="1">
      <alignment horizontal="right"/>
    </xf>
    <xf numFmtId="0" fontId="70" fillId="0" borderId="1" xfId="3" applyFont="1" applyFill="1" applyBorder="1" applyAlignment="1">
      <alignment horizontal="center" vertical="center"/>
    </xf>
    <xf numFmtId="0" fontId="70" fillId="0" borderId="0" xfId="4" applyFont="1" applyFill="1" applyBorder="1" applyAlignment="1">
      <alignment horizontal="center"/>
    </xf>
    <xf numFmtId="1" fontId="70" fillId="0" borderId="0" xfId="5" applyNumberFormat="1" applyFont="1" applyFill="1" applyBorder="1" applyAlignment="1">
      <alignment horizontal="center" vertical="center"/>
    </xf>
    <xf numFmtId="1" fontId="70" fillId="0" borderId="0" xfId="3" applyNumberFormat="1" applyFont="1" applyFill="1" applyBorder="1" applyAlignment="1">
      <alignment horizontal="center"/>
    </xf>
    <xf numFmtId="1" fontId="70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0" fontId="70" fillId="9" borderId="1" xfId="3" applyNumberFormat="1" applyFont="1" applyFill="1" applyBorder="1" applyAlignment="1">
      <alignment horizontal="center"/>
    </xf>
    <xf numFmtId="0" fontId="78" fillId="2" borderId="0" xfId="3" applyFont="1" applyFill="1" applyBorder="1" applyAlignment="1">
      <alignment horizontal="center" vertical="center"/>
    </xf>
    <xf numFmtId="164" fontId="78" fillId="2" borderId="0" xfId="3" applyNumberFormat="1" applyFont="1" applyFill="1" applyBorder="1" applyAlignment="1">
      <alignment horizontal="center"/>
    </xf>
    <xf numFmtId="164" fontId="79" fillId="2" borderId="0" xfId="3" applyNumberFormat="1" applyFont="1" applyFill="1" applyBorder="1" applyAlignment="1">
      <alignment horizontal="center" vertical="center" wrapText="1" shrinkToFit="1"/>
    </xf>
    <xf numFmtId="0" fontId="79" fillId="2" borderId="0" xfId="3" applyFont="1" applyFill="1" applyBorder="1" applyAlignment="1">
      <alignment horizontal="center" vertical="center"/>
    </xf>
    <xf numFmtId="2" fontId="70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79" fillId="2" borderId="0" xfId="5" applyNumberFormat="1" applyFont="1" applyFill="1" applyBorder="1" applyAlignment="1" applyProtection="1">
      <alignment horizontal="center"/>
    </xf>
    <xf numFmtId="0" fontId="79" fillId="2" borderId="0" xfId="3" applyFont="1" applyFill="1" applyBorder="1" applyAlignment="1">
      <alignment horizontal="center"/>
    </xf>
    <xf numFmtId="0" fontId="79" fillId="17" borderId="3" xfId="3" applyFont="1" applyFill="1" applyBorder="1" applyAlignment="1">
      <alignment vertical="justify"/>
    </xf>
    <xf numFmtId="0" fontId="79" fillId="17" borderId="21" xfId="3" applyFont="1" applyFill="1" applyBorder="1" applyAlignment="1">
      <alignment vertical="justify"/>
    </xf>
    <xf numFmtId="1" fontId="73" fillId="2" borderId="0" xfId="0" applyNumberFormat="1" applyFont="1" applyFill="1"/>
    <xf numFmtId="1" fontId="73" fillId="0" borderId="0" xfId="0" applyNumberFormat="1" applyFont="1"/>
    <xf numFmtId="164" fontId="79" fillId="2" borderId="0" xfId="5" applyNumberFormat="1" applyFont="1" applyFill="1" applyBorder="1" applyAlignment="1" applyProtection="1">
      <alignment horizontal="center"/>
    </xf>
    <xf numFmtId="0" fontId="70" fillId="0" borderId="0" xfId="0" applyFont="1" applyBorder="1"/>
    <xf numFmtId="0" fontId="70" fillId="0" borderId="0" xfId="0" applyFont="1"/>
    <xf numFmtId="164" fontId="79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1" fontId="38" fillId="10" borderId="1" xfId="5" applyNumberFormat="1" applyFont="1" applyFill="1" applyBorder="1" applyAlignment="1">
      <alignment horizontal="center" vertic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" fontId="38" fillId="10" borderId="6" xfId="5" applyNumberFormat="1" applyFont="1" applyFill="1" applyBorder="1" applyAlignment="1">
      <alignment horizontal="center" vertical="center"/>
    </xf>
    <xf numFmtId="164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1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2" fontId="70" fillId="0" borderId="1" xfId="4" applyNumberFormat="1" applyFont="1" applyBorder="1" applyAlignment="1">
      <alignment horizontal="center"/>
    </xf>
    <xf numFmtId="0" fontId="82" fillId="17" borderId="3" xfId="3" applyFont="1" applyFill="1" applyBorder="1" applyAlignment="1">
      <alignment vertical="justify"/>
    </xf>
    <xf numFmtId="0" fontId="72" fillId="10" borderId="1" xfId="4" applyFont="1" applyFill="1" applyBorder="1" applyAlignment="1">
      <alignment horizontal="center"/>
    </xf>
    <xf numFmtId="0" fontId="70" fillId="0" borderId="1" xfId="0" applyFont="1" applyFill="1" applyBorder="1"/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83" fillId="2" borderId="1" xfId="0" applyFont="1" applyFill="1" applyBorder="1" applyAlignment="1">
      <alignment horizontal="center"/>
    </xf>
    <xf numFmtId="0" fontId="23" fillId="10" borderId="0" xfId="0" applyFont="1" applyFill="1"/>
    <xf numFmtId="0" fontId="46" fillId="0" borderId="1" xfId="4" applyFont="1" applyFill="1" applyBorder="1" applyAlignment="1">
      <alignment horizontal="center"/>
    </xf>
    <xf numFmtId="2" fontId="46" fillId="10" borderId="1" xfId="3" applyNumberFormat="1" applyFont="1" applyFill="1" applyBorder="1" applyAlignment="1">
      <alignment horizontal="center"/>
    </xf>
    <xf numFmtId="0" fontId="46" fillId="10" borderId="1" xfId="4" applyFont="1" applyFill="1" applyBorder="1" applyAlignment="1">
      <alignment horizontal="center" vertical="center"/>
    </xf>
    <xf numFmtId="38" fontId="46" fillId="10" borderId="1" xfId="5" applyNumberFormat="1" applyFont="1" applyFill="1" applyBorder="1" applyAlignment="1">
      <alignment horizontal="center" vertical="center"/>
    </xf>
    <xf numFmtId="2" fontId="38" fillId="10" borderId="1" xfId="3" applyNumberFormat="1" applyFont="1" applyFill="1" applyBorder="1" applyAlignment="1">
      <alignment horizontal="center"/>
    </xf>
    <xf numFmtId="171" fontId="32" fillId="9" borderId="1" xfId="3" applyNumberFormat="1" applyFont="1" applyFill="1" applyBorder="1" applyAlignment="1">
      <alignment horizontal="center" vertical="center"/>
    </xf>
    <xf numFmtId="171" fontId="32" fillId="9" borderId="1" xfId="3" applyNumberFormat="1" applyFont="1" applyFill="1" applyBorder="1" applyAlignment="1">
      <alignment horizontal="center"/>
    </xf>
    <xf numFmtId="171" fontId="38" fillId="8" borderId="1" xfId="3" applyNumberFormat="1" applyFont="1" applyFill="1" applyBorder="1" applyAlignment="1">
      <alignment horizontal="center" wrapText="1" shrinkToFit="1"/>
    </xf>
    <xf numFmtId="171" fontId="38" fillId="12" borderId="1" xfId="3" applyNumberFormat="1" applyFont="1" applyFill="1" applyBorder="1" applyAlignment="1">
      <alignment horizontal="center" vertical="center"/>
    </xf>
    <xf numFmtId="171" fontId="38" fillId="2" borderId="1" xfId="5" applyNumberFormat="1" applyFont="1" applyFill="1" applyBorder="1" applyAlignment="1">
      <alignment horizontal="center" vertical="center"/>
    </xf>
    <xf numFmtId="171" fontId="38" fillId="2" borderId="6" xfId="5" applyNumberFormat="1" applyFont="1" applyFill="1" applyBorder="1" applyAlignment="1">
      <alignment horizontal="center" vertical="center"/>
    </xf>
    <xf numFmtId="171" fontId="38" fillId="8" borderId="1" xfId="5" applyNumberFormat="1" applyFont="1" applyFill="1" applyBorder="1" applyAlignment="1">
      <alignment horizontal="center" vertical="center"/>
    </xf>
    <xf numFmtId="171" fontId="43" fillId="12" borderId="1" xfId="3" applyNumberFormat="1" applyFont="1" applyFill="1" applyBorder="1" applyAlignment="1">
      <alignment horizontal="center"/>
    </xf>
    <xf numFmtId="171" fontId="45" fillId="8" borderId="1" xfId="5" applyNumberFormat="1" applyFont="1" applyFill="1" applyBorder="1" applyAlignment="1">
      <alignment horizontal="center" vertical="center"/>
    </xf>
    <xf numFmtId="171" fontId="43" fillId="12" borderId="1" xfId="3" applyNumberFormat="1" applyFont="1" applyFill="1" applyBorder="1" applyAlignment="1">
      <alignment horizontal="center" vertical="center"/>
    </xf>
    <xf numFmtId="171" fontId="43" fillId="8" borderId="1" xfId="3" applyNumberFormat="1" applyFont="1" applyFill="1" applyBorder="1" applyAlignment="1">
      <alignment horizontal="center"/>
    </xf>
    <xf numFmtId="171" fontId="43" fillId="8" borderId="1" xfId="5" applyNumberFormat="1" applyFont="1" applyFill="1" applyBorder="1" applyAlignment="1" applyProtection="1">
      <alignment horizontal="center" vertic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71" fontId="24" fillId="17" borderId="3" xfId="3" applyNumberFormat="1" applyFont="1" applyFill="1" applyBorder="1" applyAlignment="1">
      <alignment vertical="justify"/>
    </xf>
    <xf numFmtId="171" fontId="38" fillId="12" borderId="1" xfId="3" applyNumberFormat="1" applyFont="1" applyFill="1" applyBorder="1" applyAlignment="1">
      <alignment horizontal="center"/>
    </xf>
    <xf numFmtId="171" fontId="38" fillId="10" borderId="1" xfId="5" applyNumberFormat="1" applyFont="1" applyFill="1" applyBorder="1" applyAlignment="1">
      <alignment horizontal="center" vertical="center"/>
    </xf>
    <xf numFmtId="171" fontId="43" fillId="17" borderId="1" xfId="3" applyNumberFormat="1" applyFont="1" applyFill="1" applyBorder="1" applyAlignment="1">
      <alignment horizontal="center"/>
    </xf>
    <xf numFmtId="171" fontId="43" fillId="2" borderId="1" xfId="3" applyNumberFormat="1" applyFont="1" applyFill="1" applyBorder="1" applyAlignment="1">
      <alignment horizontal="center"/>
    </xf>
    <xf numFmtId="171" fontId="43" fillId="0" borderId="0" xfId="0" applyNumberFormat="1" applyFont="1" applyBorder="1"/>
    <xf numFmtId="171" fontId="38" fillId="12" borderId="1" xfId="5" applyNumberFormat="1" applyFont="1" applyFill="1" applyBorder="1" applyAlignment="1">
      <alignment horizontal="center"/>
    </xf>
    <xf numFmtId="171" fontId="38" fillId="8" borderId="1" xfId="3" applyNumberFormat="1" applyFont="1" applyFill="1" applyBorder="1" applyAlignment="1">
      <alignment horizontal="center"/>
    </xf>
    <xf numFmtId="171" fontId="38" fillId="8" borderId="1" xfId="6" applyNumberFormat="1" applyFont="1" applyFill="1" applyBorder="1" applyAlignment="1">
      <alignment horizontal="center"/>
    </xf>
    <xf numFmtId="171" fontId="38" fillId="8" borderId="6" xfId="6" applyNumberFormat="1" applyFont="1" applyFill="1" applyBorder="1" applyAlignment="1">
      <alignment horizontal="center"/>
    </xf>
    <xf numFmtId="171" fontId="48" fillId="0" borderId="0" xfId="0" applyNumberFormat="1" applyFont="1"/>
    <xf numFmtId="171" fontId="43" fillId="0" borderId="0" xfId="0" applyNumberFormat="1" applyFont="1"/>
    <xf numFmtId="171" fontId="43" fillId="0" borderId="1" xfId="0" applyNumberFormat="1" applyFont="1" applyBorder="1"/>
    <xf numFmtId="171" fontId="32" fillId="2" borderId="1" xfId="5" applyNumberFormat="1" applyFont="1" applyFill="1" applyBorder="1" applyAlignment="1">
      <alignment horizontal="center" vertical="center"/>
    </xf>
    <xf numFmtId="171" fontId="38" fillId="2" borderId="0" xfId="5" applyNumberFormat="1" applyFont="1" applyFill="1" applyBorder="1" applyAlignment="1">
      <alignment horizontal="center" vertical="center"/>
    </xf>
    <xf numFmtId="171" fontId="38" fillId="0" borderId="1" xfId="3" applyNumberFormat="1" applyFont="1" applyFill="1" applyBorder="1" applyAlignment="1">
      <alignment horizontal="center"/>
    </xf>
    <xf numFmtId="171" fontId="43" fillId="0" borderId="1" xfId="0" applyNumberFormat="1" applyFont="1" applyBorder="1" applyAlignment="1">
      <alignment horizontal="center"/>
    </xf>
    <xf numFmtId="171" fontId="43" fillId="0" borderId="1" xfId="0" applyNumberFormat="1" applyFont="1" applyFill="1" applyBorder="1" applyAlignment="1">
      <alignment horizontal="center"/>
    </xf>
    <xf numFmtId="171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38" fillId="10" borderId="1" xfId="3" applyFont="1" applyFill="1" applyBorder="1" applyAlignment="1">
      <alignment horizontal="center" vertical="center"/>
    </xf>
    <xf numFmtId="1" fontId="77" fillId="8" borderId="1" xfId="3" applyNumberFormat="1" applyFont="1" applyFill="1" applyBorder="1" applyAlignment="1">
      <alignment horizontal="center"/>
    </xf>
    <xf numFmtId="1" fontId="40" fillId="2" borderId="1" xfId="0" applyNumberFormat="1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0" fillId="13" borderId="13" xfId="3" applyFont="1" applyFill="1" applyBorder="1" applyAlignment="1">
      <alignment horizontal="left"/>
    </xf>
    <xf numFmtId="0" fontId="70" fillId="13" borderId="3" xfId="3" applyFont="1" applyFill="1" applyBorder="1" applyAlignment="1">
      <alignment horizontal="left"/>
    </xf>
    <xf numFmtId="0" fontId="70" fillId="13" borderId="4" xfId="3" applyFont="1" applyFill="1" applyBorder="1" applyAlignment="1">
      <alignment horizontal="left"/>
    </xf>
    <xf numFmtId="0" fontId="72" fillId="0" borderId="2" xfId="4" applyFont="1" applyFill="1" applyBorder="1" applyAlignment="1">
      <alignment horizontal="left"/>
    </xf>
    <xf numFmtId="0" fontId="72" fillId="0" borderId="3" xfId="4" applyFont="1" applyFill="1" applyBorder="1" applyAlignment="1">
      <alignment horizontal="left"/>
    </xf>
    <xf numFmtId="0" fontId="72" fillId="0" borderId="4" xfId="4" applyFont="1" applyFill="1" applyBorder="1" applyAlignment="1">
      <alignment horizontal="left"/>
    </xf>
    <xf numFmtId="0" fontId="72" fillId="0" borderId="1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0" fillId="0" borderId="1" xfId="4" applyFont="1" applyFill="1" applyBorder="1" applyAlignment="1">
      <alignment horizontal="left"/>
    </xf>
    <xf numFmtId="0" fontId="70" fillId="0" borderId="2" xfId="4" applyFont="1" applyFill="1" applyBorder="1" applyAlignment="1">
      <alignment horizontal="left"/>
    </xf>
    <xf numFmtId="0" fontId="70" fillId="0" borderId="3" xfId="4" applyFont="1" applyFill="1" applyBorder="1" applyAlignment="1">
      <alignment horizontal="left"/>
    </xf>
    <xf numFmtId="0" fontId="70" fillId="0" borderId="4" xfId="4" applyFont="1" applyFill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0" fillId="8" borderId="13" xfId="3" applyFont="1" applyFill="1" applyBorder="1" applyAlignment="1">
      <alignment horizontal="left"/>
    </xf>
    <xf numFmtId="0" fontId="70" fillId="8" borderId="3" xfId="3" applyFont="1" applyFill="1" applyBorder="1" applyAlignment="1">
      <alignment horizontal="left"/>
    </xf>
    <xf numFmtId="0" fontId="70" fillId="8" borderId="4" xfId="3" applyFont="1" applyFill="1" applyBorder="1" applyAlignment="1">
      <alignment horizontal="left"/>
    </xf>
    <xf numFmtId="0" fontId="73" fillId="8" borderId="14" xfId="3" applyFont="1" applyFill="1" applyBorder="1" applyAlignment="1">
      <alignment horizontal="center"/>
    </xf>
    <xf numFmtId="0" fontId="73" fillId="8" borderId="11" xfId="3" applyFont="1" applyFill="1" applyBorder="1" applyAlignment="1">
      <alignment horizontal="center"/>
    </xf>
    <xf numFmtId="0" fontId="73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0" fillId="9" borderId="2" xfId="3" applyFont="1" applyFill="1" applyBorder="1" applyAlignment="1">
      <alignment horizontal="center"/>
    </xf>
    <xf numFmtId="0" fontId="70" fillId="9" borderId="4" xfId="3" applyFont="1" applyFill="1" applyBorder="1" applyAlignment="1">
      <alignment horizontal="center"/>
    </xf>
    <xf numFmtId="0" fontId="80" fillId="17" borderId="13" xfId="3" applyFont="1" applyFill="1" applyBorder="1" applyAlignment="1">
      <alignment horizontal="center" vertical="center"/>
    </xf>
    <xf numFmtId="0" fontId="80" fillId="17" borderId="3" xfId="3" applyFont="1" applyFill="1" applyBorder="1" applyAlignment="1">
      <alignment horizontal="center" vertic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48" fillId="0" borderId="13" xfId="0" applyFont="1" applyBorder="1" applyAlignment="1">
      <alignment horizontal="left"/>
    </xf>
    <xf numFmtId="0" fontId="70" fillId="0" borderId="13" xfId="4" applyFont="1" applyBorder="1" applyAlignment="1">
      <alignment horizontal="left"/>
    </xf>
    <xf numFmtId="0" fontId="70" fillId="0" borderId="3" xfId="4" applyFont="1" applyBorder="1" applyAlignment="1">
      <alignment horizontal="left"/>
    </xf>
    <xf numFmtId="0" fontId="70" fillId="0" borderId="4" xfId="4" applyFont="1" applyBorder="1" applyAlignment="1">
      <alignment horizontal="left"/>
    </xf>
    <xf numFmtId="0" fontId="70" fillId="12" borderId="13" xfId="3" applyFont="1" applyFill="1" applyBorder="1" applyAlignment="1">
      <alignment horizontal="center" vertical="center"/>
    </xf>
    <xf numFmtId="0" fontId="70" fillId="12" borderId="3" xfId="3" applyFont="1" applyFill="1" applyBorder="1" applyAlignment="1">
      <alignment horizontal="center" vertical="center"/>
    </xf>
    <xf numFmtId="0" fontId="70" fillId="12" borderId="4" xfId="3" applyFont="1" applyFill="1" applyBorder="1" applyAlignment="1">
      <alignment horizontal="center" vertical="center"/>
    </xf>
    <xf numFmtId="0" fontId="70" fillId="12" borderId="13" xfId="3" applyFont="1" applyFill="1" applyBorder="1" applyAlignment="1">
      <alignment horizontal="center"/>
    </xf>
    <xf numFmtId="0" fontId="70" fillId="12" borderId="3" xfId="3" applyFont="1" applyFill="1" applyBorder="1" applyAlignment="1">
      <alignment horizontal="center"/>
    </xf>
    <xf numFmtId="0" fontId="70" fillId="12" borderId="4" xfId="3" applyFont="1" applyFill="1" applyBorder="1" applyAlignment="1">
      <alignment horizontal="center"/>
    </xf>
    <xf numFmtId="0" fontId="70" fillId="8" borderId="0" xfId="3" applyFont="1" applyFill="1" applyBorder="1" applyAlignment="1">
      <alignment vertical="center"/>
    </xf>
    <xf numFmtId="0" fontId="70" fillId="0" borderId="2" xfId="4" applyFont="1" applyBorder="1" applyAlignment="1">
      <alignment horizontal="left" vertical="center"/>
    </xf>
    <xf numFmtId="0" fontId="70" fillId="0" borderId="3" xfId="4" applyFont="1" applyBorder="1" applyAlignment="1">
      <alignment horizontal="left" vertical="center"/>
    </xf>
    <xf numFmtId="0" fontId="70" fillId="0" borderId="4" xfId="4" applyFont="1" applyBorder="1" applyAlignment="1">
      <alignment horizontal="left" vertical="center"/>
    </xf>
    <xf numFmtId="0" fontId="70" fillId="8" borderId="19" xfId="3" applyFont="1" applyFill="1" applyBorder="1" applyAlignment="1">
      <alignment horizontal="left"/>
    </xf>
    <xf numFmtId="0" fontId="70" fillId="8" borderId="8" xfId="3" applyFont="1" applyFill="1" applyBorder="1" applyAlignment="1">
      <alignment horizontal="left"/>
    </xf>
    <xf numFmtId="0" fontId="70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8" fillId="2" borderId="13" xfId="0" applyFont="1" applyFill="1" applyBorder="1" applyAlignment="1">
      <alignment horizontal="left"/>
    </xf>
    <xf numFmtId="0" fontId="48" fillId="2" borderId="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70" fillId="0" borderId="1" xfId="4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48" fillId="12" borderId="1" xfId="0" applyFont="1" applyFill="1" applyBorder="1" applyAlignment="1">
      <alignment horizont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72" fillId="0" borderId="2" xfId="4" applyFont="1" applyFill="1" applyBorder="1" applyAlignment="1">
      <alignment horizontal="center"/>
    </xf>
    <xf numFmtId="0" fontId="72" fillId="0" borderId="3" xfId="4" applyFont="1" applyFill="1" applyBorder="1" applyAlignment="1">
      <alignment horizontal="center"/>
    </xf>
    <xf numFmtId="0" fontId="72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0" fillId="2" borderId="20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7" fontId="32" fillId="8" borderId="13" xfId="3" applyNumberFormat="1" applyFont="1" applyFill="1" applyBorder="1" applyAlignment="1">
      <alignment horizontal="left" vertical="center"/>
    </xf>
    <xf numFmtId="167" fontId="32" fillId="8" borderId="3" xfId="3" applyNumberFormat="1" applyFont="1" applyFill="1" applyBorder="1" applyAlignment="1">
      <alignment horizontal="left" vertical="center"/>
    </xf>
    <xf numFmtId="167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84" fillId="0" borderId="16" xfId="1" applyFont="1" applyFill="1" applyBorder="1" applyAlignment="1">
      <alignment vertical="top" wrapText="1"/>
    </xf>
    <xf numFmtId="0" fontId="84" fillId="0" borderId="1" xfId="1" applyFont="1" applyFill="1" applyBorder="1" applyAlignment="1">
      <alignment horizontal="center" vertical="top" wrapText="1"/>
    </xf>
    <xf numFmtId="0" fontId="84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</cellXfs>
  <cellStyles count="19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6" xr:uid="{00000000-0005-0000-0000-00000F000000}"/>
    <cellStyle name="Normal 4 2" xfId="18" xr:uid="{00000000-0005-0000-0000-000010000000}"/>
    <cellStyle name="Normal 5" xfId="17" xr:uid="{00000000-0005-0000-0000-000011000000}"/>
    <cellStyle name="Percent 2" xfId="6" xr:uid="{00000000-0005-0000-0000-000012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23.889999999999418</c:v>
                </c:pt>
                <c:pt idx="1">
                  <c:v>24.809999999999945</c:v>
                </c:pt>
                <c:pt idx="2">
                  <c:v>32.080000000000382</c:v>
                </c:pt>
                <c:pt idx="3">
                  <c:v>33.160000000006221</c:v>
                </c:pt>
                <c:pt idx="4">
                  <c:v>31.359999999998081</c:v>
                </c:pt>
                <c:pt idx="5">
                  <c:v>25.389999999997372</c:v>
                </c:pt>
                <c:pt idx="6">
                  <c:v>34.000000000003865</c:v>
                </c:pt>
                <c:pt idx="7">
                  <c:v>33.369999999996253</c:v>
                </c:pt>
                <c:pt idx="8">
                  <c:v>32.200000000005502</c:v>
                </c:pt>
                <c:pt idx="9">
                  <c:v>31.44999999999709</c:v>
                </c:pt>
                <c:pt idx="10">
                  <c:v>32.519999999996799</c:v>
                </c:pt>
                <c:pt idx="11">
                  <c:v>34.930000000000291</c:v>
                </c:pt>
                <c:pt idx="12">
                  <c:v>26.810000000004948</c:v>
                </c:pt>
                <c:pt idx="13">
                  <c:v>26.739999999997963</c:v>
                </c:pt>
                <c:pt idx="14">
                  <c:v>31</c:v>
                </c:pt>
                <c:pt idx="15">
                  <c:v>26.669999999998481</c:v>
                </c:pt>
                <c:pt idx="16">
                  <c:v>32.160000000002583</c:v>
                </c:pt>
                <c:pt idx="17">
                  <c:v>27.009999999995443</c:v>
                </c:pt>
                <c:pt idx="18">
                  <c:v>26.350000000005821</c:v>
                </c:pt>
                <c:pt idx="19">
                  <c:v>24</c:v>
                </c:pt>
                <c:pt idx="20">
                  <c:v>24.369999999999891</c:v>
                </c:pt>
                <c:pt idx="21">
                  <c:v>24</c:v>
                </c:pt>
                <c:pt idx="22">
                  <c:v>23.630000000000109</c:v>
                </c:pt>
                <c:pt idx="23">
                  <c:v>24</c:v>
                </c:pt>
                <c:pt idx="24">
                  <c:v>24</c:v>
                </c:pt>
                <c:pt idx="25">
                  <c:v>24.319999999999936</c:v>
                </c:pt>
                <c:pt idx="26">
                  <c:v>23.680000000000064</c:v>
                </c:pt>
                <c:pt idx="27">
                  <c:v>23.449999999997544</c:v>
                </c:pt>
                <c:pt idx="28">
                  <c:v>23.600000000001728</c:v>
                </c:pt>
                <c:pt idx="29">
                  <c:v>-804.95000000000573</c:v>
                </c:pt>
                <c:pt idx="30">
                  <c:v>-913.9600000000014</c:v>
                </c:pt>
                <c:pt idx="31">
                  <c:v>-913.9600000000014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57289856"/>
        <c:axId val="157299840"/>
      </c:lineChart>
      <c:catAx>
        <c:axId val="15728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9840"/>
        <c:crosses val="autoZero"/>
        <c:auto val="1"/>
        <c:lblAlgn val="ctr"/>
        <c:lblOffset val="100"/>
        <c:noMultiLvlLbl val="0"/>
      </c:catAx>
      <c:valAx>
        <c:axId val="157299840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5728985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15.719999999993888</c:v>
                </c:pt>
                <c:pt idx="1">
                  <c:v>18.180000000000291</c:v>
                </c:pt>
                <c:pt idx="2">
                  <c:v>17.059999999997672</c:v>
                </c:pt>
                <c:pt idx="3">
                  <c:v>18.790000000004511</c:v>
                </c:pt>
                <c:pt idx="4">
                  <c:v>18.849999999998545</c:v>
                </c:pt>
                <c:pt idx="5">
                  <c:v>18.980000000003201</c:v>
                </c:pt>
                <c:pt idx="6">
                  <c:v>17.569999999996071</c:v>
                </c:pt>
                <c:pt idx="7">
                  <c:v>20.169999999994616</c:v>
                </c:pt>
                <c:pt idx="8">
                  <c:v>18.390000000010332</c:v>
                </c:pt>
                <c:pt idx="9">
                  <c:v>17.039999999993597</c:v>
                </c:pt>
                <c:pt idx="10">
                  <c:v>18</c:v>
                </c:pt>
                <c:pt idx="11">
                  <c:v>19.169999999998254</c:v>
                </c:pt>
                <c:pt idx="12">
                  <c:v>18.559999999997672</c:v>
                </c:pt>
                <c:pt idx="13">
                  <c:v>17.889999999999418</c:v>
                </c:pt>
                <c:pt idx="14">
                  <c:v>19.980000000003201</c:v>
                </c:pt>
                <c:pt idx="15">
                  <c:v>16.520000000004075</c:v>
                </c:pt>
                <c:pt idx="16">
                  <c:v>17.959999999991851</c:v>
                </c:pt>
                <c:pt idx="17">
                  <c:v>18.880000000008295</c:v>
                </c:pt>
                <c:pt idx="18">
                  <c:v>16.469999999993888</c:v>
                </c:pt>
                <c:pt idx="19">
                  <c:v>17.840000000003783</c:v>
                </c:pt>
                <c:pt idx="20">
                  <c:v>16.939999999995052</c:v>
                </c:pt>
                <c:pt idx="21">
                  <c:v>15.67000000000553</c:v>
                </c:pt>
                <c:pt idx="22">
                  <c:v>15.959999999991851</c:v>
                </c:pt>
                <c:pt idx="23">
                  <c:v>14.930000000011205</c:v>
                </c:pt>
                <c:pt idx="24">
                  <c:v>16.879999999990105</c:v>
                </c:pt>
                <c:pt idx="25">
                  <c:v>16.889999999999418</c:v>
                </c:pt>
                <c:pt idx="26">
                  <c:v>16.460000000006403</c:v>
                </c:pt>
                <c:pt idx="27">
                  <c:v>15.739999999990687</c:v>
                </c:pt>
                <c:pt idx="28">
                  <c:v>14.610000000007858</c:v>
                </c:pt>
                <c:pt idx="29">
                  <c:v>-506.09999999999127</c:v>
                </c:pt>
                <c:pt idx="30">
                  <c:v>-473.89000000000306</c:v>
                </c:pt>
                <c:pt idx="31">
                  <c:v>-473.89000000000306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7332992"/>
        <c:axId val="157334528"/>
      </c:lineChart>
      <c:catAx>
        <c:axId val="15733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34528"/>
        <c:crosses val="autoZero"/>
        <c:auto val="1"/>
        <c:lblAlgn val="ctr"/>
        <c:lblOffset val="100"/>
        <c:noMultiLvlLbl val="0"/>
      </c:catAx>
      <c:valAx>
        <c:axId val="157334528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3299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268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212</c:v>
                </c:pt>
                <c:pt idx="1">
                  <c:v>254</c:v>
                </c:pt>
                <c:pt idx="2">
                  <c:v>285</c:v>
                </c:pt>
                <c:pt idx="3">
                  <c:v>254</c:v>
                </c:pt>
                <c:pt idx="4">
                  <c:v>253</c:v>
                </c:pt>
                <c:pt idx="5">
                  <c:v>253</c:v>
                </c:pt>
                <c:pt idx="6">
                  <c:v>233</c:v>
                </c:pt>
                <c:pt idx="7">
                  <c:v>273</c:v>
                </c:pt>
                <c:pt idx="8">
                  <c:v>295</c:v>
                </c:pt>
                <c:pt idx="9">
                  <c:v>271</c:v>
                </c:pt>
                <c:pt idx="10">
                  <c:v>274</c:v>
                </c:pt>
                <c:pt idx="11">
                  <c:v>294</c:v>
                </c:pt>
                <c:pt idx="12">
                  <c:v>294</c:v>
                </c:pt>
                <c:pt idx="13">
                  <c:v>292</c:v>
                </c:pt>
                <c:pt idx="14">
                  <c:v>240</c:v>
                </c:pt>
                <c:pt idx="15">
                  <c:v>268</c:v>
                </c:pt>
                <c:pt idx="16">
                  <c:v>234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271</c:v>
                </c:pt>
                <c:pt idx="21">
                  <c:v>241</c:v>
                </c:pt>
                <c:pt idx="22">
                  <c:v>249</c:v>
                </c:pt>
                <c:pt idx="23">
                  <c:v>234</c:v>
                </c:pt>
                <c:pt idx="24">
                  <c:v>252</c:v>
                </c:pt>
                <c:pt idx="25">
                  <c:v>273</c:v>
                </c:pt>
                <c:pt idx="26">
                  <c:v>257</c:v>
                </c:pt>
                <c:pt idx="27">
                  <c:v>291</c:v>
                </c:pt>
                <c:pt idx="28">
                  <c:v>273</c:v>
                </c:pt>
                <c:pt idx="29">
                  <c:v>-1309</c:v>
                </c:pt>
                <c:pt idx="30">
                  <c:v>-1467</c:v>
                </c:pt>
                <c:pt idx="31">
                  <c:v>4863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58818304"/>
        <c:axId val="158819840"/>
      </c:lineChart>
      <c:catAx>
        <c:axId val="15881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19840"/>
        <c:crosses val="autoZero"/>
        <c:auto val="1"/>
        <c:lblAlgn val="ctr"/>
        <c:lblOffset val="100"/>
        <c:noMultiLvlLbl val="0"/>
      </c:catAx>
      <c:valAx>
        <c:axId val="158819840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18304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92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1074</c:v>
                </c:pt>
                <c:pt idx="1">
                  <c:v>1094.2399999999907</c:v>
                </c:pt>
                <c:pt idx="2">
                  <c:v>1144.1499999999069</c:v>
                </c:pt>
                <c:pt idx="3">
                  <c:v>1192.7600000000093</c:v>
                </c:pt>
                <c:pt idx="4">
                  <c:v>1192.2900000000373</c:v>
                </c:pt>
                <c:pt idx="5">
                  <c:v>1123.0200000000186</c:v>
                </c:pt>
                <c:pt idx="6">
                  <c:v>1194.9699999999721</c:v>
                </c:pt>
                <c:pt idx="7">
                  <c:v>1247.3700000001118</c:v>
                </c:pt>
                <c:pt idx="8">
                  <c:v>1195.1999999999534</c:v>
                </c:pt>
                <c:pt idx="9">
                  <c:v>1193</c:v>
                </c:pt>
                <c:pt idx="10">
                  <c:v>1164</c:v>
                </c:pt>
                <c:pt idx="11">
                  <c:v>1252</c:v>
                </c:pt>
                <c:pt idx="12">
                  <c:v>1211</c:v>
                </c:pt>
                <c:pt idx="13">
                  <c:v>1124</c:v>
                </c:pt>
                <c:pt idx="14">
                  <c:v>1178.1299999998882</c:v>
                </c:pt>
                <c:pt idx="15">
                  <c:v>1154.8700000001118</c:v>
                </c:pt>
                <c:pt idx="16">
                  <c:v>1138.8219999999274</c:v>
                </c:pt>
                <c:pt idx="17">
                  <c:v>1215.2839999999851</c:v>
                </c:pt>
                <c:pt idx="18">
                  <c:v>1150.2939999999944</c:v>
                </c:pt>
                <c:pt idx="19">
                  <c:v>1154.410000000149</c:v>
                </c:pt>
                <c:pt idx="20">
                  <c:v>1115.5699999998324</c:v>
                </c:pt>
                <c:pt idx="21">
                  <c:v>1062.4600000001956</c:v>
                </c:pt>
                <c:pt idx="22">
                  <c:v>1066.1599999999162</c:v>
                </c:pt>
                <c:pt idx="23">
                  <c:v>1076</c:v>
                </c:pt>
                <c:pt idx="24">
                  <c:v>1177</c:v>
                </c:pt>
                <c:pt idx="25">
                  <c:v>1237</c:v>
                </c:pt>
                <c:pt idx="26">
                  <c:v>1125</c:v>
                </c:pt>
                <c:pt idx="27">
                  <c:v>1026.0300000000279</c:v>
                </c:pt>
                <c:pt idx="28">
                  <c:v>1018.3400000000838</c:v>
                </c:pt>
                <c:pt idx="29">
                  <c:v>1100</c:v>
                </c:pt>
                <c:pt idx="30">
                  <c:v>1100</c:v>
                </c:pt>
                <c:pt idx="31">
                  <c:v>35497.370000000112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35392"/>
        <c:axId val="157436928"/>
      </c:lineChart>
      <c:catAx>
        <c:axId val="15743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36928"/>
        <c:crosses val="autoZero"/>
        <c:auto val="1"/>
        <c:lblAlgn val="ctr"/>
        <c:lblOffset val="100"/>
        <c:noMultiLvlLbl val="0"/>
      </c:catAx>
      <c:valAx>
        <c:axId val="15743692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35392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274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2945.710000000021</c:v>
                </c:pt>
                <c:pt idx="1">
                  <c:v>2783</c:v>
                </c:pt>
                <c:pt idx="2">
                  <c:v>2891.5300000000279</c:v>
                </c:pt>
                <c:pt idx="3">
                  <c:v>2998.7999999999884</c:v>
                </c:pt>
                <c:pt idx="4">
                  <c:v>2790.5799999999581</c:v>
                </c:pt>
                <c:pt idx="5">
                  <c:v>2851.320000000007</c:v>
                </c:pt>
                <c:pt idx="6">
                  <c:v>3056.679999999993</c:v>
                </c:pt>
                <c:pt idx="7">
                  <c:v>2854.320000000007</c:v>
                </c:pt>
                <c:pt idx="8">
                  <c:v>2940.7700000000186</c:v>
                </c:pt>
                <c:pt idx="9">
                  <c:v>2918</c:v>
                </c:pt>
                <c:pt idx="10">
                  <c:v>2960</c:v>
                </c:pt>
                <c:pt idx="11">
                  <c:v>3054</c:v>
                </c:pt>
                <c:pt idx="12">
                  <c:v>3101</c:v>
                </c:pt>
                <c:pt idx="13">
                  <c:v>3022</c:v>
                </c:pt>
                <c:pt idx="14">
                  <c:v>2939</c:v>
                </c:pt>
                <c:pt idx="15">
                  <c:v>2949.8699999999953</c:v>
                </c:pt>
                <c:pt idx="16">
                  <c:v>3084.4799999999814</c:v>
                </c:pt>
                <c:pt idx="17">
                  <c:v>2894.0400000000373</c:v>
                </c:pt>
                <c:pt idx="18">
                  <c:v>3077.5599999999977</c:v>
                </c:pt>
                <c:pt idx="19">
                  <c:v>2849.679999999993</c:v>
                </c:pt>
                <c:pt idx="20">
                  <c:v>2810.5999999999767</c:v>
                </c:pt>
                <c:pt idx="21">
                  <c:v>2775.9200000000419</c:v>
                </c:pt>
                <c:pt idx="22">
                  <c:v>2743.8499999999767</c:v>
                </c:pt>
                <c:pt idx="23">
                  <c:v>2746</c:v>
                </c:pt>
                <c:pt idx="24">
                  <c:v>2850</c:v>
                </c:pt>
                <c:pt idx="25">
                  <c:v>2728</c:v>
                </c:pt>
                <c:pt idx="26">
                  <c:v>2857</c:v>
                </c:pt>
                <c:pt idx="27">
                  <c:v>2740.429999999993</c:v>
                </c:pt>
                <c:pt idx="28">
                  <c:v>2727.320000000007</c:v>
                </c:pt>
                <c:pt idx="29">
                  <c:v>-83941.460000000021</c:v>
                </c:pt>
                <c:pt idx="30">
                  <c:v>-88282.239999999991</c:v>
                </c:pt>
                <c:pt idx="31">
                  <c:v>-88282.239999999991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58933376"/>
        <c:axId val="158934912"/>
      </c:lineChart>
      <c:catAx>
        <c:axId val="15893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34912"/>
        <c:crosses val="autoZero"/>
        <c:auto val="1"/>
        <c:lblAlgn val="ctr"/>
        <c:lblOffset val="100"/>
        <c:noMultiLvlLbl val="0"/>
      </c:catAx>
      <c:valAx>
        <c:axId val="158934912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3337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2116.3699999999953</c:v>
                </c:pt>
                <c:pt idx="1">
                  <c:v>1975.8000000000029</c:v>
                </c:pt>
                <c:pt idx="2">
                  <c:v>2060.3000000000029</c:v>
                </c:pt>
                <c:pt idx="3">
                  <c:v>2246.8699999999953</c:v>
                </c:pt>
                <c:pt idx="4">
                  <c:v>2200.9799999999959</c:v>
                </c:pt>
                <c:pt idx="5">
                  <c:v>1941.5200000000041</c:v>
                </c:pt>
                <c:pt idx="6">
                  <c:v>2051.1600000000035</c:v>
                </c:pt>
                <c:pt idx="7">
                  <c:v>2181.6699999999983</c:v>
                </c:pt>
                <c:pt idx="8">
                  <c:v>2076.6999999999971</c:v>
                </c:pt>
                <c:pt idx="9">
                  <c:v>2201</c:v>
                </c:pt>
                <c:pt idx="10">
                  <c:v>2136</c:v>
                </c:pt>
                <c:pt idx="11">
                  <c:v>2138</c:v>
                </c:pt>
                <c:pt idx="12">
                  <c:v>2004</c:v>
                </c:pt>
                <c:pt idx="13">
                  <c:v>2110</c:v>
                </c:pt>
                <c:pt idx="14">
                  <c:v>2025</c:v>
                </c:pt>
                <c:pt idx="15">
                  <c:v>1939.7899999999936</c:v>
                </c:pt>
                <c:pt idx="16">
                  <c:v>1791.2700000000041</c:v>
                </c:pt>
                <c:pt idx="17">
                  <c:v>1585.0299999999988</c:v>
                </c:pt>
                <c:pt idx="18">
                  <c:v>1656.7399999999907</c:v>
                </c:pt>
                <c:pt idx="19">
                  <c:v>1742.8000000000175</c:v>
                </c:pt>
                <c:pt idx="20">
                  <c:v>1616.5499999999884</c:v>
                </c:pt>
                <c:pt idx="21">
                  <c:v>1523.0299999999988</c:v>
                </c:pt>
                <c:pt idx="22">
                  <c:v>1488.7900000000081</c:v>
                </c:pt>
                <c:pt idx="23">
                  <c:v>1535</c:v>
                </c:pt>
                <c:pt idx="24">
                  <c:v>1650</c:v>
                </c:pt>
                <c:pt idx="25">
                  <c:v>1816</c:v>
                </c:pt>
                <c:pt idx="26">
                  <c:v>1834</c:v>
                </c:pt>
                <c:pt idx="27">
                  <c:v>1836.2699999999895</c:v>
                </c:pt>
                <c:pt idx="28">
                  <c:v>1871.7200000000012</c:v>
                </c:pt>
                <c:pt idx="29">
                  <c:v>-55352.359999999986</c:v>
                </c:pt>
                <c:pt idx="30">
                  <c:v>-61059.960000000006</c:v>
                </c:pt>
                <c:pt idx="31">
                  <c:v>-61059.960000000006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972160"/>
        <c:axId val="158982144"/>
      </c:lineChart>
      <c:catAx>
        <c:axId val="15897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82144"/>
        <c:crosses val="autoZero"/>
        <c:auto val="1"/>
        <c:lblAlgn val="ctr"/>
        <c:lblOffset val="100"/>
        <c:noMultiLvlLbl val="0"/>
      </c:catAx>
      <c:valAx>
        <c:axId val="158982144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721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0.96</c:v>
                </c:pt>
                <c:pt idx="1">
                  <c:v>0.43559999999999999</c:v>
                </c:pt>
                <c:pt idx="2">
                  <c:v>0.51</c:v>
                </c:pt>
                <c:pt idx="3">
                  <c:v>0.68</c:v>
                </c:pt>
                <c:pt idx="4">
                  <c:v>0.55940000000000001</c:v>
                </c:pt>
                <c:pt idx="5">
                  <c:v>0.56000000000000005</c:v>
                </c:pt>
                <c:pt idx="6">
                  <c:v>0.98</c:v>
                </c:pt>
                <c:pt idx="7">
                  <c:v>0.55000000000000004</c:v>
                </c:pt>
                <c:pt idx="8">
                  <c:v>0.87</c:v>
                </c:pt>
                <c:pt idx="9">
                  <c:v>0.91</c:v>
                </c:pt>
                <c:pt idx="10">
                  <c:v>0.76</c:v>
                </c:pt>
                <c:pt idx="11">
                  <c:v>0.75</c:v>
                </c:pt>
                <c:pt idx="12">
                  <c:v>0.5</c:v>
                </c:pt>
                <c:pt idx="13">
                  <c:v>0.54</c:v>
                </c:pt>
                <c:pt idx="14">
                  <c:v>0.5</c:v>
                </c:pt>
                <c:pt idx="15">
                  <c:v>0.57420000000000004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0.8</c:v>
                </c:pt>
                <c:pt idx="21">
                  <c:v>0.97</c:v>
                </c:pt>
                <c:pt idx="22">
                  <c:v>0.85</c:v>
                </c:pt>
                <c:pt idx="23">
                  <c:v>0.9</c:v>
                </c:pt>
                <c:pt idx="24">
                  <c:v>0.9</c:v>
                </c:pt>
                <c:pt idx="25">
                  <c:v>0.83</c:v>
                </c:pt>
                <c:pt idx="26">
                  <c:v>0.76</c:v>
                </c:pt>
                <c:pt idx="27">
                  <c:v>0.92</c:v>
                </c:pt>
                <c:pt idx="28">
                  <c:v>0.45</c:v>
                </c:pt>
                <c:pt idx="29">
                  <c:v>0.98</c:v>
                </c:pt>
                <c:pt idx="30">
                  <c:v>28</c:v>
                </c:pt>
                <c:pt idx="31">
                  <c:v>1.611258064516129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83840"/>
        <c:axId val="158885376"/>
      </c:lineChart>
      <c:catAx>
        <c:axId val="15888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85376"/>
        <c:crosses val="autoZero"/>
        <c:auto val="1"/>
        <c:lblAlgn val="ctr"/>
        <c:lblOffset val="100"/>
        <c:noMultiLvlLbl val="0"/>
      </c:catAx>
      <c:valAx>
        <c:axId val="1588853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588838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22989</c:v>
                </c:pt>
                <c:pt idx="1">
                  <c:v>21667</c:v>
                </c:pt>
                <c:pt idx="2">
                  <c:v>23640.270000000019</c:v>
                </c:pt>
                <c:pt idx="3">
                  <c:v>25311.640000000014</c:v>
                </c:pt>
                <c:pt idx="4">
                  <c:v>23337</c:v>
                </c:pt>
                <c:pt idx="5">
                  <c:v>22125.119999999995</c:v>
                </c:pt>
                <c:pt idx="6">
                  <c:v>25247.520000000019</c:v>
                </c:pt>
                <c:pt idx="7">
                  <c:v>24742.319999999949</c:v>
                </c:pt>
                <c:pt idx="8">
                  <c:v>25427.130000000005</c:v>
                </c:pt>
                <c:pt idx="9">
                  <c:v>24380</c:v>
                </c:pt>
                <c:pt idx="10">
                  <c:v>24441</c:v>
                </c:pt>
                <c:pt idx="11">
                  <c:v>25038</c:v>
                </c:pt>
                <c:pt idx="12">
                  <c:v>23684</c:v>
                </c:pt>
                <c:pt idx="13">
                  <c:v>23059</c:v>
                </c:pt>
                <c:pt idx="14">
                  <c:v>23584</c:v>
                </c:pt>
                <c:pt idx="15">
                  <c:v>22268.709999999963</c:v>
                </c:pt>
                <c:pt idx="16">
                  <c:v>24204.290000000037</c:v>
                </c:pt>
                <c:pt idx="17">
                  <c:v>23137.75</c:v>
                </c:pt>
                <c:pt idx="18">
                  <c:v>23251.630000000005</c:v>
                </c:pt>
                <c:pt idx="19">
                  <c:v>21299.930000000051</c:v>
                </c:pt>
                <c:pt idx="20">
                  <c:v>21040.79999999993</c:v>
                </c:pt>
                <c:pt idx="21">
                  <c:v>20778.079999999958</c:v>
                </c:pt>
                <c:pt idx="22">
                  <c:v>20368.810000000056</c:v>
                </c:pt>
                <c:pt idx="23">
                  <c:v>20704</c:v>
                </c:pt>
                <c:pt idx="24">
                  <c:v>22043</c:v>
                </c:pt>
                <c:pt idx="25">
                  <c:v>22149</c:v>
                </c:pt>
                <c:pt idx="26">
                  <c:v>21761</c:v>
                </c:pt>
                <c:pt idx="27">
                  <c:v>21245.880000000005</c:v>
                </c:pt>
                <c:pt idx="28">
                  <c:v>19408.330000000002</c:v>
                </c:pt>
                <c:pt idx="29">
                  <c:v>24000</c:v>
                </c:pt>
                <c:pt idx="30">
                  <c:v>24000.000000000015</c:v>
                </c:pt>
                <c:pt idx="31">
                  <c:v>710334.21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9070080"/>
        <c:axId val="159071616"/>
      </c:lineChart>
      <c:catAx>
        <c:axId val="15907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71616"/>
        <c:crosses val="autoZero"/>
        <c:auto val="1"/>
        <c:lblAlgn val="ctr"/>
        <c:lblOffset val="100"/>
        <c:noMultiLvlLbl val="0"/>
      </c:catAx>
      <c:valAx>
        <c:axId val="159071616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70080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10.650000000000546</c:v>
                </c:pt>
                <c:pt idx="1">
                  <c:v>10.740000000000236</c:v>
                </c:pt>
                <c:pt idx="2">
                  <c:v>11.409999999999854</c:v>
                </c:pt>
                <c:pt idx="3">
                  <c:v>10.569999999999709</c:v>
                </c:pt>
                <c:pt idx="4">
                  <c:v>11.409999999999854</c:v>
                </c:pt>
                <c:pt idx="5">
                  <c:v>10.910000000000764</c:v>
                </c:pt>
                <c:pt idx="6">
                  <c:v>11.4399999999996</c:v>
                </c:pt>
                <c:pt idx="7">
                  <c:v>11.479999999999563</c:v>
                </c:pt>
                <c:pt idx="8">
                  <c:v>10.8100000000004</c:v>
                </c:pt>
                <c:pt idx="9">
                  <c:v>11.5</c:v>
                </c:pt>
                <c:pt idx="10">
                  <c:v>10.5</c:v>
                </c:pt>
                <c:pt idx="11">
                  <c:v>10.75</c:v>
                </c:pt>
                <c:pt idx="12">
                  <c:v>11.529999999999745</c:v>
                </c:pt>
                <c:pt idx="13">
                  <c:v>11.230000000000473</c:v>
                </c:pt>
                <c:pt idx="14">
                  <c:v>11.260000000000218</c:v>
                </c:pt>
                <c:pt idx="15">
                  <c:v>11.819999999999709</c:v>
                </c:pt>
                <c:pt idx="16">
                  <c:v>10.970000000000255</c:v>
                </c:pt>
                <c:pt idx="17">
                  <c:v>10.710000000000036</c:v>
                </c:pt>
                <c:pt idx="18">
                  <c:v>10.989999999999782</c:v>
                </c:pt>
                <c:pt idx="19">
                  <c:v>11.139999999999418</c:v>
                </c:pt>
                <c:pt idx="20">
                  <c:v>11.170000000000073</c:v>
                </c:pt>
                <c:pt idx="21">
                  <c:v>11.440000000000509</c:v>
                </c:pt>
                <c:pt idx="22">
                  <c:v>10.729999999999563</c:v>
                </c:pt>
                <c:pt idx="23">
                  <c:v>10.260000000000218</c:v>
                </c:pt>
                <c:pt idx="24">
                  <c:v>11.679999999999836</c:v>
                </c:pt>
                <c:pt idx="25">
                  <c:v>11</c:v>
                </c:pt>
                <c:pt idx="26">
                  <c:v>11</c:v>
                </c:pt>
                <c:pt idx="27">
                  <c:v>11.680000000000291</c:v>
                </c:pt>
                <c:pt idx="28">
                  <c:v>11.449999999999818</c:v>
                </c:pt>
                <c:pt idx="29">
                  <c:v>-322.23000000000047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116288"/>
        <c:axId val="158995200"/>
      </c:lineChart>
      <c:catAx>
        <c:axId val="15911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95200"/>
        <c:crosses val="autoZero"/>
        <c:auto val="1"/>
        <c:lblAlgn val="ctr"/>
        <c:lblOffset val="100"/>
        <c:noMultiLvlLbl val="0"/>
      </c:catAx>
      <c:valAx>
        <c:axId val="158995200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162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8821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297.22999999998137</c:v>
                </c:pt>
                <c:pt idx="1">
                  <c:v>322.70999999996275</c:v>
                </c:pt>
                <c:pt idx="2">
                  <c:v>312.48999999999069</c:v>
                </c:pt>
                <c:pt idx="3">
                  <c:v>328.9100000000326</c:v>
                </c:pt>
                <c:pt idx="4">
                  <c:v>325.07999999995809</c:v>
                </c:pt>
                <c:pt idx="5">
                  <c:v>315.65000000002328</c:v>
                </c:pt>
                <c:pt idx="6">
                  <c:v>322</c:v>
                </c:pt>
                <c:pt idx="7">
                  <c:v>309</c:v>
                </c:pt>
                <c:pt idx="8">
                  <c:v>300</c:v>
                </c:pt>
                <c:pt idx="9">
                  <c:v>329</c:v>
                </c:pt>
                <c:pt idx="10">
                  <c:v>321</c:v>
                </c:pt>
                <c:pt idx="11">
                  <c:v>322</c:v>
                </c:pt>
                <c:pt idx="12">
                  <c:v>330.4100000000326</c:v>
                </c:pt>
                <c:pt idx="13">
                  <c:v>317.41999999992549</c:v>
                </c:pt>
                <c:pt idx="14">
                  <c:v>305.65000000002328</c:v>
                </c:pt>
                <c:pt idx="15">
                  <c:v>312.83000000007451</c:v>
                </c:pt>
                <c:pt idx="16">
                  <c:v>318.68999999994412</c:v>
                </c:pt>
                <c:pt idx="17">
                  <c:v>321.20999999996275</c:v>
                </c:pt>
                <c:pt idx="18">
                  <c:v>332.31000000005588</c:v>
                </c:pt>
                <c:pt idx="19">
                  <c:v>301.47999999998137</c:v>
                </c:pt>
                <c:pt idx="20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709.33000000003085</c:v>
                </c:pt>
                <c:pt idx="1">
                  <c:v>695.7600000000657</c:v>
                </c:pt>
                <c:pt idx="2">
                  <c:v>645.95000000003893</c:v>
                </c:pt>
                <c:pt idx="3">
                  <c:v>681.25999999991836</c:v>
                </c:pt>
                <c:pt idx="4">
                  <c:v>463.70000000015352</c:v>
                </c:pt>
                <c:pt idx="5">
                  <c:v>703.74999999994179</c:v>
                </c:pt>
                <c:pt idx="6">
                  <c:v>681</c:v>
                </c:pt>
                <c:pt idx="7">
                  <c:v>667</c:v>
                </c:pt>
                <c:pt idx="8">
                  <c:v>749</c:v>
                </c:pt>
                <c:pt idx="9">
                  <c:v>677</c:v>
                </c:pt>
                <c:pt idx="10">
                  <c:v>654</c:v>
                </c:pt>
                <c:pt idx="11">
                  <c:v>675.22999999988315</c:v>
                </c:pt>
                <c:pt idx="12">
                  <c:v>640.04000000007363</c:v>
                </c:pt>
                <c:pt idx="13">
                  <c:v>643.22200000001249</c:v>
                </c:pt>
                <c:pt idx="14">
                  <c:v>717.93399999995927</c:v>
                </c:pt>
                <c:pt idx="15">
                  <c:v>616.46399999990717</c:v>
                </c:pt>
                <c:pt idx="16">
                  <c:v>660.67000000022017</c:v>
                </c:pt>
                <c:pt idx="17">
                  <c:v>626.87999999985914</c:v>
                </c:pt>
                <c:pt idx="18">
                  <c:v>588.48000000015963</c:v>
                </c:pt>
                <c:pt idx="19">
                  <c:v>602.07999999992535</c:v>
                </c:pt>
                <c:pt idx="20">
                  <c:v>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135</c:v>
                </c:pt>
                <c:pt idx="1">
                  <c:v>129.82000000000698</c:v>
                </c:pt>
                <c:pt idx="2">
                  <c:v>120.57999999998719</c:v>
                </c:pt>
                <c:pt idx="3">
                  <c:v>133.90000000002328</c:v>
                </c:pt>
                <c:pt idx="4">
                  <c:v>153.5</c:v>
                </c:pt>
                <c:pt idx="5">
                  <c:v>119.79999999998836</c:v>
                </c:pt>
                <c:pt idx="6">
                  <c:v>137</c:v>
                </c:pt>
                <c:pt idx="7">
                  <c:v>141</c:v>
                </c:pt>
                <c:pt idx="8">
                  <c:v>152</c:v>
                </c:pt>
                <c:pt idx="9">
                  <c:v>139</c:v>
                </c:pt>
                <c:pt idx="10">
                  <c:v>110</c:v>
                </c:pt>
                <c:pt idx="11">
                  <c:v>130.60000000000582</c:v>
                </c:pt>
                <c:pt idx="12">
                  <c:v>136.82000000000698</c:v>
                </c:pt>
                <c:pt idx="13">
                  <c:v>123.57999999998719</c:v>
                </c:pt>
                <c:pt idx="14">
                  <c:v>134.60000000000582</c:v>
                </c:pt>
                <c:pt idx="15">
                  <c:v>149.60000000000582</c:v>
                </c:pt>
                <c:pt idx="16">
                  <c:v>127.04999999998836</c:v>
                </c:pt>
                <c:pt idx="17">
                  <c:v>111.48000000001048</c:v>
                </c:pt>
                <c:pt idx="18">
                  <c:v>92.069999999977881</c:v>
                </c:pt>
                <c:pt idx="19">
                  <c:v>120.20000000001164</c:v>
                </c:pt>
                <c:pt idx="20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71872"/>
        <c:axId val="159481856"/>
      </c:lineChart>
      <c:catAx>
        <c:axId val="1594718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9481856"/>
        <c:crosses val="autoZero"/>
        <c:auto val="1"/>
        <c:lblAlgn val="ctr"/>
        <c:lblOffset val="100"/>
        <c:noMultiLvlLbl val="0"/>
      </c:catAx>
      <c:valAx>
        <c:axId val="1594818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94718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894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0.23819260631727698</c:v>
                </c:pt>
                <c:pt idx="1">
                  <c:v>4727.1299999999756</c:v>
                </c:pt>
                <c:pt idx="2">
                  <c:v>6111.3000000001048</c:v>
                </c:pt>
                <c:pt idx="3">
                  <c:v>6927.1499999999942</c:v>
                </c:pt>
                <c:pt idx="4">
                  <c:v>0</c:v>
                </c:pt>
                <c:pt idx="5">
                  <c:v>5338.6400000000722</c:v>
                </c:pt>
                <c:pt idx="6">
                  <c:v>6499.3400000000256</c:v>
                </c:pt>
                <c:pt idx="7">
                  <c:v>6030.9800000000105</c:v>
                </c:pt>
                <c:pt idx="8">
                  <c:v>6457.789999999979</c:v>
                </c:pt>
                <c:pt idx="9">
                  <c:v>6306</c:v>
                </c:pt>
                <c:pt idx="10">
                  <c:v>5467</c:v>
                </c:pt>
                <c:pt idx="11">
                  <c:v>5511</c:v>
                </c:pt>
                <c:pt idx="12">
                  <c:v>5072</c:v>
                </c:pt>
                <c:pt idx="13">
                  <c:v>3919</c:v>
                </c:pt>
                <c:pt idx="14">
                  <c:v>5187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2391936"/>
        <c:axId val="162393472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461284</c:v>
                </c:pt>
                <c:pt idx="1">
                  <c:v>482951</c:v>
                </c:pt>
                <c:pt idx="2">
                  <c:v>531902.91</c:v>
                </c:pt>
                <c:pt idx="3">
                  <c:v>506591.27</c:v>
                </c:pt>
                <c:pt idx="4">
                  <c:v>0</c:v>
                </c:pt>
                <c:pt idx="5">
                  <c:v>577365.03</c:v>
                </c:pt>
                <c:pt idx="6">
                  <c:v>602612.55000000005</c:v>
                </c:pt>
                <c:pt idx="7">
                  <c:v>627354.87</c:v>
                </c:pt>
                <c:pt idx="8">
                  <c:v>652782</c:v>
                </c:pt>
                <c:pt idx="9">
                  <c:v>677162</c:v>
                </c:pt>
                <c:pt idx="10">
                  <c:v>701603</c:v>
                </c:pt>
                <c:pt idx="11">
                  <c:v>726641</c:v>
                </c:pt>
                <c:pt idx="12">
                  <c:v>750325</c:v>
                </c:pt>
                <c:pt idx="13">
                  <c:v>773384</c:v>
                </c:pt>
                <c:pt idx="14">
                  <c:v>796968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79712"/>
        <c:axId val="163781248"/>
      </c:lineChart>
      <c:catAx>
        <c:axId val="162391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93472"/>
        <c:crosses val="autoZero"/>
        <c:auto val="1"/>
        <c:lblAlgn val="ctr"/>
        <c:lblOffset val="100"/>
        <c:noMultiLvlLbl val="0"/>
      </c:catAx>
      <c:valAx>
        <c:axId val="16239347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91936"/>
        <c:crosses val="autoZero"/>
        <c:crossBetween val="between"/>
        <c:minorUnit val="50"/>
      </c:valAx>
      <c:catAx>
        <c:axId val="163779712"/>
        <c:scaling>
          <c:orientation val="minMax"/>
        </c:scaling>
        <c:delete val="1"/>
        <c:axPos val="b"/>
        <c:majorTickMark val="out"/>
        <c:minorTickMark val="none"/>
        <c:tickLblPos val="none"/>
        <c:crossAx val="163781248"/>
        <c:crosses val="autoZero"/>
        <c:auto val="1"/>
        <c:lblAlgn val="ctr"/>
        <c:lblOffset val="100"/>
        <c:noMultiLvlLbl val="0"/>
      </c:catAx>
      <c:valAx>
        <c:axId val="16378124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79712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34496"/>
        <c:axId val="162865536"/>
      </c:lineChart>
      <c:catAx>
        <c:axId val="163834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65536"/>
        <c:crosses val="autoZero"/>
        <c:auto val="1"/>
        <c:lblAlgn val="ctr"/>
        <c:lblOffset val="100"/>
        <c:noMultiLvlLbl val="0"/>
      </c:catAx>
      <c:valAx>
        <c:axId val="162865536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344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461284</c:v>
                </c:pt>
                <c:pt idx="1">
                  <c:v>482951</c:v>
                </c:pt>
                <c:pt idx="2">
                  <c:v>531902.91</c:v>
                </c:pt>
                <c:pt idx="3">
                  <c:v>506591.27</c:v>
                </c:pt>
                <c:pt idx="4">
                  <c:v>0</c:v>
                </c:pt>
                <c:pt idx="5">
                  <c:v>577365.03</c:v>
                </c:pt>
                <c:pt idx="6">
                  <c:v>602612.55000000005</c:v>
                </c:pt>
                <c:pt idx="7">
                  <c:v>627354.87</c:v>
                </c:pt>
                <c:pt idx="8">
                  <c:v>652782</c:v>
                </c:pt>
                <c:pt idx="9">
                  <c:v>677162</c:v>
                </c:pt>
                <c:pt idx="10">
                  <c:v>701603</c:v>
                </c:pt>
                <c:pt idx="11">
                  <c:v>726641</c:v>
                </c:pt>
                <c:pt idx="12">
                  <c:v>750325</c:v>
                </c:pt>
                <c:pt idx="13">
                  <c:v>773384</c:v>
                </c:pt>
                <c:pt idx="14">
                  <c:v>796968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2902784"/>
        <c:axId val="162904320"/>
      </c:lineChart>
      <c:catAx>
        <c:axId val="162902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04320"/>
        <c:crosses val="autoZero"/>
        <c:auto val="1"/>
        <c:lblAlgn val="ctr"/>
        <c:lblOffset val="100"/>
        <c:noMultiLvlLbl val="0"/>
      </c:catAx>
      <c:valAx>
        <c:axId val="162904320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027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0439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179</c:v>
                </c:pt>
                <c:pt idx="1">
                  <c:v>227.19999999999982</c:v>
                </c:pt>
                <c:pt idx="2">
                  <c:v>234</c:v>
                </c:pt>
                <c:pt idx="3">
                  <c:v>198.80000000000018</c:v>
                </c:pt>
                <c:pt idx="4">
                  <c:v>0</c:v>
                </c:pt>
                <c:pt idx="5">
                  <c:v>193</c:v>
                </c:pt>
                <c:pt idx="6">
                  <c:v>212</c:v>
                </c:pt>
                <c:pt idx="7">
                  <c:v>216</c:v>
                </c:pt>
                <c:pt idx="8">
                  <c:v>261</c:v>
                </c:pt>
                <c:pt idx="9">
                  <c:v>219</c:v>
                </c:pt>
                <c:pt idx="10">
                  <c:v>216</c:v>
                </c:pt>
                <c:pt idx="11">
                  <c:v>219</c:v>
                </c:pt>
                <c:pt idx="12">
                  <c:v>277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516416"/>
        <c:axId val="163517952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461284</c:v>
                </c:pt>
                <c:pt idx="1">
                  <c:v>482951</c:v>
                </c:pt>
                <c:pt idx="2">
                  <c:v>531902.91</c:v>
                </c:pt>
                <c:pt idx="3">
                  <c:v>506591.27</c:v>
                </c:pt>
                <c:pt idx="4">
                  <c:v>0</c:v>
                </c:pt>
                <c:pt idx="5">
                  <c:v>577365.03</c:v>
                </c:pt>
                <c:pt idx="6">
                  <c:v>602612.55000000005</c:v>
                </c:pt>
                <c:pt idx="7">
                  <c:v>627354.87</c:v>
                </c:pt>
                <c:pt idx="8">
                  <c:v>652782</c:v>
                </c:pt>
                <c:pt idx="9">
                  <c:v>677162</c:v>
                </c:pt>
                <c:pt idx="10">
                  <c:v>701603</c:v>
                </c:pt>
                <c:pt idx="11">
                  <c:v>726641</c:v>
                </c:pt>
                <c:pt idx="12">
                  <c:v>750325</c:v>
                </c:pt>
                <c:pt idx="13">
                  <c:v>773384</c:v>
                </c:pt>
                <c:pt idx="14">
                  <c:v>796968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519488"/>
        <c:axId val="163525376"/>
      </c:lineChart>
      <c:catAx>
        <c:axId val="16351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17952"/>
        <c:crosses val="autoZero"/>
        <c:auto val="1"/>
        <c:lblAlgn val="ctr"/>
        <c:lblOffset val="100"/>
        <c:noMultiLvlLbl val="0"/>
      </c:catAx>
      <c:valAx>
        <c:axId val="163517952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16416"/>
        <c:crosses val="autoZero"/>
        <c:crossBetween val="between"/>
      </c:valAx>
      <c:catAx>
        <c:axId val="163519488"/>
        <c:scaling>
          <c:orientation val="minMax"/>
        </c:scaling>
        <c:delete val="1"/>
        <c:axPos val="b"/>
        <c:majorTickMark val="out"/>
        <c:minorTickMark val="none"/>
        <c:tickLblPos val="none"/>
        <c:crossAx val="163525376"/>
        <c:crosses val="autoZero"/>
        <c:auto val="1"/>
        <c:lblAlgn val="ctr"/>
        <c:lblOffset val="100"/>
        <c:noMultiLvlLbl val="0"/>
      </c:catAx>
      <c:valAx>
        <c:axId val="16352537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194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44</c:v>
                </c:pt>
                <c:pt idx="1">
                  <c:v>58</c:v>
                </c:pt>
                <c:pt idx="2">
                  <c:v>51</c:v>
                </c:pt>
                <c:pt idx="3">
                  <c:v>51</c:v>
                </c:pt>
                <c:pt idx="4">
                  <c:v>0</c:v>
                </c:pt>
                <c:pt idx="5">
                  <c:v>56</c:v>
                </c:pt>
                <c:pt idx="6">
                  <c:v>49</c:v>
                </c:pt>
                <c:pt idx="7">
                  <c:v>46</c:v>
                </c:pt>
                <c:pt idx="8">
                  <c:v>71</c:v>
                </c:pt>
                <c:pt idx="9">
                  <c:v>55</c:v>
                </c:pt>
                <c:pt idx="10">
                  <c:v>47</c:v>
                </c:pt>
                <c:pt idx="11">
                  <c:v>51</c:v>
                </c:pt>
                <c:pt idx="12">
                  <c:v>62</c:v>
                </c:pt>
                <c:pt idx="13">
                  <c:v>49</c:v>
                </c:pt>
                <c:pt idx="14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6</c:v>
                </c:pt>
                <c:pt idx="1">
                  <c:v>21.199999999999818</c:v>
                </c:pt>
                <c:pt idx="2">
                  <c:v>13</c:v>
                </c:pt>
                <c:pt idx="3">
                  <c:v>2.8000000000001819</c:v>
                </c:pt>
                <c:pt idx="4">
                  <c:v>0</c:v>
                </c:pt>
                <c:pt idx="5">
                  <c:v>8</c:v>
                </c:pt>
                <c:pt idx="6">
                  <c:v>13</c:v>
                </c:pt>
                <c:pt idx="7">
                  <c:v>9</c:v>
                </c:pt>
                <c:pt idx="8">
                  <c:v>10</c:v>
                </c:pt>
                <c:pt idx="9">
                  <c:v>15</c:v>
                </c:pt>
                <c:pt idx="10">
                  <c:v>11</c:v>
                </c:pt>
                <c:pt idx="11">
                  <c:v>9</c:v>
                </c:pt>
                <c:pt idx="12">
                  <c:v>14</c:v>
                </c:pt>
                <c:pt idx="13">
                  <c:v>213</c:v>
                </c:pt>
                <c:pt idx="14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568640"/>
        <c:axId val="163574528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461284</c:v>
                </c:pt>
                <c:pt idx="1">
                  <c:v>482951</c:v>
                </c:pt>
                <c:pt idx="2">
                  <c:v>531902.91</c:v>
                </c:pt>
                <c:pt idx="3">
                  <c:v>506591.27</c:v>
                </c:pt>
                <c:pt idx="4">
                  <c:v>0</c:v>
                </c:pt>
                <c:pt idx="5">
                  <c:v>577365.03</c:v>
                </c:pt>
                <c:pt idx="6">
                  <c:v>602612.55000000005</c:v>
                </c:pt>
                <c:pt idx="7">
                  <c:v>627354.87</c:v>
                </c:pt>
                <c:pt idx="8">
                  <c:v>652782</c:v>
                </c:pt>
                <c:pt idx="9">
                  <c:v>677162</c:v>
                </c:pt>
                <c:pt idx="10">
                  <c:v>701603</c:v>
                </c:pt>
                <c:pt idx="11">
                  <c:v>726641</c:v>
                </c:pt>
                <c:pt idx="12">
                  <c:v>750325</c:v>
                </c:pt>
                <c:pt idx="13">
                  <c:v>773384</c:v>
                </c:pt>
                <c:pt idx="14">
                  <c:v>796968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576064"/>
        <c:axId val="164110336"/>
      </c:lineChart>
      <c:catAx>
        <c:axId val="16356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74528"/>
        <c:crosses val="autoZero"/>
        <c:auto val="1"/>
        <c:lblAlgn val="ctr"/>
        <c:lblOffset val="100"/>
        <c:noMultiLvlLbl val="0"/>
      </c:catAx>
      <c:valAx>
        <c:axId val="163574528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68640"/>
        <c:crosses val="autoZero"/>
        <c:crossBetween val="between"/>
        <c:majorUnit val="2"/>
      </c:valAx>
      <c:catAx>
        <c:axId val="163576064"/>
        <c:scaling>
          <c:orientation val="minMax"/>
        </c:scaling>
        <c:delete val="1"/>
        <c:axPos val="b"/>
        <c:majorTickMark val="out"/>
        <c:minorTickMark val="none"/>
        <c:tickLblPos val="none"/>
        <c:crossAx val="164110336"/>
        <c:crosses val="autoZero"/>
        <c:auto val="1"/>
        <c:lblAlgn val="ctr"/>
        <c:lblOffset val="100"/>
        <c:noMultiLvlLbl val="0"/>
      </c:catAx>
      <c:valAx>
        <c:axId val="16411033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7606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1" workbookViewId="0">
      <selection activeCell="N44" sqref="N44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12</v>
      </c>
      <c r="D2" s="274">
        <v>2021</v>
      </c>
      <c r="E2" s="275">
        <f>(IF('Daily HLP'!H4&gt;0,'Daily HLP'!H4,0))</f>
        <v>22989</v>
      </c>
      <c r="F2" s="276">
        <v>9</v>
      </c>
      <c r="G2" s="276">
        <f>(IF('Daily HLP'!L4&gt;0,'Daily HLP'!L4,0))</f>
        <v>1074</v>
      </c>
      <c r="H2" s="276">
        <v>75</v>
      </c>
      <c r="I2" s="276">
        <f>(IF('Daily HLP'!O4&gt;0,'Daily HLP'!O4,0))</f>
        <v>212</v>
      </c>
      <c r="J2" s="276">
        <v>99</v>
      </c>
      <c r="K2" s="281">
        <f>Occupancy!G2</f>
        <v>171</v>
      </c>
      <c r="L2" s="275">
        <f>Occupancy!F2</f>
        <v>657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12</v>
      </c>
      <c r="D3" s="274">
        <v>2021</v>
      </c>
      <c r="E3" s="275">
        <f>(IF('Daily HLP'!H5&gt;0,'Daily HLP'!H5,0))</f>
        <v>21667</v>
      </c>
      <c r="F3" s="276">
        <v>9</v>
      </c>
      <c r="G3" s="276">
        <f>(IF('Daily HLP'!L5&gt;0,'Daily HLP'!L5,0))</f>
        <v>1094.2399999999907</v>
      </c>
      <c r="H3" s="276">
        <v>75</v>
      </c>
      <c r="I3" s="276">
        <f>(IF('Daily HLP'!O5&gt;0,'Daily HLP'!O5,0))</f>
        <v>254</v>
      </c>
      <c r="J3" s="276">
        <v>99</v>
      </c>
      <c r="K3" s="281">
        <f>Occupancy!G3</f>
        <v>169</v>
      </c>
      <c r="L3" s="275">
        <f>Occupancy!F3</f>
        <v>524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12</v>
      </c>
      <c r="D4" s="274">
        <v>2021</v>
      </c>
      <c r="E4" s="275">
        <f>(IF('Daily HLP'!H6&gt;0,'Daily HLP'!H6,0))</f>
        <v>23640.270000000019</v>
      </c>
      <c r="F4" s="276">
        <v>9</v>
      </c>
      <c r="G4" s="276">
        <f>(IF('Daily HLP'!L6&gt;0,'Daily HLP'!L6,0))</f>
        <v>1144.1499999999069</v>
      </c>
      <c r="H4" s="276">
        <v>75</v>
      </c>
      <c r="I4" s="276">
        <f>(IF('Daily HLP'!O6&gt;0,'Daily HLP'!O6,0))</f>
        <v>285</v>
      </c>
      <c r="J4" s="276">
        <v>99</v>
      </c>
      <c r="K4" s="281">
        <f>Occupancy!G4</f>
        <v>178</v>
      </c>
      <c r="L4" s="275">
        <f>Occupancy!F4</f>
        <v>986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12</v>
      </c>
      <c r="D5" s="274">
        <v>2021</v>
      </c>
      <c r="E5" s="275">
        <f>(IF('Daily HLP'!H7&gt;0,'Daily HLP'!H7,0))</f>
        <v>25311.640000000014</v>
      </c>
      <c r="F5" s="276">
        <v>9</v>
      </c>
      <c r="G5" s="276">
        <f>(IF('Daily HLP'!L7&gt;0,'Daily HLP'!L7,0))</f>
        <v>1192.7600000000093</v>
      </c>
      <c r="H5" s="276">
        <v>75</v>
      </c>
      <c r="I5" s="276">
        <f>(IF('Daily HLP'!O7&gt;0,'Daily HLP'!O7,0))</f>
        <v>254</v>
      </c>
      <c r="J5" s="276">
        <v>99</v>
      </c>
      <c r="K5" s="281">
        <f>Occupancy!G5</f>
        <v>116</v>
      </c>
      <c r="L5" s="275">
        <f>Occupancy!F5</f>
        <v>562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12</v>
      </c>
      <c r="D6" s="274">
        <v>2021</v>
      </c>
      <c r="E6" s="275">
        <f>(IF('Daily HLP'!H8&gt;0,'Daily HLP'!H8,0))</f>
        <v>23337</v>
      </c>
      <c r="F6" s="276">
        <v>9</v>
      </c>
      <c r="G6" s="276">
        <f>(IF('Daily HLP'!L8&gt;0,'Daily HLP'!L8,0))</f>
        <v>1192.2900000000373</v>
      </c>
      <c r="H6" s="276">
        <v>75</v>
      </c>
      <c r="I6" s="276">
        <f>(IF('Daily HLP'!O8&gt;0,'Daily HLP'!O8,0))</f>
        <v>253</v>
      </c>
      <c r="J6" s="276">
        <v>99</v>
      </c>
      <c r="K6" s="281">
        <f>Occupancy!G6</f>
        <v>172</v>
      </c>
      <c r="L6" s="275">
        <f>Occupancy!F6</f>
        <v>1366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12</v>
      </c>
      <c r="D7" s="274">
        <v>2021</v>
      </c>
      <c r="E7" s="275">
        <f>(IF('Daily HLP'!H9&gt;0,'Daily HLP'!H9,0))</f>
        <v>22125.119999999995</v>
      </c>
      <c r="F7" s="276">
        <v>9</v>
      </c>
      <c r="G7" s="276">
        <f>(IF('Daily HLP'!L9&gt;0,'Daily HLP'!L9,0))</f>
        <v>1123.0200000000186</v>
      </c>
      <c r="H7" s="276">
        <v>75</v>
      </c>
      <c r="I7" s="276">
        <f>(IF('Daily HLP'!O9&gt;0,'Daily HLP'!O9,0))</f>
        <v>253</v>
      </c>
      <c r="J7" s="276">
        <v>99</v>
      </c>
      <c r="K7" s="281">
        <f>Occupancy!G7</f>
        <v>114</v>
      </c>
      <c r="L7" s="275">
        <f>Occupancy!F7</f>
        <v>550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12</v>
      </c>
      <c r="D8" s="274">
        <v>2021</v>
      </c>
      <c r="E8" s="275">
        <f>(IF('Daily HLP'!H10&gt;0,'Daily HLP'!H10,0))</f>
        <v>25247.520000000019</v>
      </c>
      <c r="F8" s="276">
        <v>9</v>
      </c>
      <c r="G8" s="276">
        <f>(IF('Daily HLP'!L10&gt;0,'Daily HLP'!L10,0))</f>
        <v>1194.9699999999721</v>
      </c>
      <c r="H8" s="276">
        <v>75</v>
      </c>
      <c r="I8" s="276">
        <f>(IF('Daily HLP'!O10&gt;0,'Daily HLP'!O10,0))</f>
        <v>233</v>
      </c>
      <c r="J8" s="276">
        <v>99</v>
      </c>
      <c r="K8" s="281">
        <f>Occupancy!G8</f>
        <v>158</v>
      </c>
      <c r="L8" s="275">
        <f>Occupancy!F8</f>
        <v>459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12</v>
      </c>
      <c r="D9" s="274">
        <v>2021</v>
      </c>
      <c r="E9" s="275">
        <f>(IF('Daily HLP'!H11&gt;0,'Daily HLP'!H11,0))</f>
        <v>24742.319999999949</v>
      </c>
      <c r="F9" s="276">
        <v>9</v>
      </c>
      <c r="G9" s="276">
        <f>(IF('Daily HLP'!L11&gt;0,'Daily HLP'!L11,0))</f>
        <v>1247.3700000001118</v>
      </c>
      <c r="H9" s="276">
        <v>75</v>
      </c>
      <c r="I9" s="276">
        <f>(IF('Daily HLP'!O11&gt;0,'Daily HLP'!O11,0))</f>
        <v>273</v>
      </c>
      <c r="J9" s="276">
        <v>99</v>
      </c>
      <c r="K9" s="281">
        <f>Occupancy!G9</f>
        <v>143</v>
      </c>
      <c r="L9" s="275">
        <f>Occupancy!F9</f>
        <v>892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12</v>
      </c>
      <c r="D10" s="274">
        <v>2021</v>
      </c>
      <c r="E10" s="275">
        <f>(IF('Daily HLP'!H12&gt;0,'Daily HLP'!H12,0))</f>
        <v>25427.130000000005</v>
      </c>
      <c r="F10" s="276">
        <v>9</v>
      </c>
      <c r="G10" s="276">
        <f>(IF('Daily HLP'!L12&gt;0,'Daily HLP'!L12,0))</f>
        <v>1195.1999999999534</v>
      </c>
      <c r="H10" s="276">
        <v>75</v>
      </c>
      <c r="I10" s="276">
        <f>(IF('Daily HLP'!O12&gt;0,'Daily HLP'!O12,0))</f>
        <v>295</v>
      </c>
      <c r="J10" s="276">
        <v>99</v>
      </c>
      <c r="K10" s="281">
        <f>Occupancy!G10</f>
        <v>149</v>
      </c>
      <c r="L10" s="275">
        <f>Occupancy!F10</f>
        <v>1371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12</v>
      </c>
      <c r="D11" s="274">
        <v>2021</v>
      </c>
      <c r="E11" s="275">
        <f>(IF('Daily HLP'!H13&gt;0,'Daily HLP'!H13,0))</f>
        <v>24380</v>
      </c>
      <c r="F11" s="276">
        <v>9</v>
      </c>
      <c r="G11" s="276">
        <f>(IF('Daily HLP'!L13&gt;0,'Daily HLP'!L13,0))</f>
        <v>1193</v>
      </c>
      <c r="H11" s="276">
        <v>75</v>
      </c>
      <c r="I11" s="276">
        <f>(IF('Daily HLP'!O13&gt;0,'Daily HLP'!O13,0))</f>
        <v>271</v>
      </c>
      <c r="J11" s="276">
        <v>99</v>
      </c>
      <c r="K11" s="281">
        <f>Occupancy!G11</f>
        <v>140</v>
      </c>
      <c r="L11" s="275">
        <f>Occupancy!F11</f>
        <v>855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12</v>
      </c>
      <c r="D12" s="274">
        <v>2021</v>
      </c>
      <c r="E12" s="275">
        <f>(IF('Daily HLP'!H14&gt;0,'Daily HLP'!H14,0))</f>
        <v>24441</v>
      </c>
      <c r="F12" s="276">
        <v>9</v>
      </c>
      <c r="G12" s="276">
        <f>(IF('Daily HLP'!L14&gt;0,'Daily HLP'!L14,0))</f>
        <v>1164</v>
      </c>
      <c r="H12" s="276">
        <v>75</v>
      </c>
      <c r="I12" s="276">
        <f>(IF('Daily HLP'!O14&gt;0,'Daily HLP'!O14,0))</f>
        <v>274</v>
      </c>
      <c r="J12" s="276">
        <v>99</v>
      </c>
      <c r="K12" s="281">
        <f>Occupancy!G12</f>
        <v>158</v>
      </c>
      <c r="L12" s="275">
        <f>Occupancy!F12</f>
        <v>2169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12</v>
      </c>
      <c r="D13" s="274">
        <v>2021</v>
      </c>
      <c r="E13" s="275">
        <f>(IF('Daily HLP'!H15&gt;0,'Daily HLP'!H15,0))</f>
        <v>25038</v>
      </c>
      <c r="F13" s="276">
        <v>9</v>
      </c>
      <c r="G13" s="276">
        <f>(IF('Daily HLP'!L15&gt;0,'Daily HLP'!L15,0))</f>
        <v>1252</v>
      </c>
      <c r="H13" s="276">
        <v>75</v>
      </c>
      <c r="I13" s="276">
        <f>(IF('Daily HLP'!O15&gt;0,'Daily HLP'!O15,0))</f>
        <v>294</v>
      </c>
      <c r="J13" s="276">
        <v>99</v>
      </c>
      <c r="K13" s="281">
        <f>Occupancy!G13</f>
        <v>126</v>
      </c>
      <c r="L13" s="275">
        <f>Occupancy!F13</f>
        <v>1260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12</v>
      </c>
      <c r="D14" s="274">
        <v>2021</v>
      </c>
      <c r="E14" s="275">
        <f>(IF('Daily HLP'!H16&gt;0,'Daily HLP'!H16,0))</f>
        <v>23684</v>
      </c>
      <c r="F14" s="276">
        <v>9</v>
      </c>
      <c r="G14" s="276">
        <f>(IF('Daily HLP'!L16&gt;0,'Daily HLP'!L16,0))</f>
        <v>1211</v>
      </c>
      <c r="H14" s="276">
        <v>75</v>
      </c>
      <c r="I14" s="276">
        <f>(IF('Daily HLP'!O16&gt;0,'Daily HLP'!O16,0))</f>
        <v>294</v>
      </c>
      <c r="J14" s="276">
        <v>99</v>
      </c>
      <c r="K14" s="281">
        <f>Occupancy!G14</f>
        <v>138</v>
      </c>
      <c r="L14" s="275">
        <f>Occupancy!F14</f>
        <v>1291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12</v>
      </c>
      <c r="D15" s="274">
        <v>2021</v>
      </c>
      <c r="E15" s="275">
        <f>(IF('Daily HLP'!H17&gt;0,'Daily HLP'!H17,0))</f>
        <v>23059</v>
      </c>
      <c r="F15" s="276">
        <v>9</v>
      </c>
      <c r="G15" s="276">
        <f>(IF('Daily HLP'!L17&gt;0,'Daily HLP'!L17,0))</f>
        <v>1124</v>
      </c>
      <c r="H15" s="276">
        <v>75</v>
      </c>
      <c r="I15" s="276">
        <f>(IF('Daily HLP'!O17&gt;0,'Daily HLP'!O17,0))</f>
        <v>292</v>
      </c>
      <c r="J15" s="276">
        <v>99</v>
      </c>
      <c r="K15" s="281">
        <f>Occupancy!G15</f>
        <v>114</v>
      </c>
      <c r="L15" s="275">
        <f>Occupancy!F15</f>
        <v>789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12</v>
      </c>
      <c r="D16" s="274">
        <v>2021</v>
      </c>
      <c r="E16" s="275">
        <f>(IF('Daily HLP'!H18&gt;0,'Daily HLP'!H18,0))</f>
        <v>23584</v>
      </c>
      <c r="F16" s="276">
        <v>9</v>
      </c>
      <c r="G16" s="276">
        <f>(IF('Daily HLP'!L18&gt;0,'Daily HLP'!L18,0))</f>
        <v>1178.1299999998882</v>
      </c>
      <c r="H16" s="276">
        <v>75</v>
      </c>
      <c r="I16" s="276">
        <f>(IF('Daily HLP'!O18&gt;0,'Daily HLP'!O18,0))</f>
        <v>240</v>
      </c>
      <c r="J16" s="276">
        <v>99</v>
      </c>
      <c r="K16" s="281">
        <f>Occupancy!G16</f>
        <v>155</v>
      </c>
      <c r="L16" s="275">
        <f>Occupancy!F16</f>
        <v>1047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12</v>
      </c>
      <c r="D17" s="274">
        <v>2021</v>
      </c>
      <c r="E17" s="275">
        <f>(IF('Daily HLP'!H19&gt;0,'Daily HLP'!H19,0))</f>
        <v>22268.709999999963</v>
      </c>
      <c r="F17" s="276">
        <v>9</v>
      </c>
      <c r="G17" s="276">
        <f>(IF('Daily HLP'!L19&gt;0,'Daily HLP'!L19,0))</f>
        <v>1154.8700000001118</v>
      </c>
      <c r="H17" s="276">
        <v>75</v>
      </c>
      <c r="I17" s="276">
        <f>(IF('Daily HLP'!O19&gt;0,'Daily HLP'!O19,0))</f>
        <v>268</v>
      </c>
      <c r="J17" s="276">
        <v>99</v>
      </c>
      <c r="K17" s="281">
        <f>Occupancy!G17</f>
        <v>151</v>
      </c>
      <c r="L17" s="275">
        <f>Occupancy!F17</f>
        <v>1066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12</v>
      </c>
      <c r="D18" s="274">
        <v>2021</v>
      </c>
      <c r="E18" s="275">
        <f>(IF('Daily HLP'!H20&gt;0,'Daily HLP'!H20,0))</f>
        <v>24204.290000000037</v>
      </c>
      <c r="F18" s="276">
        <v>9</v>
      </c>
      <c r="G18" s="276">
        <f>(IF('Daily HLP'!L20&gt;0,'Daily HLP'!L20,0))</f>
        <v>1138.8219999999274</v>
      </c>
      <c r="H18" s="276">
        <v>75</v>
      </c>
      <c r="I18" s="276">
        <f>(IF('Daily HLP'!O20&gt;0,'Daily HLP'!O20,0))</f>
        <v>234</v>
      </c>
      <c r="J18" s="276">
        <v>99</v>
      </c>
      <c r="K18" s="281">
        <f>Occupancy!G18</f>
        <v>153</v>
      </c>
      <c r="L18" s="275">
        <f>Occupancy!F18</f>
        <v>668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12</v>
      </c>
      <c r="D19" s="274">
        <v>2021</v>
      </c>
      <c r="E19" s="275">
        <f>(IF('Daily HLP'!H21&gt;0,'Daily HLP'!H21,0))</f>
        <v>23137.75</v>
      </c>
      <c r="F19" s="276">
        <v>9</v>
      </c>
      <c r="G19" s="276">
        <f>(IF('Daily HLP'!L21&gt;0,'Daily HLP'!L21,0))</f>
        <v>1215.2839999999851</v>
      </c>
      <c r="H19" s="276">
        <v>75</v>
      </c>
      <c r="I19" s="276">
        <f>(IF('Daily HLP'!O21&gt;0,'Daily HLP'!O21,0))</f>
        <v>273</v>
      </c>
      <c r="J19" s="276">
        <v>99</v>
      </c>
      <c r="K19" s="281">
        <f>Occupancy!G19</f>
        <v>160</v>
      </c>
      <c r="L19" s="275">
        <f>Occupancy!F19</f>
        <v>820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12</v>
      </c>
      <c r="D20" s="274">
        <v>2021</v>
      </c>
      <c r="E20" s="275">
        <f>(IF('Daily HLP'!H22&gt;0,'Daily HLP'!H22,0))</f>
        <v>23251.630000000005</v>
      </c>
      <c r="F20" s="276">
        <v>9</v>
      </c>
      <c r="G20" s="276">
        <f>(IF('Daily HLP'!L22&gt;0,'Daily HLP'!L22,0))</f>
        <v>1150.2939999999944</v>
      </c>
      <c r="H20" s="276">
        <v>75</v>
      </c>
      <c r="I20" s="276">
        <f>(IF('Daily HLP'!O22&gt;0,'Daily HLP'!O22,0))</f>
        <v>273</v>
      </c>
      <c r="J20" s="276">
        <v>99</v>
      </c>
      <c r="K20" s="281">
        <f>Occupancy!G20</f>
        <v>137</v>
      </c>
      <c r="L20" s="275">
        <f>Occupancy!F20</f>
        <v>1231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12</v>
      </c>
      <c r="D21" s="274">
        <v>2021</v>
      </c>
      <c r="E21" s="275">
        <f>(IF('Daily HLP'!H23&gt;0,'Daily HLP'!H23,0))</f>
        <v>21299.930000000051</v>
      </c>
      <c r="F21" s="276">
        <v>9</v>
      </c>
      <c r="G21" s="276">
        <f>(IF('Daily HLP'!L23&gt;0,'Daily HLP'!L23,0))</f>
        <v>1154.410000000149</v>
      </c>
      <c r="H21" s="276">
        <v>75</v>
      </c>
      <c r="I21" s="276">
        <f>(IF('Daily HLP'!O23&gt;0,'Daily HLP'!O23,0))</f>
        <v>273</v>
      </c>
      <c r="J21" s="276">
        <v>99</v>
      </c>
      <c r="K21" s="281">
        <f>Occupancy!G21</f>
        <v>152</v>
      </c>
      <c r="L21" s="275">
        <f>Occupancy!F21</f>
        <v>798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12</v>
      </c>
      <c r="D22" s="274">
        <v>2021</v>
      </c>
      <c r="E22" s="275">
        <f>(IF('Daily HLP'!H24&gt;0,'Daily HLP'!H24,0))</f>
        <v>21040.79999999993</v>
      </c>
      <c r="F22" s="276">
        <v>9</v>
      </c>
      <c r="G22" s="276">
        <f>(IF('Daily HLP'!L24&gt;0,'Daily HLP'!L24,0))</f>
        <v>1115.5699999998324</v>
      </c>
      <c r="H22" s="276">
        <v>75</v>
      </c>
      <c r="I22" s="276">
        <f>(IF('Daily HLP'!O24&gt;0,'Daily HLP'!O24,0))</f>
        <v>271</v>
      </c>
      <c r="J22" s="276">
        <v>99</v>
      </c>
      <c r="K22" s="281">
        <f>Occupancy!G22</f>
        <v>145</v>
      </c>
      <c r="L22" s="275">
        <f>Occupancy!F22</f>
        <v>1093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12</v>
      </c>
      <c r="D23" s="274">
        <v>2021</v>
      </c>
      <c r="E23" s="275">
        <f>(IF('Daily HLP'!H25&gt;0,'Daily HLP'!H25,0))</f>
        <v>20778.079999999958</v>
      </c>
      <c r="F23" s="276">
        <v>9</v>
      </c>
      <c r="G23" s="276">
        <f>(IF('Daily HLP'!L25&gt;0,'Daily HLP'!L25,0))</f>
        <v>1062.4600000001956</v>
      </c>
      <c r="H23" s="276">
        <v>75</v>
      </c>
      <c r="I23" s="276">
        <f>(IF('Daily HLP'!O25&gt;0,'Daily HLP'!O25,0))</f>
        <v>241</v>
      </c>
      <c r="J23" s="276">
        <v>99</v>
      </c>
      <c r="K23" s="281">
        <f>Occupancy!G23</f>
        <v>149</v>
      </c>
      <c r="L23" s="275">
        <f>Occupancy!F23</f>
        <v>579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12</v>
      </c>
      <c r="D24" s="274">
        <v>2021</v>
      </c>
      <c r="E24" s="275">
        <f>(IF('Daily HLP'!H26&gt;0,'Daily HLP'!H26,0))</f>
        <v>20368.810000000056</v>
      </c>
      <c r="F24" s="276">
        <v>9</v>
      </c>
      <c r="G24" s="276">
        <f>(IF('Daily HLP'!L26&gt;0,'Daily HLP'!L26,0))</f>
        <v>1066.1599999999162</v>
      </c>
      <c r="H24" s="276">
        <v>75</v>
      </c>
      <c r="I24" s="276">
        <f>(IF('Daily HLP'!O26&gt;0,'Daily HLP'!O26,0))</f>
        <v>249</v>
      </c>
      <c r="J24" s="276">
        <v>99</v>
      </c>
      <c r="K24" s="281">
        <f>Occupancy!G24</f>
        <v>130</v>
      </c>
      <c r="L24" s="275">
        <f>Occupancy!F24</f>
        <v>709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12</v>
      </c>
      <c r="D25" s="274">
        <v>2021</v>
      </c>
      <c r="E25" s="275">
        <f>(IF('Daily HLP'!H27&gt;0,'Daily HLP'!H27,0))</f>
        <v>20704</v>
      </c>
      <c r="F25" s="276">
        <v>9</v>
      </c>
      <c r="G25" s="276">
        <f>(IF('Daily HLP'!L27&gt;0,'Daily HLP'!L27,0))</f>
        <v>1076</v>
      </c>
      <c r="H25" s="276">
        <v>75</v>
      </c>
      <c r="I25" s="276">
        <f>(IF('Daily HLP'!O27&gt;0,'Daily HLP'!O27,0))</f>
        <v>234</v>
      </c>
      <c r="J25" s="276">
        <v>99</v>
      </c>
      <c r="K25" s="281">
        <f>Occupancy!G25</f>
        <v>143</v>
      </c>
      <c r="L25" s="275">
        <f>Occupancy!F25</f>
        <v>924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12</v>
      </c>
      <c r="D26" s="274">
        <v>2021</v>
      </c>
      <c r="E26" s="275">
        <f>(IF('Daily HLP'!H28&gt;0,'Daily HLP'!H28,0))</f>
        <v>22043</v>
      </c>
      <c r="F26" s="276">
        <v>9</v>
      </c>
      <c r="G26" s="276">
        <f>(IF('Daily HLP'!L28&gt;0,'Daily HLP'!L28,0))</f>
        <v>1177</v>
      </c>
      <c r="H26" s="276">
        <v>75</v>
      </c>
      <c r="I26" s="276">
        <f>(IF('Daily HLP'!O28&gt;0,'Daily HLP'!O28,0))</f>
        <v>252</v>
      </c>
      <c r="J26" s="276">
        <v>99</v>
      </c>
      <c r="K26" s="281">
        <f>Occupancy!G26</f>
        <v>145</v>
      </c>
      <c r="L26" s="275">
        <f>Occupancy!F26</f>
        <v>674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12</v>
      </c>
      <c r="D27" s="274">
        <v>2021</v>
      </c>
      <c r="E27" s="275">
        <f>(IF('Daily HLP'!H29&gt;0,'Daily HLP'!H29,0))</f>
        <v>22149</v>
      </c>
      <c r="F27" s="276">
        <v>9</v>
      </c>
      <c r="G27" s="276">
        <f>(IF('Daily HLP'!L29&gt;0,'Daily HLP'!L29,0))</f>
        <v>1237</v>
      </c>
      <c r="H27" s="276">
        <v>75</v>
      </c>
      <c r="I27" s="276">
        <f>(IF('Daily HLP'!O29&gt;0,'Daily HLP'!O29,0))</f>
        <v>273</v>
      </c>
      <c r="J27" s="276">
        <v>99</v>
      </c>
      <c r="K27" s="281">
        <f>Occupancy!G27</f>
        <v>126</v>
      </c>
      <c r="L27" s="275">
        <f>Occupancy!F27</f>
        <v>576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12</v>
      </c>
      <c r="D28" s="274">
        <v>2021</v>
      </c>
      <c r="E28" s="275">
        <f>(IF('Daily HLP'!H30&gt;0,'Daily HLP'!H30,0))</f>
        <v>21761</v>
      </c>
      <c r="F28" s="276">
        <v>9</v>
      </c>
      <c r="G28" s="276">
        <f>(IF('Daily HLP'!L30&gt;0,'Daily HLP'!L30,0))</f>
        <v>1125</v>
      </c>
      <c r="H28" s="276">
        <v>75</v>
      </c>
      <c r="I28" s="276">
        <f>(IF('Daily HLP'!O30&gt;0,'Daily HLP'!O30,0))</f>
        <v>257</v>
      </c>
      <c r="J28" s="276">
        <v>99</v>
      </c>
      <c r="K28" s="281">
        <f>Occupancy!G28</f>
        <v>118</v>
      </c>
      <c r="L28" s="275">
        <f>Occupancy!F28</f>
        <v>519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12</v>
      </c>
      <c r="D29" s="274">
        <v>2021</v>
      </c>
      <c r="E29" s="275">
        <f>(IF('Daily HLP'!H31&gt;0,'Daily HLP'!H31,0))</f>
        <v>21245.880000000005</v>
      </c>
      <c r="F29" s="276">
        <v>9</v>
      </c>
      <c r="G29" s="276">
        <f>(IF('Daily HLP'!L31&gt;0,'Daily HLP'!L31,0))</f>
        <v>1026.0300000000279</v>
      </c>
      <c r="H29" s="276">
        <v>75</v>
      </c>
      <c r="I29" s="276">
        <f>(IF('Daily HLP'!O31&gt;0,'Daily HLP'!O31,0))</f>
        <v>291</v>
      </c>
      <c r="J29" s="276">
        <v>99</v>
      </c>
      <c r="K29" s="281">
        <f>Occupancy!G29</f>
        <v>104</v>
      </c>
      <c r="L29" s="275">
        <f>Occupancy!F29</f>
        <v>1499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12</v>
      </c>
      <c r="D30" s="274">
        <v>2021</v>
      </c>
      <c r="E30" s="275">
        <f>(IF('Daily HLP'!H32&gt;0,'Daily HLP'!H32,0))</f>
        <v>19408.330000000002</v>
      </c>
      <c r="F30" s="276">
        <v>9</v>
      </c>
      <c r="G30" s="276">
        <f>(IF('Daily HLP'!L32&gt;0,'Daily HLP'!L32,0))</f>
        <v>1018.3400000000838</v>
      </c>
      <c r="H30" s="276">
        <v>75</v>
      </c>
      <c r="I30" s="276">
        <f>(IF('Daily HLP'!O32&gt;0,'Daily HLP'!O32,0))</f>
        <v>273</v>
      </c>
      <c r="J30" s="276">
        <v>99</v>
      </c>
      <c r="K30" s="281">
        <f>Occupancy!G30</f>
        <v>133</v>
      </c>
      <c r="L30" s="275">
        <f>Occupancy!F30</f>
        <v>511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12</v>
      </c>
      <c r="D31" s="274">
        <v>2021</v>
      </c>
      <c r="E31" s="275">
        <f>(IF('Daily HLP'!H33&gt;0,'Daily HLP'!H33,0))</f>
        <v>24000</v>
      </c>
      <c r="F31" s="276">
        <v>9</v>
      </c>
      <c r="G31" s="276">
        <f>(IF('Daily HLP'!L33&gt;0,'Daily HLP'!L33,0))</f>
        <v>1100</v>
      </c>
      <c r="H31" s="276">
        <v>75</v>
      </c>
      <c r="I31" s="276">
        <f>(IF('Daily HLP'!O33&gt;0,'Daily HLP'!O33,0))</f>
        <v>0</v>
      </c>
      <c r="J31" s="276">
        <v>99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12</v>
      </c>
      <c r="D32" s="274">
        <v>2021</v>
      </c>
      <c r="E32" s="275">
        <f>(IF('Daily HLP'!H34&gt;0,'Daily HLP'!H34,0))</f>
        <v>24000.000000000015</v>
      </c>
      <c r="F32" s="276">
        <v>9</v>
      </c>
      <c r="G32" s="276">
        <f>(IF('Daily HLP'!L34&gt;0,'Daily HLP'!L34,0))</f>
        <v>1100</v>
      </c>
      <c r="H32" s="276">
        <v>75</v>
      </c>
      <c r="I32" s="276">
        <f>(IF('Daily HLP'!O34&gt;0,'Daily HLP'!O34,0))</f>
        <v>0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4" sqref="C34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12</v>
      </c>
      <c r="D2" s="288">
        <v>2021</v>
      </c>
      <c r="E2" s="294">
        <f>(IF('Section Load'!F5&gt;0,'Section Load'!F5,0))</f>
        <v>3840.0400000000081</v>
      </c>
      <c r="F2" s="294">
        <f>(IF('Section Load'!G5&gt;0,'Section Load'!G5,0))</f>
        <v>1702.2600000000093</v>
      </c>
      <c r="G2" s="294">
        <f>(IF('Section Load'!H5&gt;0,'Section Load'!H5,0))</f>
        <v>1904.9500000000116</v>
      </c>
      <c r="H2" s="294">
        <f>(IF('Section Load'!I5&gt;0,'Section Load'!I5,0))</f>
        <v>2945.710000000021</v>
      </c>
      <c r="I2" s="294">
        <f>(IF('Section Load'!J5&gt;0,'Section Load'!J5,0))</f>
        <v>5399.3500000000349</v>
      </c>
      <c r="J2" s="294">
        <f>(IF('Section Load'!K5&gt;0,'Section Load'!K5,0))</f>
        <v>2459.3999999999069</v>
      </c>
      <c r="K2" s="294">
        <f>(IF('Section Load'!L5&gt;0,'Section Load'!L5,0))</f>
        <v>1459.8100000000559</v>
      </c>
      <c r="L2" s="294">
        <f>(IF('Section Load'!M5&gt;0,'Section Load'!M5,0))</f>
        <v>940.30000000000291</v>
      </c>
      <c r="M2" s="294">
        <f>(IF('Section Load'!N5&gt;0,'Section Load'!N5,0))</f>
        <v>48</v>
      </c>
      <c r="N2" s="294">
        <f>(IF('Section Load'!O5&gt;0,'Section Load'!O5,0))</f>
        <v>8</v>
      </c>
      <c r="O2" s="294">
        <f>(IF('Section Load'!P5&gt;0,'Section Load'!P5,0))</f>
        <v>0</v>
      </c>
      <c r="P2" s="294">
        <f>(IF('Section Load'!Q5&gt;0,'Section Load'!Q5,0))</f>
        <v>199.2699999999968</v>
      </c>
      <c r="Q2" s="294">
        <f>(IF('Section Load'!R5&gt;0,'Section Load'!R5,0))</f>
        <v>17.5</v>
      </c>
      <c r="R2" s="294">
        <f>(IF('Section Load'!S5&gt;0,'Section Load'!S5,0))</f>
        <v>41</v>
      </c>
      <c r="S2" s="294">
        <f>(IF('Section Load'!T5&gt;0,'Section Load'!T5,0))</f>
        <v>270</v>
      </c>
      <c r="T2" s="294">
        <f>(IF('Section Load'!U5&gt;0,'Section Load'!U5,0))</f>
        <v>226</v>
      </c>
      <c r="U2" s="294">
        <f>(IF('Section Load'!V5&gt;0,'Section Load'!V5,0))</f>
        <v>450.95999999996275</v>
      </c>
      <c r="V2" s="294">
        <f>(IF('Section Load'!W5&gt;0,'Section Load'!W5,0))</f>
        <v>250.31999999994878</v>
      </c>
      <c r="W2" s="294">
        <f>(IF('Section Load'!X5&gt;0,'Section Load'!X5,0))</f>
        <v>30.599999999999909</v>
      </c>
      <c r="X2" s="294">
        <f>(IF('Section Load'!Y5&gt;0,'Section Load'!Y5,0))</f>
        <v>206.14999999999418</v>
      </c>
      <c r="Y2" s="294">
        <f>(IF('Section Load'!Z5&gt;0,'Section Load'!Z5,0))</f>
        <v>220</v>
      </c>
      <c r="Z2" s="294">
        <f>(IF('Section Load'!AA5&gt;0,'Section Load'!AA5,0))</f>
        <v>45.880000000004657</v>
      </c>
      <c r="AA2" s="294">
        <f>(IF('Section Load'!AB5&gt;0,'Section Load'!AB5,0))</f>
        <v>71.30000000000291</v>
      </c>
      <c r="AB2" s="294">
        <f>(IF('Section Load'!AC5&gt;0,'Section Load'!AC5,0))</f>
        <v>0</v>
      </c>
      <c r="AC2" s="294">
        <f>(IF('Section Load'!AD5&gt;0,'Section Load'!AD5,0))</f>
        <v>115.29999999999745</v>
      </c>
      <c r="AD2" s="294">
        <f>(IF('Section Load'!AE5&gt;0,'Section Load'!AE5,0))</f>
        <v>0</v>
      </c>
      <c r="AE2" s="294">
        <f>(IF('Section Load'!AF5&gt;0,'Section Load'!AF5,0))</f>
        <v>19.920000000000073</v>
      </c>
      <c r="AF2" s="294">
        <f>(IF('Section Load'!AG5&gt;0,'Section Load'!AG5,0))</f>
        <v>432.26999999998952</v>
      </c>
      <c r="AG2" s="294">
        <f>(IF('Section Load'!AH5&gt;0,'Section Load'!AH5,0))</f>
        <v>474.47000000000116</v>
      </c>
      <c r="AH2" s="294">
        <f>(IF('Section Load'!AI5&gt;0,'Section Load'!AI5,0))</f>
        <v>428.68000000000029</v>
      </c>
      <c r="AI2" s="294">
        <f>(IF('Section Load'!AJ5&gt;0,'Section Load'!AJ5,0))</f>
        <v>660.77000000001863</v>
      </c>
      <c r="AJ2" s="294">
        <f>(IF('Section Load'!AK5&gt;0,'Section Load'!AK5,0))</f>
        <v>318.2100000000064</v>
      </c>
      <c r="AK2" s="294">
        <f>(IF('Section Load'!AL5&gt;0,'Section Load'!AL5,0))</f>
        <v>295</v>
      </c>
      <c r="AL2" s="294">
        <f>(IF('Section Load'!AM5&gt;0,'Section Load'!AM5,0))</f>
        <v>843.58000000000175</v>
      </c>
      <c r="AM2" s="295">
        <f>(IF('Water Report'!$D$7&gt;0,'Water Report'!$D$7,0))</f>
        <v>108</v>
      </c>
      <c r="AN2" s="295">
        <f>(IF('Water Report'!$D$8&gt;0,'Water Report'!$D$8,0))</f>
        <v>94</v>
      </c>
      <c r="AO2" s="295">
        <f>(IF('Water Report'!$D$9&gt;0,'Water Report'!$D$9,0))</f>
        <v>86</v>
      </c>
      <c r="AP2" s="295">
        <f>(IF('Water Report'!$D$10&gt;0,'Water Report'!$D$10,0))</f>
        <v>18</v>
      </c>
      <c r="AQ2" s="295">
        <f>(IF('Water Report'!$D$11&gt;0,'Water Report'!$D$11,0))</f>
        <v>25</v>
      </c>
      <c r="AR2" s="295">
        <f>(IF('Water Report'!$D$13&gt;0,'Water Report'!$D$13,0))</f>
        <v>34</v>
      </c>
      <c r="AS2" s="295">
        <f>(IF('Water Report'!$D$14&gt;0,'Water Report'!$D$14,0))</f>
        <v>10</v>
      </c>
      <c r="AT2" s="295">
        <f>(IF('Water Report'!$D$15&gt;0,'Water Report'!$D$15,0))</f>
        <v>6</v>
      </c>
      <c r="AU2" s="295">
        <f>(IF('Water Report'!$D$17&gt;0,'Water Report'!$D$17,0))</f>
        <v>0</v>
      </c>
      <c r="AV2" s="295">
        <f>(IF('Water Report'!$D$18&gt;0,'Water Report'!$D$18,0))</f>
        <v>15</v>
      </c>
      <c r="AW2" s="295">
        <f>(IF('Water Report'!$D$19&gt;0,'Water Report'!$D$19,0))</f>
        <v>10</v>
      </c>
      <c r="AX2" s="301">
        <f>(IF('Water Report'!$D$21&gt;0,'Water Report'!$D$21,0))</f>
        <v>63</v>
      </c>
      <c r="AY2" s="301">
        <f>(IF('Water Report'!$D$22&gt;0,'Water Report'!$D$22,0))</f>
        <v>0</v>
      </c>
      <c r="AZ2" s="301">
        <f>(IF('Water Report'!$D$23&gt;0,'Water Report'!$D$23,0))</f>
        <v>4</v>
      </c>
      <c r="BA2" s="301">
        <f>(IF('Water Report'!$D$14&gt;0,'Water Report'!$D$14,0))</f>
        <v>10</v>
      </c>
      <c r="BB2" s="301">
        <f>(IF('Water Report'!$D$15&gt;0,'Water Report'!$D$15,0))</f>
        <v>6</v>
      </c>
      <c r="BC2" s="301">
        <f>(IF('Water Report'!$D$13&gt;0,'Water Report'!$D$13,0))</f>
        <v>34</v>
      </c>
      <c r="BD2" s="301">
        <f>(IF('Water Report'!$D$24&gt;0,'Water Report'!$D$24,0))</f>
        <v>212</v>
      </c>
      <c r="BE2" s="301">
        <f>(IF('Water Report'!$D$25&gt;0,'Water Report'!$D$25,0))</f>
        <v>145</v>
      </c>
      <c r="BF2" s="301">
        <f>(IF('Water Report'!$D$27&gt;0,'Water Report'!$D$27,0))</f>
        <v>101</v>
      </c>
      <c r="BG2" s="296">
        <f>(IF('Section Load'!AN5&gt;0,'Section Load'!AN5,0))</f>
        <v>1074</v>
      </c>
      <c r="BH2" s="296">
        <f>(IF('Section Load'!AO5&gt;0,'Section Load'!AO5,0))</f>
        <v>305.95100000000093</v>
      </c>
      <c r="BI2" s="296">
        <f>(IF('Section Load'!AP5&gt;0,'Section Load'!AP5,0))</f>
        <v>0</v>
      </c>
      <c r="BJ2" s="296">
        <f>(IF('Section Load'!AQ5&gt;0,'Section Load'!AQ5,0))</f>
        <v>116</v>
      </c>
      <c r="BK2" s="296">
        <f>(IF('Section Load'!AR5&gt;0,'Section Load'!AR5,0))</f>
        <v>45</v>
      </c>
      <c r="BL2" s="296">
        <f>(IF('Section Load'!AS5&gt;0,'Section Load'!AS5,0))</f>
        <v>2</v>
      </c>
      <c r="BM2" s="296">
        <f>(IF('Section Load'!AT5&gt;0,'Section Load'!AT5,0))</f>
        <v>605.04899999999907</v>
      </c>
    </row>
    <row r="3" spans="1:65" x14ac:dyDescent="0.25">
      <c r="A3" s="287" t="s">
        <v>268</v>
      </c>
      <c r="B3" s="288">
        <f>B2+1</f>
        <v>2</v>
      </c>
      <c r="C3" s="288">
        <v>12</v>
      </c>
      <c r="D3" s="288">
        <v>2021</v>
      </c>
      <c r="E3" s="294">
        <f>(IF('Section Load'!F6&gt;0,'Section Load'!F6,0))</f>
        <v>3698.6900000000169</v>
      </c>
      <c r="F3" s="294">
        <f>(IF('Section Load'!G6&gt;0,'Section Load'!G6,0))</f>
        <v>1670.5899999999965</v>
      </c>
      <c r="G3" s="294">
        <f>(IF('Section Load'!H6&gt;0,'Section Load'!H6,0))</f>
        <v>1896.570000000007</v>
      </c>
      <c r="H3" s="294">
        <f>(IF('Section Load'!I6&gt;0,'Section Load'!I6,0))</f>
        <v>2783</v>
      </c>
      <c r="I3" s="294">
        <f>(IF('Section Load'!J6&gt;0,'Section Load'!J6,0))</f>
        <v>4727.1299999999756</v>
      </c>
      <c r="J3" s="294">
        <f>(IF('Section Load'!K6&gt;0,'Section Load'!K6,0))</f>
        <v>2388.3999999999069</v>
      </c>
      <c r="K3" s="294">
        <f>(IF('Section Load'!L6&gt;0,'Section Load'!L6,0))</f>
        <v>1486.3499999999767</v>
      </c>
      <c r="L3" s="294">
        <f>(IF('Section Load'!M6&gt;0,'Section Load'!M6,0))</f>
        <v>968.69999999999709</v>
      </c>
      <c r="M3" s="294">
        <f>(IF('Section Load'!N6&gt;0,'Section Load'!N6,0))</f>
        <v>64</v>
      </c>
      <c r="N3" s="294">
        <f>(IF('Section Load'!O6&gt;0,'Section Load'!O6,0))</f>
        <v>9</v>
      </c>
      <c r="O3" s="294">
        <f>(IF('Section Load'!P6&gt;0,'Section Load'!P6,0))</f>
        <v>0</v>
      </c>
      <c r="P3" s="294">
        <f>(IF('Section Load'!Q6&gt;0,'Section Load'!Q6,0))</f>
        <v>189.19999999999709</v>
      </c>
      <c r="Q3" s="294">
        <f>(IF('Section Load'!R6&gt;0,'Section Load'!R6,0))</f>
        <v>17.400000000001455</v>
      </c>
      <c r="R3" s="294">
        <f>(IF('Section Load'!S6&gt;0,'Section Load'!S6,0))</f>
        <v>45.190000000000055</v>
      </c>
      <c r="S3" s="294">
        <f>(IF('Section Load'!T6&gt;0,'Section Load'!T6,0))</f>
        <v>337</v>
      </c>
      <c r="T3" s="294">
        <f>(IF('Section Load'!U6&gt;0,'Section Load'!U6,0))</f>
        <v>225</v>
      </c>
      <c r="U3" s="294">
        <f>(IF('Section Load'!V6&gt;0,'Section Load'!V6,0))</f>
        <v>402.31999999994878</v>
      </c>
      <c r="V3" s="294">
        <f>(IF('Section Load'!W6&gt;0,'Section Load'!W6,0))</f>
        <v>225.04000000003725</v>
      </c>
      <c r="W3" s="294">
        <f>(IF('Section Load'!X6&gt;0,'Section Load'!X6,0))</f>
        <v>30</v>
      </c>
      <c r="X3" s="294">
        <f>(IF('Section Load'!Y6&gt;0,'Section Load'!Y6,0))</f>
        <v>207.19000000000233</v>
      </c>
      <c r="Y3" s="294">
        <f>(IF('Section Load'!Z6&gt;0,'Section Load'!Z6,0))</f>
        <v>253</v>
      </c>
      <c r="Z3" s="294">
        <f>(IF('Section Load'!AA6&gt;0,'Section Load'!AA6,0))</f>
        <v>7.2399999999906868</v>
      </c>
      <c r="AA3" s="294">
        <f>(IF('Section Load'!AB6&gt;0,'Section Load'!AB6,0))</f>
        <v>40.399999999994179</v>
      </c>
      <c r="AB3" s="294">
        <f>(IF('Section Load'!AC6&gt;0,'Section Load'!AC6,0))</f>
        <v>0</v>
      </c>
      <c r="AC3" s="294">
        <f>(IF('Section Load'!AD6&gt;0,'Section Load'!AD6,0))</f>
        <v>131.89999999999964</v>
      </c>
      <c r="AD3" s="294">
        <f>(IF('Section Load'!AE6&gt;0,'Section Load'!AE6,0))</f>
        <v>0</v>
      </c>
      <c r="AE3" s="294">
        <f>(IF('Section Load'!AF6&gt;0,'Section Load'!AF6,0))</f>
        <v>21.829999999999927</v>
      </c>
      <c r="AF3" s="294">
        <f>(IF('Section Load'!AG6&gt;0,'Section Load'!AG6,0))</f>
        <v>438</v>
      </c>
      <c r="AG3" s="294">
        <f>(IF('Section Load'!AH6&gt;0,'Section Load'!AH6,0))</f>
        <v>422.67000000001281</v>
      </c>
      <c r="AH3" s="294">
        <f>(IF('Section Load'!AI6&gt;0,'Section Load'!AI6,0))</f>
        <v>414.79999999999927</v>
      </c>
      <c r="AI3" s="294">
        <f>(IF('Section Load'!AJ6&gt;0,'Section Load'!AJ6,0))</f>
        <v>678.59000000002561</v>
      </c>
      <c r="AJ3" s="294">
        <f>(IF('Section Load'!AK6&gt;0,'Section Load'!AK6,0))</f>
        <v>293.22999999999593</v>
      </c>
      <c r="AK3" s="294">
        <f>(IF('Section Load'!AL6&gt;0,'Section Load'!AL6,0))</f>
        <v>296.85000000000582</v>
      </c>
      <c r="AL3" s="294">
        <f>(IF('Section Load'!AM6&gt;0,'Section Load'!AM6,0))</f>
        <v>835.40000000000146</v>
      </c>
      <c r="AM3" s="295">
        <f>(IF('Water Report'!$E$7&gt;0,'Water Report'!$E$7,0))</f>
        <v>116</v>
      </c>
      <c r="AN3" s="295">
        <f>(IF('Water Report'!$E$8&gt;0,'Water Report'!$E$8,0))</f>
        <v>102</v>
      </c>
      <c r="AO3" s="295">
        <f>(IF('Water Report'!$E$9&gt;0,'Water Report'!$E$9,0))</f>
        <v>98</v>
      </c>
      <c r="AP3" s="295">
        <f>(IF('Water Report'!$E$10&gt;0,'Water Report'!$E$10,0))</f>
        <v>21</v>
      </c>
      <c r="AQ3" s="295">
        <f>(IF('Water Report'!$E$11&gt;0,'Water Report'!$E$11,0))</f>
        <v>29</v>
      </c>
      <c r="AR3" s="295">
        <f>(IF('Water Report'!$E$13&gt;0,'Water Report'!$E$13,0))</f>
        <v>33</v>
      </c>
      <c r="AS3" s="295">
        <f>(IF('Water Report'!$E$14&gt;0,'Water Report'!$E$14,0))</f>
        <v>25</v>
      </c>
      <c r="AT3" s="295">
        <f>(IF('Water Report'!$E$15&gt;0,'Water Report'!$E$15,0))</f>
        <v>21.199999999999818</v>
      </c>
      <c r="AU3" s="295">
        <f>(IF('Water Report'!$E$17&gt;0,'Water Report'!$E$17,0))</f>
        <v>0</v>
      </c>
      <c r="AV3" s="295">
        <f>(IF('Water Report'!$E$18&gt;0,'Water Report'!$E$18,0))</f>
        <v>17</v>
      </c>
      <c r="AW3" s="295">
        <f>(IF('Water Report'!$E$19&gt;0,'Water Report'!$E$19,0))</f>
        <v>11</v>
      </c>
      <c r="AX3" s="301">
        <f>(IF('Water Report'!$E$21&gt;0,'Water Report'!$E$21,0))</f>
        <v>62</v>
      </c>
      <c r="AY3" s="301">
        <f>(IF('Water Report'!$E$22&gt;0,'Water Report'!$E$22,0))</f>
        <v>0</v>
      </c>
      <c r="AZ3" s="301">
        <f>(IF('Water Report'!$E$23&gt;0,'Water Report'!$E$23,0))</f>
        <v>1</v>
      </c>
      <c r="BA3" s="301">
        <f>(IF('Water Report'!$E$14&gt;0,'Water Report'!$E$14,0))</f>
        <v>25</v>
      </c>
      <c r="BB3" s="301">
        <f>(IF('Water Report'!$E$15&gt;0,'Water Report'!$E$15,0))</f>
        <v>21.199999999999818</v>
      </c>
      <c r="BC3" s="301">
        <f>(IF('Water Report'!$E$13&gt;0,'Water Report'!$E$13,0))</f>
        <v>33</v>
      </c>
      <c r="BD3" s="301">
        <f>(IF('Water Report'!$E$24&gt;0,'Water Report'!$E$24,0))</f>
        <v>254</v>
      </c>
      <c r="BE3" s="301">
        <f>(IF('Water Report'!$E$25&gt;0,'Water Report'!$E$25,0))</f>
        <v>194.19999999999982</v>
      </c>
      <c r="BF3" s="301">
        <f>(IF('Water Report'!$E$27&gt;0,'Water Report'!$E$27,0))</f>
        <v>96</v>
      </c>
      <c r="BG3" s="296">
        <f>(IF('Section Load'!AN6&gt;0,'Section Load'!AN6,0))</f>
        <v>1094.2399999999907</v>
      </c>
      <c r="BH3" s="296">
        <f>(IF('Section Load'!AO6&gt;0,'Section Load'!AO6,0))</f>
        <v>298.19999999995343</v>
      </c>
      <c r="BI3" s="296">
        <f>(IF('Section Load'!AP6&gt;0,'Section Load'!AP6,0))</f>
        <v>0</v>
      </c>
      <c r="BJ3" s="296">
        <f>(IF('Section Load'!AQ6&gt;0,'Section Load'!AQ6,0))</f>
        <v>121.89999999999418</v>
      </c>
      <c r="BK3" s="296">
        <f>(IF('Section Load'!AR6&gt;0,'Section Load'!AR6,0))</f>
        <v>49.5</v>
      </c>
      <c r="BL3" s="296">
        <f>(IF('Section Load'!AS6&gt;0,'Section Load'!AS6,0))</f>
        <v>2.3999999999996362</v>
      </c>
      <c r="BM3" s="296">
        <f>(IF('Section Load'!AT6&gt;0,'Section Load'!AT6,0))</f>
        <v>622.24000000004344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12</v>
      </c>
      <c r="D4" s="288">
        <v>2021</v>
      </c>
      <c r="E4" s="294">
        <f>(IF('Section Load'!F7&gt;0,'Section Load'!F7,0))</f>
        <v>3864.3999999999796</v>
      </c>
      <c r="F4" s="294">
        <f>(IF('Section Load'!G7&gt;0,'Section Load'!G7,0))</f>
        <v>1609.3300000000163</v>
      </c>
      <c r="G4" s="294">
        <f>(IF('Section Load'!H7&gt;0,'Section Load'!H7,0))</f>
        <v>2009.4599999999919</v>
      </c>
      <c r="H4" s="294">
        <f>(IF('Section Load'!I7&gt;0,'Section Load'!I7,0))</f>
        <v>2891.5300000000279</v>
      </c>
      <c r="I4" s="294">
        <f>(IF('Section Load'!J7&gt;0,'Section Load'!J7,0))</f>
        <v>6111.3000000001048</v>
      </c>
      <c r="J4" s="294">
        <f>(IF('Section Load'!K7&gt;0,'Section Load'!K7,0))</f>
        <v>2707</v>
      </c>
      <c r="K4" s="294">
        <f>(IF('Section Load'!L7&gt;0,'Section Load'!L7,0))</f>
        <v>1287.5200000000186</v>
      </c>
      <c r="L4" s="294">
        <f>(IF('Section Load'!M7&gt;0,'Section Load'!M7,0))</f>
        <v>1025.8800000000047</v>
      </c>
      <c r="M4" s="294">
        <f>(IF('Section Load'!N7&gt;0,'Section Load'!N7,0))</f>
        <v>55</v>
      </c>
      <c r="N4" s="294">
        <f>(IF('Section Load'!O7&gt;0,'Section Load'!O7,0))</f>
        <v>9</v>
      </c>
      <c r="O4" s="294">
        <f>(IF('Section Load'!P7&gt;0,'Section Load'!P7,0))</f>
        <v>0</v>
      </c>
      <c r="P4" s="294">
        <f>(IF('Section Load'!Q7&gt;0,'Section Load'!Q7,0))</f>
        <v>205.94000000000233</v>
      </c>
      <c r="Q4" s="294">
        <f>(IF('Section Load'!R7&gt;0,'Section Load'!R7,0))</f>
        <v>18.049999999999272</v>
      </c>
      <c r="R4" s="294">
        <f>(IF('Section Load'!S7&gt;0,'Section Load'!S7,0))</f>
        <v>47.650000000000091</v>
      </c>
      <c r="S4" s="294">
        <f>(IF('Section Load'!T7&gt;0,'Section Load'!T7,0))</f>
        <v>409</v>
      </c>
      <c r="T4" s="294">
        <f>(IF('Section Load'!U7&gt;0,'Section Load'!U7,0))</f>
        <v>228</v>
      </c>
      <c r="U4" s="294">
        <f>(IF('Section Load'!V7&gt;0,'Section Load'!V7,0))</f>
        <v>419.2400000001071</v>
      </c>
      <c r="V4" s="294">
        <f>(IF('Section Load'!W7&gt;0,'Section Load'!W7,0))</f>
        <v>249.67999999993481</v>
      </c>
      <c r="W4" s="294">
        <f>(IF('Section Load'!X7&gt;0,'Section Load'!X7,0))</f>
        <v>30.420000000000073</v>
      </c>
      <c r="X4" s="294">
        <f>(IF('Section Load'!Y7&gt;0,'Section Load'!Y7,0))</f>
        <v>226.47000000000116</v>
      </c>
      <c r="Y4" s="294">
        <f>(IF('Section Load'!Z7&gt;0,'Section Load'!Z7,0))</f>
        <v>277</v>
      </c>
      <c r="Z4" s="294">
        <f>(IF('Section Load'!AA7&gt;0,'Section Load'!AA7,0))</f>
        <v>7.4000000000232831</v>
      </c>
      <c r="AA4" s="294">
        <f>(IF('Section Load'!AB7&gt;0,'Section Load'!AB7,0))</f>
        <v>45.5</v>
      </c>
      <c r="AB4" s="294">
        <f>(IF('Section Load'!AC7&gt;0,'Section Load'!AC7,0))</f>
        <v>0</v>
      </c>
      <c r="AC4" s="294">
        <f>(IF('Section Load'!AD7&gt;0,'Section Load'!AD7,0))</f>
        <v>126.60000000000582</v>
      </c>
      <c r="AD4" s="294">
        <f>(IF('Section Load'!AE7&gt;0,'Section Load'!AE7,0))</f>
        <v>0</v>
      </c>
      <c r="AE4" s="294">
        <f>(IF('Section Load'!AF7&gt;0,'Section Load'!AF7,0))</f>
        <v>19.360000000000127</v>
      </c>
      <c r="AF4" s="294">
        <f>(IF('Section Load'!AG7&gt;0,'Section Load'!AG7,0))</f>
        <v>353.26999999998952</v>
      </c>
      <c r="AG4" s="294">
        <f>(IF('Section Load'!AH7&gt;0,'Section Load'!AH7,0))</f>
        <v>435.13999999998487</v>
      </c>
      <c r="AH4" s="294">
        <f>(IF('Section Load'!AI7&gt;0,'Section Load'!AI7,0))</f>
        <v>428.43000000000029</v>
      </c>
      <c r="AI4" s="294">
        <f>(IF('Section Load'!AJ7&gt;0,'Section Load'!AJ7,0))</f>
        <v>719.8399999999674</v>
      </c>
      <c r="AJ4" s="294">
        <f>(IF('Section Load'!AK7&gt;0,'Section Load'!AK7,0))</f>
        <v>329.0679999999993</v>
      </c>
      <c r="AK4" s="294">
        <f>(IF('Section Load'!AL7&gt;0,'Section Load'!AL7,0))</f>
        <v>311.47999999998137</v>
      </c>
      <c r="AL4" s="294">
        <f>(IF('Section Load'!AM7&gt;0,'Section Load'!AM7,0))</f>
        <v>845.04999999999563</v>
      </c>
      <c r="AM4" s="295">
        <f>(IF('Water Report'!$F$7&gt;0,'Water Report'!$F$7,0))</f>
        <v>128</v>
      </c>
      <c r="AN4" s="295">
        <f>(IF('Water Report'!$F$8&gt;0,'Water Report'!$F$8,0))</f>
        <v>107</v>
      </c>
      <c r="AO4" s="295">
        <f>(IF('Water Report'!$F$9&gt;0,'Water Report'!$G$9,0))</f>
        <v>109</v>
      </c>
      <c r="AP4" s="295">
        <f>(IF('Water Report'!$F$10&gt;0,'Water Report'!$F$10,0))</f>
        <v>27</v>
      </c>
      <c r="AQ4" s="295">
        <f>(IF('Water Report'!$F$11&gt;0,'Water Report'!$F$11,0))</f>
        <v>29</v>
      </c>
      <c r="AR4" s="295">
        <f>(IF('Water Report'!$F$13&gt;0,'Water Report'!$F$13,0))</f>
        <v>39</v>
      </c>
      <c r="AS4" s="295">
        <f>(IF('Water Report'!$F$14&gt;0,'Water Report'!$F$14,0))</f>
        <v>12</v>
      </c>
      <c r="AT4" s="295">
        <f>(IF('Water Report'!$F$15&gt;0,'Water Report'!$F$15,0))</f>
        <v>2.8000000000001819</v>
      </c>
      <c r="AU4" s="295">
        <f>(IF('Water Report'!$F$17&gt;0,'Water Report'!$F$17,0))</f>
        <v>0</v>
      </c>
      <c r="AV4" s="295">
        <f>(IF('Water Report'!$F$18&gt;0,'Water Report'!$F$18,0))</f>
        <v>14</v>
      </c>
      <c r="AW4" s="295">
        <f>(IF('Water Report'!$F$19&gt;0,'Water Report'!$F$19,0))</f>
        <v>12</v>
      </c>
      <c r="AX4" s="301">
        <f>(IF('Water Report'!$F$21&gt;0,'Water Report'!$F$21,0))</f>
        <v>87</v>
      </c>
      <c r="AY4" s="301">
        <f>(IF('Water Report'!$F$22&gt;0,'Water Report'!$F$22,0))</f>
        <v>0</v>
      </c>
      <c r="AZ4" s="301">
        <f>(IF('Water Report'!$F$23&gt;0,'Water Report'!$F$23,0))</f>
        <v>8</v>
      </c>
      <c r="BA4" s="301">
        <f>(IF('Water Report'!$F$14&gt;0,'Water Report'!$F$14,0))</f>
        <v>12</v>
      </c>
      <c r="BB4" s="301">
        <f>(IF('Water Report'!$F$15&gt;0,'Water Report'!$F$15,0))</f>
        <v>2.8000000000001819</v>
      </c>
      <c r="BC4" s="301">
        <f>(IF('Water Report'!$F$13&gt;0,'Water Report'!$F$13,0))</f>
        <v>39</v>
      </c>
      <c r="BD4" s="301">
        <f>(IF('Water Report'!$F$24&gt;0,'Water Report'!$F$24,0))</f>
        <v>285</v>
      </c>
      <c r="BE4" s="301">
        <f>(IF('Water Report'!$F$25&gt;0,'Water Report'!$F$25,0))</f>
        <v>159.80000000000018</v>
      </c>
      <c r="BF4" s="301">
        <f>(IF('Water Report'!$F$27&gt;0,'Water Report'!$F$27,0))</f>
        <v>134</v>
      </c>
      <c r="BG4" s="296">
        <f>(IF('Section Load'!AN7&gt;0,'Section Load'!AN7,0))</f>
        <v>1144.1499999999069</v>
      </c>
      <c r="BH4" s="296">
        <f>(IF('Section Load'!AO7&gt;0,'Section Load'!AO7,0))</f>
        <v>326.73000000009779</v>
      </c>
      <c r="BI4" s="296">
        <f>(IF('Section Load'!AP7&gt;0,'Section Load'!AP7,0))</f>
        <v>0</v>
      </c>
      <c r="BJ4" s="296">
        <f>(IF('Section Load'!AQ7&gt;0,'Section Load'!AQ7,0))</f>
        <v>118.5</v>
      </c>
      <c r="BK4" s="296">
        <f>(IF('Section Load'!AR7&gt;0,'Section Load'!AR7,0))</f>
        <v>46</v>
      </c>
      <c r="BL4" s="296">
        <f>(IF('Section Load'!AS7&gt;0,'Section Load'!AS7,0))</f>
        <v>2.8000000000010914</v>
      </c>
      <c r="BM4" s="296">
        <f>(IF('Section Load'!AT7&gt;0,'Section Load'!AT7,0))</f>
        <v>650.11999999980799</v>
      </c>
    </row>
    <row r="5" spans="1:65" x14ac:dyDescent="0.25">
      <c r="A5" s="287" t="s">
        <v>268</v>
      </c>
      <c r="B5" s="288">
        <f t="shared" si="0"/>
        <v>4</v>
      </c>
      <c r="C5" s="288">
        <v>12</v>
      </c>
      <c r="D5" s="288">
        <v>2021</v>
      </c>
      <c r="E5" s="294">
        <f>(IF('Section Load'!F8&gt;0,'Section Load'!F8,0))</f>
        <v>4121.7900000000081</v>
      </c>
      <c r="F5" s="294">
        <f>(IF('Section Load'!G8&gt;0,'Section Load'!G8,0))</f>
        <v>1690.6199999999953</v>
      </c>
      <c r="G5" s="294">
        <f>(IF('Section Load'!H8&gt;0,'Section Load'!H8,0))</f>
        <v>2045.2200000000012</v>
      </c>
      <c r="H5" s="294">
        <f>(IF('Section Load'!I8&gt;0,'Section Load'!I8,0))</f>
        <v>2998.7999999999884</v>
      </c>
      <c r="I5" s="294">
        <f>(IF('Section Load'!J8&gt;0,'Section Load'!J8,0))</f>
        <v>6927.1499999999942</v>
      </c>
      <c r="J5" s="294">
        <f>(IF('Section Load'!K8&gt;0,'Section Load'!K8,0))</f>
        <v>2866.5</v>
      </c>
      <c r="K5" s="294">
        <f>(IF('Section Load'!L8&gt;0,'Section Load'!L8,0))</f>
        <v>1403.2800000000279</v>
      </c>
      <c r="L5" s="294">
        <f>(IF('Section Load'!M8&gt;0,'Section Load'!M8,0))</f>
        <v>1057.8800000000047</v>
      </c>
      <c r="M5" s="294">
        <f>(IF('Section Load'!N8&gt;0,'Section Load'!N8,0))</f>
        <v>43</v>
      </c>
      <c r="N5" s="294">
        <f>(IF('Section Load'!O8&gt;0,'Section Load'!O8,0))</f>
        <v>17</v>
      </c>
      <c r="O5" s="294">
        <f>(IF('Section Load'!P8&gt;0,'Section Load'!P8,0))</f>
        <v>0</v>
      </c>
      <c r="P5" s="294">
        <f>(IF('Section Load'!Q8&gt;0,'Section Load'!Q8,0))</f>
        <v>199.12999999999738</v>
      </c>
      <c r="Q5" s="294">
        <f>(IF('Section Load'!R8&gt;0,'Section Load'!R8,0))</f>
        <v>18.659999999999854</v>
      </c>
      <c r="R5" s="294">
        <f>(IF('Section Load'!S8&gt;0,'Section Load'!S8,0))</f>
        <v>44.159999999999854</v>
      </c>
      <c r="S5" s="294">
        <f>(IF('Section Load'!T8&gt;0,'Section Load'!T8,0))</f>
        <v>465</v>
      </c>
      <c r="T5" s="294">
        <f>(IF('Section Load'!U8&gt;0,'Section Load'!U8,0))</f>
        <v>227</v>
      </c>
      <c r="U5" s="294">
        <f>(IF('Section Load'!V8&gt;0,'Section Load'!V8,0))</f>
        <v>475.35999999998603</v>
      </c>
      <c r="V5" s="294">
        <f>(IF('Section Load'!W8&gt;0,'Section Load'!W8,0))</f>
        <v>335.11999999999534</v>
      </c>
      <c r="W5" s="294">
        <f>(IF('Section Load'!X8&gt;0,'Section Load'!X8,0))</f>
        <v>24.739999999999782</v>
      </c>
      <c r="X5" s="294">
        <f>(IF('Section Load'!Y8&gt;0,'Section Load'!Y8,0))</f>
        <v>240.36999999999534</v>
      </c>
      <c r="Y5" s="294">
        <f>(IF('Section Load'!Z8&gt;0,'Section Load'!Z8,0))</f>
        <v>284</v>
      </c>
      <c r="Z5" s="294">
        <f>(IF('Section Load'!AA8&gt;0,'Section Load'!AA8,0))</f>
        <v>7.3999999999650754</v>
      </c>
      <c r="AA5" s="294">
        <f>(IF('Section Load'!AB8&gt;0,'Section Load'!AB8,0))</f>
        <v>35.900000000008731</v>
      </c>
      <c r="AB5" s="294">
        <f>(IF('Section Load'!AC8&gt;0,'Section Load'!AC8,0))</f>
        <v>0</v>
      </c>
      <c r="AC5" s="294">
        <f>(IF('Section Load'!AD8&gt;0,'Section Load'!AD8,0))</f>
        <v>47.999999999991815</v>
      </c>
      <c r="AD5" s="294">
        <f>(IF('Section Load'!AE8&gt;0,'Section Load'!AE8,0))</f>
        <v>0</v>
      </c>
      <c r="AE5" s="294">
        <f>(IF('Section Load'!AF8&gt;0,'Section Load'!AF8,0))</f>
        <v>19.599999999999909</v>
      </c>
      <c r="AF5" s="294">
        <f>(IF('Section Load'!AG8&gt;0,'Section Load'!AG8,0))</f>
        <v>317.12000000002445</v>
      </c>
      <c r="AG5" s="294">
        <f>(IF('Section Load'!AH8&gt;0,'Section Load'!AH8,0))</f>
        <v>462.77999999999884</v>
      </c>
      <c r="AH5" s="294">
        <f>(IF('Section Load'!AI8&gt;0,'Section Load'!AI8,0))</f>
        <v>426.81999999999971</v>
      </c>
      <c r="AI5" s="294">
        <f>(IF('Section Load'!AJ8&gt;0,'Section Load'!AJ8,0))</f>
        <v>755.79999999998836</v>
      </c>
      <c r="AJ5" s="294">
        <f>(IF('Section Load'!AK8&gt;0,'Section Load'!AK8,0))</f>
        <v>339.79200000000128</v>
      </c>
      <c r="AK5" s="294">
        <f>(IF('Section Load'!AL8&gt;0,'Section Load'!AL8,0))</f>
        <v>309.47000000000116</v>
      </c>
      <c r="AL5" s="294">
        <f>(IF('Section Load'!AM8&gt;0,'Section Load'!AM8,0))</f>
        <v>893.08000000000175</v>
      </c>
      <c r="AM5" s="295">
        <f>(IF('Water Report'!$G$7&gt;0,'Water Report'!$F$7,0))</f>
        <v>128</v>
      </c>
      <c r="AN5" s="295">
        <f>(IF('Water Report'!$G$8&gt;0,'Water Report'!$F$8,0))</f>
        <v>107</v>
      </c>
      <c r="AO5" s="295">
        <f>(IF('Water Report'!$G$9&gt;0,'Water Report'!$H$9,0))</f>
        <v>105</v>
      </c>
      <c r="AP5" s="295">
        <f>(IF('Water Report'!$G$10&gt;0,'Water Report'!$G$10,0))</f>
        <v>29</v>
      </c>
      <c r="AQ5" s="295">
        <f>(IF('Water Report'!$G$11&gt;0,'Water Report'!$G$11,0))</f>
        <v>32</v>
      </c>
      <c r="AR5" s="295">
        <f>(IF('Water Report'!$G$13&gt;0,'Water Report'!$G$13,0))</f>
        <v>39</v>
      </c>
      <c r="AS5" s="295">
        <f>(IF('Water Report'!$G$14&gt;0,'Water Report'!$G$14,0))</f>
        <v>12</v>
      </c>
      <c r="AT5" s="295">
        <f>(IF('Water Report'!$G$15&gt;0,'Water Report'!$G$15,0))</f>
        <v>13</v>
      </c>
      <c r="AU5" s="295">
        <f>(IF('Water Report'!$G$17&gt;0,'Water Report'!$G$17,0))</f>
        <v>0</v>
      </c>
      <c r="AV5" s="295">
        <f>(IF('Water Report'!$G$18&gt;0,'Water Report'!$G$18,0))</f>
        <v>17</v>
      </c>
      <c r="AW5" s="295">
        <f>(IF('Water Report'!$G$19&gt;0,'Water Report'!$G$19,0))</f>
        <v>15</v>
      </c>
      <c r="AX5" s="301">
        <f>(IF('Water Report'!$G$21&gt;0,'Water Report'!$G$21,0))</f>
        <v>107</v>
      </c>
      <c r="AY5" s="301">
        <f>(IF('Water Report'!$G$22&gt;0,'Water Report'!$G$22,0))</f>
        <v>0</v>
      </c>
      <c r="AZ5" s="301">
        <f>(IF('Water Report'!$G$23&gt;0,'Water Report'!$G$23,0))</f>
        <v>2</v>
      </c>
      <c r="BA5" s="301">
        <f>(IF('Water Report'!$G$14&gt;0,'Water Report'!$G$14,0))</f>
        <v>12</v>
      </c>
      <c r="BB5" s="301">
        <f>(IF('Water Report'!$G$15&gt;0,'Water Report'!$G$15,0))</f>
        <v>13</v>
      </c>
      <c r="BC5" s="301">
        <f>(IF('Water Report'!$G$13&gt;0,'Water Report'!$G$13,0))</f>
        <v>39</v>
      </c>
      <c r="BD5" s="301">
        <f>(IF('Water Report'!$G$24&gt;0,'Water Report'!$G$24,0))</f>
        <v>254</v>
      </c>
      <c r="BE5" s="301">
        <f>(IF('Water Report'!$G$25&gt;0,'Water Report'!$G$25,0))</f>
        <v>195</v>
      </c>
      <c r="BF5" s="301">
        <f>(IF('Water Report'!$G$27&gt;0,'Water Report'!$G$27,0))</f>
        <v>148</v>
      </c>
      <c r="BG5" s="296">
        <f>(IF('Section Load'!AN8&gt;0,'Section Load'!AN8,0))</f>
        <v>1192.7600000000093</v>
      </c>
      <c r="BH5" s="296">
        <f>(IF('Section Load'!AO8&gt;0,'Section Load'!AO8,0))</f>
        <v>297.22999999998137</v>
      </c>
      <c r="BI5" s="296">
        <f>(IF('Section Load'!AP8&gt;0,'Section Load'!AP8,0))</f>
        <v>0</v>
      </c>
      <c r="BJ5" s="296">
        <f>(IF('Section Load'!AQ8&gt;0,'Section Load'!AQ8,0))</f>
        <v>135</v>
      </c>
      <c r="BK5" s="296">
        <f>(IF('Section Load'!AR8&gt;0,'Section Load'!AR8,0))</f>
        <v>48.69999999999709</v>
      </c>
      <c r="BL5" s="296">
        <f>(IF('Section Load'!AS8&gt;0,'Section Load'!AS8,0))</f>
        <v>2.5</v>
      </c>
      <c r="BM5" s="296">
        <f>(IF('Section Load'!AT8&gt;0,'Section Load'!AT8,0))</f>
        <v>709.33000000003085</v>
      </c>
    </row>
    <row r="6" spans="1:65" x14ac:dyDescent="0.25">
      <c r="A6" s="287" t="s">
        <v>268</v>
      </c>
      <c r="B6" s="288">
        <f t="shared" si="0"/>
        <v>5</v>
      </c>
      <c r="C6" s="288">
        <v>12</v>
      </c>
      <c r="D6" s="288">
        <v>2021</v>
      </c>
      <c r="E6" s="294">
        <f>(IF('Section Load'!F9&gt;0,'Section Load'!F9,0))</f>
        <v>3887.3999999999796</v>
      </c>
      <c r="F6" s="294">
        <f>(IF('Section Load'!G9&gt;0,'Section Load'!G9,0))</f>
        <v>1646.2399999999907</v>
      </c>
      <c r="G6" s="294">
        <f>(IF('Section Load'!H9&gt;0,'Section Load'!H9,0))</f>
        <v>1984.4200000000128</v>
      </c>
      <c r="H6" s="294">
        <f>(IF('Section Load'!I9&gt;0,'Section Load'!I9,0))</f>
        <v>2790.5799999999581</v>
      </c>
      <c r="I6" s="294">
        <f>(IF('Section Load'!J9&gt;0,'Section Load'!J9,0))</f>
        <v>6031.6699999998382</v>
      </c>
      <c r="J6" s="294">
        <f>(IF('Section Load'!K9&gt;0,'Section Load'!K9,0))</f>
        <v>2729.4000000001397</v>
      </c>
      <c r="K6" s="294">
        <f>(IF('Section Load'!L9&gt;0,'Section Load'!L9,0))</f>
        <v>1235.6799999999348</v>
      </c>
      <c r="L6" s="294">
        <f>(IF('Section Load'!M9&gt;0,'Section Load'!M9,0))</f>
        <v>864.0399999999936</v>
      </c>
      <c r="M6" s="294">
        <f>(IF('Section Load'!N9&gt;0,'Section Load'!N9,0))</f>
        <v>42</v>
      </c>
      <c r="N6" s="294">
        <f>(IF('Section Load'!O9&gt;0,'Section Load'!O9,0))</f>
        <v>8</v>
      </c>
      <c r="O6" s="294">
        <f>(IF('Section Load'!P9&gt;0,'Section Load'!P9,0))</f>
        <v>10.600000000005821</v>
      </c>
      <c r="P6" s="294">
        <f>(IF('Section Load'!Q9&gt;0,'Section Load'!Q9,0))</f>
        <v>204.04000000000087</v>
      </c>
      <c r="Q6" s="294">
        <f>(IF('Section Load'!R9&gt;0,'Section Load'!R9,0))</f>
        <v>17.470000000001164</v>
      </c>
      <c r="R6" s="294">
        <f>(IF('Section Load'!S9&gt;0,'Section Load'!S9,0))</f>
        <v>41.159999999999854</v>
      </c>
      <c r="S6" s="294">
        <f>(IF('Section Load'!T9&gt;0,'Section Load'!T9,0))</f>
        <v>410</v>
      </c>
      <c r="T6" s="294">
        <f>(IF('Section Load'!U9&gt;0,'Section Load'!U9,0))</f>
        <v>230</v>
      </c>
      <c r="U6" s="294">
        <f>(IF('Section Load'!V9&gt;0,'Section Load'!V9,0))</f>
        <v>430.91999999992549</v>
      </c>
      <c r="V6" s="294">
        <f>(IF('Section Load'!W9&gt;0,'Section Load'!W9,0))</f>
        <v>302.56000000005588</v>
      </c>
      <c r="W6" s="294">
        <f>(IF('Section Load'!X9&gt;0,'Section Load'!X9,0))</f>
        <v>29.190000000000055</v>
      </c>
      <c r="X6" s="294">
        <f>(IF('Section Load'!Y9&gt;0,'Section Load'!Y9,0))</f>
        <v>238.66999999999825</v>
      </c>
      <c r="Y6" s="294">
        <f>(IF('Section Load'!Z9&gt;0,'Section Load'!Z9,0))</f>
        <v>262</v>
      </c>
      <c r="Z6" s="294">
        <f>(IF('Section Load'!AA9&gt;0,'Section Load'!AA9,0))</f>
        <v>7.2800000000279397</v>
      </c>
      <c r="AA6" s="294">
        <f>(IF('Section Load'!AB9&gt;0,'Section Load'!AB9,0))</f>
        <v>14.899999999994179</v>
      </c>
      <c r="AB6" s="294">
        <f>(IF('Section Load'!AC9&gt;0,'Section Load'!AC9,0))</f>
        <v>0</v>
      </c>
      <c r="AC6" s="294">
        <f>(IF('Section Load'!AD9&gt;0,'Section Load'!AD9,0))</f>
        <v>38.900000000006003</v>
      </c>
      <c r="AD6" s="294">
        <f>(IF('Section Load'!AE9&gt;0,'Section Load'!AE9,0))</f>
        <v>0</v>
      </c>
      <c r="AE6" s="294">
        <f>(IF('Section Load'!AF9&gt;0,'Section Load'!AF9,0))</f>
        <v>19.990000000000009</v>
      </c>
      <c r="AF6" s="294">
        <f>(IF('Section Load'!AG9&gt;0,'Section Load'!AG9,0))</f>
        <v>315.95999999999185</v>
      </c>
      <c r="AG6" s="294">
        <f>(IF('Section Load'!AH9&gt;0,'Section Load'!AH9,0))</f>
        <v>450.76000000000931</v>
      </c>
      <c r="AH6" s="294">
        <f>(IF('Section Load'!AI9&gt;0,'Section Load'!AI9,0))</f>
        <v>443.60000000000218</v>
      </c>
      <c r="AI6" s="294">
        <f>(IF('Section Load'!AJ9&gt;0,'Section Load'!AJ9,0))</f>
        <v>722.88000000000466</v>
      </c>
      <c r="AJ6" s="294">
        <f>(IF('Section Load'!AK9&gt;0,'Section Load'!AK9,0))</f>
        <v>322.82000000000698</v>
      </c>
      <c r="AK6" s="294">
        <f>(IF('Section Load'!AL9&gt;0,'Section Load'!AL9,0))</f>
        <v>312.8300000000163</v>
      </c>
      <c r="AL6" s="294">
        <f>(IF('Section Load'!AM9&gt;0,'Section Load'!AM9,0))</f>
        <v>857.55000000000291</v>
      </c>
      <c r="AM6" s="295">
        <f>(IF('Water Report'!$H$7&gt;0,'Water Report'!$H$7,0))</f>
        <v>133</v>
      </c>
      <c r="AN6" s="295">
        <f>(IF('Water Report'!$H$8&gt;0,'Water Report'!$H$8,0))</f>
        <v>137</v>
      </c>
      <c r="AO6" s="295">
        <f>(IF('Water Report'!$H$9&gt;0,'Water Report'!$H$9,0))</f>
        <v>105</v>
      </c>
      <c r="AP6" s="295">
        <f>(IF('Water Report'!$H$10&gt;0,'Water Report'!$H$10,0))</f>
        <v>26</v>
      </c>
      <c r="AQ6" s="295">
        <f>(IF('Water Report'!$H$11&gt;0,'Water Report'!$H$11,0))</f>
        <v>31</v>
      </c>
      <c r="AR6" s="295">
        <f>(IF('Water Report'!$H$13&gt;0,'Water Report'!$H$13,0))</f>
        <v>37</v>
      </c>
      <c r="AS6" s="295">
        <f>(IF('Water Report'!$H$14&gt;0,'Water Report'!$H$14,0))</f>
        <v>7</v>
      </c>
      <c r="AT6" s="295">
        <f>(IF('Water Report'!$H$15&gt;0,'Water Report'!$H$15,0))</f>
        <v>8</v>
      </c>
      <c r="AU6" s="295">
        <f>(IF('Water Report'!$H$17&gt;0,'Water Report'!$H$17,0))</f>
        <v>0</v>
      </c>
      <c r="AV6" s="295">
        <f>(IF('Water Report'!$H$18&gt;0,'Water Report'!$H$18,0))</f>
        <v>18</v>
      </c>
      <c r="AW6" s="295">
        <f>(IF('Water Report'!$H$19&gt;0,'Water Report'!$H$19,0))</f>
        <v>14</v>
      </c>
      <c r="AX6" s="301">
        <f>(IF('Water Report'!$H$21&gt;0,'Water Report'!$H$21,0))</f>
        <v>65</v>
      </c>
      <c r="AY6" s="301">
        <f>(IF('Water Report'!$H$22&gt;0,'Water Report'!$H$22,0))</f>
        <v>0</v>
      </c>
      <c r="AZ6" s="301">
        <f>(IF('Water Report'!$H$23&gt;0,'Water Report'!$H$23,0))</f>
        <v>3</v>
      </c>
      <c r="BA6" s="301">
        <f>(IF('Water Report'!$H$14&gt;0,'Water Report'!$H$14,0))</f>
        <v>7</v>
      </c>
      <c r="BB6" s="301">
        <f>(IF('Water Report'!$H$15&gt;0,'Water Report'!$H$15,0))</f>
        <v>8</v>
      </c>
      <c r="BC6" s="301">
        <f>(IF('Water Report'!$H$13&gt;0,'Water Report'!$H$13,0))</f>
        <v>37</v>
      </c>
      <c r="BD6" s="301">
        <f>(IF('Water Report'!$H$24&gt;0,'Water Report'!$H$24,0))</f>
        <v>253</v>
      </c>
      <c r="BE6" s="301">
        <f>(IF('Water Report'!$H$25&gt;0,'Water Report'!$H$25,0))</f>
        <v>177</v>
      </c>
      <c r="BF6" s="301">
        <f>(IF('Water Report'!$H$27&gt;0,'Water Report'!$H$27,0))</f>
        <v>105</v>
      </c>
      <c r="BG6" s="296">
        <f>(IF('Section Load'!AN9&gt;0,'Section Load'!AN9,0))</f>
        <v>1192.2900000000373</v>
      </c>
      <c r="BH6" s="296">
        <f>(IF('Section Load'!AO9&gt;0,'Section Load'!AO9,0))</f>
        <v>322.70999999996275</v>
      </c>
      <c r="BI6" s="296">
        <f>(IF('Section Load'!AP9&gt;0,'Section Load'!AP9,0))</f>
        <v>0</v>
      </c>
      <c r="BJ6" s="296">
        <f>(IF('Section Load'!AQ9&gt;0,'Section Load'!AQ9,0))</f>
        <v>129.82000000000698</v>
      </c>
      <c r="BK6" s="296">
        <f>(IF('Section Load'!AR9&gt;0,'Section Load'!AR9,0))</f>
        <v>38.80000000000291</v>
      </c>
      <c r="BL6" s="296">
        <f>(IF('Section Load'!AS9&gt;0,'Section Load'!AS9,0))</f>
        <v>5.1999999999989086</v>
      </c>
      <c r="BM6" s="296">
        <f>(IF('Section Load'!AT9&gt;0,'Section Load'!AT9,0))</f>
        <v>695.7600000000657</v>
      </c>
    </row>
    <row r="7" spans="1:65" x14ac:dyDescent="0.25">
      <c r="A7" s="287" t="s">
        <v>268</v>
      </c>
      <c r="B7" s="288">
        <f t="shared" si="0"/>
        <v>6</v>
      </c>
      <c r="C7" s="288">
        <v>12</v>
      </c>
      <c r="D7" s="288">
        <v>2021</v>
      </c>
      <c r="E7" s="294">
        <f>(IF('Section Load'!F10&gt;0,'Section Load'!F10,0))</f>
        <v>3557.3000000000029</v>
      </c>
      <c r="F7" s="294">
        <f>(IF('Section Load'!G10&gt;0,'Section Load'!G10,0))</f>
        <v>1618.5499999999884</v>
      </c>
      <c r="G7" s="294">
        <f>(IF('Section Load'!H10&gt;0,'Section Load'!H10,0))</f>
        <v>1899.6999999999825</v>
      </c>
      <c r="H7" s="294">
        <f>(IF('Section Load'!I10&gt;0,'Section Load'!I10,0))</f>
        <v>2851.320000000007</v>
      </c>
      <c r="I7" s="294">
        <f>(IF('Section Load'!J10&gt;0,'Section Load'!J10,0))</f>
        <v>5338.6400000000722</v>
      </c>
      <c r="J7" s="294">
        <f>(IF('Section Load'!K10&gt;0,'Section Load'!K10,0))</f>
        <v>2429.0999999998603</v>
      </c>
      <c r="K7" s="294">
        <f>(IF('Section Load'!L10&gt;0,'Section Load'!L10,0))</f>
        <v>1486.640000000014</v>
      </c>
      <c r="L7" s="294">
        <f>(IF('Section Load'!M10&gt;0,'Section Load'!M10,0))</f>
        <v>769.57000000000698</v>
      </c>
      <c r="M7" s="294">
        <f>(IF('Section Load'!N10&gt;0,'Section Load'!N10,0))</f>
        <v>21</v>
      </c>
      <c r="N7" s="294">
        <f>(IF('Section Load'!O10&gt;0,'Section Load'!O10,0))</f>
        <v>15</v>
      </c>
      <c r="O7" s="294">
        <f>(IF('Section Load'!P10&gt;0,'Section Load'!P10,0))</f>
        <v>1.1999999999970896</v>
      </c>
      <c r="P7" s="294">
        <f>(IF('Section Load'!Q10&gt;0,'Section Load'!Q10,0))</f>
        <v>177.13999999999942</v>
      </c>
      <c r="Q7" s="294">
        <f>(IF('Section Load'!R10&gt;0,'Section Load'!R10,0))</f>
        <v>15.93999999999869</v>
      </c>
      <c r="R7" s="294">
        <f>(IF('Section Load'!S10&gt;0,'Section Load'!S10,0))</f>
        <v>48.160000000000309</v>
      </c>
      <c r="S7" s="294">
        <f>(IF('Section Load'!T10&gt;0,'Section Load'!T10,0))</f>
        <v>415</v>
      </c>
      <c r="T7" s="294">
        <f>(IF('Section Load'!U10&gt;0,'Section Load'!U10,0))</f>
        <v>233</v>
      </c>
      <c r="U7" s="294">
        <f>(IF('Section Load'!V10&gt;0,'Section Load'!V10,0))</f>
        <v>445.80000000004657</v>
      </c>
      <c r="V7" s="294">
        <f>(IF('Section Load'!W10&gt;0,'Section Load'!W10,0))</f>
        <v>230.07999999995809</v>
      </c>
      <c r="W7" s="294">
        <f>(IF('Section Load'!X10&gt;0,'Section Load'!X10,0))</f>
        <v>29.220000000000255</v>
      </c>
      <c r="X7" s="294">
        <f>(IF('Section Load'!Y10&gt;0,'Section Load'!Y10,0))</f>
        <v>208.05000000000291</v>
      </c>
      <c r="Y7" s="294">
        <f>(IF('Section Load'!Z10&gt;0,'Section Load'!Z10,0))</f>
        <v>279</v>
      </c>
      <c r="Z7" s="294">
        <f>(IF('Section Load'!AA10&gt;0,'Section Load'!AA10,0))</f>
        <v>12.880000000004657</v>
      </c>
      <c r="AA7" s="294">
        <f>(IF('Section Load'!AB10&gt;0,'Section Load'!AB10,0))</f>
        <v>34.80000000000291</v>
      </c>
      <c r="AB7" s="294">
        <f>(IF('Section Load'!AC10&gt;0,'Section Load'!AC10,0))</f>
        <v>0</v>
      </c>
      <c r="AC7" s="294">
        <f>(IF('Section Load'!AD10&gt;0,'Section Load'!AD10,0))</f>
        <v>109.00000000000273</v>
      </c>
      <c r="AD7" s="294">
        <f>(IF('Section Load'!AE10&gt;0,'Section Load'!AE10,0))</f>
        <v>0</v>
      </c>
      <c r="AE7" s="294">
        <f>(IF('Section Load'!AF10&gt;0,'Section Load'!AF10,0))</f>
        <v>19.799999999999955</v>
      </c>
      <c r="AF7" s="294">
        <f>(IF('Section Load'!AG10&gt;0,'Section Load'!AG10,0))</f>
        <v>398.85999999998603</v>
      </c>
      <c r="AG7" s="294">
        <f>(IF('Section Load'!AH10&gt;0,'Section Load'!AH10,0))</f>
        <v>428.07999999998719</v>
      </c>
      <c r="AH7" s="294">
        <f>(IF('Section Load'!AI10&gt;0,'Section Load'!AI10,0))</f>
        <v>421.48999999999796</v>
      </c>
      <c r="AI7" s="294">
        <f>(IF('Section Load'!AJ10&gt;0,'Section Load'!AJ10,0))</f>
        <v>739.23999999999069</v>
      </c>
      <c r="AJ7" s="294">
        <f>(IF('Section Load'!AK10&gt;0,'Section Load'!AK10,0))</f>
        <v>320.69000000000233</v>
      </c>
      <c r="AK7" s="294">
        <f>(IF('Section Load'!AL10&gt;0,'Section Load'!AL10,0))</f>
        <v>316.07999999998719</v>
      </c>
      <c r="AL7" s="294">
        <f>(IF('Section Load'!AM10&gt;0,'Section Load'!AM10,0))</f>
        <v>842.66999999999825</v>
      </c>
      <c r="AM7" s="295">
        <f>(IF('Water Report'!$I$7&gt;0,'Water Report'!$I$7,0))</f>
        <v>107</v>
      </c>
      <c r="AN7" s="295">
        <f>(IF('Water Report'!$I$8&gt;0,'Water Report'!$I$8,0))</f>
        <v>120</v>
      </c>
      <c r="AO7" s="295">
        <f>(IF('Water Report'!$I$9&gt;0,'Water Report'!$I$9,0))</f>
        <v>88</v>
      </c>
      <c r="AP7" s="295">
        <f>(IF('Water Report'!$I$10&gt;0,'Water Report'!$I$10,0))</f>
        <v>16</v>
      </c>
      <c r="AQ7" s="295">
        <f>(IF('Water Report'!$I$11&gt;0,'Water Report'!$I$11,0))</f>
        <v>25</v>
      </c>
      <c r="AR7" s="295">
        <f>(IF('Water Report'!$I$13&gt;0,'Water Report'!$I$13,0))</f>
        <v>42</v>
      </c>
      <c r="AS7" s="295">
        <f>(IF('Water Report'!$I$14&gt;0,'Water Report'!$I$14,0))</f>
        <v>14</v>
      </c>
      <c r="AT7" s="295">
        <f>(IF('Water Report'!$I$15&gt;0,'Water Report'!$I$15,0))</f>
        <v>8</v>
      </c>
      <c r="AU7" s="295">
        <f>(IF('Water Report'!$I$17&gt;0,'Water Report'!$I$17,0))</f>
        <v>0</v>
      </c>
      <c r="AV7" s="295">
        <f>(IF('Water Report'!$I$18&gt;0,'Water Report'!$I$18,0))</f>
        <v>13</v>
      </c>
      <c r="AW7" s="295">
        <f>(IF('Water Report'!$I$19&gt;0,'Water Report'!$I$19,0))</f>
        <v>12</v>
      </c>
      <c r="AX7" s="301">
        <f>(IF('Water Report'!$I$21&gt;0,'Water Report'!$I$21,0))</f>
        <v>58</v>
      </c>
      <c r="AY7" s="301">
        <f>(IF('Water Report'!$I$22&gt;0,'Water Report'!$I$22,0))</f>
        <v>0</v>
      </c>
      <c r="AZ7" s="301">
        <f>(IF('Water Report'!$I$23&gt;0,'Water Report'!$I$23,0))</f>
        <v>18</v>
      </c>
      <c r="BA7" s="301">
        <f>(IF('Water Report'!$I$14&gt;0,'Water Report'!$I$14,0))</f>
        <v>14</v>
      </c>
      <c r="BB7" s="301">
        <f>(IF('Water Report'!$I$15&gt;0,'Water Report'!$I$15,0))</f>
        <v>8</v>
      </c>
      <c r="BC7" s="301">
        <f>(IF('Water Report'!$I$13&gt;0,'Water Report'!$I$13,0))</f>
        <v>42</v>
      </c>
      <c r="BD7" s="301">
        <f>(IF('Water Report'!$I$24&gt;0,'Water Report'!$I$24,0))</f>
        <v>253</v>
      </c>
      <c r="BE7" s="301">
        <f>(IF('Water Report'!$I$25&gt;0,'Water Report'!$I$25,0))</f>
        <v>151</v>
      </c>
      <c r="BF7" s="301">
        <f>(IF('Water Report'!$I$27&gt;0,'Water Report'!$I$27,0))</f>
        <v>118</v>
      </c>
      <c r="BG7" s="296">
        <f>(IF('Section Load'!AN10&gt;0,'Section Load'!AN10,0))</f>
        <v>1123.0200000000186</v>
      </c>
      <c r="BH7" s="296">
        <f>(IF('Section Load'!AO10&gt;0,'Section Load'!AO10,0))</f>
        <v>312.48999999999069</v>
      </c>
      <c r="BI7" s="296">
        <f>(IF('Section Load'!AP10&gt;0,'Section Load'!AP10,0))</f>
        <v>0</v>
      </c>
      <c r="BJ7" s="296">
        <f>(IF('Section Load'!AQ10&gt;0,'Section Load'!AQ10,0))</f>
        <v>120.57999999998719</v>
      </c>
      <c r="BK7" s="296">
        <f>(IF('Section Load'!AR10&gt;0,'Section Load'!AR10,0))</f>
        <v>41.900000000001455</v>
      </c>
      <c r="BL7" s="296">
        <f>(IF('Section Load'!AS10&gt;0,'Section Load'!AS10,0))</f>
        <v>2.1000000000003638</v>
      </c>
      <c r="BM7" s="296">
        <f>(IF('Section Load'!AT10&gt;0,'Section Load'!AT10,0))</f>
        <v>645.95000000003893</v>
      </c>
    </row>
    <row r="8" spans="1:65" x14ac:dyDescent="0.25">
      <c r="A8" s="287" t="s">
        <v>268</v>
      </c>
      <c r="B8" s="288">
        <f t="shared" si="0"/>
        <v>7</v>
      </c>
      <c r="C8" s="288">
        <v>12</v>
      </c>
      <c r="D8" s="288">
        <v>2021</v>
      </c>
      <c r="E8" s="294">
        <f>(IF('Section Load'!F11&gt;0,'Section Load'!F11,0))</f>
        <v>3743.9800000000105</v>
      </c>
      <c r="F8" s="294">
        <f>(IF('Section Load'!G11&gt;0,'Section Load'!G11,0))</f>
        <v>1673.2900000000081</v>
      </c>
      <c r="G8" s="294">
        <f>(IF('Section Load'!H11&gt;0,'Section Load'!H11,0))</f>
        <v>1948.2000000000116</v>
      </c>
      <c r="H8" s="294">
        <f>(IF('Section Load'!I11&gt;0,'Section Load'!I11,0))</f>
        <v>3056.679999999993</v>
      </c>
      <c r="I8" s="294">
        <f>(IF('Section Load'!J11&gt;0,'Section Load'!J11,0))</f>
        <v>6499.3400000000256</v>
      </c>
      <c r="J8" s="294">
        <f>(IF('Section Load'!K11&gt;0,'Section Load'!K11,0))</f>
        <v>2942.2000000001863</v>
      </c>
      <c r="K8" s="294">
        <f>(IF('Section Load'!L11&gt;0,'Section Load'!L11,0))</f>
        <v>1598.4799999999814</v>
      </c>
      <c r="L8" s="294">
        <f>(IF('Section Load'!M11&gt;0,'Section Load'!M11,0))</f>
        <v>1145.6899999999878</v>
      </c>
      <c r="M8" s="294">
        <f>(IF('Section Load'!N11&gt;0,'Section Load'!N11,0))</f>
        <v>45</v>
      </c>
      <c r="N8" s="294">
        <f>(IF('Section Load'!O11&gt;0,'Section Load'!O11,0))</f>
        <v>12</v>
      </c>
      <c r="O8" s="294">
        <f>(IF('Section Load'!P11&gt;0,'Section Load'!P11,0))</f>
        <v>1.3999999999941792</v>
      </c>
      <c r="P8" s="294">
        <f>(IF('Section Load'!Q11&gt;0,'Section Load'!Q11,0))</f>
        <v>201.86000000000058</v>
      </c>
      <c r="Q8" s="294">
        <f>(IF('Section Load'!R11&gt;0,'Section Load'!R11,0))</f>
        <v>16.479999999999563</v>
      </c>
      <c r="R8" s="294">
        <f>(IF('Section Load'!S11&gt;0,'Section Load'!S11,0))</f>
        <v>43.239999999999782</v>
      </c>
      <c r="S8" s="294">
        <f>(IF('Section Load'!T11&gt;0,'Section Load'!T11,0))</f>
        <v>446</v>
      </c>
      <c r="T8" s="294">
        <f>(IF('Section Load'!U11&gt;0,'Section Load'!U11,0))</f>
        <v>229</v>
      </c>
      <c r="U8" s="294">
        <f>(IF('Section Load'!V11&gt;0,'Section Load'!V11,0))</f>
        <v>492.64000000001397</v>
      </c>
      <c r="V8" s="294">
        <f>(IF('Section Load'!W11&gt;0,'Section Load'!W11,0))</f>
        <v>361.59999999997672</v>
      </c>
      <c r="W8" s="294">
        <f>(IF('Section Load'!X11&gt;0,'Section Load'!X11,0))</f>
        <v>32.079999999999927</v>
      </c>
      <c r="X8" s="294">
        <f>(IF('Section Load'!Y11&gt;0,'Section Load'!Y11,0))</f>
        <v>220.83999999999651</v>
      </c>
      <c r="Y8" s="294">
        <f>(IF('Section Load'!Z11&gt;0,'Section Load'!Z11,0))</f>
        <v>242</v>
      </c>
      <c r="Z8" s="294">
        <f>(IF('Section Load'!AA11&gt;0,'Section Load'!AA11,0))</f>
        <v>23.519999999960419</v>
      </c>
      <c r="AA8" s="294">
        <f>(IF('Section Load'!AB11&gt;0,'Section Load'!AB11,0))</f>
        <v>36.19999999999709</v>
      </c>
      <c r="AB8" s="294">
        <f>(IF('Section Load'!AC11&gt;0,'Section Load'!AC11,0))</f>
        <v>0</v>
      </c>
      <c r="AC8" s="294">
        <f>(IF('Section Load'!AD11&gt;0,'Section Load'!AD11,0))</f>
        <v>111.599999999994</v>
      </c>
      <c r="AD8" s="294">
        <f>(IF('Section Load'!AE11&gt;0,'Section Load'!AE11,0))</f>
        <v>0</v>
      </c>
      <c r="AE8" s="294">
        <f>(IF('Section Load'!AF11&gt;0,'Section Load'!AF11,0))</f>
        <v>18.900000000000091</v>
      </c>
      <c r="AF8" s="294">
        <f>(IF('Section Load'!AG11&gt;0,'Section Load'!AG11,0))</f>
        <v>405.5800000000163</v>
      </c>
      <c r="AG8" s="294">
        <f>(IF('Section Load'!AH11&gt;0,'Section Load'!AH11,0))</f>
        <v>439.48000000001048</v>
      </c>
      <c r="AH8" s="294">
        <f>(IF('Section Load'!AI11&gt;0,'Section Load'!AI11,0))</f>
        <v>432.15000000000146</v>
      </c>
      <c r="AI8" s="294">
        <f>(IF('Section Load'!AJ11&gt;0,'Section Load'!AJ11,0))</f>
        <v>744.20000000001164</v>
      </c>
      <c r="AJ8" s="294">
        <f>(IF('Section Load'!AK11&gt;0,'Section Load'!AK11,0))</f>
        <v>331.45999999999185</v>
      </c>
      <c r="AK8" s="294">
        <f>(IF('Section Load'!AL11&gt;0,'Section Load'!AL11,0))</f>
        <v>310.68000000002212</v>
      </c>
      <c r="AL8" s="294">
        <f>(IF('Section Load'!AM11&gt;0,'Section Load'!AM11,0))</f>
        <v>836.86999999999534</v>
      </c>
      <c r="AM8" s="295">
        <f>(IF('Water Report'!$J$7&gt;0,'Water Report'!$J$7,0))</f>
        <v>103</v>
      </c>
      <c r="AN8" s="295">
        <f>(IF('Water Report'!$J$8&gt;0,'Water Report'!$J$8,0))</f>
        <v>123</v>
      </c>
      <c r="AO8" s="295">
        <f>(IF('Water Report'!$J$9&gt;0,'Water Report'!$J$9,0))</f>
        <v>102</v>
      </c>
      <c r="AP8" s="295">
        <f>(IF('Water Report'!$J$10&gt;0,'Water Report'!$J$10,0))</f>
        <v>17</v>
      </c>
      <c r="AQ8" s="295">
        <f>(IF('Water Report'!$J$11&gt;0,'Water Report'!$J$11,0))</f>
        <v>31</v>
      </c>
      <c r="AR8" s="295">
        <f>(IF('Water Report'!$J$13&gt;0,'Water Report'!$J$13,0))</f>
        <v>39</v>
      </c>
      <c r="AS8" s="295">
        <f>(IF('Water Report'!$J$14&gt;0,'Water Report'!$J$14,0))</f>
        <v>10</v>
      </c>
      <c r="AT8" s="295">
        <f>(IF('Water Report'!$J$15&gt;0,'Water Report'!$J$15,0))</f>
        <v>13</v>
      </c>
      <c r="AU8" s="295">
        <f>(IF('Water Report'!$J$17&gt;0,'Water Report'!$J$17,0))</f>
        <v>0</v>
      </c>
      <c r="AV8" s="295">
        <f>(IF('Water Report'!$J$18&gt;0,'Water Report'!$J$18,0))</f>
        <v>16</v>
      </c>
      <c r="AW8" s="295">
        <f>(IF('Water Report'!$J$19&gt;0,'Water Report'!$J$19,0))</f>
        <v>12</v>
      </c>
      <c r="AX8" s="301">
        <f>(IF('Water Report'!$J$21&gt;0,'Water Report'!$J$21,0))</f>
        <v>74</v>
      </c>
      <c r="AY8" s="301">
        <f>(IF('Water Report'!$J$22&gt;0,'Water Report'!$J$22,0))</f>
        <v>0</v>
      </c>
      <c r="AZ8" s="301">
        <f>(IF('Water Report'!$J$23&gt;0,'Water Report'!$J$23,0))</f>
        <v>4</v>
      </c>
      <c r="BA8" s="301">
        <f>(IF('Water Report'!$J$14&gt;0,'Water Report'!$J$14,0))</f>
        <v>10</v>
      </c>
      <c r="BB8" s="301">
        <f>(IF('Water Report'!$J$15&gt;0,'Water Report'!$J$15,0))</f>
        <v>13</v>
      </c>
      <c r="BC8" s="301">
        <f>(IF('Water Report'!$J$13&gt;0,'Water Report'!$J$13,0))</f>
        <v>39</v>
      </c>
      <c r="BD8" s="301">
        <f>(IF('Water Report'!$J$24&gt;0,'Water Report'!$J$24,0))</f>
        <v>233</v>
      </c>
      <c r="BE8" s="301">
        <f>(IF('Water Report'!$J$25&gt;0,'Water Report'!$J$25,0))</f>
        <v>173</v>
      </c>
      <c r="BF8" s="301">
        <f>(IF('Water Report'!$J$27&gt;0,'Water Report'!$J$27,0))</f>
        <v>117</v>
      </c>
      <c r="BG8" s="296">
        <f>(IF('Section Load'!AN11&gt;0,'Section Load'!AN11,0))</f>
        <v>1194.9699999999721</v>
      </c>
      <c r="BH8" s="296">
        <f>(IF('Section Load'!AO11&gt;0,'Section Load'!AO11,0))</f>
        <v>328.9100000000326</v>
      </c>
      <c r="BI8" s="296">
        <f>(IF('Section Load'!AP11&gt;0,'Section Load'!AP11,0))</f>
        <v>0</v>
      </c>
      <c r="BJ8" s="296">
        <f>(IF('Section Load'!AQ11&gt;0,'Section Load'!AQ11,0))</f>
        <v>133.90000000002328</v>
      </c>
      <c r="BK8" s="296">
        <f>(IF('Section Load'!AR11&gt;0,'Section Load'!AR11,0))</f>
        <v>46.19999999999709</v>
      </c>
      <c r="BL8" s="296">
        <f>(IF('Section Load'!AS11&gt;0,'Section Load'!AS11,0))</f>
        <v>4.7000000000007276</v>
      </c>
      <c r="BM8" s="296">
        <f>(IF('Section Load'!AT11&gt;0,'Section Load'!AT11,0))</f>
        <v>681.25999999991836</v>
      </c>
    </row>
    <row r="9" spans="1:65" x14ac:dyDescent="0.25">
      <c r="A9" s="287" t="s">
        <v>268</v>
      </c>
      <c r="B9" s="288">
        <f t="shared" si="0"/>
        <v>8</v>
      </c>
      <c r="C9" s="288">
        <v>12</v>
      </c>
      <c r="D9" s="288">
        <v>2021</v>
      </c>
      <c r="E9" s="294">
        <f>(IF('Section Load'!F12&gt;0,'Section Load'!F12,0))</f>
        <v>3948.8700000000099</v>
      </c>
      <c r="F9" s="294">
        <f>(IF('Section Load'!G12&gt;0,'Section Load'!G12,0))</f>
        <v>1652.3000000000175</v>
      </c>
      <c r="G9" s="294">
        <f>(IF('Section Load'!H12&gt;0,'Section Load'!H12,0))</f>
        <v>1942.1999999999825</v>
      </c>
      <c r="H9" s="294">
        <f>(IF('Section Load'!I12&gt;0,'Section Load'!I12,0))</f>
        <v>2854.320000000007</v>
      </c>
      <c r="I9" s="294">
        <f>(IF('Section Load'!J12&gt;0,'Section Load'!J12,0))</f>
        <v>6030.9800000000105</v>
      </c>
      <c r="J9" s="294">
        <f>(IF('Section Load'!K12&gt;0,'Section Load'!K12,0))</f>
        <v>2990.8999999999069</v>
      </c>
      <c r="K9" s="294">
        <f>(IF('Section Load'!L12&gt;0,'Section Load'!L12,0))</f>
        <v>1320.640000000014</v>
      </c>
      <c r="L9" s="294">
        <f>(IF('Section Load'!M12&gt;0,'Section Load'!M12,0))</f>
        <v>1254.5600000000122</v>
      </c>
      <c r="M9" s="294">
        <f>(IF('Section Load'!N12&gt;0,'Section Load'!N12,0))</f>
        <v>36</v>
      </c>
      <c r="N9" s="294">
        <f>(IF('Section Load'!O12&gt;0,'Section Load'!O12,0))</f>
        <v>7</v>
      </c>
      <c r="O9" s="294">
        <f>(IF('Section Load'!P12&gt;0,'Section Load'!P12,0))</f>
        <v>1.0299999999988358</v>
      </c>
      <c r="P9" s="294">
        <f>(IF('Section Load'!Q12&gt;0,'Section Load'!Q12,0))</f>
        <v>205.42000000000553</v>
      </c>
      <c r="Q9" s="294">
        <f>(IF('Section Load'!R12&gt;0,'Section Load'!R12,0))</f>
        <v>17.069999999999709</v>
      </c>
      <c r="R9" s="294">
        <f>(IF('Section Load'!S12&gt;0,'Section Load'!S12,0))</f>
        <v>43.720000000000255</v>
      </c>
      <c r="S9" s="294">
        <f>(IF('Section Load'!T12&gt;0,'Section Load'!T12,0))</f>
        <v>418</v>
      </c>
      <c r="T9" s="294">
        <f>(IF('Section Load'!U12&gt;0,'Section Load'!U12,0))</f>
        <v>234</v>
      </c>
      <c r="U9" s="294">
        <f>(IF('Section Load'!V12&gt;0,'Section Load'!V12,0))</f>
        <v>431.28000000002794</v>
      </c>
      <c r="V9" s="294">
        <f>(IF('Section Load'!W12&gt;0,'Section Load'!W12,0))</f>
        <v>325.92000000004191</v>
      </c>
      <c r="W9" s="294">
        <f>(IF('Section Load'!X12&gt;0,'Section Load'!X12,0))</f>
        <v>33.309999999999945</v>
      </c>
      <c r="X9" s="294">
        <f>(IF('Section Load'!Y12&gt;0,'Section Load'!Y12,0))</f>
        <v>244.54000000000815</v>
      </c>
      <c r="Y9" s="294">
        <f>(IF('Section Load'!Z12&gt;0,'Section Load'!Z12,0))</f>
        <v>248</v>
      </c>
      <c r="Z9" s="294">
        <f>(IF('Section Load'!AA12&gt;0,'Section Load'!AA12,0))</f>
        <v>16.400000000023283</v>
      </c>
      <c r="AA9" s="294">
        <f>(IF('Section Load'!AB12&gt;0,'Section Load'!AB12,0))</f>
        <v>32.30000000000291</v>
      </c>
      <c r="AB9" s="294">
        <f>(IF('Section Load'!AC12&gt;0,'Section Load'!AC12,0))</f>
        <v>0</v>
      </c>
      <c r="AC9" s="294">
        <f>(IF('Section Load'!AD12&gt;0,'Section Load'!AD12,0))</f>
        <v>81.329999999996289</v>
      </c>
      <c r="AD9" s="294">
        <f>(IF('Section Load'!AE12&gt;0,'Section Load'!AE12,0))</f>
        <v>0</v>
      </c>
      <c r="AE9" s="294">
        <f>(IF('Section Load'!AF12&gt;0,'Section Load'!AF12,0))</f>
        <v>18.860000000000127</v>
      </c>
      <c r="AF9" s="294">
        <f>(IF('Section Load'!AG12&gt;0,'Section Load'!AG12,0))</f>
        <v>365.95999999999185</v>
      </c>
      <c r="AG9" s="294">
        <f>(IF('Section Load'!AH12&gt;0,'Section Load'!AH12,0))</f>
        <v>434.9199999999837</v>
      </c>
      <c r="AH9" s="294">
        <f>(IF('Section Load'!AI12&gt;0,'Section Load'!AI12,0))</f>
        <v>409.84999999999854</v>
      </c>
      <c r="AI9" s="294">
        <f>(IF('Section Load'!AJ12&gt;0,'Section Load'!AJ12,0))</f>
        <v>733.35999999998603</v>
      </c>
      <c r="AJ9" s="294">
        <f>(IF('Section Load'!AK12&gt;0,'Section Load'!AK12,0))</f>
        <v>362.24000000000524</v>
      </c>
      <c r="AK9" s="294">
        <f>(IF('Section Load'!AL12&gt;0,'Section Load'!AL12,0))</f>
        <v>318.29999999998836</v>
      </c>
      <c r="AL9" s="294">
        <f>(IF('Section Load'!AM12&gt;0,'Section Load'!AM12,0))</f>
        <v>838.88999999999942</v>
      </c>
      <c r="AM9" s="295">
        <f>(IF('Water Report'!$K$7&gt;0,'Water Report'!$K$7,0))</f>
        <v>133</v>
      </c>
      <c r="AN9" s="295">
        <f>(IF('Water Report'!$K$8&gt;0,'Water Report'!$K$8,0))</f>
        <v>110</v>
      </c>
      <c r="AO9" s="295">
        <f>(IF('Water Report'!$K$9&gt;0,'Water Report'!$K$9,0))</f>
        <v>113</v>
      </c>
      <c r="AP9" s="295">
        <f>(IF('Water Report'!$K$10&gt;0,'Water Report'!$K$10,0))</f>
        <v>19</v>
      </c>
      <c r="AQ9" s="295">
        <f>(IF('Water Report'!$K$11&gt;0,'Water Report'!$K$11,0))</f>
        <v>29</v>
      </c>
      <c r="AR9" s="295">
        <f>(IF('Water Report'!$K$13&gt;0,'Water Report'!$K$13,0))</f>
        <v>37</v>
      </c>
      <c r="AS9" s="295">
        <f>(IF('Water Report'!$K$14&gt;0,'Water Report'!$K$14,0))</f>
        <v>9</v>
      </c>
      <c r="AT9" s="295">
        <f>(IF('Water Report'!$K$15&gt;0,'Water Report'!$K$15,0))</f>
        <v>9</v>
      </c>
      <c r="AU9" s="295">
        <f>(IF('Water Report'!$K$17&gt;0,'Water Report'!$K$17,0))</f>
        <v>0</v>
      </c>
      <c r="AV9" s="295">
        <f>(IF('Water Report'!$K$18&gt;0,'Water Report'!$K$18,0))</f>
        <v>18</v>
      </c>
      <c r="AW9" s="295">
        <f>(IF('Water Report'!$K$19&gt;0,'Water Report'!$K$19,0))</f>
        <v>14</v>
      </c>
      <c r="AX9" s="301">
        <f>(IF('Water Report'!$K$21&gt;0,'Water Report'!$K$21,0))</f>
        <v>74</v>
      </c>
      <c r="AY9" s="301">
        <f>(IF('Water Report'!$K$22&gt;0,'Water Report'!$K$22,0))</f>
        <v>0</v>
      </c>
      <c r="AZ9" s="301">
        <f>(IF('Water Report'!$K$23&gt;0,'Water Report'!$K$23,0))</f>
        <v>17</v>
      </c>
      <c r="BA9" s="301">
        <f>(IF('Water Report'!$K$14&gt;0,'Water Report'!$K$14,0))</f>
        <v>9</v>
      </c>
      <c r="BB9" s="301">
        <f>(IF('Water Report'!$K$15&gt;0,'Water Report'!$K$15,0))</f>
        <v>9</v>
      </c>
      <c r="BC9" s="301">
        <f>(IF('Water Report'!$K$13&gt;0,'Water Report'!$K$13,0))</f>
        <v>37</v>
      </c>
      <c r="BD9" s="301">
        <f>(IF('Water Report'!$K$24&gt;0,'Water Report'!$K$24,0))</f>
        <v>273</v>
      </c>
      <c r="BE9" s="301">
        <f>(IF('Water Report'!$K$25&gt;0,'Water Report'!$K$25,0))</f>
        <v>179</v>
      </c>
      <c r="BF9" s="301">
        <f>(IF('Water Report'!$K$27&gt;0,'Water Report'!$K$27,0))</f>
        <v>128</v>
      </c>
      <c r="BG9" s="296">
        <f>(IF('Section Load'!AN12&gt;0,'Section Load'!AN12,0))</f>
        <v>1247.3700000001118</v>
      </c>
      <c r="BH9" s="296">
        <f>(IF('Section Load'!AO12&gt;0,'Section Load'!AO12,0))</f>
        <v>325.07999999995809</v>
      </c>
      <c r="BI9" s="296">
        <f>(IF('Section Load'!AP12&gt;0,'Section Load'!AP12,0))</f>
        <v>243.88999999999942</v>
      </c>
      <c r="BJ9" s="296">
        <f>(IF('Section Load'!AQ12&gt;0,'Section Load'!AQ12,0))</f>
        <v>153.5</v>
      </c>
      <c r="BK9" s="296">
        <f>(IF('Section Load'!AR12&gt;0,'Section Load'!AR12,0))</f>
        <v>55.900000000001455</v>
      </c>
      <c r="BL9" s="296">
        <f>(IF('Section Load'!AS12&gt;0,'Section Load'!AS12,0))</f>
        <v>5.2999999999992724</v>
      </c>
      <c r="BM9" s="296">
        <f>(IF('Section Load'!AT12&gt;0,'Section Load'!AT12,0))</f>
        <v>463.70000000015352</v>
      </c>
    </row>
    <row r="10" spans="1:65" x14ac:dyDescent="0.25">
      <c r="A10" s="287" t="s">
        <v>268</v>
      </c>
      <c r="B10" s="288">
        <f t="shared" si="0"/>
        <v>9</v>
      </c>
      <c r="C10" s="288">
        <v>12</v>
      </c>
      <c r="D10" s="288">
        <v>2021</v>
      </c>
      <c r="E10" s="294">
        <f>(IF('Section Load'!F13&gt;0,'Section Load'!F13,0))</f>
        <v>3842.5699999999924</v>
      </c>
      <c r="F10" s="294">
        <f>(IF('Section Load'!G13&gt;0,'Section Load'!G13,0))</f>
        <v>1667.0799999999872</v>
      </c>
      <c r="G10" s="294">
        <f>(IF('Section Load'!H13&gt;0,'Section Load'!H13,0))</f>
        <v>2054.2300000000105</v>
      </c>
      <c r="H10" s="294">
        <f>(IF('Section Load'!I13&gt;0,'Section Load'!I13,0))</f>
        <v>2940.7700000000186</v>
      </c>
      <c r="I10" s="294">
        <f>(IF('Section Load'!J13&gt;0,'Section Load'!J13,0))</f>
        <v>6457.789999999979</v>
      </c>
      <c r="J10" s="294">
        <f>(IF('Section Load'!K13&gt;0,'Section Load'!K13,0))</f>
        <v>2717.5</v>
      </c>
      <c r="K10" s="294">
        <f>(IF('Section Load'!L13&gt;0,'Section Load'!L13,0))</f>
        <v>1723.4100000000326</v>
      </c>
      <c r="L10" s="294">
        <f>(IF('Section Load'!M13&gt;0,'Section Load'!M13,0))</f>
        <v>1286.679999999993</v>
      </c>
      <c r="M10" s="294">
        <f>(IF('Section Load'!N13&gt;0,'Section Load'!N13,0))</f>
        <v>38</v>
      </c>
      <c r="N10" s="294">
        <f>(IF('Section Load'!O13&gt;0,'Section Load'!O13,0))</f>
        <v>8</v>
      </c>
      <c r="O10" s="294">
        <f>(IF('Section Load'!P13&gt;0,'Section Load'!P13,0))</f>
        <v>0</v>
      </c>
      <c r="P10" s="294">
        <f>(IF('Section Load'!Q13&gt;0,'Section Load'!Q13,0))</f>
        <v>198.2699999999968</v>
      </c>
      <c r="Q10" s="294">
        <f>(IF('Section Load'!R13&gt;0,'Section Load'!R13,0))</f>
        <v>18.930000000000291</v>
      </c>
      <c r="R10" s="294">
        <f>(IF('Section Load'!S13&gt;0,'Section Load'!S13,0))</f>
        <v>44.7199999999998</v>
      </c>
      <c r="S10" s="294">
        <f>(IF('Section Load'!T13&gt;0,'Section Load'!T13,0))</f>
        <v>426</v>
      </c>
      <c r="T10" s="294">
        <f>(IF('Section Load'!U13&gt;0,'Section Load'!U13,0))</f>
        <v>229</v>
      </c>
      <c r="U10" s="294">
        <f>(IF('Section Load'!V13&gt;0,'Section Load'!V13,0))</f>
        <v>427.43999999994412</v>
      </c>
      <c r="V10" s="294">
        <f>(IF('Section Load'!W13&gt;0,'Section Load'!W13,0))</f>
        <v>331</v>
      </c>
      <c r="W10" s="294">
        <f>(IF('Section Load'!X13&gt;0,'Section Load'!X13,0))</f>
        <v>34.039999999999964</v>
      </c>
      <c r="X10" s="294">
        <f>(IF('Section Load'!Y13&gt;0,'Section Load'!Y13,0))</f>
        <v>230.86999999999534</v>
      </c>
      <c r="Y10" s="294">
        <f>(IF('Section Load'!Z13&gt;0,'Section Load'!Z13,0))</f>
        <v>225</v>
      </c>
      <c r="Z10" s="294">
        <f>(IF('Section Load'!AA13&gt;0,'Section Load'!AA13,0))</f>
        <v>11.880000000004657</v>
      </c>
      <c r="AA10" s="294">
        <f>(IF('Section Load'!AB13&gt;0,'Section Load'!AB13,0))</f>
        <v>29</v>
      </c>
      <c r="AB10" s="294">
        <f>(IF('Section Load'!AC13&gt;0,'Section Load'!AC13,0))</f>
        <v>0</v>
      </c>
      <c r="AC10" s="294">
        <f>(IF('Section Load'!AD13&gt;0,'Section Load'!AD13,0))</f>
        <v>61.670000000003711</v>
      </c>
      <c r="AD10" s="294">
        <f>(IF('Section Load'!AE13&gt;0,'Section Load'!AE13,0))</f>
        <v>0</v>
      </c>
      <c r="AE10" s="294">
        <f>(IF('Section Load'!AF13&gt;0,'Section Load'!AF13,0))</f>
        <v>18.659999999999854</v>
      </c>
      <c r="AF10" s="294">
        <f>(IF('Section Load'!AG13&gt;0,'Section Load'!AG13,0))</f>
        <v>353.25</v>
      </c>
      <c r="AG10" s="294">
        <f>(IF('Section Load'!AH13&gt;0,'Section Load'!AH13,0))</f>
        <v>414.17000000001281</v>
      </c>
      <c r="AH10" s="294">
        <f>(IF('Section Load'!AI13&gt;0,'Section Load'!AI13,0))</f>
        <v>418.86000000000058</v>
      </c>
      <c r="AI10" s="294">
        <f>(IF('Section Load'!AJ13&gt;0,'Section Load'!AJ13,0))</f>
        <v>736.09000000002561</v>
      </c>
      <c r="AJ10" s="294">
        <f>(IF('Section Load'!AK13&gt;0,'Section Load'!AK13,0))</f>
        <v>317.69999999999709</v>
      </c>
      <c r="AK10" s="294">
        <f>(IF('Section Load'!AL13&gt;0,'Section Load'!AL13,0))</f>
        <v>338.01999999998952</v>
      </c>
      <c r="AL10" s="294">
        <f>(IF('Section Load'!AM13&gt;0,'Section Load'!AM13,0))</f>
        <v>830.49000000000524</v>
      </c>
      <c r="AM10" s="295">
        <f>(IF('Water Report'!$L$7&gt;0,'Water Report'!$L$7,0))</f>
        <v>141</v>
      </c>
      <c r="AN10" s="295">
        <f>(IF('Water Report'!$L$8&gt;0,'Water Report'!$L$8,0))</f>
        <v>80</v>
      </c>
      <c r="AO10" s="295">
        <f>(IF('Water Report'!$L$9&gt;0,'Water Report'!$L$9,0))</f>
        <v>132</v>
      </c>
      <c r="AP10" s="295">
        <f>(IF('Water Report'!$L$10&gt;0,'Water Report'!$L$10,0))</f>
        <v>14</v>
      </c>
      <c r="AQ10" s="295">
        <f>(IF('Water Report'!$L$11&gt;0,'Water Report'!$L$11,0))</f>
        <v>34</v>
      </c>
      <c r="AR10" s="295">
        <f>(IF('Water Report'!$L$13&gt;0,'Water Report'!$L$13,0))</f>
        <v>56</v>
      </c>
      <c r="AS10" s="295">
        <f>(IF('Water Report'!$L$14&gt;0,'Water Report'!$L$14,0))</f>
        <v>15</v>
      </c>
      <c r="AT10" s="295">
        <f>(IF('Water Report'!$L$15&gt;0,'Water Report'!$L$15,0))</f>
        <v>10</v>
      </c>
      <c r="AU10" s="295">
        <f>(IF('Water Report'!$L$17&gt;0,'Water Report'!$L$17,0))</f>
        <v>0</v>
      </c>
      <c r="AV10" s="295">
        <f>(IF('Water Report'!$L$18&gt;0,'Water Report'!$L$18,0))</f>
        <v>15</v>
      </c>
      <c r="AW10" s="295">
        <f>(IF('Water Report'!$L$19&gt;0,'Water Report'!$L$19,0))</f>
        <v>14</v>
      </c>
      <c r="AX10" s="301">
        <f>(IF('Water Report'!$L$21&gt;0,'Water Report'!$L$21,0))</f>
        <v>70</v>
      </c>
      <c r="AY10" s="301">
        <f>(IF('Water Report'!$L$22&gt;0,'Water Report'!$L$22,0))</f>
        <v>2</v>
      </c>
      <c r="AZ10" s="301">
        <f>(IF('Water Report'!$L$23&gt;0,'Water Report'!$L$23,0))</f>
        <v>3</v>
      </c>
      <c r="BA10" s="301">
        <f>(IF('Water Report'!$L$14&gt;0,'Water Report'!$L$14,0))</f>
        <v>15</v>
      </c>
      <c r="BB10" s="301">
        <f>(IF('Water Report'!$L$15&gt;0,'Water Report'!$L$15,0))</f>
        <v>10</v>
      </c>
      <c r="BC10" s="301">
        <f>(IF('Water Report'!$L$13&gt;0,'Water Report'!$L$13,0))</f>
        <v>56</v>
      </c>
      <c r="BD10" s="301">
        <f>(IF('Water Report'!$L$24&gt;0,'Water Report'!$L$24,0))</f>
        <v>295</v>
      </c>
      <c r="BE10" s="301">
        <f>(IF('Water Report'!$L$25&gt;0,'Water Report'!$L$25,0))</f>
        <v>205</v>
      </c>
      <c r="BF10" s="301">
        <f>(IF('Water Report'!$L$27&gt;0,'Water Report'!$L$27,0))</f>
        <v>129</v>
      </c>
      <c r="BG10" s="296">
        <f>(IF('Section Load'!AN13&gt;0,'Section Load'!AN13,0))</f>
        <v>1195.1999999999534</v>
      </c>
      <c r="BH10" s="296">
        <f>(IF('Section Load'!AO13&gt;0,'Section Load'!AO13,0))</f>
        <v>315.65000000002328</v>
      </c>
      <c r="BI10" s="296">
        <f>(IF('Section Load'!AP13&gt;0,'Section Load'!AP13,0))</f>
        <v>0</v>
      </c>
      <c r="BJ10" s="296">
        <f>(IF('Section Load'!AQ13&gt;0,'Section Load'!AQ13,0))</f>
        <v>119.79999999998836</v>
      </c>
      <c r="BK10" s="296">
        <f>(IF('Section Load'!AR13&gt;0,'Section Load'!AR13,0))</f>
        <v>52</v>
      </c>
      <c r="BL10" s="296">
        <f>(IF('Section Load'!AS13&gt;0,'Section Load'!AS13,0))</f>
        <v>4</v>
      </c>
      <c r="BM10" s="296">
        <f>(IF('Section Load'!AT13&gt;0,'Section Load'!AT13,0))</f>
        <v>703.74999999994179</v>
      </c>
    </row>
    <row r="11" spans="1:65" x14ac:dyDescent="0.25">
      <c r="A11" s="287" t="s">
        <v>268</v>
      </c>
      <c r="B11" s="288">
        <f t="shared" si="0"/>
        <v>10</v>
      </c>
      <c r="C11" s="288">
        <v>12</v>
      </c>
      <c r="D11" s="288">
        <v>2021</v>
      </c>
      <c r="E11" s="294">
        <f>(IF('Section Load'!F14&gt;0,'Section Load'!F14,0))</f>
        <v>3989</v>
      </c>
      <c r="F11" s="294">
        <f>(IF('Section Load'!G14&gt;0,'Section Load'!G14,0))</f>
        <v>1651</v>
      </c>
      <c r="G11" s="294">
        <f>(IF('Section Load'!H14&gt;0,'Section Load'!H14,0))</f>
        <v>2011</v>
      </c>
      <c r="H11" s="294">
        <f>(IF('Section Load'!I14&gt;0,'Section Load'!I14,0))</f>
        <v>2918</v>
      </c>
      <c r="I11" s="294">
        <f>(IF('Section Load'!J14&gt;0,'Section Load'!J14,0))</f>
        <v>6306</v>
      </c>
      <c r="J11" s="294">
        <f>(IF('Section Load'!K14&gt;0,'Section Load'!K14,0))</f>
        <v>2734</v>
      </c>
      <c r="K11" s="294">
        <f>(IF('Section Load'!L14&gt;0,'Section Load'!L14,0))</f>
        <v>1333</v>
      </c>
      <c r="L11" s="294">
        <f>(IF('Section Load'!M14&gt;0,'Section Load'!M14,0))</f>
        <v>953</v>
      </c>
      <c r="M11" s="294">
        <f>(IF('Section Load'!N14&gt;0,'Section Load'!N14,0))</f>
        <v>127</v>
      </c>
      <c r="N11" s="294">
        <f>(IF('Section Load'!O14&gt;0,'Section Load'!O14,0))</f>
        <v>20</v>
      </c>
      <c r="O11" s="294">
        <f>(IF('Section Load'!P14&gt;0,'Section Load'!P14,0))</f>
        <v>0</v>
      </c>
      <c r="P11" s="294">
        <f>(IF('Section Load'!Q14&gt;0,'Section Load'!Q14,0))</f>
        <v>204</v>
      </c>
      <c r="Q11" s="294">
        <f>(IF('Section Load'!R14&gt;0,'Section Load'!R14,0))</f>
        <v>17</v>
      </c>
      <c r="R11" s="294">
        <f>(IF('Section Load'!S14&gt;0,'Section Load'!S14,0))</f>
        <v>45</v>
      </c>
      <c r="S11" s="294">
        <f>(IF('Section Load'!T14&gt;0,'Section Load'!T14,0))</f>
        <v>455</v>
      </c>
      <c r="T11" s="294">
        <f>(IF('Section Load'!U14&gt;0,'Section Load'!U14,0))</f>
        <v>234</v>
      </c>
      <c r="U11" s="294">
        <f>(IF('Section Load'!V14&gt;0,'Section Load'!V14,0))</f>
        <v>467</v>
      </c>
      <c r="V11" s="294">
        <f>(IF('Section Load'!W14&gt;0,'Section Load'!W14,0))</f>
        <v>252</v>
      </c>
      <c r="W11" s="294">
        <f>(IF('Section Load'!X14&gt;0,'Section Load'!X14,0))</f>
        <v>23</v>
      </c>
      <c r="X11" s="294">
        <f>(IF('Section Load'!Y14&gt;0,'Section Load'!Y14,0))</f>
        <v>266</v>
      </c>
      <c r="Y11" s="294">
        <f>(IF('Section Load'!Z14&gt;0,'Section Load'!Z14,0))</f>
        <v>229</v>
      </c>
      <c r="Z11" s="294">
        <f>(IF('Section Load'!AA14&gt;0,'Section Load'!AA14,0))</f>
        <v>4</v>
      </c>
      <c r="AA11" s="294">
        <f>(IF('Section Load'!AB14&gt;0,'Section Load'!AB14,0))</f>
        <v>32</v>
      </c>
      <c r="AB11" s="294">
        <f>(IF('Section Load'!AC14&gt;0,'Section Load'!AC14,0))</f>
        <v>0</v>
      </c>
      <c r="AC11" s="294">
        <f>(IF('Section Load'!AD14&gt;0,'Section Load'!AD14,0))</f>
        <v>103</v>
      </c>
      <c r="AD11" s="294">
        <f>(IF('Section Load'!AE14&gt;0,'Section Load'!AE14,0))</f>
        <v>0</v>
      </c>
      <c r="AE11" s="294">
        <f>(IF('Section Load'!AF14&gt;0,'Section Load'!AF14,0))</f>
        <v>22</v>
      </c>
      <c r="AF11" s="294">
        <f>(IF('Section Load'!AG14&gt;0,'Section Load'!AG14,0))</f>
        <v>350</v>
      </c>
      <c r="AG11" s="294">
        <f>(IF('Section Load'!AH14&gt;0,'Section Load'!AH14,0))</f>
        <v>408</v>
      </c>
      <c r="AH11" s="294">
        <f>(IF('Section Load'!AI14&gt;0,'Section Load'!AI14,0))</f>
        <v>415</v>
      </c>
      <c r="AI11" s="294">
        <f>(IF('Section Load'!AJ14&gt;0,'Section Load'!AJ14,0))</f>
        <v>757</v>
      </c>
      <c r="AJ11" s="294">
        <f>(IF('Section Load'!AK14&gt;0,'Section Load'!AK14,0))</f>
        <v>281</v>
      </c>
      <c r="AK11" s="294">
        <f>(IF('Section Load'!AL14&gt;0,'Section Load'!AL14,0))</f>
        <v>344.29000000000815</v>
      </c>
      <c r="AL11" s="294">
        <f>(IF('Section Load'!AM14&gt;0,'Section Load'!AM14,0))</f>
        <v>842</v>
      </c>
      <c r="AM11" s="295">
        <f>(IF('Water Report'!$M$7&gt;0,'Water Report'!$M$7,0))</f>
        <v>129</v>
      </c>
      <c r="AN11" s="295">
        <f>(IF('Water Report'!$M$8&gt;0,'Water Report'!$M$8,0))</f>
        <v>100</v>
      </c>
      <c r="AO11" s="295">
        <f>(IF('Water Report'!$M$9&gt;0,'Water Report'!$M$9,0))</f>
        <v>106</v>
      </c>
      <c r="AP11" s="295">
        <f>(IF('Water Report'!$M$10&gt;0,'Water Report'!$M$10,0))</f>
        <v>14</v>
      </c>
      <c r="AQ11" s="295">
        <f>(IF('Water Report'!$M$11&gt;0,'Water Report'!$M$11,0))</f>
        <v>29</v>
      </c>
      <c r="AR11" s="295">
        <f>(IF('Water Report'!$M$13&gt;0,'Water Report'!$M$13,0))</f>
        <v>43</v>
      </c>
      <c r="AS11" s="295">
        <f>(IF('Water Report'!$M$14&gt;0,'Water Report'!$M$14,0))</f>
        <v>12</v>
      </c>
      <c r="AT11" s="295">
        <f>(IF('Water Report'!$M$15&gt;0,'Water Report'!$M$15,0))</f>
        <v>15</v>
      </c>
      <c r="AU11" s="295">
        <f>(IF('Water Report'!$M$17&gt;0,'Water Report'!$M$17,0))</f>
        <v>0</v>
      </c>
      <c r="AV11" s="295">
        <f>(IF('Water Report'!$M$18&gt;0,'Water Report'!$M$18,0))</f>
        <v>18</v>
      </c>
      <c r="AW11" s="295">
        <f>(IF('Water Report'!$M$19&gt;0,'Water Report'!$M$19,0))</f>
        <v>14</v>
      </c>
      <c r="AX11" s="301">
        <f>(IF('Water Report'!$M$21&gt;0,'Water Report'!$M$21,0))</f>
        <v>86</v>
      </c>
      <c r="AY11" s="301">
        <f>(IF('Water Report'!$M$22&gt;0,'Water Report'!$M$22,0))</f>
        <v>0</v>
      </c>
      <c r="AZ11" s="301">
        <f>(IF('Water Report'!$M$23&gt;0,'Water Report'!$M$23,0))</f>
        <v>2</v>
      </c>
      <c r="BA11" s="301">
        <f>(IF('Water Report'!$M$14&gt;0,'Water Report'!$M$14,0))</f>
        <v>12</v>
      </c>
      <c r="BB11" s="301">
        <f>(IF('Water Report'!$M$15&gt;0,'Water Report'!$M$15,0))</f>
        <v>15</v>
      </c>
      <c r="BC11" s="301">
        <f>(IF('Water Report'!$M$13&gt;0,'Water Report'!$M$13,0))</f>
        <v>43</v>
      </c>
      <c r="BD11" s="301">
        <f>(IF('Water Report'!$M$24&gt;0,'Water Report'!$M$24,0))</f>
        <v>271</v>
      </c>
      <c r="BE11" s="301">
        <f>(IF('Water Report'!$M$25&gt;0,'Water Report'!$M$25,0))</f>
        <v>176</v>
      </c>
      <c r="BF11" s="301">
        <f>(IF('Water Report'!$M$27&gt;0,'Water Report'!$M$27,0))</f>
        <v>131</v>
      </c>
      <c r="BG11" s="296">
        <f>(IF('Section Load'!AN14&gt;0,'Section Load'!AN14,0))</f>
        <v>1193</v>
      </c>
      <c r="BH11" s="296">
        <f>(IF('Section Load'!AO14&gt;0,'Section Load'!AO14,0))</f>
        <v>322</v>
      </c>
      <c r="BI11" s="296">
        <f>(IF('Section Load'!AP14&gt;0,'Section Load'!AP14,0))</f>
        <v>0</v>
      </c>
      <c r="BJ11" s="296">
        <f>(IF('Section Load'!AQ14&gt;0,'Section Load'!AQ14,0))</f>
        <v>137</v>
      </c>
      <c r="BK11" s="296">
        <f>(IF('Section Load'!AR14&gt;0,'Section Load'!AR14,0))</f>
        <v>52</v>
      </c>
      <c r="BL11" s="296">
        <f>(IF('Section Load'!AS14&gt;0,'Section Load'!AS14,0))</f>
        <v>1</v>
      </c>
      <c r="BM11" s="296">
        <f>(IF('Section Load'!AT14&gt;0,'Section Load'!AT14,0))</f>
        <v>681</v>
      </c>
    </row>
    <row r="12" spans="1:65" x14ac:dyDescent="0.25">
      <c r="A12" s="287" t="s">
        <v>268</v>
      </c>
      <c r="B12" s="288">
        <f t="shared" si="0"/>
        <v>11</v>
      </c>
      <c r="C12" s="288">
        <v>12</v>
      </c>
      <c r="D12" s="288">
        <v>2021</v>
      </c>
      <c r="E12" s="294">
        <f>(IF('Section Load'!F15&gt;0,'Section Load'!F15,0))</f>
        <v>3866</v>
      </c>
      <c r="F12" s="294">
        <f>(IF('Section Load'!G15&gt;0,'Section Load'!G15,0))</f>
        <v>1605</v>
      </c>
      <c r="G12" s="294">
        <f>(IF('Section Load'!H15&gt;0,'Section Load'!H15,0))</f>
        <v>2162</v>
      </c>
      <c r="H12" s="294">
        <f>(IF('Section Load'!I15&gt;0,'Section Load'!I15,0))</f>
        <v>2960</v>
      </c>
      <c r="I12" s="294">
        <f>(IF('Section Load'!J15&gt;0,'Section Load'!J15,0))</f>
        <v>5467</v>
      </c>
      <c r="J12" s="294">
        <f>(IF('Section Load'!K15&gt;0,'Section Load'!K15,0))</f>
        <v>2753</v>
      </c>
      <c r="K12" s="294">
        <f>(IF('Section Load'!L15&gt;0,'Section Load'!L15,0))</f>
        <v>1517</v>
      </c>
      <c r="L12" s="294">
        <f>(IF('Section Load'!M15&gt;0,'Section Load'!M15,0))</f>
        <v>806</v>
      </c>
      <c r="M12" s="294">
        <f>(IF('Section Load'!N15&gt;0,'Section Load'!N15,0))</f>
        <v>127</v>
      </c>
      <c r="N12" s="294">
        <f>(IF('Section Load'!O15&gt;0,'Section Load'!O15,0))</f>
        <v>43</v>
      </c>
      <c r="O12" s="294">
        <f>(IF('Section Load'!P15&gt;0,'Section Load'!P15,0))</f>
        <v>0</v>
      </c>
      <c r="P12" s="294">
        <f>(IF('Section Load'!Q15&gt;0,'Section Load'!Q15,0))</f>
        <v>199</v>
      </c>
      <c r="Q12" s="294">
        <f>(IF('Section Load'!R15&gt;0,'Section Load'!R15,0))</f>
        <v>18</v>
      </c>
      <c r="R12" s="294">
        <f>(IF('Section Load'!S15&gt;0,'Section Load'!S15,0))</f>
        <v>57</v>
      </c>
      <c r="S12" s="294">
        <f>(IF('Section Load'!T15&gt;0,'Section Load'!T15,0))</f>
        <v>476</v>
      </c>
      <c r="T12" s="294">
        <f>(IF('Section Load'!U15&gt;0,'Section Load'!U15,0))</f>
        <v>234</v>
      </c>
      <c r="U12" s="294">
        <f>(IF('Section Load'!V15&gt;0,'Section Load'!V15,0))</f>
        <v>465</v>
      </c>
      <c r="V12" s="294">
        <f>(IF('Section Load'!W15&gt;0,'Section Load'!W15,0))</f>
        <v>317</v>
      </c>
      <c r="W12" s="294">
        <f>(IF('Section Load'!X15&gt;0,'Section Load'!X15,0))</f>
        <v>25</v>
      </c>
      <c r="X12" s="294">
        <f>(IF('Section Load'!Y15&gt;0,'Section Load'!Y15,0))</f>
        <v>260</v>
      </c>
      <c r="Y12" s="294">
        <f>(IF('Section Load'!Z15&gt;0,'Section Load'!Z15,0))</f>
        <v>245</v>
      </c>
      <c r="Z12" s="294">
        <f>(IF('Section Load'!AA15&gt;0,'Section Load'!AA15,0))</f>
        <v>1</v>
      </c>
      <c r="AA12" s="294">
        <f>(IF('Section Load'!AB15&gt;0,'Section Load'!AB15,0))</f>
        <v>17</v>
      </c>
      <c r="AB12" s="294">
        <f>(IF('Section Load'!AC15&gt;0,'Section Load'!AC15,0))</f>
        <v>0</v>
      </c>
      <c r="AC12" s="294">
        <f>(IF('Section Load'!AD15&gt;0,'Section Load'!AD15,0))</f>
        <v>48</v>
      </c>
      <c r="AD12" s="294">
        <f>(IF('Section Load'!AE15&gt;0,'Section Load'!AE15,0))</f>
        <v>0</v>
      </c>
      <c r="AE12" s="294">
        <f>(IF('Section Load'!AF15&gt;0,'Section Load'!AF15,0))</f>
        <v>21</v>
      </c>
      <c r="AF12" s="294">
        <f>(IF('Section Load'!AG15&gt;0,'Section Load'!AG15,0))</f>
        <v>312</v>
      </c>
      <c r="AG12" s="294">
        <f>(IF('Section Load'!AH15&gt;0,'Section Load'!AH15,0))</f>
        <v>437</v>
      </c>
      <c r="AH12" s="294">
        <f>(IF('Section Load'!AI15&gt;0,'Section Load'!AI15,0))</f>
        <v>420</v>
      </c>
      <c r="AI12" s="294">
        <f>(IF('Section Load'!AJ15&gt;0,'Section Load'!AJ15,0))</f>
        <v>768</v>
      </c>
      <c r="AJ12" s="294">
        <f>(IF('Section Load'!AK15&gt;0,'Section Load'!AK15,0))</f>
        <v>298</v>
      </c>
      <c r="AK12" s="294">
        <f>(IF('Section Load'!AL15&gt;0,'Section Load'!AL15,0))</f>
        <v>339</v>
      </c>
      <c r="AL12" s="294">
        <f>(IF('Section Load'!AM15&gt;0,'Section Load'!AM15,0))</f>
        <v>857</v>
      </c>
      <c r="AM12" s="295">
        <f>(IF('Water Report'!$N$7&gt;0,'Water Report'!$N$7,0))</f>
        <v>116</v>
      </c>
      <c r="AN12" s="295">
        <f>(IF('Water Report'!$N$8&gt;0,'Water Report'!$N$8,0))</f>
        <v>126</v>
      </c>
      <c r="AO12" s="295">
        <f>(IF('Water Report'!$N$9&gt;0,'Water Report'!$N$9,0))</f>
        <v>104</v>
      </c>
      <c r="AP12" s="295">
        <f>(IF('Water Report'!$N$10&gt;0,'Water Report'!$N$10,0))</f>
        <v>20</v>
      </c>
      <c r="AQ12" s="295">
        <f>(IF('Water Report'!$N$11&gt;0,'Water Report'!$N$11,0))</f>
        <v>34</v>
      </c>
      <c r="AR12" s="295">
        <f>(IF('Water Report'!$N$13&gt;0,'Water Report'!$N$13,0))</f>
        <v>39</v>
      </c>
      <c r="AS12" s="295">
        <f>(IF('Water Report'!$N$14&gt;0,'Water Report'!$N$14,0))</f>
        <v>8</v>
      </c>
      <c r="AT12" s="295">
        <f>(IF('Water Report'!$N$15&gt;0,'Water Report'!$N$15,0))</f>
        <v>11</v>
      </c>
      <c r="AU12" s="295">
        <f>(IF('Water Report'!$N$17&gt;0,'Water Report'!$N$17,0))</f>
        <v>0</v>
      </c>
      <c r="AV12" s="295">
        <f>(IF('Water Report'!$N$18&gt;0,'Water Report'!$N$18,0))</f>
        <v>20</v>
      </c>
      <c r="AW12" s="295">
        <f>(IF('Water Report'!$N$19&gt;0,'Water Report'!$N$19,0))</f>
        <v>14</v>
      </c>
      <c r="AX12" s="301">
        <f>(IF('Water Report'!$N$21&gt;0,'Water Report'!$N$21,0))</f>
        <v>83</v>
      </c>
      <c r="AY12" s="301">
        <f>(IF('Water Report'!$N$22&gt;0,'Water Report'!$N$22,0))</f>
        <v>0</v>
      </c>
      <c r="AZ12" s="301">
        <f>(IF('Water Report'!$N$23&gt;0,'Water Report'!$N$23,0))</f>
        <v>12</v>
      </c>
      <c r="BA12" s="301">
        <f>(IF('Water Report'!$N$14&gt;0,'Water Report'!$N$14,0))</f>
        <v>8</v>
      </c>
      <c r="BB12" s="301">
        <f>(IF('Water Report'!$N$15&gt;0,'Water Report'!$N$15,0))</f>
        <v>11</v>
      </c>
      <c r="BC12" s="301">
        <f>(IF('Water Report'!$N$13&gt;0,'Water Report'!$N$13,0))</f>
        <v>39</v>
      </c>
      <c r="BD12" s="301">
        <f>(IF('Water Report'!$N$24&gt;0,'Water Report'!$N$24,0))</f>
        <v>274</v>
      </c>
      <c r="BE12" s="301">
        <f>(IF('Water Report'!$N$25&gt;0,'Water Report'!$N$25,0))</f>
        <v>177</v>
      </c>
      <c r="BF12" s="301">
        <f>(IF('Water Report'!$N$27&gt;0,'Water Report'!$N$27,0))</f>
        <v>134</v>
      </c>
      <c r="BG12" s="296">
        <f>(IF('Section Load'!AN15&gt;0,'Section Load'!AN15,0))</f>
        <v>1164</v>
      </c>
      <c r="BH12" s="296">
        <f>(IF('Section Load'!AO15&gt;0,'Section Load'!AO15,0))</f>
        <v>309</v>
      </c>
      <c r="BI12" s="296">
        <f>(IF('Section Load'!AP15&gt;0,'Section Load'!AP15,0))</f>
        <v>0</v>
      </c>
      <c r="BJ12" s="296">
        <f>(IF('Section Load'!AQ15&gt;0,'Section Load'!AQ15,0))</f>
        <v>141</v>
      </c>
      <c r="BK12" s="296">
        <f>(IF('Section Load'!AR15&gt;0,'Section Load'!AR15,0))</f>
        <v>44</v>
      </c>
      <c r="BL12" s="296">
        <f>(IF('Section Load'!AS15&gt;0,'Section Load'!AS15,0))</f>
        <v>3</v>
      </c>
      <c r="BM12" s="296">
        <f>(IF('Section Load'!AT15&gt;0,'Section Load'!AT15,0))</f>
        <v>667</v>
      </c>
    </row>
    <row r="13" spans="1:65" x14ac:dyDescent="0.25">
      <c r="A13" s="287" t="s">
        <v>268</v>
      </c>
      <c r="B13" s="288">
        <f t="shared" si="0"/>
        <v>12</v>
      </c>
      <c r="C13" s="288">
        <v>12</v>
      </c>
      <c r="D13" s="288">
        <v>2021</v>
      </c>
      <c r="E13" s="294">
        <f>(IF('Section Load'!F16&gt;0,'Section Load'!F16,0))</f>
        <v>3898</v>
      </c>
      <c r="F13" s="294">
        <f>(IF('Section Load'!G16&gt;0,'Section Load'!G16,0))</f>
        <v>1688</v>
      </c>
      <c r="G13" s="294">
        <f>(IF('Section Load'!H16&gt;0,'Section Load'!H16,0))</f>
        <v>2175</v>
      </c>
      <c r="H13" s="294">
        <f>(IF('Section Load'!I16&gt;0,'Section Load'!I16,0))</f>
        <v>3054</v>
      </c>
      <c r="I13" s="294">
        <f>(IF('Section Load'!J16&gt;0,'Section Load'!J16,0))</f>
        <v>5511</v>
      </c>
      <c r="J13" s="294">
        <f>(IF('Section Load'!K16&gt;0,'Section Load'!K16,0))</f>
        <v>2634</v>
      </c>
      <c r="K13" s="294">
        <f>(IF('Section Load'!L16&gt;0,'Section Load'!L16,0))</f>
        <v>1046</v>
      </c>
      <c r="L13" s="294">
        <f>(IF('Section Load'!M16&gt;0,'Section Load'!M16,0))</f>
        <v>1141</v>
      </c>
      <c r="M13" s="294">
        <f>(IF('Section Load'!N16&gt;0,'Section Load'!N16,0))</f>
        <v>106</v>
      </c>
      <c r="N13" s="294">
        <f>(IF('Section Load'!O16&gt;0,'Section Load'!O16,0))</f>
        <v>7</v>
      </c>
      <c r="O13" s="294">
        <f>(IF('Section Load'!P16&gt;0,'Section Load'!P16,0))</f>
        <v>0</v>
      </c>
      <c r="P13" s="294">
        <f>(IF('Section Load'!Q16&gt;0,'Section Load'!Q16,0))</f>
        <v>194</v>
      </c>
      <c r="Q13" s="294">
        <f>(IF('Section Load'!R16&gt;0,'Section Load'!R16,0))</f>
        <v>18</v>
      </c>
      <c r="R13" s="294">
        <f>(IF('Section Load'!S16&gt;0,'Section Load'!S16,0))</f>
        <v>76</v>
      </c>
      <c r="S13" s="294">
        <f>(IF('Section Load'!T16&gt;0,'Section Load'!T16,0))</f>
        <v>480</v>
      </c>
      <c r="T13" s="294">
        <f>(IF('Section Load'!U16&gt;0,'Section Load'!U16,0))</f>
        <v>230</v>
      </c>
      <c r="U13" s="294">
        <f>(IF('Section Load'!V16&gt;0,'Section Load'!V16,0))</f>
        <v>461</v>
      </c>
      <c r="V13" s="294">
        <f>(IF('Section Load'!W16&gt;0,'Section Load'!W16,0))</f>
        <v>358</v>
      </c>
      <c r="W13" s="294">
        <f>(IF('Section Load'!X16&gt;0,'Section Load'!X16,0))</f>
        <v>31</v>
      </c>
      <c r="X13" s="294">
        <f>(IF('Section Load'!Y16&gt;0,'Section Load'!Y16,0))</f>
        <v>237</v>
      </c>
      <c r="Y13" s="294">
        <f>(IF('Section Load'!Z16&gt;0,'Section Load'!Z16,0))</f>
        <v>100</v>
      </c>
      <c r="Z13" s="294">
        <f>(IF('Section Load'!AA16&gt;0,'Section Load'!AA16,0))</f>
        <v>1</v>
      </c>
      <c r="AA13" s="294">
        <f>(IF('Section Load'!AB16&gt;0,'Section Load'!AB16,0))</f>
        <v>15</v>
      </c>
      <c r="AB13" s="294">
        <f>(IF('Section Load'!AC16&gt;0,'Section Load'!AC16,0))</f>
        <v>11.529999999998836</v>
      </c>
      <c r="AC13" s="294">
        <f>(IF('Section Load'!AD16&gt;0,'Section Load'!AD16,0))</f>
        <v>51</v>
      </c>
      <c r="AD13" s="294">
        <f>(IF('Section Load'!AE16&gt;0,'Section Load'!AE16,0))</f>
        <v>0</v>
      </c>
      <c r="AE13" s="294">
        <f>(IF('Section Load'!AF16&gt;0,'Section Load'!AF16,0))</f>
        <v>24</v>
      </c>
      <c r="AF13" s="294">
        <f>(IF('Section Load'!AG16&gt;0,'Section Load'!AG16,0))</f>
        <v>330</v>
      </c>
      <c r="AG13" s="294">
        <f>(IF('Section Load'!AH16&gt;0,'Section Load'!AH16,0))</f>
        <v>446</v>
      </c>
      <c r="AH13" s="294">
        <f>(IF('Section Load'!AI16&gt;0,'Section Load'!AI16,0))</f>
        <v>413</v>
      </c>
      <c r="AI13" s="294">
        <f>(IF('Section Load'!AJ16&gt;0,'Section Load'!AJ16,0))</f>
        <v>764</v>
      </c>
      <c r="AJ13" s="294">
        <f>(IF('Section Load'!AK16&gt;0,'Section Load'!AK16,0))</f>
        <v>303</v>
      </c>
      <c r="AK13" s="294">
        <f>(IF('Section Load'!AL16&gt;0,'Section Load'!AL16,0))</f>
        <v>352</v>
      </c>
      <c r="AL13" s="294">
        <f>(IF('Section Load'!AM16&gt;0,'Section Load'!AM16,0))</f>
        <v>852</v>
      </c>
      <c r="AM13" s="295">
        <f>(IF('Water Report'!$O$7&gt;0,'Water Report'!$O$7,0))</f>
        <v>144</v>
      </c>
      <c r="AN13" s="295">
        <f>(IF('Water Report'!$O$8&gt;0,'Water Report'!$O$8,0))</f>
        <v>130</v>
      </c>
      <c r="AO13" s="295">
        <f>(IF('Water Report'!$O$9&gt;0,'Water Report'!$O$9,0))</f>
        <v>105</v>
      </c>
      <c r="AP13" s="295">
        <f>(IF('Water Report'!$O$10&gt;0,'Water Report'!$O$10,0))</f>
        <v>21</v>
      </c>
      <c r="AQ13" s="295">
        <f>(IF('Water Report'!$O$11&gt;0,'Water Report'!$O$11,0))</f>
        <v>33</v>
      </c>
      <c r="AR13" s="295">
        <f>(IF('Water Report'!$O$13&gt;0,'Water Report'!$O$13,0))</f>
        <v>44</v>
      </c>
      <c r="AS13" s="295">
        <f>(IF('Water Report'!$O$14&gt;0,'Water Report'!$O$14,0))</f>
        <v>7</v>
      </c>
      <c r="AT13" s="295">
        <f>(IF('Water Report'!$O$15&gt;0,'Water Report'!$O$15,0))</f>
        <v>9</v>
      </c>
      <c r="AU13" s="295">
        <f>(IF('Water Report'!$O$17&gt;0,'Water Report'!$O$17,0))</f>
        <v>3</v>
      </c>
      <c r="AV13" s="295">
        <f>(IF('Water Report'!$O$18&gt;0,'Water Report'!$O$18,0))</f>
        <v>19</v>
      </c>
      <c r="AW13" s="295">
        <f>(IF('Water Report'!$O$19&gt;0,'Water Report'!$O$19,0))</f>
        <v>14</v>
      </c>
      <c r="AX13" s="301">
        <f>(IF('Water Report'!$O$21&gt;0,'Water Report'!$O$21,0))</f>
        <v>109</v>
      </c>
      <c r="AY13" s="301">
        <f>(IF('Water Report'!$O$22&gt;0,'Water Report'!$O$22,0))</f>
        <v>0</v>
      </c>
      <c r="AZ13" s="301">
        <f>(IF('Water Report'!$O$23&gt;0,'Water Report'!$O$23,0))</f>
        <v>1</v>
      </c>
      <c r="BA13" s="301">
        <f>(IF('Water Report'!$O$14&gt;0,'Water Report'!$O$14,0))</f>
        <v>7</v>
      </c>
      <c r="BB13" s="301">
        <f>(IF('Water Report'!$O$15&gt;0,'Water Report'!$O$15,0))</f>
        <v>9</v>
      </c>
      <c r="BC13" s="301">
        <f>(IF('Water Report'!$O$13&gt;0,'Water Report'!$O$13,0))</f>
        <v>44</v>
      </c>
      <c r="BD13" s="301">
        <f>(IF('Water Report'!$O$24&gt;0,'Water Report'!$O$24,0))</f>
        <v>294</v>
      </c>
      <c r="BE13" s="301">
        <f>(IF('Water Report'!$O$25&gt;0,'Water Report'!$O$25,0))</f>
        <v>175</v>
      </c>
      <c r="BF13" s="301">
        <f>(IF('Water Report'!$O$27&gt;0,'Water Report'!$O$27,0))</f>
        <v>154</v>
      </c>
      <c r="BG13" s="296">
        <f>(IF('Section Load'!AN16&gt;0,'Section Load'!AN16,0))</f>
        <v>1252</v>
      </c>
      <c r="BH13" s="296">
        <f>(IF('Section Load'!AO16&gt;0,'Section Load'!AO16,0))</f>
        <v>300</v>
      </c>
      <c r="BI13" s="296">
        <f>(IF('Section Load'!AP16&gt;0,'Section Load'!AP16,0))</f>
        <v>0</v>
      </c>
      <c r="BJ13" s="296">
        <f>(IF('Section Load'!AQ16&gt;0,'Section Load'!AQ16,0))</f>
        <v>152</v>
      </c>
      <c r="BK13" s="296">
        <f>(IF('Section Load'!AR16&gt;0,'Section Load'!AR16,0))</f>
        <v>46</v>
      </c>
      <c r="BL13" s="296">
        <f>(IF('Section Load'!AS16&gt;0,'Section Load'!AS16,0))</f>
        <v>5</v>
      </c>
      <c r="BM13" s="296">
        <f>(IF('Section Load'!AT16&gt;0,'Section Load'!AT16,0))</f>
        <v>749</v>
      </c>
    </row>
    <row r="14" spans="1:65" x14ac:dyDescent="0.25">
      <c r="A14" s="287" t="s">
        <v>268</v>
      </c>
      <c r="B14" s="288">
        <f t="shared" si="0"/>
        <v>13</v>
      </c>
      <c r="C14" s="288">
        <v>12</v>
      </c>
      <c r="D14" s="288">
        <v>2021</v>
      </c>
      <c r="E14" s="294">
        <f>(IF('Section Load'!F17&gt;0,'Section Load'!F17,0))</f>
        <v>3767</v>
      </c>
      <c r="F14" s="294">
        <f>(IF('Section Load'!G17&gt;0,'Section Load'!G17,0))</f>
        <v>1431</v>
      </c>
      <c r="G14" s="294">
        <f>(IF('Section Load'!H17&gt;0,'Section Load'!H17,0))</f>
        <v>2095</v>
      </c>
      <c r="H14" s="294">
        <f>(IF('Section Load'!I17&gt;0,'Section Load'!I17,0))</f>
        <v>3101</v>
      </c>
      <c r="I14" s="294">
        <f>(IF('Section Load'!J17&gt;0,'Section Load'!J17,0))</f>
        <v>5072</v>
      </c>
      <c r="J14" s="294">
        <f>(IF('Section Load'!K17&gt;0,'Section Load'!K17,0))</f>
        <v>2771</v>
      </c>
      <c r="K14" s="294">
        <f>(IF('Section Load'!L17&gt;0,'Section Load'!L17,0))</f>
        <v>1701</v>
      </c>
      <c r="L14" s="294">
        <f>(IF('Section Load'!M17&gt;0,'Section Load'!M17,0))</f>
        <v>1205</v>
      </c>
      <c r="M14" s="294">
        <f>(IF('Section Load'!N17&gt;0,'Section Load'!N17,0))</f>
        <v>100</v>
      </c>
      <c r="N14" s="294">
        <f>(IF('Section Load'!O17&gt;0,'Section Load'!O17,0))</f>
        <v>4</v>
      </c>
      <c r="O14" s="294">
        <f>(IF('Section Load'!P17&gt;0,'Section Load'!P17,0))</f>
        <v>1</v>
      </c>
      <c r="P14" s="294">
        <f>(IF('Section Load'!Q17&gt;0,'Section Load'!Q17,0))</f>
        <v>208</v>
      </c>
      <c r="Q14" s="294">
        <f>(IF('Section Load'!R17&gt;0,'Section Load'!R17,0))</f>
        <v>18</v>
      </c>
      <c r="R14" s="294">
        <f>(IF('Section Load'!S17&gt;0,'Section Load'!S17,0))</f>
        <v>61</v>
      </c>
      <c r="S14" s="294">
        <f>(IF('Section Load'!T17&gt;0,'Section Load'!T17,0))</f>
        <v>461</v>
      </c>
      <c r="T14" s="294">
        <f>(IF('Section Load'!U17&gt;0,'Section Load'!U17,0))</f>
        <v>236</v>
      </c>
      <c r="U14" s="294">
        <f>(IF('Section Load'!V17&gt;0,'Section Load'!V17,0))</f>
        <v>486</v>
      </c>
      <c r="V14" s="294">
        <f>(IF('Section Load'!W17&gt;0,'Section Load'!W17,0))</f>
        <v>316</v>
      </c>
      <c r="W14" s="294">
        <f>(IF('Section Load'!X17&gt;0,'Section Load'!X17,0))</f>
        <v>30</v>
      </c>
      <c r="X14" s="294">
        <f>(IF('Section Load'!Y17&gt;0,'Section Load'!Y17,0))</f>
        <v>230</v>
      </c>
      <c r="Y14" s="294">
        <f>(IF('Section Load'!Z17&gt;0,'Section Load'!Z17,0))</f>
        <v>226</v>
      </c>
      <c r="Z14" s="294">
        <f>(IF('Section Load'!AA17&gt;0,'Section Load'!AA17,0))</f>
        <v>1</v>
      </c>
      <c r="AA14" s="294">
        <f>(IF('Section Load'!AB17&gt;0,'Section Load'!AB17,0))</f>
        <v>34</v>
      </c>
      <c r="AB14" s="294">
        <f>(IF('Section Load'!AC17&gt;0,'Section Load'!AC17,0))</f>
        <v>0</v>
      </c>
      <c r="AC14" s="294">
        <f>(IF('Section Load'!AD17&gt;0,'Section Load'!AD17,0))</f>
        <v>98</v>
      </c>
      <c r="AD14" s="294">
        <f>(IF('Section Load'!AE17&gt;0,'Section Load'!AE17,0))</f>
        <v>0</v>
      </c>
      <c r="AE14" s="294">
        <f>(IF('Section Load'!AF17&gt;0,'Section Load'!AF17,0))</f>
        <v>26</v>
      </c>
      <c r="AF14" s="294">
        <f>(IF('Section Load'!AG17&gt;0,'Section Load'!AG17,0))</f>
        <v>408</v>
      </c>
      <c r="AG14" s="294">
        <f>(IF('Section Load'!AH17&gt;0,'Section Load'!AH17,0))</f>
        <v>466</v>
      </c>
      <c r="AH14" s="294">
        <f>(IF('Section Load'!AI17&gt;0,'Section Load'!AI17,0))</f>
        <v>422</v>
      </c>
      <c r="AI14" s="294">
        <f>(IF('Section Load'!AJ17&gt;0,'Section Load'!AJ17,0))</f>
        <v>788</v>
      </c>
      <c r="AJ14" s="294">
        <f>(IF('Section Load'!AK17&gt;0,'Section Load'!AK17,0))</f>
        <v>323</v>
      </c>
      <c r="AK14" s="294">
        <f>(IF('Section Load'!AL17&gt;0,'Section Load'!AL17,0))</f>
        <v>358</v>
      </c>
      <c r="AL14" s="294">
        <f>(IF('Section Load'!AM17&gt;0,'Section Load'!AM17,0))</f>
        <v>828</v>
      </c>
      <c r="AM14" s="295">
        <f>(IF('Water Report'!$P$7&gt;0,'Water Report'!$P$7,0))</f>
        <v>146</v>
      </c>
      <c r="AN14" s="295">
        <f>(IF('Water Report'!$P$8&gt;0,'Water Report'!$P$8,0))</f>
        <v>125</v>
      </c>
      <c r="AO14" s="295">
        <f>(IF('Water Report'!$P$9&gt;0,'Water Report'!$P$9,0))</f>
        <v>152</v>
      </c>
      <c r="AP14" s="295">
        <f>(IF('Water Report'!$P$10&gt;0,'Water Report'!$P$10,0))</f>
        <v>19</v>
      </c>
      <c r="AQ14" s="295">
        <f>(IF('Water Report'!$P$11&gt;0,'Water Report'!$P$11,0))</f>
        <v>30</v>
      </c>
      <c r="AR14" s="295">
        <f>(IF('Water Report'!$P$13&gt;0,'Water Report'!$P$13,0))</f>
        <v>46</v>
      </c>
      <c r="AS14" s="295">
        <f>(IF('Water Report'!$P$14&gt;0,'Water Report'!$P$14,0))</f>
        <v>16</v>
      </c>
      <c r="AT14" s="295">
        <f>(IF('Water Report'!$P$15&gt;0,'Water Report'!$P$15,0))</f>
        <v>14</v>
      </c>
      <c r="AU14" s="295">
        <f>(IF('Water Report'!$P$17&gt;0,'Water Report'!$P$17,0))</f>
        <v>0</v>
      </c>
      <c r="AV14" s="295">
        <f>(IF('Water Report'!$P$18&gt;0,'Water Report'!$P$18,0))</f>
        <v>19</v>
      </c>
      <c r="AW14" s="295">
        <f>(IF('Water Report'!$P$19&gt;0,'Water Report'!$P$19,0))</f>
        <v>12</v>
      </c>
      <c r="AX14" s="301">
        <f>(IF('Water Report'!$P$21&gt;0,'Water Report'!$P$21,0))</f>
        <v>68</v>
      </c>
      <c r="AY14" s="301">
        <f>(IF('Water Report'!$P$22&gt;0,'Water Report'!$P$22,0))</f>
        <v>0</v>
      </c>
      <c r="AZ14" s="301">
        <f>(IF('Water Report'!$P$23&gt;0,'Water Report'!$P$23,0))</f>
        <v>3</v>
      </c>
      <c r="BA14" s="301">
        <f>(IF('Water Report'!$P$14&gt;0,'Water Report'!$P$14,0))</f>
        <v>16</v>
      </c>
      <c r="BB14" s="301">
        <f>(IF('Water Report'!$P$15&gt;0,'Water Report'!$P$15,0))</f>
        <v>14</v>
      </c>
      <c r="BC14" s="301">
        <f>(IF('Water Report'!$P$13&gt;0,'Water Report'!$P$13,0))</f>
        <v>46</v>
      </c>
      <c r="BD14" s="301">
        <f>(IF('Water Report'!$P$24&gt;0,'Water Report'!$P$24,0))</f>
        <v>294</v>
      </c>
      <c r="BE14" s="301">
        <f>(IF('Water Report'!$P$25&gt;0,'Water Report'!$P$25,0))</f>
        <v>231</v>
      </c>
      <c r="BF14" s="301">
        <f>(IF('Water Report'!$P$27&gt;0,'Water Report'!$P$27,0))</f>
        <v>117</v>
      </c>
      <c r="BG14" s="296">
        <f>(IF('Section Load'!AN17&gt;0,'Section Load'!AN17,0))</f>
        <v>1211</v>
      </c>
      <c r="BH14" s="296">
        <f>(IF('Section Load'!AO17&gt;0,'Section Load'!AO17,0))</f>
        <v>329</v>
      </c>
      <c r="BI14" s="296">
        <f>(IF('Section Load'!AP17&gt;0,'Section Load'!AP17,0))</f>
        <v>0</v>
      </c>
      <c r="BJ14" s="296">
        <f>(IF('Section Load'!AQ17&gt;0,'Section Load'!AQ17,0))</f>
        <v>139</v>
      </c>
      <c r="BK14" s="296">
        <f>(IF('Section Load'!AR17&gt;0,'Section Load'!AR17,0))</f>
        <v>66</v>
      </c>
      <c r="BL14" s="296">
        <f>(IF('Section Load'!AS17&gt;0,'Section Load'!AS17,0))</f>
        <v>0</v>
      </c>
      <c r="BM14" s="296">
        <f>(IF('Section Load'!AT17&gt;0,'Section Load'!AT17,0))</f>
        <v>677</v>
      </c>
    </row>
    <row r="15" spans="1:65" x14ac:dyDescent="0.25">
      <c r="A15" s="287" t="s">
        <v>268</v>
      </c>
      <c r="B15" s="288">
        <f t="shared" si="0"/>
        <v>14</v>
      </c>
      <c r="C15" s="288">
        <v>12</v>
      </c>
      <c r="D15" s="288">
        <v>2021</v>
      </c>
      <c r="E15" s="294">
        <f>(IF('Section Load'!F18&gt;0,'Section Load'!F18,0))</f>
        <v>3890</v>
      </c>
      <c r="F15" s="294">
        <f>(IF('Section Load'!G18&gt;0,'Section Load'!G18,0))</f>
        <v>1598</v>
      </c>
      <c r="G15" s="294">
        <f>(IF('Section Load'!H18&gt;0,'Section Load'!H18,0))</f>
        <v>2029</v>
      </c>
      <c r="H15" s="294">
        <f>(IF('Section Load'!I18&gt;0,'Section Load'!I18,0))</f>
        <v>3022</v>
      </c>
      <c r="I15" s="294">
        <f>(IF('Section Load'!J18&gt;0,'Section Load'!J18,0))</f>
        <v>3919</v>
      </c>
      <c r="J15" s="294">
        <f>(IF('Section Load'!K18&gt;0,'Section Load'!K18,0))</f>
        <v>2768</v>
      </c>
      <c r="K15" s="294">
        <f>(IF('Section Load'!L18&gt;0,'Section Load'!L18,0))</f>
        <v>1163</v>
      </c>
      <c r="L15" s="294">
        <f>(IF('Section Load'!M18&gt;0,'Section Load'!M18,0))</f>
        <v>1164</v>
      </c>
      <c r="M15" s="294">
        <f>(IF('Section Load'!N18&gt;0,'Section Load'!N18,0))</f>
        <v>123</v>
      </c>
      <c r="N15" s="294">
        <f>(IF('Section Load'!O18&gt;0,'Section Load'!O18,0))</f>
        <v>4</v>
      </c>
      <c r="O15" s="294">
        <f>(IF('Section Load'!P18&gt;0,'Section Load'!P18,0))</f>
        <v>0</v>
      </c>
      <c r="P15" s="294">
        <f>(IF('Section Load'!Q18&gt;0,'Section Load'!Q18,0))</f>
        <v>185</v>
      </c>
      <c r="Q15" s="294">
        <f>(IF('Section Load'!R18&gt;0,'Section Load'!R18,0))</f>
        <v>55</v>
      </c>
      <c r="R15" s="294">
        <f>(IF('Section Load'!S18&gt;0,'Section Load'!S18,0))</f>
        <v>55</v>
      </c>
      <c r="S15" s="294">
        <f>(IF('Section Load'!T18&gt;0,'Section Load'!T18,0))</f>
        <v>427</v>
      </c>
      <c r="T15" s="294">
        <f>(IF('Section Load'!U18&gt;0,'Section Load'!U18,0))</f>
        <v>233</v>
      </c>
      <c r="U15" s="294">
        <f>(IF('Section Load'!V18&gt;0,'Section Load'!V18,0))</f>
        <v>405</v>
      </c>
      <c r="V15" s="294">
        <f>(IF('Section Load'!W18&gt;0,'Section Load'!W18,0))</f>
        <v>321</v>
      </c>
      <c r="W15" s="294">
        <f>(IF('Section Load'!X18&gt;0,'Section Load'!X18,0))</f>
        <v>31</v>
      </c>
      <c r="X15" s="294">
        <f>(IF('Section Load'!Y18&gt;0,'Section Load'!Y18,0))</f>
        <v>226</v>
      </c>
      <c r="Y15" s="294">
        <f>(IF('Section Load'!Z18&gt;0,'Section Load'!Z18,0))</f>
        <v>395</v>
      </c>
      <c r="Z15" s="294">
        <f>(IF('Section Load'!AA18&gt;0,'Section Load'!AA18,0))</f>
        <v>5</v>
      </c>
      <c r="AA15" s="294">
        <f>(IF('Section Load'!AB18&gt;0,'Section Load'!AB18,0))</f>
        <v>37</v>
      </c>
      <c r="AB15" s="294">
        <f>(IF('Section Load'!AC18&gt;0,'Section Load'!AC18,0))</f>
        <v>0</v>
      </c>
      <c r="AC15" s="294">
        <f>(IF('Section Load'!AD18&gt;0,'Section Load'!AD18,0))</f>
        <v>133</v>
      </c>
      <c r="AD15" s="294">
        <f>(IF('Section Load'!AE18&gt;0,'Section Load'!AE18,0))</f>
        <v>0</v>
      </c>
      <c r="AE15" s="294">
        <f>(IF('Section Load'!AF18&gt;0,'Section Load'!AF18,0))</f>
        <v>20</v>
      </c>
      <c r="AF15" s="294">
        <f>(IF('Section Load'!AG18&gt;0,'Section Load'!AG18,0))</f>
        <v>426</v>
      </c>
      <c r="AG15" s="294">
        <f>(IF('Section Load'!AH18&gt;0,'Section Load'!AH18,0))</f>
        <v>415</v>
      </c>
      <c r="AH15" s="294">
        <f>(IF('Section Load'!AI18&gt;0,'Section Load'!AI18,0))</f>
        <v>386</v>
      </c>
      <c r="AI15" s="294">
        <f>(IF('Section Load'!AJ18&gt;0,'Section Load'!AJ18,0))</f>
        <v>751</v>
      </c>
      <c r="AJ15" s="294">
        <f>(IF('Section Load'!AK18&gt;0,'Section Load'!AK18,0))</f>
        <v>338</v>
      </c>
      <c r="AK15" s="294">
        <f>(IF('Section Load'!AL18&gt;0,'Section Load'!AL18,0))</f>
        <v>363</v>
      </c>
      <c r="AL15" s="294">
        <f>(IF('Section Load'!AM18&gt;0,'Section Load'!AM18,0))</f>
        <v>833</v>
      </c>
      <c r="AM15" s="295">
        <f>(IF('Water Report'!$Q$7&gt;0,'Water Report'!$Q$7,0))</f>
        <v>143</v>
      </c>
      <c r="AN15" s="295">
        <f>(IF('Water Report'!$Q$8&gt;0,'Water Report'!$Q$8,0))</f>
        <v>82</v>
      </c>
      <c r="AO15" s="295">
        <f>(IF('Water Report'!$Q$9&gt;0,'Water Report'!$Q$9,0))</f>
        <v>105</v>
      </c>
      <c r="AP15" s="295">
        <f>(IF('Water Report'!$Q$10&gt;0,'Water Report'!$Q$10,0))</f>
        <v>18</v>
      </c>
      <c r="AQ15" s="295">
        <f>(IF('Water Report'!$Q$11&gt;0,'Water Report'!$Q$11,0))</f>
        <v>32</v>
      </c>
      <c r="AR15" s="295">
        <f>(IF('Water Report'!$Q$13&gt;0,'Water Report'!$Q$13,0))</f>
        <v>41</v>
      </c>
      <c r="AS15" s="295">
        <f>(IF('Water Report'!$Q$14&gt;0,'Water Report'!$Q$14,0))</f>
        <v>8</v>
      </c>
      <c r="AT15" s="295">
        <f>(IF('Water Report'!$Q$15&gt;0,'Water Report'!$Q$15,0))</f>
        <v>9</v>
      </c>
      <c r="AU15" s="295">
        <f>(IF('Water Report'!$Q$17&gt;0,'Water Report'!$Q$17,0))</f>
        <v>0</v>
      </c>
      <c r="AV15" s="295">
        <f>(IF('Water Report'!$Q$18&gt;0,'Water Report'!$Q$18,0))</f>
        <v>16</v>
      </c>
      <c r="AW15" s="295">
        <f>(IF('Water Report'!$Q$19&gt;0,'Water Report'!$Q$19,0))</f>
        <v>14</v>
      </c>
      <c r="AX15" s="301">
        <f>(IF('Water Report'!$Q$21&gt;0,'Water Report'!$Q$21,0))</f>
        <v>55</v>
      </c>
      <c r="AY15" s="301">
        <f>(IF('Water Report'!$Q$22&gt;0,'Water Report'!$Q$22,0))</f>
        <v>0</v>
      </c>
      <c r="AZ15" s="301">
        <f>(IF('Water Report'!$Q$23&gt;0,'Water Report'!$Q$23,0))</f>
        <v>12</v>
      </c>
      <c r="BA15" s="301">
        <f>(IF('Water Report'!$Q$14&gt;0,'Water Report'!$Q$14,0))</f>
        <v>8</v>
      </c>
      <c r="BB15" s="301">
        <f>(IF('Water Report'!$Q$15&gt;0,'Water Report'!$Q$15,0))</f>
        <v>9</v>
      </c>
      <c r="BC15" s="301">
        <f>(IF('Water Report'!$Q$13&gt;0,'Water Report'!$Q$13,0))</f>
        <v>41</v>
      </c>
      <c r="BD15" s="301">
        <f>(IF('Water Report'!$Q$24&gt;0,'Water Report'!$Q$24,0))</f>
        <v>292</v>
      </c>
      <c r="BE15" s="301">
        <f>(IF('Water Report'!$Q$25&gt;0,'Water Report'!$Q$25,0))</f>
        <v>172</v>
      </c>
      <c r="BF15" s="301">
        <f>(IF('Water Report'!$Q$27&gt;0,'Water Report'!$Q$27,0))</f>
        <v>108</v>
      </c>
      <c r="BG15" s="296">
        <f>(IF('Section Load'!AN18&gt;0,'Section Load'!AN18,0))</f>
        <v>1124</v>
      </c>
      <c r="BH15" s="296">
        <f>(IF('Section Load'!AO18&gt;0,'Section Load'!AO18,0))</f>
        <v>321</v>
      </c>
      <c r="BI15" s="296">
        <f>(IF('Section Load'!AP18&gt;0,'Section Load'!AP18,0))</f>
        <v>0</v>
      </c>
      <c r="BJ15" s="296">
        <f>(IF('Section Load'!AQ18&gt;0,'Section Load'!AQ18,0))</f>
        <v>110</v>
      </c>
      <c r="BK15" s="296">
        <f>(IF('Section Load'!AR18&gt;0,'Section Load'!AR18,0))</f>
        <v>39</v>
      </c>
      <c r="BL15" s="296">
        <f>(IF('Section Load'!AS18&gt;0,'Section Load'!AS18,0))</f>
        <v>0</v>
      </c>
      <c r="BM15" s="296">
        <f>(IF('Section Load'!AT18&gt;0,'Section Load'!AT18,0))</f>
        <v>654</v>
      </c>
    </row>
    <row r="16" spans="1:65" x14ac:dyDescent="0.25">
      <c r="A16" s="287" t="s">
        <v>268</v>
      </c>
      <c r="B16" s="288">
        <f t="shared" si="0"/>
        <v>15</v>
      </c>
      <c r="C16" s="288">
        <v>12</v>
      </c>
      <c r="D16" s="288">
        <v>2021</v>
      </c>
      <c r="E16" s="294">
        <f>(IF('Section Load'!F19&gt;0,'Section Load'!F19,0))</f>
        <v>3797</v>
      </c>
      <c r="F16" s="294">
        <f>(IF('Section Load'!G19&gt;0,'Section Load'!G19,0))</f>
        <v>1543</v>
      </c>
      <c r="G16" s="294">
        <f>(IF('Section Load'!H19&gt;0,'Section Load'!H19,0))</f>
        <v>1931</v>
      </c>
      <c r="H16" s="294">
        <f>(IF('Section Load'!I19&gt;0,'Section Load'!I19,0))</f>
        <v>2939</v>
      </c>
      <c r="I16" s="294">
        <f>(IF('Section Load'!J19&gt;0,'Section Load'!J19,0))</f>
        <v>5187</v>
      </c>
      <c r="J16" s="294">
        <f>(IF('Section Load'!K19&gt;0,'Section Load'!K19,0))</f>
        <v>2748</v>
      </c>
      <c r="K16" s="294">
        <f>(IF('Section Load'!L19&gt;0,'Section Load'!L19,0))</f>
        <v>1582</v>
      </c>
      <c r="L16" s="294">
        <f>(IF('Section Load'!M19&gt;0,'Section Load'!M19,0))</f>
        <v>1099</v>
      </c>
      <c r="M16" s="294">
        <f>(IF('Section Load'!N19&gt;0,'Section Load'!N19,0))</f>
        <v>106</v>
      </c>
      <c r="N16" s="294">
        <f>(IF('Section Load'!O19&gt;0,'Section Load'!O19,0))</f>
        <v>1</v>
      </c>
      <c r="O16" s="294">
        <f>(IF('Section Load'!P19&gt;0,'Section Load'!P19,0))</f>
        <v>0</v>
      </c>
      <c r="P16" s="294">
        <f>(IF('Section Load'!Q19&gt;0,'Section Load'!Q19,0))</f>
        <v>200</v>
      </c>
      <c r="Q16" s="294">
        <f>(IF('Section Load'!R19&gt;0,'Section Load'!R19,0))</f>
        <v>73</v>
      </c>
      <c r="R16" s="294">
        <f>(IF('Section Load'!S19&gt;0,'Section Load'!S19,0))</f>
        <v>33</v>
      </c>
      <c r="S16" s="294">
        <f>(IF('Section Load'!T19&gt;0,'Section Load'!T19,0))</f>
        <v>420</v>
      </c>
      <c r="T16" s="294">
        <f>(IF('Section Load'!U19&gt;0,'Section Load'!U19,0))</f>
        <v>225</v>
      </c>
      <c r="U16" s="294">
        <f>(IF('Section Load'!V19&gt;0,'Section Load'!V19,0))</f>
        <v>407</v>
      </c>
      <c r="V16" s="294">
        <f>(IF('Section Load'!W19&gt;0,'Section Load'!W19,0))</f>
        <v>283</v>
      </c>
      <c r="W16" s="294">
        <f>(IF('Section Load'!X19&gt;0,'Section Load'!X19,0))</f>
        <v>33</v>
      </c>
      <c r="X16" s="294">
        <f>(IF('Section Load'!Y19&gt;0,'Section Load'!Y19,0))</f>
        <v>251</v>
      </c>
      <c r="Y16" s="294">
        <f>(IF('Section Load'!Z19&gt;0,'Section Load'!Z19,0))</f>
        <v>234</v>
      </c>
      <c r="Z16" s="294">
        <f>(IF('Section Load'!AA19&gt;0,'Section Load'!AA19,0))</f>
        <v>2</v>
      </c>
      <c r="AA16" s="294">
        <f>(IF('Section Load'!AB19&gt;0,'Section Load'!AB19,0))</f>
        <v>33</v>
      </c>
      <c r="AB16" s="294">
        <f>(IF('Section Load'!AC19&gt;0,'Section Load'!AC19,0))</f>
        <v>0</v>
      </c>
      <c r="AC16" s="294">
        <f>(IF('Section Load'!AD19&gt;0,'Section Load'!AD19,0))</f>
        <v>140</v>
      </c>
      <c r="AD16" s="294">
        <f>(IF('Section Load'!AE19&gt;0,'Section Load'!AE19,0))</f>
        <v>0</v>
      </c>
      <c r="AE16" s="294">
        <f>(IF('Section Load'!AF19&gt;0,'Section Load'!AF19,0))</f>
        <v>20</v>
      </c>
      <c r="AF16" s="294">
        <f>(IF('Section Load'!AG19&gt;0,'Section Load'!AG19,0))</f>
        <v>419</v>
      </c>
      <c r="AG16" s="294">
        <f>(IF('Section Load'!AH19&gt;0,'Section Load'!AH19,0))</f>
        <v>429</v>
      </c>
      <c r="AH16" s="294">
        <f>(IF('Section Load'!AI19&gt;0,'Section Load'!AI19,0))</f>
        <v>375</v>
      </c>
      <c r="AI16" s="294">
        <f>(IF('Section Load'!AJ19&gt;0,'Section Load'!AJ19,0))</f>
        <v>741</v>
      </c>
      <c r="AJ16" s="294">
        <f>(IF('Section Load'!AK19&gt;0,'Section Load'!AK19,0))</f>
        <v>372</v>
      </c>
      <c r="AK16" s="294">
        <f>(IF('Section Load'!AL19&gt;0,'Section Load'!AL19,0))</f>
        <v>389</v>
      </c>
      <c r="AL16" s="294">
        <f>(IF('Section Load'!AM19&gt;0,'Section Load'!AM19,0))</f>
        <v>818</v>
      </c>
      <c r="AM16" s="295">
        <f>(IF('Water Report'!$R$7&gt;0,'Water Report'!$R$7,0))</f>
        <v>106</v>
      </c>
      <c r="AN16" s="295">
        <f>(IF('Water Report'!$R$8&gt;0,'Water Report'!$R$8,0))</f>
        <v>81</v>
      </c>
      <c r="AO16" s="295">
        <f>(IF('Water Report'!$R$9&gt;0,'Water Report'!$R$9,0))</f>
        <v>106</v>
      </c>
      <c r="AP16" s="295">
        <f>(IF('Water Report'!$R$10&gt;0,'Water Report'!$R$10,0))</f>
        <v>13</v>
      </c>
      <c r="AQ16" s="295">
        <f>(IF('Water Report'!$R$11&gt;0,'Water Report'!$R$11,0))</f>
        <v>20</v>
      </c>
      <c r="AR16" s="295">
        <f>(IF('Water Report'!$R$13&gt;0,'Water Report'!$R$13,0))</f>
        <v>38</v>
      </c>
      <c r="AS16" s="295">
        <f>(IF('Water Report'!$R$14&gt;0,'Water Report'!$R$14,0))</f>
        <v>8</v>
      </c>
      <c r="AT16" s="295">
        <f>(IF('Water Report'!$R$15&gt;0,'Water Report'!$R$15,0))</f>
        <v>5</v>
      </c>
      <c r="AU16" s="295">
        <f>(IF('Water Report'!$R$17&gt;0,'Water Report'!$R$17,0))</f>
        <v>0</v>
      </c>
      <c r="AV16" s="295">
        <f>(IF('Water Report'!$R$18&gt;0,'Water Report'!$R$18,0))</f>
        <v>19</v>
      </c>
      <c r="AW16" s="295">
        <f>(IF('Water Report'!$R$19&gt;0,'Water Report'!$R$19,0))</f>
        <v>13</v>
      </c>
      <c r="AX16" s="301">
        <f>(IF('Water Report'!$R$21&gt;0,'Water Report'!$R$21,0))</f>
        <v>80</v>
      </c>
      <c r="AY16" s="301">
        <f>(IF('Water Report'!$R$22&gt;0,'Water Report'!$R$22,0))</f>
        <v>0</v>
      </c>
      <c r="AZ16" s="301">
        <f>(IF('Water Report'!$R$23&gt;0,'Water Report'!$R$23,0))</f>
        <v>6</v>
      </c>
      <c r="BA16" s="301">
        <f>(IF('Water Report'!$R$14&gt;0,'Water Report'!$R$14,0))</f>
        <v>8</v>
      </c>
      <c r="BB16" s="301">
        <f>(IF('Water Report'!$R$15&gt;0,'Water Report'!$R$15,0))</f>
        <v>5</v>
      </c>
      <c r="BC16" s="301">
        <f>(IF('Water Report'!$R$13&gt;0,'Water Report'!$R$13,0))</f>
        <v>38</v>
      </c>
      <c r="BD16" s="301">
        <f>(IF('Water Report'!$R$24&gt;0,'Water Report'!$R$24,0))</f>
        <v>240</v>
      </c>
      <c r="BE16" s="301">
        <f>(IF('Water Report'!$R$25&gt;0,'Water Report'!$R$25,0))</f>
        <v>152</v>
      </c>
      <c r="BF16" s="301">
        <f>(IF('Water Report'!$R$27&gt;0,'Water Report'!$R$27,0))</f>
        <v>124</v>
      </c>
      <c r="BG16" s="296">
        <f>(IF('Section Load'!AN19&gt;0,'Section Load'!AN19,0))</f>
        <v>1178.1299999998882</v>
      </c>
      <c r="BH16" s="296">
        <f>(IF('Section Load'!AO19&gt;0,'Section Load'!AO19,0))</f>
        <v>322</v>
      </c>
      <c r="BI16" s="296">
        <f>(IF('Section Load'!AP19&gt;0,'Section Load'!AP19,0))</f>
        <v>0</v>
      </c>
      <c r="BJ16" s="296">
        <f>(IF('Section Load'!AQ19&gt;0,'Section Load'!AQ19,0))</f>
        <v>130.60000000000582</v>
      </c>
      <c r="BK16" s="296">
        <f>(IF('Section Load'!AR19&gt;0,'Section Load'!AR19,0))</f>
        <v>45.599999999998545</v>
      </c>
      <c r="BL16" s="296">
        <f>(IF('Section Load'!AS19&gt;0,'Section Load'!AS19,0))</f>
        <v>4.7000000000007276</v>
      </c>
      <c r="BM16" s="296">
        <f>(IF('Section Load'!AT19&gt;0,'Section Load'!AT19,0))</f>
        <v>675.22999999988315</v>
      </c>
    </row>
    <row r="17" spans="1:65" x14ac:dyDescent="0.25">
      <c r="A17" s="287" t="s">
        <v>268</v>
      </c>
      <c r="B17" s="288">
        <f t="shared" si="0"/>
        <v>16</v>
      </c>
      <c r="C17" s="288">
        <v>12</v>
      </c>
      <c r="D17" s="288">
        <v>2021</v>
      </c>
      <c r="E17" s="294">
        <f>(IF('Section Load'!F20&gt;0,'Section Load'!F20,0))</f>
        <v>3731.6800000000076</v>
      </c>
      <c r="F17" s="294">
        <f>(IF('Section Load'!G20&gt;0,'Section Load'!G20,0))</f>
        <v>1565.3299999999872</v>
      </c>
      <c r="G17" s="294">
        <f>(IF('Section Load'!H20&gt;0,'Section Load'!H20,0))</f>
        <v>1985.609999999986</v>
      </c>
      <c r="H17" s="294">
        <f>(IF('Section Load'!I20&gt;0,'Section Load'!I20,0))</f>
        <v>2949.8699999999953</v>
      </c>
      <c r="I17" s="294">
        <f>(IF('Section Load'!J20&gt;0,'Section Load'!J20,0))</f>
        <v>5082.5300000000007</v>
      </c>
      <c r="J17" s="294">
        <f>(IF('Section Load'!K20&gt;0,'Section Load'!K20,0))</f>
        <v>2590.1999999999998</v>
      </c>
      <c r="K17" s="294">
        <f>(IF('Section Load'!L20&gt;0,'Section Load'!L20,0))</f>
        <v>1041.3800000000001</v>
      </c>
      <c r="L17" s="294">
        <f>(IF('Section Load'!M20&gt;0,'Section Load'!M20,0))</f>
        <v>1204.2600000000002</v>
      </c>
      <c r="M17" s="294">
        <f>(IF('Section Load'!N20&gt;0,'Section Load'!N20,0))</f>
        <v>118</v>
      </c>
      <c r="N17" s="294">
        <f>(IF('Section Load'!O20&gt;0,'Section Load'!O20,0))</f>
        <v>5</v>
      </c>
      <c r="O17" s="294">
        <f>(IF('Section Load'!P20&gt;0,'Section Load'!P20,0))</f>
        <v>0</v>
      </c>
      <c r="P17" s="294">
        <f>(IF('Section Load'!Q20&gt;0,'Section Load'!Q20,0))</f>
        <v>192.80000000000291</v>
      </c>
      <c r="Q17" s="294">
        <f>(IF('Section Load'!R20&gt;0,'Section Load'!R20,0))</f>
        <v>72.979999999999563</v>
      </c>
      <c r="R17" s="294">
        <f>(IF('Section Load'!S20&gt;0,'Section Load'!S20,0))</f>
        <v>63.090000000000146</v>
      </c>
      <c r="S17" s="294">
        <f>(IF('Section Load'!T20&gt;0,'Section Load'!T20,0))</f>
        <v>426.59999999997672</v>
      </c>
      <c r="T17" s="294">
        <f>(IF('Section Load'!U20&gt;0,'Section Load'!U20,0))</f>
        <v>239</v>
      </c>
      <c r="U17" s="294">
        <f>(IF('Section Load'!V20&gt;0,'Section Load'!V20,0))</f>
        <v>417</v>
      </c>
      <c r="V17" s="294">
        <f>(IF('Section Load'!W20&gt;0,'Section Load'!W20,0))</f>
        <v>276</v>
      </c>
      <c r="W17" s="294">
        <f>(IF('Section Load'!X20&gt;0,'Section Load'!X20,0))</f>
        <v>29.579999999999927</v>
      </c>
      <c r="X17" s="294">
        <f>(IF('Section Load'!Y20&gt;0,'Section Load'!Y20,0))</f>
        <v>223.35000000000582</v>
      </c>
      <c r="Y17" s="294">
        <f>(IF('Section Load'!Z20&gt;0,'Section Load'!Z20,0))</f>
        <v>242</v>
      </c>
      <c r="Z17" s="294">
        <f>(IF('Section Load'!AA20&gt;0,'Section Load'!AA20,0))</f>
        <v>0</v>
      </c>
      <c r="AA17" s="294">
        <f>(IF('Section Load'!AB20&gt;0,'Section Load'!AB20,0))</f>
        <v>32.5</v>
      </c>
      <c r="AB17" s="294">
        <f>(IF('Section Load'!AC20&gt;0,'Section Load'!AC20,0))</f>
        <v>0</v>
      </c>
      <c r="AC17" s="294">
        <f>(IF('Section Load'!AD20&gt;0,'Section Load'!AD20,0))</f>
        <v>110.49999999999454</v>
      </c>
      <c r="AD17" s="294">
        <f>(IF('Section Load'!AE20&gt;0,'Section Load'!AE20,0))</f>
        <v>0</v>
      </c>
      <c r="AE17" s="294">
        <f>(IF('Section Load'!AF20&gt;0,'Section Load'!AF20,0))</f>
        <v>14.5</v>
      </c>
      <c r="AF17" s="294">
        <f>(IF('Section Load'!AG20&gt;0,'Section Load'!AG20,0))</f>
        <v>401.30999999999767</v>
      </c>
      <c r="AG17" s="294">
        <f>(IF('Section Load'!AH20&gt;0,'Section Load'!AH20,0))</f>
        <v>430.60999999998603</v>
      </c>
      <c r="AH17" s="294">
        <f>(IF('Section Load'!AI20&gt;0,'Section Load'!AI20,0))</f>
        <v>407.54999999999927</v>
      </c>
      <c r="AI17" s="294">
        <f>(IF('Section Load'!AJ20&gt;0,'Section Load'!AJ20,0))</f>
        <v>755.34999999997672</v>
      </c>
      <c r="AJ17" s="294">
        <f>(IF('Section Load'!AK20&gt;0,'Section Load'!AK20,0))</f>
        <v>381.7100000000064</v>
      </c>
      <c r="AK17" s="294">
        <f>(IF('Section Load'!AL20&gt;0,'Section Load'!AL20,0))</f>
        <v>401.98999999999069</v>
      </c>
      <c r="AL17" s="294">
        <f>(IF('Section Load'!AM20&gt;0,'Section Load'!AM20,0))</f>
        <v>835.41000000000349</v>
      </c>
      <c r="AM17" s="295">
        <f>(IF('Water Report'!$S$7&gt;0,'Water Report'!$S$7,0))</f>
        <v>112</v>
      </c>
      <c r="AN17" s="295">
        <f>(IF('Water Report'!$S$8&gt;0,'Water Report'!$S$8,0))</f>
        <v>88</v>
      </c>
      <c r="AO17" s="295">
        <f>(IF('Water Report'!$S$9&gt;0,'Water Report'!$S$9,0))</f>
        <v>93</v>
      </c>
      <c r="AP17" s="295">
        <f>(IF('Water Report'!$S$10&gt;0,'Water Report'!$D$10,0))</f>
        <v>18</v>
      </c>
      <c r="AQ17" s="295">
        <f>(IF('Water Report'!$S$11&gt;0,'Water Report'!$D$11,0))</f>
        <v>25</v>
      </c>
      <c r="AR17" s="295">
        <f>(IF('Water Report'!$S$13&gt;0,'Water Report'!$D$13,0))</f>
        <v>34</v>
      </c>
      <c r="AS17" s="295">
        <f>(IF('Water Report'!$S$14&gt;0,'Water Report'!$D$14,0))</f>
        <v>10</v>
      </c>
      <c r="AT17" s="295">
        <f>(IF('Water Report'!$S$15&gt;0,'Water Report'!$D$15,0))</f>
        <v>6</v>
      </c>
      <c r="AU17" s="295">
        <f>(IF('Water Report'!$S$17&gt;0,'Water Report'!$D$17,0))</f>
        <v>0</v>
      </c>
      <c r="AV17" s="295">
        <f>(IF('Water Report'!$S$18&gt;0,'Water Report'!$D$18,0))</f>
        <v>15</v>
      </c>
      <c r="AW17" s="295">
        <f>(IF('Water Report'!$S$19&gt;0,'Water Report'!$D$19,0))</f>
        <v>10</v>
      </c>
      <c r="AX17" s="301">
        <f>(IF('Water Report'!$S$21&gt;0,'Water Report'!$D$21,0))</f>
        <v>63</v>
      </c>
      <c r="AY17" s="301">
        <f>(IF('Water Report'!$S$22&gt;0,'Water Report'!$D$22,0))</f>
        <v>0</v>
      </c>
      <c r="AZ17" s="301">
        <f>(IF('Water Report'!$S$23&gt;0,'Water Report'!$D$23,0))</f>
        <v>4</v>
      </c>
      <c r="BA17" s="301">
        <f>(IF('Water Report'!$S$14&gt;0,'Water Report'!$D$14,0))</f>
        <v>10</v>
      </c>
      <c r="BB17" s="301">
        <f>(IF('Water Report'!$S$15&gt;0,'Water Report'!$D$15,0))</f>
        <v>6</v>
      </c>
      <c r="BC17" s="301">
        <f>(IF('Water Report'!$S$13&gt;0,'Water Report'!$D$13,0))</f>
        <v>34</v>
      </c>
      <c r="BD17" s="301">
        <f>(IF('Water Report'!$S$24&gt;0,'Water Report'!$D$24,0))</f>
        <v>212</v>
      </c>
      <c r="BE17" s="301">
        <f>(IF('Water Report'!$S$25&gt;0,'Water Report'!$D$25,0))</f>
        <v>145</v>
      </c>
      <c r="BF17" s="301">
        <f>(IF('Water Report'!$S$27&gt;0,'Water Report'!$D$27,0))</f>
        <v>101</v>
      </c>
      <c r="BG17" s="296">
        <f>(IF('Section Load'!AN20&gt;0,'Section Load'!AN20,0))</f>
        <v>1154.8700000001118</v>
      </c>
      <c r="BH17" s="296">
        <f>(IF('Section Load'!AO20&gt;0,'Section Load'!AO20,0))</f>
        <v>330.4100000000326</v>
      </c>
      <c r="BI17" s="296">
        <f>(IF('Section Load'!AP20&gt;0,'Section Load'!AP20,0))</f>
        <v>0</v>
      </c>
      <c r="BJ17" s="296">
        <f>(IF('Section Load'!AQ20&gt;0,'Section Load'!AQ20,0))</f>
        <v>136.82000000000698</v>
      </c>
      <c r="BK17" s="296">
        <f>(IF('Section Load'!AR20&gt;0,'Section Load'!AR20,0))</f>
        <v>45.5</v>
      </c>
      <c r="BL17" s="296">
        <f>(IF('Section Load'!AS20&gt;0,'Section Load'!AS20,0))</f>
        <v>2.0999999999985448</v>
      </c>
      <c r="BM17" s="296">
        <f>(IF('Section Load'!AT20&gt;0,'Section Load'!AT20,0))</f>
        <v>640.04000000007363</v>
      </c>
    </row>
    <row r="18" spans="1:65" x14ac:dyDescent="0.25">
      <c r="A18" s="287" t="s">
        <v>268</v>
      </c>
      <c r="B18" s="288">
        <f t="shared" si="0"/>
        <v>17</v>
      </c>
      <c r="C18" s="288">
        <v>12</v>
      </c>
      <c r="D18" s="288">
        <v>2021</v>
      </c>
      <c r="E18" s="294">
        <f>(IF('Section Load'!F21&gt;0,'Section Load'!F21,0))</f>
        <v>3551.8099999999831</v>
      </c>
      <c r="F18" s="294">
        <f>(IF('Section Load'!G21&gt;0,'Section Load'!G21,0))</f>
        <v>1583.5400000000081</v>
      </c>
      <c r="G18" s="294">
        <f>(IF('Section Load'!H21&gt;0,'Section Load'!H21,0))</f>
        <v>2168.1600000000035</v>
      </c>
      <c r="H18" s="294">
        <f>(IF('Section Load'!I21&gt;0,'Section Load'!I21,0))</f>
        <v>3084.4799999999814</v>
      </c>
      <c r="I18" s="294">
        <f>(IF('Section Load'!J21&gt;0,'Section Load'!J21,0))</f>
        <v>5645.2099999999991</v>
      </c>
      <c r="J18" s="294">
        <f>(IF('Section Load'!K21&gt;0,'Section Load'!K21,0))</f>
        <v>2782.7300000000005</v>
      </c>
      <c r="K18" s="294">
        <f>(IF('Section Load'!L21&gt;0,'Section Load'!L21,0))</f>
        <v>1241.5</v>
      </c>
      <c r="L18" s="294">
        <f>(IF('Section Load'!M21&gt;0,'Section Load'!M21,0))</f>
        <v>1285.6300000000001</v>
      </c>
      <c r="M18" s="294">
        <f>(IF('Section Load'!N21&gt;0,'Section Load'!N21,0))</f>
        <v>133</v>
      </c>
      <c r="N18" s="294">
        <f>(IF('Section Load'!O21&gt;0,'Section Load'!O21,0))</f>
        <v>40</v>
      </c>
      <c r="O18" s="294">
        <f>(IF('Section Load'!P21&gt;0,'Section Load'!P21,0))</f>
        <v>0</v>
      </c>
      <c r="P18" s="294">
        <f>(IF('Section Load'!Q21&gt;0,'Section Load'!Q21,0))</f>
        <v>234.82999999999447</v>
      </c>
      <c r="Q18" s="294">
        <f>(IF('Section Load'!R21&gt;0,'Section Load'!R21,0))</f>
        <v>70.209999999999127</v>
      </c>
      <c r="R18" s="294">
        <f>(IF('Section Load'!S21&gt;0,'Section Load'!S21,0))</f>
        <v>47.779999999999745</v>
      </c>
      <c r="S18" s="294">
        <f>(IF('Section Load'!T21&gt;0,'Section Load'!T21,0))</f>
        <v>499.40000000002328</v>
      </c>
      <c r="T18" s="294">
        <f>(IF('Section Load'!U21&gt;0,'Section Load'!U21,0))</f>
        <v>233</v>
      </c>
      <c r="U18" s="294">
        <f>(IF('Section Load'!V21&gt;0,'Section Load'!V21,0))</f>
        <v>401.92000000004191</v>
      </c>
      <c r="V18" s="294">
        <f>(IF('Section Load'!W21&gt;0,'Section Load'!W21,0))</f>
        <v>277.43999999994412</v>
      </c>
      <c r="W18" s="294">
        <f>(IF('Section Load'!X21&gt;0,'Section Load'!X21,0))</f>
        <v>27.480000000000018</v>
      </c>
      <c r="X18" s="294">
        <f>(IF('Section Load'!Y21&gt;0,'Section Load'!Y21,0))</f>
        <v>201.64999999999418</v>
      </c>
      <c r="Y18" s="294">
        <f>(IF('Section Load'!Z21&gt;0,'Section Load'!Z21,0))</f>
        <v>255</v>
      </c>
      <c r="Z18" s="294">
        <f>(IF('Section Load'!AA21&gt;0,'Section Load'!AA21,0))</f>
        <v>0.79999999998835847</v>
      </c>
      <c r="AA18" s="294">
        <f>(IF('Section Load'!AB21&gt;0,'Section Load'!AB21,0))</f>
        <v>33.5</v>
      </c>
      <c r="AB18" s="294">
        <f>(IF('Section Load'!AC21&gt;0,'Section Load'!AC21,0))</f>
        <v>0.39999999999781721</v>
      </c>
      <c r="AC18" s="294">
        <f>(IF('Section Load'!AD21&gt;0,'Section Load'!AD21,0))</f>
        <v>98.700000000011642</v>
      </c>
      <c r="AD18" s="294">
        <f>(IF('Section Load'!AE21&gt;0,'Section Load'!AE21,0))</f>
        <v>0</v>
      </c>
      <c r="AE18" s="294">
        <f>(IF('Section Load'!AF21&gt;0,'Section Load'!AF21,0))</f>
        <v>13.429999999999836</v>
      </c>
      <c r="AF18" s="294">
        <f>(IF('Section Load'!AG21&gt;0,'Section Load'!AG21,0))</f>
        <v>403.92000000001281</v>
      </c>
      <c r="AG18" s="294">
        <f>(IF('Section Load'!AH21&gt;0,'Section Load'!AH21,0))</f>
        <v>432.60000000000582</v>
      </c>
      <c r="AH18" s="294">
        <f>(IF('Section Load'!AI21&gt;0,'Section Load'!AI21,0))</f>
        <v>401.56999999999971</v>
      </c>
      <c r="AI18" s="294">
        <f>(IF('Section Load'!AJ21&gt;0,'Section Load'!AJ21,0))</f>
        <v>765</v>
      </c>
      <c r="AJ18" s="294">
        <f>(IF('Section Load'!AK21&gt;0,'Section Load'!AK21,0))</f>
        <v>386.3799999999901</v>
      </c>
      <c r="AK18" s="294">
        <f>(IF('Section Load'!AL21&gt;0,'Section Load'!AL21,0))</f>
        <v>406.65000000002328</v>
      </c>
      <c r="AL18" s="294">
        <f>(IF('Section Load'!AM21&gt;0,'Section Load'!AM21,0))</f>
        <v>869.19999999999709</v>
      </c>
      <c r="AM18" s="295">
        <f>(IF('Water Report'!$T$7&gt;0,'Water Report'!$T$7,0))</f>
        <v>126</v>
      </c>
      <c r="AN18" s="295">
        <f>(IF('Water Report'!$T$8&gt;0,'Water Report'!$T$8,0))</f>
        <v>120</v>
      </c>
      <c r="AO18" s="295">
        <f>(IF('Water Report'!$T$9&gt;0,'Water Report'!$T$9,0))</f>
        <v>111</v>
      </c>
      <c r="AP18" s="295">
        <f>(IF('Water Report'!$T$10&gt;0,'Water Report'!$T$10,0))</f>
        <v>19</v>
      </c>
      <c r="AQ18" s="295">
        <f>(IF('Water Report'!$T$11&gt;0,'Water Report'!$T$11,0))</f>
        <v>31</v>
      </c>
      <c r="AR18" s="295">
        <f>(IF('Water Report'!$T$13&gt;0,'Water Report'!$T$13,0))</f>
        <v>49</v>
      </c>
      <c r="AS18" s="295">
        <f>(IF('Water Report'!$T$14&gt;0,'Water Report'!$T$14,0))</f>
        <v>8</v>
      </c>
      <c r="AT18" s="295">
        <f>(IF('Water Report'!$T$15&gt;0,'Water Report'!$T$15,0))</f>
        <v>13</v>
      </c>
      <c r="AU18" s="295">
        <f>(IF('Water Report'!$T$17&gt;0,'Water Report'!$T$17,0))</f>
        <v>0</v>
      </c>
      <c r="AV18" s="295">
        <f>(IF('Water Report'!$T$18&gt;0,'Water Report'!$T$18,0))</f>
        <v>17</v>
      </c>
      <c r="AW18" s="295">
        <f>(IF('Water Report'!$T$19&gt;0,'Water Report'!$T$19,0))</f>
        <v>12</v>
      </c>
      <c r="AX18" s="301">
        <f>(IF('Water Report'!$T$21&gt;0,'Water Report'!$T$21,0))</f>
        <v>115</v>
      </c>
      <c r="AY18" s="301">
        <f>(IF('Water Report'!$T$22&gt;0,'Water Report'!$T$22,0))</f>
        <v>13</v>
      </c>
      <c r="AZ18" s="301">
        <f>(IF('Water Report'!$T$23&gt;0,'Water Report'!$T$23,0))</f>
        <v>2</v>
      </c>
      <c r="BA18" s="301">
        <f>(IF('Water Report'!$T$14&gt;0,'Water Report'!$T$14,0))</f>
        <v>8</v>
      </c>
      <c r="BB18" s="301">
        <f>(IF('Water Report'!$T$15&gt;0,'Water Report'!$T$15,0))</f>
        <v>13</v>
      </c>
      <c r="BC18" s="301">
        <f>(IF('Water Report'!$T$13&gt;0,'Water Report'!$T$13,0))</f>
        <v>49</v>
      </c>
      <c r="BD18" s="301">
        <f>(IF('Water Report'!$T$24&gt;0,'Water Report'!$T$24,0))</f>
        <v>234</v>
      </c>
      <c r="BE18" s="301">
        <f>(IF('Water Report'!$T$25&gt;0,'Water Report'!$T$25,0))</f>
        <v>182</v>
      </c>
      <c r="BF18" s="301">
        <f>(IF('Water Report'!$T$27&gt;0,'Water Report'!$T$27,0))</f>
        <v>166</v>
      </c>
      <c r="BG18" s="296">
        <f>(IF('Section Load'!AN21&gt;0,'Section Load'!AN21,0))</f>
        <v>1138.8219999999274</v>
      </c>
      <c r="BH18" s="296">
        <f>(IF('Section Load'!AO21&gt;0,'Section Load'!AO21,0))</f>
        <v>317.41999999992549</v>
      </c>
      <c r="BI18" s="296">
        <f>(IF('Section Load'!AP21&gt;0,'Section Load'!AP21,0))</f>
        <v>0</v>
      </c>
      <c r="BJ18" s="296">
        <f>(IF('Section Load'!AQ21&gt;0,'Section Load'!AQ21,0))</f>
        <v>123.57999999998719</v>
      </c>
      <c r="BK18" s="296">
        <f>(IF('Section Load'!AR21&gt;0,'Section Load'!AR21,0))</f>
        <v>52.400000000001455</v>
      </c>
      <c r="BL18" s="296">
        <f>(IF('Section Load'!AS21&gt;0,'Section Load'!AS21,0))</f>
        <v>2.2000000000007276</v>
      </c>
      <c r="BM18" s="296">
        <f>(IF('Section Load'!AT21&gt;0,'Section Load'!AT21,0))</f>
        <v>643.22200000001249</v>
      </c>
    </row>
    <row r="19" spans="1:65" x14ac:dyDescent="0.25">
      <c r="A19" s="287" t="s">
        <v>268</v>
      </c>
      <c r="B19" s="288">
        <f t="shared" si="0"/>
        <v>18</v>
      </c>
      <c r="C19" s="288">
        <v>12</v>
      </c>
      <c r="D19" s="288">
        <v>2021</v>
      </c>
      <c r="E19" s="294">
        <f>(IF('Section Load'!F22&gt;0,'Section Load'!F22,0))</f>
        <v>3379.9700000000012</v>
      </c>
      <c r="F19" s="294">
        <f>(IF('Section Load'!G22&gt;0,'Section Load'!G22,0))</f>
        <v>1564.6000000000058</v>
      </c>
      <c r="G19" s="294">
        <f>(IF('Section Load'!H22&gt;0,'Section Load'!H22,0))</f>
        <v>2082.2200000000012</v>
      </c>
      <c r="H19" s="294">
        <f>(IF('Section Load'!I22&gt;0,'Section Load'!I22,0))</f>
        <v>2894.0400000000373</v>
      </c>
      <c r="I19" s="294">
        <f>(IF('Section Load'!J22&gt;0,'Section Load'!J22,0))</f>
        <v>5311.51</v>
      </c>
      <c r="J19" s="294">
        <f>(IF('Section Load'!K22&gt;0,'Section Load'!K22,0))</f>
        <v>2787.9400000000005</v>
      </c>
      <c r="K19" s="294">
        <f>(IF('Section Load'!L22&gt;0,'Section Load'!L22,0))</f>
        <v>1452.4299999999994</v>
      </c>
      <c r="L19" s="294">
        <f>(IF('Section Load'!M22&gt;0,'Section Load'!M22,0))</f>
        <v>1224.04</v>
      </c>
      <c r="M19" s="294">
        <f>(IF('Section Load'!N22&gt;0,'Section Load'!N22,0))</f>
        <v>133</v>
      </c>
      <c r="N19" s="294">
        <f>(IF('Section Load'!O22&gt;0,'Section Load'!O22,0))</f>
        <v>24</v>
      </c>
      <c r="O19" s="294">
        <f>(IF('Section Load'!P22&gt;0,'Section Load'!P22,0))</f>
        <v>13.5</v>
      </c>
      <c r="P19" s="294">
        <f>(IF('Section Load'!Q22&gt;0,'Section Load'!Q22,0))</f>
        <v>191</v>
      </c>
      <c r="Q19" s="294">
        <f>(IF('Section Load'!R22&gt;0,'Section Load'!R22,0))</f>
        <v>71.010000000002037</v>
      </c>
      <c r="R19" s="294">
        <f>(IF('Section Load'!S22&gt;0,'Section Load'!S22,0))</f>
        <v>42.650000000000546</v>
      </c>
      <c r="S19" s="294">
        <f>(IF('Section Load'!T22&gt;0,'Section Load'!T22,0))</f>
        <v>401</v>
      </c>
      <c r="T19" s="294">
        <f>(IF('Section Load'!U22&gt;0,'Section Load'!U22,0))</f>
        <v>234</v>
      </c>
      <c r="U19" s="294">
        <f>(IF('Section Load'!V22&gt;0,'Section Load'!V22,0))</f>
        <v>417.11999999999534</v>
      </c>
      <c r="V19" s="294">
        <f>(IF('Section Load'!W22&gt;0,'Section Load'!W22,0))</f>
        <v>350.32000000006519</v>
      </c>
      <c r="W19" s="294">
        <f>(IF('Section Load'!X22&gt;0,'Section Load'!X22,0))</f>
        <v>38.200000000000273</v>
      </c>
      <c r="X19" s="294">
        <f>(IF('Section Load'!Y22&gt;0,'Section Load'!Y22,0))</f>
        <v>238.66000000000349</v>
      </c>
      <c r="Y19" s="294">
        <f>(IF('Section Load'!Z22&gt;0,'Section Load'!Z22,0))</f>
        <v>251</v>
      </c>
      <c r="Z19" s="294">
        <f>(IF('Section Load'!AA22&gt;0,'Section Load'!AA22,0))</f>
        <v>7.0400000000372529</v>
      </c>
      <c r="AA19" s="294">
        <f>(IF('Section Load'!AB22&gt;0,'Section Load'!AB22,0))</f>
        <v>27.5</v>
      </c>
      <c r="AB19" s="294">
        <f>(IF('Section Load'!AC22&gt;0,'Section Load'!AC22,0))</f>
        <v>0</v>
      </c>
      <c r="AC19" s="294">
        <f>(IF('Section Load'!AD22&gt;0,'Section Load'!AD22,0))</f>
        <v>35.199999999999818</v>
      </c>
      <c r="AD19" s="294">
        <f>(IF('Section Load'!AE22&gt;0,'Section Load'!AE22,0))</f>
        <v>0</v>
      </c>
      <c r="AE19" s="294">
        <f>(IF('Section Load'!AF22&gt;0,'Section Load'!AF22,0))</f>
        <v>17.990000000000236</v>
      </c>
      <c r="AF19" s="294">
        <f>(IF('Section Load'!AG22&gt;0,'Section Load'!AG22,0))</f>
        <v>345.55999999999767</v>
      </c>
      <c r="AG19" s="294">
        <f>(IF('Section Load'!AH22&gt;0,'Section Load'!AH22,0))</f>
        <v>436.52000000001863</v>
      </c>
      <c r="AH19" s="294">
        <f>(IF('Section Load'!AI22&gt;0,'Section Load'!AI22,0))</f>
        <v>407.35000000000218</v>
      </c>
      <c r="AI19" s="294">
        <f>(IF('Section Load'!AJ22&gt;0,'Section Load'!AJ22,0))</f>
        <v>738.02000000001863</v>
      </c>
      <c r="AJ19" s="294">
        <f>(IF('Section Load'!AK22&gt;0,'Section Load'!AK22,0))</f>
        <v>356.22000000000116</v>
      </c>
      <c r="AK19" s="294">
        <f>(IF('Section Load'!AL22&gt;0,'Section Load'!AL22,0))</f>
        <v>385.61399999997229</v>
      </c>
      <c r="AL19" s="294">
        <f>(IF('Section Load'!AM22&gt;0,'Section Load'!AM22,0))</f>
        <v>832.86999999999534</v>
      </c>
      <c r="AM19" s="295">
        <f>(IF('Water Report'!$U$7&gt;0,'Water Report'!$U$7,0))</f>
        <v>134</v>
      </c>
      <c r="AN19" s="295">
        <f>(IF('Water Report'!$U$8&gt;0,'Water Report'!$U$8,0))</f>
        <v>108</v>
      </c>
      <c r="AO19" s="295">
        <f>(IF('Water Report'!$U$9&gt;0,'Water Report'!$U$9,0))</f>
        <v>125</v>
      </c>
      <c r="AP19" s="295">
        <f>(IF('Water Report'!$U$10&gt;0,'Water Report'!$U$10,0))</f>
        <v>21</v>
      </c>
      <c r="AQ19" s="295">
        <f>(IF('Water Report'!$U$11&gt;0,'Water Report'!$U$11,0))</f>
        <v>30</v>
      </c>
      <c r="AR19" s="295">
        <f>(IF('Water Report'!$U$13&gt;0,'Water Report'!$U$13,0))</f>
        <v>56</v>
      </c>
      <c r="AS19" s="295">
        <f>(IF('Water Report'!$U$14&gt;0,'Water Report'!$U$14,0))</f>
        <v>9</v>
      </c>
      <c r="AT19" s="295">
        <f>(IF('Water Report'!$U$15&gt;0,'Water Report'!$U$15,0))</f>
        <v>19</v>
      </c>
      <c r="AU19" s="295">
        <f>(IF('Water Report'!$U$17&gt;0,'Water Report'!$U$17,0))</f>
        <v>0</v>
      </c>
      <c r="AV19" s="295">
        <f>(IF('Water Report'!$U$18&gt;0,'Water Report'!$U$18,0))</f>
        <v>14</v>
      </c>
      <c r="AW19" s="295">
        <f>(IF('Water Report'!$U$19&gt;0,'Water Report'!$U$19,0))</f>
        <v>13</v>
      </c>
      <c r="AX19" s="301">
        <f>(IF('Water Report'!$U$21&gt;0,'Water Report'!$U$21,0))</f>
        <v>41</v>
      </c>
      <c r="AY19" s="301">
        <f>(IF('Water Report'!$U$22&gt;0,'Water Report'!$U$22,0))</f>
        <v>14</v>
      </c>
      <c r="AZ19" s="301">
        <f>(IF('Water Report'!$U$23&gt;0,'Water Report'!$U$23,0))</f>
        <v>11</v>
      </c>
      <c r="BA19" s="301">
        <f>(IF('Water Report'!$U$14&gt;0,'Water Report'!$U$14,0))</f>
        <v>9</v>
      </c>
      <c r="BB19" s="301">
        <f>(IF('Water Report'!$U$15&gt;0,'Water Report'!$U$15,0))</f>
        <v>19</v>
      </c>
      <c r="BC19" s="301">
        <f>(IF('Water Report'!$U$13&gt;0,'Water Report'!$U$13,0))</f>
        <v>56</v>
      </c>
      <c r="BD19" s="301">
        <f>(IF('Water Report'!$U$24&gt;0,'Water Report'!$U$24,0))</f>
        <v>273</v>
      </c>
      <c r="BE19" s="301">
        <f>(IF('Water Report'!$U$25&gt;0,'Water Report'!$U$25,0))</f>
        <v>204</v>
      </c>
      <c r="BF19" s="301">
        <f>(IF('Water Report'!$U$27&gt;0,'Water Report'!$U$27,0))</f>
        <v>108</v>
      </c>
      <c r="BG19" s="296">
        <f>(IF('Section Load'!AN22&gt;0,'Section Load'!AN22,0))</f>
        <v>1215.2839999999851</v>
      </c>
      <c r="BH19" s="296">
        <f>(IF('Section Load'!AO22&gt;0,'Section Load'!AO22,0))</f>
        <v>305.65000000002328</v>
      </c>
      <c r="BI19" s="296">
        <f>(IF('Section Load'!AP22&gt;0,'Section Load'!AP22,0))</f>
        <v>0</v>
      </c>
      <c r="BJ19" s="296">
        <f>(IF('Section Load'!AQ22&gt;0,'Section Load'!AQ22,0))</f>
        <v>134.60000000000582</v>
      </c>
      <c r="BK19" s="296">
        <f>(IF('Section Load'!AR22&gt;0,'Section Load'!AR22,0))</f>
        <v>55.19999999999709</v>
      </c>
      <c r="BL19" s="296">
        <f>(IF('Section Load'!AS22&gt;0,'Section Load'!AS22,0))</f>
        <v>1.8999999999996362</v>
      </c>
      <c r="BM19" s="296">
        <f>(IF('Section Load'!AT22&gt;0,'Section Load'!AT22,0))</f>
        <v>717.93399999995927</v>
      </c>
    </row>
    <row r="20" spans="1:65" x14ac:dyDescent="0.25">
      <c r="A20" s="287" t="s">
        <v>268</v>
      </c>
      <c r="B20" s="288">
        <f t="shared" si="0"/>
        <v>19</v>
      </c>
      <c r="C20" s="288">
        <v>12</v>
      </c>
      <c r="D20" s="288">
        <v>2021</v>
      </c>
      <c r="E20" s="294">
        <f>(IF('Section Load'!F23&gt;0,'Section Load'!F23,0))</f>
        <v>3420.0400000000081</v>
      </c>
      <c r="F20" s="294">
        <f>(IF('Section Load'!G23&gt;0,'Section Load'!G23,0))</f>
        <v>1585.359999999986</v>
      </c>
      <c r="G20" s="294">
        <f>(IF('Section Load'!H23&gt;0,'Section Load'!H23,0))</f>
        <v>2024.9400000000023</v>
      </c>
      <c r="H20" s="294">
        <f>(IF('Section Load'!I23&gt;0,'Section Load'!I23,0))</f>
        <v>3077.5599999999977</v>
      </c>
      <c r="I20" s="294">
        <f>(IF('Section Load'!J23&gt;0,'Section Load'!J23,0))</f>
        <v>5180.5400000000009</v>
      </c>
      <c r="J20" s="294">
        <f>(IF('Section Load'!K23&gt;0,'Section Load'!K23,0))</f>
        <v>2794.7599999999984</v>
      </c>
      <c r="K20" s="294">
        <f>(IF('Section Load'!L23&gt;0,'Section Load'!L23,0))</f>
        <v>1631.1800000000003</v>
      </c>
      <c r="L20" s="294">
        <f>(IF('Section Load'!M23&gt;0,'Section Load'!M23,0))</f>
        <v>1132.0699999999997</v>
      </c>
      <c r="M20" s="294">
        <f>(IF('Section Load'!N23&gt;0,'Section Load'!N23,0))</f>
        <v>114</v>
      </c>
      <c r="N20" s="294">
        <f>(IF('Section Load'!O23&gt;0,'Section Load'!O23,0))</f>
        <v>15</v>
      </c>
      <c r="O20" s="294">
        <f>(IF('Section Load'!P23&gt;0,'Section Load'!P23,0))</f>
        <v>1.3000000000029104</v>
      </c>
      <c r="P20" s="294">
        <f>(IF('Section Load'!Q23&gt;0,'Section Load'!Q23,0))</f>
        <v>203.16000000000349</v>
      </c>
      <c r="Q20" s="294">
        <f>(IF('Section Load'!R23&gt;0,'Section Load'!R23,0))</f>
        <v>77.899999999997817</v>
      </c>
      <c r="R20" s="294">
        <f>(IF('Section Load'!S23&gt;0,'Section Load'!S23,0))</f>
        <v>38.449999999999818</v>
      </c>
      <c r="S20" s="294">
        <f>(IF('Section Load'!T23&gt;0,'Section Load'!T23,0))</f>
        <v>489</v>
      </c>
      <c r="T20" s="294">
        <f>(IF('Section Load'!U23&gt;0,'Section Load'!U23,0))</f>
        <v>232</v>
      </c>
      <c r="U20" s="294">
        <f>(IF('Section Load'!V23&gt;0,'Section Load'!V23,0))</f>
        <v>466.39999999990687</v>
      </c>
      <c r="V20" s="294">
        <f>(IF('Section Load'!W23&gt;0,'Section Load'!W23,0))</f>
        <v>368.98999999999069</v>
      </c>
      <c r="W20" s="294">
        <f>(IF('Section Load'!X23&gt;0,'Section Load'!X23,0))</f>
        <v>29.309999999999945</v>
      </c>
      <c r="X20" s="294">
        <f>(IF('Section Load'!Y23&gt;0,'Section Load'!Y23,0))</f>
        <v>199.7899999999936</v>
      </c>
      <c r="Y20" s="294">
        <f>(IF('Section Load'!Z23&gt;0,'Section Load'!Z23,0))</f>
        <v>223</v>
      </c>
      <c r="Z20" s="294">
        <f>(IF('Section Load'!AA23&gt;0,'Section Load'!AA23,0))</f>
        <v>3.0799999999580905</v>
      </c>
      <c r="AA20" s="294">
        <f>(IF('Section Load'!AB23&gt;0,'Section Load'!AB23,0))</f>
        <v>12</v>
      </c>
      <c r="AB20" s="294">
        <f>(IF('Section Load'!AC23&gt;0,'Section Load'!AC23,0))</f>
        <v>0</v>
      </c>
      <c r="AC20" s="294">
        <f>(IF('Section Load'!AD23&gt;0,'Section Load'!AD23,0))</f>
        <v>36.599999999991269</v>
      </c>
      <c r="AD20" s="294">
        <f>(IF('Section Load'!AE23&gt;0,'Section Load'!AE23,0))</f>
        <v>0</v>
      </c>
      <c r="AE20" s="294">
        <f>(IF('Section Load'!AF23&gt;0,'Section Load'!AF23,0))</f>
        <v>16.259999999999764</v>
      </c>
      <c r="AF20" s="294">
        <f>(IF('Section Load'!AG23&gt;0,'Section Load'!AG23,0))</f>
        <v>349.66000000000349</v>
      </c>
      <c r="AG20" s="294">
        <f>(IF('Section Load'!AH23&gt;0,'Section Load'!AH23,0))</f>
        <v>462.09999999997672</v>
      </c>
      <c r="AH20" s="294">
        <f>(IF('Section Load'!AI23&gt;0,'Section Load'!AI23,0))</f>
        <v>410.43000000000029</v>
      </c>
      <c r="AI20" s="294">
        <f>(IF('Section Load'!AJ23&gt;0,'Section Load'!AJ23,0))</f>
        <v>763.63000000000466</v>
      </c>
      <c r="AJ20" s="294">
        <f>(IF('Section Load'!AK23&gt;0,'Section Load'!AK23,0))</f>
        <v>364.69000000000233</v>
      </c>
      <c r="AK20" s="294">
        <f>(IF('Section Load'!AL23&gt;0,'Section Load'!AL23,0))</f>
        <v>387.74600000001374</v>
      </c>
      <c r="AL20" s="294">
        <f>(IF('Section Load'!AM23&gt;0,'Section Load'!AM23,0))</f>
        <v>858.88000000000466</v>
      </c>
      <c r="AM20" s="295">
        <f>(IF('Water Report'!$V$7&gt;0,'Water Report'!$V$7,0))</f>
        <v>130</v>
      </c>
      <c r="AN20" s="295">
        <f>(IF('Water Report'!$V$8&gt;0,'Water Report'!$V$8,0))</f>
        <v>86</v>
      </c>
      <c r="AO20" s="295">
        <f>(IF('Water Report'!$V$9&gt;0,'Water Report'!$V$9,0))</f>
        <v>117</v>
      </c>
      <c r="AP20" s="295">
        <f>(IF('Water Report'!$V$10&gt;0,'Water Report'!$V$10,0))</f>
        <v>23</v>
      </c>
      <c r="AQ20" s="295">
        <f>(IF('Water Report'!$V$11&gt;0,'Water Report'!$V$11,0))</f>
        <v>34</v>
      </c>
      <c r="AR20" s="295">
        <f>(IF('Water Report'!$V$13&gt;0,'Water Report'!$V$13,0))</f>
        <v>0</v>
      </c>
      <c r="AS20" s="295">
        <f>(IF('Water Report'!$V$14&gt;0,'Water Report'!$V$14,0))</f>
        <v>28</v>
      </c>
      <c r="AT20" s="295">
        <f>(IF('Water Report'!$V$15&gt;0,'Water Report'!$V$15,0))</f>
        <v>12</v>
      </c>
      <c r="AU20" s="295">
        <f>(IF('Water Report'!$V$17&gt;0,'Water Report'!$V$17,0))</f>
        <v>0</v>
      </c>
      <c r="AV20" s="295">
        <f>(IF('Water Report'!$V$18&gt;0,'Water Report'!$V$18,0))</f>
        <v>15</v>
      </c>
      <c r="AW20" s="295">
        <f>(IF('Water Report'!$V$19&gt;0,'Water Report'!$V$19,0))</f>
        <v>11</v>
      </c>
      <c r="AX20" s="301">
        <f>(IF('Water Report'!$V$21&gt;0,'Water Report'!$V$21,0))</f>
        <v>74</v>
      </c>
      <c r="AY20" s="301">
        <f>(IF('Water Report'!$V$22&gt;0,'Water Report'!$V$22,0))</f>
        <v>0</v>
      </c>
      <c r="AZ20" s="301">
        <f>(IF('Water Report'!$V$23&gt;0,'Water Report'!$V$23,0))</f>
        <v>1</v>
      </c>
      <c r="BA20" s="301">
        <f>(IF('Water Report'!$V$14&gt;0,'Water Report'!$V$14,0))</f>
        <v>28</v>
      </c>
      <c r="BB20" s="301">
        <f>(IF('Water Report'!$V$15&gt;0,'Water Report'!$V$15,0))</f>
        <v>12</v>
      </c>
      <c r="BC20" s="301">
        <f>(IF('Water Report'!$V$13&gt;0,'Water Report'!$V$13,0))</f>
        <v>0</v>
      </c>
      <c r="BD20" s="301">
        <f>(IF('Water Report'!$V$24&gt;0,'Water Report'!$V$24,0))</f>
        <v>273</v>
      </c>
      <c r="BE20" s="301">
        <f>(IF('Water Report'!$V$25&gt;0,'Water Report'!$V$25,0))</f>
        <v>214</v>
      </c>
      <c r="BF20" s="301">
        <f>(IF('Water Report'!$V$27&gt;0,'Water Report'!$V$27,0))</f>
        <v>75</v>
      </c>
      <c r="BG20" s="296">
        <f>(IF('Section Load'!AN23&gt;0,'Section Load'!AN23,0))</f>
        <v>1150.2939999999944</v>
      </c>
      <c r="BH20" s="296">
        <f>(IF('Section Load'!AO23&gt;0,'Section Load'!AO23,0))</f>
        <v>312.83000000007451</v>
      </c>
      <c r="BI20" s="296">
        <f>(IF('Section Load'!AP23&gt;0,'Section Load'!AP23,0))</f>
        <v>0</v>
      </c>
      <c r="BJ20" s="296">
        <f>(IF('Section Load'!AQ23&gt;0,'Section Load'!AQ23,0))</f>
        <v>149.60000000000582</v>
      </c>
      <c r="BK20" s="296">
        <f>(IF('Section Load'!AR23&gt;0,'Section Load'!AR23,0))</f>
        <v>69.600000000005821</v>
      </c>
      <c r="BL20" s="296">
        <f>(IF('Section Load'!AS23&gt;0,'Section Load'!AS23,0))</f>
        <v>1.8000000000010914</v>
      </c>
      <c r="BM20" s="296">
        <f>(IF('Section Load'!AT23&gt;0,'Section Load'!AT23,0))</f>
        <v>616.46399999990717</v>
      </c>
    </row>
    <row r="21" spans="1:65" x14ac:dyDescent="0.25">
      <c r="A21" s="287" t="s">
        <v>268</v>
      </c>
      <c r="B21" s="288">
        <f t="shared" si="0"/>
        <v>20</v>
      </c>
      <c r="C21" s="288">
        <v>12</v>
      </c>
      <c r="D21" s="288">
        <v>2021</v>
      </c>
      <c r="E21" s="294">
        <f>(IF('Section Load'!F24&gt;0,'Section Load'!F24,0))</f>
        <v>3485.5800000000163</v>
      </c>
      <c r="F21" s="294">
        <f>(IF('Section Load'!G24&gt;0,'Section Load'!G24,0))</f>
        <v>1629.820000000007</v>
      </c>
      <c r="G21" s="294">
        <f>(IF('Section Load'!H24&gt;0,'Section Load'!H24,0))</f>
        <v>1975.1000000000058</v>
      </c>
      <c r="H21" s="294">
        <f>(IF('Section Load'!I24&gt;0,'Section Load'!I24,0))</f>
        <v>2849.679999999993</v>
      </c>
      <c r="I21" s="294">
        <f>(IF('Section Load'!J24&gt;0,'Section Load'!J24,0))</f>
        <v>4532.2599999999984</v>
      </c>
      <c r="J21" s="294">
        <f>(IF('Section Load'!K24&gt;0,'Section Load'!K24,0))</f>
        <v>2718.9600000000009</v>
      </c>
      <c r="K21" s="294">
        <f>(IF('Section Load'!L24&gt;0,'Section Load'!L24,0))</f>
        <v>1114.7100000000009</v>
      </c>
      <c r="L21" s="294">
        <f>(IF('Section Load'!M24&gt;0,'Section Load'!M24,0))</f>
        <v>926.36000000000058</v>
      </c>
      <c r="M21" s="294">
        <f>(IF('Section Load'!N24&gt;0,'Section Load'!N24,0))</f>
        <v>111</v>
      </c>
      <c r="N21" s="294">
        <f>(IF('Section Load'!O24&gt;0,'Section Load'!O24,0))</f>
        <v>1</v>
      </c>
      <c r="O21" s="294">
        <f>(IF('Section Load'!P24&gt;0,'Section Load'!P24,0))</f>
        <v>1.8000000000029104</v>
      </c>
      <c r="P21" s="294">
        <f>(IF('Section Load'!Q24&gt;0,'Section Load'!Q24,0))</f>
        <v>205.81999999999971</v>
      </c>
      <c r="Q21" s="294">
        <f>(IF('Section Load'!R24&gt;0,'Section Load'!R24,0))</f>
        <v>69.990000000001601</v>
      </c>
      <c r="R21" s="294">
        <f>(IF('Section Load'!S24&gt;0,'Section Load'!S24,0))</f>
        <v>28.069999999999709</v>
      </c>
      <c r="S21" s="294">
        <f>(IF('Section Load'!T24&gt;0,'Section Load'!T24,0))</f>
        <v>467</v>
      </c>
      <c r="T21" s="294">
        <f>(IF('Section Load'!U24&gt;0,'Section Load'!U24,0))</f>
        <v>238</v>
      </c>
      <c r="U21" s="294">
        <f>(IF('Section Load'!V24&gt;0,'Section Load'!V24,0))</f>
        <v>376.08000000007451</v>
      </c>
      <c r="V21" s="294">
        <f>(IF('Section Load'!W24&gt;0,'Section Load'!W24,0))</f>
        <v>279.65000000002328</v>
      </c>
      <c r="W21" s="294">
        <f>(IF('Section Load'!X24&gt;0,'Section Load'!X24,0))</f>
        <v>29.5</v>
      </c>
      <c r="X21" s="294">
        <f>(IF('Section Load'!Y24&gt;0,'Section Load'!Y24,0))</f>
        <v>227.41999999999825</v>
      </c>
      <c r="Y21" s="294">
        <f>(IF('Section Load'!Z24&gt;0,'Section Load'!Z24,0))</f>
        <v>233</v>
      </c>
      <c r="Z21" s="294">
        <f>(IF('Section Load'!AA24&gt;0,'Section Load'!AA24,0))</f>
        <v>2.8800000000046566</v>
      </c>
      <c r="AA21" s="294">
        <f>(IF('Section Load'!AB24&gt;0,'Section Load'!AB24,0))</f>
        <v>32.30000000000291</v>
      </c>
      <c r="AB21" s="294">
        <f>(IF('Section Load'!AC24&gt;0,'Section Load'!AC24,0))</f>
        <v>0</v>
      </c>
      <c r="AC21" s="294">
        <f>(IF('Section Load'!AD24&gt;0,'Section Load'!AD24,0))</f>
        <v>71.600000000005821</v>
      </c>
      <c r="AD21" s="294">
        <f>(IF('Section Load'!AE24&gt;0,'Section Load'!AE24,0))</f>
        <v>0</v>
      </c>
      <c r="AE21" s="294">
        <f>(IF('Section Load'!AF24&gt;0,'Section Load'!AF24,0))</f>
        <v>27.980000000000018</v>
      </c>
      <c r="AF21" s="294">
        <f>(IF('Section Load'!AG24&gt;0,'Section Load'!AG24,0))</f>
        <v>418.83999999999651</v>
      </c>
      <c r="AG21" s="294">
        <f>(IF('Section Load'!AH24&gt;0,'Section Load'!AH24,0))</f>
        <v>437.40000000002328</v>
      </c>
      <c r="AH21" s="294">
        <f>(IF('Section Load'!AI24&gt;0,'Section Load'!AI24,0))</f>
        <v>425.5099999999984</v>
      </c>
      <c r="AI21" s="294">
        <f>(IF('Section Load'!AJ24&gt;0,'Section Load'!AJ24,0))</f>
        <v>777.71000000002095</v>
      </c>
      <c r="AJ21" s="294">
        <f>(IF('Section Load'!AK24&gt;0,'Section Load'!AK24,0))</f>
        <v>263.63000000000466</v>
      </c>
      <c r="AK21" s="294">
        <f>(IF('Section Load'!AL24&gt;0,'Section Load'!AL24,0))</f>
        <v>362.27999999999884</v>
      </c>
      <c r="AL21" s="294">
        <f>(IF('Section Load'!AM24&gt;0,'Section Load'!AM24,0))</f>
        <v>846.91000000000349</v>
      </c>
      <c r="AM21" s="295">
        <f>(IF('Water Report'!$W$7&gt;0,'Water Report'!$W$7,0))</f>
        <v>124</v>
      </c>
      <c r="AN21" s="295">
        <f>(IF('Water Report'!$W$8&gt;0,'Water Report'!$W$8,0))</f>
        <v>119</v>
      </c>
      <c r="AO21" s="295">
        <f>(IF('Water Report'!$W$9&gt;0,'Water Report'!$W$9,0))</f>
        <v>77</v>
      </c>
      <c r="AP21" s="295">
        <f>(IF('Water Report'!$W$10&gt;0,'Water Report'!$W$10,0))</f>
        <v>17</v>
      </c>
      <c r="AQ21" s="295">
        <f>(IF('Water Report'!$W$11&gt;0,'Water Report'!$W$11,0))</f>
        <v>26</v>
      </c>
      <c r="AR21" s="295">
        <f>(IF('Water Report'!$W$13&gt;0,'Water Report'!$W$13,0))</f>
        <v>68</v>
      </c>
      <c r="AS21" s="295">
        <f>(IF('Water Report'!$W$14&gt;0,'Water Report'!$W$14,0))</f>
        <v>7</v>
      </c>
      <c r="AT21" s="295">
        <f>(IF('Water Report'!$W$15&gt;0,'Water Report'!$W$15,0))</f>
        <v>9</v>
      </c>
      <c r="AU21" s="295">
        <f>(IF('Water Report'!$W$17&gt;0,'Water Report'!$W$17,0))</f>
        <v>0</v>
      </c>
      <c r="AV21" s="295">
        <f>(IF('Water Report'!$W$18&gt;0,'Water Report'!$W$18,0))</f>
        <v>17</v>
      </c>
      <c r="AW21" s="295">
        <f>(IF('Water Report'!$W$19&gt;0,'Water Report'!$W$19,0))</f>
        <v>12</v>
      </c>
      <c r="AX21" s="301">
        <f>(IF('Water Report'!$W$21&gt;0,'Water Report'!$W$21,0))</f>
        <v>67</v>
      </c>
      <c r="AY21" s="301">
        <f>(IF('Water Report'!$W$22&gt;0,'Water Report'!$W$22,0))</f>
        <v>0</v>
      </c>
      <c r="AZ21" s="301">
        <f>(IF('Water Report'!$W$23&gt;0,'Water Report'!$W$23,0))</f>
        <v>1</v>
      </c>
      <c r="BA21" s="301">
        <f>(IF('Water Report'!$W$14&gt;0,'Water Report'!$W$14,0))</f>
        <v>7</v>
      </c>
      <c r="BB21" s="301">
        <f>(IF('Water Report'!$W$15&gt;0,'Water Report'!$W$15,0))</f>
        <v>9</v>
      </c>
      <c r="BC21" s="301">
        <f>(IF('Water Report'!$W$13&gt;0,'Water Report'!$W$13,0))</f>
        <v>68</v>
      </c>
      <c r="BD21" s="301">
        <f>(IF('Water Report'!$W$24&gt;0,'Water Report'!$W$24,0))</f>
        <v>273</v>
      </c>
      <c r="BE21" s="301">
        <f>(IF('Water Report'!$W$25&gt;0,'Water Report'!$W$25,0))</f>
        <v>136</v>
      </c>
      <c r="BF21" s="301">
        <f>(IF('Water Report'!$W$27&gt;0,'Water Report'!$W$27,0))</f>
        <v>136</v>
      </c>
      <c r="BG21" s="296">
        <f>(IF('Section Load'!AN24&gt;0,'Section Load'!AN24,0))</f>
        <v>1154.410000000149</v>
      </c>
      <c r="BH21" s="296">
        <f>(IF('Section Load'!AO24&gt;0,'Section Load'!AO24,0))</f>
        <v>318.68999999994412</v>
      </c>
      <c r="BI21" s="296">
        <f>(IF('Section Load'!AP24&gt;0,'Section Load'!AP24,0))</f>
        <v>0</v>
      </c>
      <c r="BJ21" s="296">
        <f>(IF('Section Load'!AQ24&gt;0,'Section Load'!AQ24,0))</f>
        <v>127.04999999998836</v>
      </c>
      <c r="BK21" s="296">
        <f>(IF('Section Load'!AR24&gt;0,'Section Load'!AR24,0))</f>
        <v>46.69999999999709</v>
      </c>
      <c r="BL21" s="296">
        <f>(IF('Section Load'!AS24&gt;0,'Section Load'!AS24,0))</f>
        <v>1.2999999999992724</v>
      </c>
      <c r="BM21" s="296">
        <f>(IF('Section Load'!AT24&gt;0,'Section Load'!AT24,0))</f>
        <v>660.67000000022017</v>
      </c>
    </row>
    <row r="22" spans="1:65" x14ac:dyDescent="0.25">
      <c r="A22" s="287" t="s">
        <v>268</v>
      </c>
      <c r="B22" s="288">
        <f t="shared" si="0"/>
        <v>21</v>
      </c>
      <c r="C22" s="288">
        <v>12</v>
      </c>
      <c r="D22" s="288">
        <v>2021</v>
      </c>
      <c r="E22" s="294">
        <f>(IF('Section Load'!F25&gt;0,'Section Load'!F25,0))</f>
        <v>3149.2099999999627</v>
      </c>
      <c r="F22" s="294">
        <f>(IF('Section Load'!G25&gt;0,'Section Load'!G25,0))</f>
        <v>1625.5</v>
      </c>
      <c r="G22" s="294">
        <f>(IF('Section Load'!H25&gt;0,'Section Load'!H25,0))</f>
        <v>1893.8399999999965</v>
      </c>
      <c r="H22" s="294">
        <f>(IF('Section Load'!I25&gt;0,'Section Load'!I25,0))</f>
        <v>2810.5999999999767</v>
      </c>
      <c r="I22" s="294">
        <f>(IF('Section Load'!J25&gt;0,'Section Load'!J25,0))</f>
        <v>4666.0799999999981</v>
      </c>
      <c r="J22" s="294">
        <f>(IF('Section Load'!K25&gt;0,'Section Load'!K25,0))</f>
        <v>2692.16</v>
      </c>
      <c r="K22" s="294">
        <f>(IF('Section Load'!L25&gt;0,'Section Load'!L25,0))</f>
        <v>1116.6799999999985</v>
      </c>
      <c r="L22" s="294">
        <f>(IF('Section Load'!M25&gt;0,'Section Load'!M25,0))</f>
        <v>1038.0299999999988</v>
      </c>
      <c r="M22" s="294">
        <f>(IF('Section Load'!N25&gt;0,'Section Load'!N25,0))</f>
        <v>91</v>
      </c>
      <c r="N22" s="294">
        <f>(IF('Section Load'!O25&gt;0,'Section Load'!O25,0))</f>
        <v>3</v>
      </c>
      <c r="O22" s="294">
        <f>(IF('Section Load'!P25&gt;0,'Section Load'!P25,0))</f>
        <v>0.59999999999126885</v>
      </c>
      <c r="P22" s="294">
        <f>(IF('Section Load'!Q25&gt;0,'Section Load'!Q25,0))</f>
        <v>199.97000000000116</v>
      </c>
      <c r="Q22" s="294">
        <f>(IF('Section Load'!R25&gt;0,'Section Load'!R25,0))</f>
        <v>73.220000000001164</v>
      </c>
      <c r="R22" s="294">
        <f>(IF('Section Load'!S25&gt;0,'Section Load'!S25,0))</f>
        <v>23.890000000000327</v>
      </c>
      <c r="S22" s="294">
        <f>(IF('Section Load'!T25&gt;0,'Section Load'!T25,0))</f>
        <v>497</v>
      </c>
      <c r="T22" s="294">
        <f>(IF('Section Load'!U25&gt;0,'Section Load'!U25,0))</f>
        <v>242</v>
      </c>
      <c r="U22" s="294">
        <f>(IF('Section Load'!V25&gt;0,'Section Load'!V25,0))</f>
        <v>406.95999999996275</v>
      </c>
      <c r="V22" s="294">
        <f>(IF('Section Load'!W25&gt;0,'Section Load'!W25,0))</f>
        <v>278.07999999995809</v>
      </c>
      <c r="W22" s="294">
        <f>(IF('Section Load'!X25&gt;0,'Section Load'!X25,0))</f>
        <v>25.529999999999745</v>
      </c>
      <c r="X22" s="294">
        <f>(IF('Section Load'!Y25&gt;0,'Section Load'!Y25,0))</f>
        <v>221.16000000000349</v>
      </c>
      <c r="Y22" s="294">
        <f>(IF('Section Load'!Z25&gt;0,'Section Load'!Z25,0))</f>
        <v>214</v>
      </c>
      <c r="Z22" s="294">
        <f>(IF('Section Load'!AA25&gt;0,'Section Load'!AA25,0))</f>
        <v>2.9600000000209548</v>
      </c>
      <c r="AA22" s="294">
        <f>(IF('Section Load'!AB25&gt;0,'Section Load'!AB25,0))</f>
        <v>33.69999999999709</v>
      </c>
      <c r="AB22" s="294">
        <f>(IF('Section Load'!AC25&gt;0,'Section Load'!AC25,0))</f>
        <v>0</v>
      </c>
      <c r="AC22" s="294">
        <f>(IF('Section Load'!AD25&gt;0,'Section Load'!AD25,0))</f>
        <v>85.199999999994361</v>
      </c>
      <c r="AD22" s="294">
        <f>(IF('Section Load'!AE25&gt;0,'Section Load'!AE25,0))</f>
        <v>0</v>
      </c>
      <c r="AE22" s="294">
        <f>(IF('Section Load'!AF25&gt;0,'Section Load'!AF25,0))</f>
        <v>25.7800000000002</v>
      </c>
      <c r="AF22" s="294">
        <f>(IF('Section Load'!AG25&gt;0,'Section Load'!AG25,0))</f>
        <v>412.89999999999418</v>
      </c>
      <c r="AG22" s="294">
        <f>(IF('Section Load'!AH25&gt;0,'Section Load'!AH25,0))</f>
        <v>426.22000000000116</v>
      </c>
      <c r="AH22" s="294">
        <f>(IF('Section Load'!AI25&gt;0,'Section Load'!AI25,0))</f>
        <v>416.88999999999942</v>
      </c>
      <c r="AI22" s="294">
        <f>(IF('Section Load'!AJ25&gt;0,'Section Load'!AJ25,0))</f>
        <v>783.79999999998836</v>
      </c>
      <c r="AJ22" s="294">
        <f>(IF('Section Load'!AK25&gt;0,'Section Load'!AK25,0))</f>
        <v>257.5</v>
      </c>
      <c r="AK22" s="294">
        <f>(IF('Section Load'!AL25&gt;0,'Section Load'!AL25,0))</f>
        <v>384.54999999998836</v>
      </c>
      <c r="AL22" s="294">
        <f>(IF('Section Load'!AM25&gt;0,'Section Load'!AM25,0))</f>
        <v>706.69000000000233</v>
      </c>
      <c r="AM22" s="295">
        <f>(IF('Water Report'!$X$7&gt;0,'Water Report'!$X$7,0))</f>
        <v>117</v>
      </c>
      <c r="AN22" s="295">
        <f>(IF('Water Report'!$X$8&gt;0,'Water Report'!$X$8,0))</f>
        <v>72</v>
      </c>
      <c r="AO22" s="295">
        <f>(IF('Water Report'!$X$9&gt;0,'Water Report'!$X$9,0))</f>
        <v>97</v>
      </c>
      <c r="AP22" s="295">
        <f>(IF('Water Report'!$X$10&gt;0,'Water Report'!$X$10,0))</f>
        <v>17</v>
      </c>
      <c r="AQ22" s="295">
        <f>(IF('Water Report'!$X$11&gt;0,'Water Report'!$X$11,0))</f>
        <v>27</v>
      </c>
      <c r="AR22" s="295">
        <f>(IF('Water Report'!$X$13&gt;0,'Water Report'!$X$13,0))</f>
        <v>35</v>
      </c>
      <c r="AS22" s="295">
        <f>(IF('Water Report'!$X$14&gt;0,'Water Report'!$X$14,0))</f>
        <v>9</v>
      </c>
      <c r="AT22" s="295">
        <f>(IF('Water Report'!$X$15&gt;0,'Water Report'!$X$15,0))</f>
        <v>8</v>
      </c>
      <c r="AU22" s="295">
        <f>(IF('Water Report'!$X$17&gt;0,'Water Report'!$X$17,0))</f>
        <v>0</v>
      </c>
      <c r="AV22" s="295">
        <f>(IF('Water Report'!$X$18&gt;0,'Water Report'!$X$18,0))</f>
        <v>16</v>
      </c>
      <c r="AW22" s="295">
        <f>(IF('Water Report'!$X$19&gt;0,'Water Report'!$X$19,0))</f>
        <v>13</v>
      </c>
      <c r="AX22" s="301">
        <f>(IF('Water Report'!$X$21&gt;0,'Water Report'!$X$21,0))</f>
        <v>60</v>
      </c>
      <c r="AY22" s="301">
        <f>(IF('Water Report'!$X$22&gt;0,'Water Report'!$X$22,0))</f>
        <v>0</v>
      </c>
      <c r="AZ22" s="301">
        <f>(IF('Water Report'!$X$23&gt;0,'Water Report'!$X$23,0))</f>
        <v>11</v>
      </c>
      <c r="BA22" s="301">
        <f>(IF('Water Report'!$X$14&gt;0,'Water Report'!$X$14,0))</f>
        <v>9</v>
      </c>
      <c r="BB22" s="301">
        <f>(IF('Water Report'!$X$15&gt;0,'Water Report'!$X$15,0))</f>
        <v>8</v>
      </c>
      <c r="BC22" s="301">
        <f>(IF('Water Report'!$X$13&gt;0,'Water Report'!$X$13,0))</f>
        <v>35</v>
      </c>
      <c r="BD22" s="301">
        <f>(IF('Water Report'!$X$24&gt;0,'Water Report'!$X$24,0))</f>
        <v>271</v>
      </c>
      <c r="BE22" s="301">
        <f>(IF('Water Report'!$X$25&gt;0,'Water Report'!$X$25,0))</f>
        <v>158</v>
      </c>
      <c r="BF22" s="301">
        <f>(IF('Water Report'!$X$27&gt;0,'Water Report'!$X$27,0))</f>
        <v>106</v>
      </c>
      <c r="BG22" s="296">
        <f>(IF('Section Load'!AN25&gt;0,'Section Load'!AN25,0))</f>
        <v>1115.5699999998324</v>
      </c>
      <c r="BH22" s="296">
        <f>(IF('Section Load'!AO25&gt;0,'Section Load'!AO25,0))</f>
        <v>321.20999999996275</v>
      </c>
      <c r="BI22" s="296">
        <f>(IF('Section Load'!AP25&gt;0,'Section Load'!AP25,0))</f>
        <v>0</v>
      </c>
      <c r="BJ22" s="296">
        <f>(IF('Section Load'!AQ25&gt;0,'Section Load'!AQ25,0))</f>
        <v>111.48000000001048</v>
      </c>
      <c r="BK22" s="296">
        <f>(IF('Section Load'!AR25&gt;0,'Section Load'!AR25,0))</f>
        <v>55</v>
      </c>
      <c r="BL22" s="296">
        <f>(IF('Section Load'!AS25&gt;0,'Section Load'!AS25,0))</f>
        <v>1</v>
      </c>
      <c r="BM22" s="296">
        <f>(IF('Section Load'!AT25&gt;0,'Section Load'!AT25,0))</f>
        <v>626.87999999985914</v>
      </c>
    </row>
    <row r="23" spans="1:65" x14ac:dyDescent="0.25">
      <c r="A23" s="287" t="s">
        <v>268</v>
      </c>
      <c r="B23" s="288">
        <f t="shared" si="0"/>
        <v>22</v>
      </c>
      <c r="C23" s="288">
        <v>12</v>
      </c>
      <c r="D23" s="288">
        <v>2021</v>
      </c>
      <c r="E23" s="294">
        <f>(IF('Section Load'!F26&gt;0,'Section Load'!F26,0))</f>
        <v>3084.4900000000198</v>
      </c>
      <c r="F23" s="294">
        <f>(IF('Section Load'!G26&gt;0,'Section Load'!G26,0))</f>
        <v>1590.140000000014</v>
      </c>
      <c r="G23" s="294">
        <f>(IF('Section Load'!H26&gt;0,'Section Load'!H26,0))</f>
        <v>1914.5800000000163</v>
      </c>
      <c r="H23" s="294">
        <f>(IF('Section Load'!I26&gt;0,'Section Load'!I26,0))</f>
        <v>2775.9200000000419</v>
      </c>
      <c r="I23" s="294">
        <f>(IF('Section Load'!J26&gt;0,'Section Load'!J26,0))</f>
        <v>4737.3100000000049</v>
      </c>
      <c r="J23" s="294">
        <f>(IF('Section Load'!K26&gt;0,'Section Load'!K26,0))</f>
        <v>2692.75</v>
      </c>
      <c r="K23" s="294">
        <f>(IF('Section Load'!L26&gt;0,'Section Load'!L26,0))</f>
        <v>1108.0100000000002</v>
      </c>
      <c r="L23" s="294">
        <f>(IF('Section Load'!M26&gt;0,'Section Load'!M26,0))</f>
        <v>919.97000000000116</v>
      </c>
      <c r="M23" s="294">
        <f>(IF('Section Load'!N26&gt;0,'Section Load'!N26,0))</f>
        <v>109</v>
      </c>
      <c r="N23" s="294">
        <f>(IF('Section Load'!O26&gt;0,'Section Load'!O26,0))</f>
        <v>4</v>
      </c>
      <c r="O23" s="294">
        <f>(IF('Section Load'!P26&gt;0,'Section Load'!P26,0))</f>
        <v>1.1999999999970896</v>
      </c>
      <c r="P23" s="294">
        <f>(IF('Section Load'!Q26&gt;0,'Section Load'!Q26,0))</f>
        <v>197.43999999999505</v>
      </c>
      <c r="Q23" s="294">
        <f>(IF('Section Load'!R26&gt;0,'Section Load'!R26,0))</f>
        <v>74.379999999997381</v>
      </c>
      <c r="R23" s="294">
        <f>(IF('Section Load'!S26&gt;0,'Section Load'!S26,0))</f>
        <v>25.139999999999418</v>
      </c>
      <c r="S23" s="294">
        <f>(IF('Section Load'!T26&gt;0,'Section Load'!T26,0))</f>
        <v>500</v>
      </c>
      <c r="T23" s="294">
        <f>(IF('Section Load'!U26&gt;0,'Section Load'!U26,0))</f>
        <v>251</v>
      </c>
      <c r="U23" s="294">
        <f>(IF('Section Load'!V26&gt;0,'Section Load'!V26,0))</f>
        <v>402.64000000001397</v>
      </c>
      <c r="V23" s="294">
        <f>(IF('Section Load'!W26&gt;0,'Section Load'!W26,0))</f>
        <v>297.76000000000931</v>
      </c>
      <c r="W23" s="294">
        <f>(IF('Section Load'!X26&gt;0,'Section Load'!X26,0))</f>
        <v>27.420000000000073</v>
      </c>
      <c r="X23" s="294">
        <f>(IF('Section Load'!Y26&gt;0,'Section Load'!Y26,0))</f>
        <v>215.00999999999476</v>
      </c>
      <c r="Y23" s="294">
        <f>(IF('Section Load'!Z26&gt;0,'Section Load'!Z26,0))</f>
        <v>225</v>
      </c>
      <c r="Z23" s="294">
        <f>(IF('Section Load'!AA26&gt;0,'Section Load'!AA26,0))</f>
        <v>2.279999999969732</v>
      </c>
      <c r="AA23" s="294">
        <f>(IF('Section Load'!AB26&gt;0,'Section Load'!AB26,0))</f>
        <v>41</v>
      </c>
      <c r="AB23" s="294">
        <f>(IF('Section Load'!AC26&gt;0,'Section Load'!AC26,0))</f>
        <v>0</v>
      </c>
      <c r="AC23" s="294">
        <f>(IF('Section Load'!AD26&gt;0,'Section Load'!AD26,0))</f>
        <v>84.69999999999709</v>
      </c>
      <c r="AD23" s="294">
        <f>(IF('Section Load'!AE26&gt;0,'Section Load'!AE26,0))</f>
        <v>0</v>
      </c>
      <c r="AE23" s="294">
        <f>(IF('Section Load'!AF26&gt;0,'Section Load'!AF26,0))</f>
        <v>14.989999999999782</v>
      </c>
      <c r="AF23" s="294">
        <f>(IF('Section Load'!AG26&gt;0,'Section Load'!AG26,0))</f>
        <v>405.70000000001164</v>
      </c>
      <c r="AG23" s="294">
        <f>(IF('Section Load'!AH26&gt;0,'Section Load'!AH26,0))</f>
        <v>427.51999999998952</v>
      </c>
      <c r="AH23" s="294">
        <f>(IF('Section Load'!AI26&gt;0,'Section Load'!AI26,0))</f>
        <v>412.20999999999913</v>
      </c>
      <c r="AI23" s="294">
        <f>(IF('Section Load'!AJ26&gt;0,'Section Load'!AJ26,0))</f>
        <v>776.8399999999674</v>
      </c>
      <c r="AJ23" s="294">
        <f>(IF('Section Load'!AK26&gt;0,'Section Load'!AK26,0))</f>
        <v>235.58000000000175</v>
      </c>
      <c r="AK23" s="294">
        <f>(IF('Section Load'!AL26&gt;0,'Section Load'!AL26,0))</f>
        <v>354.81000000002678</v>
      </c>
      <c r="AL23" s="294">
        <f>(IF('Section Load'!AM26&gt;0,'Section Load'!AM26,0))</f>
        <v>649.09999999999127</v>
      </c>
      <c r="AM23" s="295">
        <f>(IF('Water Report'!$Y$7&gt;0,'Water Report'!$Y$7,0))</f>
        <v>120</v>
      </c>
      <c r="AN23" s="295">
        <f>(IF('Water Report'!$Y$8&gt;0,'Water Report'!$Y$8,0))</f>
        <v>80</v>
      </c>
      <c r="AO23" s="295">
        <f>(IF('Water Report'!$Y$9&gt;0,'Water Report'!$Y$9,0))</f>
        <v>105</v>
      </c>
      <c r="AP23" s="295">
        <f>(IF('Water Report'!$Y$10&gt;0,'Water Report'!$Y$10,0))</f>
        <v>18</v>
      </c>
      <c r="AQ23" s="295">
        <f>(IF('Water Report'!$Y$11&gt;0,'Water Report'!$Y$11,0))</f>
        <v>27</v>
      </c>
      <c r="AR23" s="295">
        <f>(IF('Water Report'!$Y$13&gt;0,'Water Report'!$Y$13,0))</f>
        <v>32</v>
      </c>
      <c r="AS23" s="295">
        <f>(IF('Water Report'!$Y$14&gt;0,'Water Report'!$Y$14,0))</f>
        <v>8</v>
      </c>
      <c r="AT23" s="295">
        <f>(IF('Water Report'!$Y$15&gt;0,'Water Report'!$Y$15,0))</f>
        <v>9</v>
      </c>
      <c r="AU23" s="295">
        <f>(IF('Water Report'!$Y$17&gt;0,'Water Report'!$Y$17,0))</f>
        <v>16</v>
      </c>
      <c r="AV23" s="295">
        <f>(IF('Water Report'!$Y$18&gt;0,'Water Report'!$Y$18,0))</f>
        <v>14</v>
      </c>
      <c r="AW23" s="295">
        <f>(IF('Water Report'!$Y$19&gt;0,'Water Report'!$Y$19,0))</f>
        <v>10</v>
      </c>
      <c r="AX23" s="301">
        <f>(IF('Water Report'!$Y$21&gt;0,'Water Report'!$Y$21,0))</f>
        <v>57</v>
      </c>
      <c r="AY23" s="301">
        <f>(IF('Water Report'!$Y$22&gt;0,'Water Report'!$Y$22,0))</f>
        <v>0</v>
      </c>
      <c r="AZ23" s="301">
        <f>(IF('Water Report'!$Y$23&gt;0,'Water Report'!$Y$23,0))</f>
        <v>12</v>
      </c>
      <c r="BA23" s="301">
        <f>(IF('Water Report'!$Y$14&gt;0,'Water Report'!$Y$14,0))</f>
        <v>8</v>
      </c>
      <c r="BB23" s="301">
        <f>(IF('Water Report'!$Y$15&gt;0,'Water Report'!$Y$15,0))</f>
        <v>9</v>
      </c>
      <c r="BC23" s="301">
        <f>(IF('Water Report'!$Y$13&gt;0,'Water Report'!$Y$13,0))</f>
        <v>32</v>
      </c>
      <c r="BD23" s="301">
        <f>(IF('Water Report'!$Y$24&gt;0,'Water Report'!$Y$24,0))</f>
        <v>241</v>
      </c>
      <c r="BE23" s="301">
        <f>(IF('Water Report'!$Y$25&gt;0,'Water Report'!$Y$25,0))</f>
        <v>167</v>
      </c>
      <c r="BF23" s="301">
        <f>(IF('Water Report'!$Y$27&gt;0,'Water Report'!$Y$27,0))</f>
        <v>101</v>
      </c>
      <c r="BG23" s="296">
        <f>(IF('Section Load'!AN26&gt;0,'Section Load'!AN26,0))</f>
        <v>1062.4600000001956</v>
      </c>
      <c r="BH23" s="296">
        <f>(IF('Section Load'!AO26&gt;0,'Section Load'!AO26,0))</f>
        <v>332.31000000005588</v>
      </c>
      <c r="BI23" s="296">
        <f>(IF('Section Load'!AP26&gt;0,'Section Load'!AP26,0))</f>
        <v>0</v>
      </c>
      <c r="BJ23" s="296">
        <f>(IF('Section Load'!AQ26&gt;0,'Section Load'!AQ26,0))</f>
        <v>92.069999999977881</v>
      </c>
      <c r="BK23" s="296">
        <f>(IF('Section Load'!AR26&gt;0,'Section Load'!AR26,0))</f>
        <v>47.900000000001455</v>
      </c>
      <c r="BL23" s="296">
        <f>(IF('Section Load'!AS26&gt;0,'Section Load'!AS26,0))</f>
        <v>1.7000000000007276</v>
      </c>
      <c r="BM23" s="296">
        <f>(IF('Section Load'!AT26&gt;0,'Section Load'!AT26,0))</f>
        <v>588.48000000015963</v>
      </c>
    </row>
    <row r="24" spans="1:65" x14ac:dyDescent="0.25">
      <c r="A24" s="287" t="s">
        <v>268</v>
      </c>
      <c r="B24" s="288">
        <f t="shared" si="0"/>
        <v>23</v>
      </c>
      <c r="C24" s="288">
        <v>12</v>
      </c>
      <c r="D24" s="288">
        <v>2021</v>
      </c>
      <c r="E24" s="294">
        <f>(IF('Section Load'!F27&gt;0,'Section Load'!F27,0))</f>
        <v>3026.2200000000012</v>
      </c>
      <c r="F24" s="294">
        <f>(IF('Section Load'!G27&gt;0,'Section Load'!G27,0))</f>
        <v>1586.7099999999919</v>
      </c>
      <c r="G24" s="294">
        <f>(IF('Section Load'!H27&gt;0,'Section Load'!H27,0))</f>
        <v>1933.5499999999884</v>
      </c>
      <c r="H24" s="294">
        <f>(IF('Section Load'!I27&gt;0,'Section Load'!I27,0))</f>
        <v>2743.8499999999767</v>
      </c>
      <c r="I24" s="294">
        <f>(IF('Section Load'!J27&gt;0,'Section Load'!J27,0))</f>
        <v>4454.0999999999985</v>
      </c>
      <c r="J24" s="294">
        <f>(IF('Section Load'!K27&gt;0,'Section Load'!K27,0))</f>
        <v>2677.5</v>
      </c>
      <c r="K24" s="294">
        <f>(IF('Section Load'!L27&gt;0,'Section Load'!L27,0))</f>
        <v>1077.1100000000006</v>
      </c>
      <c r="L24" s="294">
        <f>(IF('Section Load'!M27&gt;0,'Section Load'!M27,0))</f>
        <v>821.63999999999942</v>
      </c>
      <c r="M24" s="294">
        <f>(IF('Section Load'!N27&gt;0,'Section Load'!N27,0))</f>
        <v>125</v>
      </c>
      <c r="N24" s="294">
        <f>(IF('Section Load'!O27&gt;0,'Section Load'!O27,0))</f>
        <v>14</v>
      </c>
      <c r="O24" s="294">
        <f>(IF('Section Load'!P27&gt;0,'Section Load'!P27,0))</f>
        <v>0</v>
      </c>
      <c r="P24" s="294">
        <f>(IF('Section Load'!Q27&gt;0,'Section Load'!Q27,0))</f>
        <v>198.9800000000032</v>
      </c>
      <c r="Q24" s="294">
        <f>(IF('Section Load'!R27&gt;0,'Section Load'!R27,0))</f>
        <v>71.31000000000131</v>
      </c>
      <c r="R24" s="294">
        <f>(IF('Section Load'!S27&gt;0,'Section Load'!S27,0))</f>
        <v>24.930000000000291</v>
      </c>
      <c r="S24" s="294">
        <f>(IF('Section Load'!T27&gt;0,'Section Load'!T27,0))</f>
        <v>482</v>
      </c>
      <c r="T24" s="294">
        <f>(IF('Section Load'!U27&gt;0,'Section Load'!U27,0))</f>
        <v>234</v>
      </c>
      <c r="U24" s="294">
        <f>(IF('Section Load'!V27&gt;0,'Section Load'!V27,0))</f>
        <v>373.88000000000466</v>
      </c>
      <c r="V24" s="294">
        <f>(IF('Section Load'!W27&gt;0,'Section Load'!W27,0))</f>
        <v>263.76000000000931</v>
      </c>
      <c r="W24" s="294">
        <f>(IF('Section Load'!X27&gt;0,'Section Load'!X27,0))</f>
        <v>21.980000000000018</v>
      </c>
      <c r="X24" s="294">
        <f>(IF('Section Load'!Y27&gt;0,'Section Load'!Y27,0))</f>
        <v>235.9600000000064</v>
      </c>
      <c r="Y24" s="294">
        <f>(IF('Section Load'!Z27&gt;0,'Section Load'!Z27,0))</f>
        <v>212</v>
      </c>
      <c r="Z24" s="294">
        <f>(IF('Section Load'!AA27&gt;0,'Section Load'!AA27,0))</f>
        <v>0</v>
      </c>
      <c r="AA24" s="294">
        <f>(IF('Section Load'!AB27&gt;0,'Section Load'!AB27,0))</f>
        <v>37.5</v>
      </c>
      <c r="AB24" s="294">
        <f>(IF('Section Load'!AC27&gt;0,'Section Load'!AC27,0))</f>
        <v>0</v>
      </c>
      <c r="AC24" s="294">
        <f>(IF('Section Load'!AD27&gt;0,'Section Load'!AD27,0))</f>
        <v>63.500000000005457</v>
      </c>
      <c r="AD24" s="294">
        <f>(IF('Section Load'!AE27&gt;0,'Section Load'!AE27,0))</f>
        <v>0</v>
      </c>
      <c r="AE24" s="294">
        <f>(IF('Section Load'!AF27&gt;0,'Section Load'!AF27,0))</f>
        <v>15.070000000000164</v>
      </c>
      <c r="AF24" s="294">
        <f>(IF('Section Load'!AG27&gt;0,'Section Load'!AG27,0))</f>
        <v>376.10999999998603</v>
      </c>
      <c r="AG24" s="294">
        <f>(IF('Section Load'!AH27&gt;0,'Section Load'!AH27,0))</f>
        <v>438.02999999999884</v>
      </c>
      <c r="AH24" s="294">
        <f>(IF('Section Load'!AI27&gt;0,'Section Load'!AI27,0))</f>
        <v>435.4900000000016</v>
      </c>
      <c r="AI24" s="294">
        <f>(IF('Section Load'!AJ27&gt;0,'Section Load'!AJ27,0))</f>
        <v>758.65000000002328</v>
      </c>
      <c r="AJ24" s="294">
        <f>(IF('Section Load'!AK27&gt;0,'Section Load'!AK27,0))</f>
        <v>191.2899999999936</v>
      </c>
      <c r="AK24" s="294">
        <f>(IF('Section Load'!AL27&gt;0,'Section Load'!AL27,0))</f>
        <v>351.35999999998603</v>
      </c>
      <c r="AL24" s="294">
        <f>(IF('Section Load'!AM27&gt;0,'Section Load'!AM27,0))</f>
        <v>663.94000000000233</v>
      </c>
      <c r="AM24" s="295">
        <f>(IF('Water Report'!$Z$7&gt;0,'Water Report'!$Z$7,0))</f>
        <v>120</v>
      </c>
      <c r="AN24" s="295">
        <f>(IF('Water Report'!$Z$8&gt;0,'Water Report'!$Z$8,0))</f>
        <v>66</v>
      </c>
      <c r="AO24" s="295">
        <f>(IF('Water Report'!$Z$9&gt;0,'Water Report'!$Z$9,0))</f>
        <v>99</v>
      </c>
      <c r="AP24" s="295">
        <f>(IF('Water Report'!$Z$10&gt;0,'Water Report'!$Z$10,0))</f>
        <v>25</v>
      </c>
      <c r="AQ24" s="295">
        <f>(IF('Water Report'!$Z$11&gt;0,'Water Report'!$Z$11,0))</f>
        <v>28</v>
      </c>
      <c r="AR24" s="295">
        <f>(IF('Water Report'!$Z$13&gt;0,'Water Report'!$Z$13,0))</f>
        <v>29</v>
      </c>
      <c r="AS24" s="295">
        <f>(IF('Water Report'!$Z$14&gt;0,'Water Report'!$Z$14,0))</f>
        <v>11</v>
      </c>
      <c r="AT24" s="295">
        <f>(IF('Water Report'!$Z$15&gt;0,'Water Report'!$Z$15,0))</f>
        <v>11</v>
      </c>
      <c r="AU24" s="295">
        <f>(IF('Water Report'!$Z$17&gt;0,'Water Report'!$Z$17,0))</f>
        <v>0</v>
      </c>
      <c r="AV24" s="295">
        <f>(IF('Water Report'!$Z$18&gt;0,'Water Report'!$Z$18,0))</f>
        <v>15</v>
      </c>
      <c r="AW24" s="295">
        <f>(IF('Water Report'!$Z$19&gt;0,'Water Report'!$Z$19,0))</f>
        <v>12</v>
      </c>
      <c r="AX24" s="301">
        <f>(IF('Water Report'!$Z$21&gt;0,'Water Report'!$Z$21,0))</f>
        <v>56</v>
      </c>
      <c r="AY24" s="301">
        <f>(IF('Water Report'!$Z$22&gt;0,'Water Report'!$Z$22,0))</f>
        <v>0</v>
      </c>
      <c r="AZ24" s="301">
        <f>(IF('Water Report'!$Z$23&gt;0,'Water Report'!$Z$23,0))</f>
        <v>7</v>
      </c>
      <c r="BA24" s="301">
        <f>(IF('Water Report'!$Z$14&gt;0,'Water Report'!$Z$14,0))</f>
        <v>11</v>
      </c>
      <c r="BB24" s="301">
        <f>(IF('Water Report'!$Z$15&gt;0,'Water Report'!$Z$15,0))</f>
        <v>11</v>
      </c>
      <c r="BC24" s="301">
        <f>(IF('Water Report'!$Z$13&gt;0,'Water Report'!$Z$13,0))</f>
        <v>29</v>
      </c>
      <c r="BD24" s="301">
        <f>(IF('Water Report'!$Z$24&gt;0,'Water Report'!$Z$24,0))</f>
        <v>249</v>
      </c>
      <c r="BE24" s="301">
        <f>(IF('Water Report'!$Z$25&gt;0,'Water Report'!$Z$25,0))</f>
        <v>174</v>
      </c>
      <c r="BF24" s="301">
        <f>(IF('Water Report'!$Z$27&gt;0,'Water Report'!$Z$27,0))</f>
        <v>92</v>
      </c>
      <c r="BG24" s="296">
        <f>(IF('Section Load'!AN27&gt;0,'Section Load'!AN27,0))</f>
        <v>1066.1599999999162</v>
      </c>
      <c r="BH24" s="296">
        <f>(IF('Section Load'!AO27&gt;0,'Section Load'!AO27,0))</f>
        <v>301.47999999998137</v>
      </c>
      <c r="BI24" s="296">
        <f>(IF('Section Load'!AP27&gt;0,'Section Load'!AP27,0))</f>
        <v>0</v>
      </c>
      <c r="BJ24" s="296">
        <f>(IF('Section Load'!AQ27&gt;0,'Section Load'!AQ27,0))</f>
        <v>120.20000000001164</v>
      </c>
      <c r="BK24" s="296">
        <f>(IF('Section Load'!AR27&gt;0,'Section Load'!AR27,0))</f>
        <v>41.099999999998545</v>
      </c>
      <c r="BL24" s="296">
        <f>(IF('Section Load'!AS27&gt;0,'Section Load'!AS27,0))</f>
        <v>1.2999999999992724</v>
      </c>
      <c r="BM24" s="296">
        <f>(IF('Section Load'!AT27&gt;0,'Section Load'!AT27,0))</f>
        <v>602.07999999992535</v>
      </c>
    </row>
    <row r="25" spans="1:65" x14ac:dyDescent="0.25">
      <c r="A25" s="287" t="s">
        <v>268</v>
      </c>
      <c r="B25" s="288">
        <f t="shared" si="0"/>
        <v>24</v>
      </c>
      <c r="C25" s="288">
        <v>12</v>
      </c>
      <c r="D25" s="288">
        <v>2021</v>
      </c>
      <c r="E25" s="294">
        <f>(IF('Section Load'!F28&gt;0,'Section Load'!F28,0))</f>
        <v>3095</v>
      </c>
      <c r="F25" s="294">
        <f>(IF('Section Load'!G28&gt;0,'Section Load'!G28,0))</f>
        <v>1616</v>
      </c>
      <c r="G25" s="294">
        <f>(IF('Section Load'!H28&gt;0,'Section Load'!H28,0))</f>
        <v>1954</v>
      </c>
      <c r="H25" s="294">
        <f>(IF('Section Load'!I28&gt;0,'Section Load'!I28,0))</f>
        <v>2746</v>
      </c>
      <c r="I25" s="294">
        <f>(IF('Section Load'!J28&gt;0,'Section Load'!J28,0))</f>
        <v>4621</v>
      </c>
      <c r="J25" s="294">
        <f>(IF('Section Load'!K28&gt;0,'Section Load'!K28,0))</f>
        <v>2687</v>
      </c>
      <c r="K25" s="294">
        <f>(IF('Section Load'!L28&gt;0,'Section Load'!L28,0))</f>
        <v>1032</v>
      </c>
      <c r="L25" s="294">
        <f>(IF('Section Load'!M28&gt;0,'Section Load'!M28,0))</f>
        <v>955</v>
      </c>
      <c r="M25" s="294">
        <f>(IF('Section Load'!N28&gt;0,'Section Load'!N28,0))</f>
        <v>118</v>
      </c>
      <c r="N25" s="294">
        <f>(IF('Section Load'!O28&gt;0,'Section Load'!O28,0))</f>
        <v>7</v>
      </c>
      <c r="O25" s="294">
        <f>(IF('Section Load'!P28&gt;0,'Section Load'!P28,0))</f>
        <v>0</v>
      </c>
      <c r="P25" s="294">
        <f>(IF('Section Load'!Q28&gt;0,'Section Load'!Q28,0))</f>
        <v>208</v>
      </c>
      <c r="Q25" s="294">
        <f>(IF('Section Load'!R28&gt;0,'Section Load'!R28,0))</f>
        <v>78</v>
      </c>
      <c r="R25" s="294">
        <f>(IF('Section Load'!S28&gt;0,'Section Load'!S28,0))</f>
        <v>20</v>
      </c>
      <c r="S25" s="294">
        <f>(IF('Section Load'!T28&gt;0,'Section Load'!T28,0))</f>
        <v>448</v>
      </c>
      <c r="T25" s="294">
        <f>(IF('Section Load'!U28&gt;0,'Section Load'!U28,0))</f>
        <v>245</v>
      </c>
      <c r="U25" s="294">
        <f>(IF('Section Load'!V28&gt;0,'Section Load'!V28,0))</f>
        <v>380</v>
      </c>
      <c r="V25" s="294">
        <f>(IF('Section Load'!W28&gt;0,'Section Load'!W28,0))</f>
        <v>285</v>
      </c>
      <c r="W25" s="294">
        <f>(IF('Section Load'!X28&gt;0,'Section Load'!X28,0))</f>
        <v>23</v>
      </c>
      <c r="X25" s="294">
        <f>(IF('Section Load'!Y28&gt;0,'Section Load'!Y28,0))</f>
        <v>218</v>
      </c>
      <c r="Y25" s="294">
        <f>(IF('Section Load'!Z28&gt;0,'Section Load'!Z28,0))</f>
        <v>247</v>
      </c>
      <c r="Z25" s="294">
        <f>(IF('Section Load'!AA28&gt;0,'Section Load'!AA28,0))</f>
        <v>0</v>
      </c>
      <c r="AA25" s="294">
        <f>(IF('Section Load'!AB28&gt;0,'Section Load'!AB28,0))</f>
        <v>31</v>
      </c>
      <c r="AB25" s="294">
        <f>(IF('Section Load'!AC28&gt;0,'Section Load'!AC28,0))</f>
        <v>2.4400000000023283</v>
      </c>
      <c r="AC25" s="294">
        <f>(IF('Section Load'!AD28&gt;0,'Section Load'!AD28,0))</f>
        <v>67</v>
      </c>
      <c r="AD25" s="294">
        <f>(IF('Section Load'!AE28&gt;0,'Section Load'!AE28,0))</f>
        <v>0</v>
      </c>
      <c r="AE25" s="294">
        <f>(IF('Section Load'!AF28&gt;0,'Section Load'!AF28,0))</f>
        <v>15</v>
      </c>
      <c r="AF25" s="294">
        <f>(IF('Section Load'!AG28&gt;0,'Section Load'!AG28,0))</f>
        <v>388</v>
      </c>
      <c r="AG25" s="294">
        <f>(IF('Section Load'!AH28&gt;0,'Section Load'!AH28,0))</f>
        <v>417</v>
      </c>
      <c r="AH25" s="294">
        <f>(IF('Section Load'!AI28&gt;0,'Section Load'!AI28,0))</f>
        <v>438</v>
      </c>
      <c r="AI25" s="294">
        <f>(IF('Section Load'!AJ28&gt;0,'Section Load'!AJ28,0))</f>
        <v>794</v>
      </c>
      <c r="AJ25" s="294">
        <f>(IF('Section Load'!AK28&gt;0,'Section Load'!AK28,0))</f>
        <v>191</v>
      </c>
      <c r="AK25" s="294">
        <f>(IF('Section Load'!AL28&gt;0,'Section Load'!AL28,0))</f>
        <v>348</v>
      </c>
      <c r="AL25" s="294">
        <f>(IF('Section Load'!AM28&gt;0,'Section Load'!AM28,0))</f>
        <v>679</v>
      </c>
      <c r="AM25" s="295">
        <f>(IF('Water Report'!$AA$7&gt;0,'Water Report'!$AA$7,0))</f>
        <v>110</v>
      </c>
      <c r="AN25" s="295">
        <f>(IF('Water Report'!$AA$8&gt;0,'Water Report'!$AA$8,0))</f>
        <v>71</v>
      </c>
      <c r="AO25" s="295">
        <f>(IF('Water Report'!$AA$9&gt;0,'Water Report'!$AA$9,0))</f>
        <v>89</v>
      </c>
      <c r="AP25" s="295">
        <f>(IF('Water Report'!$AA$10&gt;0,'Water Report'!$AA$10,0))</f>
        <v>20</v>
      </c>
      <c r="AQ25" s="295">
        <f>(IF('Water Report'!$AA$11&gt;0,'Water Report'!$AA$11,0))</f>
        <v>31</v>
      </c>
      <c r="AR25" s="295">
        <f>(IF('Water Report'!$AA$13&gt;0,'Water Report'!$AA$13,0))</f>
        <v>41</v>
      </c>
      <c r="AS25" s="295">
        <f>(IF('Water Report'!$AA$14&gt;0,'Water Report'!$AA$14,0))</f>
        <v>12</v>
      </c>
      <c r="AT25" s="295">
        <f>(IF('Water Report'!$AA$15&gt;0,'Water Report'!$AA$15,0))</f>
        <v>10</v>
      </c>
      <c r="AU25" s="295">
        <f>(IF('Water Report'!$AA$17&gt;0,'Water Report'!$AA$17,0))</f>
        <v>0</v>
      </c>
      <c r="AV25" s="295">
        <f>(IF('Water Report'!$AA$18&gt;0,'Water Report'!$AA$18,0))</f>
        <v>14</v>
      </c>
      <c r="AW25" s="295">
        <f>(IF('Water Report'!$AA$19&gt;0,'Water Report'!$AA$19,0))</f>
        <v>11</v>
      </c>
      <c r="AX25" s="301">
        <f>(IF('Water Report'!$AA$21&gt;0,'Water Report'!$AA$21,0))</f>
        <v>99</v>
      </c>
      <c r="AY25" s="301">
        <f>(IF('Water Report'!$AA$22&gt;0,'Water Report'!$AA$22,0))</f>
        <v>0</v>
      </c>
      <c r="AZ25" s="301">
        <f>(IF('Water Report'!$AA$23&gt;0,'Water Report'!$AA$23,0))</f>
        <v>9</v>
      </c>
      <c r="BA25" s="301">
        <f>(IF('Water Report'!$AA$14&gt;0,'Water Report'!$AA$14,0))</f>
        <v>12</v>
      </c>
      <c r="BB25" s="301">
        <f>(IF('Water Report'!$AA$15&gt;0,'Water Report'!$AA$15,0))</f>
        <v>10</v>
      </c>
      <c r="BC25" s="301">
        <f>(IF('Water Report'!$AA$13&gt;0,'Water Report'!$AA$13,0))</f>
        <v>41</v>
      </c>
      <c r="BD25" s="301">
        <f>(IF('Water Report'!$AA$24&gt;0,'Water Report'!$AA$24,0))</f>
        <v>234</v>
      </c>
      <c r="BE25" s="301">
        <f>(IF('Water Report'!$AA$25&gt;0,'Water Report'!$AA$25,0))</f>
        <v>162</v>
      </c>
      <c r="BF25" s="301">
        <f>(IF('Water Report'!$AA$27&gt;0,'Water Report'!$AA$27,0))</f>
        <v>149</v>
      </c>
      <c r="BG25" s="296">
        <f>(IF('Section Load'!AN28&gt;0,'Section Load'!AN28,0))</f>
        <v>1076</v>
      </c>
      <c r="BH25" s="296">
        <f>(IF('Section Load'!AO28&gt;0,'Section Load'!AO28,0))</f>
        <v>299</v>
      </c>
      <c r="BI25" s="296">
        <f>(IF('Section Load'!AP28&gt;0,'Section Load'!AP28,0))</f>
        <v>0</v>
      </c>
      <c r="BJ25" s="296">
        <f>(IF('Section Load'!AQ28&gt;0,'Section Load'!AQ28,0))</f>
        <v>121</v>
      </c>
      <c r="BK25" s="296">
        <f>(IF('Section Load'!AR28&gt;0,'Section Load'!AR28,0))</f>
        <v>43</v>
      </c>
      <c r="BL25" s="296">
        <f>(IF('Section Load'!AS28&gt;0,'Section Load'!AS28,0))</f>
        <v>2</v>
      </c>
      <c r="BM25" s="296">
        <f>(IF('Section Load'!AT28&gt;0,'Section Load'!AT28,0))</f>
        <v>611</v>
      </c>
    </row>
    <row r="26" spans="1:65" x14ac:dyDescent="0.25">
      <c r="A26" s="287" t="s">
        <v>268</v>
      </c>
      <c r="B26" s="288">
        <f>B25+1</f>
        <v>25</v>
      </c>
      <c r="C26" s="288">
        <v>12</v>
      </c>
      <c r="D26" s="288">
        <v>2021</v>
      </c>
      <c r="E26" s="294">
        <f>(IF('Section Load'!F29&gt;0,'Section Load'!F29,0))</f>
        <v>3243</v>
      </c>
      <c r="F26" s="294">
        <f>(IF('Section Load'!G29&gt;0,'Section Load'!G29,0))</f>
        <v>1632</v>
      </c>
      <c r="G26" s="294">
        <f>(IF('Section Load'!H29&gt;0,'Section Load'!H29,0))</f>
        <v>2035</v>
      </c>
      <c r="H26" s="294">
        <f>(IF('Section Load'!I29&gt;0,'Section Load'!I29,0))</f>
        <v>2850</v>
      </c>
      <c r="I26" s="294">
        <f>(IF('Section Load'!J29&gt;0,'Section Load'!J29,0))</f>
        <v>4992</v>
      </c>
      <c r="J26" s="294">
        <f>(IF('Section Load'!K29&gt;0,'Section Load'!K29,0))</f>
        <v>2685</v>
      </c>
      <c r="K26" s="294">
        <f>(IF('Section Load'!L29&gt;0,'Section Load'!L29,0))</f>
        <v>1393</v>
      </c>
      <c r="L26" s="294">
        <f>(IF('Section Load'!M29&gt;0,'Section Load'!M29,0))</f>
        <v>1168</v>
      </c>
      <c r="M26" s="294">
        <f>(IF('Section Load'!N29&gt;0,'Section Load'!N29,0))</f>
        <v>137</v>
      </c>
      <c r="N26" s="294">
        <f>(IF('Section Load'!O29&gt;0,'Section Load'!O29,0))</f>
        <v>39</v>
      </c>
      <c r="O26" s="294">
        <f>(IF('Section Load'!P29&gt;0,'Section Load'!P29,0))</f>
        <v>0</v>
      </c>
      <c r="P26" s="294">
        <f>(IF('Section Load'!Q29&gt;0,'Section Load'!Q29,0))</f>
        <v>222</v>
      </c>
      <c r="Q26" s="294">
        <f>(IF('Section Load'!R29&gt;0,'Section Load'!R29,0))</f>
        <v>82</v>
      </c>
      <c r="R26" s="294">
        <f>(IF('Section Load'!S29&gt;0,'Section Load'!S29,0))</f>
        <v>15</v>
      </c>
      <c r="S26" s="294">
        <f>(IF('Section Load'!T29&gt;0,'Section Load'!T29,0))</f>
        <v>629</v>
      </c>
      <c r="T26" s="294">
        <f>(IF('Section Load'!U29&gt;0,'Section Load'!U29,0))</f>
        <v>242</v>
      </c>
      <c r="U26" s="294">
        <f>(IF('Section Load'!V29&gt;0,'Section Load'!V29,0))</f>
        <v>474</v>
      </c>
      <c r="V26" s="294">
        <f>(IF('Section Load'!W29&gt;0,'Section Load'!W29,0))</f>
        <v>398</v>
      </c>
      <c r="W26" s="294">
        <f>(IF('Section Load'!X29&gt;0,'Section Load'!X29,0))</f>
        <v>24</v>
      </c>
      <c r="X26" s="294">
        <f>(IF('Section Load'!Y29&gt;0,'Section Load'!Y29,0))</f>
        <v>212</v>
      </c>
      <c r="Y26" s="294">
        <f>(IF('Section Load'!Z29&gt;0,'Section Load'!Z29,0))</f>
        <v>245</v>
      </c>
      <c r="Z26" s="294">
        <f>(IF('Section Load'!AA29&gt;0,'Section Load'!AA29,0))</f>
        <v>0</v>
      </c>
      <c r="AA26" s="294">
        <f>(IF('Section Load'!AB29&gt;0,'Section Load'!AB29,0))</f>
        <v>19</v>
      </c>
      <c r="AB26" s="294">
        <f>(IF('Section Load'!AC29&gt;0,'Section Load'!AC29,0))</f>
        <v>9.0299999999988358</v>
      </c>
      <c r="AC26" s="294">
        <f>(IF('Section Load'!AD29&gt;0,'Section Load'!AD29,0))</f>
        <v>39</v>
      </c>
      <c r="AD26" s="294">
        <f>(IF('Section Load'!AE29&gt;0,'Section Load'!AE29,0))</f>
        <v>0</v>
      </c>
      <c r="AE26" s="294">
        <f>(IF('Section Load'!AF29&gt;0,'Section Load'!AF29,0))</f>
        <v>32</v>
      </c>
      <c r="AF26" s="294">
        <f>(IF('Section Load'!AG29&gt;0,'Section Load'!AG29,0))</f>
        <v>343</v>
      </c>
      <c r="AG26" s="294">
        <f>(IF('Section Load'!AH29&gt;0,'Section Load'!AH29,0))</f>
        <v>425</v>
      </c>
      <c r="AH26" s="294">
        <f>(IF('Section Load'!AI29&gt;0,'Section Load'!AI29,0))</f>
        <v>416</v>
      </c>
      <c r="AI26" s="294">
        <f>(IF('Section Load'!AJ29&gt;0,'Section Load'!AJ29,0))</f>
        <v>829</v>
      </c>
      <c r="AJ26" s="294">
        <f>(IF('Section Load'!AK29&gt;0,'Section Load'!AK29,0))</f>
        <v>202</v>
      </c>
      <c r="AK26" s="294">
        <f>(IF('Section Load'!AL29&gt;0,'Section Load'!AL29,0))</f>
        <v>360</v>
      </c>
      <c r="AL26" s="294">
        <f>(IF('Section Load'!AM29&gt;0,'Section Load'!AM29,0))</f>
        <v>702</v>
      </c>
      <c r="AM26" s="295">
        <f>(IF('Water Report'!$AB$7&gt;0,'Water Report'!$AB$7,0))</f>
        <v>121</v>
      </c>
      <c r="AN26" s="295">
        <f>(IF('Water Report'!$AB$8&gt;0,'Water Report'!$AB$8,0))</f>
        <v>125</v>
      </c>
      <c r="AO26" s="295">
        <f>(IF('Water Report'!$AB$9&gt;0,'Water Report'!$AB$9,0))</f>
        <v>91</v>
      </c>
      <c r="AP26" s="295">
        <f>(IF('Water Report'!$AB$10&gt;0,'Water Report'!$AB$10,0))</f>
        <v>24</v>
      </c>
      <c r="AQ26" s="295">
        <f>(IF('Water Report'!$AB$11&gt;0,'Water Report'!$AB$11,0))</f>
        <v>38</v>
      </c>
      <c r="AR26" s="295">
        <f>(IF('Water Report'!$AB$13&gt;0,'Water Report'!$AB$13,0))</f>
        <v>28</v>
      </c>
      <c r="AS26" s="295">
        <f>(IF('Water Report'!$AB$14&gt;0,'Water Report'!$AB$14,0))</f>
        <v>14</v>
      </c>
      <c r="AT26" s="295">
        <f>(IF('Water Report'!$AB$15&gt;0,'Water Report'!$AB$15,0))</f>
        <v>10</v>
      </c>
      <c r="AU26" s="295">
        <f>(IF('Water Report'!$AB$17&gt;0,'Water Report'!$AB$17,0))</f>
        <v>0</v>
      </c>
      <c r="AV26" s="295">
        <f>(IF('Water Report'!$AB$18&gt;0,'Water Report'!$AB$18,0))</f>
        <v>15</v>
      </c>
      <c r="AW26" s="295">
        <f>(IF('Water Report'!$AB$19&gt;0,'Water Report'!$AB$19,0))</f>
        <v>13</v>
      </c>
      <c r="AX26" s="301">
        <f>(IF('Water Report'!$AB$21&gt;0,'Water Report'!$AB$21,0))</f>
        <v>85</v>
      </c>
      <c r="AY26" s="301">
        <f>(IF('Water Report'!$AB$22&gt;0,'Water Report'!$AB$22,0))</f>
        <v>0</v>
      </c>
      <c r="AZ26" s="301">
        <f>(IF('Water Report'!$AB$23&gt;0,'Water Report'!$AB$23,0))</f>
        <v>11</v>
      </c>
      <c r="BA26" s="301">
        <f>(IF('Water Report'!$AB$14&gt;0,'Water Report'!$AB$14,0))</f>
        <v>14</v>
      </c>
      <c r="BB26" s="301">
        <f>(IF('Water Report'!$AB$15&gt;0,'Water Report'!$AB$15,0))</f>
        <v>10</v>
      </c>
      <c r="BC26" s="301">
        <f>(IF('Water Report'!$AB$13&gt;0,'Water Report'!$AB$13,0))</f>
        <v>28</v>
      </c>
      <c r="BD26" s="301">
        <f>(IF('Water Report'!$AB$24&gt;0,'Water Report'!$AB$24,0))</f>
        <v>252</v>
      </c>
      <c r="BE26" s="301">
        <f>(IF('Water Report'!$AB$25&gt;0,'Water Report'!$AB$25,0))</f>
        <v>177</v>
      </c>
      <c r="BF26" s="301">
        <f>(IF('Water Report'!$AB$27&gt;0,'Water Report'!$AB$27,0))</f>
        <v>124</v>
      </c>
      <c r="BG26" s="296">
        <f>(IF('Section Load'!AN29&gt;0,'Section Load'!AN29,0))</f>
        <v>1177</v>
      </c>
      <c r="BH26" s="296">
        <f>(IF('Section Load'!AO29&gt;0,'Section Load'!AO29,0))</f>
        <v>329</v>
      </c>
      <c r="BI26" s="296">
        <f>(IF('Section Load'!AP29&gt;0,'Section Load'!AP29,0))</f>
        <v>0</v>
      </c>
      <c r="BJ26" s="296">
        <f>(IF('Section Load'!AQ29&gt;0,'Section Load'!AQ29,0))</f>
        <v>123</v>
      </c>
      <c r="BK26" s="296">
        <f>(IF('Section Load'!AR29&gt;0,'Section Load'!AR29,0))</f>
        <v>83</v>
      </c>
      <c r="BL26" s="296">
        <f>(IF('Section Load'!AS29&gt;0,'Section Load'!AS29,0))</f>
        <v>4</v>
      </c>
      <c r="BM26" s="296">
        <f>(IF('Section Load'!AT29&gt;0,'Section Load'!AT29,0))</f>
        <v>638</v>
      </c>
    </row>
    <row r="27" spans="1:65" x14ac:dyDescent="0.25">
      <c r="A27" s="287" t="s">
        <v>268</v>
      </c>
      <c r="B27" s="288">
        <f t="shared" si="0"/>
        <v>26</v>
      </c>
      <c r="C27" s="288">
        <v>12</v>
      </c>
      <c r="D27" s="288">
        <v>2021</v>
      </c>
      <c r="E27" s="294">
        <f>(IF('Section Load'!F30&gt;0,'Section Load'!F30,0))</f>
        <v>3343</v>
      </c>
      <c r="F27" s="294">
        <f>(IF('Section Load'!G30&gt;0,'Section Load'!G30,0))</f>
        <v>1597</v>
      </c>
      <c r="G27" s="294">
        <f>(IF('Section Load'!H30&gt;0,'Section Load'!H30,0))</f>
        <v>1966</v>
      </c>
      <c r="H27" s="294">
        <f>(IF('Section Load'!I30&gt;0,'Section Load'!I30,0))</f>
        <v>2728</v>
      </c>
      <c r="I27" s="294">
        <f>(IF('Section Load'!J30&gt;0,'Section Load'!J30,0))</f>
        <v>5089</v>
      </c>
      <c r="J27" s="294">
        <f>(IF('Section Load'!K30&gt;0,'Section Load'!K30,0))</f>
        <v>2682</v>
      </c>
      <c r="K27" s="294">
        <f>(IF('Section Load'!L30&gt;0,'Section Load'!L30,0))</f>
        <v>1428</v>
      </c>
      <c r="L27" s="294">
        <f>(IF('Section Load'!M30&gt;0,'Section Load'!M30,0))</f>
        <v>1268</v>
      </c>
      <c r="M27" s="294">
        <f>(IF('Section Load'!N30&gt;0,'Section Load'!N30,0))</f>
        <v>118</v>
      </c>
      <c r="N27" s="294">
        <f>(IF('Section Load'!O30&gt;0,'Section Load'!O30,0))</f>
        <v>2</v>
      </c>
      <c r="O27" s="294">
        <f>(IF('Section Load'!P30&gt;0,'Section Load'!P30,0))</f>
        <v>0</v>
      </c>
      <c r="P27" s="294">
        <f>(IF('Section Load'!Q30&gt;0,'Section Load'!Q30,0))</f>
        <v>201</v>
      </c>
      <c r="Q27" s="294">
        <f>(IF('Section Load'!R30&gt;0,'Section Load'!R30,0))</f>
        <v>73</v>
      </c>
      <c r="R27" s="294">
        <f>(IF('Section Load'!S30&gt;0,'Section Load'!S30,0))</f>
        <v>17</v>
      </c>
      <c r="S27" s="294">
        <f>(IF('Section Load'!T30&gt;0,'Section Load'!T30,0))</f>
        <v>465</v>
      </c>
      <c r="T27" s="294">
        <f>(IF('Section Load'!U30&gt;0,'Section Load'!U30,0))</f>
        <v>248</v>
      </c>
      <c r="U27" s="294">
        <f>(IF('Section Load'!V30&gt;0,'Section Load'!V30,0))</f>
        <v>874</v>
      </c>
      <c r="V27" s="294">
        <f>(IF('Section Load'!W30&gt;0,'Section Load'!W30,0))</f>
        <v>347</v>
      </c>
      <c r="W27" s="294">
        <f>(IF('Section Load'!X30&gt;0,'Section Load'!X30,0))</f>
        <v>22</v>
      </c>
      <c r="X27" s="294">
        <f>(IF('Section Load'!Y30&gt;0,'Section Load'!Y30,0))</f>
        <v>250</v>
      </c>
      <c r="Y27" s="294">
        <f>(IF('Section Load'!Z30&gt;0,'Section Load'!Z30,0))</f>
        <v>225</v>
      </c>
      <c r="Z27" s="294">
        <f>(IF('Section Load'!AA30&gt;0,'Section Load'!AA30,0))</f>
        <v>0</v>
      </c>
      <c r="AA27" s="294">
        <f>(IF('Section Load'!AB30&gt;0,'Section Load'!AB30,0))</f>
        <v>14</v>
      </c>
      <c r="AB27" s="294">
        <f>(IF('Section Load'!AC30&gt;0,'Section Load'!AC30,0))</f>
        <v>11</v>
      </c>
      <c r="AC27" s="294">
        <f>(IF('Section Load'!AD30&gt;0,'Section Load'!AD30,0))</f>
        <v>36</v>
      </c>
      <c r="AD27" s="294">
        <f>(IF('Section Load'!AE30&gt;0,'Section Load'!AE30,0))</f>
        <v>0</v>
      </c>
      <c r="AE27" s="294">
        <f>(IF('Section Load'!AF30&gt;0,'Section Load'!AF30,0))</f>
        <v>41</v>
      </c>
      <c r="AF27" s="294">
        <f>(IF('Section Load'!AG30&gt;0,'Section Load'!AG30,0))</f>
        <v>340</v>
      </c>
      <c r="AG27" s="294">
        <f>(IF('Section Load'!AH30&gt;0,'Section Load'!AH30,0))</f>
        <v>434</v>
      </c>
      <c r="AH27" s="294">
        <f>(IF('Section Load'!AI30&gt;0,'Section Load'!AI30,0))</f>
        <v>409</v>
      </c>
      <c r="AI27" s="294">
        <f>(IF('Section Load'!AJ30&gt;0,'Section Load'!AJ30,0))</f>
        <v>773</v>
      </c>
      <c r="AJ27" s="294">
        <f>(IF('Section Load'!AK30&gt;0,'Section Load'!AK30,0))</f>
        <v>231</v>
      </c>
      <c r="AK27" s="294">
        <f>(IF('Section Load'!AL30&gt;0,'Section Load'!AL30,0))</f>
        <v>355</v>
      </c>
      <c r="AL27" s="294">
        <f>(IF('Section Load'!AM30&gt;0,'Section Load'!AM30,0))</f>
        <v>673</v>
      </c>
      <c r="AM27" s="295">
        <f>(IF('Water Report'!$AC$7&gt;0,'Water Report'!$AC$7,0))</f>
        <v>145</v>
      </c>
      <c r="AN27" s="295">
        <f>(IF('Water Report'!$AC$8&gt;0,'Water Report'!$AC$8,0))</f>
        <v>94</v>
      </c>
      <c r="AO27" s="295">
        <f>(IF('Water Report'!$AC$9&gt;0,'Water Report'!$AC$9,0))</f>
        <v>117</v>
      </c>
      <c r="AP27" s="295">
        <f>(IF('Water Report'!$AC$10&gt;0,'Water Report'!$AC$10,0))</f>
        <v>28</v>
      </c>
      <c r="AQ27" s="295">
        <f>(IF('Water Report'!$AC$11&gt;0,'Water Report'!$AC$11,0))</f>
        <v>31</v>
      </c>
      <c r="AR27" s="295">
        <f>(IF('Water Report'!$AC$13&gt;0,'Water Report'!$AC$13,0))</f>
        <v>32</v>
      </c>
      <c r="AS27" s="295">
        <f>(IF('Water Report'!$AC$14&gt;0,'Water Report'!$AC$14,0))</f>
        <v>19</v>
      </c>
      <c r="AT27" s="295">
        <f>(IF('Water Report'!$AC$15&gt;0,'Water Report'!$AC$15,0))</f>
        <v>12</v>
      </c>
      <c r="AU27" s="295">
        <f>(IF('Water Report'!$AC$17&gt;0,'Water Report'!$AC$17,0))</f>
        <v>0</v>
      </c>
      <c r="AV27" s="295">
        <f>(IF('Water Report'!$AC$18&gt;0,'Water Report'!$AC$18,0))</f>
        <v>16</v>
      </c>
      <c r="AW27" s="295">
        <f>(IF('Water Report'!$AC$19&gt;0,'Water Report'!$AC$19,0))</f>
        <v>12</v>
      </c>
      <c r="AX27" s="301">
        <f>(IF('Water Report'!$AC$21&gt;0,'Water Report'!$AC$21,0))</f>
        <v>64</v>
      </c>
      <c r="AY27" s="301">
        <f>(IF('Water Report'!$AC$22&gt;0,'Water Report'!$AC$22,0))</f>
        <v>0</v>
      </c>
      <c r="AZ27" s="301">
        <f>(IF('Water Report'!$AC$23&gt;0,'Water Report'!$AC$23,0))</f>
        <v>1</v>
      </c>
      <c r="BA27" s="301">
        <f>(IF('Water Report'!$AC$14&gt;0,'Water Report'!$AC$14,0))</f>
        <v>19</v>
      </c>
      <c r="BB27" s="301">
        <f>(IF('Water Report'!$AC$15&gt;0,'Water Report'!$AC$15,0))</f>
        <v>12</v>
      </c>
      <c r="BC27" s="301">
        <f>(IF('Water Report'!$AC$13&gt;0,'Water Report'!$AC$13,0))</f>
        <v>32</v>
      </c>
      <c r="BD27" s="301">
        <f>(IF('Water Report'!$AC$24&gt;0,'Water Report'!$AC$24,0))</f>
        <v>273</v>
      </c>
      <c r="BE27" s="301">
        <f>(IF('Water Report'!$AC$25&gt;0,'Water Report'!$AC$25,0))</f>
        <v>207</v>
      </c>
      <c r="BF27" s="301">
        <f>(IF('Water Report'!$AC$27&gt;0,'Water Report'!$AC$27,0))</f>
        <v>97</v>
      </c>
      <c r="BG27" s="296">
        <f>(IF('Section Load'!AN30&gt;0,'Section Load'!AN30,0))</f>
        <v>1237</v>
      </c>
      <c r="BH27" s="296">
        <f>(IF('Section Load'!AO30&gt;0,'Section Load'!AO30,0))</f>
        <v>336</v>
      </c>
      <c r="BI27" s="296">
        <f>(IF('Section Load'!AP30&gt;0,'Section Load'!AP30,0))</f>
        <v>0</v>
      </c>
      <c r="BJ27" s="296">
        <f>(IF('Section Load'!AQ30&gt;0,'Section Load'!AQ30,0))</f>
        <v>130</v>
      </c>
      <c r="BK27" s="296">
        <f>(IF('Section Load'!AR30&gt;0,'Section Load'!AR30,0))</f>
        <v>46</v>
      </c>
      <c r="BL27" s="296">
        <f>(IF('Section Load'!AS30&gt;0,'Section Load'!AS30,0))</f>
        <v>2</v>
      </c>
      <c r="BM27" s="296">
        <f>(IF('Section Load'!AT30&gt;0,'Section Load'!AT30,0))</f>
        <v>723</v>
      </c>
    </row>
    <row r="28" spans="1:65" x14ac:dyDescent="0.25">
      <c r="A28" s="287" t="s">
        <v>268</v>
      </c>
      <c r="B28" s="288">
        <f t="shared" si="0"/>
        <v>27</v>
      </c>
      <c r="C28" s="288">
        <v>12</v>
      </c>
      <c r="D28" s="288">
        <v>2021</v>
      </c>
      <c r="E28" s="294">
        <f>(IF('Section Load'!F31&gt;0,'Section Load'!F31,0))</f>
        <v>3365</v>
      </c>
      <c r="F28" s="294">
        <f>(IF('Section Load'!G31&gt;0,'Section Load'!G31,0))</f>
        <v>1580</v>
      </c>
      <c r="G28" s="294">
        <f>(IF('Section Load'!H31&gt;0,'Section Load'!H31,0))</f>
        <v>1959</v>
      </c>
      <c r="H28" s="294">
        <f>(IF('Section Load'!I31&gt;0,'Section Load'!I31,0))</f>
        <v>2857</v>
      </c>
      <c r="I28" s="294">
        <f>(IF('Section Load'!J31&gt;0,'Section Load'!J31,0))</f>
        <v>4970</v>
      </c>
      <c r="J28" s="294">
        <f>(IF('Section Load'!K31&gt;0,'Section Load'!K31,0))</f>
        <v>2703</v>
      </c>
      <c r="K28" s="294">
        <f>(IF('Section Load'!L31&gt;0,'Section Load'!L31,0))</f>
        <v>1298</v>
      </c>
      <c r="L28" s="294">
        <f>(IF('Section Load'!M31&gt;0,'Section Load'!M31,0))</f>
        <v>880</v>
      </c>
      <c r="M28" s="294">
        <f>(IF('Section Load'!N31&gt;0,'Section Load'!N31,0))</f>
        <v>100</v>
      </c>
      <c r="N28" s="294">
        <f>(IF('Section Load'!O31&gt;0,'Section Load'!O31,0))</f>
        <v>17</v>
      </c>
      <c r="O28" s="294">
        <f>(IF('Section Load'!P31&gt;0,'Section Load'!P31,0))</f>
        <v>0</v>
      </c>
      <c r="P28" s="294">
        <f>(IF('Section Load'!Q31&gt;0,'Section Load'!Q31,0))</f>
        <v>203</v>
      </c>
      <c r="Q28" s="294">
        <f>(IF('Section Load'!R31&gt;0,'Section Load'!R31,0))</f>
        <v>71</v>
      </c>
      <c r="R28" s="294">
        <f>(IF('Section Load'!S31&gt;0,'Section Load'!S31,0))</f>
        <v>15</v>
      </c>
      <c r="S28" s="294">
        <f>(IF('Section Load'!T31&gt;0,'Section Load'!T31,0))</f>
        <v>488</v>
      </c>
      <c r="T28" s="294">
        <f>(IF('Section Load'!U31&gt;0,'Section Load'!U31,0))</f>
        <v>236</v>
      </c>
      <c r="U28" s="294">
        <f>(IF('Section Load'!V31&gt;0,'Section Load'!V31,0))</f>
        <v>6</v>
      </c>
      <c r="V28" s="294">
        <f>(IF('Section Load'!W31&gt;0,'Section Load'!W31,0))</f>
        <v>278</v>
      </c>
      <c r="W28" s="294">
        <f>(IF('Section Load'!X31&gt;0,'Section Load'!X31,0))</f>
        <v>22</v>
      </c>
      <c r="X28" s="294">
        <f>(IF('Section Load'!Y31&gt;0,'Section Load'!Y31,0))</f>
        <v>223</v>
      </c>
      <c r="Y28" s="294">
        <f>(IF('Section Load'!Z31&gt;0,'Section Load'!Z31,0))</f>
        <v>211</v>
      </c>
      <c r="Z28" s="294">
        <f>(IF('Section Load'!AA31&gt;0,'Section Load'!AA31,0))</f>
        <v>2</v>
      </c>
      <c r="AA28" s="294">
        <f>(IF('Section Load'!AB31&gt;0,'Section Load'!AB31,0))</f>
        <v>30</v>
      </c>
      <c r="AB28" s="294">
        <f>(IF('Section Load'!AC31&gt;0,'Section Load'!AC31,0))</f>
        <v>11</v>
      </c>
      <c r="AC28" s="294">
        <f>(IF('Section Load'!AD31&gt;0,'Section Load'!AD31,0))</f>
        <v>98</v>
      </c>
      <c r="AD28" s="294">
        <f>(IF('Section Load'!AE31&gt;0,'Section Load'!AE31,0))</f>
        <v>0</v>
      </c>
      <c r="AE28" s="294">
        <f>(IF('Section Load'!AF31&gt;0,'Section Load'!AF31,0))</f>
        <v>20</v>
      </c>
      <c r="AF28" s="294">
        <f>(IF('Section Load'!AG31&gt;0,'Section Load'!AG31,0))</f>
        <v>416</v>
      </c>
      <c r="AG28" s="294">
        <f>(IF('Section Load'!AH31&gt;0,'Section Load'!AH31,0))</f>
        <v>423</v>
      </c>
      <c r="AH28" s="294">
        <f>(IF('Section Load'!AI31&gt;0,'Section Load'!AI31,0))</f>
        <v>406</v>
      </c>
      <c r="AI28" s="294">
        <f>(IF('Section Load'!AJ31&gt;0,'Section Load'!AJ31,0))</f>
        <v>791</v>
      </c>
      <c r="AJ28" s="294">
        <f>(IF('Section Load'!AK31&gt;0,'Section Load'!AK31,0))</f>
        <v>220</v>
      </c>
      <c r="AK28" s="294">
        <f>(IF('Section Load'!AL31&gt;0,'Section Load'!AL31,0))</f>
        <v>348</v>
      </c>
      <c r="AL28" s="294">
        <f>(IF('Section Load'!AM31&gt;0,'Section Load'!AM31,0))</f>
        <v>657</v>
      </c>
      <c r="AM28" s="295">
        <f>(IF('Water Report'!$AD$7&gt;0,'Water Report'!$AD$7,0))</f>
        <v>123</v>
      </c>
      <c r="AN28" s="295">
        <f>(IF('Water Report'!$AD$8&gt;0,'Water Report'!$AD$8,0))</f>
        <v>58</v>
      </c>
      <c r="AO28" s="295">
        <f>(IF('Water Report'!$AD$9&gt;0,'Water Report'!$AD$9,0))</f>
        <v>95</v>
      </c>
      <c r="AP28" s="295">
        <f>(IF('Water Report'!$AD$10&gt;0,'Water Report'!AD$10,0))</f>
        <v>19</v>
      </c>
      <c r="AQ28" s="295">
        <f>(IF('Water Report'!$AD$11&gt;0,'Water Report'!AE$11,0))</f>
        <v>26</v>
      </c>
      <c r="AR28" s="295">
        <f>(IF('Water Report'!$AD$13&gt;0,'Water Report'!AF$13,0))</f>
        <v>40</v>
      </c>
      <c r="AS28" s="295">
        <f>(IF('Water Report'!$AD$14&gt;0,'Water Report'!AG$14,0))</f>
        <v>-351</v>
      </c>
      <c r="AT28" s="295">
        <f>(IF('Water Report'!$AD$15&gt;0,'Water Report'!AH$15,0))</f>
        <v>-339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1125</v>
      </c>
      <c r="BH28" s="296">
        <f>(IF('Section Load'!AO31&gt;0,'Section Load'!AO31,0))</f>
        <v>311</v>
      </c>
      <c r="BI28" s="296">
        <f>(IF('Section Load'!AP31&gt;0,'Section Load'!AP31,0))</f>
        <v>0</v>
      </c>
      <c r="BJ28" s="296">
        <f>(IF('Section Load'!AQ31&gt;0,'Section Load'!AQ31,0))</f>
        <v>109</v>
      </c>
      <c r="BK28" s="296">
        <f>(IF('Section Load'!AR31&gt;0,'Section Load'!AR31,0))</f>
        <v>48</v>
      </c>
      <c r="BL28" s="296">
        <f>(IF('Section Load'!AS31&gt;0,'Section Load'!AS31,0))</f>
        <v>1</v>
      </c>
      <c r="BM28" s="296">
        <f>(IF('Section Load'!AT31&gt;0,'Section Load'!AT31,0))</f>
        <v>656</v>
      </c>
    </row>
    <row r="29" spans="1:65" x14ac:dyDescent="0.25">
      <c r="A29" s="287" t="s">
        <v>268</v>
      </c>
      <c r="B29" s="288">
        <f t="shared" si="0"/>
        <v>28</v>
      </c>
      <c r="C29" s="288">
        <v>12</v>
      </c>
      <c r="D29" s="288">
        <v>2021</v>
      </c>
      <c r="E29" s="294">
        <f>(IF('Section Load'!F32&gt;0,'Section Load'!F32,0))</f>
        <v>3320.6799999999639</v>
      </c>
      <c r="F29" s="294">
        <f>(IF('Section Load'!G32&gt;0,'Section Load'!G32,0))</f>
        <v>1536.2300000000105</v>
      </c>
      <c r="G29" s="294">
        <f>(IF('Section Load'!H32&gt;0,'Section Load'!H32,0))</f>
        <v>1967.4899999999907</v>
      </c>
      <c r="H29" s="294">
        <f>(IF('Section Load'!I32&gt;0,'Section Load'!I32,0))</f>
        <v>2740.429999999993</v>
      </c>
      <c r="I29" s="294">
        <f>(IF('Section Load'!J32&gt;0,'Section Load'!J32,0))</f>
        <v>4561.429999999993</v>
      </c>
      <c r="J29" s="294">
        <f>(IF('Section Load'!K32&gt;0,'Section Load'!K32,0))</f>
        <v>2482.0699999999997</v>
      </c>
      <c r="K29" s="294">
        <f>(IF('Section Load'!L32&gt;0,'Section Load'!L32,0))</f>
        <v>1148.2000000000007</v>
      </c>
      <c r="L29" s="294">
        <f>(IF('Section Load'!M32&gt;0,'Section Load'!M32,0))</f>
        <v>766.93999999999869</v>
      </c>
      <c r="M29" s="294">
        <f>(IF('Section Load'!N32&gt;0,'Section Load'!N32,0))</f>
        <v>127</v>
      </c>
      <c r="N29" s="294">
        <f>(IF('Section Load'!O32&gt;0,'Section Load'!O32,0))</f>
        <v>2</v>
      </c>
      <c r="O29" s="294">
        <f>(IF('Section Load'!P32&gt;0,'Section Load'!P32,0))</f>
        <v>0</v>
      </c>
      <c r="P29" s="294">
        <f>(IF('Section Load'!Q32&gt;0,'Section Load'!Q32,0))</f>
        <v>183.37999999999738</v>
      </c>
      <c r="Q29" s="294">
        <f>(IF('Section Load'!R32&gt;0,'Section Load'!R32,0))</f>
        <v>81.340000000000146</v>
      </c>
      <c r="R29" s="294">
        <f>(IF('Section Load'!S32&gt;0,'Section Load'!S32,0))</f>
        <v>12.779999999999745</v>
      </c>
      <c r="S29" s="294">
        <f>(IF('Section Load'!T32&gt;0,'Section Load'!T32,0))</f>
        <v>480</v>
      </c>
      <c r="T29" s="294">
        <f>(IF('Section Load'!U32&gt;0,'Section Load'!U32,0))</f>
        <v>244</v>
      </c>
      <c r="U29" s="294">
        <f>(IF('Section Load'!V32&gt;0,'Section Load'!V32,0))</f>
        <v>430.76000000000931</v>
      </c>
      <c r="V29" s="294">
        <f>(IF('Section Load'!W32&gt;0,'Section Load'!W32,0))</f>
        <v>256.07999999995809</v>
      </c>
      <c r="W29" s="294">
        <f>(IF('Section Load'!X32&gt;0,'Section Load'!X32,0))</f>
        <v>24.889999999999873</v>
      </c>
      <c r="X29" s="294">
        <f>(IF('Section Load'!Y32&gt;0,'Section Load'!Y32,0))</f>
        <v>218.32000000000698</v>
      </c>
      <c r="Y29" s="294">
        <f>(IF('Section Load'!Z32&gt;0,'Section Load'!Z32,0))</f>
        <v>256</v>
      </c>
      <c r="Z29" s="294">
        <f>(IF('Section Load'!AA32&gt;0,'Section Load'!AA32,0))</f>
        <v>1</v>
      </c>
      <c r="AA29" s="294">
        <f>(IF('Section Load'!AB32&gt;0,'Section Load'!AB32,0))</f>
        <v>27.19999999999709</v>
      </c>
      <c r="AB29" s="294">
        <f>(IF('Section Load'!AC32&gt;0,'Section Load'!AC32,0))</f>
        <v>1.8699999999989814</v>
      </c>
      <c r="AC29" s="294">
        <f>(IF('Section Load'!AD32&gt;0,'Section Load'!AD32,0))</f>
        <v>99.899999999994179</v>
      </c>
      <c r="AD29" s="294">
        <f>(IF('Section Load'!AE32&gt;0,'Section Load'!AE32,0))</f>
        <v>0</v>
      </c>
      <c r="AE29" s="294">
        <f>(IF('Section Load'!AF32&gt;0,'Section Load'!AF32,0))</f>
        <v>21.059999999999945</v>
      </c>
      <c r="AF29" s="294">
        <f>(IF('Section Load'!AG32&gt;0,'Section Load'!AG32,0))</f>
        <v>426.67000000001281</v>
      </c>
      <c r="AG29" s="294">
        <f>(IF('Section Load'!AH32&gt;0,'Section Load'!AH32,0))</f>
        <v>424.25</v>
      </c>
      <c r="AH29" s="294">
        <f>(IF('Section Load'!AI32&gt;0,'Section Load'!AI32,0))</f>
        <v>414.63999999999942</v>
      </c>
      <c r="AI29" s="294">
        <f>(IF('Section Load'!AJ32&gt;0,'Section Load'!AJ32,0))</f>
        <v>799.14100000000326</v>
      </c>
      <c r="AJ29" s="294">
        <f>(IF('Section Load'!AK32&gt;0,'Section Load'!AK32,0))</f>
        <v>228.52000000000407</v>
      </c>
      <c r="AK29" s="294">
        <f>(IF('Section Load'!AL32&gt;0,'Section Load'!AL32,0))</f>
        <v>347.63000000000466</v>
      </c>
      <c r="AL29" s="294">
        <f>(IF('Section Load'!AM32&gt;0,'Section Load'!AM32,0))</f>
        <v>658.92999999999302</v>
      </c>
      <c r="AM29" s="295">
        <f>(IF('Water Report'!$AE$7&gt;0,'Water Report'!$AE$7,0))</f>
        <v>138</v>
      </c>
      <c r="AN29" s="295">
        <f>(IF('Water Report'!$AE$8&gt;0,'Water Report'!$AE$8,0))</f>
        <v>104.10000000000582</v>
      </c>
      <c r="AO29" s="295">
        <f>(IF('Water Report'!$AE$9&gt;0,'Water Report'!$AE$9,0))</f>
        <v>134</v>
      </c>
      <c r="AP29" s="295">
        <f>(IF('Water Report'!$AE$10&gt;0,'Water Report'!$AE$10,0))</f>
        <v>16</v>
      </c>
      <c r="AQ29" s="295">
        <f>(IF('Water Report'!$AE$11&gt;0,'Water Report'!$AE$11,0))</f>
        <v>26</v>
      </c>
      <c r="AR29" s="295">
        <f>(IF('Water Report'!$AE$13&gt;0,'Water Report'!$AE$13,0))</f>
        <v>40</v>
      </c>
      <c r="AS29" s="295">
        <f>(IF('Water Report'!$AE$14&gt;0,'Water Report'!$AE$14,0))</f>
        <v>17</v>
      </c>
      <c r="AT29" s="295">
        <f>(IF('Water Report'!$AE$15&gt;0,'Water Report'!$AE$15,0))</f>
        <v>6</v>
      </c>
      <c r="AU29" s="295">
        <f>(IF('Water Report'!$AE$17&gt;0,'Water Report'!$AE$17,0))</f>
        <v>0</v>
      </c>
      <c r="AV29" s="295">
        <f>(IF('Water Report'!$AE$18&gt;0,'Water Report'!$AE$18,0))</f>
        <v>16</v>
      </c>
      <c r="AW29" s="295">
        <f>(IF('Water Report'!$AE$19&gt;0,'Water Report'!$AE$19,0))</f>
        <v>11</v>
      </c>
      <c r="AX29" s="301">
        <f>(IF('Water Report'!$AE$21&gt;0,'Water Report'!$AE$21,0))</f>
        <v>64</v>
      </c>
      <c r="AY29" s="301">
        <f>(IF('Water Report'!$AE$22&gt;0,'Water Report'!$AE$22,0))</f>
        <v>0</v>
      </c>
      <c r="AZ29" s="301">
        <f>(IF('Water Report'!$AE$23&gt;0,'Water Report'!$AE$23,0))</f>
        <v>6</v>
      </c>
      <c r="BA29" s="301">
        <f>(IF('Water Report'!$AE$14&gt;0,'Water Report'!$AE$14,0))</f>
        <v>17</v>
      </c>
      <c r="BB29" s="301">
        <f>(IF('Water Report'!$AE$15&gt;0,'Water Report'!$AE$15,0))</f>
        <v>6</v>
      </c>
      <c r="BC29" s="301">
        <f>(IF('Water Report'!$AE$13&gt;0,'Water Report'!$AE$13,0))</f>
        <v>40</v>
      </c>
      <c r="BD29" s="301">
        <f>(IF('Water Report'!$AE$24&gt;0,'Water Report'!$AE$24,0))</f>
        <v>291</v>
      </c>
      <c r="BE29" s="301">
        <f>(IF('Water Report'!$AE$25&gt;0,'Water Report'!$AE$25,0))</f>
        <v>199</v>
      </c>
      <c r="BF29" s="301">
        <f>(IF('Water Report'!$AE$27&gt;0,'Water Report'!$AE$27,0))</f>
        <v>110</v>
      </c>
      <c r="BG29" s="296">
        <f>(IF('Section Load'!AN32&gt;0,'Section Load'!AN32,0))</f>
        <v>1026.0300000000279</v>
      </c>
      <c r="BH29" s="296">
        <f>(IF('Section Load'!AO32&gt;0,'Section Load'!AO32,0))</f>
        <v>325.92099999997299</v>
      </c>
      <c r="BI29" s="296">
        <f>(IF('Section Load'!AP32&gt;0,'Section Load'!AP32,0))</f>
        <v>0</v>
      </c>
      <c r="BJ29" s="296">
        <f>(IF('Section Load'!AQ32&gt;0,'Section Load'!AQ32,0))</f>
        <v>85.940000000002328</v>
      </c>
      <c r="BK29" s="296">
        <f>(IF('Section Load'!AR32&gt;0,'Section Load'!AR32,0))</f>
        <v>30</v>
      </c>
      <c r="BL29" s="296">
        <f>(IF('Section Load'!AS32&gt;0,'Section Load'!AS32,0))</f>
        <v>0.8999999999996362</v>
      </c>
      <c r="BM29" s="296">
        <f>(IF('Section Load'!AT32&gt;0,'Section Load'!AT32,0))</f>
        <v>583.26900000005298</v>
      </c>
    </row>
    <row r="30" spans="1:65" x14ac:dyDescent="0.25">
      <c r="A30" s="287" t="s">
        <v>268</v>
      </c>
      <c r="B30" s="288">
        <f t="shared" si="0"/>
        <v>29</v>
      </c>
      <c r="C30" s="288">
        <v>12</v>
      </c>
      <c r="D30" s="288">
        <v>2021</v>
      </c>
      <c r="E30" s="294">
        <f>(IF('Section Load'!F33&gt;0,'Section Load'!F33,0))</f>
        <v>3305.5600000000268</v>
      </c>
      <c r="F30" s="294">
        <f>(IF('Section Load'!G33&gt;0,'Section Load'!G33,0))</f>
        <v>1544.4799999999814</v>
      </c>
      <c r="G30" s="294">
        <f>(IF('Section Load'!H33&gt;0,'Section Load'!H33,0))</f>
        <v>1870.5800000000163</v>
      </c>
      <c r="H30" s="294">
        <f>(IF('Section Load'!I33&gt;0,'Section Load'!I33,0))</f>
        <v>2727.320000000007</v>
      </c>
      <c r="I30" s="294">
        <f>(IF('Section Load'!J33&gt;0,'Section Load'!J33,0))</f>
        <v>4224.4000000000015</v>
      </c>
      <c r="J30" s="294">
        <f>(IF('Section Load'!K33&gt;0,'Section Load'!K33,0))</f>
        <v>2459.9199999999983</v>
      </c>
      <c r="K30" s="294">
        <f>(IF('Section Load'!L33&gt;0,'Section Load'!L33,0))</f>
        <v>950.39999999999782</v>
      </c>
      <c r="L30" s="294">
        <f>(IF('Section Load'!M33&gt;0,'Section Load'!M33,0))</f>
        <v>817.22999999999956</v>
      </c>
      <c r="M30" s="294">
        <f>(IF('Section Load'!N33&gt;0,'Section Load'!N33,0))</f>
        <v>104</v>
      </c>
      <c r="N30" s="294">
        <f>(IF('Section Load'!O33&gt;0,'Section Load'!O33,0))</f>
        <v>1</v>
      </c>
      <c r="O30" s="294">
        <f>(IF('Section Load'!P33&gt;0,'Section Load'!P33,0))</f>
        <v>0</v>
      </c>
      <c r="P30" s="294">
        <f>(IF('Section Load'!Q33&gt;0,'Section Load'!Q33,0))</f>
        <v>180.20000000000437</v>
      </c>
      <c r="Q30" s="294">
        <f>(IF('Section Load'!R33&gt;0,'Section Load'!R33,0))</f>
        <v>72.400000000001455</v>
      </c>
      <c r="R30" s="294">
        <f>(IF('Section Load'!S33&gt;0,'Section Load'!S33,0))</f>
        <v>11.220000000000255</v>
      </c>
      <c r="S30" s="294">
        <f>(IF('Section Load'!T33&gt;0,'Section Load'!T33,0))</f>
        <v>443</v>
      </c>
      <c r="T30" s="294">
        <f>(IF('Section Load'!U33&gt;0,'Section Load'!U33,0))</f>
        <v>247</v>
      </c>
      <c r="U30" s="294">
        <f>(IF('Section Load'!V33&gt;0,'Section Load'!V33,0))</f>
        <v>371.52000000001863</v>
      </c>
      <c r="V30" s="294">
        <f>(IF('Section Load'!W33&gt;0,'Section Load'!W33,0))</f>
        <v>246.88000000000466</v>
      </c>
      <c r="W30" s="294">
        <f>(IF('Section Load'!X33&gt;0,'Section Load'!X33,0))</f>
        <v>24.010000000000218</v>
      </c>
      <c r="X30" s="294">
        <f>(IF('Section Load'!Y33&gt;0,'Section Load'!Y33,0))</f>
        <v>181.27999999999884</v>
      </c>
      <c r="Y30" s="294">
        <f>(IF('Section Load'!Z33&gt;0,'Section Load'!Z33,0))</f>
        <v>223</v>
      </c>
      <c r="Z30" s="294">
        <f>(IF('Section Load'!AA33&gt;0,'Section Load'!AA33,0))</f>
        <v>3.9999999979045242E-2</v>
      </c>
      <c r="AA30" s="294">
        <f>(IF('Section Load'!AB33&gt;0,'Section Load'!AB33,0))</f>
        <v>30.400000000008731</v>
      </c>
      <c r="AB30" s="294">
        <f>(IF('Section Load'!AC33&gt;0,'Section Load'!AC33,0))</f>
        <v>0.19000000000232831</v>
      </c>
      <c r="AC30" s="294">
        <f>(IF('Section Load'!AD33&gt;0,'Section Load'!AD33,0))</f>
        <v>114.10000000000855</v>
      </c>
      <c r="AD30" s="294">
        <f>(IF('Section Load'!AE33&gt;0,'Section Load'!AE33,0))</f>
        <v>0</v>
      </c>
      <c r="AE30" s="294">
        <f>(IF('Section Load'!AF33&gt;0,'Section Load'!AF33,0))</f>
        <v>20.950000000000273</v>
      </c>
      <c r="AF30" s="294">
        <f>(IF('Section Load'!AG33&gt;0,'Section Load'!AG33,0))</f>
        <v>440.03999999997905</v>
      </c>
      <c r="AG30" s="294">
        <f>(IF('Section Load'!AH33&gt;0,'Section Load'!AH33,0))</f>
        <v>389.04000000000815</v>
      </c>
      <c r="AH30" s="294">
        <f>(IF('Section Load'!AI33&gt;0,'Section Load'!AI33,0))</f>
        <v>401.86999999999898</v>
      </c>
      <c r="AI30" s="294">
        <f>(IF('Section Load'!AJ33&gt;0,'Section Load'!AJ33,0))</f>
        <v>739.46899999998277</v>
      </c>
      <c r="AJ30" s="294">
        <f>(IF('Section Load'!AK33&gt;0,'Section Load'!AK33,0))</f>
        <v>218.55000000000291</v>
      </c>
      <c r="AK30" s="294">
        <f>(IF('Section Load'!AL33&gt;0,'Section Load'!AL33,0))</f>
        <v>349</v>
      </c>
      <c r="AL30" s="294">
        <f>(IF('Section Load'!AM33&gt;0,'Section Load'!AM33,0))</f>
        <v>707.36000000000058</v>
      </c>
      <c r="AM30" s="295">
        <f>(IF('Water Report'!$AF$7&gt;0,'Water Report'!$AF$7,0))</f>
        <v>131</v>
      </c>
      <c r="AN30" s="295">
        <f>(IF('Water Report'!$AF$8&gt;0,'Water Report'!$AF$8,0))</f>
        <v>75.899999999994179</v>
      </c>
      <c r="AO30" s="295">
        <f>(IF('Water Report'!$AF$9&gt;0,'Water Report'!$AF$9,0))</f>
        <v>104</v>
      </c>
      <c r="AP30" s="295">
        <f>(IF('Water Report'!$AF$10&gt;0,'Water Report'!$AF$10,0))</f>
        <v>20</v>
      </c>
      <c r="AQ30" s="295">
        <f>(IF('Water Report'!$AF$11&gt;0,'Water Report'!$AF$11,0))</f>
        <v>28</v>
      </c>
      <c r="AR30" s="295">
        <f>(IF('Water Report'!$AF$13&gt;0,'Water Report'!$AF$13,0))</f>
        <v>40</v>
      </c>
      <c r="AS30" s="295">
        <f>(IF('Water Report'!$AF$14&gt;0,'Water Report'!$AF$14,0))</f>
        <v>18</v>
      </c>
      <c r="AT30" s="295">
        <f>(IF('Water Report'!$AF$15&gt;0,'Water Report'!$AF$15,0))</f>
        <v>6</v>
      </c>
      <c r="AU30" s="295">
        <f>(IF('Water Report'!$AF$17&gt;0,'Water Report'!$AF$17,0))</f>
        <v>0</v>
      </c>
      <c r="AV30" s="295">
        <f>(IF('Water Report'!$AF$18&gt;0,'Water Report'!$AF$18,0))</f>
        <v>313</v>
      </c>
      <c r="AW30" s="295">
        <f>(IF('Water Report'!$AF$19&gt;0,'Water Report'!$AF$19,0))</f>
        <v>12</v>
      </c>
      <c r="AX30" s="301">
        <f>(IF('Water Report'!$AF$21&gt;0,'Water Report'!$AF$21,0))</f>
        <v>95</v>
      </c>
      <c r="AY30" s="301">
        <f>(IF('Water Report'!$AF$22&gt;0,'Water Report'!$AF$22,0))</f>
        <v>0</v>
      </c>
      <c r="AZ30" s="301">
        <f>(IF('Water Report'!$AF$23&gt;0,'Water Report'!$AF$23,0))</f>
        <v>8</v>
      </c>
      <c r="BA30" s="301">
        <f>(IF('Water Report'!$AF$14&gt;0,'Water Report'!$AF$14,0))</f>
        <v>18</v>
      </c>
      <c r="BB30" s="301">
        <f>(IF('Water Report'!$AF$15&gt;0,'Water Report'!$AF$15,0))</f>
        <v>6</v>
      </c>
      <c r="BC30" s="301">
        <f>(IF('Water Report'!$AF$13&gt;0,'Water Report'!$AF$13,0))</f>
        <v>40</v>
      </c>
      <c r="BD30" s="301">
        <f>(IF('Water Report'!$AF$24&gt;0,'Water Report'!$AF$24,0))</f>
        <v>273</v>
      </c>
      <c r="BE30" s="301">
        <f>(IF('Water Report'!$AF$25&gt;0,'Water Report'!$AF$25,0))</f>
        <v>176</v>
      </c>
      <c r="BF30" s="301">
        <f>(IF('Water Report'!$AF$27&gt;0,'Water Report'!$AF$27,0))</f>
        <v>143</v>
      </c>
      <c r="BG30" s="296">
        <f>(IF('Section Load'!AN33&gt;0,'Section Load'!AN33,0))</f>
        <v>1018.3400000000838</v>
      </c>
      <c r="BH30" s="296">
        <f>(IF('Section Load'!AO33&gt;0,'Section Load'!AO33,0))</f>
        <v>326.39899999997579</v>
      </c>
      <c r="BI30" s="296">
        <f>(IF('Section Load'!AP33&gt;0,'Section Load'!AP33,0))</f>
        <v>0</v>
      </c>
      <c r="BJ30" s="296">
        <f>(IF('Section Load'!AQ33&gt;0,'Section Load'!AQ33,0))</f>
        <v>93.589999999996508</v>
      </c>
      <c r="BK30" s="296">
        <f>(IF('Section Load'!AR33&gt;0,'Section Load'!AR33,0))</f>
        <v>36</v>
      </c>
      <c r="BL30" s="296">
        <f>(IF('Section Load'!AS33&gt;0,'Section Load'!AS33,0))</f>
        <v>1.3000000000010914</v>
      </c>
      <c r="BM30" s="296">
        <f>(IF('Section Load'!AT33&gt;0,'Section Load'!AT33,0))</f>
        <v>561.05100000011043</v>
      </c>
    </row>
    <row r="31" spans="1:65" x14ac:dyDescent="0.25">
      <c r="A31" s="287" t="s">
        <v>268</v>
      </c>
      <c r="B31" s="288">
        <f t="shared" si="0"/>
        <v>30</v>
      </c>
      <c r="C31" s="288">
        <v>12</v>
      </c>
      <c r="D31" s="288">
        <v>2021</v>
      </c>
      <c r="E31" s="294">
        <f>(IF('Section Load'!F34&gt;0,'Section Load'!F34,0))</f>
        <v>0</v>
      </c>
      <c r="F31" s="294">
        <f>(IF('Section Load'!G34&gt;0,'Section Load'!G34,0))</f>
        <v>0</v>
      </c>
      <c r="G31" s="294">
        <f>(IF('Section Load'!H34&gt;0,'Section Load'!H34,0))</f>
        <v>0</v>
      </c>
      <c r="H31" s="294">
        <f>(IF('Section Load'!I34&gt;0,'Section Load'!I34,0))</f>
        <v>0</v>
      </c>
      <c r="I31" s="294">
        <f>(IF('Section Load'!J34&gt;0,'Section Load'!J34,0))</f>
        <v>1016572.28</v>
      </c>
      <c r="J31" s="294">
        <f>(IF('Section Load'!K34&gt;0,'Section Load'!K34,0))</f>
        <v>1486606.61</v>
      </c>
      <c r="K31" s="294">
        <f>(IF('Section Load'!L34&gt;0,'Section Load'!L34,0))</f>
        <v>700698.59</v>
      </c>
      <c r="L31" s="294">
        <f>(IF('Section Load'!M34&gt;0,'Section Load'!M34,0))</f>
        <v>59641.53</v>
      </c>
      <c r="M31" s="294">
        <f>(IF('Section Load'!N34&gt;0,'Section Load'!N34,0))</f>
        <v>0</v>
      </c>
      <c r="N31" s="294">
        <f>(IF('Section Load'!O34&gt;0,'Section Load'!O34,0))</f>
        <v>0</v>
      </c>
      <c r="O31" s="294">
        <f>(IF('Section Load'!P34&gt;0,'Section Load'!P34,0))</f>
        <v>0</v>
      </c>
      <c r="P31" s="294">
        <f>(IF('Section Load'!Q34&gt;0,'Section Load'!Q34,0))</f>
        <v>0</v>
      </c>
      <c r="Q31" s="294">
        <f>(IF('Section Load'!R34&gt;0,'Section Load'!R34,0))</f>
        <v>0</v>
      </c>
      <c r="R31" s="294">
        <f>(IF('Section Load'!S34&gt;0,'Section Load'!S34,0))</f>
        <v>0</v>
      </c>
      <c r="S31" s="294">
        <f>(IF('Section Load'!T34&gt;0,'Section Load'!T34,0))</f>
        <v>0</v>
      </c>
      <c r="T31" s="294">
        <f>(IF('Section Load'!U34&gt;0,'Section Load'!U34,0))</f>
        <v>0</v>
      </c>
      <c r="U31" s="294">
        <f>(IF('Section Load'!V34&gt;0,'Section Load'!V34,0))</f>
        <v>0</v>
      </c>
      <c r="V31" s="294">
        <f>(IF('Section Load'!W34&gt;0,'Section Load'!W34,0))</f>
        <v>0</v>
      </c>
      <c r="W31" s="294">
        <f>(IF('Section Load'!X34&gt;0,'Section Load'!X34,0))</f>
        <v>0</v>
      </c>
      <c r="X31" s="294">
        <f>(IF('Section Load'!Y34&gt;0,'Section Load'!Y34,0))</f>
        <v>0</v>
      </c>
      <c r="Y31" s="294">
        <f>(IF('Section Load'!Z34&gt;0,'Section Load'!Z34,0))</f>
        <v>0</v>
      </c>
      <c r="Z31" s="294">
        <f>(IF('Section Load'!AA34&gt;0,'Section Load'!AA34,0))</f>
        <v>0</v>
      </c>
      <c r="AA31" s="294">
        <f>(IF('Section Load'!AB34&gt;0,'Section Load'!AB34,0))</f>
        <v>0</v>
      </c>
      <c r="AB31" s="294">
        <f>(IF('Section Load'!AC34&gt;0,'Section Load'!AC34,0))</f>
        <v>0</v>
      </c>
      <c r="AC31" s="294">
        <f>(IF('Section Load'!AD34&gt;0,'Section Load'!AD34,0))</f>
        <v>0</v>
      </c>
      <c r="AD31" s="294">
        <f>(IF('Section Load'!AE34&gt;0,'Section Load'!AE34,0))</f>
        <v>0</v>
      </c>
      <c r="AE31" s="294">
        <f>(IF('Section Load'!AF34&gt;0,'Section Load'!AF34,0))</f>
        <v>0</v>
      </c>
      <c r="AF31" s="294">
        <f>(IF('Section Load'!AG34&gt;0,'Section Load'!AG34,0))</f>
        <v>0</v>
      </c>
      <c r="AG31" s="294">
        <f>(IF('Section Load'!AH34&gt;0,'Section Load'!AH34,0))</f>
        <v>0</v>
      </c>
      <c r="AH31" s="294">
        <f>(IF('Section Load'!AI34&gt;0,'Section Load'!AI34,0))</f>
        <v>0</v>
      </c>
      <c r="AI31" s="294">
        <f>(IF('Section Load'!AJ34&gt;0,'Section Load'!AJ34,0))</f>
        <v>0</v>
      </c>
      <c r="AJ31" s="294">
        <f>(IF('Section Load'!AK34&gt;0,'Section Load'!AK34,0))</f>
        <v>0</v>
      </c>
      <c r="AK31" s="294">
        <f>(IF('Section Load'!AL34&gt;0,'Section Load'!AL34,0))</f>
        <v>0</v>
      </c>
      <c r="AL31" s="294">
        <f>(IF('Section Load'!AM34&gt;0,'Section Load'!AM34,0))</f>
        <v>0</v>
      </c>
      <c r="AM31" s="295">
        <f>(IF('Water Report'!$AG$7&gt;0,'Water Report'!$AG$7,0))</f>
        <v>0</v>
      </c>
      <c r="AN31" s="295">
        <f>(IF('Water Report'!$AG$8&gt;0,'Water Report'!$AG$8,0))</f>
        <v>0</v>
      </c>
      <c r="AO31" s="295">
        <f>(IF('Water Report'!$AG$9&gt;0,'Water Report'!$AG$9,0))</f>
        <v>0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1100</v>
      </c>
      <c r="BH31" s="296">
        <f>(IF('Section Load'!AO34&gt;0,'Section Load'!AO34,0))</f>
        <v>0</v>
      </c>
      <c r="BI31" s="296">
        <f>(IF('Section Load'!AP34&gt;0,'Section Load'!AP34,0))</f>
        <v>0</v>
      </c>
      <c r="BJ31" s="296">
        <f>(IF('Section Load'!AQ34&gt;0,'Section Load'!AQ34,0))</f>
        <v>0</v>
      </c>
      <c r="BK31" s="296">
        <f>(IF('Section Load'!AR34&gt;0,'Section Load'!AR34,0))</f>
        <v>0</v>
      </c>
      <c r="BL31" s="296">
        <f>(IF('Section Load'!AS34&gt;0,'Section Load'!AS34,0))</f>
        <v>0</v>
      </c>
      <c r="BM31" s="296">
        <f>(IF('Section Load'!AT34&gt;0,'Section Load'!AT34,0))</f>
        <v>15405.000999999949</v>
      </c>
    </row>
    <row r="32" spans="1:65" x14ac:dyDescent="0.25">
      <c r="A32" s="287" t="s">
        <v>268</v>
      </c>
      <c r="B32" s="288">
        <f t="shared" si="0"/>
        <v>31</v>
      </c>
      <c r="C32" s="288">
        <v>12</v>
      </c>
      <c r="D32" s="288">
        <v>2021</v>
      </c>
      <c r="E32" s="294">
        <f>(IF('Section Load'!F35&gt;0,'Section Load'!F35,0))</f>
        <v>0</v>
      </c>
      <c r="F32" s="294">
        <f>(IF('Section Load'!G35&gt;0,'Section Load'!G35,0))</f>
        <v>0</v>
      </c>
      <c r="G32" s="294">
        <f>(IF('Section Load'!H35&gt;0,'Section Load'!H35,0))</f>
        <v>0</v>
      </c>
      <c r="H32" s="294">
        <f>(IF('Section Load'!I35&gt;0,'Section Load'!I35,0))</f>
        <v>0</v>
      </c>
      <c r="I32" s="294">
        <f>(IF('Section Load'!J35&gt;0,'Section Load'!J35,0))</f>
        <v>0</v>
      </c>
      <c r="J32" s="294">
        <f>(IF('Section Load'!K35&gt;0,'Section Load'!K35,0))</f>
        <v>0</v>
      </c>
      <c r="K32" s="294">
        <f>(IF('Section Load'!L35&gt;0,'Section Load'!L35,0))</f>
        <v>0</v>
      </c>
      <c r="L32" s="294">
        <f>(IF('Section Load'!M35&gt;0,'Section Load'!M35,0))</f>
        <v>0</v>
      </c>
      <c r="M32" s="294">
        <f>(IF('Section Load'!N35&gt;0,'Section Load'!N35,0))</f>
        <v>0</v>
      </c>
      <c r="N32" s="294">
        <f>(IF('Section Load'!O35&gt;0,'Section Load'!O35,0))</f>
        <v>0</v>
      </c>
      <c r="O32" s="294">
        <f>(IF('Section Load'!P35&gt;0,'Section Load'!P35,0))</f>
        <v>0</v>
      </c>
      <c r="P32" s="294">
        <f>(IF('Section Load'!Q35&gt;0,'Section Load'!Q35,0))</f>
        <v>0</v>
      </c>
      <c r="Q32" s="294">
        <f>(IF('Section Load'!R35&gt;0,'Section Load'!R35,0))</f>
        <v>0</v>
      </c>
      <c r="R32" s="294">
        <f>(IF('Section Load'!S35&gt;0,'Section Load'!S35,0))</f>
        <v>0</v>
      </c>
      <c r="S32" s="294">
        <f>(IF('Section Load'!T35&gt;0,'Section Load'!T35,0))</f>
        <v>0</v>
      </c>
      <c r="T32" s="294">
        <f>(IF('Section Load'!U35&gt;0,'Section Load'!U35,0))</f>
        <v>0</v>
      </c>
      <c r="U32" s="294">
        <f>(IF('Section Load'!V35&gt;0,'Section Load'!V35,0))</f>
        <v>0</v>
      </c>
      <c r="V32" s="294">
        <f>(IF('Section Load'!W35&gt;0,'Section Load'!W35,0))</f>
        <v>0</v>
      </c>
      <c r="W32" s="294">
        <f>(IF('Section Load'!X35&gt;0,'Section Load'!X35,0))</f>
        <v>0</v>
      </c>
      <c r="X32" s="294">
        <f>(IF('Section Load'!Y35&gt;0,'Section Load'!Y35,0))</f>
        <v>0</v>
      </c>
      <c r="Y32" s="294">
        <f>(IF('Section Load'!Z35&gt;0,'Section Load'!Z35,0))</f>
        <v>0</v>
      </c>
      <c r="Z32" s="294">
        <f>(IF('Section Load'!AA35&gt;0,'Section Load'!AA35,0))</f>
        <v>0</v>
      </c>
      <c r="AA32" s="294">
        <f>(IF('Section Load'!AB35&gt;0,'Section Load'!AB35,0))</f>
        <v>0</v>
      </c>
      <c r="AB32" s="294">
        <f>(IF('Section Load'!AC35&gt;0,'Section Load'!AC35,0))</f>
        <v>0</v>
      </c>
      <c r="AC32" s="294">
        <f>(IF('Section Load'!AD35&gt;0,'Section Load'!AD35,0))</f>
        <v>0</v>
      </c>
      <c r="AD32" s="294">
        <f>(IF('Section Load'!AE35&gt;0,'Section Load'!AE35,0))</f>
        <v>0</v>
      </c>
      <c r="AE32" s="294">
        <f>(IF('Section Load'!AF35&gt;0,'Section Load'!AF35,0))</f>
        <v>0</v>
      </c>
      <c r="AF32" s="294">
        <f>(IF('Section Load'!AG35&gt;0,'Section Load'!AG35,0))</f>
        <v>0</v>
      </c>
      <c r="AG32" s="294">
        <f>(IF('Section Load'!AH35&gt;0,'Section Load'!AH35,0))</f>
        <v>0</v>
      </c>
      <c r="AH32" s="294">
        <f>(IF('Section Load'!AI35&gt;0,'Section Load'!AI35,0))</f>
        <v>0</v>
      </c>
      <c r="AI32" s="294">
        <f>(IF('Section Load'!AJ35&gt;0,'Section Load'!AJ35,0))</f>
        <v>0</v>
      </c>
      <c r="AJ32" s="294">
        <f>(IF('Section Load'!AK35&gt;0,'Section Load'!AK35,0))</f>
        <v>0</v>
      </c>
      <c r="AK32" s="294">
        <f>(IF('Section Load'!AL35&gt;0,'Section Load'!AL35,0))</f>
        <v>0</v>
      </c>
      <c r="AL32" s="294">
        <f>(IF('Section Load'!AM35&gt;0,'Section Load'!AM35,0))</f>
        <v>0</v>
      </c>
      <c r="AM32" s="295">
        <f>(IF('Water Report'!$AH$7&gt;0,'Water Report'!$AH$7,0))</f>
        <v>0</v>
      </c>
      <c r="AN32" s="295">
        <f>(IF('Water Report'!$AH$8&gt;0,'Water Report'!$AH$8,0))</f>
        <v>0</v>
      </c>
      <c r="AO32" s="295">
        <f>(IF('Water Report'!$AH$9&gt;0,'Water Report'!$AH$9,0))</f>
        <v>0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1100</v>
      </c>
      <c r="BH32" s="296">
        <f>(IF('Section Load'!AO35&gt;0,'Section Load'!AO35,0))</f>
        <v>0</v>
      </c>
      <c r="BI32" s="296">
        <f>(IF('Section Load'!AP35&gt;0,'Section Load'!AP35,0))</f>
        <v>0</v>
      </c>
      <c r="BJ32" s="296">
        <f>(IF('Section Load'!AQ35&gt;0,'Section Load'!AQ35,0))</f>
        <v>0</v>
      </c>
      <c r="BK32" s="296">
        <f>(IF('Section Load'!AR35&gt;0,'Section Load'!AR35,0))</f>
        <v>0</v>
      </c>
      <c r="BL32" s="296">
        <f>(IF('Section Load'!AS35&gt;0,'Section Load'!AS35,0))</f>
        <v>0</v>
      </c>
      <c r="BM32" s="296">
        <f>(IF('Section Load'!AT35&gt;0,'Section Load'!AT35,0))</f>
        <v>14564.817999999979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topLeftCell="A19"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05"/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  <c r="Z1" s="705"/>
      <c r="AA1" s="705"/>
      <c r="AB1" s="705"/>
      <c r="AC1" s="705"/>
      <c r="AD1" s="705"/>
      <c r="AE1" s="705"/>
      <c r="AF1" s="705"/>
      <c r="AG1" s="705"/>
      <c r="AH1" s="705"/>
      <c r="AI1" s="705"/>
      <c r="AJ1" s="705"/>
      <c r="AK1" s="705"/>
      <c r="AL1" s="705"/>
      <c r="AM1" s="705"/>
      <c r="AN1" s="705"/>
      <c r="AO1" s="705"/>
      <c r="AP1" s="705"/>
      <c r="AQ1" s="705"/>
      <c r="AR1" s="705"/>
      <c r="AS1" s="705"/>
      <c r="AT1" s="705"/>
      <c r="AU1" s="705"/>
      <c r="AV1" s="705"/>
      <c r="AW1" s="705"/>
      <c r="AX1" s="705"/>
      <c r="AY1" s="705"/>
      <c r="AZ1" s="705"/>
      <c r="BA1" s="705"/>
      <c r="BB1" s="705"/>
      <c r="BC1" s="705"/>
      <c r="BD1" s="705"/>
      <c r="BE1" s="705"/>
      <c r="BF1" s="705"/>
      <c r="BG1" s="705"/>
      <c r="BH1" s="705"/>
      <c r="BI1" s="705"/>
      <c r="BJ1" s="705"/>
      <c r="BK1" s="705"/>
      <c r="BL1" s="705"/>
      <c r="BM1" s="705"/>
      <c r="BN1" s="705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06" t="s">
        <v>5</v>
      </c>
      <c r="I2" s="706"/>
      <c r="J2" s="706"/>
      <c r="K2" s="44"/>
      <c r="L2" s="707" t="s">
        <v>6</v>
      </c>
      <c r="M2" s="707"/>
      <c r="N2" s="707"/>
      <c r="O2" s="708" t="s">
        <v>7</v>
      </c>
      <c r="P2" s="708"/>
      <c r="Q2" s="708"/>
      <c r="R2" s="44" t="s">
        <v>8</v>
      </c>
      <c r="S2" s="709" t="s">
        <v>9</v>
      </c>
      <c r="T2" s="709"/>
      <c r="U2" s="709"/>
      <c r="V2" s="710" t="s">
        <v>10</v>
      </c>
      <c r="W2" s="711"/>
      <c r="X2" s="712"/>
      <c r="Y2" s="263"/>
      <c r="Z2" s="713" t="s">
        <v>11</v>
      </c>
      <c r="AA2" s="713"/>
      <c r="AB2" s="713"/>
      <c r="AC2" s="713"/>
      <c r="AD2" s="264"/>
      <c r="AE2" s="264" t="s">
        <v>12</v>
      </c>
      <c r="AF2" s="264" t="s">
        <v>13</v>
      </c>
      <c r="AG2" s="713" t="s">
        <v>14</v>
      </c>
      <c r="AH2" s="713"/>
      <c r="AI2" s="713"/>
      <c r="AJ2" s="264" t="s">
        <v>15</v>
      </c>
      <c r="AK2" s="713" t="s">
        <v>16</v>
      </c>
      <c r="AL2" s="713"/>
      <c r="AM2" s="713"/>
      <c r="AN2" s="264" t="s">
        <v>17</v>
      </c>
      <c r="AO2" s="5" t="s">
        <v>18</v>
      </c>
      <c r="AP2" s="714" t="s">
        <v>19</v>
      </c>
      <c r="AQ2" s="715"/>
      <c r="AR2" s="715"/>
      <c r="AS2" s="715"/>
      <c r="AT2" s="715"/>
      <c r="AU2" s="715"/>
      <c r="AV2" s="715"/>
      <c r="AW2" s="715"/>
      <c r="AX2" s="715"/>
      <c r="AY2" s="716"/>
      <c r="AZ2" s="714" t="s">
        <v>20</v>
      </c>
      <c r="BA2" s="715"/>
      <c r="BB2" s="715"/>
      <c r="BC2" s="715"/>
      <c r="BD2" s="715"/>
      <c r="BE2" s="715"/>
      <c r="BF2" s="715"/>
      <c r="BG2" s="715"/>
      <c r="BH2" s="715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22</v>
      </c>
      <c r="E4" s="50">
        <f>'1'!D4</f>
        <v>0.76</v>
      </c>
      <c r="F4" s="50">
        <f>'1'!D2</f>
        <v>0.96</v>
      </c>
      <c r="G4" s="19">
        <f>'1'!G7</f>
        <v>22668</v>
      </c>
      <c r="H4" s="19">
        <f>'1'!G8</f>
        <v>22989</v>
      </c>
      <c r="I4" s="19">
        <v>9</v>
      </c>
      <c r="J4" s="49">
        <f>H4*I4</f>
        <v>206901</v>
      </c>
      <c r="K4" s="45">
        <f>H4/202</f>
        <v>113.8069306930693</v>
      </c>
      <c r="L4" s="19">
        <f>'1'!G15</f>
        <v>1074</v>
      </c>
      <c r="M4" s="19">
        <v>56.2</v>
      </c>
      <c r="N4" s="45">
        <f>L4*M4</f>
        <v>60358.8</v>
      </c>
      <c r="O4" s="19">
        <f>'1'!G20</f>
        <v>212</v>
      </c>
      <c r="P4" s="19">
        <v>108</v>
      </c>
      <c r="Q4" s="46">
        <f t="shared" ref="Q4:Q33" si="0">O4*P4</f>
        <v>22896</v>
      </c>
      <c r="R4" s="47">
        <f t="shared" ref="R4:R34" si="1">O4/(F4*202/100)</f>
        <v>109.32343234323433</v>
      </c>
      <c r="S4" s="19">
        <f>'1'!G24</f>
        <v>0</v>
      </c>
      <c r="T4" s="19">
        <v>69</v>
      </c>
      <c r="U4" s="48">
        <f>S4*T4</f>
        <v>0</v>
      </c>
      <c r="V4" s="22">
        <f>'1'!G65</f>
        <v>86</v>
      </c>
      <c r="W4" s="22">
        <f>'1'!G66</f>
        <v>18</v>
      </c>
      <c r="X4" s="22">
        <f>'1'!G67</f>
        <v>25</v>
      </c>
      <c r="Y4" s="22">
        <f>V4+W4+X4</f>
        <v>129</v>
      </c>
      <c r="Z4" s="19">
        <f>'1'!G84</f>
        <v>0</v>
      </c>
      <c r="AA4" s="19">
        <f>'1'!G85</f>
        <v>0</v>
      </c>
      <c r="AB4" s="19">
        <f>'1'!G86</f>
        <v>0</v>
      </c>
      <c r="AC4" s="19">
        <f>'1'!G87</f>
        <v>23.889999999999418</v>
      </c>
      <c r="AD4" s="19">
        <f>Z4+AA4+AB4+AC4</f>
        <v>23.889999999999418</v>
      </c>
      <c r="AE4" s="23">
        <f t="shared" ref="AE4:AE33" si="2">AU4+AV4+BE4+BF4</f>
        <v>5399.3500000000349</v>
      </c>
      <c r="AF4" s="23">
        <f>AE4/AD4</f>
        <v>226.00879028883074</v>
      </c>
      <c r="AG4" s="19">
        <f>'1'!G88</f>
        <v>8.9899999999979627</v>
      </c>
      <c r="AH4" s="19">
        <f>'1'!G89</f>
        <v>0</v>
      </c>
      <c r="AI4" s="19">
        <f>'1'!G90</f>
        <v>6.7299999999959255</v>
      </c>
      <c r="AJ4" s="19">
        <f>AG4+AH4+AI4</f>
        <v>15.719999999993888</v>
      </c>
      <c r="AK4" s="19">
        <f>'1'!G91</f>
        <v>0</v>
      </c>
      <c r="AL4" s="19">
        <f>'1'!G92</f>
        <v>10.650000000000546</v>
      </c>
      <c r="AM4" s="19"/>
      <c r="AN4" s="19">
        <f>AK4+AL4</f>
        <v>10.650000000000546</v>
      </c>
      <c r="AO4" s="52">
        <f>'1'!G74</f>
        <v>305.95100000000093</v>
      </c>
      <c r="AP4" s="55">
        <f>'1'!G35</f>
        <v>2116.3699999999953</v>
      </c>
      <c r="AQ4" s="19">
        <f>'1'!G37</f>
        <v>1702.2600000000093</v>
      </c>
      <c r="AR4" s="19">
        <f>'1'!G38</f>
        <v>1904.9500000000116</v>
      </c>
      <c r="AS4" s="19">
        <f>'1'!G39</f>
        <v>2945.710000000021</v>
      </c>
      <c r="AT4" s="19">
        <f>'1'!G40</f>
        <v>2.7800000000000011</v>
      </c>
      <c r="AU4" s="19">
        <f>'1'!G41</f>
        <v>0.2900000000372529</v>
      </c>
      <c r="AV4" s="19">
        <f>'1'!G42</f>
        <v>1.0000000009313226E-2</v>
      </c>
      <c r="AW4" s="19">
        <f>'1'!G43</f>
        <v>2459.3999999999069</v>
      </c>
      <c r="AX4" s="19">
        <f>'1'!G44</f>
        <v>0</v>
      </c>
      <c r="AY4" s="56">
        <f>'1'!G36</f>
        <v>940.30000000000291</v>
      </c>
      <c r="AZ4" s="55">
        <f>'1'!G49</f>
        <v>1723.6700000000128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6.7199999999997999</v>
      </c>
      <c r="BE4" s="19">
        <f>'1'!G55</f>
        <v>0</v>
      </c>
      <c r="BF4" s="19">
        <f>'1'!G56</f>
        <v>5399.0499999999884</v>
      </c>
      <c r="BG4" s="19">
        <f>'1'!G57</f>
        <v>0</v>
      </c>
      <c r="BH4" s="56">
        <f>'1'!G50</f>
        <v>1459.8100000000559</v>
      </c>
      <c r="BI4" s="60">
        <f>SUM(AU4,AV4,BE4,BF4)</f>
        <v>5399.3500000000349</v>
      </c>
      <c r="BJ4" s="60">
        <f>'1'!G133</f>
        <v>843.58000000000175</v>
      </c>
      <c r="BK4" s="23">
        <f>SUM(AP4,AU4,AV4,AW4,AZ4,BE4,BF4,BG4)/H4%</f>
        <v>50.888642394188309</v>
      </c>
      <c r="BL4" s="23">
        <f>SUM(AS4,BC4)/H4%</f>
        <v>12.813563008395411</v>
      </c>
      <c r="BM4" s="24">
        <f>(AR4+BB4)/H4</f>
        <v>8.2863543433816675E-2</v>
      </c>
      <c r="BN4" s="25">
        <f>J4+N4+Q4+U4</f>
        <v>290155.8</v>
      </c>
      <c r="BO4" s="38">
        <f>SUM(AU4,AV4,AW4,BE4,BF4,BG4,BJ4)</f>
        <v>8702.3299999999435</v>
      </c>
      <c r="BP4">
        <f>BO4/(AD4*280)</f>
        <v>1.3009522812892655</v>
      </c>
      <c r="BQ4" s="38">
        <f>SUM(AU4,AV4,BE4,BF4)/(AD4*400)</f>
        <v>0.56502197572207691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0.43559999999999999</v>
      </c>
      <c r="G5" s="19">
        <f>'2'!G7</f>
        <v>21548</v>
      </c>
      <c r="H5" s="19">
        <f>'2'!G8</f>
        <v>21667</v>
      </c>
      <c r="I5" s="19">
        <v>9</v>
      </c>
      <c r="J5" s="49">
        <f t="shared" ref="J5:J34" si="3">H5*I5</f>
        <v>195003</v>
      </c>
      <c r="K5" s="45">
        <f t="shared" ref="K5:K33" si="4">H5/202</f>
        <v>107.26237623762377</v>
      </c>
      <c r="L5" s="19">
        <f>'2'!G15</f>
        <v>1094.2399999999907</v>
      </c>
      <c r="M5" s="19">
        <v>56.2</v>
      </c>
      <c r="N5" s="45">
        <f t="shared" ref="N5:N33" si="5">L5*M5</f>
        <v>61496.287999999477</v>
      </c>
      <c r="O5" s="19">
        <f>'2'!G20</f>
        <v>254</v>
      </c>
      <c r="P5" s="19">
        <v>108</v>
      </c>
      <c r="Q5" s="46">
        <f t="shared" si="0"/>
        <v>27432</v>
      </c>
      <c r="R5" s="47">
        <f t="shared" si="1"/>
        <v>288.66523015937958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429547</v>
      </c>
      <c r="W5" s="22">
        <f>'2'!G66</f>
        <v>21</v>
      </c>
      <c r="X5" s="22">
        <f>'2'!G67</f>
        <v>29</v>
      </c>
      <c r="Y5" s="22">
        <f t="shared" ref="Y5:Y33" si="7">V5+W5+X5</f>
        <v>429597</v>
      </c>
      <c r="Z5" s="19">
        <f>'2'!G84</f>
        <v>0</v>
      </c>
      <c r="AA5" s="19">
        <f>'2'!G85</f>
        <v>14.809999999999945</v>
      </c>
      <c r="AB5" s="19">
        <f>'2'!G86</f>
        <v>0</v>
      </c>
      <c r="AC5" s="19">
        <f>'2'!G87</f>
        <v>10</v>
      </c>
      <c r="AD5" s="19">
        <f t="shared" ref="AD5:AD33" si="8">Z5+AA5+AB5+AC5</f>
        <v>24.809999999999945</v>
      </c>
      <c r="AE5" s="23">
        <f t="shared" si="2"/>
        <v>4727.1299999999756</v>
      </c>
      <c r="AF5" s="23">
        <f t="shared" ref="AF5:AF33" si="9">AE5/AD5</f>
        <v>190.53325272067659</v>
      </c>
      <c r="AG5" s="19">
        <f>'2'!G88</f>
        <v>1</v>
      </c>
      <c r="AH5" s="19">
        <f>'2'!G89</f>
        <v>10.379999999997381</v>
      </c>
      <c r="AI5" s="19">
        <f>'2'!G90</f>
        <v>6.8000000000029104</v>
      </c>
      <c r="AJ5" s="19">
        <f t="shared" ref="AJ5:AJ33" si="10">AG5+AH5+AI5</f>
        <v>18.180000000000291</v>
      </c>
      <c r="AK5" s="19">
        <f>'2'!G91</f>
        <v>0.32000000000016371</v>
      </c>
      <c r="AL5" s="19">
        <f>'2'!G92</f>
        <v>10.420000000000073</v>
      </c>
      <c r="AM5" s="19"/>
      <c r="AN5" s="19">
        <f t="shared" ref="AN5:AN33" si="11">AK5+AL5</f>
        <v>10.740000000000236</v>
      </c>
      <c r="AO5" s="52">
        <f>'2'!G74</f>
        <v>298.19999999995343</v>
      </c>
      <c r="AP5" s="55">
        <f>'2'!G35</f>
        <v>1975.8000000000029</v>
      </c>
      <c r="AQ5" s="19">
        <f>'2'!G37</f>
        <v>1670.5899999999965</v>
      </c>
      <c r="AR5" s="19">
        <f>'2'!G38</f>
        <v>1896.570000000007</v>
      </c>
      <c r="AS5" s="19">
        <f>'2'!G39</f>
        <v>2783</v>
      </c>
      <c r="AT5" s="19">
        <f>'2'!G40</f>
        <v>0.79999999999999716</v>
      </c>
      <c r="AU5" s="19">
        <f>'2'!G41</f>
        <v>-0.2900000000372529</v>
      </c>
      <c r="AV5" s="19">
        <f>'2'!G42</f>
        <v>3289.7700000000186</v>
      </c>
      <c r="AW5" s="19">
        <f>'2'!G43</f>
        <v>2388.3999999999069</v>
      </c>
      <c r="AX5" s="19">
        <f>'2'!G44</f>
        <v>0</v>
      </c>
      <c r="AY5" s="56">
        <f>'2'!G36</f>
        <v>968.69999999999709</v>
      </c>
      <c r="AZ5" s="55">
        <f>'2'!G49</f>
        <v>1722.890000000014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6.6199999999998909</v>
      </c>
      <c r="BE5" s="19">
        <f>'2'!G55</f>
        <v>0</v>
      </c>
      <c r="BF5" s="19">
        <f>'2'!G56</f>
        <v>1437.6499999999942</v>
      </c>
      <c r="BG5" s="19">
        <f>'2'!G57</f>
        <v>0</v>
      </c>
      <c r="BH5" s="56">
        <f>'2'!G50</f>
        <v>1486.3499999999767</v>
      </c>
      <c r="BI5" s="60">
        <f t="shared" ref="BI5:BI32" si="12">SUM(AU5,AV5,BE5,BF5)</f>
        <v>4727.1299999999756</v>
      </c>
      <c r="BJ5" s="60">
        <f>'2'!G133</f>
        <v>835.40000000000146</v>
      </c>
      <c r="BK5" s="23">
        <f t="shared" ref="BK5:BK33" si="13">SUM(AP5,AU5,AV5,AW5,AZ5,BE5,BF5,BG5)/H5%</f>
        <v>49.911016753587944</v>
      </c>
      <c r="BL5" s="23">
        <f t="shared" ref="BL5:BL33" si="14">SUM(AS5,BC5)/H5%</f>
        <v>12.844417778188028</v>
      </c>
      <c r="BM5" s="24">
        <f t="shared" ref="BM5:BM33" si="15">(AR5+BB5)/H5</f>
        <v>8.7532653343795036E-2</v>
      </c>
      <c r="BN5" s="25">
        <f t="shared" ref="BN5:BN33" si="16">J5+N5+Q5+U5</f>
        <v>283931.28799999948</v>
      </c>
      <c r="BO5" s="38">
        <f t="shared" ref="BO5:BO35" si="17">SUM(AU5,AV5,AW5,BE5,BF5,BG5,BJ5)</f>
        <v>7950.9299999998839</v>
      </c>
      <c r="BP5">
        <f t="shared" ref="BP5:BP35" si="18">BO5/(AD5*280)</f>
        <v>1.1445456901019033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23474.229999999981</v>
      </c>
      <c r="H6" s="19">
        <f>'3'!G8</f>
        <v>23640.270000000019</v>
      </c>
      <c r="I6" s="19">
        <v>9</v>
      </c>
      <c r="J6" s="49">
        <f t="shared" si="3"/>
        <v>212762.43000000017</v>
      </c>
      <c r="K6" s="45">
        <f t="shared" si="4"/>
        <v>117.03103960396049</v>
      </c>
      <c r="L6" s="19">
        <f>'3'!G15</f>
        <v>1144.1499999999069</v>
      </c>
      <c r="M6" s="19">
        <v>56.2</v>
      </c>
      <c r="N6" s="45">
        <f t="shared" si="5"/>
        <v>64301.229999994772</v>
      </c>
      <c r="O6" s="19">
        <f>'3'!G20</f>
        <v>285</v>
      </c>
      <c r="P6" s="19">
        <v>108</v>
      </c>
      <c r="Q6" s="46">
        <f t="shared" si="0"/>
        <v>30780</v>
      </c>
      <c r="R6" s="47">
        <f t="shared" si="1"/>
        <v>276.64531158998255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89</v>
      </c>
      <c r="W6" s="22">
        <f>'3'!G66</f>
        <v>27</v>
      </c>
      <c r="X6" s="22">
        <f>'3'!G67</f>
        <v>29</v>
      </c>
      <c r="Y6" s="22">
        <f>V6+W6+X6</f>
        <v>145</v>
      </c>
      <c r="Z6" s="19">
        <f>'3'!G84</f>
        <v>9.7099999999991269</v>
      </c>
      <c r="AA6" s="19">
        <f>'3'!G85</f>
        <v>21.900000000000091</v>
      </c>
      <c r="AB6" s="19">
        <f>'3'!G86</f>
        <v>0.47000000000116415</v>
      </c>
      <c r="AC6" s="19">
        <f>'3'!G87</f>
        <v>0</v>
      </c>
      <c r="AD6" s="19">
        <f t="shared" si="8"/>
        <v>32.080000000000382</v>
      </c>
      <c r="AE6" s="23">
        <f t="shared" si="2"/>
        <v>6111.3000000001048</v>
      </c>
      <c r="AF6" s="23">
        <f t="shared" si="9"/>
        <v>190.50187032419052</v>
      </c>
      <c r="AG6" s="19">
        <f>'3'!G88</f>
        <v>-1</v>
      </c>
      <c r="AH6" s="19">
        <f>'3'!G89</f>
        <v>11</v>
      </c>
      <c r="AI6" s="19">
        <f>'3'!G90</f>
        <v>7.0599999999976717</v>
      </c>
      <c r="AJ6" s="19">
        <f t="shared" si="10"/>
        <v>17.059999999997672</v>
      </c>
      <c r="AK6" s="19">
        <f>'3'!G91</f>
        <v>0</v>
      </c>
      <c r="AL6" s="19">
        <f>'3'!G92</f>
        <v>11.409999999999854</v>
      </c>
      <c r="AM6" s="19"/>
      <c r="AN6" s="19">
        <f t="shared" si="11"/>
        <v>11.409999999999854</v>
      </c>
      <c r="AO6" s="52">
        <f>'3'!G74</f>
        <v>326.73000000009779</v>
      </c>
      <c r="AP6" s="55">
        <f>'3'!G35</f>
        <v>2060.3000000000029</v>
      </c>
      <c r="AQ6" s="19">
        <f>'3'!G37</f>
        <v>1609.3300000000163</v>
      </c>
      <c r="AR6" s="19">
        <f>'3'!G38</f>
        <v>2009.4599999999919</v>
      </c>
      <c r="AS6" s="19">
        <f>'3'!G39</f>
        <v>2891.5300000000279</v>
      </c>
      <c r="AT6" s="19">
        <f>'3'!G40</f>
        <v>0</v>
      </c>
      <c r="AU6" s="19">
        <f>'3'!G41</f>
        <v>1820.6000000000931</v>
      </c>
      <c r="AV6" s="19">
        <f>'3'!G42</f>
        <v>4264.679999999993</v>
      </c>
      <c r="AW6" s="19">
        <f>'3'!G43</f>
        <v>2707</v>
      </c>
      <c r="AX6" s="19">
        <f>'3'!G44</f>
        <v>0</v>
      </c>
      <c r="AY6" s="56">
        <f>'3'!G36</f>
        <v>1025.8800000000047</v>
      </c>
      <c r="AZ6" s="55">
        <f>'3'!G49</f>
        <v>1804.0999999999767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6.7400000000002365</v>
      </c>
      <c r="BE6" s="19">
        <f>'3'!G55</f>
        <v>0</v>
      </c>
      <c r="BF6" s="19">
        <f>'3'!G56</f>
        <v>26.020000000018626</v>
      </c>
      <c r="BG6" s="19">
        <f>'3'!G57</f>
        <v>0</v>
      </c>
      <c r="BH6" s="56">
        <f>'3'!G50</f>
        <v>1287.5200000000186</v>
      </c>
      <c r="BI6" s="60">
        <f t="shared" si="12"/>
        <v>6111.3000000001048</v>
      </c>
      <c r="BJ6" s="60">
        <f>'3'!G133</f>
        <v>845.04999999999563</v>
      </c>
      <c r="BK6" s="23">
        <f t="shared" si="13"/>
        <v>53.648710441970735</v>
      </c>
      <c r="BL6" s="23">
        <f t="shared" si="14"/>
        <v>12.231374683960993</v>
      </c>
      <c r="BM6" s="24">
        <f t="shared" si="15"/>
        <v>8.5001567240982873E-2</v>
      </c>
      <c r="BN6" s="25">
        <f t="shared" si="16"/>
        <v>307843.65999999491</v>
      </c>
      <c r="BO6" s="38">
        <f t="shared" si="17"/>
        <v>9663.3500000001004</v>
      </c>
      <c r="BP6">
        <f t="shared" si="18"/>
        <v>1.0758093605272516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0.68</v>
      </c>
      <c r="G7" s="19">
        <f>'4'!G7</f>
        <v>25174.280000000028</v>
      </c>
      <c r="H7" s="19">
        <f>'4'!G8</f>
        <v>25311.640000000014</v>
      </c>
      <c r="I7" s="19">
        <v>9</v>
      </c>
      <c r="J7" s="49">
        <f t="shared" si="3"/>
        <v>227804.76000000013</v>
      </c>
      <c r="K7" s="45">
        <f t="shared" si="4"/>
        <v>125.30514851485155</v>
      </c>
      <c r="L7" s="19">
        <f>'4'!G15</f>
        <v>1192.7600000000093</v>
      </c>
      <c r="M7" s="19">
        <v>56.2</v>
      </c>
      <c r="N7" s="45">
        <f t="shared" si="5"/>
        <v>67033.112000000532</v>
      </c>
      <c r="O7" s="19">
        <f>'4'!G20</f>
        <v>254</v>
      </c>
      <c r="P7" s="19">
        <v>108</v>
      </c>
      <c r="Q7" s="46">
        <f t="shared" si="0"/>
        <v>27432</v>
      </c>
      <c r="R7" s="47">
        <f t="shared" si="1"/>
        <v>184.91555037856725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109</v>
      </c>
      <c r="W7" s="22">
        <f>'4'!G66</f>
        <v>29</v>
      </c>
      <c r="X7" s="22">
        <f>'4'!G67</f>
        <v>32</v>
      </c>
      <c r="Y7" s="22">
        <f t="shared" si="7"/>
        <v>170</v>
      </c>
      <c r="Z7" s="19">
        <f>'4'!G84</f>
        <v>24.030000000006112</v>
      </c>
      <c r="AA7" s="19">
        <f>'4'!G85</f>
        <v>9.1300000000001091</v>
      </c>
      <c r="AB7" s="19">
        <f>'4'!G86</f>
        <v>0</v>
      </c>
      <c r="AC7" s="19">
        <f>'4'!G87</f>
        <v>0</v>
      </c>
      <c r="AD7" s="19">
        <f t="shared" si="8"/>
        <v>33.160000000006221</v>
      </c>
      <c r="AE7" s="23">
        <f t="shared" si="2"/>
        <v>6927.1499999999942</v>
      </c>
      <c r="AF7" s="23">
        <f t="shared" si="9"/>
        <v>208.90078407716209</v>
      </c>
      <c r="AG7" s="19">
        <f>'4'!G88</f>
        <v>10.260000000002037</v>
      </c>
      <c r="AH7" s="19">
        <f>'4'!G89</f>
        <v>-4.9999999999272404E-2</v>
      </c>
      <c r="AI7" s="19">
        <f>'4'!G90</f>
        <v>8.5800000000017462</v>
      </c>
      <c r="AJ7" s="19">
        <f t="shared" si="10"/>
        <v>18.790000000004511</v>
      </c>
      <c r="AK7" s="19">
        <f>'4'!G91</f>
        <v>0</v>
      </c>
      <c r="AL7" s="19">
        <f>'4'!G92</f>
        <v>10.569999999999709</v>
      </c>
      <c r="AM7" s="19"/>
      <c r="AN7" s="19">
        <f t="shared" si="11"/>
        <v>10.569999999999709</v>
      </c>
      <c r="AO7" s="52">
        <f>'4'!G74</f>
        <v>297.22999999998137</v>
      </c>
      <c r="AP7" s="55">
        <f>'4'!G35</f>
        <v>2246.8699999999953</v>
      </c>
      <c r="AQ7" s="19">
        <f>'4'!G37</f>
        <v>1690.6199999999953</v>
      </c>
      <c r="AR7" s="19">
        <f>'4'!G38</f>
        <v>2045.2200000000012</v>
      </c>
      <c r="AS7" s="19">
        <f>'4'!G39</f>
        <v>2998.7999999999884</v>
      </c>
      <c r="AT7" s="19">
        <f>'4'!G40</f>
        <v>7.9999999999998295E-2</v>
      </c>
      <c r="AU7" s="19">
        <f>'4'!G41</f>
        <v>5050.2399999999907</v>
      </c>
      <c r="AV7" s="19">
        <f>'4'!G42</f>
        <v>1853.0100000000093</v>
      </c>
      <c r="AW7" s="19">
        <f>'4'!G43</f>
        <v>2866.5</v>
      </c>
      <c r="AX7" s="19">
        <f>'4'!G44</f>
        <v>0</v>
      </c>
      <c r="AY7" s="56">
        <f>'4'!G36</f>
        <v>1057.8800000000047</v>
      </c>
      <c r="AZ7" s="55">
        <f>'4'!G49</f>
        <v>1874.9200000000128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6.6500000000000909</v>
      </c>
      <c r="BE7" s="19">
        <f>'4'!G55</f>
        <v>0</v>
      </c>
      <c r="BF7" s="19">
        <f>'4'!G56</f>
        <v>23.899999999994179</v>
      </c>
      <c r="BG7" s="19">
        <f>'4'!G57</f>
        <v>0</v>
      </c>
      <c r="BH7" s="56">
        <f>'4'!G50</f>
        <v>1403.2800000000279</v>
      </c>
      <c r="BI7" s="60">
        <f t="shared" si="12"/>
        <v>6927.1499999999942</v>
      </c>
      <c r="BJ7" s="60">
        <f>'3'!G133</f>
        <v>845.04999999999563</v>
      </c>
      <c r="BK7" s="23">
        <f t="shared" si="13"/>
        <v>54.976445619485716</v>
      </c>
      <c r="BL7" s="23">
        <f t="shared" si="14"/>
        <v>11.847513634043414</v>
      </c>
      <c r="BM7" s="24">
        <f t="shared" si="15"/>
        <v>8.0801560072757045E-2</v>
      </c>
      <c r="BN7" s="25">
        <f t="shared" si="16"/>
        <v>322269.87200000067</v>
      </c>
      <c r="BO7" s="38">
        <f t="shared" si="17"/>
        <v>10638.69999999999</v>
      </c>
      <c r="BP7">
        <f t="shared" si="18"/>
        <v>1.1458189729448123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0.55940000000000001</v>
      </c>
      <c r="G8" s="19">
        <f>'5'!G7</f>
        <v>23193.119999999995</v>
      </c>
      <c r="H8" s="19">
        <f>'5'!G8</f>
        <v>23337</v>
      </c>
      <c r="I8" s="19">
        <v>9</v>
      </c>
      <c r="J8" s="49">
        <f t="shared" si="3"/>
        <v>210033</v>
      </c>
      <c r="K8" s="45">
        <f t="shared" si="4"/>
        <v>115.52970297029702</v>
      </c>
      <c r="L8" s="19">
        <f>'5'!G15</f>
        <v>1192.2900000000373</v>
      </c>
      <c r="M8" s="19">
        <v>56.2</v>
      </c>
      <c r="N8" s="45">
        <f t="shared" si="5"/>
        <v>67006.698000002099</v>
      </c>
      <c r="O8" s="19">
        <f>'5'!G20</f>
        <v>253</v>
      </c>
      <c r="P8" s="19">
        <v>108</v>
      </c>
      <c r="Q8" s="46">
        <f t="shared" si="0"/>
        <v>27324</v>
      </c>
      <c r="R8" s="47">
        <f t="shared" si="1"/>
        <v>223.89618296831472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105</v>
      </c>
      <c r="W8" s="22">
        <f>'5'!G66</f>
        <v>26</v>
      </c>
      <c r="X8" s="22">
        <f>'5'!G67</f>
        <v>31</v>
      </c>
      <c r="Y8" s="22">
        <f t="shared" si="7"/>
        <v>162</v>
      </c>
      <c r="Z8" s="19">
        <f>'5'!G84</f>
        <v>11</v>
      </c>
      <c r="AA8" s="19">
        <f>'5'!G85</f>
        <v>13.189999999999827</v>
      </c>
      <c r="AB8" s="19">
        <f>'5'!G86</f>
        <v>0</v>
      </c>
      <c r="AC8" s="19">
        <f>'5'!G87</f>
        <v>7.1699999999982538</v>
      </c>
      <c r="AD8" s="19">
        <f t="shared" si="8"/>
        <v>31.359999999998081</v>
      </c>
      <c r="AE8" s="23">
        <f t="shared" si="2"/>
        <v>6031.6699999998382</v>
      </c>
      <c r="AF8" s="23">
        <f t="shared" si="9"/>
        <v>192.33641581633313</v>
      </c>
      <c r="AG8" s="19">
        <f>'5'!G88</f>
        <v>11.959999999999127</v>
      </c>
      <c r="AH8" s="19">
        <f>'5'!G89</f>
        <v>0</v>
      </c>
      <c r="AI8" s="19">
        <f>'5'!G90</f>
        <v>6.8899999999994179</v>
      </c>
      <c r="AJ8" s="19">
        <f t="shared" si="10"/>
        <v>18.849999999998545</v>
      </c>
      <c r="AK8" s="19">
        <f>'5'!G91</f>
        <v>0</v>
      </c>
      <c r="AL8" s="19">
        <f>'5'!G92</f>
        <v>11.409999999999854</v>
      </c>
      <c r="AM8" s="19"/>
      <c r="AN8" s="19">
        <f t="shared" si="11"/>
        <v>11.409999999999854</v>
      </c>
      <c r="AO8" s="52">
        <f>'5'!G74</f>
        <v>322.70999999996275</v>
      </c>
      <c r="AP8" s="55">
        <f>'5'!G35</f>
        <v>2200.9799999999959</v>
      </c>
      <c r="AQ8" s="19">
        <f>'5'!G37</f>
        <v>1646.2399999999907</v>
      </c>
      <c r="AR8" s="19">
        <f>'5'!G38</f>
        <v>1984.4200000000128</v>
      </c>
      <c r="AS8" s="19">
        <f>'5'!G39</f>
        <v>2790.5799999999581</v>
      </c>
      <c r="AT8" s="19">
        <f>'5'!G40</f>
        <v>0</v>
      </c>
      <c r="AU8" s="19">
        <f>'5'!G41</f>
        <v>2145.5199999999022</v>
      </c>
      <c r="AV8" s="19">
        <f>'5'!G42</f>
        <v>2605.5099999999511</v>
      </c>
      <c r="AW8" s="19">
        <f>'5'!G43</f>
        <v>2729.4000000001397</v>
      </c>
      <c r="AX8" s="19">
        <f>'5'!G44</f>
        <v>0</v>
      </c>
      <c r="AY8" s="56">
        <f>'5'!G36</f>
        <v>864.0399999999936</v>
      </c>
      <c r="AZ8" s="55">
        <f>'5'!G49</f>
        <v>1686.4199999999837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6.8899999999998727</v>
      </c>
      <c r="BE8" s="19">
        <f>'5'!G55</f>
        <v>0</v>
      </c>
      <c r="BF8" s="19">
        <f>'5'!G56</f>
        <v>1280.6399999999849</v>
      </c>
      <c r="BG8" s="19">
        <f>'5'!G57</f>
        <v>0</v>
      </c>
      <c r="BH8" s="56">
        <f>'5'!G50</f>
        <v>1235.6799999999348</v>
      </c>
      <c r="BI8" s="60">
        <f t="shared" si="12"/>
        <v>6031.6699999998382</v>
      </c>
      <c r="BJ8" s="60">
        <f>'5'!G133</f>
        <v>857.55000000000291</v>
      </c>
      <c r="BK8" s="23">
        <f t="shared" si="13"/>
        <v>54.199211552470146</v>
      </c>
      <c r="BL8" s="23">
        <f t="shared" si="14"/>
        <v>11.957749496507512</v>
      </c>
      <c r="BM8" s="24">
        <f t="shared" si="15"/>
        <v>8.5033209067147134E-2</v>
      </c>
      <c r="BN8" s="25">
        <f t="shared" si="16"/>
        <v>304363.69800000207</v>
      </c>
      <c r="BO8" s="38">
        <f t="shared" si="17"/>
        <v>9618.6199999999808</v>
      </c>
      <c r="BP8">
        <f t="shared" si="18"/>
        <v>1.09541499635575</v>
      </c>
    </row>
    <row r="9" spans="1:69" x14ac:dyDescent="0.25">
      <c r="A9" s="16">
        <v>6</v>
      </c>
      <c r="B9" s="17">
        <v>6</v>
      </c>
      <c r="C9" s="26"/>
      <c r="D9" s="19">
        <f>'6'!D3</f>
        <v>28</v>
      </c>
      <c r="E9" s="50">
        <f>'6'!D4</f>
        <v>0.79</v>
      </c>
      <c r="F9" s="50">
        <f>'6'!D2</f>
        <v>0.56000000000000005</v>
      </c>
      <c r="G9" s="19">
        <f>'6'!G7</f>
        <v>22011.920000000042</v>
      </c>
      <c r="H9" s="19">
        <f>'6'!G8</f>
        <v>22125.119999999995</v>
      </c>
      <c r="I9" s="19">
        <v>9</v>
      </c>
      <c r="J9" s="49">
        <f t="shared" si="3"/>
        <v>199126.07999999996</v>
      </c>
      <c r="K9" s="45">
        <f t="shared" si="4"/>
        <v>109.53029702970295</v>
      </c>
      <c r="L9" s="19">
        <f>'6'!G15</f>
        <v>1123.0200000000186</v>
      </c>
      <c r="M9" s="19">
        <v>56.2</v>
      </c>
      <c r="N9" s="45">
        <f t="shared" si="5"/>
        <v>63113.72400000105</v>
      </c>
      <c r="O9" s="19">
        <f>'6'!G20</f>
        <v>253</v>
      </c>
      <c r="P9" s="19">
        <v>108</v>
      </c>
      <c r="Q9" s="46">
        <f t="shared" si="0"/>
        <v>27324</v>
      </c>
      <c r="R9" s="47">
        <f t="shared" si="1"/>
        <v>223.65629420084866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88</v>
      </c>
      <c r="W9" s="22">
        <f>'6'!G66</f>
        <v>16</v>
      </c>
      <c r="X9" s="22">
        <f>'6'!G67</f>
        <v>25</v>
      </c>
      <c r="Y9" s="22">
        <f t="shared" si="7"/>
        <v>129</v>
      </c>
      <c r="Z9" s="19">
        <f>'6'!G84</f>
        <v>1.9599999999991269</v>
      </c>
      <c r="AA9" s="19">
        <f>'6'!G85</f>
        <v>16.509999999999991</v>
      </c>
      <c r="AB9" s="19">
        <f>'6'!G86</f>
        <v>0</v>
      </c>
      <c r="AC9" s="19">
        <f>'6'!G87</f>
        <v>6.9199999999982538</v>
      </c>
      <c r="AD9" s="19">
        <f t="shared" si="8"/>
        <v>25.389999999997372</v>
      </c>
      <c r="AE9" s="23">
        <f t="shared" si="2"/>
        <v>5338.6400000000722</v>
      </c>
      <c r="AF9" s="23">
        <f t="shared" si="9"/>
        <v>210.26545884208841</v>
      </c>
      <c r="AG9" s="19">
        <f>'6'!G88</f>
        <v>0</v>
      </c>
      <c r="AH9" s="19">
        <f>'6'!G89</f>
        <v>10.290000000000873</v>
      </c>
      <c r="AI9" s="19">
        <f>'6'!G90</f>
        <v>8.6900000000023283</v>
      </c>
      <c r="AJ9" s="19">
        <f t="shared" si="10"/>
        <v>18.980000000003201</v>
      </c>
      <c r="AK9" s="19">
        <f>'6'!G91</f>
        <v>0</v>
      </c>
      <c r="AL9" s="19">
        <f>'6'!G92</f>
        <v>10.910000000000764</v>
      </c>
      <c r="AM9" s="19"/>
      <c r="AN9" s="19">
        <f t="shared" si="11"/>
        <v>10.910000000000764</v>
      </c>
      <c r="AO9" s="52">
        <f>'6'!G74</f>
        <v>312.48999999999069</v>
      </c>
      <c r="AP9" s="55">
        <f>'6'!G35</f>
        <v>1941.5200000000041</v>
      </c>
      <c r="AQ9" s="19">
        <f>'6'!G37</f>
        <v>1618.5499999999884</v>
      </c>
      <c r="AR9" s="19">
        <f>'6'!G38</f>
        <v>1899.6999999999825</v>
      </c>
      <c r="AS9" s="19">
        <f>'6'!G39</f>
        <v>2851.320000000007</v>
      </c>
      <c r="AT9" s="19">
        <f>'6'!G40</f>
        <v>2.0000000000010232E-2</v>
      </c>
      <c r="AU9" s="19">
        <f>'6'!G41</f>
        <v>370.32000000006519</v>
      </c>
      <c r="AV9" s="19">
        <f>'6'!G42</f>
        <v>3132.320000000007</v>
      </c>
      <c r="AW9" s="19">
        <f>'6'!G43</f>
        <v>2429.0999999998603</v>
      </c>
      <c r="AX9" s="19">
        <f>'6'!G44</f>
        <v>0</v>
      </c>
      <c r="AY9" s="56">
        <f>'6'!G36</f>
        <v>769.57000000000698</v>
      </c>
      <c r="AZ9" s="55">
        <f>'6'!G49</f>
        <v>1615.7799999999988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6.7799999999997453</v>
      </c>
      <c r="BE9" s="19">
        <f>'6'!G55</f>
        <v>0</v>
      </c>
      <c r="BF9" s="19">
        <f>'6'!G56</f>
        <v>1836</v>
      </c>
      <c r="BG9" s="19">
        <f>'6'!G57</f>
        <v>0</v>
      </c>
      <c r="BH9" s="56">
        <f>'6'!G50</f>
        <v>1486.640000000014</v>
      </c>
      <c r="BI9" s="60">
        <f t="shared" si="12"/>
        <v>5338.6400000000722</v>
      </c>
      <c r="BJ9" s="60">
        <f>'6'!G133</f>
        <v>842.66999999999825</v>
      </c>
      <c r="BK9" s="23">
        <f t="shared" si="13"/>
        <v>51.18634384807828</v>
      </c>
      <c r="BL9" s="23">
        <f t="shared" si="14"/>
        <v>12.887252136937597</v>
      </c>
      <c r="BM9" s="24">
        <f t="shared" si="15"/>
        <v>8.5861681202180282E-2</v>
      </c>
      <c r="BN9" s="25">
        <f t="shared" si="16"/>
        <v>289563.80400000099</v>
      </c>
      <c r="BO9" s="38">
        <f t="shared" si="17"/>
        <v>8610.4099999999307</v>
      </c>
      <c r="BP9">
        <f t="shared" si="18"/>
        <v>1.2111644066844121</v>
      </c>
    </row>
    <row r="10" spans="1:69" x14ac:dyDescent="0.25">
      <c r="A10" s="16">
        <v>7</v>
      </c>
      <c r="B10" s="26">
        <v>7</v>
      </c>
      <c r="C10" s="27"/>
      <c r="D10" s="19">
        <f>'7'!D3</f>
        <v>28</v>
      </c>
      <c r="E10" s="50">
        <f>'7'!D4</f>
        <v>0.9</v>
      </c>
      <c r="F10" s="50">
        <f>'7'!D2</f>
        <v>0.98</v>
      </c>
      <c r="G10" s="19">
        <f>'7'!G7</f>
        <v>24817.479999999981</v>
      </c>
      <c r="H10" s="19">
        <f>'7'!G8</f>
        <v>25247.520000000019</v>
      </c>
      <c r="I10" s="19">
        <v>9</v>
      </c>
      <c r="J10" s="49">
        <f t="shared" si="3"/>
        <v>227227.68000000017</v>
      </c>
      <c r="K10" s="45">
        <f t="shared" si="4"/>
        <v>124.98772277227732</v>
      </c>
      <c r="L10" s="19">
        <f>'7'!G15</f>
        <v>1194.9699999999721</v>
      </c>
      <c r="M10" s="19">
        <v>56.2</v>
      </c>
      <c r="N10" s="45">
        <f t="shared" si="5"/>
        <v>67157.313999998427</v>
      </c>
      <c r="O10" s="19">
        <f>'7'!G20</f>
        <v>233</v>
      </c>
      <c r="P10" s="19">
        <v>108</v>
      </c>
      <c r="Q10" s="46">
        <f t="shared" si="0"/>
        <v>25164</v>
      </c>
      <c r="R10" s="47">
        <f t="shared" si="1"/>
        <v>117.70054556476056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102</v>
      </c>
      <c r="W10" s="22">
        <f>'7'!G66</f>
        <v>17</v>
      </c>
      <c r="X10" s="22">
        <f>'7'!G67</f>
        <v>31</v>
      </c>
      <c r="Y10" s="22">
        <f t="shared" si="7"/>
        <v>150</v>
      </c>
      <c r="Z10" s="19">
        <f>'7'!G84</f>
        <v>0.5</v>
      </c>
      <c r="AA10" s="19">
        <f>'7'!G85</f>
        <v>9.4100000000000819</v>
      </c>
      <c r="AB10" s="19">
        <f>'7'!G86</f>
        <v>0</v>
      </c>
      <c r="AC10" s="19">
        <f>'7'!G87</f>
        <v>24.090000000003783</v>
      </c>
      <c r="AD10" s="19">
        <f t="shared" si="8"/>
        <v>34.000000000003865</v>
      </c>
      <c r="AE10" s="23">
        <f t="shared" si="2"/>
        <v>6499.3400000000256</v>
      </c>
      <c r="AF10" s="23">
        <f t="shared" si="9"/>
        <v>191.15705882350844</v>
      </c>
      <c r="AG10" s="19">
        <f>'7'!G88</f>
        <v>10.450000000000728</v>
      </c>
      <c r="AH10" s="19">
        <f>'7'!G89</f>
        <v>0</v>
      </c>
      <c r="AI10" s="19">
        <f>'7'!G90</f>
        <v>7.1199999999953434</v>
      </c>
      <c r="AJ10" s="19">
        <f t="shared" si="10"/>
        <v>17.569999999996071</v>
      </c>
      <c r="AK10" s="19">
        <f>'7'!G91</f>
        <v>0</v>
      </c>
      <c r="AL10" s="19">
        <f>'7'!G92</f>
        <v>11.4399999999996</v>
      </c>
      <c r="AM10" s="19"/>
      <c r="AN10" s="19">
        <f t="shared" si="11"/>
        <v>11.4399999999996</v>
      </c>
      <c r="AO10" s="52">
        <f>'7'!G74</f>
        <v>328.9100000000326</v>
      </c>
      <c r="AP10" s="55">
        <f>'7'!G35</f>
        <v>2051.1600000000035</v>
      </c>
      <c r="AQ10" s="19">
        <f>'7'!G37</f>
        <v>1673.2900000000081</v>
      </c>
      <c r="AR10" s="19">
        <f>'7'!G38</f>
        <v>1948.2000000000116</v>
      </c>
      <c r="AS10" s="19">
        <f>'7'!G39</f>
        <v>3056.679999999993</v>
      </c>
      <c r="AT10" s="19">
        <f>'7'!G40</f>
        <v>0.15999999999999659</v>
      </c>
      <c r="AU10" s="19">
        <f>'7'!G41</f>
        <v>0</v>
      </c>
      <c r="AV10" s="19">
        <f>'7'!G42</f>
        <v>1780.2200000000303</v>
      </c>
      <c r="AW10" s="19">
        <f>'7'!G43</f>
        <v>2942.2000000001863</v>
      </c>
      <c r="AX10" s="19">
        <f>'7'!G44</f>
        <v>0</v>
      </c>
      <c r="AY10" s="56">
        <f>'7'!G36</f>
        <v>1145.6899999999878</v>
      </c>
      <c r="AZ10" s="55">
        <f>'7'!G49</f>
        <v>1692.820000000007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5.7899999999999636</v>
      </c>
      <c r="BE10" s="19">
        <f>'7'!G55</f>
        <v>0</v>
      </c>
      <c r="BF10" s="19">
        <f>'7'!G56</f>
        <v>4719.1199999999953</v>
      </c>
      <c r="BG10" s="19">
        <f>'7'!G57</f>
        <v>0</v>
      </c>
      <c r="BH10" s="56">
        <f>'7'!G50</f>
        <v>1598.4799999999814</v>
      </c>
      <c r="BI10" s="60">
        <f t="shared" si="12"/>
        <v>6499.3400000000256</v>
      </c>
      <c r="BJ10" s="60">
        <f>'7'!G133</f>
        <v>836.86999999999534</v>
      </c>
      <c r="BK10" s="23">
        <f t="shared" si="13"/>
        <v>52.225010614904797</v>
      </c>
      <c r="BL10" s="23">
        <f t="shared" si="14"/>
        <v>12.10685247501533</v>
      </c>
      <c r="BM10" s="24">
        <f t="shared" si="15"/>
        <v>7.7164014524991373E-2</v>
      </c>
      <c r="BN10" s="25">
        <f t="shared" si="16"/>
        <v>319548.99399999861</v>
      </c>
      <c r="BO10" s="38">
        <f t="shared" si="17"/>
        <v>10278.410000000207</v>
      </c>
      <c r="BP10">
        <f t="shared" si="18"/>
        <v>1.0796649159662857</v>
      </c>
    </row>
    <row r="11" spans="1:69" x14ac:dyDescent="0.25">
      <c r="A11" s="16">
        <v>8</v>
      </c>
      <c r="B11" s="26">
        <v>8</v>
      </c>
      <c r="C11" s="18"/>
      <c r="D11" s="19">
        <f>'8'!D3</f>
        <v>28</v>
      </c>
      <c r="E11" s="50">
        <f>'8'!D4</f>
        <v>0.9</v>
      </c>
      <c r="F11" s="50">
        <f>'8'!D2</f>
        <v>0.55000000000000004</v>
      </c>
      <c r="G11" s="19">
        <f>'8'!G7</f>
        <v>24146.640000000014</v>
      </c>
      <c r="H11" s="19">
        <f>'8'!G8</f>
        <v>24742.319999999949</v>
      </c>
      <c r="I11" s="19">
        <v>9</v>
      </c>
      <c r="J11" s="49">
        <f t="shared" si="3"/>
        <v>222680.87999999954</v>
      </c>
      <c r="K11" s="45">
        <f t="shared" si="4"/>
        <v>122.48673267326707</v>
      </c>
      <c r="L11" s="19">
        <f>'8'!G15</f>
        <v>1247.3700000001118</v>
      </c>
      <c r="M11" s="19">
        <v>56.2</v>
      </c>
      <c r="N11" s="45">
        <f t="shared" si="5"/>
        <v>70102.19400000629</v>
      </c>
      <c r="O11" s="19">
        <f>'8'!G20</f>
        <v>273</v>
      </c>
      <c r="P11" s="19">
        <v>108</v>
      </c>
      <c r="Q11" s="46">
        <f t="shared" si="0"/>
        <v>29484</v>
      </c>
      <c r="R11" s="47">
        <f t="shared" si="1"/>
        <v>245.72457245724573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113</v>
      </c>
      <c r="W11" s="22">
        <f>'8'!G66</f>
        <v>19</v>
      </c>
      <c r="X11" s="22">
        <f>'8'!G67</f>
        <v>29</v>
      </c>
      <c r="Y11" s="22">
        <f t="shared" si="7"/>
        <v>161</v>
      </c>
      <c r="Z11" s="19">
        <f>'8'!G84</f>
        <v>0</v>
      </c>
      <c r="AA11" s="19">
        <f>'8'!G85</f>
        <v>8.7100000000000364</v>
      </c>
      <c r="AB11" s="19">
        <f>'8'!G86</f>
        <v>0</v>
      </c>
      <c r="AC11" s="19">
        <f>'8'!G87</f>
        <v>24.659999999996217</v>
      </c>
      <c r="AD11" s="19">
        <f t="shared" si="8"/>
        <v>33.369999999996253</v>
      </c>
      <c r="AE11" s="23">
        <f t="shared" si="2"/>
        <v>6030.9800000000105</v>
      </c>
      <c r="AF11" s="23">
        <f t="shared" si="9"/>
        <v>180.7305963440422</v>
      </c>
      <c r="AG11" s="19">
        <f>'8'!G88</f>
        <v>0</v>
      </c>
      <c r="AH11" s="19">
        <f>'8'!G89</f>
        <v>11.079999999998108</v>
      </c>
      <c r="AI11" s="19">
        <f>'8'!G90</f>
        <v>9.0899999999965075</v>
      </c>
      <c r="AJ11" s="19">
        <f t="shared" si="10"/>
        <v>20.169999999994616</v>
      </c>
      <c r="AK11" s="19">
        <f>'8'!G91</f>
        <v>0</v>
      </c>
      <c r="AL11" s="19">
        <f>'8'!G92</f>
        <v>11.479999999999563</v>
      </c>
      <c r="AM11" s="19"/>
      <c r="AN11" s="19">
        <f t="shared" si="11"/>
        <v>11.479999999999563</v>
      </c>
      <c r="AO11" s="52">
        <f>'8'!G74</f>
        <v>325.07999999995809</v>
      </c>
      <c r="AP11" s="55">
        <f>'8'!G35</f>
        <v>2181.6699999999983</v>
      </c>
      <c r="AQ11" s="19">
        <f>'8'!G37</f>
        <v>1652.3000000000175</v>
      </c>
      <c r="AR11" s="19">
        <f>'8'!G38</f>
        <v>1942.1999999999825</v>
      </c>
      <c r="AS11" s="19">
        <f>'8'!G39</f>
        <v>2854.320000000007</v>
      </c>
      <c r="AT11" s="19">
        <f>'8'!G40</f>
        <v>0.96999999999999886</v>
      </c>
      <c r="AU11" s="19">
        <f>'8'!G41</f>
        <v>0</v>
      </c>
      <c r="AV11" s="19">
        <f>'8'!G42</f>
        <v>1508.179999999993</v>
      </c>
      <c r="AW11" s="19">
        <f>'8'!G43</f>
        <v>2990.8999999999069</v>
      </c>
      <c r="AX11" s="23">
        <f>'8'!G44</f>
        <v>0</v>
      </c>
      <c r="AY11" s="56">
        <f>'8'!G36</f>
        <v>1254.5600000000122</v>
      </c>
      <c r="AZ11" s="55">
        <f>'8'!G49</f>
        <v>1767.2000000000116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4.4700000000002547</v>
      </c>
      <c r="BE11" s="19">
        <f>'8'!G55</f>
        <v>0</v>
      </c>
      <c r="BF11" s="19">
        <f>'8'!G56</f>
        <v>4522.8000000000175</v>
      </c>
      <c r="BG11" s="19">
        <f>'8'!G57</f>
        <v>0</v>
      </c>
      <c r="BH11" s="56">
        <f>'8'!G50</f>
        <v>1320.640000000014</v>
      </c>
      <c r="BI11" s="60">
        <f t="shared" si="12"/>
        <v>6030.9800000000105</v>
      </c>
      <c r="BJ11" s="60">
        <f>'8'!G133</f>
        <v>838.88999999999942</v>
      </c>
      <c r="BK11" s="23">
        <f t="shared" si="13"/>
        <v>52.423337827657043</v>
      </c>
      <c r="BL11" s="23">
        <f t="shared" si="14"/>
        <v>11.536185774009926</v>
      </c>
      <c r="BM11" s="24">
        <f t="shared" si="15"/>
        <v>7.8497085156120625E-2</v>
      </c>
      <c r="BN11" s="25">
        <f t="shared" si="16"/>
        <v>322267.07400000584</v>
      </c>
      <c r="BO11" s="38">
        <f t="shared" si="17"/>
        <v>9860.7699999999168</v>
      </c>
      <c r="BP11">
        <f t="shared" si="18"/>
        <v>1.055350186223835</v>
      </c>
    </row>
    <row r="12" spans="1:69" x14ac:dyDescent="0.25">
      <c r="A12" s="16">
        <v>9</v>
      </c>
      <c r="B12" s="27">
        <v>9</v>
      </c>
      <c r="C12" s="26"/>
      <c r="D12" s="19">
        <f>'9'!D3</f>
        <v>24</v>
      </c>
      <c r="E12" s="50">
        <f>'9'!D4</f>
        <v>0.78</v>
      </c>
      <c r="F12" s="50">
        <f>'9'!D2</f>
        <v>0.87</v>
      </c>
      <c r="G12" s="19">
        <f>'9'!G7</f>
        <v>24961.329999999958</v>
      </c>
      <c r="H12" s="19">
        <f>'9'!G8</f>
        <v>25427.130000000005</v>
      </c>
      <c r="I12" s="19">
        <v>9</v>
      </c>
      <c r="J12" s="49">
        <f t="shared" si="3"/>
        <v>228844.17000000004</v>
      </c>
      <c r="K12" s="45">
        <f t="shared" si="4"/>
        <v>125.87688118811883</v>
      </c>
      <c r="L12" s="19">
        <f>'9'!G15</f>
        <v>1195.1999999999534</v>
      </c>
      <c r="M12" s="19">
        <v>56.2</v>
      </c>
      <c r="N12" s="45">
        <f t="shared" si="5"/>
        <v>67170.239999997386</v>
      </c>
      <c r="O12" s="19">
        <f>'9'!G20</f>
        <v>295</v>
      </c>
      <c r="P12" s="19">
        <v>108</v>
      </c>
      <c r="Q12" s="46">
        <f t="shared" si="0"/>
        <v>31860</v>
      </c>
      <c r="R12" s="47">
        <f t="shared" si="1"/>
        <v>167.86161374758166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132</v>
      </c>
      <c r="W12" s="22">
        <f>'9'!G66</f>
        <v>14</v>
      </c>
      <c r="X12" s="22">
        <f>'9'!G67</f>
        <v>34</v>
      </c>
      <c r="Y12" s="22">
        <f t="shared" si="7"/>
        <v>180</v>
      </c>
      <c r="Z12" s="19">
        <f>'9'!G84</f>
        <v>0</v>
      </c>
      <c r="AA12" s="19">
        <f>'9'!G85</f>
        <v>23.779999999999973</v>
      </c>
      <c r="AB12" s="19">
        <f>'9'!G86</f>
        <v>0</v>
      </c>
      <c r="AC12" s="19">
        <f>'9'!G87</f>
        <v>8.4200000000055297</v>
      </c>
      <c r="AD12" s="19">
        <f t="shared" si="8"/>
        <v>32.200000000005502</v>
      </c>
      <c r="AE12" s="23">
        <f t="shared" si="2"/>
        <v>6457.789999999979</v>
      </c>
      <c r="AF12" s="23">
        <f t="shared" si="9"/>
        <v>200.55248447201475</v>
      </c>
      <c r="AG12" s="19">
        <f>'9'!G88</f>
        <v>-0.15000000000145519</v>
      </c>
      <c r="AH12" s="19">
        <f>'9'!G89</f>
        <v>11.81000000000131</v>
      </c>
      <c r="AI12" s="19">
        <f>'9'!G90</f>
        <v>6.7300000000104774</v>
      </c>
      <c r="AJ12" s="19">
        <f t="shared" si="10"/>
        <v>18.390000000010332</v>
      </c>
      <c r="AK12" s="19">
        <f>'9'!G91</f>
        <v>0</v>
      </c>
      <c r="AL12" s="19">
        <f>'9'!G92</f>
        <v>10.8100000000004</v>
      </c>
      <c r="AM12" s="19"/>
      <c r="AN12" s="19">
        <f t="shared" si="11"/>
        <v>10.8100000000004</v>
      </c>
      <c r="AO12" s="52">
        <f>'9'!G74</f>
        <v>315.65000000002328</v>
      </c>
      <c r="AP12" s="55">
        <f>'9'!G35</f>
        <v>2076.6999999999971</v>
      </c>
      <c r="AQ12" s="19">
        <f>'9'!G37</f>
        <v>1667.0799999999872</v>
      </c>
      <c r="AR12" s="19">
        <f>'9'!G38</f>
        <v>2054.2300000000105</v>
      </c>
      <c r="AS12" s="19">
        <f>'9'!G39</f>
        <v>2940.7700000000186</v>
      </c>
      <c r="AT12" s="19">
        <f>'9'!G40</f>
        <v>-3.0000000000001137E-2</v>
      </c>
      <c r="AU12" s="19">
        <f>'9'!G41</f>
        <v>-0.39000000001396984</v>
      </c>
      <c r="AV12" s="19">
        <f>'9'!G42</f>
        <v>4722.3099999999977</v>
      </c>
      <c r="AW12" s="19">
        <f>'9'!G43</f>
        <v>2717.5</v>
      </c>
      <c r="AX12" s="23">
        <f>'9'!G44</f>
        <v>0</v>
      </c>
      <c r="AY12" s="56">
        <f>'9'!G36</f>
        <v>1286.679999999993</v>
      </c>
      <c r="AZ12" s="55">
        <f>'9'!G49</f>
        <v>1765.8699999999953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4.0599999999999454</v>
      </c>
      <c r="BE12" s="19">
        <f>'9'!G55</f>
        <v>0</v>
      </c>
      <c r="BF12" s="19">
        <f>'9'!G56</f>
        <v>1735.8699999999953</v>
      </c>
      <c r="BG12" s="19">
        <f>'9'!G57</f>
        <v>0</v>
      </c>
      <c r="BH12" s="56">
        <f>'9'!G50</f>
        <v>1723.4100000000326</v>
      </c>
      <c r="BI12" s="60">
        <f t="shared" si="12"/>
        <v>6457.789999999979</v>
      </c>
      <c r="BJ12" s="60">
        <f>'8'!G133</f>
        <v>838.88999999999942</v>
      </c>
      <c r="BK12" s="23">
        <f t="shared" si="13"/>
        <v>51.196733567649865</v>
      </c>
      <c r="BL12" s="23">
        <f t="shared" si="14"/>
        <v>11.565481436560155</v>
      </c>
      <c r="BM12" s="24">
        <f t="shared" si="15"/>
        <v>8.0788905393570185E-2</v>
      </c>
      <c r="BN12" s="25">
        <f t="shared" si="16"/>
        <v>327874.40999999741</v>
      </c>
      <c r="BO12" s="38">
        <f t="shared" si="17"/>
        <v>10014.179999999978</v>
      </c>
      <c r="BP12">
        <f t="shared" si="18"/>
        <v>1.1107120674354778</v>
      </c>
    </row>
    <row r="13" spans="1:69" x14ac:dyDescent="0.25">
      <c r="A13" s="16">
        <v>10</v>
      </c>
      <c r="B13" s="27">
        <v>10</v>
      </c>
      <c r="C13" s="26"/>
      <c r="D13" s="19">
        <f>'10'!D3</f>
        <v>26</v>
      </c>
      <c r="E13" s="50">
        <f>'10'!D4</f>
        <v>0.78</v>
      </c>
      <c r="F13" s="50">
        <f>'10'!D2</f>
        <v>0.91</v>
      </c>
      <c r="G13" s="19">
        <f>'10'!G7</f>
        <v>23939</v>
      </c>
      <c r="H13" s="19">
        <f>'10'!G8</f>
        <v>24380</v>
      </c>
      <c r="I13" s="19">
        <v>9</v>
      </c>
      <c r="J13" s="49">
        <f t="shared" si="3"/>
        <v>219420</v>
      </c>
      <c r="K13" s="45">
        <f t="shared" si="4"/>
        <v>120.6930693069307</v>
      </c>
      <c r="L13" s="19">
        <f>'10'!G15</f>
        <v>1193</v>
      </c>
      <c r="M13" s="19">
        <v>56.2</v>
      </c>
      <c r="N13" s="45">
        <f t="shared" si="5"/>
        <v>67046.600000000006</v>
      </c>
      <c r="O13" s="19">
        <f>'10'!G20</f>
        <v>271</v>
      </c>
      <c r="P13" s="19">
        <v>108</v>
      </c>
      <c r="Q13" s="46">
        <f t="shared" si="0"/>
        <v>29268</v>
      </c>
      <c r="R13" s="47">
        <f t="shared" si="1"/>
        <v>147.42683059514744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106</v>
      </c>
      <c r="W13" s="22">
        <f>'10'!G66</f>
        <v>14</v>
      </c>
      <c r="X13" s="22">
        <f>'10'!G67</f>
        <v>29</v>
      </c>
      <c r="Y13" s="22">
        <f t="shared" si="7"/>
        <v>149</v>
      </c>
      <c r="Z13" s="19">
        <f>'10'!G84</f>
        <v>0</v>
      </c>
      <c r="AA13" s="19">
        <f>'10'!G85</f>
        <v>24</v>
      </c>
      <c r="AB13" s="19">
        <f>'10'!G86</f>
        <v>0</v>
      </c>
      <c r="AC13" s="19">
        <f>'10'!G87</f>
        <v>7.4499999999970896</v>
      </c>
      <c r="AD13" s="19">
        <f t="shared" si="8"/>
        <v>31.44999999999709</v>
      </c>
      <c r="AE13" s="23">
        <f t="shared" si="2"/>
        <v>6306</v>
      </c>
      <c r="AF13" s="23">
        <f t="shared" si="9"/>
        <v>200.50874403817437</v>
      </c>
      <c r="AG13" s="19">
        <f>'10'!G88</f>
        <v>0</v>
      </c>
      <c r="AH13" s="19">
        <f>'10'!G89</f>
        <v>12</v>
      </c>
      <c r="AI13" s="19">
        <f>'10'!G90</f>
        <v>5.0399999999935972</v>
      </c>
      <c r="AJ13" s="19">
        <f t="shared" si="10"/>
        <v>17.039999999993597</v>
      </c>
      <c r="AK13" s="19">
        <f>'10'!G91</f>
        <v>0</v>
      </c>
      <c r="AL13" s="19">
        <f>'10'!G92</f>
        <v>11.5</v>
      </c>
      <c r="AM13" s="19"/>
      <c r="AN13" s="19">
        <f t="shared" si="11"/>
        <v>11.5</v>
      </c>
      <c r="AO13" s="52">
        <f>'10'!G74</f>
        <v>322</v>
      </c>
      <c r="AP13" s="55">
        <f>'10'!G35</f>
        <v>2201</v>
      </c>
      <c r="AQ13" s="19">
        <f>'10'!G37</f>
        <v>1651</v>
      </c>
      <c r="AR13" s="19">
        <f>'10'!G38</f>
        <v>2011</v>
      </c>
      <c r="AS13" s="19">
        <f>'10'!G39</f>
        <v>2918</v>
      </c>
      <c r="AT13" s="19">
        <f>'10'!G40</f>
        <v>0</v>
      </c>
      <c r="AU13" s="19">
        <f>'10'!G41</f>
        <v>0</v>
      </c>
      <c r="AV13" s="19">
        <f>'10'!G42</f>
        <v>4784</v>
      </c>
      <c r="AW13" s="19">
        <f>'10'!G43</f>
        <v>2734</v>
      </c>
      <c r="AX13" s="23">
        <f>'10'!G44</f>
        <v>0</v>
      </c>
      <c r="AY13" s="56">
        <f>'10'!G36</f>
        <v>953</v>
      </c>
      <c r="AZ13" s="55">
        <f>'10'!G49</f>
        <v>1788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</v>
      </c>
      <c r="BE13" s="19">
        <f>'10'!G55</f>
        <v>0</v>
      </c>
      <c r="BF13" s="19">
        <f>'10'!G56</f>
        <v>1522</v>
      </c>
      <c r="BG13" s="19">
        <f>'10'!G57</f>
        <v>0</v>
      </c>
      <c r="BH13" s="56">
        <f>'10'!G50</f>
        <v>1333</v>
      </c>
      <c r="BI13" s="60">
        <f t="shared" si="12"/>
        <v>6306</v>
      </c>
      <c r="BJ13" s="60">
        <f>'8'!G133</f>
        <v>838.88999999999942</v>
      </c>
      <c r="BK13" s="23">
        <f t="shared" si="13"/>
        <v>53.441345365053323</v>
      </c>
      <c r="BL13" s="23">
        <f t="shared" si="14"/>
        <v>11.968826907301066</v>
      </c>
      <c r="BM13" s="24">
        <f t="shared" si="15"/>
        <v>8.2485643970467593E-2</v>
      </c>
      <c r="BN13" s="25">
        <f t="shared" si="16"/>
        <v>315734.59999999998</v>
      </c>
      <c r="BO13" s="38">
        <f t="shared" si="17"/>
        <v>9878.89</v>
      </c>
      <c r="BP13">
        <f t="shared" si="18"/>
        <v>1.1218362480128223</v>
      </c>
    </row>
    <row r="14" spans="1:69" x14ac:dyDescent="0.25">
      <c r="A14" s="16">
        <v>11</v>
      </c>
      <c r="B14" s="17">
        <v>11</v>
      </c>
      <c r="C14" s="27"/>
      <c r="D14" s="19">
        <f>'11'!D3</f>
        <v>27</v>
      </c>
      <c r="E14" s="50">
        <f>'11'!D4</f>
        <v>0.78</v>
      </c>
      <c r="F14" s="50">
        <f>'11'!D2</f>
        <v>0.76</v>
      </c>
      <c r="G14" s="19">
        <f>'11'!G7</f>
        <v>23964</v>
      </c>
      <c r="H14" s="19">
        <f>'11'!G8</f>
        <v>24441</v>
      </c>
      <c r="I14" s="19">
        <v>9</v>
      </c>
      <c r="J14" s="49">
        <f t="shared" si="3"/>
        <v>219969</v>
      </c>
      <c r="K14" s="45">
        <f t="shared" si="4"/>
        <v>120.9950495049505</v>
      </c>
      <c r="L14" s="19">
        <f>'11'!G15</f>
        <v>1164</v>
      </c>
      <c r="M14" s="19">
        <v>56.2</v>
      </c>
      <c r="N14" s="45">
        <f t="shared" si="5"/>
        <v>65416.800000000003</v>
      </c>
      <c r="O14" s="19">
        <f>'11'!G20</f>
        <v>274</v>
      </c>
      <c r="P14" s="19">
        <v>108</v>
      </c>
      <c r="Q14" s="46">
        <f t="shared" si="0"/>
        <v>29592</v>
      </c>
      <c r="R14" s="47">
        <f t="shared" si="1"/>
        <v>178.47837415320478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104</v>
      </c>
      <c r="W14" s="22">
        <f>'11'!G66</f>
        <v>20</v>
      </c>
      <c r="X14" s="22">
        <f>'11'!G67</f>
        <v>34</v>
      </c>
      <c r="Y14" s="22">
        <f t="shared" si="7"/>
        <v>158</v>
      </c>
      <c r="Z14" s="19">
        <f>'11'!G84</f>
        <v>0</v>
      </c>
      <c r="AA14" s="19">
        <f>'11'!G85</f>
        <v>24</v>
      </c>
      <c r="AB14" s="19">
        <f>'11'!G86</f>
        <v>0</v>
      </c>
      <c r="AC14" s="19">
        <f>'11'!G87</f>
        <v>8.5199999999967986</v>
      </c>
      <c r="AD14" s="19">
        <f t="shared" si="8"/>
        <v>32.519999999996799</v>
      </c>
      <c r="AE14" s="23">
        <f t="shared" si="2"/>
        <v>5467</v>
      </c>
      <c r="AF14" s="23">
        <f t="shared" si="9"/>
        <v>168.11193111932775</v>
      </c>
      <c r="AG14" s="19">
        <f>'11'!G88</f>
        <v>0</v>
      </c>
      <c r="AH14" s="19">
        <f>'11'!G89</f>
        <v>13</v>
      </c>
      <c r="AI14" s="19">
        <f>'11'!G90</f>
        <v>5</v>
      </c>
      <c r="AJ14" s="19">
        <f t="shared" si="10"/>
        <v>18</v>
      </c>
      <c r="AK14" s="19">
        <f>'11'!G91</f>
        <v>0</v>
      </c>
      <c r="AL14" s="19">
        <f>'11'!G92</f>
        <v>10.5</v>
      </c>
      <c r="AM14" s="19"/>
      <c r="AN14" s="19">
        <f t="shared" si="11"/>
        <v>10.5</v>
      </c>
      <c r="AO14" s="52">
        <f>'11'!G74</f>
        <v>309</v>
      </c>
      <c r="AP14" s="55">
        <f>'11'!G35</f>
        <v>2136</v>
      </c>
      <c r="AQ14" s="19">
        <f>'11'!G37</f>
        <v>1605</v>
      </c>
      <c r="AR14" s="19">
        <f>'11'!G38</f>
        <v>2162</v>
      </c>
      <c r="AS14" s="19">
        <f>'11'!G39</f>
        <v>2960</v>
      </c>
      <c r="AT14" s="19">
        <f>'11'!G40</f>
        <v>0</v>
      </c>
      <c r="AU14" s="19">
        <f>'11'!G41</f>
        <v>0</v>
      </c>
      <c r="AV14" s="19">
        <f>'11'!G42</f>
        <v>4505</v>
      </c>
      <c r="AW14" s="19">
        <f>'11'!G43</f>
        <v>2753</v>
      </c>
      <c r="AX14" s="23">
        <f>'11'!G44</f>
        <v>0</v>
      </c>
      <c r="AY14" s="56">
        <f>'11'!G36</f>
        <v>806</v>
      </c>
      <c r="AZ14" s="55">
        <f>'11'!G49</f>
        <v>1730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</v>
      </c>
      <c r="BE14" s="19">
        <f>'11'!G55</f>
        <v>0</v>
      </c>
      <c r="BF14" s="19">
        <f>'11'!G56</f>
        <v>962</v>
      </c>
      <c r="BG14" s="19">
        <f>'11'!G57</f>
        <v>0</v>
      </c>
      <c r="BH14" s="56">
        <f>'11'!G50</f>
        <v>1517</v>
      </c>
      <c r="BI14" s="60">
        <f t="shared" si="12"/>
        <v>5467</v>
      </c>
      <c r="BJ14" s="60">
        <f>'11'!G133</f>
        <v>857</v>
      </c>
      <c r="BK14" s="23">
        <f t="shared" si="13"/>
        <v>49.449695184321428</v>
      </c>
      <c r="BL14" s="23">
        <f t="shared" si="14"/>
        <v>12.110797430547033</v>
      </c>
      <c r="BM14" s="24">
        <f t="shared" si="15"/>
        <v>8.8457919070414462E-2</v>
      </c>
      <c r="BN14" s="25">
        <f t="shared" si="16"/>
        <v>314977.8</v>
      </c>
      <c r="BO14" s="38">
        <f t="shared" si="17"/>
        <v>9077</v>
      </c>
      <c r="BP14">
        <f t="shared" si="18"/>
        <v>0.99685907573371257</v>
      </c>
    </row>
    <row r="15" spans="1:69" x14ac:dyDescent="0.25">
      <c r="A15" s="16">
        <v>12</v>
      </c>
      <c r="B15" s="26">
        <v>12</v>
      </c>
      <c r="C15" s="27"/>
      <c r="D15" s="19">
        <f>'12'!D3</f>
        <v>27</v>
      </c>
      <c r="E15" s="50">
        <f>'12'!D4</f>
        <v>0.78</v>
      </c>
      <c r="F15" s="50">
        <f>'12'!D2</f>
        <v>0.75</v>
      </c>
      <c r="G15" s="19">
        <f>'12'!G7</f>
        <v>24520</v>
      </c>
      <c r="H15" s="19">
        <f>'12'!G8</f>
        <v>25038</v>
      </c>
      <c r="I15" s="19">
        <v>9</v>
      </c>
      <c r="J15" s="49">
        <f t="shared" si="3"/>
        <v>225342</v>
      </c>
      <c r="K15" s="45">
        <f t="shared" si="4"/>
        <v>123.95049504950495</v>
      </c>
      <c r="L15" s="19">
        <f>'12'!G15</f>
        <v>1252</v>
      </c>
      <c r="M15" s="19">
        <v>56.2</v>
      </c>
      <c r="N15" s="41">
        <f t="shared" si="5"/>
        <v>70362.400000000009</v>
      </c>
      <c r="O15" s="19">
        <f>'12'!G20</f>
        <v>294</v>
      </c>
      <c r="P15" s="19">
        <v>108</v>
      </c>
      <c r="Q15" s="46">
        <f t="shared" si="0"/>
        <v>31752</v>
      </c>
      <c r="R15" s="47">
        <f t="shared" si="1"/>
        <v>194.05940594059408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105</v>
      </c>
      <c r="W15" s="22">
        <f>'12'!G66</f>
        <v>21</v>
      </c>
      <c r="X15" s="22">
        <f>'12'!G67</f>
        <v>33</v>
      </c>
      <c r="Y15" s="22">
        <f t="shared" si="7"/>
        <v>159</v>
      </c>
      <c r="Z15" s="19">
        <f>'12'!G84</f>
        <v>0</v>
      </c>
      <c r="AA15" s="19">
        <f>'12'!G85</f>
        <v>24</v>
      </c>
      <c r="AB15" s="19">
        <f>'12'!G86</f>
        <v>0</v>
      </c>
      <c r="AC15" s="19">
        <f>'12'!G87</f>
        <v>10.930000000000291</v>
      </c>
      <c r="AD15" s="19">
        <f t="shared" si="8"/>
        <v>34.930000000000291</v>
      </c>
      <c r="AE15" s="23">
        <f t="shared" si="2"/>
        <v>5511</v>
      </c>
      <c r="AF15" s="23">
        <f t="shared" si="9"/>
        <v>157.77268823360876</v>
      </c>
      <c r="AG15" s="19">
        <f>'12'!G88</f>
        <v>11.529999999998836</v>
      </c>
      <c r="AH15" s="19">
        <f>'12'!G89</f>
        <v>-0.36000000000058208</v>
      </c>
      <c r="AI15" s="19">
        <f>'12'!G90</f>
        <v>8</v>
      </c>
      <c r="AJ15" s="19">
        <f t="shared" si="10"/>
        <v>19.169999999998254</v>
      </c>
      <c r="AK15" s="19">
        <f>'12'!G91</f>
        <v>0</v>
      </c>
      <c r="AL15" s="19">
        <f>'12'!G92</f>
        <v>10.75</v>
      </c>
      <c r="AM15" s="19"/>
      <c r="AN15" s="19">
        <f t="shared" si="11"/>
        <v>10.75</v>
      </c>
      <c r="AO15" s="52">
        <f>'12'!G74</f>
        <v>300</v>
      </c>
      <c r="AP15" s="55">
        <f>'12'!G35</f>
        <v>2138</v>
      </c>
      <c r="AQ15" s="19">
        <f>'12'!G37</f>
        <v>1688</v>
      </c>
      <c r="AR15" s="19">
        <f>'12'!G38</f>
        <v>2175</v>
      </c>
      <c r="AS15" s="19">
        <f>'12'!G39</f>
        <v>3054</v>
      </c>
      <c r="AT15" s="19">
        <f>'12'!G40</f>
        <v>0</v>
      </c>
      <c r="AU15" s="19">
        <f>'12'!G41</f>
        <v>0</v>
      </c>
      <c r="AV15" s="19">
        <f>'12'!G42</f>
        <v>4329</v>
      </c>
      <c r="AW15" s="19">
        <f>'12'!G43</f>
        <v>2634</v>
      </c>
      <c r="AX15" s="23">
        <f>'12'!G44</f>
        <v>0</v>
      </c>
      <c r="AY15" s="56">
        <f>'12'!G36</f>
        <v>1141</v>
      </c>
      <c r="AZ15" s="55">
        <f>'12'!G49</f>
        <v>1760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</v>
      </c>
      <c r="BE15" s="19">
        <f>'12'!G55</f>
        <v>0</v>
      </c>
      <c r="BF15" s="19">
        <f>'12'!G56</f>
        <v>1182</v>
      </c>
      <c r="BG15" s="19">
        <f>'12'!G57</f>
        <v>0</v>
      </c>
      <c r="BH15" s="56">
        <f>'12'!G50</f>
        <v>1046</v>
      </c>
      <c r="BI15" s="60">
        <f t="shared" si="12"/>
        <v>5511</v>
      </c>
      <c r="BJ15" s="60">
        <f>'12'!G133</f>
        <v>852</v>
      </c>
      <c r="BK15" s="23">
        <f t="shared" si="13"/>
        <v>48.098889687674735</v>
      </c>
      <c r="BL15" s="23">
        <f t="shared" si="14"/>
        <v>12.197459861011263</v>
      </c>
      <c r="BM15" s="24">
        <f t="shared" si="15"/>
        <v>8.6867960699736402E-2</v>
      </c>
      <c r="BN15" s="25">
        <f t="shared" si="16"/>
        <v>327456.40000000002</v>
      </c>
      <c r="BO15" s="38">
        <f t="shared" si="17"/>
        <v>8997</v>
      </c>
      <c r="BP15">
        <f t="shared" si="18"/>
        <v>0.91990102654287398</v>
      </c>
    </row>
    <row r="16" spans="1:69" x14ac:dyDescent="0.25">
      <c r="A16" s="16">
        <v>13</v>
      </c>
      <c r="B16" s="26">
        <v>13</v>
      </c>
      <c r="C16" s="26"/>
      <c r="D16" s="19">
        <f>'13'!D3</f>
        <v>27</v>
      </c>
      <c r="E16" s="50">
        <f>'13'!D4</f>
        <v>0.72</v>
      </c>
      <c r="F16" s="50">
        <f>'13'!D2</f>
        <v>0.5</v>
      </c>
      <c r="G16" s="19">
        <f>'13'!G7</f>
        <v>23265</v>
      </c>
      <c r="H16" s="19">
        <f>'13'!G8</f>
        <v>23684</v>
      </c>
      <c r="I16" s="19">
        <v>9</v>
      </c>
      <c r="J16" s="49">
        <f t="shared" si="3"/>
        <v>213156</v>
      </c>
      <c r="K16" s="45">
        <f t="shared" si="4"/>
        <v>117.24752475247524</v>
      </c>
      <c r="L16" s="19">
        <f>'13'!G15</f>
        <v>1211</v>
      </c>
      <c r="M16" s="19">
        <v>56.2</v>
      </c>
      <c r="N16" s="41">
        <f t="shared" si="5"/>
        <v>68058.2</v>
      </c>
      <c r="O16" s="19">
        <f>'13'!G20</f>
        <v>294</v>
      </c>
      <c r="P16" s="19">
        <v>108</v>
      </c>
      <c r="Q16" s="46">
        <f t="shared" si="0"/>
        <v>31752</v>
      </c>
      <c r="R16" s="47">
        <f t="shared" si="1"/>
        <v>291.08910891089107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152</v>
      </c>
      <c r="W16" s="22">
        <f>'13'!G66</f>
        <v>19</v>
      </c>
      <c r="X16" s="22">
        <f>'13'!G67</f>
        <v>30</v>
      </c>
      <c r="Y16" s="22">
        <f t="shared" si="7"/>
        <v>201</v>
      </c>
      <c r="Z16" s="19">
        <f>'13'!G84</f>
        <v>0</v>
      </c>
      <c r="AA16" s="19">
        <f>'13'!G85</f>
        <v>24</v>
      </c>
      <c r="AB16" s="19">
        <f>'13'!G86</f>
        <v>0</v>
      </c>
      <c r="AC16" s="19">
        <f>'13'!G87</f>
        <v>2.8100000000049477</v>
      </c>
      <c r="AD16" s="19">
        <f t="shared" si="8"/>
        <v>26.810000000004948</v>
      </c>
      <c r="AE16" s="23">
        <f t="shared" si="2"/>
        <v>5072</v>
      </c>
      <c r="AF16" s="23">
        <f t="shared" si="9"/>
        <v>189.18314061913705</v>
      </c>
      <c r="AG16" s="19">
        <f>'13'!G88</f>
        <v>0</v>
      </c>
      <c r="AH16" s="19">
        <f>'13'!G89</f>
        <v>11.529999999998836</v>
      </c>
      <c r="AI16" s="19">
        <f>'13'!G90</f>
        <v>7.0299999999988358</v>
      </c>
      <c r="AJ16" s="19">
        <f t="shared" si="10"/>
        <v>18.559999999997672</v>
      </c>
      <c r="AK16" s="19">
        <f>'13'!G91</f>
        <v>0</v>
      </c>
      <c r="AL16" s="19">
        <f>'13'!G92</f>
        <v>11.529999999999745</v>
      </c>
      <c r="AM16" s="19"/>
      <c r="AN16" s="19">
        <f t="shared" si="11"/>
        <v>11.529999999999745</v>
      </c>
      <c r="AO16" s="52">
        <f>'13'!G74</f>
        <v>329</v>
      </c>
      <c r="AP16" s="55">
        <f>'13'!G35</f>
        <v>2004</v>
      </c>
      <c r="AQ16" s="19">
        <f>'13'!G37</f>
        <v>1431</v>
      </c>
      <c r="AR16" s="19">
        <f>'13'!G38</f>
        <v>2095</v>
      </c>
      <c r="AS16" s="19">
        <f>'13'!G39</f>
        <v>3101</v>
      </c>
      <c r="AT16" s="19">
        <f>'13'!G40</f>
        <v>0</v>
      </c>
      <c r="AU16" s="19">
        <f>'13'!G41</f>
        <v>0</v>
      </c>
      <c r="AV16" s="19">
        <f>'13'!G42</f>
        <v>4832</v>
      </c>
      <c r="AW16" s="19">
        <f>'13'!G43</f>
        <v>2771</v>
      </c>
      <c r="AX16" s="23">
        <f>'13'!G44</f>
        <v>0</v>
      </c>
      <c r="AY16" s="56">
        <f>'13'!G36</f>
        <v>1205</v>
      </c>
      <c r="AZ16" s="55">
        <f>'13'!G49</f>
        <v>1763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</v>
      </c>
      <c r="BE16" s="19">
        <f>'13'!G55</f>
        <v>0</v>
      </c>
      <c r="BF16" s="19">
        <f>'13'!G56</f>
        <v>240</v>
      </c>
      <c r="BG16" s="19">
        <f>'13'!G57</f>
        <v>0</v>
      </c>
      <c r="BH16" s="56">
        <f>'13'!G50</f>
        <v>1701</v>
      </c>
      <c r="BI16" s="60">
        <f t="shared" si="12"/>
        <v>5072</v>
      </c>
      <c r="BJ16" s="60">
        <f>'13'!G133</f>
        <v>828</v>
      </c>
      <c r="BK16" s="23">
        <f t="shared" si="13"/>
        <v>49.020435737206554</v>
      </c>
      <c r="BL16" s="23">
        <f t="shared" si="14"/>
        <v>13.093227495355514</v>
      </c>
      <c r="BM16" s="24">
        <f t="shared" si="15"/>
        <v>8.8456341834149632E-2</v>
      </c>
      <c r="BN16" s="25">
        <f t="shared" si="16"/>
        <v>312966.2</v>
      </c>
      <c r="BO16" s="38">
        <f t="shared" si="17"/>
        <v>8671</v>
      </c>
      <c r="BP16">
        <f t="shared" si="18"/>
        <v>1.1550860553096391</v>
      </c>
    </row>
    <row r="17" spans="1:68" x14ac:dyDescent="0.25">
      <c r="A17" s="16">
        <v>14</v>
      </c>
      <c r="B17" s="17">
        <v>14</v>
      </c>
      <c r="C17" s="27"/>
      <c r="D17" s="19">
        <f>'14'!D3</f>
        <v>26</v>
      </c>
      <c r="E17" s="50">
        <f>'14'!D4</f>
        <v>0.65</v>
      </c>
      <c r="F17" s="50">
        <f>'14'!D2</f>
        <v>0.54</v>
      </c>
      <c r="G17" s="19">
        <f>'14'!G7</f>
        <v>22739</v>
      </c>
      <c r="H17" s="19">
        <f>'14'!G8</f>
        <v>23059</v>
      </c>
      <c r="I17" s="19">
        <v>9</v>
      </c>
      <c r="J17" s="49">
        <f t="shared" si="3"/>
        <v>207531</v>
      </c>
      <c r="K17" s="45">
        <f t="shared" si="4"/>
        <v>114.15346534653466</v>
      </c>
      <c r="L17" s="19">
        <f>'14'!G15</f>
        <v>1124</v>
      </c>
      <c r="M17" s="19">
        <v>56.2</v>
      </c>
      <c r="N17" s="41">
        <f t="shared" si="5"/>
        <v>63168.800000000003</v>
      </c>
      <c r="O17" s="19">
        <f>'14'!G20</f>
        <v>292</v>
      </c>
      <c r="P17" s="19">
        <v>108</v>
      </c>
      <c r="Q17" s="46">
        <f t="shared" si="0"/>
        <v>31536</v>
      </c>
      <c r="R17" s="47">
        <f t="shared" si="1"/>
        <v>267.69343601026765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105</v>
      </c>
      <c r="W17" s="22">
        <f>'14'!G66</f>
        <v>18</v>
      </c>
      <c r="X17" s="22">
        <f>'14'!G67</f>
        <v>32</v>
      </c>
      <c r="Y17" s="22">
        <f>V17+W17+X17</f>
        <v>155</v>
      </c>
      <c r="Z17" s="19">
        <f>'14'!G84</f>
        <v>0</v>
      </c>
      <c r="AA17" s="19">
        <f>'14'!G85</f>
        <v>7</v>
      </c>
      <c r="AB17" s="19">
        <f>'14'!G86</f>
        <v>0</v>
      </c>
      <c r="AC17" s="19">
        <f>'14'!G87</f>
        <v>19.739999999997963</v>
      </c>
      <c r="AD17" s="19">
        <f t="shared" si="8"/>
        <v>26.739999999997963</v>
      </c>
      <c r="AE17" s="23">
        <f t="shared" si="2"/>
        <v>3919</v>
      </c>
      <c r="AF17" s="23">
        <f t="shared" si="9"/>
        <v>146.55946148093861</v>
      </c>
      <c r="AG17" s="19">
        <f>'14'!G88</f>
        <v>0</v>
      </c>
      <c r="AH17" s="19">
        <f>'14'!G89</f>
        <v>11.720000000001164</v>
      </c>
      <c r="AI17" s="19">
        <f>'14'!G90</f>
        <v>6.1699999999982538</v>
      </c>
      <c r="AJ17" s="19">
        <f t="shared" si="10"/>
        <v>17.889999999999418</v>
      </c>
      <c r="AK17" s="19">
        <f>'14'!G91</f>
        <v>0</v>
      </c>
      <c r="AL17" s="19">
        <f>'14'!G92</f>
        <v>11.230000000000473</v>
      </c>
      <c r="AM17" s="19"/>
      <c r="AN17" s="19">
        <f t="shared" si="11"/>
        <v>11.230000000000473</v>
      </c>
      <c r="AO17" s="52">
        <f>'14'!G44</f>
        <v>0</v>
      </c>
      <c r="AP17" s="55">
        <f>'14'!G35</f>
        <v>2110</v>
      </c>
      <c r="AQ17" s="19">
        <f>'14'!G37</f>
        <v>1598</v>
      </c>
      <c r="AR17" s="19">
        <f>'14'!G38</f>
        <v>2029</v>
      </c>
      <c r="AS17" s="19">
        <f>'14'!G39</f>
        <v>3022</v>
      </c>
      <c r="AT17" s="19">
        <f>'14'!G40</f>
        <v>4</v>
      </c>
      <c r="AU17" s="19">
        <f>'14'!G41</f>
        <v>0</v>
      </c>
      <c r="AV17" s="19">
        <f>'14'!G42</f>
        <v>1294</v>
      </c>
      <c r="AW17" s="19">
        <f>'14'!G43</f>
        <v>2768</v>
      </c>
      <c r="AX17" s="23">
        <f>'14'!G44</f>
        <v>0</v>
      </c>
      <c r="AY17" s="56">
        <f>'14'!G36</f>
        <v>1164</v>
      </c>
      <c r="AZ17" s="55">
        <f>'14'!G49</f>
        <v>1780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</v>
      </c>
      <c r="BE17" s="19">
        <f>'14'!G55</f>
        <v>0</v>
      </c>
      <c r="BF17" s="19">
        <f>'14'!G56</f>
        <v>2625</v>
      </c>
      <c r="BG17" s="19">
        <f>'14'!G57</f>
        <v>0</v>
      </c>
      <c r="BH17" s="56">
        <f>'14'!G50</f>
        <v>1163</v>
      </c>
      <c r="BI17" s="60">
        <f t="shared" si="12"/>
        <v>3919</v>
      </c>
      <c r="BJ17" s="60">
        <f>'14'!G133</f>
        <v>833</v>
      </c>
      <c r="BK17" s="23">
        <f t="shared" si="13"/>
        <v>45.869291816644257</v>
      </c>
      <c r="BL17" s="23">
        <f t="shared" si="14"/>
        <v>13.105511947612646</v>
      </c>
      <c r="BM17" s="24">
        <f t="shared" si="15"/>
        <v>8.7991673533110715E-2</v>
      </c>
      <c r="BN17" s="25">
        <f t="shared" si="16"/>
        <v>302235.8</v>
      </c>
      <c r="BO17" s="38">
        <f t="shared" si="17"/>
        <v>7520</v>
      </c>
      <c r="BP17">
        <f t="shared" si="18"/>
        <v>1.0043808099156657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23186</v>
      </c>
      <c r="H18" s="19">
        <f>'15'!G8</f>
        <v>23584</v>
      </c>
      <c r="I18" s="19">
        <v>9</v>
      </c>
      <c r="J18" s="49">
        <f t="shared" si="3"/>
        <v>212256</v>
      </c>
      <c r="K18" s="45">
        <f t="shared" si="4"/>
        <v>116.75247524752476</v>
      </c>
      <c r="L18" s="19">
        <f>'15'!G15</f>
        <v>1178.1299999998882</v>
      </c>
      <c r="M18" s="19">
        <v>56.2</v>
      </c>
      <c r="N18" s="41">
        <f t="shared" si="5"/>
        <v>66210.905999993716</v>
      </c>
      <c r="O18" s="19">
        <f>'15'!G20</f>
        <v>240</v>
      </c>
      <c r="P18" s="19">
        <v>108</v>
      </c>
      <c r="Q18" s="46">
        <f t="shared" si="0"/>
        <v>25920</v>
      </c>
      <c r="R18" s="47">
        <f t="shared" si="1"/>
        <v>237.62376237623764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106</v>
      </c>
      <c r="W18" s="22">
        <f>'15'!G66</f>
        <v>13</v>
      </c>
      <c r="X18" s="22">
        <f>'15'!G67</f>
        <v>20</v>
      </c>
      <c r="Y18" s="22">
        <f t="shared" si="7"/>
        <v>139</v>
      </c>
      <c r="Z18" s="19">
        <f>'15'!G84</f>
        <v>0</v>
      </c>
      <c r="AA18" s="19">
        <f>'15'!G85</f>
        <v>24</v>
      </c>
      <c r="AB18" s="19">
        <f>'15'!G86</f>
        <v>0</v>
      </c>
      <c r="AC18" s="19">
        <f>'15'!G87</f>
        <v>7</v>
      </c>
      <c r="AD18" s="19">
        <f t="shared" si="8"/>
        <v>31</v>
      </c>
      <c r="AE18" s="23">
        <f t="shared" si="2"/>
        <v>5187</v>
      </c>
      <c r="AF18" s="23">
        <f t="shared" si="9"/>
        <v>167.32258064516128</v>
      </c>
      <c r="AG18" s="19">
        <f>'15'!G88</f>
        <v>0</v>
      </c>
      <c r="AH18" s="19">
        <f>'15'!G89</f>
        <v>10.209999999999127</v>
      </c>
      <c r="AI18" s="19">
        <f>'15'!G90</f>
        <v>9.7700000000040745</v>
      </c>
      <c r="AJ18" s="19">
        <f t="shared" si="10"/>
        <v>19.980000000003201</v>
      </c>
      <c r="AK18" s="19">
        <f>'15'!G91</f>
        <v>0</v>
      </c>
      <c r="AL18" s="19">
        <f>'15'!G92</f>
        <v>11.260000000000218</v>
      </c>
      <c r="AM18" s="19"/>
      <c r="AN18" s="19">
        <f t="shared" si="11"/>
        <v>11.260000000000218</v>
      </c>
      <c r="AO18" s="52">
        <f>'15'!G74</f>
        <v>322</v>
      </c>
      <c r="AP18" s="55">
        <f>'15'!G35</f>
        <v>2025</v>
      </c>
      <c r="AQ18" s="19">
        <f>'15'!G37</f>
        <v>1543</v>
      </c>
      <c r="AR18" s="19">
        <f>'15'!G38</f>
        <v>1931</v>
      </c>
      <c r="AS18" s="19">
        <f>'15'!G39</f>
        <v>2939</v>
      </c>
      <c r="AT18" s="19">
        <f>'15'!G40</f>
        <v>0</v>
      </c>
      <c r="AU18" s="19">
        <f>'15'!G41</f>
        <v>0</v>
      </c>
      <c r="AV18" s="19">
        <f>'15'!G42</f>
        <v>4436</v>
      </c>
      <c r="AW18" s="19">
        <f>'15'!G43</f>
        <v>2748</v>
      </c>
      <c r="AX18" s="23">
        <f>'15'!G44</f>
        <v>0</v>
      </c>
      <c r="AY18" s="56">
        <f>'15'!G36</f>
        <v>1099</v>
      </c>
      <c r="AZ18" s="55">
        <f>'15'!G49</f>
        <v>1772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</v>
      </c>
      <c r="BE18" s="19">
        <f>'15'!G55</f>
        <v>0</v>
      </c>
      <c r="BF18" s="19">
        <f>'15'!G56</f>
        <v>751</v>
      </c>
      <c r="BG18" s="19">
        <f>'15'!G57</f>
        <v>0</v>
      </c>
      <c r="BH18" s="56">
        <f>'15'!G50</f>
        <v>1582</v>
      </c>
      <c r="BI18" s="60">
        <f t="shared" si="12"/>
        <v>5187</v>
      </c>
      <c r="BJ18" s="60">
        <f>'15'!G133</f>
        <v>818</v>
      </c>
      <c r="BK18" s="23">
        <f t="shared" si="13"/>
        <v>49.74559023066486</v>
      </c>
      <c r="BL18" s="23">
        <f t="shared" si="14"/>
        <v>12.461838534599728</v>
      </c>
      <c r="BM18" s="24">
        <f t="shared" si="15"/>
        <v>8.187754409769335E-2</v>
      </c>
      <c r="BN18" s="25">
        <f t="shared" si="16"/>
        <v>304386.90599999373</v>
      </c>
      <c r="BO18" s="38">
        <f t="shared" si="17"/>
        <v>8753</v>
      </c>
      <c r="BP18">
        <f t="shared" si="18"/>
        <v>1.008410138248848</v>
      </c>
    </row>
    <row r="19" spans="1:68" x14ac:dyDescent="0.25">
      <c r="A19" s="16">
        <v>16</v>
      </c>
      <c r="B19" s="26">
        <v>16</v>
      </c>
      <c r="C19" s="26"/>
      <c r="D19" s="19">
        <f>'16'!D3</f>
        <v>28</v>
      </c>
      <c r="E19" s="50">
        <f>'16'!D4</f>
        <v>0.62</v>
      </c>
      <c r="F19" s="50">
        <f>'16'!D2</f>
        <v>0.57420000000000004</v>
      </c>
      <c r="G19" s="19">
        <f>'16'!G7</f>
        <v>22062.949999999953</v>
      </c>
      <c r="H19" s="19">
        <f>'16'!G8</f>
        <v>22268.709999999963</v>
      </c>
      <c r="I19" s="19">
        <v>9</v>
      </c>
      <c r="J19" s="49">
        <f t="shared" si="3"/>
        <v>200418.38999999966</v>
      </c>
      <c r="K19" s="45">
        <f t="shared" si="4"/>
        <v>110.2411386138612</v>
      </c>
      <c r="L19" s="19">
        <f>'16'!G15</f>
        <v>1154.8700000001118</v>
      </c>
      <c r="M19" s="19">
        <v>56.2</v>
      </c>
      <c r="N19" s="41">
        <f t="shared" si="5"/>
        <v>64903.694000006282</v>
      </c>
      <c r="O19" s="19">
        <f>'16'!G20</f>
        <v>268</v>
      </c>
      <c r="P19" s="19">
        <v>108</v>
      </c>
      <c r="Q19" s="46">
        <f t="shared" si="0"/>
        <v>28944</v>
      </c>
      <c r="R19" s="47">
        <f t="shared" si="1"/>
        <v>231.0575885174724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93</v>
      </c>
      <c r="W19" s="22">
        <f>'16'!G66</f>
        <v>19</v>
      </c>
      <c r="X19" s="22">
        <f>'16'!G67</f>
        <v>23</v>
      </c>
      <c r="Y19" s="22">
        <f t="shared" si="7"/>
        <v>135</v>
      </c>
      <c r="Z19" s="19">
        <f>'16'!G84</f>
        <v>-0.5</v>
      </c>
      <c r="AA19" s="19">
        <f>'16'!G85</f>
        <v>24.069999999999936</v>
      </c>
      <c r="AB19" s="19">
        <f>'16'!G86</f>
        <v>0</v>
      </c>
      <c r="AC19" s="19">
        <f>'16'!G87</f>
        <v>3.0999999999985448</v>
      </c>
      <c r="AD19" s="19">
        <f t="shared" si="8"/>
        <v>26.669999999998481</v>
      </c>
      <c r="AE19" s="23">
        <f t="shared" si="2"/>
        <v>5082.5300000000007</v>
      </c>
      <c r="AF19" s="23">
        <f t="shared" si="9"/>
        <v>190.57105361830858</v>
      </c>
      <c r="AG19" s="19">
        <f>'16'!G88</f>
        <v>-0.39999999999781721</v>
      </c>
      <c r="AH19" s="19">
        <f>'16'!G89</f>
        <v>10.530000000002474</v>
      </c>
      <c r="AI19" s="19">
        <f>'16'!G90</f>
        <v>6.3899999999994179</v>
      </c>
      <c r="AJ19" s="19">
        <f t="shared" si="10"/>
        <v>16.520000000004075</v>
      </c>
      <c r="AK19" s="19">
        <f>'16'!G91</f>
        <v>0</v>
      </c>
      <c r="AL19" s="19">
        <f>'16'!G92</f>
        <v>11.819999999999709</v>
      </c>
      <c r="AM19" s="19"/>
      <c r="AN19" s="19">
        <f t="shared" si="11"/>
        <v>11.819999999999709</v>
      </c>
      <c r="AO19" s="52">
        <f>'16'!G74</f>
        <v>330.4100000000326</v>
      </c>
      <c r="AP19" s="55">
        <f>'16'!G35</f>
        <v>1939.7899999999936</v>
      </c>
      <c r="AQ19" s="19">
        <f>'16'!G37</f>
        <v>1565.3299999999872</v>
      </c>
      <c r="AR19" s="19">
        <f>'16'!G38</f>
        <v>1985.609999999986</v>
      </c>
      <c r="AS19" s="19">
        <f>'16'!G39</f>
        <v>2949.8699999999953</v>
      </c>
      <c r="AT19" s="19">
        <f>'16'!G40</f>
        <v>-1.9999999999996021E-2</v>
      </c>
      <c r="AU19" s="19">
        <f>'16'!G41</f>
        <v>0</v>
      </c>
      <c r="AV19" s="19">
        <f>'16'!G42</f>
        <v>4793.7900000000009</v>
      </c>
      <c r="AW19" s="19">
        <f>'16'!G43</f>
        <v>2590.1999999999998</v>
      </c>
      <c r="AX19" s="23">
        <f>'16'!G44</f>
        <v>0</v>
      </c>
      <c r="AY19" s="56">
        <f>'16'!G36</f>
        <v>1204.2600000000002</v>
      </c>
      <c r="AZ19" s="55">
        <f>'16'!G49</f>
        <v>1791.890000000014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4.7199999999997999</v>
      </c>
      <c r="BE19" s="19">
        <f>'16'!G55</f>
        <v>0</v>
      </c>
      <c r="BF19" s="19">
        <f>'16'!G56</f>
        <v>288.73999999999978</v>
      </c>
      <c r="BG19" s="19">
        <f>'16'!G57</f>
        <v>0</v>
      </c>
      <c r="BH19" s="56">
        <f>'16'!G50</f>
        <v>1041.3800000000001</v>
      </c>
      <c r="BI19" s="60">
        <f t="shared" si="12"/>
        <v>5082.5300000000007</v>
      </c>
      <c r="BJ19" s="60">
        <f>'16'!G133</f>
        <v>835.41000000000349</v>
      </c>
      <c r="BK19" s="23">
        <f t="shared" si="13"/>
        <v>51.212710570122958</v>
      </c>
      <c r="BL19" s="23">
        <f t="shared" si="14"/>
        <v>13.246703558490816</v>
      </c>
      <c r="BM19" s="24">
        <f t="shared" si="15"/>
        <v>8.9165919355004813E-2</v>
      </c>
      <c r="BN19" s="25">
        <f t="shared" si="16"/>
        <v>294266.08400000597</v>
      </c>
      <c r="BO19" s="38">
        <f t="shared" si="17"/>
        <v>8508.1400000000031</v>
      </c>
      <c r="BP19">
        <f t="shared" si="18"/>
        <v>1.139340618137084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23850.650000000023</v>
      </c>
      <c r="H20" s="19">
        <f>'17'!G8</f>
        <v>24204.290000000037</v>
      </c>
      <c r="I20" s="19">
        <v>9</v>
      </c>
      <c r="J20" s="49">
        <f t="shared" si="3"/>
        <v>217838.61000000034</v>
      </c>
      <c r="K20" s="45">
        <f t="shared" si="4"/>
        <v>119.82321782178236</v>
      </c>
      <c r="L20" s="19">
        <f>'17'!G15</f>
        <v>1138.8219999999274</v>
      </c>
      <c r="M20" s="19">
        <v>56.2</v>
      </c>
      <c r="N20" s="41">
        <f t="shared" si="5"/>
        <v>64001.796399995917</v>
      </c>
      <c r="O20" s="19">
        <f>'17'!G20</f>
        <v>234</v>
      </c>
      <c r="P20" s="19">
        <v>108</v>
      </c>
      <c r="Q20" s="46">
        <f t="shared" si="0"/>
        <v>25272</v>
      </c>
      <c r="R20" s="47">
        <f t="shared" si="1"/>
        <v>227.14036109493301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111</v>
      </c>
      <c r="W20" s="22">
        <f>'17'!G66</f>
        <v>19</v>
      </c>
      <c r="X20" s="22">
        <f>'17'!G67</f>
        <v>31</v>
      </c>
      <c r="Y20" s="22">
        <f t="shared" si="7"/>
        <v>161</v>
      </c>
      <c r="Z20" s="19">
        <f>'17'!G84</f>
        <v>0</v>
      </c>
      <c r="AA20" s="19">
        <f>'17'!G85</f>
        <v>24.039999999999964</v>
      </c>
      <c r="AB20" s="19">
        <f>'17'!G86</f>
        <v>0</v>
      </c>
      <c r="AC20" s="19">
        <f>'17'!G87</f>
        <v>8.1200000000026193</v>
      </c>
      <c r="AD20" s="19">
        <f t="shared" si="8"/>
        <v>32.160000000002583</v>
      </c>
      <c r="AE20" s="23">
        <f t="shared" si="2"/>
        <v>5645.2099999999991</v>
      </c>
      <c r="AF20" s="23">
        <f t="shared" si="9"/>
        <v>175.53513681590627</v>
      </c>
      <c r="AG20" s="19">
        <f>'17'!G88</f>
        <v>0.39999999999781721</v>
      </c>
      <c r="AH20" s="19">
        <f>'17'!G89</f>
        <v>10.93999999999869</v>
      </c>
      <c r="AI20" s="19">
        <f>'17'!G90</f>
        <v>6.6199999999953434</v>
      </c>
      <c r="AJ20" s="19">
        <f t="shared" si="10"/>
        <v>17.959999999991851</v>
      </c>
      <c r="AK20" s="19">
        <f>'17'!G91</f>
        <v>0</v>
      </c>
      <c r="AL20" s="19">
        <f>'17'!G92</f>
        <v>10.970000000000255</v>
      </c>
      <c r="AM20" s="19"/>
      <c r="AN20" s="19">
        <f t="shared" si="11"/>
        <v>10.970000000000255</v>
      </c>
      <c r="AO20" s="52">
        <f>'17'!G74</f>
        <v>317.41999999992549</v>
      </c>
      <c r="AP20" s="55">
        <f>'17'!G35</f>
        <v>1791.2700000000041</v>
      </c>
      <c r="AQ20" s="19">
        <f>'17'!G37</f>
        <v>1583.5400000000081</v>
      </c>
      <c r="AR20" s="19">
        <f>'17'!G38</f>
        <v>2168.1600000000035</v>
      </c>
      <c r="AS20" s="19">
        <f>'17'!G39</f>
        <v>3084.4799999999814</v>
      </c>
      <c r="AT20" s="19">
        <f>'17'!G40</f>
        <v>468.37</v>
      </c>
      <c r="AU20" s="19">
        <f>'17'!G41</f>
        <v>0</v>
      </c>
      <c r="AV20" s="19">
        <f>'17'!G42</f>
        <v>4689.3599999999988</v>
      </c>
      <c r="AW20" s="19">
        <f>'17'!G43</f>
        <v>2782.7300000000005</v>
      </c>
      <c r="AX20" s="23">
        <f>'17'!G44</f>
        <v>0</v>
      </c>
      <c r="AY20" s="56">
        <f>'17'!G36</f>
        <v>1285.6300000000001</v>
      </c>
      <c r="AZ20" s="55">
        <f>'17'!G49</f>
        <v>1760.539999999979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4.2800000000002001</v>
      </c>
      <c r="BE20" s="19">
        <f>'17'!G55</f>
        <v>0</v>
      </c>
      <c r="BF20" s="19">
        <f>'17'!G56</f>
        <v>955.85000000000036</v>
      </c>
      <c r="BG20" s="19">
        <f>'17'!G57</f>
        <v>0</v>
      </c>
      <c r="BH20" s="56">
        <f>'17'!G50</f>
        <v>1241.5</v>
      </c>
      <c r="BI20" s="60">
        <f t="shared" si="12"/>
        <v>5645.2099999999991</v>
      </c>
      <c r="BJ20" s="60">
        <f>'17'!G133</f>
        <v>869.19999999999709</v>
      </c>
      <c r="BK20" s="23">
        <f t="shared" si="13"/>
        <v>49.494325179544475</v>
      </c>
      <c r="BL20" s="23">
        <f t="shared" si="14"/>
        <v>12.743526044349892</v>
      </c>
      <c r="BM20" s="24">
        <f t="shared" si="15"/>
        <v>8.957750878046826E-2</v>
      </c>
      <c r="BN20" s="25">
        <f t="shared" si="16"/>
        <v>307112.40639999625</v>
      </c>
      <c r="BO20" s="38">
        <f t="shared" si="17"/>
        <v>9297.1399999999958</v>
      </c>
      <c r="BP20">
        <f t="shared" si="18"/>
        <v>1.0324649076047496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22823.75</v>
      </c>
      <c r="H21" s="19">
        <f>'18 '!G8</f>
        <v>23137.75</v>
      </c>
      <c r="I21" s="19">
        <v>9</v>
      </c>
      <c r="J21" s="49">
        <f t="shared" si="3"/>
        <v>208239.75</v>
      </c>
      <c r="K21" s="45">
        <f t="shared" si="4"/>
        <v>114.54331683168317</v>
      </c>
      <c r="L21" s="19">
        <f>'18 '!G15</f>
        <v>1215.2839999999851</v>
      </c>
      <c r="M21" s="19">
        <v>56.2</v>
      </c>
      <c r="N21" s="41">
        <f t="shared" si="5"/>
        <v>68298.960799999171</v>
      </c>
      <c r="O21" s="19">
        <f>'18 '!G20</f>
        <v>273</v>
      </c>
      <c r="P21" s="19">
        <v>108</v>
      </c>
      <c r="Q21" s="46">
        <f t="shared" si="0"/>
        <v>29484</v>
      </c>
      <c r="R21" s="47">
        <f t="shared" si="1"/>
        <v>264.99708794408855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125</v>
      </c>
      <c r="W21" s="22">
        <f>'18 '!G66</f>
        <v>21</v>
      </c>
      <c r="X21" s="22">
        <f>'18 '!G67</f>
        <v>30</v>
      </c>
      <c r="Y21" s="22">
        <f t="shared" si="7"/>
        <v>176</v>
      </c>
      <c r="Z21" s="19">
        <f>'18 '!G84</f>
        <v>-6.0000000004947651E-2</v>
      </c>
      <c r="AA21" s="19">
        <f>'18 '!G85</f>
        <v>23.8900000000001</v>
      </c>
      <c r="AB21" s="19">
        <f>'18 '!G86</f>
        <v>0</v>
      </c>
      <c r="AC21" s="19">
        <f>'18 '!G87</f>
        <v>3.180000000000291</v>
      </c>
      <c r="AD21" s="19">
        <f t="shared" si="8"/>
        <v>27.009999999995443</v>
      </c>
      <c r="AE21" s="23">
        <f t="shared" si="2"/>
        <v>5311.51</v>
      </c>
      <c r="AF21" s="23">
        <f t="shared" si="9"/>
        <v>196.64975934842266</v>
      </c>
      <c r="AG21" s="19">
        <f>'18 '!G88</f>
        <v>0</v>
      </c>
      <c r="AH21" s="19">
        <f>'18 '!G89</f>
        <v>12.590000000000146</v>
      </c>
      <c r="AI21" s="19">
        <f>'18 '!G90</f>
        <v>6.2900000000081491</v>
      </c>
      <c r="AJ21" s="19">
        <f t="shared" si="10"/>
        <v>18.880000000008295</v>
      </c>
      <c r="AK21" s="19">
        <f>'18 '!G91</f>
        <v>0</v>
      </c>
      <c r="AL21" s="19">
        <f>'18 '!G92</f>
        <v>10.710000000000036</v>
      </c>
      <c r="AM21" s="19"/>
      <c r="AN21" s="19">
        <f t="shared" si="11"/>
        <v>10.710000000000036</v>
      </c>
      <c r="AO21" s="52">
        <f>'18 '!G74</f>
        <v>305.65000000002328</v>
      </c>
      <c r="AP21" s="55">
        <f>'18 '!G35</f>
        <v>1585.0299999999988</v>
      </c>
      <c r="AQ21" s="19">
        <f>'18 '!G37</f>
        <v>1564.6000000000058</v>
      </c>
      <c r="AR21" s="19">
        <f>'18 '!G38</f>
        <v>2082.2200000000012</v>
      </c>
      <c r="AS21" s="19">
        <f>'18 '!G39</f>
        <v>2894.0400000000373</v>
      </c>
      <c r="AT21" s="19">
        <f>'18 '!G40</f>
        <v>0</v>
      </c>
      <c r="AU21" s="19">
        <f>'18 '!G41</f>
        <v>0</v>
      </c>
      <c r="AV21" s="19">
        <f>'18 '!G42</f>
        <v>4895.51</v>
      </c>
      <c r="AW21" s="19">
        <f>'18 '!G43</f>
        <v>2787.9400000000005</v>
      </c>
      <c r="AX21" s="23">
        <f>'18 '!G44</f>
        <v>0</v>
      </c>
      <c r="AY21" s="56">
        <f>'18 '!G36</f>
        <v>1224.04</v>
      </c>
      <c r="AZ21" s="55">
        <f>'18 '!G49</f>
        <v>1794.9400000000023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4.5199999999999818</v>
      </c>
      <c r="BE21" s="19">
        <f>'18 '!G55</f>
        <v>0</v>
      </c>
      <c r="BF21" s="19">
        <f>'18 '!G56</f>
        <v>416</v>
      </c>
      <c r="BG21" s="19">
        <f>'18 '!G57</f>
        <v>0</v>
      </c>
      <c r="BH21" s="56">
        <f>'18 '!G50</f>
        <v>1452.4299999999994</v>
      </c>
      <c r="BI21" s="60">
        <f t="shared" si="12"/>
        <v>5311.51</v>
      </c>
      <c r="BJ21" s="60">
        <f>'18 '!G133</f>
        <v>832.86999999999534</v>
      </c>
      <c r="BK21" s="23">
        <f t="shared" si="13"/>
        <v>49.613380730624208</v>
      </c>
      <c r="BL21" s="23">
        <f t="shared" si="14"/>
        <v>12.507871335804204</v>
      </c>
      <c r="BM21" s="24">
        <f t="shared" si="15"/>
        <v>8.9992328553986506E-2</v>
      </c>
      <c r="BN21" s="25">
        <f t="shared" si="16"/>
        <v>306022.71079999919</v>
      </c>
      <c r="BO21" s="38">
        <f t="shared" si="17"/>
        <v>8932.3199999999961</v>
      </c>
      <c r="BP21">
        <f t="shared" si="18"/>
        <v>1.1810863701276648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22978</v>
      </c>
      <c r="H22" s="19">
        <f>'19'!G8</f>
        <v>23251.630000000005</v>
      </c>
      <c r="I22" s="19">
        <v>9</v>
      </c>
      <c r="J22" s="49">
        <f t="shared" si="3"/>
        <v>209264.67000000004</v>
      </c>
      <c r="K22" s="45">
        <f t="shared" si="4"/>
        <v>115.10707920792082</v>
      </c>
      <c r="L22" s="19">
        <f>'19'!G15</f>
        <v>1150.2939999999944</v>
      </c>
      <c r="M22" s="19">
        <v>56.2</v>
      </c>
      <c r="N22" s="41">
        <f t="shared" si="5"/>
        <v>64646.522799999686</v>
      </c>
      <c r="O22" s="19">
        <f>'19'!G20</f>
        <v>273</v>
      </c>
      <c r="P22" s="19">
        <v>108</v>
      </c>
      <c r="Q22" s="46">
        <f t="shared" si="0"/>
        <v>29484</v>
      </c>
      <c r="R22" s="47">
        <f t="shared" si="1"/>
        <v>145.35224225799652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117</v>
      </c>
      <c r="W22" s="22">
        <f>'19'!G66</f>
        <v>23</v>
      </c>
      <c r="X22" s="22">
        <f>'19'!G67</f>
        <v>34</v>
      </c>
      <c r="Y22" s="22">
        <f t="shared" si="7"/>
        <v>174</v>
      </c>
      <c r="Z22" s="19">
        <f>'19'!G84</f>
        <v>0.20000000000436557</v>
      </c>
      <c r="AA22" s="19">
        <f>'19'!G85</f>
        <v>24</v>
      </c>
      <c r="AB22" s="19">
        <f>'19'!G86</f>
        <v>0</v>
      </c>
      <c r="AC22" s="19">
        <f>'19'!G87</f>
        <v>2.1500000000014552</v>
      </c>
      <c r="AD22" s="19">
        <f t="shared" si="8"/>
        <v>26.350000000005821</v>
      </c>
      <c r="AE22" s="23">
        <f t="shared" si="2"/>
        <v>5180.5400000000009</v>
      </c>
      <c r="AF22" s="23">
        <f t="shared" si="9"/>
        <v>196.60493358629435</v>
      </c>
      <c r="AG22" s="19">
        <f>'19'!G88</f>
        <v>0</v>
      </c>
      <c r="AH22" s="19">
        <f>'19'!G89</f>
        <v>9.7900000000008731</v>
      </c>
      <c r="AI22" s="19">
        <f>'19'!G90</f>
        <v>6.6799999999930151</v>
      </c>
      <c r="AJ22" s="19">
        <f t="shared" si="10"/>
        <v>16.469999999993888</v>
      </c>
      <c r="AK22" s="19">
        <f>'19'!G91</f>
        <v>0</v>
      </c>
      <c r="AL22" s="19">
        <f>'19'!G92</f>
        <v>10.989999999999782</v>
      </c>
      <c r="AM22" s="19"/>
      <c r="AN22" s="19">
        <f t="shared" si="11"/>
        <v>10.989999999999782</v>
      </c>
      <c r="AO22" s="52">
        <f>'19'!G74</f>
        <v>312.83000000007451</v>
      </c>
      <c r="AP22" s="55">
        <f>'19'!G35</f>
        <v>1656.7399999999907</v>
      </c>
      <c r="AQ22" s="19">
        <f>'19'!G37</f>
        <v>1585.359999999986</v>
      </c>
      <c r="AR22" s="19">
        <f>'19'!G38</f>
        <v>2024.9400000000023</v>
      </c>
      <c r="AS22" s="19">
        <f>'19'!G39</f>
        <v>3077.5599999999977</v>
      </c>
      <c r="AT22" s="19">
        <f>'19'!G40</f>
        <v>0</v>
      </c>
      <c r="AU22" s="19">
        <f>'19'!G41</f>
        <v>0</v>
      </c>
      <c r="AV22" s="19">
        <f>'19'!G42</f>
        <v>4943.59</v>
      </c>
      <c r="AW22" s="19">
        <f>'19'!G43</f>
        <v>2794.7599999999984</v>
      </c>
      <c r="AX22" s="23">
        <f>'19'!G44</f>
        <v>0</v>
      </c>
      <c r="AY22" s="56">
        <f>'19'!G36</f>
        <v>1132.0699999999997</v>
      </c>
      <c r="AZ22" s="55">
        <f>'19'!G49</f>
        <v>1763.3000000000175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4.3000000000001819</v>
      </c>
      <c r="BE22" s="19">
        <f>'19'!G55</f>
        <v>0</v>
      </c>
      <c r="BF22" s="19">
        <f>'19'!G56</f>
        <v>236.95000000000073</v>
      </c>
      <c r="BG22" s="19">
        <f>'19'!G57</f>
        <v>0</v>
      </c>
      <c r="BH22" s="56">
        <f>'19'!G50</f>
        <v>1631.1800000000003</v>
      </c>
      <c r="BI22" s="60">
        <f t="shared" si="12"/>
        <v>5180.5400000000009</v>
      </c>
      <c r="BJ22" s="60">
        <f>'19'!G133</f>
        <v>858.88000000000466</v>
      </c>
      <c r="BK22" s="23">
        <f t="shared" si="13"/>
        <v>49.008779169460396</v>
      </c>
      <c r="BL22" s="23">
        <f t="shared" si="14"/>
        <v>13.235889268838344</v>
      </c>
      <c r="BM22" s="24">
        <f t="shared" si="15"/>
        <v>8.7088088017915385E-2</v>
      </c>
      <c r="BN22" s="25">
        <f t="shared" si="16"/>
        <v>303395.19279999973</v>
      </c>
      <c r="BO22" s="38">
        <f t="shared" si="17"/>
        <v>8834.1800000000039</v>
      </c>
      <c r="BP22">
        <f t="shared" si="18"/>
        <v>1.1973678503656888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21084.160000000033</v>
      </c>
      <c r="H23" s="19">
        <f>'20'!G8</f>
        <v>21299.930000000051</v>
      </c>
      <c r="I23" s="19">
        <v>9</v>
      </c>
      <c r="J23" s="49">
        <f t="shared" si="3"/>
        <v>191699.37000000046</v>
      </c>
      <c r="K23" s="45">
        <f t="shared" si="4"/>
        <v>105.44519801980223</v>
      </c>
      <c r="L23" s="19">
        <f>'20'!G15</f>
        <v>1154.410000000149</v>
      </c>
      <c r="M23" s="19">
        <v>56.2</v>
      </c>
      <c r="N23" s="41">
        <f t="shared" si="5"/>
        <v>64877.842000008379</v>
      </c>
      <c r="O23" s="19">
        <f>'20'!G20</f>
        <v>273</v>
      </c>
      <c r="P23" s="19">
        <v>108</v>
      </c>
      <c r="Q23" s="46">
        <f t="shared" si="0"/>
        <v>29484</v>
      </c>
      <c r="R23" s="47">
        <f t="shared" si="1"/>
        <v>135.14851485148515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77</v>
      </c>
      <c r="W23" s="22">
        <f>'20'!G66</f>
        <v>17</v>
      </c>
      <c r="X23" s="22">
        <f>'20'!G67</f>
        <v>26</v>
      </c>
      <c r="Y23" s="22">
        <f t="shared" si="7"/>
        <v>120</v>
      </c>
      <c r="Z23" s="19">
        <f>'20'!G84</f>
        <v>0</v>
      </c>
      <c r="AA23" s="19">
        <f>'20'!G85</f>
        <v>24</v>
      </c>
      <c r="AB23" s="19">
        <f>'20'!G86</f>
        <v>0</v>
      </c>
      <c r="AC23" s="19">
        <f>'20'!G87</f>
        <v>0</v>
      </c>
      <c r="AD23" s="19">
        <f t="shared" si="8"/>
        <v>24</v>
      </c>
      <c r="AE23" s="23">
        <f t="shared" si="2"/>
        <v>4532.2599999999984</v>
      </c>
      <c r="AF23" s="23">
        <f t="shared" si="9"/>
        <v>188.84416666666661</v>
      </c>
      <c r="AG23" s="19">
        <f>'20'!G88</f>
        <v>0</v>
      </c>
      <c r="AH23" s="19">
        <f>'20'!G89</f>
        <v>11.680000000000291</v>
      </c>
      <c r="AI23" s="19">
        <f>'20'!G90</f>
        <v>6.1600000000034925</v>
      </c>
      <c r="AJ23" s="19">
        <f t="shared" si="10"/>
        <v>17.840000000003783</v>
      </c>
      <c r="AK23" s="19">
        <f>'20'!G91</f>
        <v>0</v>
      </c>
      <c r="AL23" s="19">
        <f>'20'!G92</f>
        <v>11.139999999999418</v>
      </c>
      <c r="AM23" s="19"/>
      <c r="AN23" s="19">
        <f t="shared" si="11"/>
        <v>11.139999999999418</v>
      </c>
      <c r="AO23" s="52">
        <f>'20'!G74</f>
        <v>318.68999999994412</v>
      </c>
      <c r="AP23" s="55">
        <f>'20'!G35</f>
        <v>1742.8000000000175</v>
      </c>
      <c r="AQ23" s="19">
        <f>'20'!G37</f>
        <v>1629.820000000007</v>
      </c>
      <c r="AR23" s="19">
        <f>'20'!G38</f>
        <v>1975.1000000000058</v>
      </c>
      <c r="AS23" s="19">
        <f>'20'!G39</f>
        <v>2849.679999999993</v>
      </c>
      <c r="AT23" s="19">
        <f>'20'!G40</f>
        <v>158.48000000000002</v>
      </c>
      <c r="AU23" s="19">
        <f>'20'!G41</f>
        <v>0</v>
      </c>
      <c r="AV23" s="19">
        <f>'20'!G42</f>
        <v>4532.2599999999984</v>
      </c>
      <c r="AW23" s="19">
        <f>'20'!G43</f>
        <v>2718.9600000000009</v>
      </c>
      <c r="AX23" s="23">
        <f>'20'!G44</f>
        <v>0</v>
      </c>
      <c r="AY23" s="56">
        <f>'20'!G36</f>
        <v>926.36000000000058</v>
      </c>
      <c r="AZ23" s="55">
        <f>'20'!G49</f>
        <v>1742.7799999999988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4.4600000000000364</v>
      </c>
      <c r="BE23" s="19">
        <f>'20'!G55</f>
        <v>0</v>
      </c>
      <c r="BF23" s="19">
        <f>'20'!G56</f>
        <v>0</v>
      </c>
      <c r="BG23" s="19">
        <f>'20'!G57</f>
        <v>0</v>
      </c>
      <c r="BH23" s="56">
        <f>'20'!G50</f>
        <v>1114.7100000000009</v>
      </c>
      <c r="BI23" s="60">
        <f t="shared" si="12"/>
        <v>4532.2599999999984</v>
      </c>
      <c r="BJ23" s="60">
        <f>'20'!G133</f>
        <v>846.91000000000349</v>
      </c>
      <c r="BK23" s="23">
        <f t="shared" si="13"/>
        <v>50.40767739612285</v>
      </c>
      <c r="BL23" s="23">
        <f t="shared" si="14"/>
        <v>13.378823310686871</v>
      </c>
      <c r="BM23" s="24">
        <f t="shared" si="15"/>
        <v>9.272800427043662E-2</v>
      </c>
      <c r="BN23" s="25">
        <f t="shared" si="16"/>
        <v>286061.21200000885</v>
      </c>
      <c r="BO23" s="38">
        <f t="shared" si="17"/>
        <v>8098.1300000000028</v>
      </c>
      <c r="BP23">
        <f t="shared" si="18"/>
        <v>1.2050788690476195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0.8</v>
      </c>
      <c r="G24" s="19">
        <f>'21'!G7</f>
        <v>20828.559999999939</v>
      </c>
      <c r="H24" s="19">
        <f>'21'!G8</f>
        <v>21040.79999999993</v>
      </c>
      <c r="I24" s="19">
        <v>9</v>
      </c>
      <c r="J24" s="49">
        <f t="shared" si="3"/>
        <v>189367.19999999937</v>
      </c>
      <c r="K24" s="45">
        <f t="shared" si="4"/>
        <v>104.16237623762342</v>
      </c>
      <c r="L24" s="19">
        <f>'21'!G15</f>
        <v>1115.5699999998324</v>
      </c>
      <c r="M24" s="19">
        <v>56.2</v>
      </c>
      <c r="N24" s="41">
        <f t="shared" si="5"/>
        <v>62695.033999990585</v>
      </c>
      <c r="O24" s="19">
        <f>'21'!G20</f>
        <v>271</v>
      </c>
      <c r="P24" s="19">
        <v>108</v>
      </c>
      <c r="Q24" s="46">
        <f t="shared" si="0"/>
        <v>29268</v>
      </c>
      <c r="R24" s="47">
        <f t="shared" si="1"/>
        <v>167.69801980198017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97</v>
      </c>
      <c r="W24" s="22">
        <f>'21'!G66</f>
        <v>17</v>
      </c>
      <c r="X24" s="22">
        <f>'21'!G67</f>
        <v>27</v>
      </c>
      <c r="Y24" s="22">
        <f t="shared" si="7"/>
        <v>141</v>
      </c>
      <c r="Z24" s="19">
        <f>'21'!G84</f>
        <v>0</v>
      </c>
      <c r="AA24" s="19">
        <f>'21'!G85</f>
        <v>24.369999999999891</v>
      </c>
      <c r="AB24" s="19">
        <f>'21'!G86</f>
        <v>0</v>
      </c>
      <c r="AC24" s="19">
        <f>'21'!G87</f>
        <v>0</v>
      </c>
      <c r="AD24" s="19">
        <f t="shared" si="8"/>
        <v>24.369999999999891</v>
      </c>
      <c r="AE24" s="23">
        <f t="shared" si="2"/>
        <v>4666.0799999999981</v>
      </c>
      <c r="AF24" s="23">
        <f t="shared" si="9"/>
        <v>191.4681986048428</v>
      </c>
      <c r="AG24" s="19">
        <f>'21'!G88</f>
        <v>0</v>
      </c>
      <c r="AH24" s="19">
        <f>'21'!G89</f>
        <v>10.629999999997381</v>
      </c>
      <c r="AI24" s="19">
        <f>'21'!G90</f>
        <v>6.3099999999976717</v>
      </c>
      <c r="AJ24" s="19">
        <f t="shared" si="10"/>
        <v>16.939999999995052</v>
      </c>
      <c r="AK24" s="19">
        <f>'21'!G91</f>
        <v>0</v>
      </c>
      <c r="AL24" s="19">
        <f>'21'!G92</f>
        <v>11.170000000000073</v>
      </c>
      <c r="AM24" s="19"/>
      <c r="AN24" s="19">
        <f t="shared" si="11"/>
        <v>11.170000000000073</v>
      </c>
      <c r="AO24" s="52">
        <f>'21'!G74</f>
        <v>321.20999999996275</v>
      </c>
      <c r="AP24" s="55">
        <f>'21'!G35</f>
        <v>1616.5499999999884</v>
      </c>
      <c r="AQ24" s="19">
        <f>'21'!G37</f>
        <v>1625.5</v>
      </c>
      <c r="AR24" s="19">
        <f>'21'!G38</f>
        <v>1893.8399999999965</v>
      </c>
      <c r="AS24" s="19">
        <f>'21'!G39</f>
        <v>2810.5999999999767</v>
      </c>
      <c r="AT24" s="19">
        <f>'21'!G40</f>
        <v>656.36999999999989</v>
      </c>
      <c r="AU24" s="19">
        <f>'21'!G41</f>
        <v>0</v>
      </c>
      <c r="AV24" s="19">
        <f>'21'!G42</f>
        <v>4666.0799999999981</v>
      </c>
      <c r="AW24" s="19">
        <f>'21'!G43</f>
        <v>2692.16</v>
      </c>
      <c r="AX24" s="23">
        <f>'21'!G44</f>
        <v>0</v>
      </c>
      <c r="AY24" s="56">
        <f>'21'!G36</f>
        <v>1038.0299999999988</v>
      </c>
      <c r="AZ24" s="55">
        <f>'21'!G49</f>
        <v>1532.6599999999744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4.4800000000000182</v>
      </c>
      <c r="BE24" s="19">
        <f>'21'!G55</f>
        <v>0</v>
      </c>
      <c r="BF24" s="19">
        <f>'21'!G56</f>
        <v>0</v>
      </c>
      <c r="BG24" s="19">
        <f>'21'!G57</f>
        <v>0</v>
      </c>
      <c r="BH24" s="56">
        <f>'21'!G50</f>
        <v>1116.6799999999985</v>
      </c>
      <c r="BI24" s="60">
        <f t="shared" si="12"/>
        <v>4666.0799999999981</v>
      </c>
      <c r="BJ24" s="60">
        <f>'21'!G133</f>
        <v>706.69000000000233</v>
      </c>
      <c r="BK24" s="23">
        <f t="shared" si="13"/>
        <v>49.938452910535702</v>
      </c>
      <c r="BL24" s="23">
        <f t="shared" si="14"/>
        <v>13.357857115698957</v>
      </c>
      <c r="BM24" s="24">
        <f t="shared" si="15"/>
        <v>9.0007984487281992E-2</v>
      </c>
      <c r="BN24" s="25">
        <f t="shared" si="16"/>
        <v>281330.23399998993</v>
      </c>
      <c r="BO24" s="38">
        <f t="shared" si="17"/>
        <v>8064.93</v>
      </c>
      <c r="BP24">
        <f t="shared" si="18"/>
        <v>1.1819171698223865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20615.520000000019</v>
      </c>
      <c r="H25" s="19">
        <f>'22'!G8</f>
        <v>20778.079999999958</v>
      </c>
      <c r="I25" s="19">
        <v>9</v>
      </c>
      <c r="J25" s="49">
        <f t="shared" si="3"/>
        <v>187002.71999999962</v>
      </c>
      <c r="K25" s="45">
        <f t="shared" si="4"/>
        <v>102.86178217821761</v>
      </c>
      <c r="L25" s="19">
        <f>'22'!G15</f>
        <v>1062.4600000001956</v>
      </c>
      <c r="M25" s="19">
        <v>56.2</v>
      </c>
      <c r="N25" s="41">
        <f t="shared" si="5"/>
        <v>59710.252000010994</v>
      </c>
      <c r="O25" s="19">
        <f>'22'!G20</f>
        <v>241</v>
      </c>
      <c r="P25" s="19">
        <v>108</v>
      </c>
      <c r="Q25" s="46">
        <f t="shared" si="0"/>
        <v>26028</v>
      </c>
      <c r="R25" s="47">
        <f t="shared" si="1"/>
        <v>122.99683576605084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105</v>
      </c>
      <c r="W25" s="22">
        <f>'22'!G66</f>
        <v>18</v>
      </c>
      <c r="X25" s="22">
        <f>'22'!G67</f>
        <v>27</v>
      </c>
      <c r="Y25" s="22">
        <f t="shared" si="7"/>
        <v>150</v>
      </c>
      <c r="Z25" s="19">
        <f>'22'!G84</f>
        <v>0</v>
      </c>
      <c r="AA25" s="19">
        <f>'22'!G85</f>
        <v>24</v>
      </c>
      <c r="AB25" s="19">
        <f>'22'!G86</f>
        <v>0</v>
      </c>
      <c r="AC25" s="19">
        <f>'22'!G87</f>
        <v>0</v>
      </c>
      <c r="AD25" s="19">
        <f t="shared" si="8"/>
        <v>24</v>
      </c>
      <c r="AE25" s="23">
        <f t="shared" si="2"/>
        <v>4737.3100000000049</v>
      </c>
      <c r="AF25" s="23">
        <f t="shared" si="9"/>
        <v>197.38791666666688</v>
      </c>
      <c r="AG25" s="19">
        <f>'22'!G88</f>
        <v>0</v>
      </c>
      <c r="AH25" s="19">
        <f>'22'!G89</f>
        <v>10.010000000002037</v>
      </c>
      <c r="AI25" s="19">
        <f>'22'!G90</f>
        <v>5.6600000000034925</v>
      </c>
      <c r="AJ25" s="19">
        <f t="shared" si="10"/>
        <v>15.67000000000553</v>
      </c>
      <c r="AK25" s="19">
        <f>'22'!G91</f>
        <v>0</v>
      </c>
      <c r="AL25" s="19">
        <f>'22'!G92</f>
        <v>11.440000000000509</v>
      </c>
      <c r="AM25" s="19"/>
      <c r="AN25" s="19">
        <f t="shared" si="11"/>
        <v>11.440000000000509</v>
      </c>
      <c r="AO25" s="52">
        <f>'22'!G74</f>
        <v>332.31000000005588</v>
      </c>
      <c r="AP25" s="55">
        <f>'22'!G35</f>
        <v>1523.0299999999988</v>
      </c>
      <c r="AQ25" s="19">
        <f>'22'!G37</f>
        <v>1590.140000000014</v>
      </c>
      <c r="AR25" s="19">
        <f>'22'!G38</f>
        <v>1914.5800000000163</v>
      </c>
      <c r="AS25" s="19">
        <f>'22'!G39</f>
        <v>2775.9200000000419</v>
      </c>
      <c r="AT25" s="19">
        <f>'22'!G40</f>
        <v>365.56999999999994</v>
      </c>
      <c r="AU25" s="19">
        <f>'22'!G41</f>
        <v>0</v>
      </c>
      <c r="AV25" s="19">
        <f>'22'!G42</f>
        <v>4737.3100000000049</v>
      </c>
      <c r="AW25" s="19">
        <f>'22'!G43</f>
        <v>2692.75</v>
      </c>
      <c r="AX25" s="23">
        <f>'22'!G44</f>
        <v>0</v>
      </c>
      <c r="AY25" s="56">
        <f>'22'!G36</f>
        <v>919.97000000000116</v>
      </c>
      <c r="AZ25" s="55">
        <f>'22'!G49</f>
        <v>1561.460000000021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4.4399999999995998</v>
      </c>
      <c r="BE25" s="19">
        <f>'22'!G55</f>
        <v>0</v>
      </c>
      <c r="BF25" s="19">
        <f>'22'!G56</f>
        <v>0</v>
      </c>
      <c r="BG25" s="19">
        <f>'22'!G57</f>
        <v>0</v>
      </c>
      <c r="BH25" s="56">
        <f>'22'!G50</f>
        <v>1108.0100000000002</v>
      </c>
      <c r="BI25" s="60">
        <f t="shared" si="12"/>
        <v>4737.3100000000049</v>
      </c>
      <c r="BJ25" s="60">
        <f>'22'!G133</f>
        <v>649.09999999999127</v>
      </c>
      <c r="BK25" s="23">
        <f t="shared" si="13"/>
        <v>50.604050037347271</v>
      </c>
      <c r="BL25" s="23">
        <f t="shared" si="14"/>
        <v>13.359848455680446</v>
      </c>
      <c r="BM25" s="24">
        <f t="shared" si="15"/>
        <v>9.214422121774582E-2</v>
      </c>
      <c r="BN25" s="25">
        <f t="shared" si="16"/>
        <v>272740.9720000106</v>
      </c>
      <c r="BO25" s="38">
        <f t="shared" si="17"/>
        <v>8079.1599999999962</v>
      </c>
      <c r="BP25">
        <f t="shared" si="18"/>
        <v>1.2022559523809517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0.85</v>
      </c>
      <c r="G26" s="19">
        <f>'23'!G7</f>
        <v>20145.410000000033</v>
      </c>
      <c r="H26" s="19">
        <f>'23'!G8</f>
        <v>20368.810000000056</v>
      </c>
      <c r="I26" s="19">
        <v>9</v>
      </c>
      <c r="J26" s="49">
        <f t="shared" si="3"/>
        <v>183319.2900000005</v>
      </c>
      <c r="K26" s="45">
        <f t="shared" si="4"/>
        <v>100.83569306930721</v>
      </c>
      <c r="L26" s="19">
        <f>'23'!G15</f>
        <v>1066.1599999999162</v>
      </c>
      <c r="M26" s="19">
        <v>56.2</v>
      </c>
      <c r="N26" s="41">
        <f t="shared" si="5"/>
        <v>59918.191999995295</v>
      </c>
      <c r="O26" s="19">
        <f>'23'!G20</f>
        <v>249</v>
      </c>
      <c r="P26" s="19">
        <v>108</v>
      </c>
      <c r="Q26" s="46">
        <f t="shared" si="0"/>
        <v>26892</v>
      </c>
      <c r="R26" s="47">
        <f t="shared" si="1"/>
        <v>145.02038439138033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99</v>
      </c>
      <c r="W26" s="22">
        <f>'23'!G66</f>
        <v>25</v>
      </c>
      <c r="X26" s="22">
        <f>'23'!G67</f>
        <v>28</v>
      </c>
      <c r="Y26" s="22">
        <f t="shared" si="7"/>
        <v>152</v>
      </c>
      <c r="Z26" s="19">
        <f>'23'!G84</f>
        <v>0</v>
      </c>
      <c r="AA26" s="19">
        <f>'23'!G85</f>
        <v>23.630000000000109</v>
      </c>
      <c r="AB26" s="19">
        <f>'23'!G86</f>
        <v>0</v>
      </c>
      <c r="AC26" s="19">
        <f>'23'!G87</f>
        <v>0</v>
      </c>
      <c r="AD26" s="19">
        <f t="shared" si="8"/>
        <v>23.630000000000109</v>
      </c>
      <c r="AE26" s="23">
        <f t="shared" si="2"/>
        <v>4454.0999999999985</v>
      </c>
      <c r="AF26" s="23">
        <f t="shared" si="9"/>
        <v>188.49344054168336</v>
      </c>
      <c r="AG26" s="19">
        <f>'23'!G88</f>
        <v>0</v>
      </c>
      <c r="AH26" s="19">
        <f>'23'!G89</f>
        <v>10.419999999998254</v>
      </c>
      <c r="AI26" s="19">
        <f>'23'!G90</f>
        <v>5.5399999999935972</v>
      </c>
      <c r="AJ26" s="19">
        <f t="shared" si="10"/>
        <v>15.959999999991851</v>
      </c>
      <c r="AK26" s="19">
        <f>'23'!G91</f>
        <v>0</v>
      </c>
      <c r="AL26" s="19">
        <f>'23'!G92</f>
        <v>10.729999999999563</v>
      </c>
      <c r="AM26" s="19"/>
      <c r="AN26" s="19">
        <f t="shared" si="11"/>
        <v>10.729999999999563</v>
      </c>
      <c r="AO26" s="52">
        <f>'23'!G74</f>
        <v>301.47999999998137</v>
      </c>
      <c r="AP26" s="55">
        <f>'23'!G35</f>
        <v>1488.7900000000081</v>
      </c>
      <c r="AQ26" s="19">
        <f>'23'!G37</f>
        <v>1586.7099999999919</v>
      </c>
      <c r="AR26" s="19">
        <f>'23'!G38</f>
        <v>1933.5499999999884</v>
      </c>
      <c r="AS26" s="19">
        <f>'23'!G39</f>
        <v>2743.8499999999767</v>
      </c>
      <c r="AT26" s="19">
        <f>'23'!G40</f>
        <v>588.38000000000011</v>
      </c>
      <c r="AU26" s="19">
        <f>'23'!G41</f>
        <v>0</v>
      </c>
      <c r="AV26" s="19">
        <f>'23'!G42</f>
        <v>4454.0999999999985</v>
      </c>
      <c r="AW26" s="19">
        <f>'23'!G43</f>
        <v>2677.5</v>
      </c>
      <c r="AX26" s="23">
        <f>'23'!G44</f>
        <v>0</v>
      </c>
      <c r="AY26" s="56">
        <f>'23'!G36</f>
        <v>821.63999999999942</v>
      </c>
      <c r="AZ26" s="55">
        <f>'23'!G49</f>
        <v>1537.429999999993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3.8000000000001819</v>
      </c>
      <c r="BE26" s="19">
        <f>'23'!G55</f>
        <v>0</v>
      </c>
      <c r="BF26" s="19">
        <f>'23'!G56</f>
        <v>0</v>
      </c>
      <c r="BG26" s="19">
        <f>'23'!G57</f>
        <v>0</v>
      </c>
      <c r="BH26" s="56">
        <f>'23'!G50</f>
        <v>1077.1100000000006</v>
      </c>
      <c r="BI26" s="60">
        <f t="shared" si="12"/>
        <v>4454.0999999999985</v>
      </c>
      <c r="BJ26" s="60">
        <f>'23'!G133</f>
        <v>663.94000000000233</v>
      </c>
      <c r="BK26" s="23">
        <f t="shared" si="13"/>
        <v>49.869481820489128</v>
      </c>
      <c r="BL26" s="23">
        <f t="shared" si="14"/>
        <v>13.470840957326271</v>
      </c>
      <c r="BM26" s="24">
        <f t="shared" si="15"/>
        <v>9.4926998680825395E-2</v>
      </c>
      <c r="BN26" s="25">
        <f t="shared" si="16"/>
        <v>270129.48199999577</v>
      </c>
      <c r="BO26" s="38">
        <f t="shared" si="17"/>
        <v>7795.5400000000009</v>
      </c>
      <c r="BP26">
        <f t="shared" si="18"/>
        <v>1.178214739133058</v>
      </c>
    </row>
    <row r="27" spans="1:68" x14ac:dyDescent="0.25">
      <c r="A27" s="16">
        <v>24</v>
      </c>
      <c r="B27" s="17">
        <v>24</v>
      </c>
      <c r="C27" s="28"/>
      <c r="D27" s="19">
        <f>'24'!D3</f>
        <v>24</v>
      </c>
      <c r="E27" s="50">
        <f>'24'!D4</f>
        <v>0.77</v>
      </c>
      <c r="F27" s="50">
        <f>'24'!D2</f>
        <v>0.9</v>
      </c>
      <c r="G27" s="19">
        <f>'24'!G7</f>
        <v>20483</v>
      </c>
      <c r="H27" s="19">
        <f>'24'!G8</f>
        <v>20704</v>
      </c>
      <c r="I27" s="19">
        <v>9</v>
      </c>
      <c r="J27" s="49">
        <f t="shared" si="3"/>
        <v>186336</v>
      </c>
      <c r="K27" s="45">
        <f t="shared" si="4"/>
        <v>102.4950495049505</v>
      </c>
      <c r="L27" s="19">
        <f>'24'!G15</f>
        <v>1076</v>
      </c>
      <c r="M27" s="19">
        <v>56.2</v>
      </c>
      <c r="N27" s="41">
        <f t="shared" si="5"/>
        <v>60471.200000000004</v>
      </c>
      <c r="O27" s="19">
        <f>'24'!G20</f>
        <v>234</v>
      </c>
      <c r="P27" s="19">
        <v>108</v>
      </c>
      <c r="Q27" s="46">
        <f t="shared" si="0"/>
        <v>25272</v>
      </c>
      <c r="R27" s="47">
        <f t="shared" si="1"/>
        <v>128.71287128712871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89</v>
      </c>
      <c r="W27" s="22">
        <f>'24'!G66</f>
        <v>20</v>
      </c>
      <c r="X27" s="22">
        <f>'24'!G67</f>
        <v>31</v>
      </c>
      <c r="Y27" s="22">
        <f t="shared" si="7"/>
        <v>140</v>
      </c>
      <c r="Z27" s="19">
        <f>'24'!G84</f>
        <v>0</v>
      </c>
      <c r="AA27" s="19">
        <f>'24'!G85</f>
        <v>24</v>
      </c>
      <c r="AB27" s="19">
        <f>'24'!G86</f>
        <v>0</v>
      </c>
      <c r="AC27" s="19">
        <f>'24'!G87</f>
        <v>0</v>
      </c>
      <c r="AD27" s="19">
        <f t="shared" si="8"/>
        <v>24</v>
      </c>
      <c r="AE27" s="23">
        <f t="shared" si="2"/>
        <v>4621</v>
      </c>
      <c r="AF27" s="23">
        <f t="shared" si="9"/>
        <v>192.54166666666666</v>
      </c>
      <c r="AG27" s="19">
        <f>'24'!G88</f>
        <v>2.4400000000023283</v>
      </c>
      <c r="AH27" s="19">
        <f>'24'!G89</f>
        <v>7.3100000000013097</v>
      </c>
      <c r="AI27" s="19">
        <f>'24'!G90</f>
        <v>5.180000000007567</v>
      </c>
      <c r="AJ27" s="19">
        <f t="shared" si="10"/>
        <v>14.930000000011205</v>
      </c>
      <c r="AK27" s="19">
        <f>'24'!G91</f>
        <v>0</v>
      </c>
      <c r="AL27" s="19">
        <f>'24'!G92</f>
        <v>10.260000000000218</v>
      </c>
      <c r="AM27" s="19"/>
      <c r="AN27" s="19">
        <f t="shared" si="11"/>
        <v>10.260000000000218</v>
      </c>
      <c r="AO27" s="52">
        <f>'24'!G74</f>
        <v>299</v>
      </c>
      <c r="AP27" s="55">
        <f>'24'!G35</f>
        <v>1535</v>
      </c>
      <c r="AQ27" s="19">
        <f>'24'!G37</f>
        <v>1616</v>
      </c>
      <c r="AR27" s="19">
        <f>'24'!G38</f>
        <v>1954</v>
      </c>
      <c r="AS27" s="19">
        <f>'24'!G39</f>
        <v>2746</v>
      </c>
      <c r="AT27" s="19">
        <f>'24'!G40</f>
        <v>589</v>
      </c>
      <c r="AU27" s="19">
        <f>'24'!G41</f>
        <v>0</v>
      </c>
      <c r="AV27" s="19">
        <f>'24'!G42</f>
        <v>4621</v>
      </c>
      <c r="AW27" s="19">
        <f>'24'!G43</f>
        <v>2687</v>
      </c>
      <c r="AX27" s="23">
        <f>'24'!G44</f>
        <v>0</v>
      </c>
      <c r="AY27" s="56">
        <f>'24'!G36</f>
        <v>955</v>
      </c>
      <c r="AZ27" s="55">
        <f>'24'!G49</f>
        <v>1560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5</v>
      </c>
      <c r="BE27" s="19">
        <f>'24'!G55</f>
        <v>0</v>
      </c>
      <c r="BF27" s="19">
        <f>'24'!G56</f>
        <v>0</v>
      </c>
      <c r="BG27" s="19">
        <f>'24'!G57</f>
        <v>0</v>
      </c>
      <c r="BH27" s="56">
        <f>'24'!G50</f>
        <v>1032</v>
      </c>
      <c r="BI27" s="60">
        <f t="shared" si="12"/>
        <v>4621</v>
      </c>
      <c r="BJ27" s="60">
        <f>'24'!G133</f>
        <v>679</v>
      </c>
      <c r="BK27" s="23">
        <f t="shared" si="13"/>
        <v>50.246329211746527</v>
      </c>
      <c r="BL27" s="23">
        <f t="shared" si="14"/>
        <v>13.263137557959816</v>
      </c>
      <c r="BM27" s="24">
        <f t="shared" si="15"/>
        <v>9.4377897990726434E-2</v>
      </c>
      <c r="BN27" s="25">
        <f t="shared" si="16"/>
        <v>272079.2</v>
      </c>
      <c r="BO27" s="38">
        <f t="shared" si="17"/>
        <v>7987</v>
      </c>
      <c r="BP27">
        <f t="shared" si="18"/>
        <v>1.1885416666666666</v>
      </c>
    </row>
    <row r="28" spans="1:68" x14ac:dyDescent="0.25">
      <c r="A28" s="16">
        <v>25</v>
      </c>
      <c r="B28" s="26">
        <v>25</v>
      </c>
      <c r="C28" s="28"/>
      <c r="D28" s="19">
        <f>'25'!D3</f>
        <v>24</v>
      </c>
      <c r="E28" s="50">
        <f>'25'!D4</f>
        <v>0.77</v>
      </c>
      <c r="F28" s="50">
        <f>'25'!D2</f>
        <v>0.9</v>
      </c>
      <c r="G28" s="19">
        <f>'25'!G7</f>
        <v>21895</v>
      </c>
      <c r="H28" s="19">
        <f>'25'!G8</f>
        <v>22043</v>
      </c>
      <c r="I28" s="19">
        <v>9</v>
      </c>
      <c r="J28" s="49">
        <f t="shared" si="3"/>
        <v>198387</v>
      </c>
      <c r="K28" s="45">
        <f t="shared" si="4"/>
        <v>109.12376237623762</v>
      </c>
      <c r="L28" s="19">
        <f>'25'!G15</f>
        <v>1177</v>
      </c>
      <c r="M28" s="19">
        <v>56.2</v>
      </c>
      <c r="N28" s="41">
        <f t="shared" si="5"/>
        <v>66147.400000000009</v>
      </c>
      <c r="O28" s="19">
        <f>'25'!G20</f>
        <v>252</v>
      </c>
      <c r="P28" s="19">
        <v>108</v>
      </c>
      <c r="Q28" s="46">
        <f t="shared" si="0"/>
        <v>27216</v>
      </c>
      <c r="R28" s="47">
        <f t="shared" si="1"/>
        <v>138.61386138613861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91</v>
      </c>
      <c r="W28" s="22">
        <f>'25'!G66</f>
        <v>24</v>
      </c>
      <c r="X28" s="22">
        <f>'25'!G67</f>
        <v>38</v>
      </c>
      <c r="Y28" s="22">
        <f t="shared" si="7"/>
        <v>153</v>
      </c>
      <c r="Z28" s="19">
        <f>'25'!G84</f>
        <v>0</v>
      </c>
      <c r="AA28" s="19">
        <f>'25'!G85</f>
        <v>24</v>
      </c>
      <c r="AB28" s="19">
        <f>'25'!G86</f>
        <v>0</v>
      </c>
      <c r="AC28" s="19">
        <f>'25'!G87</f>
        <v>0</v>
      </c>
      <c r="AD28" s="19">
        <f t="shared" si="8"/>
        <v>24</v>
      </c>
      <c r="AE28" s="23">
        <f t="shared" si="2"/>
        <v>0</v>
      </c>
      <c r="AF28" s="23">
        <f t="shared" si="9"/>
        <v>0</v>
      </c>
      <c r="AG28" s="19">
        <f>'25'!G88</f>
        <v>9.0299999999988358</v>
      </c>
      <c r="AH28" s="19">
        <f>'25'!G89</f>
        <v>0</v>
      </c>
      <c r="AI28" s="19">
        <f>'25'!G90</f>
        <v>7.8499999999912689</v>
      </c>
      <c r="AJ28" s="19">
        <f t="shared" si="10"/>
        <v>16.879999999990105</v>
      </c>
      <c r="AK28" s="19">
        <f>'25'!G91</f>
        <v>-0.32000000000016371</v>
      </c>
      <c r="AL28" s="19">
        <f>'25'!G92</f>
        <v>12</v>
      </c>
      <c r="AM28" s="19"/>
      <c r="AN28" s="19">
        <f t="shared" si="11"/>
        <v>11.679999999999836</v>
      </c>
      <c r="AO28" s="52">
        <f>'25'!G74</f>
        <v>329</v>
      </c>
      <c r="AP28" s="55">
        <f>'25'!G35</f>
        <v>1650</v>
      </c>
      <c r="AQ28" s="19">
        <f>'25'!G37</f>
        <v>1632</v>
      </c>
      <c r="AR28" s="19">
        <f>'25'!G38</f>
        <v>2035</v>
      </c>
      <c r="AS28" s="19">
        <f>'25'!G39</f>
        <v>2850</v>
      </c>
      <c r="AT28" s="19">
        <f>'25'!G40</f>
        <v>481</v>
      </c>
      <c r="AU28" s="19">
        <f>'25'!G41</f>
        <v>0</v>
      </c>
      <c r="AV28" s="19"/>
      <c r="AW28" s="19">
        <f>'25'!G43</f>
        <v>2685</v>
      </c>
      <c r="AX28" s="23">
        <f>'25'!G44</f>
        <v>0</v>
      </c>
      <c r="AY28" s="56">
        <f>'25'!G36</f>
        <v>1168</v>
      </c>
      <c r="AZ28" s="55">
        <f>'25'!G49</f>
        <v>1593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5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1393</v>
      </c>
      <c r="BI28" s="60">
        <f t="shared" si="12"/>
        <v>0</v>
      </c>
      <c r="BJ28" s="60">
        <f>'25'!G133</f>
        <v>702</v>
      </c>
      <c r="BK28" s="23">
        <f t="shared" si="13"/>
        <v>26.892891167263983</v>
      </c>
      <c r="BL28" s="23">
        <f t="shared" si="14"/>
        <v>12.929274599646146</v>
      </c>
      <c r="BM28" s="24">
        <f t="shared" si="15"/>
        <v>9.2319557229052301E-2</v>
      </c>
      <c r="BN28" s="25">
        <f t="shared" si="16"/>
        <v>291750.40000000002</v>
      </c>
      <c r="BO28" s="38">
        <f t="shared" si="17"/>
        <v>3387</v>
      </c>
      <c r="BP28">
        <f t="shared" si="18"/>
        <v>0.50401785714285718</v>
      </c>
    </row>
    <row r="29" spans="1:68" x14ac:dyDescent="0.25">
      <c r="A29" s="16">
        <v>26</v>
      </c>
      <c r="B29" s="26">
        <v>26</v>
      </c>
      <c r="C29" s="29"/>
      <c r="D29" s="19">
        <f>'26'!D3</f>
        <v>24</v>
      </c>
      <c r="E29" s="50">
        <f>'26'!D4</f>
        <v>0.77</v>
      </c>
      <c r="F29" s="50">
        <f>'26'!D2</f>
        <v>0.83</v>
      </c>
      <c r="G29" s="19">
        <f>'26'!G7</f>
        <v>21937</v>
      </c>
      <c r="H29" s="19">
        <f>'26'!G8</f>
        <v>22149</v>
      </c>
      <c r="I29" s="19">
        <v>9</v>
      </c>
      <c r="J29" s="49">
        <f t="shared" si="3"/>
        <v>199341</v>
      </c>
      <c r="K29" s="45">
        <f t="shared" si="4"/>
        <v>109.64851485148515</v>
      </c>
      <c r="L29" s="19">
        <f>'26'!G15</f>
        <v>1237</v>
      </c>
      <c r="M29" s="19">
        <v>56.2</v>
      </c>
      <c r="N29" s="41">
        <f t="shared" si="5"/>
        <v>69519.400000000009</v>
      </c>
      <c r="O29" s="19">
        <f>'26'!G20</f>
        <v>273</v>
      </c>
      <c r="P29" s="19">
        <v>108</v>
      </c>
      <c r="Q29" s="46">
        <f t="shared" si="0"/>
        <v>29484</v>
      </c>
      <c r="R29" s="47">
        <f t="shared" si="1"/>
        <v>162.82953596564477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117</v>
      </c>
      <c r="W29" s="22">
        <f>'26'!G66</f>
        <v>28</v>
      </c>
      <c r="X29" s="22">
        <f>'26'!G67</f>
        <v>31</v>
      </c>
      <c r="Y29" s="22">
        <f t="shared" si="7"/>
        <v>176</v>
      </c>
      <c r="Z29" s="19">
        <f>'26'!G84</f>
        <v>0</v>
      </c>
      <c r="AA29" s="19">
        <f>'26'!G85</f>
        <v>24.319999999999936</v>
      </c>
      <c r="AB29" s="19">
        <f>'26'!G86</f>
        <v>0</v>
      </c>
      <c r="AC29" s="19">
        <f>'26'!G87</f>
        <v>0</v>
      </c>
      <c r="AD29" s="19">
        <f t="shared" si="8"/>
        <v>24.319999999999936</v>
      </c>
      <c r="AE29" s="23">
        <f t="shared" si="2"/>
        <v>5089</v>
      </c>
      <c r="AF29" s="23">
        <f t="shared" si="9"/>
        <v>209.25164473684265</v>
      </c>
      <c r="AG29" s="19">
        <f>'26'!G88</f>
        <v>11</v>
      </c>
      <c r="AH29" s="19">
        <f>'26'!G89</f>
        <v>0</v>
      </c>
      <c r="AI29" s="19">
        <f>'26'!G90</f>
        <v>5.8899999999994179</v>
      </c>
      <c r="AJ29" s="19">
        <f t="shared" si="10"/>
        <v>16.889999999999418</v>
      </c>
      <c r="AK29" s="19">
        <f>'26'!G91</f>
        <v>0</v>
      </c>
      <c r="AL29" s="19">
        <f>'26'!G92</f>
        <v>11</v>
      </c>
      <c r="AM29" s="19"/>
      <c r="AN29" s="19">
        <f t="shared" si="11"/>
        <v>11</v>
      </c>
      <c r="AO29" s="52">
        <f>'26'!G74</f>
        <v>336</v>
      </c>
      <c r="AP29" s="55">
        <f>'26'!G35</f>
        <v>1816</v>
      </c>
      <c r="AQ29" s="19">
        <f>'26'!G37</f>
        <v>1597</v>
      </c>
      <c r="AR29" s="19">
        <f>'26'!G38</f>
        <v>1966</v>
      </c>
      <c r="AS29" s="19">
        <f>'26'!G39</f>
        <v>2728</v>
      </c>
      <c r="AT29" s="19">
        <f>'26'!G40</f>
        <v>424</v>
      </c>
      <c r="AU29" s="19">
        <f>'26'!G41</f>
        <v>0</v>
      </c>
      <c r="AV29" s="19">
        <f>'26'!G42</f>
        <v>5089</v>
      </c>
      <c r="AW29" s="19">
        <f>'26'!G43</f>
        <v>2682</v>
      </c>
      <c r="AX29" s="23">
        <f>'26'!G44</f>
        <v>0</v>
      </c>
      <c r="AY29" s="56">
        <f>'26'!G36</f>
        <v>1268</v>
      </c>
      <c r="AZ29" s="55">
        <f>'26'!G49</f>
        <v>1527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1428</v>
      </c>
      <c r="BI29" s="60">
        <f t="shared" si="12"/>
        <v>5089</v>
      </c>
      <c r="BJ29" s="60">
        <f>'26'!G133</f>
        <v>673</v>
      </c>
      <c r="BK29" s="23">
        <f t="shared" si="13"/>
        <v>50.178337622466024</v>
      </c>
      <c r="BL29" s="23">
        <f t="shared" si="14"/>
        <v>12.316583141451082</v>
      </c>
      <c r="BM29" s="24">
        <f t="shared" si="15"/>
        <v>8.8762472346381321E-2</v>
      </c>
      <c r="BN29" s="25">
        <f t="shared" si="16"/>
        <v>298344.40000000002</v>
      </c>
      <c r="BO29" s="38">
        <f t="shared" si="17"/>
        <v>8444</v>
      </c>
      <c r="BP29">
        <f t="shared" si="18"/>
        <v>1.2400140977443641</v>
      </c>
    </row>
    <row r="30" spans="1:68" x14ac:dyDescent="0.25">
      <c r="A30" s="16">
        <v>27</v>
      </c>
      <c r="B30" s="17">
        <v>27</v>
      </c>
      <c r="C30" s="28"/>
      <c r="D30" s="19">
        <f>'27'!D3</f>
        <v>25</v>
      </c>
      <c r="E30" s="50">
        <f>'27'!D4</f>
        <v>0.77</v>
      </c>
      <c r="F30" s="50">
        <f>'27'!D2</f>
        <v>0.76</v>
      </c>
      <c r="G30" s="19">
        <f>'27'!G7</f>
        <v>21552</v>
      </c>
      <c r="H30" s="19">
        <f>'27'!G8</f>
        <v>21761</v>
      </c>
      <c r="I30" s="19">
        <v>9</v>
      </c>
      <c r="J30" s="49">
        <f t="shared" si="3"/>
        <v>195849</v>
      </c>
      <c r="K30" s="45">
        <f t="shared" si="4"/>
        <v>107.72772277227723</v>
      </c>
      <c r="L30" s="19">
        <f>'27'!G15</f>
        <v>1125</v>
      </c>
      <c r="M30" s="19">
        <v>56.2</v>
      </c>
      <c r="N30" s="41">
        <f t="shared" si="5"/>
        <v>63225</v>
      </c>
      <c r="O30" s="19">
        <f>'27'!G20</f>
        <v>257</v>
      </c>
      <c r="P30" s="19">
        <v>108</v>
      </c>
      <c r="Q30" s="46">
        <f t="shared" si="0"/>
        <v>27756</v>
      </c>
      <c r="R30" s="47">
        <f t="shared" si="1"/>
        <v>167.40489838457529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95</v>
      </c>
      <c r="W30" s="22">
        <f>'27'!G66</f>
        <v>19</v>
      </c>
      <c r="X30" s="22">
        <f>'27'!G67</f>
        <v>28</v>
      </c>
      <c r="Y30" s="22">
        <f t="shared" si="7"/>
        <v>142</v>
      </c>
      <c r="Z30" s="19">
        <f>'27'!G84</f>
        <v>0</v>
      </c>
      <c r="AA30" s="19">
        <f>'27'!G85</f>
        <v>23.680000000000064</v>
      </c>
      <c r="AB30" s="19">
        <f>'27'!G86</f>
        <v>0</v>
      </c>
      <c r="AC30" s="19">
        <f>'27'!G87</f>
        <v>0</v>
      </c>
      <c r="AD30" s="19">
        <f t="shared" si="8"/>
        <v>23.680000000000064</v>
      </c>
      <c r="AE30" s="23">
        <f t="shared" si="2"/>
        <v>4970</v>
      </c>
      <c r="AF30" s="23">
        <f t="shared" si="9"/>
        <v>209.8817567567562</v>
      </c>
      <c r="AG30" s="19">
        <f>'27'!G88</f>
        <v>11</v>
      </c>
      <c r="AH30" s="19">
        <f>'27'!G89</f>
        <v>0</v>
      </c>
      <c r="AI30" s="19">
        <f>'27'!G90</f>
        <v>5.4600000000064028</v>
      </c>
      <c r="AJ30" s="19">
        <f t="shared" si="10"/>
        <v>16.460000000006403</v>
      </c>
      <c r="AK30" s="19">
        <f>'27'!G91</f>
        <v>0</v>
      </c>
      <c r="AL30" s="19">
        <f>'27'!G92</f>
        <v>11</v>
      </c>
      <c r="AM30" s="19"/>
      <c r="AN30" s="19">
        <f t="shared" si="11"/>
        <v>11</v>
      </c>
      <c r="AO30" s="52">
        <f>'27'!G74</f>
        <v>311</v>
      </c>
      <c r="AP30" s="55">
        <f>'27'!G35</f>
        <v>1834</v>
      </c>
      <c r="AQ30" s="19">
        <f>'27'!G37</f>
        <v>1580</v>
      </c>
      <c r="AR30" s="19">
        <f>'27'!G38</f>
        <v>1959</v>
      </c>
      <c r="AS30" s="19">
        <f>'27'!G39</f>
        <v>2857</v>
      </c>
      <c r="AT30" s="19">
        <f>'27'!G40</f>
        <v>773</v>
      </c>
      <c r="AU30" s="19">
        <f>'27'!G41</f>
        <v>0</v>
      </c>
      <c r="AV30" s="19">
        <f>'27'!G42</f>
        <v>4970</v>
      </c>
      <c r="AW30" s="19">
        <f>'27'!G43</f>
        <v>2703</v>
      </c>
      <c r="AX30" s="23">
        <f>'27'!G44</f>
        <v>0</v>
      </c>
      <c r="AY30" s="56">
        <f>'27'!G36</f>
        <v>880</v>
      </c>
      <c r="AZ30" s="55">
        <f>'27'!G49</f>
        <v>1531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4</v>
      </c>
      <c r="BE30" s="19">
        <f>'27'!G55</f>
        <v>0</v>
      </c>
      <c r="BF30" s="19">
        <f>'27'!G56</f>
        <v>0</v>
      </c>
      <c r="BG30" s="19">
        <f>'27'!G57</f>
        <v>0</v>
      </c>
      <c r="BH30" s="56">
        <f>'27'!G50</f>
        <v>1298</v>
      </c>
      <c r="BI30" s="60">
        <f t="shared" si="12"/>
        <v>4970</v>
      </c>
      <c r="BJ30" s="60">
        <f>'27'!G133</f>
        <v>657</v>
      </c>
      <c r="BK30" s="23">
        <f t="shared" si="13"/>
        <v>50.723771885483202</v>
      </c>
      <c r="BL30" s="23">
        <f t="shared" si="14"/>
        <v>13.128992233812783</v>
      </c>
      <c r="BM30" s="24">
        <f t="shared" si="15"/>
        <v>9.00234364229585E-2</v>
      </c>
      <c r="BN30" s="25">
        <f t="shared" si="16"/>
        <v>286830</v>
      </c>
      <c r="BO30" s="38">
        <f t="shared" si="17"/>
        <v>8330</v>
      </c>
      <c r="BP30">
        <f t="shared" si="18"/>
        <v>1.2563344594594561</v>
      </c>
    </row>
    <row r="31" spans="1:68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0.78</v>
      </c>
      <c r="F31" s="50">
        <f>'28'!D2</f>
        <v>0.92</v>
      </c>
      <c r="G31" s="19">
        <f>'28'!G7</f>
        <v>21069.620000000003</v>
      </c>
      <c r="H31" s="19">
        <f>'28'!G8</f>
        <v>21245.880000000005</v>
      </c>
      <c r="I31" s="19">
        <v>9</v>
      </c>
      <c r="J31" s="49">
        <f t="shared" si="3"/>
        <v>191212.92000000004</v>
      </c>
      <c r="K31" s="45">
        <f t="shared" si="4"/>
        <v>105.17762376237626</v>
      </c>
      <c r="L31" s="19">
        <f>'28'!G15</f>
        <v>1026.0300000000279</v>
      </c>
      <c r="M31" s="19">
        <v>56.2</v>
      </c>
      <c r="N31" s="41">
        <f t="shared" si="5"/>
        <v>57662.88600000157</v>
      </c>
      <c r="O31" s="19">
        <f>'28'!G20</f>
        <v>291</v>
      </c>
      <c r="P31" s="19">
        <v>108</v>
      </c>
      <c r="Q31" s="46">
        <f t="shared" si="0"/>
        <v>31428</v>
      </c>
      <c r="R31" s="47">
        <f t="shared" si="1"/>
        <v>156.58631080499353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134</v>
      </c>
      <c r="W31" s="22">
        <f>'28'!G66</f>
        <v>16</v>
      </c>
      <c r="X31" s="22">
        <f>'28'!G67</f>
        <v>26</v>
      </c>
      <c r="Y31" s="22">
        <f t="shared" si="7"/>
        <v>176</v>
      </c>
      <c r="Z31" s="19">
        <f>'28'!G84</f>
        <v>-0.15000000000145519</v>
      </c>
      <c r="AA31" s="19">
        <f>'28'!G85</f>
        <v>24.070000000000164</v>
      </c>
      <c r="AB31" s="19">
        <f>'28'!G86</f>
        <v>-0.47000000000116415</v>
      </c>
      <c r="AC31" s="19">
        <f>'28'!G87</f>
        <v>0</v>
      </c>
      <c r="AD31" s="19">
        <f t="shared" si="8"/>
        <v>23.449999999997544</v>
      </c>
      <c r="AE31" s="23">
        <f t="shared" si="2"/>
        <v>4561.429999999993</v>
      </c>
      <c r="AF31" s="23">
        <f t="shared" si="9"/>
        <v>194.51727078893265</v>
      </c>
      <c r="AG31" s="19">
        <f>'28'!G88</f>
        <v>1.8699999999989814</v>
      </c>
      <c r="AH31" s="19">
        <f>'28'!G89</f>
        <v>7.9399999999986903</v>
      </c>
      <c r="AI31" s="19">
        <f>'28'!G90</f>
        <v>5.9299999999930151</v>
      </c>
      <c r="AJ31" s="19">
        <f t="shared" si="10"/>
        <v>15.739999999990687</v>
      </c>
      <c r="AK31" s="19">
        <f>'28'!G91</f>
        <v>0</v>
      </c>
      <c r="AL31" s="19">
        <f>'28'!G92</f>
        <v>11.680000000000291</v>
      </c>
      <c r="AM31" s="19"/>
      <c r="AN31" s="19">
        <f t="shared" si="11"/>
        <v>11.680000000000291</v>
      </c>
      <c r="AO31" s="52">
        <f>'28'!G74</f>
        <v>325.92099999997299</v>
      </c>
      <c r="AP31" s="55">
        <f>'28'!G35</f>
        <v>1836.2699999999895</v>
      </c>
      <c r="AQ31" s="19">
        <f>'28'!G37</f>
        <v>1536.2300000000105</v>
      </c>
      <c r="AR31" s="19">
        <f>'28'!G38</f>
        <v>1967.4899999999907</v>
      </c>
      <c r="AS31" s="19">
        <f>'28'!G39</f>
        <v>2740.429999999993</v>
      </c>
      <c r="AT31" s="19">
        <f>'28'!G40</f>
        <v>982.77000000000044</v>
      </c>
      <c r="AU31" s="19">
        <f>'28'!G41</f>
        <v>0</v>
      </c>
      <c r="AV31" s="19">
        <f>'28'!G42</f>
        <v>4561.429999999993</v>
      </c>
      <c r="AW31" s="86">
        <f>'28'!G43</f>
        <v>2482.0699999999997</v>
      </c>
      <c r="AX31" s="23">
        <f>'28'!G44</f>
        <v>0</v>
      </c>
      <c r="AY31" s="56">
        <f>'28'!G36</f>
        <v>766.93999999999869</v>
      </c>
      <c r="AZ31" s="55">
        <f>'28'!G49</f>
        <v>1484.4099999999744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4.4000000000000909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1148.2000000000007</v>
      </c>
      <c r="BI31" s="60">
        <f t="shared" si="12"/>
        <v>4561.429999999993</v>
      </c>
      <c r="BJ31" s="60">
        <f>'28'!G133</f>
        <v>658.92999999999302</v>
      </c>
      <c r="BK31" s="23">
        <f>SUM(AP31,AU31,AV31,AW31,AZ31,BE31,BF31,BG31)/H31%</f>
        <v>48.782069747169587</v>
      </c>
      <c r="BL31" s="23">
        <f t="shared" si="14"/>
        <v>12.898641995530392</v>
      </c>
      <c r="BM31" s="24">
        <f t="shared" si="15"/>
        <v>9.2605719320639587E-2</v>
      </c>
      <c r="BN31" s="25">
        <f t="shared" si="16"/>
        <v>280303.80600000161</v>
      </c>
      <c r="BO31" s="38">
        <f t="shared" si="17"/>
        <v>7702.4299999999857</v>
      </c>
      <c r="BP31">
        <f t="shared" si="18"/>
        <v>1.1730779774597613</v>
      </c>
    </row>
    <row r="32" spans="1:68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0.8</v>
      </c>
      <c r="F32" s="50">
        <f>'29'!D2</f>
        <v>0.45</v>
      </c>
      <c r="G32" s="19">
        <f>'29'!G7</f>
        <v>19332.18</v>
      </c>
      <c r="H32" s="19">
        <f>'29'!G8</f>
        <v>19408.330000000002</v>
      </c>
      <c r="I32" s="19">
        <v>9</v>
      </c>
      <c r="J32" s="49">
        <f t="shared" si="3"/>
        <v>174674.97000000003</v>
      </c>
      <c r="K32" s="45">
        <f t="shared" si="4"/>
        <v>96.080841584158421</v>
      </c>
      <c r="L32" s="19">
        <f>'29'!G15</f>
        <v>1018.3400000000838</v>
      </c>
      <c r="M32" s="19">
        <v>56.2</v>
      </c>
      <c r="N32" s="41">
        <f t="shared" si="5"/>
        <v>57230.708000004714</v>
      </c>
      <c r="O32" s="19">
        <f>'29'!G20</f>
        <v>273</v>
      </c>
      <c r="P32" s="19">
        <v>108</v>
      </c>
      <c r="Q32" s="46">
        <f t="shared" si="0"/>
        <v>29484</v>
      </c>
      <c r="R32" s="47">
        <f t="shared" si="1"/>
        <v>300.33003300330034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104</v>
      </c>
      <c r="W32" s="22">
        <f>'29'!G66</f>
        <v>20</v>
      </c>
      <c r="X32" s="22">
        <f>'29'!G67</f>
        <v>28</v>
      </c>
      <c r="Y32" s="22">
        <f t="shared" si="7"/>
        <v>152</v>
      </c>
      <c r="Z32" s="19">
        <f>'29'!G84</f>
        <v>1.0000000002037268E-2</v>
      </c>
      <c r="AA32" s="19">
        <f>'29'!G85</f>
        <v>23.519999999999982</v>
      </c>
      <c r="AB32" s="19">
        <f>'29'!G86</f>
        <v>6.9999999999708962E-2</v>
      </c>
      <c r="AC32" s="19">
        <f>'29'!G87</f>
        <v>0</v>
      </c>
      <c r="AD32" s="19">
        <f t="shared" si="8"/>
        <v>23.600000000001728</v>
      </c>
      <c r="AE32" s="23">
        <f t="shared" si="2"/>
        <v>4224.4000000000015</v>
      </c>
      <c r="AF32" s="23">
        <f t="shared" si="9"/>
        <v>178.99999999998695</v>
      </c>
      <c r="AG32" s="19">
        <f>'29'!G88</f>
        <v>0.19000000000232831</v>
      </c>
      <c r="AH32" s="19">
        <f>'29'!G89</f>
        <v>9.319999999999709</v>
      </c>
      <c r="AI32" s="19">
        <f>'29'!G90</f>
        <v>5.1000000000058208</v>
      </c>
      <c r="AJ32" s="19">
        <f t="shared" si="10"/>
        <v>14.610000000007858</v>
      </c>
      <c r="AK32" s="19">
        <f>'29'!G91</f>
        <v>0</v>
      </c>
      <c r="AL32" s="19">
        <f>'29'!G92</f>
        <v>11.449999999999818</v>
      </c>
      <c r="AM32" s="19"/>
      <c r="AN32" s="19">
        <f t="shared" si="11"/>
        <v>11.449999999999818</v>
      </c>
      <c r="AO32" s="52">
        <f>'29'!G74</f>
        <v>326.39899999997579</v>
      </c>
      <c r="AP32" s="55">
        <f>'29'!G35</f>
        <v>1871.7200000000012</v>
      </c>
      <c r="AQ32" s="19">
        <f>'29'!G37</f>
        <v>1544.4799999999814</v>
      </c>
      <c r="AR32" s="19">
        <f>'29'!G38</f>
        <v>1870.5800000000163</v>
      </c>
      <c r="AS32" s="19">
        <f>'29'!G39</f>
        <v>2727.320000000007</v>
      </c>
      <c r="AT32" s="19">
        <f>'29'!G40</f>
        <v>381.89999999999964</v>
      </c>
      <c r="AU32" s="19">
        <f>'29'!G41</f>
        <v>0</v>
      </c>
      <c r="AV32" s="19">
        <f>'29'!G42</f>
        <v>4224.9400000000023</v>
      </c>
      <c r="AW32" s="19">
        <f>'29'!G43</f>
        <v>2459.9199999999983</v>
      </c>
      <c r="AX32" s="23">
        <f>'29'!G44</f>
        <v>0</v>
      </c>
      <c r="AY32" s="56">
        <f>'29'!G36</f>
        <v>817.22999999999956</v>
      </c>
      <c r="AZ32" s="55">
        <f>'29'!G49</f>
        <v>1433.8400000000256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4.3600000000001273</v>
      </c>
      <c r="BE32" s="19">
        <f>'29'!G55</f>
        <v>0</v>
      </c>
      <c r="BF32" s="19">
        <f>'29'!G56</f>
        <v>-0.54000000000087311</v>
      </c>
      <c r="BG32" s="19">
        <f>'29'!G57</f>
        <v>0</v>
      </c>
      <c r="BH32" s="56">
        <f>'29'!G50</f>
        <v>950.39999999999782</v>
      </c>
      <c r="BI32" s="60">
        <f t="shared" si="12"/>
        <v>4224.4000000000015</v>
      </c>
      <c r="BJ32" s="60">
        <f>'29'!G133</f>
        <v>707.36000000000058</v>
      </c>
      <c r="BK32" s="23">
        <f t="shared" si="13"/>
        <v>51.472125628531799</v>
      </c>
      <c r="BL32" s="23">
        <f t="shared" si="14"/>
        <v>14.052316711432704</v>
      </c>
      <c r="BM32" s="24">
        <f t="shared" si="15"/>
        <v>9.6380265586993627E-2</v>
      </c>
      <c r="BN32" s="25">
        <f t="shared" si="16"/>
        <v>261389.67800000473</v>
      </c>
      <c r="BO32" s="38">
        <f t="shared" si="17"/>
        <v>7391.68</v>
      </c>
      <c r="BP32">
        <f t="shared" si="18"/>
        <v>1.1185956416464073</v>
      </c>
    </row>
    <row r="33" spans="1:68" x14ac:dyDescent="0.25">
      <c r="A33" s="16">
        <v>30</v>
      </c>
      <c r="B33" s="27">
        <v>30</v>
      </c>
      <c r="C33" s="28"/>
      <c r="D33" s="19">
        <f>'30'!D3</f>
        <v>28</v>
      </c>
      <c r="E33" s="50">
        <f>'30'!D4</f>
        <v>0.8</v>
      </c>
      <c r="F33" s="50">
        <f>'30'!D2</f>
        <v>0.98</v>
      </c>
      <c r="G33" s="19">
        <f>'30'!G7</f>
        <v>24000</v>
      </c>
      <c r="H33" s="19">
        <f>'30'!G8</f>
        <v>24000</v>
      </c>
      <c r="I33" s="19">
        <v>9</v>
      </c>
      <c r="J33" s="49">
        <f t="shared" si="3"/>
        <v>216000</v>
      </c>
      <c r="K33" s="45">
        <f t="shared" si="4"/>
        <v>118.81188118811882</v>
      </c>
      <c r="L33" s="19">
        <f>'30'!G15</f>
        <v>1100</v>
      </c>
      <c r="M33" s="19">
        <v>56.2</v>
      </c>
      <c r="N33" s="41">
        <f t="shared" si="5"/>
        <v>61820</v>
      </c>
      <c r="O33" s="19">
        <f>'30'!G20</f>
        <v>-1309</v>
      </c>
      <c r="P33" s="19">
        <v>108</v>
      </c>
      <c r="Q33" s="46">
        <f t="shared" si="0"/>
        <v>-141372</v>
      </c>
      <c r="R33" s="47">
        <f t="shared" si="1"/>
        <v>-661.24469589816124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-3054</v>
      </c>
      <c r="W33" s="22">
        <f>'30'!G66</f>
        <v>-578</v>
      </c>
      <c r="X33" s="22">
        <f>'30'!G67</f>
        <v>-851</v>
      </c>
      <c r="Y33" s="22">
        <f t="shared" si="7"/>
        <v>-4483</v>
      </c>
      <c r="Z33" s="19">
        <f>'30'!G84</f>
        <v>-46.700000000004366</v>
      </c>
      <c r="AA33" s="19">
        <f>'30'!G85</f>
        <v>-580.0300000000002</v>
      </c>
      <c r="AB33" s="19">
        <f>'30'!G86</f>
        <v>-6.9999999999708962E-2</v>
      </c>
      <c r="AC33" s="19">
        <f>'30'!G87</f>
        <v>-178.15000000000146</v>
      </c>
      <c r="AD33" s="19">
        <f t="shared" si="8"/>
        <v>-804.95000000000573</v>
      </c>
      <c r="AE33" s="23">
        <f t="shared" si="2"/>
        <v>1016572.28</v>
      </c>
      <c r="AF33" s="23">
        <f t="shared" si="9"/>
        <v>-1262.9011491396891</v>
      </c>
      <c r="AG33" s="19">
        <f>'30'!G88</f>
        <v>-88.569999999999709</v>
      </c>
      <c r="AH33" s="19">
        <f>'30'!G89</f>
        <v>-223.7699999999968</v>
      </c>
      <c r="AI33" s="19">
        <f>'30'!G90</f>
        <v>-193.75999999999476</v>
      </c>
      <c r="AJ33" s="19">
        <f t="shared" si="10"/>
        <v>-506.09999999999127</v>
      </c>
      <c r="AK33" s="19">
        <f>'30'!G91</f>
        <v>0</v>
      </c>
      <c r="AL33" s="19">
        <f>'30'!G92</f>
        <v>-322.23000000000047</v>
      </c>
      <c r="AM33" s="19"/>
      <c r="AN33" s="19">
        <f t="shared" si="11"/>
        <v>-322.23000000000047</v>
      </c>
      <c r="AO33" s="52">
        <f>'30'!G74</f>
        <v>-9203.2709999999497</v>
      </c>
      <c r="AP33" s="55">
        <f>'30'!G35</f>
        <v>-55352.359999999986</v>
      </c>
      <c r="AQ33" s="19">
        <f>'30'!G37</f>
        <v>-46682.97</v>
      </c>
      <c r="AR33" s="19">
        <f>'30'!G38</f>
        <v>-57818.020000000019</v>
      </c>
      <c r="AS33" s="19">
        <f>'30'!G39</f>
        <v>-83941.460000000021</v>
      </c>
      <c r="AT33" s="19">
        <f>'30'!G40</f>
        <v>-5337.45</v>
      </c>
      <c r="AU33" s="19">
        <f>'30'!G41</f>
        <v>590513.71</v>
      </c>
      <c r="AV33" s="19">
        <f>'30'!G42</f>
        <v>244153.62</v>
      </c>
      <c r="AW33" s="19">
        <f>'30'!G43</f>
        <v>1486606.61</v>
      </c>
      <c r="AX33" s="23">
        <f>'30'!G44</f>
        <v>0</v>
      </c>
      <c r="AY33" s="56">
        <f>'30'!G36</f>
        <v>59641.53</v>
      </c>
      <c r="AZ33" s="55">
        <f>'30'!G49</f>
        <v>-48860.920000000013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-143.48000000000002</v>
      </c>
      <c r="BE33" s="19">
        <f>'30'!G55</f>
        <v>0</v>
      </c>
      <c r="BF33" s="19">
        <f>'30'!G56</f>
        <v>181904.95</v>
      </c>
      <c r="BG33" s="19">
        <f>'30'!G57</f>
        <v>0</v>
      </c>
      <c r="BH33" s="56">
        <f>'30'!G50</f>
        <v>700698.59</v>
      </c>
      <c r="BI33" s="60">
        <f t="shared" ref="BI33" si="19">SUM(AU33,AV33,BE33,BF33)</f>
        <v>1016572.28</v>
      </c>
      <c r="BJ33" s="60">
        <f>'30'!G133</f>
        <v>-22993.869999999995</v>
      </c>
      <c r="BK33" s="23">
        <f t="shared" si="13"/>
        <v>9995.6900416666685</v>
      </c>
      <c r="BL33" s="23">
        <f t="shared" si="14"/>
        <v>-349.75608333333344</v>
      </c>
      <c r="BM33" s="24">
        <f t="shared" si="15"/>
        <v>-2.4090841666666676</v>
      </c>
      <c r="BN33" s="25">
        <f t="shared" si="16"/>
        <v>136448</v>
      </c>
      <c r="BO33" s="38">
        <f t="shared" si="17"/>
        <v>2480185.02</v>
      </c>
      <c r="BP33">
        <f t="shared" si="18"/>
        <v>-11.004166274746357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28</v>
      </c>
      <c r="G34" s="19">
        <f>'31'!G7</f>
        <v>24000</v>
      </c>
      <c r="H34" s="19">
        <f>'31'!G8</f>
        <v>24000.000000000015</v>
      </c>
      <c r="I34" s="19">
        <v>9</v>
      </c>
      <c r="J34" s="49">
        <f t="shared" si="3"/>
        <v>216000.00000000012</v>
      </c>
      <c r="K34" s="45">
        <f t="shared" ref="K34" si="20">H34/202</f>
        <v>118.81188118811889</v>
      </c>
      <c r="L34" s="19">
        <f>'31'!G15</f>
        <v>1100</v>
      </c>
      <c r="M34" s="19">
        <v>56.2</v>
      </c>
      <c r="N34" s="41">
        <f t="shared" ref="N34" si="21">L34*M34</f>
        <v>61820</v>
      </c>
      <c r="O34" s="19">
        <f>'31'!G20</f>
        <v>-1467</v>
      </c>
      <c r="P34" s="19">
        <v>108</v>
      </c>
      <c r="Q34" s="46">
        <f t="shared" ref="Q34" si="22">O34*P34</f>
        <v>-158436</v>
      </c>
      <c r="R34" s="47">
        <f t="shared" si="1"/>
        <v>-25.937057991513434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-3158</v>
      </c>
      <c r="W34" s="22">
        <f>'31'!G66</f>
        <v>-629</v>
      </c>
      <c r="X34" s="22">
        <f>'31'!G67</f>
        <v>-840</v>
      </c>
      <c r="Y34" s="22">
        <f t="shared" ref="Y34" si="24">V34+W34+X34</f>
        <v>-4627</v>
      </c>
      <c r="Z34" s="19">
        <f>'31'!G84</f>
        <v>-43</v>
      </c>
      <c r="AA34" s="19">
        <f>'31'!G85</f>
        <v>-198.55999999999995</v>
      </c>
      <c r="AB34" s="19">
        <f>'31'!G86</f>
        <v>0</v>
      </c>
      <c r="AC34" s="19">
        <f>'31'!G87</f>
        <v>-672.40000000000146</v>
      </c>
      <c r="AD34" s="19">
        <f t="shared" ref="AD34" si="25">Z34+AA34+AB34+AC34</f>
        <v>-913.9600000000014</v>
      </c>
      <c r="AE34" s="23">
        <f t="shared" ref="AE34" si="26">AU34+AV34+BE34+BF34</f>
        <v>-201413.86000000002</v>
      </c>
      <c r="AF34" s="23">
        <f t="shared" ref="AF34" si="27">AE34/AD34</f>
        <v>220.37491793951563</v>
      </c>
      <c r="AG34" s="19">
        <f>'31'!G88</f>
        <v>-118.92000000000189</v>
      </c>
      <c r="AH34" s="19">
        <f>'31'!G89</f>
        <v>-182.11000000000058</v>
      </c>
      <c r="AI34" s="19">
        <f>'31'!G90</f>
        <v>-172.86000000000058</v>
      </c>
      <c r="AJ34" s="19">
        <f t="shared" ref="AJ34" si="28">AG34+AH34+AI34</f>
        <v>-473.89000000000306</v>
      </c>
      <c r="AK34" s="19">
        <f>'31'!G91</f>
        <v>0.32000000000016371</v>
      </c>
      <c r="AL34" s="19">
        <f>'31'!G92</f>
        <v>-304.07999999999993</v>
      </c>
      <c r="AM34" s="19"/>
      <c r="AN34" s="19">
        <f t="shared" ref="AN34" si="29">AK34+AL34</f>
        <v>-303.75999999999976</v>
      </c>
      <c r="AO34" s="52">
        <f>'31'!G74</f>
        <v>-8667.8179999999702</v>
      </c>
      <c r="AP34" s="55">
        <f>'31'!G35</f>
        <v>-61059.960000000006</v>
      </c>
      <c r="AQ34" s="19">
        <f>'31'!G37</f>
        <v>-48452.909999999989</v>
      </c>
      <c r="AR34" s="19">
        <f>'31'!G38</f>
        <v>-55781.009999999995</v>
      </c>
      <c r="AS34" s="19">
        <f>'31'!G39</f>
        <v>-88282.239999999991</v>
      </c>
      <c r="AT34" s="19">
        <f>'31'!G40</f>
        <v>-85.85</v>
      </c>
      <c r="AU34" s="19">
        <f>'31'!G41</f>
        <v>-8654.8800000000047</v>
      </c>
      <c r="AV34" s="19">
        <f>'31'!G42</f>
        <v>-45084.320000000007</v>
      </c>
      <c r="AW34" s="19">
        <f>'31'!G43</f>
        <v>-82511.200000000186</v>
      </c>
      <c r="AX34" s="23">
        <f>'31'!G44</f>
        <v>0</v>
      </c>
      <c r="AY34" s="56">
        <f>'31'!G36</f>
        <v>-29524.03</v>
      </c>
      <c r="AZ34" s="55">
        <f>'31'!G49</f>
        <v>-47782.939999999973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-163.79000000000042</v>
      </c>
      <c r="BE34" s="19">
        <f>'31'!G55</f>
        <v>0</v>
      </c>
      <c r="BF34" s="19">
        <f>'31'!G56</f>
        <v>-147674.66</v>
      </c>
      <c r="BG34" s="19">
        <f>'31'!G57</f>
        <v>0</v>
      </c>
      <c r="BH34" s="56">
        <f>'31'!G50</f>
        <v>-38860.879999999888</v>
      </c>
      <c r="BI34" s="60">
        <f t="shared" ref="BI34" si="30">SUM(AU34,AV34,BE34,BF34)</f>
        <v>-201413.86000000002</v>
      </c>
      <c r="BJ34" s="60">
        <f>'31'!G133</f>
        <v>-22625.129999999997</v>
      </c>
      <c r="BK34" s="23">
        <f t="shared" ref="BK34" si="31">SUM(AP34,AU34,AV34,AW34,AZ34,BE34,BF34,BG34)/H34%</f>
        <v>-1636.5331666666666</v>
      </c>
      <c r="BL34" s="23">
        <f t="shared" ref="BL34" si="32">SUM(AS34,BC34)/H34%</f>
        <v>-367.84266666666639</v>
      </c>
      <c r="BM34" s="24">
        <f t="shared" ref="BM34" si="33">(AR34+BB34)/H34</f>
        <v>-2.3242087499999982</v>
      </c>
      <c r="BN34" s="25">
        <f t="shared" ref="BN34" si="34">J34+N34+Q34+U34</f>
        <v>119384.00000000012</v>
      </c>
      <c r="BO34" s="38">
        <f t="shared" ref="BO34" si="35">SUM(AU34,AV34,AW34,BE34,BF34,BG34,BJ34)</f>
        <v>-306550.19000000018</v>
      </c>
      <c r="BP34">
        <f t="shared" ref="BP34" si="36">BO34/(AD34*280)</f>
        <v>1.1978884274397743</v>
      </c>
    </row>
    <row r="35" spans="1:68" x14ac:dyDescent="0.25">
      <c r="A35" s="16" t="s">
        <v>196</v>
      </c>
      <c r="B35" s="30"/>
      <c r="C35" s="31"/>
      <c r="D35" s="32">
        <f>AVERAGE(D4:D34)</f>
        <v>26.64516129032258</v>
      </c>
      <c r="E35" s="33"/>
      <c r="F35" s="73">
        <f>AVERAGE(F4:F34)</f>
        <v>1.611258064516129</v>
      </c>
      <c r="G35" s="34">
        <f>SUM(G4:G34)</f>
        <v>702265.8</v>
      </c>
      <c r="H35" s="34">
        <f t="shared" ref="H35:BN35" si="37">SUM(H4:H34)</f>
        <v>710334.21</v>
      </c>
      <c r="I35" s="19">
        <v>9</v>
      </c>
      <c r="J35" s="34">
        <f t="shared" si="37"/>
        <v>6393007.8899999997</v>
      </c>
      <c r="K35" s="34">
        <f t="shared" si="37"/>
        <v>3516.5059900990104</v>
      </c>
      <c r="L35" s="34">
        <f t="shared" si="37"/>
        <v>35497.370000000112</v>
      </c>
      <c r="M35" s="34">
        <f t="shared" si="37"/>
        <v>1742.200000000001</v>
      </c>
      <c r="N35" s="34">
        <f t="shared" si="37"/>
        <v>1994952.1940000062</v>
      </c>
      <c r="O35" s="34">
        <f t="shared" si="37"/>
        <v>4863</v>
      </c>
      <c r="P35" s="34">
        <f t="shared" si="37"/>
        <v>3348</v>
      </c>
      <c r="Q35" s="34">
        <f t="shared" si="37"/>
        <v>525204</v>
      </c>
      <c r="R35" s="34">
        <f t="shared" si="37"/>
        <v>4961.4664429637523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426291</v>
      </c>
      <c r="W35" s="34">
        <f t="shared" si="37"/>
        <v>-629</v>
      </c>
      <c r="X35" s="34">
        <f t="shared" si="37"/>
        <v>-840</v>
      </c>
      <c r="Y35" s="34">
        <f t="shared" si="37"/>
        <v>424822</v>
      </c>
      <c r="Z35" s="34">
        <f t="shared" si="37"/>
        <v>-43</v>
      </c>
      <c r="AA35" s="34">
        <f t="shared" si="37"/>
        <v>-198.55999999999995</v>
      </c>
      <c r="AB35" s="34">
        <f t="shared" si="37"/>
        <v>0</v>
      </c>
      <c r="AC35" s="34">
        <f t="shared" si="37"/>
        <v>-672.40000000000146</v>
      </c>
      <c r="AD35" s="34">
        <f t="shared" si="37"/>
        <v>-913.9600000000014</v>
      </c>
      <c r="AE35" s="34">
        <f t="shared" si="37"/>
        <v>963219.14</v>
      </c>
      <c r="AF35" s="34">
        <f t="shared" si="37"/>
        <v>4288.6659714429998</v>
      </c>
      <c r="AG35" s="34">
        <f t="shared" si="37"/>
        <v>-118.92000000000189</v>
      </c>
      <c r="AH35" s="34">
        <f t="shared" si="37"/>
        <v>-182.11000000000058</v>
      </c>
      <c r="AI35" s="34">
        <f t="shared" si="37"/>
        <v>-172.86000000000058</v>
      </c>
      <c r="AJ35" s="34">
        <f t="shared" si="37"/>
        <v>-473.89000000000306</v>
      </c>
      <c r="AK35" s="34">
        <f t="shared" si="37"/>
        <v>0.32000000000016371</v>
      </c>
      <c r="AL35" s="34">
        <f t="shared" si="37"/>
        <v>-304.07999999999993</v>
      </c>
      <c r="AM35" s="34">
        <f t="shared" si="37"/>
        <v>0</v>
      </c>
      <c r="AN35" s="34">
        <f t="shared" si="37"/>
        <v>-303.75999999999976</v>
      </c>
      <c r="AO35" s="34">
        <f t="shared" si="37"/>
        <v>-8988.8179999999702</v>
      </c>
      <c r="AP35" s="34">
        <f t="shared" si="37"/>
        <v>-61059.960000000006</v>
      </c>
      <c r="AQ35" s="34">
        <f t="shared" si="37"/>
        <v>-48452.909999999989</v>
      </c>
      <c r="AR35" s="34">
        <f t="shared" si="37"/>
        <v>-55781.009999999995</v>
      </c>
      <c r="AS35" s="34">
        <f t="shared" si="37"/>
        <v>-88282.239999999991</v>
      </c>
      <c r="AT35" s="34">
        <f t="shared" si="37"/>
        <v>454.30000000000052</v>
      </c>
      <c r="AU35" s="34">
        <f t="shared" si="37"/>
        <v>591245.12</v>
      </c>
      <c r="AV35" s="34">
        <f t="shared" si="37"/>
        <v>307583.68</v>
      </c>
      <c r="AW35" s="34">
        <f t="shared" si="37"/>
        <v>1482169.7999999998</v>
      </c>
      <c r="AX35" s="34">
        <f t="shared" si="37"/>
        <v>0</v>
      </c>
      <c r="AY35" s="34">
        <f t="shared" si="37"/>
        <v>60205.97</v>
      </c>
      <c r="AZ35" s="34">
        <f t="shared" si="37"/>
        <v>-47782.939999999973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-162.79000000000042</v>
      </c>
      <c r="BE35" s="34">
        <f t="shared" si="37"/>
        <v>0</v>
      </c>
      <c r="BF35" s="34">
        <f t="shared" si="37"/>
        <v>64390.34</v>
      </c>
      <c r="BG35" s="34">
        <f t="shared" si="37"/>
        <v>0</v>
      </c>
      <c r="BH35" s="34">
        <f t="shared" si="37"/>
        <v>700214.12000000011</v>
      </c>
      <c r="BI35" s="34">
        <f t="shared" si="37"/>
        <v>963219.14</v>
      </c>
      <c r="BJ35" s="34">
        <f t="shared" si="37"/>
        <v>-22667.87000000001</v>
      </c>
      <c r="BK35" s="34">
        <f t="shared" si="37"/>
        <v>9803.881958718468</v>
      </c>
      <c r="BL35" s="34">
        <f t="shared" si="37"/>
        <v>-348.98039111324556</v>
      </c>
      <c r="BM35" s="34">
        <f t="shared" si="37"/>
        <v>-2.193511211765315</v>
      </c>
      <c r="BN35" s="34">
        <f t="shared" si="37"/>
        <v>8913164.0840000063</v>
      </c>
      <c r="BO35" s="38">
        <f t="shared" si="17"/>
        <v>2422721.0699999994</v>
      </c>
      <c r="BP35">
        <f t="shared" si="18"/>
        <v>-9.4671268436255254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-5.0000000000000044E-2</v>
      </c>
      <c r="F36" s="35">
        <f t="shared" si="38"/>
        <v>-4.0000000000000036E-2</v>
      </c>
      <c r="G36" s="35"/>
      <c r="H36" s="35">
        <f t="shared" ref="H36:AN36" si="39">H18-H17</f>
        <v>525</v>
      </c>
      <c r="I36" s="35">
        <f t="shared" si="39"/>
        <v>0</v>
      </c>
      <c r="J36" s="42">
        <f t="shared" si="39"/>
        <v>4725</v>
      </c>
      <c r="K36" s="42">
        <f t="shared" si="39"/>
        <v>2.5990099009900973</v>
      </c>
      <c r="L36" s="35">
        <f t="shared" si="39"/>
        <v>54.129999999888241</v>
      </c>
      <c r="M36" s="35">
        <f t="shared" si="39"/>
        <v>0</v>
      </c>
      <c r="N36" s="42">
        <f t="shared" si="39"/>
        <v>3042.1059999937133</v>
      </c>
      <c r="O36" s="35">
        <f t="shared" si="39"/>
        <v>-52</v>
      </c>
      <c r="P36" s="35">
        <f t="shared" si="39"/>
        <v>0</v>
      </c>
      <c r="Q36" s="42">
        <f t="shared" si="39"/>
        <v>-5616</v>
      </c>
      <c r="R36" s="42">
        <f t="shared" si="39"/>
        <v>-30.069673634030011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</v>
      </c>
      <c r="W36" s="35">
        <f t="shared" si="39"/>
        <v>-5</v>
      </c>
      <c r="X36" s="35">
        <f t="shared" si="39"/>
        <v>-12</v>
      </c>
      <c r="Y36" s="35">
        <f t="shared" si="39"/>
        <v>-16</v>
      </c>
      <c r="Z36" s="35">
        <f t="shared" si="39"/>
        <v>0</v>
      </c>
      <c r="AA36" s="35">
        <f t="shared" si="39"/>
        <v>17</v>
      </c>
      <c r="AB36" s="35">
        <f t="shared" si="39"/>
        <v>0</v>
      </c>
      <c r="AC36" s="35">
        <f t="shared" si="39"/>
        <v>-12.739999999997963</v>
      </c>
      <c r="AD36" s="35">
        <f t="shared" si="39"/>
        <v>4.2600000000020373</v>
      </c>
      <c r="AE36" s="35">
        <f t="shared" si="39"/>
        <v>1268</v>
      </c>
      <c r="AF36" s="35">
        <f t="shared" si="39"/>
        <v>20.763119164222672</v>
      </c>
      <c r="AG36" s="35">
        <f t="shared" si="39"/>
        <v>0</v>
      </c>
      <c r="AH36" s="35">
        <f t="shared" si="39"/>
        <v>-1.5100000000020373</v>
      </c>
      <c r="AI36" s="35">
        <f t="shared" si="39"/>
        <v>3.6000000000058208</v>
      </c>
      <c r="AJ36" s="35">
        <f t="shared" si="39"/>
        <v>2.0900000000037835</v>
      </c>
      <c r="AK36" s="35">
        <f t="shared" si="39"/>
        <v>0</v>
      </c>
      <c r="AL36" s="35">
        <f t="shared" si="39"/>
        <v>2.9999999999745341E-2</v>
      </c>
      <c r="AM36" s="35">
        <f t="shared" si="39"/>
        <v>0</v>
      </c>
      <c r="AN36" s="35">
        <f t="shared" si="39"/>
        <v>2.9999999999745341E-2</v>
      </c>
      <c r="AO36" s="35"/>
      <c r="AP36" s="35">
        <f t="shared" ref="AP36:AW36" si="40">AP18-AP17</f>
        <v>-85</v>
      </c>
      <c r="AQ36" s="35">
        <f t="shared" si="40"/>
        <v>-55</v>
      </c>
      <c r="AR36" s="35">
        <f t="shared" si="40"/>
        <v>-98</v>
      </c>
      <c r="AS36" s="35">
        <f t="shared" si="40"/>
        <v>-83</v>
      </c>
      <c r="AT36" s="35">
        <f t="shared" si="40"/>
        <v>-4</v>
      </c>
      <c r="AU36" s="35">
        <f t="shared" si="40"/>
        <v>0</v>
      </c>
      <c r="AV36" s="35">
        <f t="shared" si="40"/>
        <v>3142</v>
      </c>
      <c r="AW36" s="35">
        <f t="shared" si="40"/>
        <v>-20</v>
      </c>
      <c r="AX36" s="35"/>
      <c r="AY36" s="35"/>
      <c r="AZ36" s="35">
        <f t="shared" ref="AZ36:BG36" si="41">AZ18-AZ17</f>
        <v>-8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1</v>
      </c>
      <c r="BE36" s="35">
        <f t="shared" si="41"/>
        <v>0</v>
      </c>
      <c r="BF36" s="35">
        <f t="shared" si="41"/>
        <v>-1874</v>
      </c>
      <c r="BG36" s="35">
        <f t="shared" si="41"/>
        <v>0</v>
      </c>
      <c r="BH36" s="35"/>
      <c r="BI36" s="35"/>
      <c r="BJ36" s="35"/>
      <c r="BK36" s="35">
        <f>BK18-BK17</f>
        <v>3.8762984140206029</v>
      </c>
      <c r="BL36" s="35">
        <f>BL18-BL17</f>
        <v>-0.64367341301291781</v>
      </c>
      <c r="BM36" s="35"/>
      <c r="BN36" s="35">
        <f>BN18-BN17</f>
        <v>2151.1059999937424</v>
      </c>
      <c r="BO36" s="35">
        <f>BO18-BO17</f>
        <v>1233</v>
      </c>
    </row>
    <row r="37" spans="1:68" x14ac:dyDescent="0.25">
      <c r="F37" s="38">
        <f>AVERAGE(F4:F35)</f>
        <v>1.611258064516129</v>
      </c>
      <c r="G37" s="38"/>
      <c r="H37" s="38">
        <f>AVERAGE(H4:H35)</f>
        <v>44395.888124999998</v>
      </c>
    </row>
    <row r="38" spans="1:68" x14ac:dyDescent="0.25">
      <c r="B38" s="36" t="s">
        <v>66</v>
      </c>
      <c r="F38" s="72">
        <f>AVERAGE(F4:F35)</f>
        <v>1.611258064516129</v>
      </c>
      <c r="G38" s="72"/>
    </row>
    <row r="41" spans="1:68" x14ac:dyDescent="0.25">
      <c r="BI41">
        <f>(BI31+BJ31)/400</f>
        <v>13.050899999999965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opLeftCell="A10" workbookViewId="0">
      <selection activeCell="I30" sqref="I30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508" t="s">
        <v>355</v>
      </c>
    </row>
    <row r="2" spans="1:17" x14ac:dyDescent="0.25">
      <c r="A2" s="248">
        <v>1</v>
      </c>
      <c r="B2" s="509">
        <f>C2/202%</f>
        <v>79.207920792079207</v>
      </c>
      <c r="C2" s="509">
        <v>160</v>
      </c>
      <c r="D2" s="509">
        <v>11</v>
      </c>
      <c r="E2" s="509">
        <f>SUM(C2:D2)/202%</f>
        <v>84.653465346534659</v>
      </c>
      <c r="F2" s="510">
        <v>657</v>
      </c>
      <c r="G2" s="510">
        <f>C2+D2</f>
        <v>171</v>
      </c>
      <c r="H2" s="511">
        <f>C2/202%</f>
        <v>79.207920792079207</v>
      </c>
      <c r="I2" s="512"/>
      <c r="J2" s="511">
        <f>'Section Load'!C5/G2</f>
        <v>134.43859649122808</v>
      </c>
      <c r="K2">
        <f>10/202</f>
        <v>4.9504950495049507E-2</v>
      </c>
    </row>
    <row r="3" spans="1:17" x14ac:dyDescent="0.25">
      <c r="A3" s="248">
        <v>2</v>
      </c>
      <c r="B3" s="509">
        <f t="shared" ref="B3:B32" si="0">C3/202%</f>
        <v>80.198019801980195</v>
      </c>
      <c r="C3" s="509">
        <v>162</v>
      </c>
      <c r="D3" s="509">
        <v>7</v>
      </c>
      <c r="E3" s="509">
        <f t="shared" ref="E3:E5" si="1">SUM(C3:D3)/202%</f>
        <v>83.663366336633658</v>
      </c>
      <c r="F3" s="510">
        <v>524</v>
      </c>
      <c r="G3" s="510">
        <f t="shared" ref="G3:G31" si="2">C3+D3</f>
        <v>169</v>
      </c>
      <c r="H3" s="511">
        <f t="shared" ref="H3:H32" si="3">C3/202%</f>
        <v>80.198019801980195</v>
      </c>
      <c r="I3" s="512"/>
      <c r="J3" s="511">
        <f>'Section Load'!C6/G3</f>
        <v>128.20710059171597</v>
      </c>
    </row>
    <row r="4" spans="1:17" x14ac:dyDescent="0.25">
      <c r="A4" s="248">
        <v>3</v>
      </c>
      <c r="B4" s="509">
        <f t="shared" si="0"/>
        <v>85.643564356435647</v>
      </c>
      <c r="C4" s="509">
        <v>173</v>
      </c>
      <c r="D4" s="509">
        <v>5</v>
      </c>
      <c r="E4" s="509">
        <f t="shared" si="1"/>
        <v>88.118811881188122</v>
      </c>
      <c r="F4" s="510">
        <v>986</v>
      </c>
      <c r="G4" s="510">
        <f t="shared" si="2"/>
        <v>178</v>
      </c>
      <c r="H4" s="511">
        <f t="shared" si="3"/>
        <v>85.643564356435647</v>
      </c>
      <c r="I4" s="512"/>
      <c r="J4" s="511">
        <f>'Section Load'!C7/G4</f>
        <v>132.81050561797764</v>
      </c>
      <c r="Q4" s="531">
        <f>C2/202</f>
        <v>0.79207920792079212</v>
      </c>
    </row>
    <row r="5" spans="1:17" x14ac:dyDescent="0.25">
      <c r="A5" s="248">
        <v>4</v>
      </c>
      <c r="B5" s="509">
        <f t="shared" si="0"/>
        <v>55.940594059405939</v>
      </c>
      <c r="C5" s="509">
        <v>113</v>
      </c>
      <c r="D5" s="509">
        <v>3</v>
      </c>
      <c r="E5" s="509">
        <f t="shared" si="1"/>
        <v>57.425742574257427</v>
      </c>
      <c r="F5" s="510">
        <v>562</v>
      </c>
      <c r="G5" s="510">
        <f t="shared" si="2"/>
        <v>116</v>
      </c>
      <c r="H5" s="511">
        <f t="shared" si="3"/>
        <v>55.940594059405939</v>
      </c>
      <c r="I5" s="512"/>
      <c r="J5" s="511">
        <f>'Section Load'!C8/G5</f>
        <v>218.20379310344839</v>
      </c>
    </row>
    <row r="6" spans="1:17" x14ac:dyDescent="0.25">
      <c r="A6" s="248">
        <v>5</v>
      </c>
      <c r="B6" s="509">
        <f t="shared" si="0"/>
        <v>82.67326732673267</v>
      </c>
      <c r="C6" s="509">
        <v>167</v>
      </c>
      <c r="D6" s="509">
        <v>5</v>
      </c>
      <c r="E6" s="509">
        <f t="shared" ref="E6:E31" si="4">SUM(C6:D6)/202%</f>
        <v>85.148514851485146</v>
      </c>
      <c r="F6" s="510">
        <v>1366</v>
      </c>
      <c r="G6" s="510">
        <f t="shared" si="2"/>
        <v>172</v>
      </c>
      <c r="H6" s="511">
        <f t="shared" si="3"/>
        <v>82.67326732673267</v>
      </c>
      <c r="I6" s="512"/>
      <c r="J6" s="511">
        <f>'Section Load'!C9/G6</f>
        <v>135.68023255813952</v>
      </c>
    </row>
    <row r="7" spans="1:17" x14ac:dyDescent="0.25">
      <c r="A7" s="248">
        <v>6</v>
      </c>
      <c r="B7" s="509">
        <f t="shared" si="0"/>
        <v>54.455445544554458</v>
      </c>
      <c r="C7" s="509">
        <v>110</v>
      </c>
      <c r="D7" s="509">
        <v>4</v>
      </c>
      <c r="E7" s="509">
        <f t="shared" si="4"/>
        <v>56.435643564356432</v>
      </c>
      <c r="F7" s="510">
        <v>550</v>
      </c>
      <c r="G7" s="510">
        <f t="shared" si="2"/>
        <v>114</v>
      </c>
      <c r="H7" s="511">
        <f t="shared" si="3"/>
        <v>54.455445544554458</v>
      </c>
      <c r="I7" s="512"/>
      <c r="J7" s="511">
        <f>'Section Load'!C10/G7</f>
        <v>194.07999999999996</v>
      </c>
    </row>
    <row r="8" spans="1:17" x14ac:dyDescent="0.25">
      <c r="A8" s="248">
        <v>7</v>
      </c>
      <c r="B8" s="509">
        <f t="shared" si="0"/>
        <v>76.237623762376231</v>
      </c>
      <c r="C8" s="509">
        <v>154</v>
      </c>
      <c r="D8" s="509">
        <v>4</v>
      </c>
      <c r="E8" s="509">
        <f t="shared" si="4"/>
        <v>78.21782178217822</v>
      </c>
      <c r="F8" s="510">
        <v>459</v>
      </c>
      <c r="G8" s="510">
        <f t="shared" si="2"/>
        <v>158</v>
      </c>
      <c r="H8" s="511">
        <f t="shared" si="3"/>
        <v>76.237623762376231</v>
      </c>
      <c r="I8" s="512"/>
      <c r="J8" s="511">
        <f>'Section Load'!C11/G8</f>
        <v>159.79443037974696</v>
      </c>
    </row>
    <row r="9" spans="1:17" x14ac:dyDescent="0.25">
      <c r="A9" s="248">
        <v>8</v>
      </c>
      <c r="B9" s="509">
        <f t="shared" si="0"/>
        <v>68.316831683168317</v>
      </c>
      <c r="C9" s="509">
        <v>138</v>
      </c>
      <c r="D9" s="509">
        <v>5</v>
      </c>
      <c r="E9" s="509">
        <f t="shared" si="4"/>
        <v>70.792079207920793</v>
      </c>
      <c r="F9" s="510">
        <v>892</v>
      </c>
      <c r="G9" s="510">
        <f t="shared" si="2"/>
        <v>143</v>
      </c>
      <c r="H9" s="511">
        <f t="shared" si="3"/>
        <v>68.316831683168317</v>
      </c>
      <c r="I9" s="512"/>
      <c r="J9" s="511">
        <f>'Section Load'!C12/G9</f>
        <v>173.02321678321641</v>
      </c>
    </row>
    <row r="10" spans="1:17" x14ac:dyDescent="0.25">
      <c r="A10" s="248">
        <v>9</v>
      </c>
      <c r="B10" s="509">
        <f t="shared" si="0"/>
        <v>71.287128712871294</v>
      </c>
      <c r="C10" s="509">
        <v>144</v>
      </c>
      <c r="D10" s="509">
        <v>5</v>
      </c>
      <c r="E10" s="509">
        <f t="shared" si="4"/>
        <v>73.762376237623755</v>
      </c>
      <c r="F10" s="510">
        <v>1371</v>
      </c>
      <c r="G10" s="510">
        <f t="shared" si="2"/>
        <v>149</v>
      </c>
      <c r="H10" s="511">
        <f t="shared" si="3"/>
        <v>71.287128712871294</v>
      </c>
      <c r="I10" s="512"/>
      <c r="J10" s="511">
        <f>'Section Load'!C13/G10</f>
        <v>170.65187919463091</v>
      </c>
    </row>
    <row r="11" spans="1:17" x14ac:dyDescent="0.25">
      <c r="A11" s="248">
        <v>10</v>
      </c>
      <c r="B11" s="509">
        <f t="shared" si="0"/>
        <v>66.336633663366342</v>
      </c>
      <c r="C11" s="509">
        <v>134</v>
      </c>
      <c r="D11" s="509">
        <v>6</v>
      </c>
      <c r="E11" s="509">
        <f t="shared" si="4"/>
        <v>69.306930693069305</v>
      </c>
      <c r="F11" s="510">
        <v>855</v>
      </c>
      <c r="G11" s="510">
        <f t="shared" si="2"/>
        <v>140</v>
      </c>
      <c r="H11" s="511">
        <f t="shared" si="3"/>
        <v>66.336633663366342</v>
      </c>
      <c r="I11" s="512"/>
      <c r="J11" s="511">
        <f>'Section Load'!C14/G11</f>
        <v>174.14285714285714</v>
      </c>
    </row>
    <row r="12" spans="1:17" x14ac:dyDescent="0.25">
      <c r="A12" s="248">
        <v>11</v>
      </c>
      <c r="B12" s="509">
        <f t="shared" si="0"/>
        <v>74.752475247524757</v>
      </c>
      <c r="C12" s="509">
        <v>151</v>
      </c>
      <c r="D12" s="509">
        <v>7</v>
      </c>
      <c r="E12" s="509">
        <f t="shared" si="4"/>
        <v>78.21782178217822</v>
      </c>
      <c r="F12" s="510">
        <v>2169</v>
      </c>
      <c r="G12" s="510">
        <f t="shared" si="2"/>
        <v>158</v>
      </c>
      <c r="H12" s="511">
        <f t="shared" si="3"/>
        <v>74.752475247524757</v>
      </c>
      <c r="I12" s="512"/>
      <c r="J12" s="511">
        <f>'Section Load'!C15/G12</f>
        <v>154.68987341772151</v>
      </c>
    </row>
    <row r="13" spans="1:17" x14ac:dyDescent="0.25">
      <c r="A13" s="248">
        <v>12</v>
      </c>
      <c r="B13" s="509">
        <f t="shared" si="0"/>
        <v>59.900990099009903</v>
      </c>
      <c r="C13" s="509">
        <v>121</v>
      </c>
      <c r="D13" s="509">
        <v>5</v>
      </c>
      <c r="E13" s="509">
        <f t="shared" si="4"/>
        <v>62.376237623762378</v>
      </c>
      <c r="F13" s="509">
        <v>1260</v>
      </c>
      <c r="G13" s="510">
        <f t="shared" si="2"/>
        <v>126</v>
      </c>
      <c r="H13" s="511">
        <f t="shared" si="3"/>
        <v>59.900990099009903</v>
      </c>
      <c r="I13" s="512"/>
      <c r="J13" s="511">
        <f>'Section Load'!C16/G13</f>
        <v>198.71428571428572</v>
      </c>
    </row>
    <row r="14" spans="1:17" x14ac:dyDescent="0.25">
      <c r="A14" s="248">
        <v>13</v>
      </c>
      <c r="B14" s="509">
        <f t="shared" si="0"/>
        <v>65.346534653465341</v>
      </c>
      <c r="C14" s="509">
        <v>132</v>
      </c>
      <c r="D14" s="509">
        <v>6</v>
      </c>
      <c r="E14" s="509">
        <f t="shared" si="4"/>
        <v>68.316831683168317</v>
      </c>
      <c r="F14" s="509">
        <v>1291</v>
      </c>
      <c r="G14" s="510">
        <f t="shared" si="2"/>
        <v>138</v>
      </c>
      <c r="H14" s="511">
        <f t="shared" si="3"/>
        <v>65.346534653465341</v>
      </c>
      <c r="I14" s="512"/>
      <c r="J14" s="511">
        <f>'Section Load'!C17/G14</f>
        <v>171.62318840579709</v>
      </c>
    </row>
    <row r="15" spans="1:17" x14ac:dyDescent="0.25">
      <c r="A15" s="248">
        <v>14</v>
      </c>
      <c r="B15" s="509">
        <f t="shared" si="0"/>
        <v>53.465346534653463</v>
      </c>
      <c r="C15" s="509">
        <v>108</v>
      </c>
      <c r="D15" s="509">
        <v>6</v>
      </c>
      <c r="E15" s="509">
        <f t="shared" si="4"/>
        <v>56.435643564356432</v>
      </c>
      <c r="F15" s="509">
        <v>789</v>
      </c>
      <c r="G15" s="510">
        <f t="shared" si="2"/>
        <v>114</v>
      </c>
      <c r="H15" s="511">
        <f t="shared" si="3"/>
        <v>53.465346534653463</v>
      </c>
      <c r="I15" s="512"/>
      <c r="J15" s="511">
        <f>'Section Load'!C18/G15</f>
        <v>202.2719298245614</v>
      </c>
    </row>
    <row r="16" spans="1:17" x14ac:dyDescent="0.25">
      <c r="A16" s="248">
        <v>15</v>
      </c>
      <c r="B16" s="509">
        <f t="shared" si="0"/>
        <v>73.762376237623755</v>
      </c>
      <c r="C16" s="509">
        <v>149</v>
      </c>
      <c r="D16" s="509">
        <v>6</v>
      </c>
      <c r="E16" s="509">
        <f t="shared" si="4"/>
        <v>76.732673267326732</v>
      </c>
      <c r="F16" s="509">
        <v>1047</v>
      </c>
      <c r="G16" s="510">
        <f t="shared" si="2"/>
        <v>155</v>
      </c>
      <c r="H16" s="511">
        <f t="shared" si="3"/>
        <v>73.762376237623755</v>
      </c>
      <c r="I16" s="512"/>
      <c r="J16" s="511">
        <f>'Section Load'!C19/G16</f>
        <v>152.15483870967742</v>
      </c>
    </row>
    <row r="17" spans="1:10" x14ac:dyDescent="0.25">
      <c r="A17" s="248">
        <v>16</v>
      </c>
      <c r="B17" s="509">
        <f t="shared" si="0"/>
        <v>71.287128712871294</v>
      </c>
      <c r="C17" s="509">
        <v>144</v>
      </c>
      <c r="D17" s="509">
        <v>7</v>
      </c>
      <c r="E17" s="509">
        <f>SUM(C17:D17)/202%</f>
        <v>74.752475247524757</v>
      </c>
      <c r="F17" s="509">
        <v>1066</v>
      </c>
      <c r="G17" s="510">
        <f t="shared" si="2"/>
        <v>151</v>
      </c>
      <c r="H17" s="511">
        <f t="shared" si="3"/>
        <v>71.287128712871294</v>
      </c>
      <c r="I17" s="512"/>
      <c r="J17" s="511">
        <f>'Section Load'!C20/G17</f>
        <v>147.4749006622514</v>
      </c>
    </row>
    <row r="18" spans="1:10" x14ac:dyDescent="0.25">
      <c r="A18" s="248">
        <v>17</v>
      </c>
      <c r="B18" s="509">
        <f t="shared" si="0"/>
        <v>72.277227722772281</v>
      </c>
      <c r="C18" s="509">
        <v>146</v>
      </c>
      <c r="D18" s="509">
        <v>7</v>
      </c>
      <c r="E18" s="509">
        <f t="shared" si="4"/>
        <v>75.742574257425744</v>
      </c>
      <c r="F18" s="509">
        <v>668</v>
      </c>
      <c r="G18" s="510">
        <f t="shared" si="2"/>
        <v>153</v>
      </c>
      <c r="H18" s="511">
        <f t="shared" si="3"/>
        <v>72.277227722772281</v>
      </c>
      <c r="I18" s="512"/>
      <c r="J18" s="511">
        <f>'Section Load'!C21/G18</f>
        <v>158.19797385620939</v>
      </c>
    </row>
    <row r="19" spans="1:10" x14ac:dyDescent="0.25">
      <c r="A19" s="248">
        <v>18</v>
      </c>
      <c r="B19" s="509">
        <f t="shared" si="0"/>
        <v>75.247524752475243</v>
      </c>
      <c r="C19" s="513">
        <v>152</v>
      </c>
      <c r="D19" s="513">
        <v>8</v>
      </c>
      <c r="E19" s="509">
        <f t="shared" si="4"/>
        <v>79.207920792079207</v>
      </c>
      <c r="F19" s="513">
        <v>820</v>
      </c>
      <c r="G19" s="510">
        <f t="shared" si="2"/>
        <v>160</v>
      </c>
      <c r="H19" s="511">
        <f t="shared" si="3"/>
        <v>75.247524752475243</v>
      </c>
      <c r="I19" s="512"/>
      <c r="J19" s="511">
        <f>'Section Load'!C22/G19</f>
        <v>144.61093750000001</v>
      </c>
    </row>
    <row r="20" spans="1:10" x14ac:dyDescent="0.25">
      <c r="A20" s="248">
        <v>19</v>
      </c>
      <c r="B20" s="509">
        <f t="shared" si="0"/>
        <v>64.356435643564353</v>
      </c>
      <c r="C20" s="509">
        <v>130</v>
      </c>
      <c r="D20" s="509">
        <v>7</v>
      </c>
      <c r="E20" s="509">
        <f t="shared" si="4"/>
        <v>67.821782178217816</v>
      </c>
      <c r="F20" s="509">
        <v>1231</v>
      </c>
      <c r="G20" s="510">
        <f t="shared" si="2"/>
        <v>137</v>
      </c>
      <c r="H20" s="511">
        <f t="shared" si="3"/>
        <v>64.356435643564353</v>
      </c>
      <c r="I20" s="512"/>
      <c r="J20" s="511">
        <f>'Section Load'!C23/G20</f>
        <v>169.7199270072993</v>
      </c>
    </row>
    <row r="21" spans="1:10" x14ac:dyDescent="0.25">
      <c r="A21" s="248">
        <v>20</v>
      </c>
      <c r="B21" s="509">
        <f t="shared" si="0"/>
        <v>71.78217821782178</v>
      </c>
      <c r="C21" s="509">
        <v>145</v>
      </c>
      <c r="D21" s="509">
        <v>7</v>
      </c>
      <c r="E21" s="509">
        <f t="shared" si="4"/>
        <v>75.247524752475243</v>
      </c>
      <c r="F21" s="509">
        <v>798</v>
      </c>
      <c r="G21" s="510">
        <f t="shared" si="2"/>
        <v>152</v>
      </c>
      <c r="H21" s="511">
        <f t="shared" si="3"/>
        <v>71.78217821782178</v>
      </c>
      <c r="I21" s="512"/>
      <c r="J21" s="511">
        <f>'Section Load'!C24/G21</f>
        <v>140.13111842105297</v>
      </c>
    </row>
    <row r="22" spans="1:10" x14ac:dyDescent="0.25">
      <c r="A22" s="248">
        <v>21</v>
      </c>
      <c r="B22" s="509">
        <f t="shared" si="0"/>
        <v>68.316831683168317</v>
      </c>
      <c r="C22" s="509">
        <v>138</v>
      </c>
      <c r="D22" s="509">
        <v>7</v>
      </c>
      <c r="E22" s="509">
        <f t="shared" si="4"/>
        <v>71.78217821782178</v>
      </c>
      <c r="F22" s="509">
        <v>1093</v>
      </c>
      <c r="G22" s="510">
        <f t="shared" si="2"/>
        <v>145</v>
      </c>
      <c r="H22" s="511">
        <f t="shared" si="3"/>
        <v>68.316831683168317</v>
      </c>
      <c r="I22" s="512"/>
      <c r="J22" s="511">
        <f>'Section Load'!C25/G22</f>
        <v>145.1089655172409</v>
      </c>
    </row>
    <row r="23" spans="1:10" x14ac:dyDescent="0.25">
      <c r="A23" s="248">
        <v>22</v>
      </c>
      <c r="B23" s="509">
        <v>83</v>
      </c>
      <c r="C23" s="509">
        <v>143</v>
      </c>
      <c r="D23" s="509">
        <v>6</v>
      </c>
      <c r="E23" s="509">
        <f t="shared" si="4"/>
        <v>73.762376237623755</v>
      </c>
      <c r="F23" s="509">
        <v>579</v>
      </c>
      <c r="G23" s="510">
        <f t="shared" si="2"/>
        <v>149</v>
      </c>
      <c r="H23" s="511">
        <f t="shared" si="3"/>
        <v>70.792079207920793</v>
      </c>
      <c r="I23" s="512"/>
      <c r="J23" s="511">
        <f>'Section Load'!C26/G23</f>
        <v>139.45020134228159</v>
      </c>
    </row>
    <row r="24" spans="1:10" x14ac:dyDescent="0.25">
      <c r="A24" s="248">
        <v>23</v>
      </c>
      <c r="B24" s="509">
        <v>98</v>
      </c>
      <c r="C24" s="509">
        <v>124</v>
      </c>
      <c r="D24" s="509">
        <v>6</v>
      </c>
      <c r="E24" s="509">
        <f t="shared" si="4"/>
        <v>64.356435643564353</v>
      </c>
      <c r="F24" s="509">
        <v>709</v>
      </c>
      <c r="G24" s="510">
        <f t="shared" si="2"/>
        <v>130</v>
      </c>
      <c r="H24" s="511">
        <f t="shared" si="3"/>
        <v>61.386138613861384</v>
      </c>
      <c r="I24" s="512"/>
      <c r="J24" s="511">
        <f>'Section Load'!C27/G24</f>
        <v>156.68315384615428</v>
      </c>
    </row>
    <row r="25" spans="1:10" x14ac:dyDescent="0.25">
      <c r="A25" s="248">
        <v>24</v>
      </c>
      <c r="B25" s="509">
        <f t="shared" si="0"/>
        <v>66.336633663366342</v>
      </c>
      <c r="C25" s="509">
        <v>134</v>
      </c>
      <c r="D25" s="509">
        <v>9</v>
      </c>
      <c r="E25" s="509">
        <f t="shared" si="4"/>
        <v>70.792079207920793</v>
      </c>
      <c r="F25" s="509">
        <v>924</v>
      </c>
      <c r="G25" s="510">
        <f t="shared" si="2"/>
        <v>143</v>
      </c>
      <c r="H25" s="511">
        <f t="shared" si="3"/>
        <v>66.336633663366342</v>
      </c>
      <c r="I25" s="512"/>
      <c r="J25" s="511">
        <f>'Section Load'!C28/G25</f>
        <v>144.78321678321677</v>
      </c>
    </row>
    <row r="26" spans="1:10" x14ac:dyDescent="0.25">
      <c r="A26" s="248">
        <v>25</v>
      </c>
      <c r="B26" s="509">
        <f t="shared" si="0"/>
        <v>67.32673267326733</v>
      </c>
      <c r="C26" s="509">
        <v>136</v>
      </c>
      <c r="D26" s="509">
        <v>9</v>
      </c>
      <c r="E26" s="509">
        <f t="shared" si="4"/>
        <v>71.78217821782178</v>
      </c>
      <c r="F26" s="509">
        <v>674</v>
      </c>
      <c r="G26" s="510">
        <f t="shared" si="2"/>
        <v>145</v>
      </c>
      <c r="H26" s="511">
        <f t="shared" si="3"/>
        <v>67.32673267326733</v>
      </c>
      <c r="I26" s="512"/>
      <c r="J26" s="511">
        <f>'Section Load'!C29/G26</f>
        <v>152.02068965517242</v>
      </c>
    </row>
    <row r="27" spans="1:10" x14ac:dyDescent="0.25">
      <c r="A27" s="248">
        <v>26</v>
      </c>
      <c r="B27" s="509">
        <f t="shared" si="0"/>
        <v>59.405940594059409</v>
      </c>
      <c r="C27" s="509">
        <v>120</v>
      </c>
      <c r="D27" s="509">
        <v>6</v>
      </c>
      <c r="E27" s="509">
        <f t="shared" si="4"/>
        <v>62.376237623762378</v>
      </c>
      <c r="F27" s="509">
        <v>576</v>
      </c>
      <c r="G27" s="510">
        <f t="shared" si="2"/>
        <v>126</v>
      </c>
      <c r="H27" s="511">
        <f t="shared" si="3"/>
        <v>59.405940594059409</v>
      </c>
      <c r="I27" s="512"/>
      <c r="J27" s="511">
        <f>'Section Load'!C30/G27</f>
        <v>175.78571428571428</v>
      </c>
    </row>
    <row r="28" spans="1:10" x14ac:dyDescent="0.25">
      <c r="A28" s="248">
        <v>27</v>
      </c>
      <c r="B28" s="509">
        <f t="shared" si="0"/>
        <v>55.445544554455445</v>
      </c>
      <c r="C28" s="509">
        <v>112</v>
      </c>
      <c r="D28" s="509">
        <v>6</v>
      </c>
      <c r="E28" s="509">
        <f t="shared" si="4"/>
        <v>58.415841584158414</v>
      </c>
      <c r="F28" s="509">
        <v>519</v>
      </c>
      <c r="G28" s="510">
        <f t="shared" si="2"/>
        <v>118</v>
      </c>
      <c r="H28" s="511">
        <f t="shared" si="3"/>
        <v>55.445544554455445</v>
      </c>
      <c r="I28" s="512"/>
      <c r="J28" s="511">
        <f>'Section Load'!C31/G28</f>
        <v>184.41525423728814</v>
      </c>
    </row>
    <row r="29" spans="1:10" x14ac:dyDescent="0.25">
      <c r="A29" s="248">
        <v>28</v>
      </c>
      <c r="B29" s="509">
        <f t="shared" si="0"/>
        <v>48.514851485148512</v>
      </c>
      <c r="C29" s="509">
        <v>98</v>
      </c>
      <c r="D29" s="509">
        <v>6</v>
      </c>
      <c r="E29" s="509">
        <f t="shared" si="4"/>
        <v>51.485148514851488</v>
      </c>
      <c r="F29" s="509">
        <v>1499</v>
      </c>
      <c r="G29" s="510">
        <f t="shared" si="2"/>
        <v>104</v>
      </c>
      <c r="H29" s="511">
        <f t="shared" si="3"/>
        <v>48.514851485148512</v>
      </c>
      <c r="I29" s="512"/>
      <c r="J29" s="511">
        <f>'Section Load'!C32/G29</f>
        <v>204.28730769230773</v>
      </c>
    </row>
    <row r="30" spans="1:10" x14ac:dyDescent="0.25">
      <c r="A30" s="248">
        <v>29</v>
      </c>
      <c r="B30" s="509">
        <f>C30/202%</f>
        <v>62.871287128712872</v>
      </c>
      <c r="C30" s="509">
        <v>127</v>
      </c>
      <c r="D30" s="509">
        <v>6</v>
      </c>
      <c r="E30" s="509">
        <f t="shared" si="4"/>
        <v>65.841584158415841</v>
      </c>
      <c r="F30" s="509">
        <v>511</v>
      </c>
      <c r="G30" s="510">
        <f t="shared" si="2"/>
        <v>133</v>
      </c>
      <c r="H30" s="511">
        <f>C30/202%</f>
        <v>62.871287128712872</v>
      </c>
      <c r="I30" s="512"/>
      <c r="J30" s="511">
        <f>'Section Load'!C33/G30</f>
        <v>145.92729323308271</v>
      </c>
    </row>
    <row r="31" spans="1:10" x14ac:dyDescent="0.25">
      <c r="A31" s="248">
        <v>30</v>
      </c>
      <c r="B31" s="509">
        <f t="shared" si="0"/>
        <v>0</v>
      </c>
      <c r="C31" s="509"/>
      <c r="D31" s="509"/>
      <c r="E31" s="509">
        <f t="shared" si="4"/>
        <v>0</v>
      </c>
      <c r="F31" s="509"/>
      <c r="G31" s="514">
        <f t="shared" si="2"/>
        <v>0</v>
      </c>
      <c r="H31" s="511">
        <f t="shared" si="3"/>
        <v>0</v>
      </c>
      <c r="I31" s="512"/>
      <c r="J31" s="511" t="e">
        <f>'Section Load'!C34/G31</f>
        <v>#DIV/0!</v>
      </c>
    </row>
    <row r="32" spans="1:10" x14ac:dyDescent="0.25">
      <c r="A32" s="248">
        <v>31</v>
      </c>
      <c r="B32" s="509">
        <f t="shared" si="0"/>
        <v>0</v>
      </c>
      <c r="C32" s="509"/>
      <c r="D32" s="509"/>
      <c r="E32" s="509"/>
      <c r="F32" s="509"/>
      <c r="G32" s="514"/>
      <c r="H32" s="511">
        <f t="shared" si="3"/>
        <v>0</v>
      </c>
      <c r="I32" s="512"/>
      <c r="J32" s="511" t="e">
        <f>'Section Load'!C35/G32</f>
        <v>#DIV/0!</v>
      </c>
    </row>
    <row r="33" spans="1:8" x14ac:dyDescent="0.25">
      <c r="A33" t="s">
        <v>316</v>
      </c>
      <c r="B33" s="275">
        <f>AVERAGE(B2:B31)</f>
        <v>67.056435643564356</v>
      </c>
      <c r="C33" s="275">
        <f t="shared" ref="C33:H33" si="5">AVERAGE(C2:C31)</f>
        <v>136.72413793103448</v>
      </c>
      <c r="D33" s="275">
        <f t="shared" si="5"/>
        <v>6.2758620689655169</v>
      </c>
      <c r="E33" s="275">
        <f t="shared" si="5"/>
        <v>68.43234323432344</v>
      </c>
      <c r="F33" s="275">
        <f t="shared" si="5"/>
        <v>911.89655172413791</v>
      </c>
      <c r="G33" s="275">
        <f t="shared" si="5"/>
        <v>138.23333333333332</v>
      </c>
      <c r="H33" s="275">
        <f t="shared" si="5"/>
        <v>65.429042904290426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AA31" sqref="AA3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79.207920792079207</v>
      </c>
      <c r="E4" s="91">
        <f>Occupancy!B3</f>
        <v>80.198019801980195</v>
      </c>
      <c r="F4" s="91">
        <f>Occupancy!C3</f>
        <v>162</v>
      </c>
      <c r="G4" s="91">
        <f>Occupancy!D3</f>
        <v>7</v>
      </c>
      <c r="H4" s="91">
        <f>Occupancy!E3</f>
        <v>83.663366336633658</v>
      </c>
      <c r="I4" s="91">
        <f>Occupancy!F3</f>
        <v>524</v>
      </c>
      <c r="J4" s="91">
        <f>Occupancy!G3</f>
        <v>169</v>
      </c>
      <c r="K4" s="91">
        <f>Occupancy!H3</f>
        <v>80.198019801980195</v>
      </c>
      <c r="L4" s="91">
        <f>Occupancy!I3</f>
        <v>0</v>
      </c>
      <c r="M4" s="91">
        <f>Occupancy!J3</f>
        <v>128.20710059171597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160</v>
      </c>
      <c r="E5" s="91">
        <f>'2'!G18</f>
        <v>200</v>
      </c>
      <c r="F5" s="91">
        <f>'3'!G18</f>
        <v>230</v>
      </c>
      <c r="G5" s="91">
        <f>'4'!G18</f>
        <v>200</v>
      </c>
      <c r="H5" s="91">
        <f>'5'!G18</f>
        <v>200</v>
      </c>
      <c r="I5" s="91">
        <f>'6'!G18</f>
        <v>200</v>
      </c>
      <c r="J5" s="91">
        <f>'7'!G18</f>
        <v>180</v>
      </c>
      <c r="K5" s="91">
        <f>'8'!G18</f>
        <v>220</v>
      </c>
      <c r="L5" s="91">
        <f>'9'!G18</f>
        <v>240</v>
      </c>
      <c r="M5" s="91">
        <f>'10'!G18</f>
        <v>220</v>
      </c>
      <c r="N5" s="91">
        <f>'11'!G18</f>
        <v>220</v>
      </c>
      <c r="O5" s="91">
        <f>'12'!G18</f>
        <v>240</v>
      </c>
      <c r="P5" s="91">
        <f>'13'!G18</f>
        <v>240</v>
      </c>
      <c r="Q5" s="91">
        <f>'14'!G18</f>
        <v>240</v>
      </c>
      <c r="R5" s="91">
        <f>'15'!G18</f>
        <v>190</v>
      </c>
      <c r="S5" s="91">
        <f>'16'!G18</f>
        <v>220</v>
      </c>
      <c r="T5" s="91">
        <f>'17'!G18</f>
        <v>180</v>
      </c>
      <c r="U5" s="91">
        <f>'18 '!G18</f>
        <v>220</v>
      </c>
      <c r="V5" s="91">
        <f>'19'!G18</f>
        <v>220</v>
      </c>
      <c r="W5" s="91">
        <f>'20'!G18</f>
        <v>220</v>
      </c>
      <c r="X5" s="91">
        <f>'21'!G18</f>
        <v>220</v>
      </c>
      <c r="Y5" s="91">
        <f>'22'!G18</f>
        <v>190</v>
      </c>
      <c r="Z5" s="91">
        <f>'23'!G18</f>
        <v>200</v>
      </c>
      <c r="AA5" s="91">
        <f>'24'!G18</f>
        <v>180</v>
      </c>
      <c r="AB5" s="91">
        <f>'25'!G18</f>
        <v>200</v>
      </c>
      <c r="AC5" s="91">
        <f>'26'!G18</f>
        <v>220</v>
      </c>
      <c r="AD5" s="91">
        <f>'27'!G18</f>
        <v>200</v>
      </c>
      <c r="AE5" s="91">
        <f>'28'!G18</f>
        <v>240</v>
      </c>
      <c r="AF5" s="91">
        <f>'29'!G18</f>
        <v>220</v>
      </c>
      <c r="AG5" s="91">
        <f>'30'!G18</f>
        <v>220</v>
      </c>
      <c r="AH5" s="91">
        <f>'31'!G18</f>
        <v>200</v>
      </c>
      <c r="AI5" s="90"/>
    </row>
    <row r="6" spans="2:35" x14ac:dyDescent="0.25">
      <c r="B6" s="93"/>
      <c r="C6" s="90" t="s">
        <v>69</v>
      </c>
      <c r="D6" s="91">
        <f>'1'!G19</f>
        <v>52</v>
      </c>
      <c r="E6" s="91">
        <f>'2'!G19</f>
        <v>54</v>
      </c>
      <c r="F6" s="91">
        <f>'3'!G19</f>
        <v>55</v>
      </c>
      <c r="G6" s="91">
        <f>'4'!G19</f>
        <v>54</v>
      </c>
      <c r="H6" s="91">
        <f>'5'!G19</f>
        <v>53</v>
      </c>
      <c r="I6" s="91">
        <f>'6'!G19</f>
        <v>53</v>
      </c>
      <c r="J6" s="91">
        <f>'7'!G19</f>
        <v>53</v>
      </c>
      <c r="K6" s="91">
        <f>'8'!G19</f>
        <v>53</v>
      </c>
      <c r="L6" s="91">
        <f>'9'!G19</f>
        <v>55</v>
      </c>
      <c r="M6" s="91">
        <f>'10'!G19</f>
        <v>51</v>
      </c>
      <c r="N6" s="91">
        <f>'11'!G19</f>
        <v>54</v>
      </c>
      <c r="O6" s="91">
        <f>'12'!G19</f>
        <v>54</v>
      </c>
      <c r="P6" s="91">
        <f>'13'!G19</f>
        <v>54</v>
      </c>
      <c r="Q6" s="91">
        <f>'14'!G19</f>
        <v>52</v>
      </c>
      <c r="R6" s="91">
        <f>'15'!G19</f>
        <v>50</v>
      </c>
      <c r="S6" s="91">
        <f>'16'!G19</f>
        <v>48</v>
      </c>
      <c r="T6" s="91">
        <f>'17'!G19</f>
        <v>54</v>
      </c>
      <c r="U6" s="91">
        <f>'18 '!G19</f>
        <v>53</v>
      </c>
      <c r="V6" s="91">
        <f>'19'!G19</f>
        <v>53</v>
      </c>
      <c r="W6" s="91">
        <f>'20'!G19</f>
        <v>53</v>
      </c>
      <c r="X6" s="91">
        <f>'21'!G19</f>
        <v>51</v>
      </c>
      <c r="Y6" s="91">
        <f>'22'!G19</f>
        <v>51</v>
      </c>
      <c r="Z6" s="91">
        <f>'23'!G19</f>
        <v>49</v>
      </c>
      <c r="AA6" s="91">
        <f>'24'!G19</f>
        <v>54</v>
      </c>
      <c r="AB6" s="91">
        <f>'25'!G19</f>
        <v>52</v>
      </c>
      <c r="AC6" s="91">
        <f>'26'!G19</f>
        <v>53</v>
      </c>
      <c r="AD6" s="91">
        <f>'27'!G19</f>
        <v>57</v>
      </c>
      <c r="AE6" s="91">
        <f>'28'!G19</f>
        <v>51</v>
      </c>
      <c r="AF6" s="91">
        <f>'29'!G19</f>
        <v>53</v>
      </c>
      <c r="AG6" s="91">
        <f>'30'!G19</f>
        <v>-1529</v>
      </c>
      <c r="AH6" s="91">
        <f>'31'!G19</f>
        <v>-1667</v>
      </c>
      <c r="AI6" s="90"/>
    </row>
    <row r="7" spans="2:35" x14ac:dyDescent="0.25">
      <c r="B7" s="93"/>
      <c r="C7" s="90" t="s">
        <v>70</v>
      </c>
      <c r="D7" s="91">
        <f>'1'!G62</f>
        <v>108</v>
      </c>
      <c r="E7" s="91">
        <f>'2'!G62</f>
        <v>116</v>
      </c>
      <c r="F7" s="91">
        <f>'3'!G62</f>
        <v>128</v>
      </c>
      <c r="G7" s="91">
        <f>'4'!G62</f>
        <v>118</v>
      </c>
      <c r="H7" s="91">
        <f>'5'!G62</f>
        <v>133</v>
      </c>
      <c r="I7" s="91">
        <f>'6'!G62</f>
        <v>107</v>
      </c>
      <c r="J7" s="91">
        <f>'7'!G62</f>
        <v>103</v>
      </c>
      <c r="K7" s="91">
        <f>'8'!G62</f>
        <v>133</v>
      </c>
      <c r="L7" s="91">
        <f>'9'!G62</f>
        <v>141</v>
      </c>
      <c r="M7" s="91">
        <f>'10'!G62</f>
        <v>129</v>
      </c>
      <c r="N7" s="91">
        <f>'11'!G62</f>
        <v>116</v>
      </c>
      <c r="O7" s="91">
        <f>'12'!G62</f>
        <v>144</v>
      </c>
      <c r="P7" s="91">
        <f>'13'!G62</f>
        <v>146</v>
      </c>
      <c r="Q7" s="91">
        <f>'14'!G62</f>
        <v>143</v>
      </c>
      <c r="R7" s="91">
        <f>'15'!G62</f>
        <v>106</v>
      </c>
      <c r="S7" s="91">
        <f>'16'!G62</f>
        <v>112</v>
      </c>
      <c r="T7" s="91">
        <f>'17'!G62</f>
        <v>126</v>
      </c>
      <c r="U7" s="91">
        <f>'18 '!G62</f>
        <v>134</v>
      </c>
      <c r="V7" s="91">
        <f>'19'!G62</f>
        <v>130</v>
      </c>
      <c r="W7" s="91">
        <f>'20'!G62</f>
        <v>124</v>
      </c>
      <c r="X7" s="91">
        <f>'21'!G62</f>
        <v>117</v>
      </c>
      <c r="Y7" s="91">
        <f>'22'!G62</f>
        <v>120</v>
      </c>
      <c r="Z7" s="91">
        <f>'23'!G62</f>
        <v>120</v>
      </c>
      <c r="AA7" s="91">
        <f>'24'!G62</f>
        <v>110</v>
      </c>
      <c r="AB7" s="91">
        <f>'25'!G62</f>
        <v>121</v>
      </c>
      <c r="AC7" s="91">
        <f>'26'!G62</f>
        <v>145</v>
      </c>
      <c r="AD7" s="91">
        <f>'27'!G62</f>
        <v>123</v>
      </c>
      <c r="AE7" s="91">
        <f>'28'!G62</f>
        <v>138</v>
      </c>
      <c r="AF7" s="91">
        <f>'29'!G62</f>
        <v>131</v>
      </c>
      <c r="AG7" s="91">
        <f>'30'!G62</f>
        <v>-3622</v>
      </c>
      <c r="AH7" s="91">
        <f>'31'!G62</f>
        <v>-3647</v>
      </c>
      <c r="AI7" s="90"/>
    </row>
    <row r="8" spans="2:35" x14ac:dyDescent="0.25">
      <c r="B8" s="93"/>
      <c r="C8" s="90" t="s">
        <v>299</v>
      </c>
      <c r="D8" s="91">
        <f>'1'!G63</f>
        <v>94</v>
      </c>
      <c r="E8" s="91">
        <f>'2'!G63</f>
        <v>102</v>
      </c>
      <c r="F8" s="91">
        <f>'3'!G63</f>
        <v>107</v>
      </c>
      <c r="G8" s="91">
        <f>'4'!G63</f>
        <v>83</v>
      </c>
      <c r="H8" s="91">
        <f>'5'!G63</f>
        <v>137</v>
      </c>
      <c r="I8" s="91">
        <f>'6'!G63</f>
        <v>120</v>
      </c>
      <c r="J8" s="91">
        <f>'7'!G63</f>
        <v>123</v>
      </c>
      <c r="K8" s="91">
        <f>'8'!G63</f>
        <v>110</v>
      </c>
      <c r="L8" s="91">
        <f>'9'!G63</f>
        <v>80</v>
      </c>
      <c r="M8" s="91">
        <f>'10'!G63</f>
        <v>100</v>
      </c>
      <c r="N8" s="91">
        <f>'11'!G63</f>
        <v>126</v>
      </c>
      <c r="O8" s="91">
        <f>'12'!G63</f>
        <v>130</v>
      </c>
      <c r="P8" s="91">
        <f>'13'!G63</f>
        <v>125</v>
      </c>
      <c r="Q8" s="91">
        <f>'14'!G63</f>
        <v>82</v>
      </c>
      <c r="R8" s="91">
        <f>'15'!G63</f>
        <v>81</v>
      </c>
      <c r="S8" s="91">
        <f>'16'!G63</f>
        <v>88</v>
      </c>
      <c r="T8" s="91">
        <f>'17'!G63</f>
        <v>120</v>
      </c>
      <c r="U8" s="91">
        <f>'18 '!G63</f>
        <v>108</v>
      </c>
      <c r="V8" s="91">
        <f>'19'!G63</f>
        <v>86</v>
      </c>
      <c r="W8" s="91">
        <f>'20'!G63</f>
        <v>119</v>
      </c>
      <c r="X8" s="91">
        <f>'21'!G63</f>
        <v>72</v>
      </c>
      <c r="Y8" s="91">
        <f>'22'!G63</f>
        <v>80</v>
      </c>
      <c r="Z8" s="91">
        <f>'23'!G63</f>
        <v>66</v>
      </c>
      <c r="AA8" s="91">
        <f>'24'!G63</f>
        <v>71</v>
      </c>
      <c r="AB8" s="91">
        <f>'25'!G63</f>
        <v>125</v>
      </c>
      <c r="AC8" s="91">
        <f>'26'!G63</f>
        <v>94</v>
      </c>
      <c r="AD8" s="91">
        <f>'27'!G63</f>
        <v>58</v>
      </c>
      <c r="AE8" s="91">
        <f>'28'!G63</f>
        <v>104.10000000000582</v>
      </c>
      <c r="AF8" s="91">
        <f>'29'!G63</f>
        <v>75.899999999994179</v>
      </c>
      <c r="AG8" s="91">
        <f>'30'!G63</f>
        <v>-2867</v>
      </c>
      <c r="AH8" s="91">
        <f>'31'!G63</f>
        <v>-3105</v>
      </c>
      <c r="AI8" s="90"/>
    </row>
    <row r="9" spans="2:35" x14ac:dyDescent="0.25">
      <c r="B9" s="717" t="s">
        <v>71</v>
      </c>
      <c r="C9" s="90" t="s">
        <v>31</v>
      </c>
      <c r="D9" s="91">
        <f>'1'!G65</f>
        <v>86</v>
      </c>
      <c r="E9" s="91">
        <f>'2'!G65</f>
        <v>98</v>
      </c>
      <c r="F9" s="91">
        <f>'3'!G65</f>
        <v>89</v>
      </c>
      <c r="G9" s="91">
        <f>'4'!G65</f>
        <v>109</v>
      </c>
      <c r="H9" s="91">
        <f>'5'!G65</f>
        <v>105</v>
      </c>
      <c r="I9" s="91">
        <f>'6'!G65</f>
        <v>88</v>
      </c>
      <c r="J9" s="91">
        <f>'7'!G65</f>
        <v>102</v>
      </c>
      <c r="K9" s="91">
        <f>'8'!G65</f>
        <v>113</v>
      </c>
      <c r="L9" s="91">
        <f>'9'!G65</f>
        <v>132</v>
      </c>
      <c r="M9" s="91">
        <f>'10'!G65</f>
        <v>106</v>
      </c>
      <c r="N9" s="91">
        <f>'11'!G65</f>
        <v>104</v>
      </c>
      <c r="O9" s="91">
        <f>'12'!G65</f>
        <v>105</v>
      </c>
      <c r="P9" s="91">
        <f>'13'!G65</f>
        <v>152</v>
      </c>
      <c r="Q9" s="91">
        <f>'14'!G65</f>
        <v>105</v>
      </c>
      <c r="R9" s="91">
        <f>'15'!G65</f>
        <v>106</v>
      </c>
      <c r="S9" s="91">
        <f>'16'!G65</f>
        <v>93</v>
      </c>
      <c r="T9" s="91">
        <f>'17'!G65</f>
        <v>111</v>
      </c>
      <c r="U9" s="91">
        <f>'18 '!G65</f>
        <v>125</v>
      </c>
      <c r="V9" s="91">
        <f>'19'!G65</f>
        <v>117</v>
      </c>
      <c r="W9" s="91">
        <f>'20'!G65</f>
        <v>77</v>
      </c>
      <c r="X9" s="91">
        <f>'21'!G65</f>
        <v>97</v>
      </c>
      <c r="Y9" s="91">
        <f>'22'!G65</f>
        <v>105</v>
      </c>
      <c r="Z9" s="91">
        <f>'23'!G65</f>
        <v>99</v>
      </c>
      <c r="AA9" s="91">
        <f>'24'!G65</f>
        <v>89</v>
      </c>
      <c r="AB9" s="91">
        <f>'25'!G65</f>
        <v>91</v>
      </c>
      <c r="AC9" s="91">
        <f>'26'!G65</f>
        <v>117</v>
      </c>
      <c r="AD9" s="91">
        <f>'27'!G65</f>
        <v>95</v>
      </c>
      <c r="AE9" s="91">
        <f>'28'!G65</f>
        <v>134</v>
      </c>
      <c r="AF9" s="91">
        <f>'29'!G65</f>
        <v>104</v>
      </c>
      <c r="AG9" s="91">
        <f>'30'!G65</f>
        <v>-3054</v>
      </c>
      <c r="AH9" s="91">
        <f>'31'!G65</f>
        <v>-3158</v>
      </c>
      <c r="AI9" s="90"/>
    </row>
    <row r="10" spans="2:35" x14ac:dyDescent="0.25">
      <c r="B10" s="717"/>
      <c r="C10" s="90" t="s">
        <v>32</v>
      </c>
      <c r="D10" s="91">
        <f>'1'!G66</f>
        <v>18</v>
      </c>
      <c r="E10" s="91">
        <f>'2'!G66</f>
        <v>21</v>
      </c>
      <c r="F10" s="91">
        <f>'3'!G66</f>
        <v>27</v>
      </c>
      <c r="G10" s="91">
        <f>'4'!G66</f>
        <v>29</v>
      </c>
      <c r="H10" s="91">
        <f>'5'!G66</f>
        <v>26</v>
      </c>
      <c r="I10" s="91">
        <f>'6'!G66</f>
        <v>16</v>
      </c>
      <c r="J10" s="91">
        <f>'7'!G66</f>
        <v>17</v>
      </c>
      <c r="K10" s="91">
        <f>'8'!G66</f>
        <v>19</v>
      </c>
      <c r="L10" s="91">
        <f>'9'!G66</f>
        <v>14</v>
      </c>
      <c r="M10" s="91">
        <f>'10'!G66</f>
        <v>14</v>
      </c>
      <c r="N10" s="91">
        <f>'11'!G66</f>
        <v>20</v>
      </c>
      <c r="O10" s="91">
        <f>'12'!G66</f>
        <v>21</v>
      </c>
      <c r="P10" s="91">
        <f>'13'!G66</f>
        <v>19</v>
      </c>
      <c r="Q10" s="91">
        <f>'14'!G66</f>
        <v>18</v>
      </c>
      <c r="R10" s="91">
        <f>'15'!G66</f>
        <v>13</v>
      </c>
      <c r="S10" s="91">
        <f>'16'!G66</f>
        <v>19</v>
      </c>
      <c r="T10" s="91">
        <f>'17'!G66</f>
        <v>19</v>
      </c>
      <c r="U10" s="91">
        <f>'18 '!G66</f>
        <v>21</v>
      </c>
      <c r="V10" s="91">
        <f>'19'!G66</f>
        <v>23</v>
      </c>
      <c r="W10" s="91">
        <f>'20'!G66</f>
        <v>17</v>
      </c>
      <c r="X10" s="91">
        <f>'21'!G66</f>
        <v>17</v>
      </c>
      <c r="Y10" s="91">
        <f>'22'!G66</f>
        <v>18</v>
      </c>
      <c r="Z10" s="91">
        <f>'23'!G66</f>
        <v>25</v>
      </c>
      <c r="AA10" s="91">
        <f>'24'!G66</f>
        <v>20</v>
      </c>
      <c r="AB10" s="91">
        <f>'25'!G66</f>
        <v>24</v>
      </c>
      <c r="AC10" s="91">
        <f>'26'!G66</f>
        <v>28</v>
      </c>
      <c r="AD10" s="91">
        <f>'27'!G66</f>
        <v>19</v>
      </c>
      <c r="AE10" s="91">
        <f>'28'!G66</f>
        <v>16</v>
      </c>
      <c r="AF10" s="91">
        <f>'29'!G66</f>
        <v>20</v>
      </c>
      <c r="AG10" s="91">
        <f>'30'!G66</f>
        <v>-578</v>
      </c>
      <c r="AH10" s="91">
        <f>'31'!G66</f>
        <v>-629</v>
      </c>
      <c r="AI10" s="90"/>
    </row>
    <row r="11" spans="2:35" x14ac:dyDescent="0.25">
      <c r="B11" s="717"/>
      <c r="C11" s="90" t="s">
        <v>33</v>
      </c>
      <c r="D11" s="91">
        <f>'1'!G67</f>
        <v>25</v>
      </c>
      <c r="E11" s="91">
        <f>'2'!G67</f>
        <v>29</v>
      </c>
      <c r="F11" s="91">
        <f>'3'!G67</f>
        <v>29</v>
      </c>
      <c r="G11" s="91">
        <f>'4'!G67</f>
        <v>32</v>
      </c>
      <c r="H11" s="91">
        <f>'5'!G67</f>
        <v>31</v>
      </c>
      <c r="I11" s="91">
        <f>'6'!G67</f>
        <v>25</v>
      </c>
      <c r="J11" s="91">
        <f>'7'!G67</f>
        <v>31</v>
      </c>
      <c r="K11" s="91">
        <f>'8'!G67</f>
        <v>29</v>
      </c>
      <c r="L11" s="91">
        <f>'9'!G67</f>
        <v>34</v>
      </c>
      <c r="M11" s="91">
        <f>'10'!G67</f>
        <v>29</v>
      </c>
      <c r="N11" s="91">
        <f>'11'!G67</f>
        <v>34</v>
      </c>
      <c r="O11" s="91">
        <f>'12'!G67</f>
        <v>33</v>
      </c>
      <c r="P11" s="91">
        <f>'13'!G67</f>
        <v>30</v>
      </c>
      <c r="Q11" s="91">
        <f>'14'!G67</f>
        <v>32</v>
      </c>
      <c r="R11" s="91">
        <f>'15'!G67</f>
        <v>20</v>
      </c>
      <c r="S11" s="91">
        <f>'16'!G67</f>
        <v>23</v>
      </c>
      <c r="T11" s="91">
        <f>'17'!G67</f>
        <v>31</v>
      </c>
      <c r="U11" s="91">
        <f>'18 '!G67</f>
        <v>30</v>
      </c>
      <c r="V11" s="91">
        <f>'19'!G67</f>
        <v>34</v>
      </c>
      <c r="W11" s="91">
        <f>'20'!G67</f>
        <v>26</v>
      </c>
      <c r="X11" s="91">
        <f>'21'!G67</f>
        <v>27</v>
      </c>
      <c r="Y11" s="91">
        <f>'22'!G67</f>
        <v>27</v>
      </c>
      <c r="Z11" s="91">
        <f>'23'!G67</f>
        <v>28</v>
      </c>
      <c r="AA11" s="91">
        <f>'24'!G67</f>
        <v>31</v>
      </c>
      <c r="AB11" s="91">
        <f>'25'!G67</f>
        <v>38</v>
      </c>
      <c r="AC11" s="91">
        <f>'26'!G67</f>
        <v>31</v>
      </c>
      <c r="AD11" s="91">
        <f>'27'!G67</f>
        <v>28</v>
      </c>
      <c r="AE11" s="91">
        <f>'28'!G67</f>
        <v>26</v>
      </c>
      <c r="AF11" s="91">
        <f>'29'!G67</f>
        <v>28</v>
      </c>
      <c r="AG11" s="91">
        <f>'30'!G67</f>
        <v>-851</v>
      </c>
      <c r="AH11" s="91">
        <f>'31'!G67</f>
        <v>-840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717" t="s">
        <v>72</v>
      </c>
      <c r="C13" s="90" t="s">
        <v>31</v>
      </c>
      <c r="D13" s="91">
        <f>'1'!G68</f>
        <v>34</v>
      </c>
      <c r="E13" s="91">
        <f>'2'!G68</f>
        <v>33</v>
      </c>
      <c r="F13" s="91">
        <f>'3'!G68</f>
        <v>39</v>
      </c>
      <c r="G13" s="91">
        <f>'4'!G68</f>
        <v>39</v>
      </c>
      <c r="H13" s="91">
        <f>'5'!G68</f>
        <v>37</v>
      </c>
      <c r="I13" s="91">
        <f>'6'!G68</f>
        <v>42</v>
      </c>
      <c r="J13" s="91">
        <f>'7'!G68</f>
        <v>39</v>
      </c>
      <c r="K13" s="91">
        <f>'8'!G68</f>
        <v>37</v>
      </c>
      <c r="L13" s="91">
        <f>'9'!G68</f>
        <v>56</v>
      </c>
      <c r="M13" s="91">
        <f>'10'!G68</f>
        <v>43</v>
      </c>
      <c r="N13" s="91">
        <f>'11'!G68</f>
        <v>39</v>
      </c>
      <c r="O13" s="91">
        <f>'12'!G68</f>
        <v>44</v>
      </c>
      <c r="P13" s="91">
        <f>'13'!G68</f>
        <v>46</v>
      </c>
      <c r="Q13" s="91">
        <f>'14'!G68</f>
        <v>41</v>
      </c>
      <c r="R13" s="91">
        <f>'15'!G68</f>
        <v>38</v>
      </c>
      <c r="S13" s="91">
        <f>'16'!G68</f>
        <v>29</v>
      </c>
      <c r="T13" s="91">
        <f>'17'!G68</f>
        <v>49</v>
      </c>
      <c r="U13" s="91">
        <f>'18 '!G68</f>
        <v>56</v>
      </c>
      <c r="V13" s="91">
        <f>'19'!G68</f>
        <v>0</v>
      </c>
      <c r="W13" s="91">
        <f>'20'!G68</f>
        <v>68</v>
      </c>
      <c r="X13" s="91">
        <f>'21'!G68</f>
        <v>35</v>
      </c>
      <c r="Y13" s="91">
        <f>'22'!G68</f>
        <v>32</v>
      </c>
      <c r="Z13" s="91">
        <f>'23'!G68</f>
        <v>29</v>
      </c>
      <c r="AA13" s="550">
        <f>'24'!G68</f>
        <v>41</v>
      </c>
      <c r="AB13" s="91">
        <f>'25'!G68</f>
        <v>28</v>
      </c>
      <c r="AC13" s="91">
        <f>'26'!G68</f>
        <v>32</v>
      </c>
      <c r="AD13" s="91">
        <f>'27'!G68</f>
        <v>34</v>
      </c>
      <c r="AE13" s="91">
        <f>'28'!G68</f>
        <v>40</v>
      </c>
      <c r="AF13" s="91">
        <f>'29'!G68</f>
        <v>40</v>
      </c>
      <c r="AG13" s="91">
        <f>'30'!G68</f>
        <v>-1120</v>
      </c>
      <c r="AH13" s="91">
        <f>'31'!G68</f>
        <v>-944</v>
      </c>
      <c r="AI13" s="90"/>
    </row>
    <row r="14" spans="2:35" x14ac:dyDescent="0.25">
      <c r="B14" s="717"/>
      <c r="C14" s="90" t="s">
        <v>32</v>
      </c>
      <c r="D14" s="91">
        <f>'1'!G69</f>
        <v>10</v>
      </c>
      <c r="E14" s="91">
        <f>'2'!G69</f>
        <v>25</v>
      </c>
      <c r="F14" s="91">
        <f>'3'!G69</f>
        <v>12</v>
      </c>
      <c r="G14" s="91">
        <f>'4'!G69</f>
        <v>12</v>
      </c>
      <c r="H14" s="91">
        <f>'5'!G69</f>
        <v>7</v>
      </c>
      <c r="I14" s="91">
        <f>'6'!G69</f>
        <v>14</v>
      </c>
      <c r="J14" s="91">
        <f>'7'!G69</f>
        <v>10</v>
      </c>
      <c r="K14" s="91">
        <f>'8'!G69</f>
        <v>9</v>
      </c>
      <c r="L14" s="91">
        <f>'9'!G69</f>
        <v>15</v>
      </c>
      <c r="M14" s="91">
        <f>'10'!G69</f>
        <v>12</v>
      </c>
      <c r="N14" s="91">
        <f>'11'!G69</f>
        <v>8</v>
      </c>
      <c r="O14" s="91">
        <f>'12'!G69</f>
        <v>7</v>
      </c>
      <c r="P14" s="91">
        <f>'13'!G69</f>
        <v>16</v>
      </c>
      <c r="Q14" s="91">
        <f>'14'!G69</f>
        <v>8</v>
      </c>
      <c r="R14" s="91">
        <f>'15'!G69</f>
        <v>8</v>
      </c>
      <c r="S14" s="91">
        <f>'16'!G69</f>
        <v>10</v>
      </c>
      <c r="T14" s="91">
        <f>'17'!G69</f>
        <v>8</v>
      </c>
      <c r="U14" s="91">
        <f>'18 '!G69</f>
        <v>9</v>
      </c>
      <c r="V14" s="91">
        <f>'19'!G69</f>
        <v>28</v>
      </c>
      <c r="W14" s="91">
        <f>'20'!G69</f>
        <v>7</v>
      </c>
      <c r="X14" s="91">
        <f>'21'!G69</f>
        <v>9</v>
      </c>
      <c r="Y14" s="91">
        <f>'22'!G69</f>
        <v>8</v>
      </c>
      <c r="Z14" s="91">
        <f>'23'!G69</f>
        <v>11</v>
      </c>
      <c r="AA14" s="91">
        <f>'24'!G69</f>
        <v>12</v>
      </c>
      <c r="AB14" s="91">
        <f>'25'!G69</f>
        <v>14</v>
      </c>
      <c r="AC14" s="91">
        <f>'26'!G69</f>
        <v>19</v>
      </c>
      <c r="AD14" s="91">
        <f>'27'!G69</f>
        <v>8</v>
      </c>
      <c r="AE14" s="91">
        <f>'28'!G69</f>
        <v>17</v>
      </c>
      <c r="AF14" s="91">
        <f>'29'!G69</f>
        <v>18</v>
      </c>
      <c r="AG14" s="91">
        <f>'30'!G69</f>
        <v>-351</v>
      </c>
      <c r="AH14" s="91">
        <f>'31'!G69</f>
        <v>-378</v>
      </c>
      <c r="AI14" s="90"/>
    </row>
    <row r="15" spans="2:35" x14ac:dyDescent="0.25">
      <c r="B15" s="717"/>
      <c r="C15" s="90" t="s">
        <v>33</v>
      </c>
      <c r="D15" s="91">
        <f>'1'!G70</f>
        <v>6</v>
      </c>
      <c r="E15" s="91">
        <f>'2'!G70</f>
        <v>21.199999999999818</v>
      </c>
      <c r="F15" s="91">
        <f>'3'!G70</f>
        <v>2.8000000000001819</v>
      </c>
      <c r="G15" s="91">
        <f>'4'!G70</f>
        <v>13</v>
      </c>
      <c r="H15" s="91">
        <f>'5'!G70</f>
        <v>8</v>
      </c>
      <c r="I15" s="91">
        <f>'6'!G70</f>
        <v>8</v>
      </c>
      <c r="J15" s="91">
        <f>'7'!G70</f>
        <v>13</v>
      </c>
      <c r="K15" s="91">
        <f>'8'!G70</f>
        <v>9</v>
      </c>
      <c r="L15" s="91">
        <f>'9'!G70</f>
        <v>10</v>
      </c>
      <c r="M15" s="91">
        <f>'10'!G70</f>
        <v>15</v>
      </c>
      <c r="N15" s="91">
        <f>'11'!G70</f>
        <v>11</v>
      </c>
      <c r="O15" s="91">
        <f>'12'!G70</f>
        <v>9</v>
      </c>
      <c r="P15" s="91">
        <f>'13'!G70</f>
        <v>14</v>
      </c>
      <c r="Q15" s="91">
        <f>'14'!G70</f>
        <v>9</v>
      </c>
      <c r="R15" s="91">
        <f>'15'!G70</f>
        <v>5</v>
      </c>
      <c r="S15" s="91">
        <f>'16'!G70</f>
        <v>14</v>
      </c>
      <c r="T15" s="91">
        <f>'17'!G70</f>
        <v>13</v>
      </c>
      <c r="U15" s="91">
        <f>'18 '!G70</f>
        <v>19</v>
      </c>
      <c r="V15" s="91">
        <f>'19'!G70</f>
        <v>12</v>
      </c>
      <c r="W15" s="91">
        <f>'20'!G70</f>
        <v>9</v>
      </c>
      <c r="X15" s="91">
        <f>'21'!G70</f>
        <v>8</v>
      </c>
      <c r="Y15" s="91">
        <f>'22'!G70</f>
        <v>9</v>
      </c>
      <c r="Z15" s="91">
        <f>'23'!G70</f>
        <v>11</v>
      </c>
      <c r="AA15" s="91">
        <f>'24'!G70</f>
        <v>10</v>
      </c>
      <c r="AB15" s="91">
        <f>'25'!G70</f>
        <v>10</v>
      </c>
      <c r="AC15" s="91">
        <f>'26'!G70</f>
        <v>12</v>
      </c>
      <c r="AD15" s="91">
        <f>'27'!G70</f>
        <v>14</v>
      </c>
      <c r="AE15" s="91">
        <f>'28'!G70</f>
        <v>6</v>
      </c>
      <c r="AF15" s="91">
        <f>'29'!G70</f>
        <v>6</v>
      </c>
      <c r="AG15" s="91">
        <f>'30'!G70</f>
        <v>-307</v>
      </c>
      <c r="AH15" s="91">
        <f>'31'!G70</f>
        <v>-339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717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3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16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-19</v>
      </c>
      <c r="AH17" s="91">
        <f>'31'!G173</f>
        <v>-109</v>
      </c>
      <c r="AI17" s="90"/>
    </row>
    <row r="18" spans="2:35" x14ac:dyDescent="0.25">
      <c r="B18" s="717"/>
      <c r="C18" s="90" t="s">
        <v>75</v>
      </c>
      <c r="D18" s="90">
        <f>'1'!G174</f>
        <v>15</v>
      </c>
      <c r="E18" s="91">
        <f>'2'!G174</f>
        <v>17</v>
      </c>
      <c r="F18" s="91">
        <f>'3'!G174</f>
        <v>14</v>
      </c>
      <c r="G18" s="91">
        <f>'4'!G174</f>
        <v>17</v>
      </c>
      <c r="H18" s="91">
        <f>'5'!G174</f>
        <v>18</v>
      </c>
      <c r="I18" s="91">
        <f>'6'!G174</f>
        <v>13</v>
      </c>
      <c r="J18" s="91">
        <f>'7'!G174</f>
        <v>16</v>
      </c>
      <c r="K18" s="91">
        <f>'8'!G174</f>
        <v>18</v>
      </c>
      <c r="L18" s="91">
        <f>'9'!G174</f>
        <v>15</v>
      </c>
      <c r="M18" s="91">
        <f>'10'!G174</f>
        <v>18</v>
      </c>
      <c r="N18" s="91">
        <f>'11'!G174</f>
        <v>20</v>
      </c>
      <c r="O18" s="91">
        <f>'12'!G174</f>
        <v>19</v>
      </c>
      <c r="P18" s="91">
        <f>'13'!G174</f>
        <v>19</v>
      </c>
      <c r="Q18" s="91">
        <f>'14'!G174</f>
        <v>16</v>
      </c>
      <c r="R18" s="91">
        <f>'15'!G174</f>
        <v>19</v>
      </c>
      <c r="S18" s="91">
        <f>'16'!G174</f>
        <v>12</v>
      </c>
      <c r="T18" s="91">
        <f>'17'!G174</f>
        <v>17</v>
      </c>
      <c r="U18" s="91">
        <f>'18 '!G174</f>
        <v>14</v>
      </c>
      <c r="V18" s="91">
        <f>'19'!G174</f>
        <v>15</v>
      </c>
      <c r="W18" s="91">
        <f>'20'!G174</f>
        <v>17</v>
      </c>
      <c r="X18" s="91">
        <f>'21'!G174</f>
        <v>16</v>
      </c>
      <c r="Y18" s="91">
        <f>'22'!G174</f>
        <v>14</v>
      </c>
      <c r="Z18" s="91">
        <f>'23'!G174</f>
        <v>15</v>
      </c>
      <c r="AA18" s="91">
        <f>'24'!G174</f>
        <v>14</v>
      </c>
      <c r="AB18" s="91">
        <f>'25'!G174</f>
        <v>15</v>
      </c>
      <c r="AC18" s="91">
        <f>'26'!G174</f>
        <v>16</v>
      </c>
      <c r="AD18" s="91">
        <f>'27'!G174</f>
        <v>15</v>
      </c>
      <c r="AE18" s="91">
        <f>'28'!G174</f>
        <v>16</v>
      </c>
      <c r="AF18" s="91">
        <f>'29'!G174</f>
        <v>313</v>
      </c>
      <c r="AG18" s="91">
        <f>'30'!G174</f>
        <v>-757</v>
      </c>
      <c r="AH18" s="91">
        <f>'31'!G174</f>
        <v>-425</v>
      </c>
      <c r="AI18" s="90"/>
    </row>
    <row r="19" spans="2:35" x14ac:dyDescent="0.25">
      <c r="B19" s="717"/>
      <c r="C19" s="90" t="s">
        <v>76</v>
      </c>
      <c r="D19" s="90">
        <f>'1'!G175</f>
        <v>10</v>
      </c>
      <c r="E19" s="91">
        <f>'2'!G175</f>
        <v>11</v>
      </c>
      <c r="F19" s="91">
        <f>'3'!G175</f>
        <v>12</v>
      </c>
      <c r="G19" s="91">
        <f>'4'!G175</f>
        <v>15</v>
      </c>
      <c r="H19" s="91">
        <f>'5'!G175</f>
        <v>14</v>
      </c>
      <c r="I19" s="91">
        <f>'6'!G175</f>
        <v>12</v>
      </c>
      <c r="J19" s="91">
        <f>'7'!G175</f>
        <v>12</v>
      </c>
      <c r="K19" s="91">
        <f>'8'!G175</f>
        <v>14</v>
      </c>
      <c r="L19" s="91">
        <f>'9'!G175</f>
        <v>14</v>
      </c>
      <c r="M19" s="91">
        <f>'10'!G175</f>
        <v>14</v>
      </c>
      <c r="N19" s="91">
        <f>'11'!G175</f>
        <v>14</v>
      </c>
      <c r="O19" s="91">
        <f>'12'!G175</f>
        <v>14</v>
      </c>
      <c r="P19" s="91">
        <f>'13'!G175</f>
        <v>12</v>
      </c>
      <c r="Q19" s="91">
        <f>'14'!G175</f>
        <v>14</v>
      </c>
      <c r="R19" s="91">
        <f>'15'!G175</f>
        <v>13</v>
      </c>
      <c r="S19" s="91">
        <f>'16'!G175</f>
        <v>12</v>
      </c>
      <c r="T19" s="91">
        <f>'17'!G175</f>
        <v>12</v>
      </c>
      <c r="U19" s="91">
        <f>'18 '!G175</f>
        <v>13</v>
      </c>
      <c r="V19" s="91">
        <f>'19'!G175</f>
        <v>11</v>
      </c>
      <c r="W19" s="91">
        <f>'20'!G175</f>
        <v>12</v>
      </c>
      <c r="X19" s="91">
        <f>'21'!G175</f>
        <v>13</v>
      </c>
      <c r="Y19" s="91">
        <f>'22'!G175</f>
        <v>10</v>
      </c>
      <c r="Z19" s="91">
        <f>'23'!G175</f>
        <v>12</v>
      </c>
      <c r="AA19" s="91">
        <f>'24'!G175</f>
        <v>11</v>
      </c>
      <c r="AB19" s="91">
        <f>'25'!G175</f>
        <v>13</v>
      </c>
      <c r="AC19" s="91">
        <f>'26'!G175</f>
        <v>12</v>
      </c>
      <c r="AD19" s="91">
        <f>'27'!G175</f>
        <v>12</v>
      </c>
      <c r="AE19" s="91">
        <f>'28'!G175</f>
        <v>11</v>
      </c>
      <c r="AF19" s="91">
        <f>'29'!G175</f>
        <v>12</v>
      </c>
      <c r="AG19" s="91">
        <f>'30'!G175</f>
        <v>-361</v>
      </c>
      <c r="AH19" s="91">
        <f>'31'!G175</f>
        <v>-349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717" t="s">
        <v>77</v>
      </c>
      <c r="C21" s="90" t="s">
        <v>78</v>
      </c>
      <c r="D21" s="90">
        <f>'1'!G178</f>
        <v>63</v>
      </c>
      <c r="E21" s="91">
        <f>'2'!G178</f>
        <v>62</v>
      </c>
      <c r="F21" s="91">
        <f>'3'!G178</f>
        <v>87</v>
      </c>
      <c r="G21" s="91">
        <f>'4'!G178</f>
        <v>107</v>
      </c>
      <c r="H21" s="91">
        <f>'5'!G178</f>
        <v>65</v>
      </c>
      <c r="I21" s="91">
        <f>'6'!G178</f>
        <v>58</v>
      </c>
      <c r="J21" s="91">
        <f>'7'!G178</f>
        <v>74</v>
      </c>
      <c r="K21" s="91">
        <f>'8'!G178</f>
        <v>74</v>
      </c>
      <c r="L21" s="91">
        <f>'9'!G178</f>
        <v>70</v>
      </c>
      <c r="M21" s="91">
        <f>'10'!G178</f>
        <v>86</v>
      </c>
      <c r="N21" s="91">
        <f>'11'!G178</f>
        <v>83</v>
      </c>
      <c r="O21" s="91">
        <f>'12'!G178</f>
        <v>109</v>
      </c>
      <c r="P21" s="91">
        <f>'13'!G178</f>
        <v>68</v>
      </c>
      <c r="Q21" s="91">
        <f>'14'!G178</f>
        <v>55</v>
      </c>
      <c r="R21" s="91">
        <f>'15'!G178</f>
        <v>80</v>
      </c>
      <c r="S21" s="91">
        <f>'16'!G178</f>
        <v>65</v>
      </c>
      <c r="T21" s="91">
        <f>'17'!G178</f>
        <v>115</v>
      </c>
      <c r="U21" s="91">
        <f>'18 '!G178</f>
        <v>41</v>
      </c>
      <c r="V21" s="91">
        <f>'19'!G178</f>
        <v>74</v>
      </c>
      <c r="W21" s="91">
        <f>'20'!G178</f>
        <v>67</v>
      </c>
      <c r="X21" s="91">
        <f>'21'!G178</f>
        <v>60</v>
      </c>
      <c r="Y21" s="91">
        <f>'22'!G178</f>
        <v>57</v>
      </c>
      <c r="Z21" s="91">
        <f>'23'!G178</f>
        <v>56</v>
      </c>
      <c r="AA21" s="91">
        <f>'24'!G178</f>
        <v>99</v>
      </c>
      <c r="AB21" s="91">
        <f>'25'!G178</f>
        <v>85</v>
      </c>
      <c r="AC21" s="91">
        <f>'26'!G178</f>
        <v>64</v>
      </c>
      <c r="AD21" s="91">
        <f>'27'!G178</f>
        <v>62</v>
      </c>
      <c r="AE21" s="91">
        <f>'28'!G178</f>
        <v>64</v>
      </c>
      <c r="AF21" s="91">
        <f>'29'!G178</f>
        <v>95</v>
      </c>
      <c r="AG21" s="91">
        <f>'30'!G178</f>
        <v>-2145</v>
      </c>
      <c r="AH21" s="91">
        <f>'31'!G178</f>
        <v>-2733</v>
      </c>
      <c r="AI21" s="90"/>
    </row>
    <row r="22" spans="2:35" x14ac:dyDescent="0.25">
      <c r="B22" s="717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2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13</v>
      </c>
      <c r="U22" s="91">
        <f>'18 '!G179</f>
        <v>14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-29</v>
      </c>
      <c r="AH22" s="91">
        <f>'31'!G179</f>
        <v>0</v>
      </c>
      <c r="AI22" s="90"/>
    </row>
    <row r="23" spans="2:35" x14ac:dyDescent="0.25">
      <c r="B23" s="717"/>
      <c r="C23" s="90" t="s">
        <v>80</v>
      </c>
      <c r="D23" s="90">
        <f>'1'!G180</f>
        <v>4</v>
      </c>
      <c r="E23" s="91">
        <f>'2'!G180</f>
        <v>1</v>
      </c>
      <c r="F23" s="91">
        <f>'3'!G180</f>
        <v>8</v>
      </c>
      <c r="G23" s="91">
        <f>'4'!G180</f>
        <v>2</v>
      </c>
      <c r="H23" s="91">
        <f>'5'!G180</f>
        <v>3</v>
      </c>
      <c r="I23" s="91">
        <f>'6'!G180</f>
        <v>18</v>
      </c>
      <c r="J23" s="91">
        <f>'7'!G180</f>
        <v>4</v>
      </c>
      <c r="K23" s="91">
        <f>'8'!G180</f>
        <v>17</v>
      </c>
      <c r="L23" s="91">
        <f>'9'!G180</f>
        <v>3</v>
      </c>
      <c r="M23" s="91">
        <f>'10'!G180</f>
        <v>2</v>
      </c>
      <c r="N23" s="91">
        <f>'11'!G180</f>
        <v>12</v>
      </c>
      <c r="O23" s="91">
        <f>'12'!G180</f>
        <v>1</v>
      </c>
      <c r="P23" s="91">
        <f>'13'!G180</f>
        <v>3</v>
      </c>
      <c r="Q23" s="91">
        <f>'14'!G180</f>
        <v>12</v>
      </c>
      <c r="R23" s="91">
        <f>'15'!G180</f>
        <v>6</v>
      </c>
      <c r="S23" s="91">
        <f>'16'!G180</f>
        <v>14</v>
      </c>
      <c r="T23" s="91">
        <f>'17'!G180</f>
        <v>2</v>
      </c>
      <c r="U23" s="91">
        <f>'18 '!G180</f>
        <v>11</v>
      </c>
      <c r="V23" s="91">
        <f>'19'!G180</f>
        <v>1</v>
      </c>
      <c r="W23" s="91">
        <f>'20'!G180</f>
        <v>1</v>
      </c>
      <c r="X23" s="91">
        <f>'21'!G180</f>
        <v>11</v>
      </c>
      <c r="Y23" s="91">
        <f>'22'!G180</f>
        <v>12</v>
      </c>
      <c r="Z23" s="91">
        <f>'23'!G180</f>
        <v>7</v>
      </c>
      <c r="AA23" s="91">
        <f>'24'!G180</f>
        <v>9</v>
      </c>
      <c r="AB23" s="91">
        <f>'25'!G180</f>
        <v>11</v>
      </c>
      <c r="AC23" s="91">
        <f>'26'!G180</f>
        <v>1</v>
      </c>
      <c r="AD23" s="91">
        <f>'27'!G180</f>
        <v>8</v>
      </c>
      <c r="AE23" s="91">
        <f>'28'!G180</f>
        <v>6</v>
      </c>
      <c r="AF23" s="91">
        <f>'29'!G180</f>
        <v>8</v>
      </c>
      <c r="AG23" s="91">
        <f>'30'!G180</f>
        <v>-198</v>
      </c>
      <c r="AH23" s="91">
        <f>'31'!G180</f>
        <v>-232</v>
      </c>
      <c r="AI23" s="90"/>
    </row>
    <row r="24" spans="2:35" ht="30" x14ac:dyDescent="0.25">
      <c r="B24" s="93" t="s">
        <v>301</v>
      </c>
      <c r="C24" s="90"/>
      <c r="D24" s="91">
        <f>SUM(D5:D6)</f>
        <v>212</v>
      </c>
      <c r="E24" s="91">
        <f t="shared" ref="E24:AH24" si="0">SUM(E5:E6)</f>
        <v>254</v>
      </c>
      <c r="F24" s="91">
        <f t="shared" si="0"/>
        <v>285</v>
      </c>
      <c r="G24" s="91">
        <f t="shared" si="0"/>
        <v>254</v>
      </c>
      <c r="H24" s="91">
        <f t="shared" si="0"/>
        <v>253</v>
      </c>
      <c r="I24" s="91">
        <f t="shared" si="0"/>
        <v>253</v>
      </c>
      <c r="J24" s="91">
        <f t="shared" si="0"/>
        <v>233</v>
      </c>
      <c r="K24" s="91">
        <f t="shared" si="0"/>
        <v>273</v>
      </c>
      <c r="L24" s="91">
        <f t="shared" si="0"/>
        <v>295</v>
      </c>
      <c r="M24" s="91">
        <f t="shared" si="0"/>
        <v>271</v>
      </c>
      <c r="N24" s="91">
        <f t="shared" si="0"/>
        <v>274</v>
      </c>
      <c r="O24" s="91">
        <f t="shared" si="0"/>
        <v>294</v>
      </c>
      <c r="P24" s="91">
        <f t="shared" si="0"/>
        <v>294</v>
      </c>
      <c r="Q24" s="91">
        <f t="shared" si="0"/>
        <v>292</v>
      </c>
      <c r="R24" s="91">
        <f t="shared" si="0"/>
        <v>240</v>
      </c>
      <c r="S24" s="91">
        <f t="shared" si="0"/>
        <v>268</v>
      </c>
      <c r="T24" s="91">
        <f t="shared" si="0"/>
        <v>234</v>
      </c>
      <c r="U24" s="91">
        <f t="shared" si="0"/>
        <v>273</v>
      </c>
      <c r="V24" s="91">
        <f t="shared" si="0"/>
        <v>273</v>
      </c>
      <c r="W24" s="91">
        <f t="shared" si="0"/>
        <v>273</v>
      </c>
      <c r="X24" s="91">
        <f t="shared" si="0"/>
        <v>271</v>
      </c>
      <c r="Y24" s="91">
        <f t="shared" si="0"/>
        <v>241</v>
      </c>
      <c r="Z24" s="91">
        <f t="shared" si="0"/>
        <v>249</v>
      </c>
      <c r="AA24" s="91">
        <f>SUM(AA5:AA6)</f>
        <v>234</v>
      </c>
      <c r="AB24" s="91">
        <f t="shared" si="0"/>
        <v>252</v>
      </c>
      <c r="AC24" s="91">
        <f t="shared" si="0"/>
        <v>273</v>
      </c>
      <c r="AD24" s="91">
        <f t="shared" si="0"/>
        <v>257</v>
      </c>
      <c r="AE24" s="91">
        <f t="shared" si="0"/>
        <v>291</v>
      </c>
      <c r="AF24" s="91">
        <f t="shared" si="0"/>
        <v>273</v>
      </c>
      <c r="AG24" s="91">
        <f t="shared" si="0"/>
        <v>-1309</v>
      </c>
      <c r="AH24" s="91">
        <f t="shared" si="0"/>
        <v>-1467</v>
      </c>
      <c r="AI24" s="90"/>
    </row>
    <row r="25" spans="2:35" ht="30" x14ac:dyDescent="0.25">
      <c r="B25" s="93" t="s">
        <v>81</v>
      </c>
      <c r="C25" s="90"/>
      <c r="D25" s="91">
        <f>SUM(D9:D11,D14:D15,)</f>
        <v>145</v>
      </c>
      <c r="E25" s="91">
        <f t="shared" ref="E25:AI25" si="1">SUM(E9:E11,E14:E15,)</f>
        <v>194.19999999999982</v>
      </c>
      <c r="F25" s="91">
        <f t="shared" si="1"/>
        <v>159.80000000000018</v>
      </c>
      <c r="G25" s="91">
        <f t="shared" si="1"/>
        <v>195</v>
      </c>
      <c r="H25" s="91">
        <f t="shared" si="1"/>
        <v>177</v>
      </c>
      <c r="I25" s="91">
        <f t="shared" si="1"/>
        <v>151</v>
      </c>
      <c r="J25" s="91">
        <f t="shared" si="1"/>
        <v>173</v>
      </c>
      <c r="K25" s="91">
        <f>SUM(K9:K11,K14:K15,)</f>
        <v>179</v>
      </c>
      <c r="L25" s="91">
        <f t="shared" si="1"/>
        <v>205</v>
      </c>
      <c r="M25" s="91">
        <f t="shared" si="1"/>
        <v>176</v>
      </c>
      <c r="N25" s="91">
        <f t="shared" si="1"/>
        <v>177</v>
      </c>
      <c r="O25" s="91">
        <f t="shared" si="1"/>
        <v>175</v>
      </c>
      <c r="P25" s="91">
        <f t="shared" si="1"/>
        <v>231</v>
      </c>
      <c r="Q25" s="91">
        <f t="shared" si="1"/>
        <v>172</v>
      </c>
      <c r="R25" s="91">
        <f t="shared" si="1"/>
        <v>152</v>
      </c>
      <c r="S25" s="91">
        <f t="shared" si="1"/>
        <v>159</v>
      </c>
      <c r="T25" s="91">
        <f>SUM(T9:T11,T14:T15,)</f>
        <v>182</v>
      </c>
      <c r="U25" s="91">
        <f t="shared" si="1"/>
        <v>204</v>
      </c>
      <c r="V25" s="91">
        <f t="shared" si="1"/>
        <v>214</v>
      </c>
      <c r="W25" s="91">
        <f t="shared" si="1"/>
        <v>136</v>
      </c>
      <c r="X25" s="91">
        <f t="shared" si="1"/>
        <v>158</v>
      </c>
      <c r="Y25" s="91">
        <f t="shared" si="1"/>
        <v>167</v>
      </c>
      <c r="Z25" s="91">
        <f t="shared" si="1"/>
        <v>174</v>
      </c>
      <c r="AA25" s="91">
        <f t="shared" si="1"/>
        <v>162</v>
      </c>
      <c r="AB25" s="91">
        <f t="shared" si="1"/>
        <v>177</v>
      </c>
      <c r="AC25" s="91">
        <f t="shared" si="1"/>
        <v>207</v>
      </c>
      <c r="AD25" s="91">
        <f t="shared" si="1"/>
        <v>164</v>
      </c>
      <c r="AE25" s="91">
        <f t="shared" si="1"/>
        <v>199</v>
      </c>
      <c r="AF25" s="91">
        <f t="shared" si="1"/>
        <v>176</v>
      </c>
      <c r="AG25" s="91">
        <f t="shared" si="1"/>
        <v>-5141</v>
      </c>
      <c r="AH25" s="91">
        <f t="shared" si="1"/>
        <v>-5344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101</v>
      </c>
      <c r="E27" s="91">
        <f t="shared" ref="E27:AH27" si="2">SUM(E13,E21,E23)</f>
        <v>96</v>
      </c>
      <c r="F27" s="91">
        <f>SUM(F13,F21,F23)</f>
        <v>134</v>
      </c>
      <c r="G27" s="91">
        <f t="shared" si="2"/>
        <v>148</v>
      </c>
      <c r="H27" s="91">
        <f t="shared" si="2"/>
        <v>105</v>
      </c>
      <c r="I27" s="91">
        <f t="shared" si="2"/>
        <v>118</v>
      </c>
      <c r="J27" s="91">
        <f t="shared" si="2"/>
        <v>117</v>
      </c>
      <c r="K27" s="91">
        <f t="shared" si="2"/>
        <v>128</v>
      </c>
      <c r="L27" s="91">
        <f t="shared" si="2"/>
        <v>129</v>
      </c>
      <c r="M27" s="91">
        <f t="shared" si="2"/>
        <v>131</v>
      </c>
      <c r="N27" s="91">
        <f t="shared" si="2"/>
        <v>134</v>
      </c>
      <c r="O27" s="91">
        <f t="shared" si="2"/>
        <v>154</v>
      </c>
      <c r="P27" s="91">
        <f t="shared" si="2"/>
        <v>117</v>
      </c>
      <c r="Q27" s="91">
        <f t="shared" si="2"/>
        <v>108</v>
      </c>
      <c r="R27" s="91">
        <f t="shared" si="2"/>
        <v>124</v>
      </c>
      <c r="S27" s="91">
        <f t="shared" si="2"/>
        <v>108</v>
      </c>
      <c r="T27" s="91">
        <f t="shared" si="2"/>
        <v>166</v>
      </c>
      <c r="U27" s="91">
        <f t="shared" si="2"/>
        <v>108</v>
      </c>
      <c r="V27" s="91">
        <f t="shared" si="2"/>
        <v>75</v>
      </c>
      <c r="W27" s="91">
        <f t="shared" si="2"/>
        <v>136</v>
      </c>
      <c r="X27" s="91">
        <f t="shared" si="2"/>
        <v>106</v>
      </c>
      <c r="Y27" s="91">
        <f t="shared" si="2"/>
        <v>101</v>
      </c>
      <c r="Z27" s="91">
        <f t="shared" si="2"/>
        <v>92</v>
      </c>
      <c r="AA27" s="91">
        <f t="shared" si="2"/>
        <v>149</v>
      </c>
      <c r="AB27" s="91">
        <f t="shared" si="2"/>
        <v>124</v>
      </c>
      <c r="AC27" s="91">
        <f t="shared" si="2"/>
        <v>97</v>
      </c>
      <c r="AD27" s="91">
        <f t="shared" si="2"/>
        <v>104</v>
      </c>
      <c r="AE27" s="91">
        <f t="shared" si="2"/>
        <v>110</v>
      </c>
      <c r="AF27" s="91">
        <f t="shared" si="2"/>
        <v>143</v>
      </c>
      <c r="AG27" s="91">
        <f t="shared" si="2"/>
        <v>-3463</v>
      </c>
      <c r="AH27" s="91">
        <f t="shared" si="2"/>
        <v>-3909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86</v>
      </c>
      <c r="E29" s="249">
        <f t="shared" ref="E29:AH29" si="4">E9</f>
        <v>98</v>
      </c>
      <c r="F29" s="249">
        <f t="shared" si="4"/>
        <v>89</v>
      </c>
      <c r="G29" s="249">
        <f t="shared" si="4"/>
        <v>109</v>
      </c>
      <c r="H29" s="249">
        <f t="shared" si="4"/>
        <v>105</v>
      </c>
      <c r="I29" s="249">
        <f t="shared" si="4"/>
        <v>88</v>
      </c>
      <c r="J29" s="249">
        <f t="shared" si="4"/>
        <v>102</v>
      </c>
      <c r="K29" s="249">
        <f t="shared" si="4"/>
        <v>113</v>
      </c>
      <c r="L29" s="249">
        <f t="shared" si="4"/>
        <v>132</v>
      </c>
      <c r="M29" s="249">
        <f t="shared" si="4"/>
        <v>106</v>
      </c>
      <c r="N29" s="249">
        <f t="shared" si="4"/>
        <v>104</v>
      </c>
      <c r="O29" s="249">
        <f t="shared" si="4"/>
        <v>105</v>
      </c>
      <c r="P29" s="249">
        <f t="shared" si="4"/>
        <v>152</v>
      </c>
      <c r="Q29" s="249">
        <f t="shared" si="4"/>
        <v>105</v>
      </c>
      <c r="R29" s="249">
        <f t="shared" si="4"/>
        <v>106</v>
      </c>
      <c r="S29" s="249">
        <f t="shared" si="4"/>
        <v>93</v>
      </c>
      <c r="T29" s="249">
        <f t="shared" si="4"/>
        <v>111</v>
      </c>
      <c r="U29" s="249">
        <f t="shared" si="4"/>
        <v>125</v>
      </c>
      <c r="V29" s="249">
        <f t="shared" si="4"/>
        <v>117</v>
      </c>
      <c r="W29" s="249">
        <f t="shared" si="4"/>
        <v>77</v>
      </c>
      <c r="X29" s="249">
        <f t="shared" si="4"/>
        <v>97</v>
      </c>
      <c r="Y29" s="249">
        <f t="shared" si="4"/>
        <v>105</v>
      </c>
      <c r="Z29" s="249">
        <f t="shared" si="4"/>
        <v>99</v>
      </c>
      <c r="AA29" s="249">
        <f t="shared" si="4"/>
        <v>89</v>
      </c>
      <c r="AB29" s="249">
        <f t="shared" si="4"/>
        <v>91</v>
      </c>
      <c r="AC29" s="249">
        <f t="shared" si="4"/>
        <v>117</v>
      </c>
      <c r="AD29" s="249">
        <f t="shared" si="4"/>
        <v>95</v>
      </c>
      <c r="AE29" s="249">
        <f t="shared" si="4"/>
        <v>134</v>
      </c>
      <c r="AF29" s="249">
        <f t="shared" si="4"/>
        <v>104</v>
      </c>
      <c r="AG29" s="249">
        <f t="shared" si="4"/>
        <v>-3054</v>
      </c>
      <c r="AH29" s="249">
        <f t="shared" si="4"/>
        <v>-3158</v>
      </c>
      <c r="AI29" s="248"/>
    </row>
    <row r="30" spans="2:35" x14ac:dyDescent="0.25">
      <c r="B30" s="247" t="s">
        <v>84</v>
      </c>
      <c r="C30" s="248"/>
      <c r="D30" s="249">
        <f>SUM(D10:D11,D14:D15)</f>
        <v>59</v>
      </c>
      <c r="E30" s="249">
        <f t="shared" ref="E30:AH30" si="5">SUM(E10:E11,E14:E15)</f>
        <v>96.199999999999818</v>
      </c>
      <c r="F30" s="249">
        <f t="shared" si="5"/>
        <v>70.800000000000182</v>
      </c>
      <c r="G30" s="249">
        <f t="shared" si="5"/>
        <v>86</v>
      </c>
      <c r="H30" s="249">
        <f t="shared" si="5"/>
        <v>72</v>
      </c>
      <c r="I30" s="249">
        <f t="shared" si="5"/>
        <v>63</v>
      </c>
      <c r="J30" s="249">
        <f t="shared" si="5"/>
        <v>71</v>
      </c>
      <c r="K30" s="249">
        <f t="shared" si="5"/>
        <v>66</v>
      </c>
      <c r="L30" s="249">
        <f t="shared" si="5"/>
        <v>73</v>
      </c>
      <c r="M30" s="249">
        <f t="shared" si="5"/>
        <v>70</v>
      </c>
      <c r="N30" s="249">
        <f t="shared" si="5"/>
        <v>73</v>
      </c>
      <c r="O30" s="249">
        <f t="shared" si="5"/>
        <v>70</v>
      </c>
      <c r="P30" s="249">
        <f t="shared" si="5"/>
        <v>79</v>
      </c>
      <c r="Q30" s="249">
        <f t="shared" si="5"/>
        <v>67</v>
      </c>
      <c r="R30" s="249">
        <f t="shared" si="5"/>
        <v>46</v>
      </c>
      <c r="S30" s="249">
        <f t="shared" si="5"/>
        <v>66</v>
      </c>
      <c r="T30" s="249">
        <f t="shared" si="5"/>
        <v>71</v>
      </c>
      <c r="U30" s="249">
        <f t="shared" si="5"/>
        <v>79</v>
      </c>
      <c r="V30" s="249">
        <f t="shared" si="5"/>
        <v>97</v>
      </c>
      <c r="W30" s="249">
        <f t="shared" si="5"/>
        <v>59</v>
      </c>
      <c r="X30" s="249">
        <f t="shared" si="5"/>
        <v>61</v>
      </c>
      <c r="Y30" s="249">
        <f t="shared" si="5"/>
        <v>62</v>
      </c>
      <c r="Z30" s="249">
        <f t="shared" si="5"/>
        <v>75</v>
      </c>
      <c r="AA30" s="249">
        <f t="shared" si="5"/>
        <v>73</v>
      </c>
      <c r="AB30" s="249">
        <f t="shared" si="5"/>
        <v>86</v>
      </c>
      <c r="AC30" s="249">
        <f t="shared" si="5"/>
        <v>90</v>
      </c>
      <c r="AD30" s="249">
        <f t="shared" si="5"/>
        <v>69</v>
      </c>
      <c r="AE30" s="249">
        <f t="shared" si="5"/>
        <v>65</v>
      </c>
      <c r="AF30" s="249">
        <f t="shared" si="5"/>
        <v>72</v>
      </c>
      <c r="AG30" s="249">
        <f t="shared" si="5"/>
        <v>-2087</v>
      </c>
      <c r="AH30" s="249">
        <f t="shared" si="5"/>
        <v>-2186</v>
      </c>
      <c r="AI30" s="248"/>
    </row>
    <row r="31" spans="2:35" x14ac:dyDescent="0.25">
      <c r="B31" s="247" t="s">
        <v>85</v>
      </c>
      <c r="C31" s="248"/>
      <c r="D31" s="248">
        <f>D30/SUM(D29:D30)%</f>
        <v>40.689655172413794</v>
      </c>
      <c r="E31" s="248">
        <f t="shared" ref="E31:AH31" si="6">E30/SUM(E29:E30)%</f>
        <v>49.53656024716782</v>
      </c>
      <c r="F31" s="248">
        <f t="shared" si="6"/>
        <v>44.305381727159009</v>
      </c>
      <c r="G31" s="248">
        <f t="shared" si="6"/>
        <v>44.102564102564102</v>
      </c>
      <c r="H31" s="248">
        <f t="shared" si="6"/>
        <v>40.677966101694913</v>
      </c>
      <c r="I31" s="248">
        <f t="shared" si="6"/>
        <v>41.721854304635762</v>
      </c>
      <c r="J31" s="248">
        <f t="shared" si="6"/>
        <v>41.040462427745666</v>
      </c>
      <c r="K31" s="248">
        <f t="shared" si="6"/>
        <v>36.871508379888269</v>
      </c>
      <c r="L31" s="248">
        <f t="shared" si="6"/>
        <v>35.609756097560975</v>
      </c>
      <c r="M31" s="248">
        <f t="shared" si="6"/>
        <v>39.772727272727273</v>
      </c>
      <c r="N31" s="248">
        <f t="shared" si="6"/>
        <v>41.242937853107343</v>
      </c>
      <c r="O31" s="248">
        <f t="shared" si="6"/>
        <v>40</v>
      </c>
      <c r="P31" s="248">
        <f t="shared" si="6"/>
        <v>34.1991341991342</v>
      </c>
      <c r="Q31" s="248">
        <f t="shared" si="6"/>
        <v>38.953488372093027</v>
      </c>
      <c r="R31" s="248">
        <f t="shared" si="6"/>
        <v>30.263157894736842</v>
      </c>
      <c r="S31" s="248">
        <f t="shared" si="6"/>
        <v>41.509433962264147</v>
      </c>
      <c r="T31" s="248">
        <f t="shared" si="6"/>
        <v>39.010989010989007</v>
      </c>
      <c r="U31" s="248">
        <f t="shared" si="6"/>
        <v>38.725490196078432</v>
      </c>
      <c r="V31" s="248">
        <f t="shared" si="6"/>
        <v>45.327102803738313</v>
      </c>
      <c r="W31" s="248">
        <f t="shared" si="6"/>
        <v>43.382352941176471</v>
      </c>
      <c r="X31" s="248">
        <f t="shared" si="6"/>
        <v>38.607594936708857</v>
      </c>
      <c r="Y31" s="248">
        <f t="shared" si="6"/>
        <v>37.125748502994014</v>
      </c>
      <c r="Z31" s="248">
        <f t="shared" si="6"/>
        <v>43.103448275862071</v>
      </c>
      <c r="AA31" s="248">
        <f t="shared" si="6"/>
        <v>45.061728395061728</v>
      </c>
      <c r="AB31" s="248">
        <f t="shared" si="6"/>
        <v>48.587570621468927</v>
      </c>
      <c r="AC31" s="248">
        <f t="shared" si="6"/>
        <v>43.478260869565219</v>
      </c>
      <c r="AD31" s="248">
        <f t="shared" si="6"/>
        <v>42.073170731707322</v>
      </c>
      <c r="AE31" s="248">
        <f t="shared" si="6"/>
        <v>32.663316582914575</v>
      </c>
      <c r="AF31" s="248">
        <f t="shared" si="6"/>
        <v>40.909090909090907</v>
      </c>
      <c r="AG31" s="248">
        <f t="shared" si="6"/>
        <v>40.595214938727878</v>
      </c>
      <c r="AH31" s="248">
        <f t="shared" si="6"/>
        <v>40.905688622754489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topLeftCell="A4" zoomScale="70" zoomScaleNormal="70" workbookViewId="0">
      <pane xSplit="1" topLeftCell="B1" activePane="topRight" state="frozen"/>
      <selection activeCell="A4" sqref="A4"/>
      <selection pane="topRight" activeCell="J5" sqref="J5:J33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918" t="s">
        <v>308</v>
      </c>
      <c r="G2" s="919"/>
      <c r="H2" s="919"/>
      <c r="I2" s="919"/>
      <c r="J2" s="919"/>
      <c r="K2" s="919"/>
      <c r="L2" s="919"/>
      <c r="M2" s="920"/>
      <c r="N2" s="720" t="s">
        <v>86</v>
      </c>
      <c r="O2" s="720"/>
      <c r="P2" s="720"/>
      <c r="Q2" s="720"/>
      <c r="R2" s="720"/>
      <c r="S2" s="720"/>
      <c r="T2" s="720"/>
      <c r="U2" s="720"/>
      <c r="V2" s="720"/>
      <c r="W2" s="720"/>
      <c r="X2" s="720"/>
      <c r="Y2" s="720"/>
      <c r="Z2" s="720"/>
      <c r="AA2" s="720"/>
      <c r="AB2" s="720"/>
      <c r="AC2" s="720"/>
      <c r="AD2" s="720"/>
      <c r="AE2" s="720"/>
      <c r="AF2" s="720"/>
      <c r="AG2" s="720"/>
      <c r="AH2" s="720"/>
      <c r="AI2" s="720"/>
      <c r="AJ2" s="720"/>
      <c r="AK2" s="720"/>
      <c r="AL2" s="720"/>
      <c r="AM2" s="720"/>
      <c r="AN2" s="719"/>
      <c r="AO2" s="719"/>
      <c r="AP2" s="719"/>
      <c r="AQ2" s="719"/>
      <c r="AR2" s="719"/>
      <c r="AS2" s="719"/>
      <c r="AT2" s="719"/>
      <c r="AU2" s="703"/>
      <c r="AV2" s="718" t="s">
        <v>87</v>
      </c>
      <c r="AW2" s="718"/>
      <c r="AX2" s="718"/>
      <c r="AY2" s="718"/>
      <c r="BB2" s="320" t="s">
        <v>334</v>
      </c>
      <c r="BC2" s="320" t="s">
        <v>335</v>
      </c>
    </row>
    <row r="3" spans="1:55" x14ac:dyDescent="0.2">
      <c r="F3" s="921"/>
      <c r="G3" s="922"/>
      <c r="H3" s="922"/>
      <c r="I3" s="922"/>
      <c r="J3" s="922"/>
      <c r="K3" s="922"/>
      <c r="L3" s="922"/>
      <c r="M3" s="923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  <c r="Y3" s="704"/>
      <c r="Z3" s="704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704"/>
      <c r="AN3" s="721" t="s">
        <v>138</v>
      </c>
      <c r="AO3" s="721"/>
      <c r="AP3" s="721"/>
      <c r="AQ3" s="721"/>
      <c r="AR3" s="721"/>
      <c r="AS3" s="721"/>
      <c r="AT3" s="721"/>
      <c r="AU3" s="722" t="s">
        <v>283</v>
      </c>
      <c r="AV3" s="722"/>
      <c r="AW3" s="722"/>
      <c r="AX3" s="722"/>
      <c r="AY3" s="722"/>
      <c r="BB3" s="320"/>
      <c r="BC3" s="320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924" t="s">
        <v>284</v>
      </c>
      <c r="G4" s="925" t="s">
        <v>285</v>
      </c>
      <c r="H4" s="925" t="s">
        <v>286</v>
      </c>
      <c r="I4" s="925" t="s">
        <v>287</v>
      </c>
      <c r="J4" s="925" t="s">
        <v>282</v>
      </c>
      <c r="K4" s="925" t="s">
        <v>51</v>
      </c>
      <c r="L4" s="926" t="s">
        <v>60</v>
      </c>
      <c r="M4" s="926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20"/>
      <c r="BC4" s="320"/>
    </row>
    <row r="5" spans="1:55" x14ac:dyDescent="0.2">
      <c r="A5" s="361">
        <v>1</v>
      </c>
      <c r="B5" s="927">
        <f>'1'!G7</f>
        <v>22668</v>
      </c>
      <c r="C5" s="927">
        <f>'1'!G8</f>
        <v>22989</v>
      </c>
      <c r="D5" s="927">
        <f>'1'!G15</f>
        <v>1074</v>
      </c>
      <c r="E5" s="927">
        <f>'1'!G20</f>
        <v>212</v>
      </c>
      <c r="F5" s="927">
        <f>SUM('1'!G35,'1'!G49)</f>
        <v>3840.0400000000081</v>
      </c>
      <c r="G5" s="927">
        <f>SUM('1'!H37,'1'!H51)</f>
        <v>1702.2600000000093</v>
      </c>
      <c r="H5" s="927">
        <f>SUM('1'!G38,'1'!G52)</f>
        <v>1904.9500000000116</v>
      </c>
      <c r="I5" s="927">
        <f>SUM('1'!G39,'1'!G53)</f>
        <v>2945.710000000021</v>
      </c>
      <c r="J5" s="927">
        <f>SUM('1'!G41,'1'!G42,'1'!G55,'1'!G56)</f>
        <v>5399.3500000000349</v>
      </c>
      <c r="K5" s="927">
        <f>SUM('1'!G43,'1'!G57)</f>
        <v>2459.3999999999069</v>
      </c>
      <c r="L5" s="254">
        <f>'1'!G50</f>
        <v>1459.8100000000559</v>
      </c>
      <c r="M5" s="254">
        <f>'1'!G36</f>
        <v>940.30000000000291</v>
      </c>
      <c r="N5" s="254">
        <f>'1'!G138</f>
        <v>48</v>
      </c>
      <c r="O5" s="254">
        <f>'1'!G139</f>
        <v>8</v>
      </c>
      <c r="P5" s="254">
        <f>'1'!G140</f>
        <v>0</v>
      </c>
      <c r="Q5" s="254">
        <f>'1'!G141</f>
        <v>199.2699999999968</v>
      </c>
      <c r="R5" s="254">
        <f>'1'!G142</f>
        <v>17.5</v>
      </c>
      <c r="S5" s="254">
        <f>'1'!$G$145</f>
        <v>41</v>
      </c>
      <c r="T5" s="254">
        <f>'1'!$G$146</f>
        <v>270</v>
      </c>
      <c r="U5" s="254">
        <f>'1'!$G$144</f>
        <v>226</v>
      </c>
      <c r="V5" s="254">
        <f>'1'!$G$147</f>
        <v>450.95999999996275</v>
      </c>
      <c r="W5" s="254">
        <f>'1'!$G$148</f>
        <v>250.31999999994878</v>
      </c>
      <c r="X5" s="254">
        <f>'1'!$G$143</f>
        <v>30.599999999999909</v>
      </c>
      <c r="Y5" s="254">
        <f>'1'!$G$58</f>
        <v>206.14999999999418</v>
      </c>
      <c r="Z5" s="254">
        <f>'1'!$G$151</f>
        <v>220</v>
      </c>
      <c r="AA5" s="254">
        <f>'1'!G161</f>
        <v>45.880000000004657</v>
      </c>
      <c r="AB5" s="254">
        <f>'1'!G162</f>
        <v>71.30000000000291</v>
      </c>
      <c r="AC5" s="254"/>
      <c r="AD5" s="254">
        <f>'1'!G163+'1'!G164</f>
        <v>115.29999999999745</v>
      </c>
      <c r="AE5" s="254">
        <f>'1'!$G$116</f>
        <v>0</v>
      </c>
      <c r="AF5" s="254">
        <f>'1'!$G$117</f>
        <v>19.920000000000073</v>
      </c>
      <c r="AG5" s="254">
        <f>'1'!$G$118</f>
        <v>432.26999999998952</v>
      </c>
      <c r="AH5" s="254">
        <f>'1'!$G$119</f>
        <v>474.47000000000116</v>
      </c>
      <c r="AI5" s="254">
        <f>'1'!$G$120</f>
        <v>428.68000000000029</v>
      </c>
      <c r="AJ5" s="254">
        <f>'1'!$G$121</f>
        <v>660.77000000001863</v>
      </c>
      <c r="AK5" s="254">
        <f>'1'!$G$122</f>
        <v>318.2100000000064</v>
      </c>
      <c r="AL5" s="254">
        <f>'1'!$G$123</f>
        <v>295</v>
      </c>
      <c r="AM5" s="254">
        <f>'1'!$G$133</f>
        <v>843.58000000000175</v>
      </c>
      <c r="AN5" s="254">
        <f>'1'!$G$15</f>
        <v>1074</v>
      </c>
      <c r="AO5" s="254">
        <f>'1'!$G$74</f>
        <v>305.95100000000093</v>
      </c>
      <c r="AP5" s="254">
        <f>'1'!$G$75</f>
        <v>0</v>
      </c>
      <c r="AQ5" s="254">
        <f>'1'!$G$76</f>
        <v>116</v>
      </c>
      <c r="AR5" s="254">
        <f>'1'!$G$77</f>
        <v>45</v>
      </c>
      <c r="AS5" s="254">
        <f>'1'!$G$78</f>
        <v>2</v>
      </c>
      <c r="AT5" s="254">
        <f>AN5-SUM(AO5:AS5)</f>
        <v>605.04899999999907</v>
      </c>
      <c r="AU5" s="254">
        <f>SUM('1'!G91:G92)</f>
        <v>10.650000000000546</v>
      </c>
      <c r="AV5" s="254">
        <f>'1'!$G$88</f>
        <v>8.9899999999979627</v>
      </c>
      <c r="AW5" s="254">
        <f>'1'!$G$89</f>
        <v>0</v>
      </c>
      <c r="AX5" s="254">
        <f>'1'!$G$90</f>
        <v>6.7299999999959255</v>
      </c>
      <c r="AY5" s="252">
        <f>SUM(AV5:AX5)</f>
        <v>15.719999999993888</v>
      </c>
      <c r="AZ5" s="311">
        <f>AO5/AU5</f>
        <v>28.727793427228661</v>
      </c>
      <c r="BB5" s="353">
        <f>C5-SUM(F5:K5,Y5)</f>
        <v>4531.140000000014</v>
      </c>
      <c r="BC5" s="353">
        <f>BB5/B5%</f>
        <v>19.989147697194344</v>
      </c>
    </row>
    <row r="6" spans="1:55" x14ac:dyDescent="0.2">
      <c r="A6" s="361">
        <v>2</v>
      </c>
      <c r="B6" s="927">
        <f>'2'!G7</f>
        <v>21548</v>
      </c>
      <c r="C6" s="927">
        <f>'2'!G8</f>
        <v>21667</v>
      </c>
      <c r="D6" s="927">
        <f>'2'!G15</f>
        <v>1094.2399999999907</v>
      </c>
      <c r="E6" s="927">
        <f>'2'!G20</f>
        <v>254</v>
      </c>
      <c r="F6" s="927">
        <f>SUM('2'!G35,'2'!G49)</f>
        <v>3698.6900000000169</v>
      </c>
      <c r="G6" s="927">
        <f>SUM('2'!G37,'2'!G51)</f>
        <v>1670.5899999999965</v>
      </c>
      <c r="H6" s="927">
        <f>SUM('2'!G38,'2'!G52)</f>
        <v>1896.570000000007</v>
      </c>
      <c r="I6" s="927">
        <f>SUM('2'!G39,'2'!G53)</f>
        <v>2783</v>
      </c>
      <c r="J6" s="927">
        <f>SUM('2'!G41,'2'!G42,'2'!G55,'2'!G56)</f>
        <v>4727.1299999999756</v>
      </c>
      <c r="K6" s="927">
        <f>SUM('2'!G43,'2'!G57)</f>
        <v>2388.3999999999069</v>
      </c>
      <c r="L6" s="254">
        <f>'2'!G50</f>
        <v>1486.3499999999767</v>
      </c>
      <c r="M6" s="254">
        <f>'2'!G36</f>
        <v>968.69999999999709</v>
      </c>
      <c r="N6" s="254">
        <f>'2'!G138</f>
        <v>64</v>
      </c>
      <c r="O6" s="254">
        <f>'2'!$G$139</f>
        <v>9</v>
      </c>
      <c r="P6" s="254">
        <f>'2'!$G$140</f>
        <v>0</v>
      </c>
      <c r="Q6" s="254">
        <f>'2'!$G$141</f>
        <v>189.19999999999709</v>
      </c>
      <c r="R6" s="254">
        <f>'2'!$G$142</f>
        <v>17.400000000001455</v>
      </c>
      <c r="S6" s="254">
        <f>'2'!$G$145</f>
        <v>45.190000000000055</v>
      </c>
      <c r="T6" s="254">
        <f>'2'!$G$146</f>
        <v>337</v>
      </c>
      <c r="U6" s="254">
        <f>'2'!$G$144</f>
        <v>225</v>
      </c>
      <c r="V6" s="254">
        <f>'2'!$G$147</f>
        <v>402.31999999994878</v>
      </c>
      <c r="W6" s="251">
        <f>'2'!$G$148</f>
        <v>225.04000000003725</v>
      </c>
      <c r="X6" s="251">
        <f>'2'!$G$143</f>
        <v>30</v>
      </c>
      <c r="Y6" s="251">
        <f>'2'!$G$58</f>
        <v>207.19000000000233</v>
      </c>
      <c r="Z6" s="251">
        <f>'2'!$G$151</f>
        <v>253</v>
      </c>
      <c r="AA6" s="251">
        <f>'2'!G161</f>
        <v>7.2399999999906868</v>
      </c>
      <c r="AB6" s="254">
        <f>'2'!G162</f>
        <v>40.399999999994179</v>
      </c>
      <c r="AC6" s="254"/>
      <c r="AD6" s="254">
        <f>'2'!G163+'2'!G164</f>
        <v>131.89999999999964</v>
      </c>
      <c r="AE6" s="254">
        <f>'2'!$G$116</f>
        <v>0</v>
      </c>
      <c r="AF6" s="254">
        <f>'2'!$G$117</f>
        <v>21.829999999999927</v>
      </c>
      <c r="AG6" s="254">
        <f>'2'!$G$118</f>
        <v>438</v>
      </c>
      <c r="AH6" s="254">
        <f>'2'!$G$119</f>
        <v>422.67000000001281</v>
      </c>
      <c r="AI6" s="254">
        <f>'2'!$G$120</f>
        <v>414.79999999999927</v>
      </c>
      <c r="AJ6" s="254">
        <f>'2'!$G$121</f>
        <v>678.59000000002561</v>
      </c>
      <c r="AK6" s="254">
        <f>'2'!$G$122</f>
        <v>293.22999999999593</v>
      </c>
      <c r="AL6" s="254">
        <f>'2'!$G$123</f>
        <v>296.85000000000582</v>
      </c>
      <c r="AM6" s="254">
        <f>'2'!$G$133</f>
        <v>835.40000000000146</v>
      </c>
      <c r="AN6" s="254">
        <f>'2'!$G$15</f>
        <v>1094.2399999999907</v>
      </c>
      <c r="AO6" s="254">
        <f>'2'!$G$74</f>
        <v>298.19999999995343</v>
      </c>
      <c r="AP6" s="254">
        <f>'2'!$G$75</f>
        <v>0</v>
      </c>
      <c r="AQ6" s="254">
        <f>'2'!$G$76</f>
        <v>121.89999999999418</v>
      </c>
      <c r="AR6" s="254">
        <f>'2'!$G$77</f>
        <v>49.5</v>
      </c>
      <c r="AS6" s="254">
        <f>'2'!$G$78</f>
        <v>2.3999999999996362</v>
      </c>
      <c r="AT6" s="254">
        <f t="shared" ref="AT6:AT34" si="0">AN6-SUM(AO6:AS6)</f>
        <v>622.24000000004344</v>
      </c>
      <c r="AU6" s="254">
        <f>SUM('2'!G91:G92)</f>
        <v>10.740000000000236</v>
      </c>
      <c r="AV6" s="254">
        <f>'2'!$G$88</f>
        <v>1</v>
      </c>
      <c r="AW6" s="254">
        <f>'2'!$G$89</f>
        <v>10.379999999997381</v>
      </c>
      <c r="AX6" s="254">
        <f>'2'!$G$90</f>
        <v>6.8000000000029104</v>
      </c>
      <c r="AY6" s="252">
        <f t="shared" ref="AY6:AY34" si="1">SUM(AV6:AX6)</f>
        <v>18.180000000000291</v>
      </c>
      <c r="AZ6" s="311">
        <f t="shared" ref="AZ6:AZ8" si="2">AO6/AU6</f>
        <v>27.765363128486673</v>
      </c>
      <c r="BB6" s="353">
        <f t="shared" ref="BB6:BB35" si="3">C6-SUM(F6:K6,Y6)</f>
        <v>4295.4300000000949</v>
      </c>
      <c r="BC6" s="353">
        <f t="shared" ref="BC6:BC35" si="4">BB6/B6%</f>
        <v>19.934239836644213</v>
      </c>
    </row>
    <row r="7" spans="1:55" s="313" customFormat="1" x14ac:dyDescent="0.2">
      <c r="A7" s="361">
        <v>3</v>
      </c>
      <c r="B7" s="927">
        <f>'3'!G7</f>
        <v>23474.229999999981</v>
      </c>
      <c r="C7" s="927">
        <f>'3'!G8</f>
        <v>23640.270000000019</v>
      </c>
      <c r="D7" s="927">
        <f>'3'!G15</f>
        <v>1144.1499999999069</v>
      </c>
      <c r="E7" s="927">
        <f>'3'!G20</f>
        <v>285</v>
      </c>
      <c r="F7" s="927">
        <f>SUM('3'!G35,'3'!G49)</f>
        <v>3864.3999999999796</v>
      </c>
      <c r="G7" s="927">
        <f>SUM('3'!G37,'3'!G51)</f>
        <v>1609.3300000000163</v>
      </c>
      <c r="H7" s="927">
        <f>SUM('3'!G38,'3'!G52)</f>
        <v>2009.4599999999919</v>
      </c>
      <c r="I7" s="927">
        <f>SUM('3'!G39,'3'!G53)</f>
        <v>2891.5300000000279</v>
      </c>
      <c r="J7" s="927">
        <f>SUM('3'!G41,'3'!G42,'3'!G55,'3'!G56)</f>
        <v>6111.3000000001048</v>
      </c>
      <c r="K7" s="927">
        <f>SUM('3'!G43,'3'!G57)</f>
        <v>2707</v>
      </c>
      <c r="L7" s="251">
        <f>'3'!G50</f>
        <v>1287.5200000000186</v>
      </c>
      <c r="M7" s="251">
        <f>'3'!G36</f>
        <v>1025.8800000000047</v>
      </c>
      <c r="N7" s="251">
        <f>'3'!G138</f>
        <v>55</v>
      </c>
      <c r="O7" s="251">
        <f>'3'!$G$139</f>
        <v>9</v>
      </c>
      <c r="P7" s="251">
        <f>'3'!$G$140</f>
        <v>0</v>
      </c>
      <c r="Q7" s="251">
        <f>'3'!$G$141</f>
        <v>205.94000000000233</v>
      </c>
      <c r="R7" s="251">
        <f>'3'!$G$142</f>
        <v>18.049999999999272</v>
      </c>
      <c r="S7" s="251">
        <f>'3'!$G$145</f>
        <v>47.650000000000091</v>
      </c>
      <c r="T7" s="251">
        <f>'3'!$G$146</f>
        <v>409</v>
      </c>
      <c r="U7" s="251">
        <f>'3'!$G$144</f>
        <v>228</v>
      </c>
      <c r="V7" s="251">
        <f>'3'!$G$147</f>
        <v>419.2400000001071</v>
      </c>
      <c r="W7" s="251">
        <f>'3'!$G$148</f>
        <v>249.67999999993481</v>
      </c>
      <c r="X7" s="251">
        <f>'3'!$G$143</f>
        <v>30.420000000000073</v>
      </c>
      <c r="Y7" s="251">
        <f>'3'!$G$58</f>
        <v>226.47000000000116</v>
      </c>
      <c r="Z7" s="251">
        <f>'3'!$G$151</f>
        <v>277</v>
      </c>
      <c r="AA7" s="254">
        <f>'3'!G161</f>
        <v>7.4000000000232831</v>
      </c>
      <c r="AB7" s="254">
        <f>'3'!G162</f>
        <v>45.5</v>
      </c>
      <c r="AC7" s="254"/>
      <c r="AD7" s="254">
        <f>'3'!G163+'3'!G164</f>
        <v>126.60000000000582</v>
      </c>
      <c r="AE7" s="251">
        <f>'3'!$G$116</f>
        <v>0</v>
      </c>
      <c r="AF7" s="251">
        <f>'3'!$G$117</f>
        <v>19.360000000000127</v>
      </c>
      <c r="AG7" s="251">
        <f>'3'!$G$118</f>
        <v>353.26999999998952</v>
      </c>
      <c r="AH7" s="251">
        <f>'3'!$G$119</f>
        <v>435.13999999998487</v>
      </c>
      <c r="AI7" s="251">
        <f>'3'!$G$120</f>
        <v>428.43000000000029</v>
      </c>
      <c r="AJ7" s="251">
        <f>'3'!$G$121</f>
        <v>719.8399999999674</v>
      </c>
      <c r="AK7" s="251">
        <f>'3'!$G$122</f>
        <v>329.0679999999993</v>
      </c>
      <c r="AL7" s="251">
        <f>'3'!$G$123</f>
        <v>311.47999999998137</v>
      </c>
      <c r="AM7" s="251">
        <f>'3'!$G$133</f>
        <v>845.04999999999563</v>
      </c>
      <c r="AN7" s="251">
        <f>'3'!$G$15</f>
        <v>1144.1499999999069</v>
      </c>
      <c r="AO7" s="251">
        <f>'3'!$G$74</f>
        <v>326.73000000009779</v>
      </c>
      <c r="AP7" s="251">
        <f>'3'!$G$75</f>
        <v>0</v>
      </c>
      <c r="AQ7" s="251">
        <f>'3'!$G$76</f>
        <v>118.5</v>
      </c>
      <c r="AR7" s="251">
        <f>'3'!$G$77</f>
        <v>46</v>
      </c>
      <c r="AS7" s="251">
        <f>'3'!$G$78</f>
        <v>2.8000000000010914</v>
      </c>
      <c r="AT7" s="251">
        <f t="shared" si="0"/>
        <v>650.11999999980799</v>
      </c>
      <c r="AU7" s="254">
        <f>SUM('3'!G91:G92)</f>
        <v>11.409999999999854</v>
      </c>
      <c r="AV7" s="251">
        <f>'3'!$G$88</f>
        <v>-1</v>
      </c>
      <c r="AW7" s="251">
        <f>'3'!$G$89</f>
        <v>11</v>
      </c>
      <c r="AX7" s="251">
        <f>'3'!$G$90</f>
        <v>7.0599999999976717</v>
      </c>
      <c r="AY7" s="255">
        <f t="shared" si="1"/>
        <v>17.059999999997672</v>
      </c>
      <c r="AZ7" s="311">
        <f t="shared" si="2"/>
        <v>28.635407537256963</v>
      </c>
      <c r="BB7" s="353">
        <f t="shared" si="3"/>
        <v>4220.779999999897</v>
      </c>
      <c r="BC7" s="353">
        <f t="shared" si="4"/>
        <v>17.980483278897328</v>
      </c>
    </row>
    <row r="8" spans="1:55" x14ac:dyDescent="0.2">
      <c r="A8" s="361">
        <v>4</v>
      </c>
      <c r="B8" s="927">
        <f>'4'!G7</f>
        <v>25174.280000000028</v>
      </c>
      <c r="C8" s="927">
        <f>'4'!G8</f>
        <v>25311.640000000014</v>
      </c>
      <c r="D8" s="927">
        <f>'4'!G15</f>
        <v>1192.7600000000093</v>
      </c>
      <c r="E8" s="927">
        <f>'4'!G20</f>
        <v>254</v>
      </c>
      <c r="F8" s="927">
        <f>SUM('4'!G35,'4'!G49)</f>
        <v>4121.7900000000081</v>
      </c>
      <c r="G8" s="927">
        <f>SUM('4'!G37,'4'!G51)</f>
        <v>1690.6199999999953</v>
      </c>
      <c r="H8" s="927">
        <f>SUM('4'!G38,'4'!G52)</f>
        <v>2045.2200000000012</v>
      </c>
      <c r="I8" s="927">
        <f>SUM('4'!G39,'4'!G53)</f>
        <v>2998.7999999999884</v>
      </c>
      <c r="J8" s="927">
        <f>SUM('4'!G41,'4'!G42,'4'!G55,'4'!G56)</f>
        <v>6927.1499999999942</v>
      </c>
      <c r="K8" s="927">
        <f>SUM('4'!G43,'4'!G57)</f>
        <v>2866.5</v>
      </c>
      <c r="L8" s="254">
        <f>'4'!G50</f>
        <v>1403.2800000000279</v>
      </c>
      <c r="M8" s="254">
        <f>'4'!G36</f>
        <v>1057.8800000000047</v>
      </c>
      <c r="N8" s="254">
        <f>'4'!G138</f>
        <v>43</v>
      </c>
      <c r="O8" s="254">
        <f>'4'!$G$139</f>
        <v>17</v>
      </c>
      <c r="P8" s="254">
        <f>'4'!$G$140</f>
        <v>0</v>
      </c>
      <c r="Q8" s="254">
        <f>'4'!$G$141</f>
        <v>199.12999999999738</v>
      </c>
      <c r="R8" s="254">
        <f>'4'!$G$142</f>
        <v>18.659999999999854</v>
      </c>
      <c r="S8" s="254">
        <f>'4'!$G$145</f>
        <v>44.159999999999854</v>
      </c>
      <c r="T8" s="254">
        <f>'4'!$G$146</f>
        <v>465</v>
      </c>
      <c r="U8" s="254">
        <f>'4'!$G$144</f>
        <v>227</v>
      </c>
      <c r="V8" s="251">
        <f>'4'!$G$147</f>
        <v>475.35999999998603</v>
      </c>
      <c r="W8" s="251">
        <f>'4'!$G$148</f>
        <v>335.11999999999534</v>
      </c>
      <c r="X8" s="254">
        <f>'4'!$G$143</f>
        <v>24.739999999999782</v>
      </c>
      <c r="Y8" s="254">
        <f>'4'!$G$58</f>
        <v>240.36999999999534</v>
      </c>
      <c r="Z8" s="254">
        <f>'4'!$G$151</f>
        <v>284</v>
      </c>
      <c r="AA8" s="254">
        <f>'4'!G161</f>
        <v>7.3999999999650754</v>
      </c>
      <c r="AB8" s="254">
        <f>'4'!G162</f>
        <v>35.900000000008731</v>
      </c>
      <c r="AC8" s="254"/>
      <c r="AD8" s="254">
        <f>'4'!G163+'4'!G164</f>
        <v>47.999999999991815</v>
      </c>
      <c r="AE8" s="254">
        <f>'4'!$G$116</f>
        <v>0</v>
      </c>
      <c r="AF8" s="254">
        <f>'4'!$G$117</f>
        <v>19.599999999999909</v>
      </c>
      <c r="AG8" s="254">
        <f>'4'!$G$118</f>
        <v>317.12000000002445</v>
      </c>
      <c r="AH8" s="254">
        <f>'4'!$G$119</f>
        <v>462.77999999999884</v>
      </c>
      <c r="AI8" s="254">
        <f>'4'!$G$120</f>
        <v>426.81999999999971</v>
      </c>
      <c r="AJ8" s="254">
        <f>'4'!$G$121</f>
        <v>755.79999999998836</v>
      </c>
      <c r="AK8" s="254">
        <f>'4'!$G$122</f>
        <v>339.79200000000128</v>
      </c>
      <c r="AL8" s="254">
        <f>'4'!$G$123</f>
        <v>309.47000000000116</v>
      </c>
      <c r="AM8" s="254">
        <f>'4'!$G$133</f>
        <v>893.08000000000175</v>
      </c>
      <c r="AN8" s="254">
        <f>'4'!$G$15</f>
        <v>1192.7600000000093</v>
      </c>
      <c r="AO8" s="254">
        <f>'4'!$G$74</f>
        <v>297.22999999998137</v>
      </c>
      <c r="AP8" s="254">
        <f>'4'!$G$75</f>
        <v>0</v>
      </c>
      <c r="AQ8" s="254">
        <f>'4'!$G$76</f>
        <v>135</v>
      </c>
      <c r="AR8" s="254">
        <f>'4'!$G$77</f>
        <v>48.69999999999709</v>
      </c>
      <c r="AS8" s="254">
        <f>'4'!$G$78</f>
        <v>2.5</v>
      </c>
      <c r="AT8" s="254">
        <f t="shared" si="0"/>
        <v>709.33000000003085</v>
      </c>
      <c r="AU8" s="254">
        <f>SUM('4'!G91:G92)</f>
        <v>10.569999999999709</v>
      </c>
      <c r="AV8" s="254">
        <f>'4'!$G$88</f>
        <v>10.260000000002037</v>
      </c>
      <c r="AW8" s="254">
        <f>'4'!$G$89</f>
        <v>-4.9999999999272404E-2</v>
      </c>
      <c r="AX8" s="254">
        <f>'4'!$G$90</f>
        <v>8.5800000000017462</v>
      </c>
      <c r="AY8" s="252">
        <f t="shared" si="1"/>
        <v>18.790000000004511</v>
      </c>
      <c r="AZ8" s="311">
        <f t="shared" si="2"/>
        <v>28.120151371806013</v>
      </c>
      <c r="BB8" s="353">
        <f t="shared" si="3"/>
        <v>4421.1900000000314</v>
      </c>
      <c r="BC8" s="353">
        <f t="shared" si="4"/>
        <v>17.562329488668698</v>
      </c>
    </row>
    <row r="9" spans="1:55" x14ac:dyDescent="0.2">
      <c r="A9" s="361">
        <v>5</v>
      </c>
      <c r="B9" s="927">
        <f>'5'!G7</f>
        <v>23193.119999999995</v>
      </c>
      <c r="C9" s="927">
        <f>'5'!G8</f>
        <v>23337</v>
      </c>
      <c r="D9" s="927">
        <f>'5'!G15</f>
        <v>1192.2900000000373</v>
      </c>
      <c r="E9" s="927">
        <f>'5'!G20</f>
        <v>253</v>
      </c>
      <c r="F9" s="927">
        <f>SUM('5'!G35,'5'!G49)</f>
        <v>3887.3999999999796</v>
      </c>
      <c r="G9" s="927">
        <f>SUM('5'!G37,'5'!G51)</f>
        <v>1646.2399999999907</v>
      </c>
      <c r="H9" s="927">
        <f>SUM('5'!G38,'5'!G52)</f>
        <v>1984.4200000000128</v>
      </c>
      <c r="I9" s="927">
        <f>SUM('5'!G39,'5'!G53)</f>
        <v>2790.5799999999581</v>
      </c>
      <c r="J9" s="927">
        <f>SUM('5'!G41,'5'!G42,'5'!G55,'5'!G56)</f>
        <v>6031.6699999998382</v>
      </c>
      <c r="K9" s="927">
        <f>SUM('5'!G43,'5'!G57)</f>
        <v>2729.4000000001397</v>
      </c>
      <c r="L9" s="254">
        <f>'5'!G50</f>
        <v>1235.6799999999348</v>
      </c>
      <c r="M9" s="254">
        <f>'5'!G36</f>
        <v>864.0399999999936</v>
      </c>
      <c r="N9" s="254">
        <f>'5'!G138</f>
        <v>42</v>
      </c>
      <c r="O9" s="254">
        <f>'5'!$G$139</f>
        <v>8</v>
      </c>
      <c r="P9" s="254">
        <f>'5'!$G$140</f>
        <v>10.600000000005821</v>
      </c>
      <c r="Q9" s="258">
        <f>'5'!$G$141</f>
        <v>204.04000000000087</v>
      </c>
      <c r="R9" s="254">
        <f>'5'!$G$142</f>
        <v>17.470000000001164</v>
      </c>
      <c r="S9" s="251">
        <f>'5'!$G$145</f>
        <v>41.159999999999854</v>
      </c>
      <c r="T9" s="254">
        <f>'5'!$G$146</f>
        <v>410</v>
      </c>
      <c r="U9" s="254">
        <f>'5'!$G$144</f>
        <v>230</v>
      </c>
      <c r="V9" s="256">
        <f>'5'!$G$147</f>
        <v>430.91999999992549</v>
      </c>
      <c r="W9" s="254">
        <f>'5'!$G$148</f>
        <v>302.56000000005588</v>
      </c>
      <c r="X9" s="254">
        <f>'5'!$G$143</f>
        <v>29.190000000000055</v>
      </c>
      <c r="Y9" s="254">
        <f>'5'!$G$58</f>
        <v>238.66999999999825</v>
      </c>
      <c r="Z9" s="254">
        <f>'5'!$G$151</f>
        <v>262</v>
      </c>
      <c r="AA9" s="254">
        <f>'5'!G161</f>
        <v>7.2800000000279397</v>
      </c>
      <c r="AB9" s="254">
        <f>'5'!G162</f>
        <v>14.899999999994179</v>
      </c>
      <c r="AC9" s="254"/>
      <c r="AD9" s="254">
        <f>'5'!G163+'5'!G164</f>
        <v>38.900000000006003</v>
      </c>
      <c r="AE9" s="254">
        <f>'5'!$G$116</f>
        <v>0</v>
      </c>
      <c r="AF9" s="254">
        <f>'5'!$G$117</f>
        <v>19.990000000000009</v>
      </c>
      <c r="AG9" s="254">
        <f>'5'!$G$118</f>
        <v>315.95999999999185</v>
      </c>
      <c r="AH9" s="254">
        <f>'5'!$G$119</f>
        <v>450.76000000000931</v>
      </c>
      <c r="AI9" s="254">
        <f>'5'!$G$120</f>
        <v>443.60000000000218</v>
      </c>
      <c r="AJ9" s="254">
        <f>'5'!$G$121</f>
        <v>722.88000000000466</v>
      </c>
      <c r="AK9" s="254">
        <f>'5'!$G$122</f>
        <v>322.82000000000698</v>
      </c>
      <c r="AL9" s="254">
        <f>'5'!$G$123</f>
        <v>312.8300000000163</v>
      </c>
      <c r="AM9" s="254">
        <f>'5'!$G$133</f>
        <v>857.55000000000291</v>
      </c>
      <c r="AN9" s="254">
        <f>'5'!$G$15</f>
        <v>1192.2900000000373</v>
      </c>
      <c r="AO9" s="256">
        <f>'5'!$G$74</f>
        <v>322.70999999996275</v>
      </c>
      <c r="AP9" s="256">
        <f>'5'!$G$75</f>
        <v>0</v>
      </c>
      <c r="AQ9" s="256">
        <f>'5'!$G$76</f>
        <v>129.82000000000698</v>
      </c>
      <c r="AR9" s="256">
        <f>'5'!$G$77</f>
        <v>38.80000000000291</v>
      </c>
      <c r="AS9" s="256">
        <f>'5'!$G$78</f>
        <v>5.1999999999989086</v>
      </c>
      <c r="AT9" s="256">
        <f t="shared" si="0"/>
        <v>695.7600000000657</v>
      </c>
      <c r="AU9" s="254">
        <f>SUM('5'!G91:G92)</f>
        <v>11.409999999999854</v>
      </c>
      <c r="AV9" s="254">
        <f>'5'!$G$88</f>
        <v>11.959999999999127</v>
      </c>
      <c r="AW9" s="254">
        <f>'5'!$G$89</f>
        <v>0</v>
      </c>
      <c r="AX9" s="254">
        <f>'5'!$G$90</f>
        <v>6.8899999999994179</v>
      </c>
      <c r="AY9" s="252">
        <f t="shared" si="1"/>
        <v>18.849999999998545</v>
      </c>
      <c r="AZ9" s="311">
        <f>AO9/AU9</f>
        <v>28.283085013143459</v>
      </c>
      <c r="BB9" s="353">
        <f t="shared" si="3"/>
        <v>4028.6200000000827</v>
      </c>
      <c r="BC9" s="353">
        <f t="shared" si="4"/>
        <v>17.369892450865098</v>
      </c>
    </row>
    <row r="10" spans="1:55" x14ac:dyDescent="0.2">
      <c r="A10" s="361">
        <v>6</v>
      </c>
      <c r="B10" s="927">
        <f>'6'!G7</f>
        <v>22011.920000000042</v>
      </c>
      <c r="C10" s="927">
        <f>'6'!G8</f>
        <v>22125.119999999995</v>
      </c>
      <c r="D10" s="927">
        <f>'6'!G15</f>
        <v>1123.0200000000186</v>
      </c>
      <c r="E10" s="927">
        <f>'6'!G20</f>
        <v>253</v>
      </c>
      <c r="F10" s="927">
        <f>SUM('6'!G35,'6'!G49)</f>
        <v>3557.3000000000029</v>
      </c>
      <c r="G10" s="927">
        <f>SUM('6'!G37,'6'!G51)</f>
        <v>1618.5499999999884</v>
      </c>
      <c r="H10" s="927">
        <f>SUM('6'!G38,'6'!G52)</f>
        <v>1899.6999999999825</v>
      </c>
      <c r="I10" s="927">
        <f>SUM('6'!G39,'6'!G53)</f>
        <v>2851.320000000007</v>
      </c>
      <c r="J10" s="927">
        <f>SUM('6'!G41,'6'!G42,'6'!G55,'6'!G56)</f>
        <v>5338.6400000000722</v>
      </c>
      <c r="K10" s="927">
        <f>SUM('6'!G43,'6'!G57)</f>
        <v>2429.0999999998603</v>
      </c>
      <c r="L10" s="254">
        <f>'6'!G50</f>
        <v>1486.640000000014</v>
      </c>
      <c r="M10" s="254">
        <f>'6'!G36</f>
        <v>769.57000000000698</v>
      </c>
      <c r="N10" s="254">
        <f>'6'!G138</f>
        <v>21</v>
      </c>
      <c r="O10" s="254">
        <f>'6'!$G$139</f>
        <v>15</v>
      </c>
      <c r="P10" s="254">
        <f>'6'!$G$140</f>
        <v>1.1999999999970896</v>
      </c>
      <c r="Q10" s="254">
        <f>'6'!$G$141</f>
        <v>177.13999999999942</v>
      </c>
      <c r="R10" s="254">
        <f>'6'!$G$142</f>
        <v>15.93999999999869</v>
      </c>
      <c r="S10" s="254">
        <f>'6'!$G$145</f>
        <v>48.160000000000309</v>
      </c>
      <c r="T10" s="251">
        <f>'6'!$G$146</f>
        <v>415</v>
      </c>
      <c r="U10" s="251">
        <f>'6'!$G$144</f>
        <v>233</v>
      </c>
      <c r="V10" s="251">
        <f>'6'!$G$147</f>
        <v>445.80000000004657</v>
      </c>
      <c r="W10" s="251">
        <f>'6'!$G$148</f>
        <v>230.07999999995809</v>
      </c>
      <c r="X10" s="251">
        <f>'6'!$G$143</f>
        <v>29.220000000000255</v>
      </c>
      <c r="Y10" s="251">
        <f>'6'!$G$58</f>
        <v>208.05000000000291</v>
      </c>
      <c r="Z10" s="251">
        <f>'6'!$G$151</f>
        <v>279</v>
      </c>
      <c r="AA10" s="251">
        <f>'6'!G161</f>
        <v>12.880000000004657</v>
      </c>
      <c r="AB10" s="251">
        <f>'6'!G162</f>
        <v>34.80000000000291</v>
      </c>
      <c r="AC10" s="251"/>
      <c r="AD10" s="251">
        <f>'6'!G163+'6'!G164</f>
        <v>109.00000000000273</v>
      </c>
      <c r="AE10" s="254">
        <f>'6'!$G$116</f>
        <v>0</v>
      </c>
      <c r="AF10" s="254">
        <f>'6'!$G$117</f>
        <v>19.799999999999955</v>
      </c>
      <c r="AG10" s="254">
        <f>'6'!$G$118</f>
        <v>398.85999999998603</v>
      </c>
      <c r="AH10" s="254">
        <f>'6'!$G$119</f>
        <v>428.07999999998719</v>
      </c>
      <c r="AI10" s="254">
        <f>'6'!$G$120</f>
        <v>421.48999999999796</v>
      </c>
      <c r="AJ10" s="254">
        <f>'6'!$G$121</f>
        <v>739.23999999999069</v>
      </c>
      <c r="AK10" s="254">
        <f>'6'!$G$122</f>
        <v>320.69000000000233</v>
      </c>
      <c r="AL10" s="254">
        <f>'6'!$G$123</f>
        <v>316.07999999998719</v>
      </c>
      <c r="AM10" s="254">
        <f>'6'!$G$133</f>
        <v>842.66999999999825</v>
      </c>
      <c r="AN10" s="254">
        <f>'6'!$G$15</f>
        <v>1123.0200000000186</v>
      </c>
      <c r="AO10" s="256">
        <f>'6'!$G$74</f>
        <v>312.48999999999069</v>
      </c>
      <c r="AP10" s="256">
        <f>'6'!$G$75</f>
        <v>0</v>
      </c>
      <c r="AQ10" s="256">
        <f>'6'!$G$76</f>
        <v>120.57999999998719</v>
      </c>
      <c r="AR10" s="256">
        <f>'6'!$G$77</f>
        <v>41.900000000001455</v>
      </c>
      <c r="AS10" s="256">
        <f>'6'!$G$78</f>
        <v>2.1000000000003638</v>
      </c>
      <c r="AT10" s="256">
        <f t="shared" si="0"/>
        <v>645.95000000003893</v>
      </c>
      <c r="AU10" s="254">
        <f>SUM('6'!G91:G92)</f>
        <v>10.910000000000764</v>
      </c>
      <c r="AV10" s="254">
        <f>'6'!$G$88</f>
        <v>0</v>
      </c>
      <c r="AW10" s="254">
        <f>'6'!$G$89</f>
        <v>10.290000000000873</v>
      </c>
      <c r="AX10" s="254">
        <f>'6'!$G$90</f>
        <v>8.6900000000023283</v>
      </c>
      <c r="AY10" s="252">
        <f t="shared" si="1"/>
        <v>18.980000000003201</v>
      </c>
      <c r="AZ10" s="311">
        <f t="shared" ref="AZ10:AZ11" si="5">AO10/AU10</f>
        <v>28.642529789181374</v>
      </c>
      <c r="BB10" s="353">
        <f t="shared" si="3"/>
        <v>4222.4600000000792</v>
      </c>
      <c r="BC10" s="353">
        <f t="shared" si="4"/>
        <v>19.182606515015824</v>
      </c>
    </row>
    <row r="11" spans="1:55" x14ac:dyDescent="0.2">
      <c r="A11" s="361">
        <v>7</v>
      </c>
      <c r="B11" s="927">
        <f>'7'!G7</f>
        <v>24817.479999999981</v>
      </c>
      <c r="C11" s="927">
        <f>'7'!G8</f>
        <v>25247.520000000019</v>
      </c>
      <c r="D11" s="927">
        <f>'7'!G15</f>
        <v>1194.9699999999721</v>
      </c>
      <c r="E11" s="927">
        <f>'7'!G20</f>
        <v>233</v>
      </c>
      <c r="F11" s="927">
        <f>SUM('7'!G35,'7'!G49)</f>
        <v>3743.9800000000105</v>
      </c>
      <c r="G11" s="927">
        <f>SUM('7'!G37,'7'!G51)</f>
        <v>1673.2900000000081</v>
      </c>
      <c r="H11" s="927">
        <f>SUM('7'!G38,'7'!G52)</f>
        <v>1948.2000000000116</v>
      </c>
      <c r="I11" s="927">
        <f>SUM('7'!G39,'7'!G53)</f>
        <v>3056.679999999993</v>
      </c>
      <c r="J11" s="927">
        <f>SUM('7'!G41,'7'!G42,'7'!G55,'7'!G56)</f>
        <v>6499.3400000000256</v>
      </c>
      <c r="K11" s="927">
        <f>SUM('7'!G43,'7'!G57)</f>
        <v>2942.2000000001863</v>
      </c>
      <c r="L11" s="254">
        <f>'7'!G50</f>
        <v>1598.4799999999814</v>
      </c>
      <c r="M11" s="254">
        <f>'7'!G36</f>
        <v>1145.6899999999878</v>
      </c>
      <c r="N11" s="254">
        <f>'7'!G138</f>
        <v>45</v>
      </c>
      <c r="O11" s="254">
        <f>'7'!$G$139</f>
        <v>12</v>
      </c>
      <c r="P11" s="254">
        <f>'7'!$G$140</f>
        <v>1.3999999999941792</v>
      </c>
      <c r="Q11" s="254">
        <f>'7'!$G$141</f>
        <v>201.86000000000058</v>
      </c>
      <c r="R11" s="254">
        <f>'7'!$G$142</f>
        <v>16.479999999999563</v>
      </c>
      <c r="S11" s="254">
        <f>'7'!$G$145</f>
        <v>43.239999999999782</v>
      </c>
      <c r="T11" s="251">
        <f>'7'!$G$146</f>
        <v>446</v>
      </c>
      <c r="U11" s="251">
        <f>'7'!$G$144</f>
        <v>229</v>
      </c>
      <c r="V11" s="251">
        <f>'7'!$G$147</f>
        <v>492.64000000001397</v>
      </c>
      <c r="W11" s="251">
        <f>'7'!$G$148</f>
        <v>361.59999999997672</v>
      </c>
      <c r="X11" s="251">
        <f>'7'!$G$143</f>
        <v>32.079999999999927</v>
      </c>
      <c r="Y11" s="251">
        <f>'7'!$G$58</f>
        <v>220.83999999999651</v>
      </c>
      <c r="Z11" s="256">
        <f>'7'!$G$151</f>
        <v>242</v>
      </c>
      <c r="AA11" s="256">
        <f>'7'!G161</f>
        <v>23.519999999960419</v>
      </c>
      <c r="AB11" s="251">
        <f>'7'!G162</f>
        <v>36.19999999999709</v>
      </c>
      <c r="AC11" s="251"/>
      <c r="AD11" s="251">
        <f>'7'!G163+'7'!G164</f>
        <v>111.599999999994</v>
      </c>
      <c r="AE11" s="254">
        <f>'7'!$G$116</f>
        <v>0</v>
      </c>
      <c r="AF11" s="254">
        <f>'7'!$G$117</f>
        <v>18.900000000000091</v>
      </c>
      <c r="AG11" s="254">
        <f>'7'!$G$118</f>
        <v>405.5800000000163</v>
      </c>
      <c r="AH11" s="254">
        <f>'7'!$G$119</f>
        <v>439.48000000001048</v>
      </c>
      <c r="AI11" s="254">
        <f>'7'!$G$120</f>
        <v>432.15000000000146</v>
      </c>
      <c r="AJ11" s="254">
        <f>'7'!$G$121</f>
        <v>744.20000000001164</v>
      </c>
      <c r="AK11" s="256">
        <f>'7'!$G$122</f>
        <v>331.45999999999185</v>
      </c>
      <c r="AL11" s="254">
        <f>'7'!$G$123</f>
        <v>310.68000000002212</v>
      </c>
      <c r="AM11" s="254">
        <f>'7'!$G$133</f>
        <v>836.86999999999534</v>
      </c>
      <c r="AN11" s="254">
        <f>'7'!$G$15</f>
        <v>1194.9699999999721</v>
      </c>
      <c r="AO11" s="256">
        <f>'7'!$G$74</f>
        <v>328.9100000000326</v>
      </c>
      <c r="AP11" s="256">
        <f>'7'!$G$75</f>
        <v>0</v>
      </c>
      <c r="AQ11" s="256">
        <f>'7'!$G$76</f>
        <v>133.90000000002328</v>
      </c>
      <c r="AR11" s="256">
        <f>'7'!$G$77</f>
        <v>46.19999999999709</v>
      </c>
      <c r="AS11" s="256">
        <f>'7'!$G$78</f>
        <v>4.7000000000007276</v>
      </c>
      <c r="AT11" s="256">
        <f t="shared" si="0"/>
        <v>681.25999999991836</v>
      </c>
      <c r="AU11" s="254">
        <f>SUM('7'!G91:G92)</f>
        <v>11.4399999999996</v>
      </c>
      <c r="AV11" s="254">
        <f>'7'!$G$88</f>
        <v>10.450000000000728</v>
      </c>
      <c r="AW11" s="254">
        <f>'7'!$G$89</f>
        <v>0</v>
      </c>
      <c r="AX11" s="254">
        <f>'7'!$G$90</f>
        <v>7.1199999999953434</v>
      </c>
      <c r="AY11" s="252">
        <f t="shared" si="1"/>
        <v>17.569999999996071</v>
      </c>
      <c r="AZ11" s="311">
        <f t="shared" si="5"/>
        <v>28.750874125877981</v>
      </c>
      <c r="BB11" s="353">
        <f t="shared" si="3"/>
        <v>5162.989999999787</v>
      </c>
      <c r="BC11" s="353">
        <f t="shared" si="4"/>
        <v>20.803844709453944</v>
      </c>
    </row>
    <row r="12" spans="1:55" x14ac:dyDescent="0.2">
      <c r="A12" s="361">
        <v>8</v>
      </c>
      <c r="B12" s="927">
        <f>'8'!G7</f>
        <v>24146.640000000014</v>
      </c>
      <c r="C12" s="927">
        <f>'8'!G8</f>
        <v>24742.319999999949</v>
      </c>
      <c r="D12" s="927">
        <f>'8'!G15</f>
        <v>1247.3700000001118</v>
      </c>
      <c r="E12" s="927">
        <f>'8'!G20</f>
        <v>273</v>
      </c>
      <c r="F12" s="927">
        <f>SUM('8'!G35,'8'!G49)</f>
        <v>3948.8700000000099</v>
      </c>
      <c r="G12" s="927">
        <f>SUM('8'!G37,'8'!G51)</f>
        <v>1652.3000000000175</v>
      </c>
      <c r="H12" s="927">
        <f>SUM('8'!G38,'8'!G52)</f>
        <v>1942.1999999999825</v>
      </c>
      <c r="I12" s="927">
        <f>SUM('8'!G39,'8'!G53)</f>
        <v>2854.320000000007</v>
      </c>
      <c r="J12" s="927">
        <f>SUM('8'!G41,'8'!G42,'8'!G55,'8'!G56)</f>
        <v>6030.9800000000105</v>
      </c>
      <c r="K12" s="927">
        <f>SUM('8'!G43,'8'!G57)</f>
        <v>2990.8999999999069</v>
      </c>
      <c r="L12" s="254">
        <f>'8'!G50</f>
        <v>1320.640000000014</v>
      </c>
      <c r="M12" s="254">
        <f>'8'!G36</f>
        <v>1254.5600000000122</v>
      </c>
      <c r="N12" s="254">
        <f>'8'!G138</f>
        <v>36</v>
      </c>
      <c r="O12" s="254">
        <f>'8'!$G$139</f>
        <v>7</v>
      </c>
      <c r="P12" s="254">
        <f>'8'!$G$140</f>
        <v>1.0299999999988358</v>
      </c>
      <c r="Q12" s="254">
        <f>'8'!$G$141</f>
        <v>205.42000000000553</v>
      </c>
      <c r="R12" s="254">
        <f>'8'!$G$142</f>
        <v>17.069999999999709</v>
      </c>
      <c r="S12" s="254">
        <f>'8'!$G$145</f>
        <v>43.720000000000255</v>
      </c>
      <c r="T12" s="251">
        <f>'8'!$G$146</f>
        <v>418</v>
      </c>
      <c r="U12" s="251">
        <f>'8'!$G$144</f>
        <v>234</v>
      </c>
      <c r="V12" s="251">
        <f>'8'!$G$147</f>
        <v>431.28000000002794</v>
      </c>
      <c r="W12" s="251">
        <f>'8'!$G$148</f>
        <v>325.92000000004191</v>
      </c>
      <c r="X12" s="251">
        <f>'8'!$G$143</f>
        <v>33.309999999999945</v>
      </c>
      <c r="Y12" s="251">
        <f>'8'!$G$58</f>
        <v>244.54000000000815</v>
      </c>
      <c r="Z12" s="251">
        <f>'8'!$G$151</f>
        <v>248</v>
      </c>
      <c r="AA12" s="251">
        <f>'8'!G161</f>
        <v>16.400000000023283</v>
      </c>
      <c r="AB12" s="251">
        <f>'8'!G162</f>
        <v>32.30000000000291</v>
      </c>
      <c r="AC12" s="251"/>
      <c r="AD12" s="251">
        <f>'8'!G163+'8'!G164</f>
        <v>81.329999999996289</v>
      </c>
      <c r="AE12" s="254">
        <f>'8'!$G$116</f>
        <v>0</v>
      </c>
      <c r="AF12" s="254">
        <f>'8'!$G$117</f>
        <v>18.860000000000127</v>
      </c>
      <c r="AG12" s="254">
        <f>'8'!$G$118</f>
        <v>365.95999999999185</v>
      </c>
      <c r="AH12" s="254">
        <f>'8'!$G$119</f>
        <v>434.9199999999837</v>
      </c>
      <c r="AI12" s="254">
        <f>'8'!$G$120</f>
        <v>409.84999999999854</v>
      </c>
      <c r="AJ12" s="254">
        <f>'8'!$G$121</f>
        <v>733.35999999998603</v>
      </c>
      <c r="AK12" s="254">
        <f>'8'!$G$122</f>
        <v>362.24000000000524</v>
      </c>
      <c r="AL12" s="254">
        <f>'8'!$G$123</f>
        <v>318.29999999998836</v>
      </c>
      <c r="AM12" s="254">
        <f>'8'!$G$133</f>
        <v>838.88999999999942</v>
      </c>
      <c r="AN12" s="254">
        <f>'8'!$G$15</f>
        <v>1247.3700000001118</v>
      </c>
      <c r="AO12" s="256">
        <f>'8'!$G$74</f>
        <v>325.07999999995809</v>
      </c>
      <c r="AP12" s="256">
        <f>'8'!$G$75</f>
        <v>243.88999999999942</v>
      </c>
      <c r="AQ12" s="256">
        <f>'8'!$G$76</f>
        <v>153.5</v>
      </c>
      <c r="AR12" s="256">
        <f>'8'!$G$77</f>
        <v>55.900000000001455</v>
      </c>
      <c r="AS12" s="256">
        <f>'8'!$G$78</f>
        <v>5.2999999999992724</v>
      </c>
      <c r="AT12" s="256">
        <f t="shared" si="0"/>
        <v>463.70000000015352</v>
      </c>
      <c r="AU12" s="254">
        <f>SUM('8'!G91:G92)</f>
        <v>11.479999999999563</v>
      </c>
      <c r="AV12" s="254">
        <f>'8'!$G$88</f>
        <v>0</v>
      </c>
      <c r="AW12" s="254">
        <f>'8'!$G$89</f>
        <v>11.079999999998108</v>
      </c>
      <c r="AX12" s="254">
        <f>'8'!$G$90</f>
        <v>9.0899999999965075</v>
      </c>
      <c r="AY12" s="252">
        <f t="shared" si="1"/>
        <v>20.169999999994616</v>
      </c>
      <c r="BB12" s="353">
        <f t="shared" si="3"/>
        <v>5078.2100000000064</v>
      </c>
      <c r="BC12" s="353">
        <f t="shared" si="4"/>
        <v>21.030710691011269</v>
      </c>
    </row>
    <row r="13" spans="1:55" x14ac:dyDescent="0.2">
      <c r="A13" s="361">
        <v>9</v>
      </c>
      <c r="B13" s="927">
        <f>'9'!G7</f>
        <v>24961.329999999958</v>
      </c>
      <c r="C13" s="927">
        <f>'9'!G8</f>
        <v>25427.130000000005</v>
      </c>
      <c r="D13" s="927">
        <f>'9'!G15</f>
        <v>1195.1999999999534</v>
      </c>
      <c r="E13" s="927">
        <f>'9'!G20</f>
        <v>295</v>
      </c>
      <c r="F13" s="927">
        <f>SUM('9'!G35,'9'!G49)</f>
        <v>3842.5699999999924</v>
      </c>
      <c r="G13" s="927">
        <f>SUM('9'!G37,'9'!G51)</f>
        <v>1667.0799999999872</v>
      </c>
      <c r="H13" s="927">
        <f>SUM('9'!G38,'9'!G52)</f>
        <v>2054.2300000000105</v>
      </c>
      <c r="I13" s="927">
        <f>SUM('9'!G39,'9'!G53)</f>
        <v>2940.7700000000186</v>
      </c>
      <c r="J13" s="927">
        <f>SUM('9'!G41,'9'!G42,'9'!G55,'9'!G56)</f>
        <v>6457.789999999979</v>
      </c>
      <c r="K13" s="927">
        <f>SUM('9'!G43,'9'!G57)</f>
        <v>2717.5</v>
      </c>
      <c r="L13" s="254">
        <f>'9'!G50</f>
        <v>1723.4100000000326</v>
      </c>
      <c r="M13" s="254">
        <f>'9'!G36</f>
        <v>1286.679999999993</v>
      </c>
      <c r="N13" s="254">
        <f>'9'!G138</f>
        <v>38</v>
      </c>
      <c r="O13" s="254">
        <f>'9'!$G$139</f>
        <v>8</v>
      </c>
      <c r="P13" s="254">
        <f>'9'!$G$140</f>
        <v>0</v>
      </c>
      <c r="Q13" s="254">
        <f>'9'!$G$141</f>
        <v>198.2699999999968</v>
      </c>
      <c r="R13" s="254">
        <f>'9'!$G$142</f>
        <v>18.930000000000291</v>
      </c>
      <c r="S13" s="254">
        <f>'9'!$G$145</f>
        <v>44.7199999999998</v>
      </c>
      <c r="T13" s="251">
        <f>'9'!$G$146</f>
        <v>426</v>
      </c>
      <c r="U13" s="251">
        <f>'9'!$G$144</f>
        <v>229</v>
      </c>
      <c r="V13" s="251">
        <f>'9'!$G$147</f>
        <v>427.43999999994412</v>
      </c>
      <c r="W13" s="251">
        <f>'9'!$G$148</f>
        <v>331</v>
      </c>
      <c r="X13" s="251">
        <f>'9'!$G$143</f>
        <v>34.039999999999964</v>
      </c>
      <c r="Y13" s="251">
        <f>'9'!$G$58</f>
        <v>230.86999999999534</v>
      </c>
      <c r="Z13" s="251">
        <f>'9'!$G$151</f>
        <v>225</v>
      </c>
      <c r="AA13" s="251">
        <f>'9'!G161</f>
        <v>11.880000000004657</v>
      </c>
      <c r="AB13" s="251">
        <f>'9'!G162</f>
        <v>29</v>
      </c>
      <c r="AC13" s="251"/>
      <c r="AD13" s="251">
        <f>'9'!G163+'9'!G164</f>
        <v>61.670000000003711</v>
      </c>
      <c r="AE13" s="254">
        <f>'9'!$G$116</f>
        <v>0</v>
      </c>
      <c r="AF13" s="254">
        <f>'9'!$G$117</f>
        <v>18.659999999999854</v>
      </c>
      <c r="AG13" s="254">
        <f>'9'!$G$118</f>
        <v>353.25</v>
      </c>
      <c r="AH13" s="254">
        <f>'9'!$G$119</f>
        <v>414.17000000001281</v>
      </c>
      <c r="AI13" s="254">
        <f>'9'!$G$120</f>
        <v>418.86000000000058</v>
      </c>
      <c r="AJ13" s="254">
        <f>'9'!$G$121</f>
        <v>736.09000000002561</v>
      </c>
      <c r="AK13" s="254">
        <f>'9'!$G$122</f>
        <v>317.69999999999709</v>
      </c>
      <c r="AL13" s="254">
        <f>'9'!$G$123</f>
        <v>338.01999999998952</v>
      </c>
      <c r="AM13" s="254">
        <f>'9'!$G$133</f>
        <v>830.49000000000524</v>
      </c>
      <c r="AN13" s="254">
        <f>'9'!$G$15</f>
        <v>1195.1999999999534</v>
      </c>
      <c r="AO13" s="256">
        <f>'9'!$G$74</f>
        <v>315.65000000002328</v>
      </c>
      <c r="AP13" s="256">
        <f>'9'!$G$75</f>
        <v>0</v>
      </c>
      <c r="AQ13" s="256">
        <f>'9'!$G$76</f>
        <v>119.79999999998836</v>
      </c>
      <c r="AR13" s="256">
        <f>'9'!$G$77</f>
        <v>52</v>
      </c>
      <c r="AS13" s="256">
        <f>'9'!$G$78</f>
        <v>4</v>
      </c>
      <c r="AT13" s="256">
        <f t="shared" si="0"/>
        <v>703.74999999994179</v>
      </c>
      <c r="AU13" s="254">
        <f>SUM('9'!G91:G92)</f>
        <v>10.8100000000004</v>
      </c>
      <c r="AV13" s="254">
        <f>'9'!$G$88</f>
        <v>-0.15000000000145519</v>
      </c>
      <c r="AW13" s="254">
        <f>'9'!$G$89</f>
        <v>11.81000000000131</v>
      </c>
      <c r="AX13" s="254">
        <f>'9'!$G$90</f>
        <v>6.7300000000104774</v>
      </c>
      <c r="AY13" s="252">
        <f t="shared" si="1"/>
        <v>18.390000000010332</v>
      </c>
      <c r="BB13" s="353">
        <f t="shared" si="3"/>
        <v>5516.3200000000215</v>
      </c>
      <c r="BC13" s="353">
        <f t="shared" si="4"/>
        <v>22.099463450064682</v>
      </c>
    </row>
    <row r="14" spans="1:55" x14ac:dyDescent="0.2">
      <c r="A14" s="361">
        <v>10</v>
      </c>
      <c r="B14" s="927">
        <f>'10'!G7</f>
        <v>23939</v>
      </c>
      <c r="C14" s="927">
        <f>'10'!G8</f>
        <v>24380</v>
      </c>
      <c r="D14" s="927">
        <f>'10'!G15</f>
        <v>1193</v>
      </c>
      <c r="E14" s="927">
        <f>'10'!G20</f>
        <v>271</v>
      </c>
      <c r="F14" s="927">
        <f>SUM('10'!G35,'10'!G49)</f>
        <v>3989</v>
      </c>
      <c r="G14" s="927">
        <f>SUM('10'!G37,'10'!G51)</f>
        <v>1651</v>
      </c>
      <c r="H14" s="927">
        <f>SUM('10'!G38,'10'!G52)</f>
        <v>2011</v>
      </c>
      <c r="I14" s="927">
        <f>SUM('10'!G39,'10'!G53)</f>
        <v>2918</v>
      </c>
      <c r="J14" s="927">
        <f>SUM('10'!G41,'10'!G42,'10'!G55,'10'!G56)</f>
        <v>6306</v>
      </c>
      <c r="K14" s="927">
        <f>SUM('10'!G43,'10'!G57)</f>
        <v>2734</v>
      </c>
      <c r="L14" s="254">
        <f>'10'!G50</f>
        <v>1333</v>
      </c>
      <c r="M14" s="254">
        <f>'10'!G36</f>
        <v>953</v>
      </c>
      <c r="N14" s="254">
        <f>'10'!G138</f>
        <v>127</v>
      </c>
      <c r="O14" s="254">
        <f>'10'!$G$139</f>
        <v>20</v>
      </c>
      <c r="P14" s="254">
        <f>'10'!$G$140</f>
        <v>-0.22999999999592546</v>
      </c>
      <c r="Q14" s="254">
        <f>'10'!$G$141</f>
        <v>204</v>
      </c>
      <c r="R14" s="254">
        <f>'10'!$G$142</f>
        <v>17</v>
      </c>
      <c r="S14" s="254">
        <f>'10'!$G$145</f>
        <v>45</v>
      </c>
      <c r="T14" s="251">
        <f>'10'!$G$146</f>
        <v>455</v>
      </c>
      <c r="U14" s="251">
        <f>'10'!$G$144</f>
        <v>234</v>
      </c>
      <c r="V14" s="257">
        <f>'10'!$G$147</f>
        <v>467</v>
      </c>
      <c r="W14" s="257">
        <f>'10'!$G$148</f>
        <v>252</v>
      </c>
      <c r="X14" s="251">
        <f>'10'!$G$143</f>
        <v>23</v>
      </c>
      <c r="Y14" s="251">
        <f>'10'!$G$58</f>
        <v>266</v>
      </c>
      <c r="Z14" s="251">
        <f>'10'!$G$151</f>
        <v>229</v>
      </c>
      <c r="AA14" s="251">
        <f>'10'!G161</f>
        <v>4</v>
      </c>
      <c r="AB14" s="251">
        <f>'10'!G162</f>
        <v>32</v>
      </c>
      <c r="AC14" s="251"/>
      <c r="AD14" s="251">
        <f>'10'!G163+'10'!G164</f>
        <v>103</v>
      </c>
      <c r="AE14" s="254">
        <f>'10'!$G$116</f>
        <v>0</v>
      </c>
      <c r="AF14" s="254">
        <f>'10'!$G$117</f>
        <v>22</v>
      </c>
      <c r="AG14" s="254">
        <f>'10'!$G$118</f>
        <v>350</v>
      </c>
      <c r="AH14" s="254">
        <f>'10'!$G$119</f>
        <v>408</v>
      </c>
      <c r="AI14" s="254">
        <f>'10'!$G$120</f>
        <v>415</v>
      </c>
      <c r="AJ14" s="254">
        <f>'10'!$G$121</f>
        <v>757</v>
      </c>
      <c r="AK14" s="254">
        <f>'10'!$G$122</f>
        <v>281</v>
      </c>
      <c r="AL14" s="254">
        <f>'10'!$G$123</f>
        <v>344.29000000000815</v>
      </c>
      <c r="AM14" s="254">
        <f>'10'!$G$133</f>
        <v>842</v>
      </c>
      <c r="AN14" s="254">
        <f>'10'!$G$15</f>
        <v>1193</v>
      </c>
      <c r="AO14" s="256">
        <f>'10'!$G$74</f>
        <v>322</v>
      </c>
      <c r="AP14" s="256">
        <f>'10'!$G$75</f>
        <v>0</v>
      </c>
      <c r="AQ14" s="256">
        <f>'10'!$G$76</f>
        <v>137</v>
      </c>
      <c r="AR14" s="256">
        <f>'10'!$G$77</f>
        <v>52</v>
      </c>
      <c r="AS14" s="256">
        <f>'10'!$G$78</f>
        <v>1</v>
      </c>
      <c r="AT14" s="256">
        <f t="shared" si="0"/>
        <v>681</v>
      </c>
      <c r="AU14" s="254">
        <f>SUM('10'!G91:G92)</f>
        <v>11.5</v>
      </c>
      <c r="AV14" s="254">
        <f>'10'!$G$88</f>
        <v>0</v>
      </c>
      <c r="AW14" s="254">
        <f>'10'!$G$89</f>
        <v>12</v>
      </c>
      <c r="AX14" s="254">
        <f>'10'!$G$90</f>
        <v>5.0399999999935972</v>
      </c>
      <c r="AY14" s="252">
        <f t="shared" si="1"/>
        <v>17.039999999993597</v>
      </c>
      <c r="BB14" s="353">
        <f t="shared" si="3"/>
        <v>4505</v>
      </c>
      <c r="BC14" s="353">
        <f t="shared" si="4"/>
        <v>18.81866410459919</v>
      </c>
    </row>
    <row r="15" spans="1:55" x14ac:dyDescent="0.2">
      <c r="A15" s="361">
        <v>11</v>
      </c>
      <c r="B15" s="927">
        <f>'11'!G7</f>
        <v>23964</v>
      </c>
      <c r="C15" s="927">
        <f>'11'!G8</f>
        <v>24441</v>
      </c>
      <c r="D15" s="927">
        <f>'11'!G15</f>
        <v>1164</v>
      </c>
      <c r="E15" s="927">
        <f>'11'!G20</f>
        <v>274</v>
      </c>
      <c r="F15" s="927">
        <f>SUM('11'!G35,'11'!G49)</f>
        <v>3866</v>
      </c>
      <c r="G15" s="927">
        <f>SUM('11'!G37,'11'!G51)</f>
        <v>1605</v>
      </c>
      <c r="H15" s="927">
        <f>SUM('11'!G38,'11'!G52)</f>
        <v>2162</v>
      </c>
      <c r="I15" s="927">
        <f>SUM('11'!G39,'11'!G53)</f>
        <v>2960</v>
      </c>
      <c r="J15" s="927">
        <f>SUM('11'!G41,'11'!G42,'11'!G55,'11'!G56)</f>
        <v>5467</v>
      </c>
      <c r="K15" s="927">
        <f>SUM('11'!G43,'11'!G57)</f>
        <v>2753</v>
      </c>
      <c r="L15" s="254">
        <f>'11'!G50</f>
        <v>1517</v>
      </c>
      <c r="M15" s="254">
        <f>'11'!G36</f>
        <v>806</v>
      </c>
      <c r="N15" s="254">
        <f>'11'!G138</f>
        <v>127</v>
      </c>
      <c r="O15" s="254">
        <f>'11'!$G$139</f>
        <v>43</v>
      </c>
      <c r="P15" s="254">
        <f>'11'!$G$140</f>
        <v>0</v>
      </c>
      <c r="Q15" s="254">
        <f>'11'!$G$141</f>
        <v>199</v>
      </c>
      <c r="R15" s="254">
        <f>'11'!$G$142</f>
        <v>18</v>
      </c>
      <c r="S15" s="254">
        <f>'11'!$G$145</f>
        <v>57</v>
      </c>
      <c r="T15" s="251">
        <f>'11'!$G$146</f>
        <v>476</v>
      </c>
      <c r="U15" s="251">
        <f>'11'!$G$144</f>
        <v>234</v>
      </c>
      <c r="V15" s="251">
        <f>'11'!$G$147</f>
        <v>465</v>
      </c>
      <c r="W15" s="251">
        <f>'11'!$G$148</f>
        <v>317</v>
      </c>
      <c r="X15" s="251">
        <f>'11'!$G$143</f>
        <v>25</v>
      </c>
      <c r="Y15" s="251">
        <f>'11'!$G$58</f>
        <v>260</v>
      </c>
      <c r="Z15" s="251">
        <f>'11'!$G$151</f>
        <v>245</v>
      </c>
      <c r="AA15" s="251">
        <f>'11'!G161</f>
        <v>1</v>
      </c>
      <c r="AB15" s="251">
        <f>'11'!G162</f>
        <v>17</v>
      </c>
      <c r="AC15" s="251">
        <f>'11'!G88</f>
        <v>0</v>
      </c>
      <c r="AD15" s="251">
        <f>'11'!G163+'11'!G164</f>
        <v>48</v>
      </c>
      <c r="AE15" s="254">
        <f>'11'!$G$116</f>
        <v>0</v>
      </c>
      <c r="AF15" s="254">
        <f>'11'!$G$117</f>
        <v>21</v>
      </c>
      <c r="AG15" s="254">
        <f>'11'!$G$118</f>
        <v>312</v>
      </c>
      <c r="AH15" s="254">
        <f>'11'!$G$119</f>
        <v>437</v>
      </c>
      <c r="AI15" s="254">
        <f>'11'!$G$120</f>
        <v>420</v>
      </c>
      <c r="AJ15" s="254">
        <f>'11'!$G$121</f>
        <v>768</v>
      </c>
      <c r="AK15" s="254">
        <f>'11'!$G$122</f>
        <v>298</v>
      </c>
      <c r="AL15" s="254">
        <f>'11'!$G$123</f>
        <v>339</v>
      </c>
      <c r="AM15" s="254">
        <f>'11'!$G$133</f>
        <v>857</v>
      </c>
      <c r="AN15" s="254">
        <f>'11'!$G$15</f>
        <v>1164</v>
      </c>
      <c r="AO15" s="256">
        <f>'11'!$G$74</f>
        <v>309</v>
      </c>
      <c r="AP15" s="256">
        <f>'11'!$G$75</f>
        <v>0</v>
      </c>
      <c r="AQ15" s="256">
        <f>'11'!$G$76</f>
        <v>141</v>
      </c>
      <c r="AR15" s="256">
        <f>'11'!$G$77</f>
        <v>44</v>
      </c>
      <c r="AS15" s="256">
        <f>'11'!$G$78</f>
        <v>3</v>
      </c>
      <c r="AT15" s="256">
        <f t="shared" si="0"/>
        <v>667</v>
      </c>
      <c r="AU15" s="254">
        <f>SUM('11'!G91:G92)</f>
        <v>10.5</v>
      </c>
      <c r="AV15" s="254">
        <f>'11'!$G$88</f>
        <v>0</v>
      </c>
      <c r="AW15" s="254">
        <f>'11'!$G$89</f>
        <v>13</v>
      </c>
      <c r="AX15" s="254">
        <f>'11'!$G$90</f>
        <v>5</v>
      </c>
      <c r="AY15" s="252">
        <f t="shared" si="1"/>
        <v>18</v>
      </c>
      <c r="BB15" s="353">
        <f t="shared" si="3"/>
        <v>5368</v>
      </c>
      <c r="BC15" s="353">
        <f t="shared" si="4"/>
        <v>22.400267067267571</v>
      </c>
    </row>
    <row r="16" spans="1:55" x14ac:dyDescent="0.2">
      <c r="A16" s="361">
        <v>12</v>
      </c>
      <c r="B16" s="927">
        <f>'12'!G7</f>
        <v>24520</v>
      </c>
      <c r="C16" s="927">
        <f>'12'!G8</f>
        <v>25038</v>
      </c>
      <c r="D16" s="927">
        <f>'12'!G15</f>
        <v>1252</v>
      </c>
      <c r="E16" s="927">
        <f>'12'!G20</f>
        <v>294</v>
      </c>
      <c r="F16" s="927">
        <f>SUM('12'!G35,'12'!G49)</f>
        <v>3898</v>
      </c>
      <c r="G16" s="927">
        <f>SUM('12'!G37,'12'!G51)</f>
        <v>1688</v>
      </c>
      <c r="H16" s="927">
        <f>SUM('12'!G38,'12'!G52)</f>
        <v>2175</v>
      </c>
      <c r="I16" s="927">
        <f>SUM('12'!G39,'12'!G53)</f>
        <v>3054</v>
      </c>
      <c r="J16" s="927">
        <f>SUM('12'!G41,'12'!G42,'12'!G55,'12'!G56)</f>
        <v>5511</v>
      </c>
      <c r="K16" s="927">
        <f>SUM('12'!G43,'12'!G57)</f>
        <v>2634</v>
      </c>
      <c r="L16" s="254">
        <f>'12'!G50</f>
        <v>1046</v>
      </c>
      <c r="M16" s="254">
        <f>'12'!G36</f>
        <v>1141</v>
      </c>
      <c r="N16" s="254">
        <f>'12'!G138</f>
        <v>106</v>
      </c>
      <c r="O16" s="254">
        <f>'12'!$G$139</f>
        <v>7</v>
      </c>
      <c r="P16" s="254">
        <f>'12'!$G$140</f>
        <v>0</v>
      </c>
      <c r="Q16" s="254">
        <f>'12'!$G$141</f>
        <v>194</v>
      </c>
      <c r="R16" s="254">
        <f>'12'!$G$142</f>
        <v>18</v>
      </c>
      <c r="S16" s="254">
        <f>'12'!$G$145</f>
        <v>76</v>
      </c>
      <c r="T16" s="251">
        <f>'12'!$G$146</f>
        <v>480</v>
      </c>
      <c r="U16" s="251">
        <f>'12'!$G$144</f>
        <v>230</v>
      </c>
      <c r="V16" s="251">
        <f>'12'!$G$147</f>
        <v>461</v>
      </c>
      <c r="W16" s="251">
        <f>'12'!$G$148</f>
        <v>358</v>
      </c>
      <c r="X16" s="251">
        <f>'12'!$G$143</f>
        <v>31</v>
      </c>
      <c r="Y16" s="251">
        <f>'12'!$G$58</f>
        <v>237</v>
      </c>
      <c r="Z16" s="251">
        <f>'12'!$G$151</f>
        <v>100</v>
      </c>
      <c r="AA16" s="251">
        <f>'12'!G161</f>
        <v>1</v>
      </c>
      <c r="AB16" s="251">
        <f>'12'!G162</f>
        <v>15</v>
      </c>
      <c r="AC16" s="251">
        <f>'12'!G88</f>
        <v>11.529999999998836</v>
      </c>
      <c r="AD16" s="251">
        <f>'12'!G163+'12'!G164</f>
        <v>51</v>
      </c>
      <c r="AE16" s="254">
        <f>'12'!$G$116</f>
        <v>0</v>
      </c>
      <c r="AF16" s="254">
        <f>'12'!$G$117</f>
        <v>24</v>
      </c>
      <c r="AG16" s="254">
        <f>'12'!$G$118</f>
        <v>330</v>
      </c>
      <c r="AH16" s="254">
        <f>'12'!$G$119</f>
        <v>446</v>
      </c>
      <c r="AI16" s="254">
        <f>'12'!$G$120</f>
        <v>413</v>
      </c>
      <c r="AJ16" s="254">
        <f>'12'!$G$121</f>
        <v>764</v>
      </c>
      <c r="AK16" s="254">
        <f>'12'!$G$122</f>
        <v>303</v>
      </c>
      <c r="AL16" s="254">
        <f>'12'!$G$123</f>
        <v>352</v>
      </c>
      <c r="AM16" s="254">
        <f>'12'!$G$133</f>
        <v>852</v>
      </c>
      <c r="AN16" s="254">
        <f>'12'!$G$15</f>
        <v>1252</v>
      </c>
      <c r="AO16" s="256">
        <f>'12'!$G$74</f>
        <v>300</v>
      </c>
      <c r="AP16" s="256">
        <f>'12'!$G$75</f>
        <v>0</v>
      </c>
      <c r="AQ16" s="256">
        <f>'12'!$G$76</f>
        <v>152</v>
      </c>
      <c r="AR16" s="256">
        <f>'12'!$G$77</f>
        <v>46</v>
      </c>
      <c r="AS16" s="256">
        <f>'12'!$G$78</f>
        <v>5</v>
      </c>
      <c r="AT16" s="256">
        <f t="shared" si="0"/>
        <v>749</v>
      </c>
      <c r="AU16" s="254">
        <f>SUM('12'!G91:G92)</f>
        <v>10.75</v>
      </c>
      <c r="AV16" s="254">
        <f>'12'!$G$88</f>
        <v>11.529999999998836</v>
      </c>
      <c r="AW16" s="254">
        <f>'12'!$G$89</f>
        <v>-0.36000000000058208</v>
      </c>
      <c r="AX16" s="254">
        <f>'12'!$G$90</f>
        <v>8</v>
      </c>
      <c r="AY16" s="252">
        <f t="shared" si="1"/>
        <v>19.169999999998254</v>
      </c>
      <c r="BA16" s="314">
        <f>AO16-AQ16</f>
        <v>148</v>
      </c>
      <c r="BB16" s="353">
        <f t="shared" si="3"/>
        <v>5841</v>
      </c>
      <c r="BC16" s="353">
        <f t="shared" si="4"/>
        <v>23.82137030995106</v>
      </c>
    </row>
    <row r="17" spans="1:55" x14ac:dyDescent="0.2">
      <c r="A17" s="361">
        <v>13</v>
      </c>
      <c r="B17" s="927">
        <f>'13'!G7</f>
        <v>23265</v>
      </c>
      <c r="C17" s="927">
        <f>'13'!G8</f>
        <v>23684</v>
      </c>
      <c r="D17" s="927">
        <f>'13'!G15</f>
        <v>1211</v>
      </c>
      <c r="E17" s="927">
        <f>'13'!G20</f>
        <v>294</v>
      </c>
      <c r="F17" s="927">
        <f>SUM('13'!G35,'13'!G49)</f>
        <v>3767</v>
      </c>
      <c r="G17" s="927">
        <f>SUM('13'!G37,'13'!G51)</f>
        <v>1431</v>
      </c>
      <c r="H17" s="927">
        <f>SUM('13'!G38,'13'!G52)</f>
        <v>2095</v>
      </c>
      <c r="I17" s="927">
        <f>SUM('13'!G39,'13'!G53)</f>
        <v>3101</v>
      </c>
      <c r="J17" s="927">
        <f>SUM('13'!G41,'13'!G42,'13'!G55,'13'!G56)</f>
        <v>5072</v>
      </c>
      <c r="K17" s="927">
        <f>SUM('13'!G43,'13'!G57)</f>
        <v>2771</v>
      </c>
      <c r="L17" s="254">
        <f>'13'!G50</f>
        <v>1701</v>
      </c>
      <c r="M17" s="254">
        <f>'13'!G36</f>
        <v>1205</v>
      </c>
      <c r="N17" s="254">
        <f>'13'!G138</f>
        <v>100</v>
      </c>
      <c r="O17" s="254">
        <f>'13'!$G$139</f>
        <v>4</v>
      </c>
      <c r="P17" s="254">
        <f>'13'!$G$140</f>
        <v>1</v>
      </c>
      <c r="Q17" s="254">
        <f>'13'!$G$141</f>
        <v>208</v>
      </c>
      <c r="R17" s="254">
        <f>'13'!$G$142</f>
        <v>18</v>
      </c>
      <c r="S17" s="254">
        <f>'13'!$G$145</f>
        <v>61</v>
      </c>
      <c r="T17" s="251">
        <f>'13'!$G$146</f>
        <v>461</v>
      </c>
      <c r="U17" s="251">
        <f>'13'!$G$144</f>
        <v>236</v>
      </c>
      <c r="V17" s="251">
        <f>'13'!$G$147</f>
        <v>486</v>
      </c>
      <c r="W17" s="251">
        <f>'13'!$G$148</f>
        <v>316</v>
      </c>
      <c r="X17" s="251">
        <f>'13'!$G$143</f>
        <v>30</v>
      </c>
      <c r="Y17" s="251">
        <f>'13'!$G$58</f>
        <v>230</v>
      </c>
      <c r="Z17" s="251">
        <f>'13'!$G$151</f>
        <v>226</v>
      </c>
      <c r="AA17" s="251">
        <f>'13'!G161</f>
        <v>1</v>
      </c>
      <c r="AB17" s="251">
        <f>'13'!G162</f>
        <v>34</v>
      </c>
      <c r="AC17" s="251">
        <f>'13'!G88</f>
        <v>0</v>
      </c>
      <c r="AD17" s="251">
        <f>'13'!G163+'13'!G164</f>
        <v>98</v>
      </c>
      <c r="AE17" s="254">
        <f>'13'!$G$116</f>
        <v>0</v>
      </c>
      <c r="AF17" s="254">
        <f>'13'!$G$117</f>
        <v>26</v>
      </c>
      <c r="AG17" s="254">
        <f>'13'!$G$118</f>
        <v>408</v>
      </c>
      <c r="AH17" s="254">
        <f>'13'!$G$119</f>
        <v>466</v>
      </c>
      <c r="AI17" s="254">
        <f>'13'!$G$120</f>
        <v>422</v>
      </c>
      <c r="AJ17" s="254">
        <f>'13'!$G$121</f>
        <v>788</v>
      </c>
      <c r="AK17" s="254">
        <f>'13'!$G$122</f>
        <v>323</v>
      </c>
      <c r="AL17" s="254">
        <f>'13'!$G$123</f>
        <v>358</v>
      </c>
      <c r="AM17" s="254">
        <f>'13'!$G$133</f>
        <v>828</v>
      </c>
      <c r="AN17" s="254">
        <f>'13'!$G$15</f>
        <v>1211</v>
      </c>
      <c r="AO17" s="256">
        <f>'13'!$G$74</f>
        <v>329</v>
      </c>
      <c r="AP17" s="256">
        <f>'13'!$G$75</f>
        <v>0</v>
      </c>
      <c r="AQ17" s="256">
        <f>'13'!$G$76</f>
        <v>139</v>
      </c>
      <c r="AR17" s="256">
        <f>'13'!$G$77</f>
        <v>66</v>
      </c>
      <c r="AS17" s="256">
        <f>'13'!$G$78</f>
        <v>0</v>
      </c>
      <c r="AT17" s="256">
        <f t="shared" si="0"/>
        <v>677</v>
      </c>
      <c r="AU17" s="254">
        <f>SUM('13'!G91:G92)</f>
        <v>11.529999999999745</v>
      </c>
      <c r="AV17" s="254">
        <f>'13'!$G$88</f>
        <v>0</v>
      </c>
      <c r="AW17" s="254">
        <f>'13'!$G$89</f>
        <v>11.529999999998836</v>
      </c>
      <c r="AX17" s="254">
        <f>'13'!$G$90</f>
        <v>7.0299999999988358</v>
      </c>
      <c r="AY17" s="252">
        <f t="shared" si="1"/>
        <v>18.559999999997672</v>
      </c>
      <c r="BA17" s="314">
        <f t="shared" ref="BA17:BA34" si="6">AO17-AT17</f>
        <v>-348</v>
      </c>
      <c r="BB17" s="353">
        <f t="shared" si="3"/>
        <v>5217</v>
      </c>
      <c r="BC17" s="353">
        <f t="shared" si="4"/>
        <v>22.424242424242422</v>
      </c>
    </row>
    <row r="18" spans="1:55" x14ac:dyDescent="0.2">
      <c r="A18" s="361">
        <v>14</v>
      </c>
      <c r="B18" s="927">
        <f>'14'!G7</f>
        <v>22739</v>
      </c>
      <c r="C18" s="927">
        <f>'14'!G8</f>
        <v>23059</v>
      </c>
      <c r="D18" s="927">
        <f>'14'!G15</f>
        <v>1124</v>
      </c>
      <c r="E18" s="927">
        <f>'14'!G20</f>
        <v>292</v>
      </c>
      <c r="F18" s="927">
        <f>SUM('14'!G35,'14'!G49)</f>
        <v>3890</v>
      </c>
      <c r="G18" s="927">
        <f>SUM('14'!G37,'14'!G51)</f>
        <v>1598</v>
      </c>
      <c r="H18" s="927">
        <f>SUM('14'!G38,'14'!G52)</f>
        <v>2029</v>
      </c>
      <c r="I18" s="927">
        <f>SUM('14'!G39,'14'!G53)</f>
        <v>3022</v>
      </c>
      <c r="J18" s="927">
        <f>SUM('14'!G41,'14'!G42,'14'!G55,'14'!G56)</f>
        <v>3919</v>
      </c>
      <c r="K18" s="927">
        <f>SUM('14'!G43,'14'!G57)</f>
        <v>2768</v>
      </c>
      <c r="L18" s="254">
        <f>'14'!G50</f>
        <v>1163</v>
      </c>
      <c r="M18" s="254">
        <f>'14'!G36</f>
        <v>1164</v>
      </c>
      <c r="N18" s="254">
        <f>'14'!G138</f>
        <v>123</v>
      </c>
      <c r="O18" s="254">
        <f>'14'!$G$139</f>
        <v>4</v>
      </c>
      <c r="P18" s="254">
        <f>'14'!$G$140</f>
        <v>0</v>
      </c>
      <c r="Q18" s="254">
        <f>'14'!$G$141</f>
        <v>185</v>
      </c>
      <c r="R18" s="254">
        <f>'14'!$G$142</f>
        <v>55</v>
      </c>
      <c r="S18" s="254">
        <f>'14'!$G$145</f>
        <v>55</v>
      </c>
      <c r="T18" s="251">
        <f>'14'!$G$146</f>
        <v>427</v>
      </c>
      <c r="U18" s="251">
        <f>'14'!$G$144</f>
        <v>233</v>
      </c>
      <c r="V18" s="251">
        <f>'14'!$G$147</f>
        <v>405</v>
      </c>
      <c r="W18" s="251">
        <f>'14'!$G$148</f>
        <v>321</v>
      </c>
      <c r="X18" s="251">
        <f>'14'!$G$143</f>
        <v>31</v>
      </c>
      <c r="Y18" s="251">
        <f>'14'!$G$58</f>
        <v>226</v>
      </c>
      <c r="Z18" s="251">
        <f>'14'!$G$151</f>
        <v>395</v>
      </c>
      <c r="AA18" s="251">
        <f>'14'!G161</f>
        <v>5</v>
      </c>
      <c r="AB18" s="251">
        <f>'14'!G162</f>
        <v>37</v>
      </c>
      <c r="AC18" s="251">
        <f>'14'!G88</f>
        <v>0</v>
      </c>
      <c r="AD18" s="251">
        <f>'14'!G163+'14'!G164</f>
        <v>133</v>
      </c>
      <c r="AE18" s="254">
        <f>'14'!$G$116</f>
        <v>0</v>
      </c>
      <c r="AF18" s="254">
        <f>'14'!$G$117</f>
        <v>20</v>
      </c>
      <c r="AG18" s="254">
        <f>'14'!$G$118</f>
        <v>426</v>
      </c>
      <c r="AH18" s="254">
        <f>'14'!$G$119</f>
        <v>415</v>
      </c>
      <c r="AI18" s="254">
        <f>'14'!$G$120</f>
        <v>386</v>
      </c>
      <c r="AJ18" s="254">
        <f>'14'!$G$121</f>
        <v>751</v>
      </c>
      <c r="AK18" s="254">
        <f>'14'!$G$122</f>
        <v>338</v>
      </c>
      <c r="AL18" s="254">
        <f>'14'!$G$123</f>
        <v>363</v>
      </c>
      <c r="AM18" s="254">
        <f>'14'!$G$133</f>
        <v>833</v>
      </c>
      <c r="AN18" s="254">
        <f>'14'!$G$15</f>
        <v>1124</v>
      </c>
      <c r="AO18" s="256">
        <f>'14'!$G$74</f>
        <v>321</v>
      </c>
      <c r="AP18" s="256">
        <f>'14'!$G$75</f>
        <v>0</v>
      </c>
      <c r="AQ18" s="256">
        <f>'14'!$G$76</f>
        <v>110</v>
      </c>
      <c r="AR18" s="256">
        <f>'14'!$G$77</f>
        <v>39</v>
      </c>
      <c r="AS18" s="256">
        <f>'14'!$G$78</f>
        <v>0</v>
      </c>
      <c r="AT18" s="256">
        <f t="shared" si="0"/>
        <v>654</v>
      </c>
      <c r="AU18" s="254">
        <f>SUM('14'!G91:G92)</f>
        <v>11.230000000000473</v>
      </c>
      <c r="AV18" s="254">
        <f>'14'!$G$88</f>
        <v>0</v>
      </c>
      <c r="AW18" s="254">
        <f>'14'!$G$89</f>
        <v>11.720000000001164</v>
      </c>
      <c r="AX18" s="254">
        <f>'14'!$G$90</f>
        <v>6.1699999999982538</v>
      </c>
      <c r="AY18" s="252">
        <f t="shared" si="1"/>
        <v>17.889999999999418</v>
      </c>
      <c r="BA18" s="314">
        <f>AO18-AT18</f>
        <v>-333</v>
      </c>
      <c r="BB18" s="353">
        <f t="shared" si="3"/>
        <v>5607</v>
      </c>
      <c r="BC18" s="353">
        <f t="shared" si="4"/>
        <v>24.658076432560801</v>
      </c>
    </row>
    <row r="19" spans="1:55" x14ac:dyDescent="0.2">
      <c r="A19" s="361">
        <v>15</v>
      </c>
      <c r="B19" s="927">
        <f>'15'!G7</f>
        <v>23186</v>
      </c>
      <c r="C19" s="927">
        <f>'15'!G8</f>
        <v>23584</v>
      </c>
      <c r="D19" s="927">
        <f>'15'!G15</f>
        <v>1178.1299999998882</v>
      </c>
      <c r="E19" s="927">
        <f>'15'!G20</f>
        <v>240</v>
      </c>
      <c r="F19" s="927">
        <f>SUM('15'!G35,'15'!G49)</f>
        <v>3797</v>
      </c>
      <c r="G19" s="927">
        <f>SUM('15'!G37,'15'!G51)</f>
        <v>1543</v>
      </c>
      <c r="H19" s="927">
        <f>SUM('15'!G38,'15'!G52)</f>
        <v>1931</v>
      </c>
      <c r="I19" s="927">
        <f>SUM('15'!G39,'15'!G53)</f>
        <v>2939</v>
      </c>
      <c r="J19" s="927">
        <f>SUM('15'!G41,'15'!G42,'15'!G55,'15'!G56)</f>
        <v>5187</v>
      </c>
      <c r="K19" s="927">
        <f>SUM('15'!G43,'15'!G57)</f>
        <v>2748</v>
      </c>
      <c r="L19" s="254">
        <f>'15'!G50</f>
        <v>1582</v>
      </c>
      <c r="M19" s="254">
        <f>'15'!G36</f>
        <v>1099</v>
      </c>
      <c r="N19" s="254">
        <f>'15'!G138</f>
        <v>106</v>
      </c>
      <c r="O19" s="254">
        <f>'15'!$G$139</f>
        <v>1</v>
      </c>
      <c r="P19" s="254">
        <f>'15'!$G$140</f>
        <v>0</v>
      </c>
      <c r="Q19" s="254">
        <f>'15'!$G$141</f>
        <v>200</v>
      </c>
      <c r="R19" s="254">
        <f>'15'!$G$142</f>
        <v>73</v>
      </c>
      <c r="S19" s="254">
        <f>'15'!$G$145</f>
        <v>33</v>
      </c>
      <c r="T19" s="251">
        <f>'15'!$G$146</f>
        <v>420</v>
      </c>
      <c r="U19" s="251">
        <f>'15'!$G$144</f>
        <v>225</v>
      </c>
      <c r="V19" s="251">
        <f>'15'!$G$147</f>
        <v>407</v>
      </c>
      <c r="W19" s="251">
        <f>'15'!$G$148</f>
        <v>283</v>
      </c>
      <c r="X19" s="251">
        <f>'15'!$G$143</f>
        <v>33</v>
      </c>
      <c r="Y19" s="251">
        <f>'15'!$G$58</f>
        <v>251</v>
      </c>
      <c r="Z19" s="251">
        <f>'15'!$G$151</f>
        <v>234</v>
      </c>
      <c r="AA19" s="251">
        <f>'15'!G161</f>
        <v>2</v>
      </c>
      <c r="AB19" s="251">
        <f>'15'!G162</f>
        <v>33</v>
      </c>
      <c r="AC19" s="251">
        <f>'15'!G88</f>
        <v>0</v>
      </c>
      <c r="AD19" s="251">
        <f>'15'!G163+'15'!G164</f>
        <v>140</v>
      </c>
      <c r="AE19" s="254">
        <f>'15'!$G$116</f>
        <v>0</v>
      </c>
      <c r="AF19" s="254">
        <f>'15'!$G$117</f>
        <v>20</v>
      </c>
      <c r="AG19" s="254">
        <f>'15'!$G$118</f>
        <v>419</v>
      </c>
      <c r="AH19" s="254">
        <f>'15'!$G$119</f>
        <v>429</v>
      </c>
      <c r="AI19" s="254">
        <f>'15'!$G$120</f>
        <v>375</v>
      </c>
      <c r="AJ19" s="254">
        <f>'15'!$G$121</f>
        <v>741</v>
      </c>
      <c r="AK19" s="254">
        <f>'15'!$G$122</f>
        <v>372</v>
      </c>
      <c r="AL19" s="254">
        <f>'15'!$G$123</f>
        <v>389</v>
      </c>
      <c r="AM19" s="254">
        <f>'15'!$G$133</f>
        <v>818</v>
      </c>
      <c r="AN19" s="254">
        <f>'15'!$G$15</f>
        <v>1178.1299999998882</v>
      </c>
      <c r="AO19" s="256">
        <f>'15'!$G$74</f>
        <v>322</v>
      </c>
      <c r="AP19" s="256">
        <f>'15'!$G$75</f>
        <v>0</v>
      </c>
      <c r="AQ19" s="256">
        <f>'15'!$G$76</f>
        <v>130.60000000000582</v>
      </c>
      <c r="AR19" s="256">
        <f>'15'!$G$77</f>
        <v>45.599999999998545</v>
      </c>
      <c r="AS19" s="256">
        <f>'15'!$G$78</f>
        <v>4.7000000000007276</v>
      </c>
      <c r="AT19" s="256">
        <f t="shared" si="0"/>
        <v>675.22999999988315</v>
      </c>
      <c r="AU19" s="254">
        <f>SUM('15'!G91:G92)</f>
        <v>11.260000000000218</v>
      </c>
      <c r="AV19" s="254">
        <f>'15'!$G$88</f>
        <v>0</v>
      </c>
      <c r="AW19" s="254">
        <f>'15'!$G$89</f>
        <v>10.209999999999127</v>
      </c>
      <c r="AX19" s="254">
        <f>'15'!$G$90</f>
        <v>9.7700000000040745</v>
      </c>
      <c r="AY19" s="252">
        <f t="shared" si="1"/>
        <v>19.980000000003201</v>
      </c>
      <c r="BA19" s="314">
        <f t="shared" si="6"/>
        <v>-353.22999999988315</v>
      </c>
      <c r="BB19" s="353">
        <f t="shared" si="3"/>
        <v>5188</v>
      </c>
      <c r="BC19" s="353">
        <f t="shared" si="4"/>
        <v>22.375571465539547</v>
      </c>
    </row>
    <row r="20" spans="1:55" x14ac:dyDescent="0.2">
      <c r="A20" s="361">
        <v>16</v>
      </c>
      <c r="B20" s="927">
        <f>'16'!G7</f>
        <v>22062.949999999953</v>
      </c>
      <c r="C20" s="927">
        <f>'16'!G8</f>
        <v>22268.709999999963</v>
      </c>
      <c r="D20" s="927">
        <f>'16'!G15</f>
        <v>1154.8700000001118</v>
      </c>
      <c r="E20" s="927">
        <f>'16'!G20</f>
        <v>268</v>
      </c>
      <c r="F20" s="927">
        <f>SUM('16'!G35,'16'!G49)</f>
        <v>3731.6800000000076</v>
      </c>
      <c r="G20" s="927">
        <f>SUM('16'!G37,'16'!G51)</f>
        <v>1565.3299999999872</v>
      </c>
      <c r="H20" s="927">
        <f>SUM('16'!G38,'16'!G52)</f>
        <v>1985.609999999986</v>
      </c>
      <c r="I20" s="927">
        <f>SUM('16'!G39,'16'!G53)</f>
        <v>2949.8699999999953</v>
      </c>
      <c r="J20" s="927">
        <f>SUM('16'!G41,'16'!G42,'16'!G55,'16'!G56)</f>
        <v>5082.5300000000007</v>
      </c>
      <c r="K20" s="927">
        <f>SUM('16'!G43,'16'!G57)</f>
        <v>2590.1999999999998</v>
      </c>
      <c r="L20" s="254">
        <f>'16'!G50</f>
        <v>1041.3800000000001</v>
      </c>
      <c r="M20" s="254">
        <f>'16'!G36</f>
        <v>1204.2600000000002</v>
      </c>
      <c r="N20" s="254">
        <f>'16'!G138</f>
        <v>118</v>
      </c>
      <c r="O20" s="254">
        <f>'16'!$G$139</f>
        <v>5</v>
      </c>
      <c r="P20" s="254">
        <f>'16'!$G$140</f>
        <v>0</v>
      </c>
      <c r="Q20" s="254">
        <f>'16'!$G$141</f>
        <v>192.80000000000291</v>
      </c>
      <c r="R20" s="254">
        <f>'16'!$G$142</f>
        <v>72.979999999999563</v>
      </c>
      <c r="S20" s="254">
        <f>'16'!$G$145</f>
        <v>63.090000000000146</v>
      </c>
      <c r="T20" s="251">
        <f>'16'!$G$146</f>
        <v>426.59999999997672</v>
      </c>
      <c r="U20" s="251">
        <f>'16'!$G$144</f>
        <v>239</v>
      </c>
      <c r="V20" s="251">
        <f>'16'!$G$147</f>
        <v>417</v>
      </c>
      <c r="W20" s="251">
        <f>'16'!$G$148</f>
        <v>276</v>
      </c>
      <c r="X20" s="251">
        <f>'16'!$G$143</f>
        <v>29.579999999999927</v>
      </c>
      <c r="Y20" s="251">
        <f>'16'!$G$58</f>
        <v>223.35000000000582</v>
      </c>
      <c r="Z20" s="251">
        <f>'16'!$G$151</f>
        <v>242</v>
      </c>
      <c r="AA20" s="251">
        <f>'16'!G161</f>
        <v>0</v>
      </c>
      <c r="AB20" s="251">
        <f>'16'!G162</f>
        <v>32.5</v>
      </c>
      <c r="AC20" s="251">
        <f>'16'!G88</f>
        <v>-0.39999999999781721</v>
      </c>
      <c r="AD20" s="251">
        <f>'16'!G163+'16'!G164</f>
        <v>110.49999999999454</v>
      </c>
      <c r="AE20" s="254">
        <f>'16'!$G$116</f>
        <v>0</v>
      </c>
      <c r="AF20" s="254">
        <f>'16'!$G$117</f>
        <v>14.5</v>
      </c>
      <c r="AG20" s="254">
        <f>'16'!$G$118</f>
        <v>401.30999999999767</v>
      </c>
      <c r="AH20" s="254">
        <f>'16'!$G$119</f>
        <v>430.60999999998603</v>
      </c>
      <c r="AI20" s="254">
        <f>'16'!$G$120</f>
        <v>407.54999999999927</v>
      </c>
      <c r="AJ20" s="254">
        <f>'16'!$G$121</f>
        <v>755.34999999997672</v>
      </c>
      <c r="AK20" s="254">
        <f>'16'!$G$122</f>
        <v>381.7100000000064</v>
      </c>
      <c r="AL20" s="254">
        <f>'16'!$G$123</f>
        <v>401.98999999999069</v>
      </c>
      <c r="AM20" s="254">
        <f>'16'!$G$133</f>
        <v>835.41000000000349</v>
      </c>
      <c r="AN20" s="254">
        <f>'16'!$G$15</f>
        <v>1154.8700000001118</v>
      </c>
      <c r="AO20" s="256">
        <f>'16'!$G$74</f>
        <v>330.4100000000326</v>
      </c>
      <c r="AP20" s="256">
        <f>'16'!$G$75</f>
        <v>0</v>
      </c>
      <c r="AQ20" s="256">
        <f>'16'!$G$76</f>
        <v>136.82000000000698</v>
      </c>
      <c r="AR20" s="256">
        <f>'16'!$G$77</f>
        <v>45.5</v>
      </c>
      <c r="AS20" s="256">
        <f>'16'!$G$78</f>
        <v>2.0999999999985448</v>
      </c>
      <c r="AT20" s="256">
        <f t="shared" si="0"/>
        <v>640.04000000007363</v>
      </c>
      <c r="AU20" s="254">
        <f>SUM('16'!G91:G92)</f>
        <v>11.819999999999709</v>
      </c>
      <c r="AV20" s="254">
        <f>'16'!$G$88</f>
        <v>-0.39999999999781721</v>
      </c>
      <c r="AW20" s="254">
        <f>'16'!$G$89</f>
        <v>10.530000000002474</v>
      </c>
      <c r="AX20" s="254">
        <f>'16'!$G$90</f>
        <v>6.3899999999994179</v>
      </c>
      <c r="AY20" s="252">
        <f t="shared" si="1"/>
        <v>16.520000000004075</v>
      </c>
      <c r="BA20" s="314">
        <f t="shared" si="6"/>
        <v>-309.63000000004104</v>
      </c>
      <c r="BB20" s="353">
        <f t="shared" si="3"/>
        <v>4140.1399999999812</v>
      </c>
      <c r="BC20" s="353">
        <f t="shared" si="4"/>
        <v>18.765124337407237</v>
      </c>
    </row>
    <row r="21" spans="1:55" x14ac:dyDescent="0.2">
      <c r="A21" s="361">
        <v>17</v>
      </c>
      <c r="B21" s="927">
        <f>'17'!G7</f>
        <v>23850.650000000023</v>
      </c>
      <c r="C21" s="927">
        <f>'17'!G8</f>
        <v>24204.290000000037</v>
      </c>
      <c r="D21" s="927">
        <f>'17'!G15</f>
        <v>1138.8219999999274</v>
      </c>
      <c r="E21" s="927">
        <f>'17'!G20</f>
        <v>234</v>
      </c>
      <c r="F21" s="927">
        <f>SUM('17'!G35,'17'!G49)</f>
        <v>3551.8099999999831</v>
      </c>
      <c r="G21" s="927">
        <f>SUM('17'!G37,'17'!G51)</f>
        <v>1583.5400000000081</v>
      </c>
      <c r="H21" s="927">
        <f>SUM('17'!G38,'17'!G52)</f>
        <v>2168.1600000000035</v>
      </c>
      <c r="I21" s="927">
        <f>SUM('17'!G39,'17'!G53)</f>
        <v>3084.4799999999814</v>
      </c>
      <c r="J21" s="927">
        <f>SUM('17'!G41,'17'!G42,'17'!G55,'17'!G56)</f>
        <v>5645.2099999999991</v>
      </c>
      <c r="K21" s="927">
        <f>SUM('17'!G43,'17'!G57)</f>
        <v>2782.7300000000005</v>
      </c>
      <c r="L21" s="254">
        <f>'17'!G50</f>
        <v>1241.5</v>
      </c>
      <c r="M21" s="254">
        <f>'17'!G36</f>
        <v>1285.6300000000001</v>
      </c>
      <c r="N21" s="254">
        <f>'18 '!G138</f>
        <v>133</v>
      </c>
      <c r="O21" s="254">
        <f>'17'!$G$139</f>
        <v>40</v>
      </c>
      <c r="P21" s="254">
        <f>'17'!$G$140</f>
        <v>0</v>
      </c>
      <c r="Q21" s="254">
        <f>'17'!$G$141</f>
        <v>234.82999999999447</v>
      </c>
      <c r="R21" s="254">
        <f>'17'!$G$142</f>
        <v>70.209999999999127</v>
      </c>
      <c r="S21" s="254">
        <f>'17'!$G$145</f>
        <v>47.779999999999745</v>
      </c>
      <c r="T21" s="251">
        <f>'17'!$G$146</f>
        <v>499.40000000002328</v>
      </c>
      <c r="U21" s="251">
        <f>'17'!$G$144</f>
        <v>233</v>
      </c>
      <c r="V21" s="251">
        <f>'17'!$G$147</f>
        <v>401.92000000004191</v>
      </c>
      <c r="W21" s="251">
        <f>'17'!$G$148</f>
        <v>277.43999999994412</v>
      </c>
      <c r="X21" s="251">
        <f>'17'!$G$143</f>
        <v>27.480000000000018</v>
      </c>
      <c r="Y21" s="251">
        <f>'17'!$G$58</f>
        <v>201.64999999999418</v>
      </c>
      <c r="Z21" s="251">
        <f>'17'!$G$151</f>
        <v>255</v>
      </c>
      <c r="AA21" s="251">
        <f>'17'!G161</f>
        <v>0.79999999998835847</v>
      </c>
      <c r="AB21" s="251">
        <f>'17'!G162</f>
        <v>33.5</v>
      </c>
      <c r="AC21" s="251">
        <f>'17'!G88</f>
        <v>0.39999999999781721</v>
      </c>
      <c r="AD21" s="251">
        <f>'17'!G163+'17'!G164</f>
        <v>98.700000000011642</v>
      </c>
      <c r="AE21" s="254">
        <f>'17'!$G$116</f>
        <v>0</v>
      </c>
      <c r="AF21" s="254">
        <f>'17'!$G$117</f>
        <v>13.429999999999836</v>
      </c>
      <c r="AG21" s="254">
        <f>'17'!$G$118</f>
        <v>403.92000000001281</v>
      </c>
      <c r="AH21" s="254">
        <f>'17'!$G$119</f>
        <v>432.60000000000582</v>
      </c>
      <c r="AI21" s="254">
        <f>'17'!$G$120</f>
        <v>401.56999999999971</v>
      </c>
      <c r="AJ21" s="254">
        <f>'17'!$G$121</f>
        <v>765</v>
      </c>
      <c r="AK21" s="254">
        <f>'17'!$G$122</f>
        <v>386.3799999999901</v>
      </c>
      <c r="AL21" s="254">
        <f>'17'!$G$123</f>
        <v>406.65000000002328</v>
      </c>
      <c r="AM21" s="254">
        <f>'17'!$G$133</f>
        <v>869.19999999999709</v>
      </c>
      <c r="AN21" s="254">
        <f>'17'!$G$15</f>
        <v>1138.8219999999274</v>
      </c>
      <c r="AO21" s="256">
        <f>'17'!$G$74</f>
        <v>317.41999999992549</v>
      </c>
      <c r="AP21" s="256">
        <f>'17'!$G$75</f>
        <v>0</v>
      </c>
      <c r="AQ21" s="256">
        <f>'17'!$G$76</f>
        <v>123.57999999998719</v>
      </c>
      <c r="AR21" s="256">
        <f>'17'!$G$77</f>
        <v>52.400000000001455</v>
      </c>
      <c r="AS21" s="256">
        <f>'17'!$G$78</f>
        <v>2.2000000000007276</v>
      </c>
      <c r="AT21" s="256">
        <f t="shared" si="0"/>
        <v>643.22200000001249</v>
      </c>
      <c r="AU21" s="254">
        <f>SUM('17'!G91:G92)</f>
        <v>10.970000000000255</v>
      </c>
      <c r="AV21" s="254">
        <f>'17'!$G$88</f>
        <v>0.39999999999781721</v>
      </c>
      <c r="AW21" s="254">
        <f>'17'!$G$89</f>
        <v>10.93999999999869</v>
      </c>
      <c r="AX21" s="254">
        <f>'17'!$G$90</f>
        <v>6.6199999999953434</v>
      </c>
      <c r="AY21" s="252">
        <f t="shared" si="1"/>
        <v>17.959999999991851</v>
      </c>
      <c r="BA21" s="314">
        <f t="shared" si="6"/>
        <v>-325.80200000008699</v>
      </c>
      <c r="BB21" s="353">
        <f t="shared" si="3"/>
        <v>5186.7100000000682</v>
      </c>
      <c r="BC21" s="353">
        <f t="shared" si="4"/>
        <v>21.746619064889479</v>
      </c>
    </row>
    <row r="22" spans="1:55" x14ac:dyDescent="0.2">
      <c r="A22" s="361">
        <v>18</v>
      </c>
      <c r="B22" s="927">
        <f>'18 '!G7</f>
        <v>22823.75</v>
      </c>
      <c r="C22" s="927">
        <f>'18 '!G8</f>
        <v>23137.75</v>
      </c>
      <c r="D22" s="927">
        <f>'18 '!G15</f>
        <v>1215.2839999999851</v>
      </c>
      <c r="E22" s="927">
        <f>'18 '!G20</f>
        <v>273</v>
      </c>
      <c r="F22" s="927">
        <f>SUM('18 '!G35,'18 '!G49)</f>
        <v>3379.9700000000012</v>
      </c>
      <c r="G22" s="927">
        <f>SUM('18 '!G37,'18 '!G51)</f>
        <v>1564.6000000000058</v>
      </c>
      <c r="H22" s="927">
        <f>SUM('18 '!G38,'18 '!G52)</f>
        <v>2082.2200000000012</v>
      </c>
      <c r="I22" s="927">
        <f>SUM('18 '!G39,'18 '!G53)</f>
        <v>2894.0400000000373</v>
      </c>
      <c r="J22" s="927">
        <f>SUM('18 '!G41,'18 '!G42,'18 '!G55,'18 '!G56)</f>
        <v>5311.51</v>
      </c>
      <c r="K22" s="927">
        <f>SUM('18 '!G43,'18 '!G57)</f>
        <v>2787.9400000000005</v>
      </c>
      <c r="L22" s="254">
        <f>'18 '!G50</f>
        <v>1452.4299999999994</v>
      </c>
      <c r="M22" s="254">
        <f>'18 '!G36</f>
        <v>1224.04</v>
      </c>
      <c r="N22" s="254">
        <f>'18 '!G138</f>
        <v>133</v>
      </c>
      <c r="O22" s="254">
        <f>'18 '!$G$139</f>
        <v>24</v>
      </c>
      <c r="P22" s="254">
        <f>'18 '!$G$140</f>
        <v>13.5</v>
      </c>
      <c r="Q22" s="254">
        <f>'18 '!$G$141</f>
        <v>191</v>
      </c>
      <c r="R22" s="254">
        <f>'18 '!$G$142</f>
        <v>71.010000000002037</v>
      </c>
      <c r="S22" s="254">
        <f>'18 '!$G$145</f>
        <v>42.650000000000546</v>
      </c>
      <c r="T22" s="251">
        <f>'18 '!$G$146</f>
        <v>401</v>
      </c>
      <c r="U22" s="251">
        <f>'18 '!$G$144</f>
        <v>234</v>
      </c>
      <c r="V22" s="256">
        <f>'18 '!$G$147</f>
        <v>417.11999999999534</v>
      </c>
      <c r="W22" s="256">
        <f>'18 '!$G$148</f>
        <v>350.32000000006519</v>
      </c>
      <c r="X22" s="256">
        <f>'18 '!$G$143</f>
        <v>38.200000000000273</v>
      </c>
      <c r="Y22" s="256">
        <f>'18 '!$G$58</f>
        <v>238.66000000000349</v>
      </c>
      <c r="Z22" s="256">
        <f>'18 '!$G$151</f>
        <v>251</v>
      </c>
      <c r="AA22" s="256">
        <f>'18 '!G161</f>
        <v>7.0400000000372529</v>
      </c>
      <c r="AB22" s="251">
        <f>'18 '!G162</f>
        <v>27.5</v>
      </c>
      <c r="AC22" s="251">
        <f>'18 '!G88</f>
        <v>0</v>
      </c>
      <c r="AD22" s="251">
        <f>'18 '!G163+'18 '!G164</f>
        <v>35.199999999999818</v>
      </c>
      <c r="AE22" s="254">
        <f>'18 '!$G$116</f>
        <v>0</v>
      </c>
      <c r="AF22" s="254">
        <f>'18 '!$G$117</f>
        <v>17.990000000000236</v>
      </c>
      <c r="AG22" s="254">
        <f>'18 '!$G$118</f>
        <v>345.55999999999767</v>
      </c>
      <c r="AH22" s="254">
        <f>'18 '!$G$119</f>
        <v>436.52000000001863</v>
      </c>
      <c r="AI22" s="254">
        <f>'18 '!$G$120</f>
        <v>407.35000000000218</v>
      </c>
      <c r="AJ22" s="254">
        <f>'18 '!$G$121</f>
        <v>738.02000000001863</v>
      </c>
      <c r="AK22" s="254">
        <f>'18 '!$G$122</f>
        <v>356.22000000000116</v>
      </c>
      <c r="AL22" s="254">
        <f>'18 '!$G$123</f>
        <v>385.61399999997229</v>
      </c>
      <c r="AM22" s="254">
        <f>'18 '!$G$133</f>
        <v>832.86999999999534</v>
      </c>
      <c r="AN22" s="254">
        <f>'18 '!$G$15</f>
        <v>1215.2839999999851</v>
      </c>
      <c r="AO22" s="256">
        <f>'18 '!$G$74</f>
        <v>305.65000000002328</v>
      </c>
      <c r="AP22" s="256">
        <f>'18 '!$G$75</f>
        <v>0</v>
      </c>
      <c r="AQ22" s="256">
        <f>'18 '!$G$76</f>
        <v>134.60000000000582</v>
      </c>
      <c r="AR22" s="256">
        <f>'18 '!$G$77</f>
        <v>55.19999999999709</v>
      </c>
      <c r="AS22" s="256">
        <f>'18 '!$G$78</f>
        <v>1.8999999999996362</v>
      </c>
      <c r="AT22" s="256">
        <f t="shared" si="0"/>
        <v>717.93399999995927</v>
      </c>
      <c r="AU22" s="254">
        <f>SUM('18 '!G91:G92)</f>
        <v>10.710000000000036</v>
      </c>
      <c r="AV22" s="254">
        <f>'18 '!$G$88</f>
        <v>0</v>
      </c>
      <c r="AW22" s="254">
        <f>'18 '!$G$89</f>
        <v>12.590000000000146</v>
      </c>
      <c r="AX22" s="254">
        <f>'18 '!$G$90</f>
        <v>6.2900000000081491</v>
      </c>
      <c r="AY22" s="252">
        <f t="shared" si="1"/>
        <v>18.880000000008295</v>
      </c>
      <c r="BA22" s="314">
        <f t="shared" si="6"/>
        <v>-412.28399999993599</v>
      </c>
      <c r="BB22" s="353">
        <f t="shared" si="3"/>
        <v>4878.8099999999504</v>
      </c>
      <c r="BC22" s="353">
        <f t="shared" si="4"/>
        <v>21.376022783284736</v>
      </c>
    </row>
    <row r="23" spans="1:55" s="313" customFormat="1" x14ac:dyDescent="0.2">
      <c r="A23" s="361">
        <v>19</v>
      </c>
      <c r="B23" s="927">
        <f>'19'!G7</f>
        <v>22978</v>
      </c>
      <c r="C23" s="927">
        <f>'19'!G8</f>
        <v>23251.630000000005</v>
      </c>
      <c r="D23" s="927">
        <f>'19'!G15</f>
        <v>1150.2939999999944</v>
      </c>
      <c r="E23" s="927">
        <f>'19'!G20</f>
        <v>273</v>
      </c>
      <c r="F23" s="927">
        <f>SUM('19'!G35,'19'!G49)</f>
        <v>3420.0400000000081</v>
      </c>
      <c r="G23" s="927">
        <f>SUM('19'!G37,'19'!G51)</f>
        <v>1585.359999999986</v>
      </c>
      <c r="H23" s="927">
        <f>SUM('19'!G38,'19'!G52)</f>
        <v>2024.9400000000023</v>
      </c>
      <c r="I23" s="927">
        <f>SUM('19'!G39,'19'!G53)</f>
        <v>3077.5599999999977</v>
      </c>
      <c r="J23" s="927">
        <f>SUM('19'!G41,'19'!G42,'19'!G55,'19'!G56)</f>
        <v>5180.5400000000009</v>
      </c>
      <c r="K23" s="927">
        <f>SUM('19'!G43,'19'!G57)</f>
        <v>2794.7599999999984</v>
      </c>
      <c r="L23" s="251">
        <f>'19'!G50</f>
        <v>1631.1800000000003</v>
      </c>
      <c r="M23" s="251">
        <f>'19'!G36</f>
        <v>1132.0699999999997</v>
      </c>
      <c r="N23" s="251">
        <f>'19'!G138</f>
        <v>114</v>
      </c>
      <c r="O23" s="251">
        <f>'19'!$G$139</f>
        <v>15</v>
      </c>
      <c r="P23" s="251">
        <f>'19'!$G$140</f>
        <v>1.3000000000029104</v>
      </c>
      <c r="Q23" s="251">
        <f>'19'!$G$141</f>
        <v>203.16000000000349</v>
      </c>
      <c r="R23" s="254">
        <f>'19'!G142</f>
        <v>77.899999999997817</v>
      </c>
      <c r="S23" s="251">
        <f>'19'!$G$145</f>
        <v>38.449999999999818</v>
      </c>
      <c r="T23" s="251">
        <f>'19'!$G$146</f>
        <v>489</v>
      </c>
      <c r="U23" s="251">
        <f>'19'!$G$144</f>
        <v>232</v>
      </c>
      <c r="V23" s="251">
        <f>'19'!$G$147</f>
        <v>466.39999999990687</v>
      </c>
      <c r="W23" s="251">
        <f>'19'!$G$148</f>
        <v>368.98999999999069</v>
      </c>
      <c r="X23" s="251">
        <f>'19'!$G$143</f>
        <v>29.309999999999945</v>
      </c>
      <c r="Y23" s="251">
        <f>'19'!$G$58</f>
        <v>199.7899999999936</v>
      </c>
      <c r="Z23" s="251">
        <f>'19'!$G$151</f>
        <v>223</v>
      </c>
      <c r="AA23" s="251">
        <f>'19'!G161</f>
        <v>3.0799999999580905</v>
      </c>
      <c r="AB23" s="251">
        <f>'19'!G162</f>
        <v>12</v>
      </c>
      <c r="AC23" s="251">
        <f>'19'!G88</f>
        <v>0</v>
      </c>
      <c r="AD23" s="251">
        <f>'19'!G163+'19'!G164</f>
        <v>36.599999999991269</v>
      </c>
      <c r="AE23" s="251">
        <f>'19'!$G$116</f>
        <v>0</v>
      </c>
      <c r="AF23" s="251">
        <f>'19'!$G$117</f>
        <v>16.259999999999764</v>
      </c>
      <c r="AG23" s="251">
        <f>'19'!$G$118</f>
        <v>349.66000000000349</v>
      </c>
      <c r="AH23" s="251">
        <f>'19'!$G$119</f>
        <v>462.09999999997672</v>
      </c>
      <c r="AI23" s="251">
        <f>'19'!$G$120</f>
        <v>410.43000000000029</v>
      </c>
      <c r="AJ23" s="251">
        <f>'19'!$G$121</f>
        <v>763.63000000000466</v>
      </c>
      <c r="AK23" s="251">
        <f>'19'!$G$122</f>
        <v>364.69000000000233</v>
      </c>
      <c r="AL23" s="251">
        <f>'19'!$G$123</f>
        <v>387.74600000001374</v>
      </c>
      <c r="AM23" s="251">
        <f>'19'!$G$133</f>
        <v>858.88000000000466</v>
      </c>
      <c r="AN23" s="251">
        <f>'19'!$G$15</f>
        <v>1150.2939999999944</v>
      </c>
      <c r="AO23" s="256">
        <f>'19'!$G$74</f>
        <v>312.83000000007451</v>
      </c>
      <c r="AP23" s="256">
        <f>'19'!$G$75</f>
        <v>0</v>
      </c>
      <c r="AQ23" s="256">
        <f>'19'!$G$76</f>
        <v>149.60000000000582</v>
      </c>
      <c r="AR23" s="256">
        <f>'19'!$G$77</f>
        <v>69.600000000005821</v>
      </c>
      <c r="AS23" s="256">
        <f>'19'!$G$78</f>
        <v>1.8000000000010914</v>
      </c>
      <c r="AT23" s="256">
        <f t="shared" si="0"/>
        <v>616.46399999990717</v>
      </c>
      <c r="AU23" s="251">
        <f>SUM('19'!G91:G92)</f>
        <v>10.989999999999782</v>
      </c>
      <c r="AV23" s="251">
        <f>'19'!$G$88</f>
        <v>0</v>
      </c>
      <c r="AW23" s="251">
        <f>'19'!$G$89</f>
        <v>9.7900000000008731</v>
      </c>
      <c r="AX23" s="251">
        <f>'19'!$G$90</f>
        <v>6.6799999999930151</v>
      </c>
      <c r="AY23" s="255">
        <f t="shared" si="1"/>
        <v>16.469999999993888</v>
      </c>
      <c r="BA23" s="315">
        <f t="shared" si="6"/>
        <v>-303.63399999983267</v>
      </c>
      <c r="BB23" s="353">
        <f t="shared" si="3"/>
        <v>4968.6400000000176</v>
      </c>
      <c r="BC23" s="353">
        <f t="shared" si="4"/>
        <v>21.623465923927313</v>
      </c>
    </row>
    <row r="24" spans="1:55" x14ac:dyDescent="0.2">
      <c r="A24" s="361">
        <v>20</v>
      </c>
      <c r="B24" s="927">
        <f>'20'!G7</f>
        <v>21084.160000000033</v>
      </c>
      <c r="C24" s="927">
        <f>'20'!G8</f>
        <v>21299.930000000051</v>
      </c>
      <c r="D24" s="927">
        <f>'20'!G15</f>
        <v>1154.410000000149</v>
      </c>
      <c r="E24" s="927">
        <f>'20'!G20</f>
        <v>273</v>
      </c>
      <c r="F24" s="927">
        <f>SUM('20'!G35,'20'!G49)</f>
        <v>3485.5800000000163</v>
      </c>
      <c r="G24" s="927">
        <f>SUM('20'!G37,'20'!G51)</f>
        <v>1629.820000000007</v>
      </c>
      <c r="H24" s="927">
        <f>SUM('20'!G38,'20'!G52)</f>
        <v>1975.1000000000058</v>
      </c>
      <c r="I24" s="927">
        <f>SUM('20'!G39,'20'!G53)</f>
        <v>2849.679999999993</v>
      </c>
      <c r="J24" s="927">
        <f>SUM('20'!G41,'20'!G42,'20'!G55,'20'!G56)</f>
        <v>4532.2599999999984</v>
      </c>
      <c r="K24" s="927">
        <f>SUM('20'!G43,'20'!G57)</f>
        <v>2718.9600000000009</v>
      </c>
      <c r="L24" s="254">
        <f>'20'!G50</f>
        <v>1114.7100000000009</v>
      </c>
      <c r="M24" s="254">
        <f>'20'!G36</f>
        <v>926.36000000000058</v>
      </c>
      <c r="N24" s="254">
        <f>'20'!G138</f>
        <v>111</v>
      </c>
      <c r="O24" s="254">
        <f>'20'!$G$139</f>
        <v>1</v>
      </c>
      <c r="P24" s="254">
        <f>'20'!$G$140</f>
        <v>1.8000000000029104</v>
      </c>
      <c r="Q24" s="254">
        <f>'20'!$G$141</f>
        <v>205.81999999999971</v>
      </c>
      <c r="R24" s="254">
        <f>'20'!$G$142</f>
        <v>69.990000000001601</v>
      </c>
      <c r="S24" s="254">
        <f>'20'!$G$145</f>
        <v>28.069999999999709</v>
      </c>
      <c r="T24" s="251">
        <f>'20'!$G$146</f>
        <v>467</v>
      </c>
      <c r="U24" s="251">
        <f>'20'!$G$144</f>
        <v>238</v>
      </c>
      <c r="V24" s="251">
        <f>'20'!$G$147</f>
        <v>376.08000000007451</v>
      </c>
      <c r="W24" s="251">
        <f>'20'!$G$148</f>
        <v>279.65000000002328</v>
      </c>
      <c r="X24" s="251">
        <f>'20'!$G$143</f>
        <v>29.5</v>
      </c>
      <c r="Y24" s="251">
        <f>'20'!$G$58</f>
        <v>227.41999999999825</v>
      </c>
      <c r="Z24" s="251">
        <f>'20'!$G$151</f>
        <v>233</v>
      </c>
      <c r="AA24" s="251">
        <f>'20'!G161</f>
        <v>2.8800000000046566</v>
      </c>
      <c r="AB24" s="251">
        <f>'20'!G162</f>
        <v>32.30000000000291</v>
      </c>
      <c r="AC24" s="251">
        <f>'20'!G88</f>
        <v>0</v>
      </c>
      <c r="AD24" s="251">
        <f>'20'!G163+'20'!G164</f>
        <v>71.600000000005821</v>
      </c>
      <c r="AE24" s="254">
        <f>'20'!$G$116</f>
        <v>0</v>
      </c>
      <c r="AF24" s="254">
        <f>'20'!$G$117</f>
        <v>27.980000000000018</v>
      </c>
      <c r="AG24" s="254">
        <f>'20'!$G$118</f>
        <v>418.83999999999651</v>
      </c>
      <c r="AH24" s="254">
        <f>'20'!$G$119</f>
        <v>437.40000000002328</v>
      </c>
      <c r="AI24" s="254">
        <f>'20'!$G$120</f>
        <v>425.5099999999984</v>
      </c>
      <c r="AJ24" s="254">
        <f>'20'!$G$121</f>
        <v>777.71000000002095</v>
      </c>
      <c r="AK24" s="254">
        <f>'20'!$G$122</f>
        <v>263.63000000000466</v>
      </c>
      <c r="AL24" s="254">
        <f>'20'!$G$123</f>
        <v>362.27999999999884</v>
      </c>
      <c r="AM24" s="254">
        <f>'20'!$G$133</f>
        <v>846.91000000000349</v>
      </c>
      <c r="AN24" s="254">
        <f>'20'!$G$15</f>
        <v>1154.410000000149</v>
      </c>
      <c r="AO24" s="256">
        <f>'20'!$G$74</f>
        <v>318.68999999994412</v>
      </c>
      <c r="AP24" s="256">
        <f>'20'!$G$75</f>
        <v>0</v>
      </c>
      <c r="AQ24" s="256">
        <f>'20'!$G$76</f>
        <v>127.04999999998836</v>
      </c>
      <c r="AR24" s="256">
        <f>'20'!$G$77</f>
        <v>46.69999999999709</v>
      </c>
      <c r="AS24" s="256">
        <f>'20'!$G$78</f>
        <v>1.2999999999992724</v>
      </c>
      <c r="AT24" s="256">
        <f t="shared" si="0"/>
        <v>660.67000000022017</v>
      </c>
      <c r="AU24" s="254">
        <f>SUM('20'!G91:G92)</f>
        <v>11.139999999999418</v>
      </c>
      <c r="AV24" s="254">
        <f>'20'!$G$88</f>
        <v>0</v>
      </c>
      <c r="AW24" s="254">
        <f>'20'!$G$89</f>
        <v>11.680000000000291</v>
      </c>
      <c r="AX24" s="254">
        <f>'20'!$G$90</f>
        <v>6.1600000000034925</v>
      </c>
      <c r="AY24" s="252">
        <f t="shared" si="1"/>
        <v>17.840000000003783</v>
      </c>
      <c r="BA24" s="314">
        <f t="shared" si="6"/>
        <v>-341.98000000027605</v>
      </c>
      <c r="BB24" s="353">
        <f t="shared" si="3"/>
        <v>3881.1100000000297</v>
      </c>
      <c r="BC24" s="353">
        <f t="shared" si="4"/>
        <v>18.407705120811187</v>
      </c>
    </row>
    <row r="25" spans="1:55" x14ac:dyDescent="0.2">
      <c r="A25" s="361">
        <v>21</v>
      </c>
      <c r="B25" s="927">
        <f>'21'!G7</f>
        <v>20828.559999999939</v>
      </c>
      <c r="C25" s="927">
        <f>'21'!G8</f>
        <v>21040.79999999993</v>
      </c>
      <c r="D25" s="927">
        <f>'21'!G15</f>
        <v>1115.5699999998324</v>
      </c>
      <c r="E25" s="927">
        <f>'21'!G20</f>
        <v>271</v>
      </c>
      <c r="F25" s="927">
        <f>SUM('21'!G35,'21'!G49)</f>
        <v>3149.2099999999627</v>
      </c>
      <c r="G25" s="927">
        <f>SUM('21'!G37,'21'!G51)</f>
        <v>1625.5</v>
      </c>
      <c r="H25" s="927">
        <f>SUM('21'!G38,'21'!G52)</f>
        <v>1893.8399999999965</v>
      </c>
      <c r="I25" s="927">
        <f>SUM('21'!G39,'21'!G53)</f>
        <v>2810.5999999999767</v>
      </c>
      <c r="J25" s="927">
        <f>SUM('21'!G41,'21'!G42,'21'!G55,'21'!G56)</f>
        <v>4666.0799999999981</v>
      </c>
      <c r="K25" s="927">
        <f>SUM('21'!G43,'21'!G57)</f>
        <v>2692.16</v>
      </c>
      <c r="L25" s="254">
        <f>'21'!G50</f>
        <v>1116.6799999999985</v>
      </c>
      <c r="M25" s="254">
        <f>'21'!G36</f>
        <v>1038.0299999999988</v>
      </c>
      <c r="N25" s="254">
        <f>'21'!G138</f>
        <v>91</v>
      </c>
      <c r="O25" s="254">
        <f>'21'!$G$139</f>
        <v>3</v>
      </c>
      <c r="P25" s="254">
        <f>'21'!$G$140</f>
        <v>0.59999999999126885</v>
      </c>
      <c r="Q25" s="254">
        <f>'21'!$G$141</f>
        <v>199.97000000000116</v>
      </c>
      <c r="R25" s="254">
        <f>'21'!$G$142</f>
        <v>73.220000000001164</v>
      </c>
      <c r="S25" s="254">
        <f>'21'!$G$145</f>
        <v>23.890000000000327</v>
      </c>
      <c r="T25" s="251">
        <f>'21'!$G$146</f>
        <v>497</v>
      </c>
      <c r="U25" s="251">
        <f>'21'!$G$144</f>
        <v>242</v>
      </c>
      <c r="V25" s="251">
        <f>'21'!$G$147</f>
        <v>406.95999999996275</v>
      </c>
      <c r="W25" s="251">
        <f>'21'!$G$148</f>
        <v>278.07999999995809</v>
      </c>
      <c r="X25" s="251">
        <f>'21'!$G$143</f>
        <v>25.529999999999745</v>
      </c>
      <c r="Y25" s="251">
        <f>'21'!$G$58</f>
        <v>221.16000000000349</v>
      </c>
      <c r="Z25" s="251">
        <f>'21'!$G$151</f>
        <v>214</v>
      </c>
      <c r="AA25" s="251">
        <f>'21'!G161</f>
        <v>2.9600000000209548</v>
      </c>
      <c r="AB25" s="251">
        <f>'21'!G162</f>
        <v>33.69999999999709</v>
      </c>
      <c r="AC25" s="251">
        <f>'21'!G88</f>
        <v>0</v>
      </c>
      <c r="AD25" s="251">
        <f>'21'!G163+'21'!G164</f>
        <v>85.199999999994361</v>
      </c>
      <c r="AE25" s="254">
        <f>'21'!$G$116</f>
        <v>0</v>
      </c>
      <c r="AF25" s="254">
        <f>'21'!$G$117</f>
        <v>25.7800000000002</v>
      </c>
      <c r="AG25" s="254">
        <f>'21'!$G$118</f>
        <v>412.89999999999418</v>
      </c>
      <c r="AH25" s="254">
        <f>'21'!$G$119</f>
        <v>426.22000000000116</v>
      </c>
      <c r="AI25" s="254">
        <f>'21'!$G$120</f>
        <v>416.88999999999942</v>
      </c>
      <c r="AJ25" s="254">
        <f>'21'!$G$121</f>
        <v>783.79999999998836</v>
      </c>
      <c r="AK25" s="254">
        <f>'21'!$G$122</f>
        <v>257.5</v>
      </c>
      <c r="AL25" s="254">
        <f>'21'!$G$123</f>
        <v>384.54999999998836</v>
      </c>
      <c r="AM25" s="254">
        <f>'21'!$G$133</f>
        <v>706.69000000000233</v>
      </c>
      <c r="AN25" s="254">
        <f>'21'!$G$15</f>
        <v>1115.5699999998324</v>
      </c>
      <c r="AO25" s="256">
        <f>'21'!$G$74</f>
        <v>321.20999999996275</v>
      </c>
      <c r="AP25" s="256">
        <f>'21'!$G$75</f>
        <v>0</v>
      </c>
      <c r="AQ25" s="256">
        <f>'21'!$G$76</f>
        <v>111.48000000001048</v>
      </c>
      <c r="AR25" s="256">
        <f>'21'!$G$77</f>
        <v>55</v>
      </c>
      <c r="AS25" s="256">
        <f>'21'!$G$78</f>
        <v>1</v>
      </c>
      <c r="AT25" s="256">
        <f t="shared" si="0"/>
        <v>626.87999999985914</v>
      </c>
      <c r="AU25" s="254">
        <f>SUM('21'!G91:G92)</f>
        <v>11.170000000000073</v>
      </c>
      <c r="AV25" s="254">
        <f>'21'!$G$88</f>
        <v>0</v>
      </c>
      <c r="AW25" s="254">
        <f>'21'!$G$89</f>
        <v>10.629999999997381</v>
      </c>
      <c r="AX25" s="254">
        <f>'21'!$G$90</f>
        <v>6.3099999999976717</v>
      </c>
      <c r="AY25" s="252">
        <f t="shared" si="1"/>
        <v>16.939999999995052</v>
      </c>
      <c r="BA25" s="314">
        <f t="shared" si="6"/>
        <v>-305.66999999989639</v>
      </c>
      <c r="BB25" s="353">
        <f t="shared" si="3"/>
        <v>3982.2499999999927</v>
      </c>
      <c r="BC25" s="353">
        <f t="shared" si="4"/>
        <v>19.119180586656036</v>
      </c>
    </row>
    <row r="26" spans="1:55" x14ac:dyDescent="0.2">
      <c r="A26" s="361">
        <v>22</v>
      </c>
      <c r="B26" s="927">
        <f>'22'!G7</f>
        <v>20615.520000000019</v>
      </c>
      <c r="C26" s="927">
        <f>'22'!G8</f>
        <v>20778.079999999958</v>
      </c>
      <c r="D26" s="927">
        <f>'22'!G15</f>
        <v>1062.4600000001956</v>
      </c>
      <c r="E26" s="927">
        <f>'22'!G20</f>
        <v>241</v>
      </c>
      <c r="F26" s="927">
        <f>SUM('22'!G35,'22'!G49)</f>
        <v>3084.4900000000198</v>
      </c>
      <c r="G26" s="927">
        <f>SUM('22'!G37,'22'!G51)</f>
        <v>1590.140000000014</v>
      </c>
      <c r="H26" s="927">
        <f>SUM('22'!G38,'22'!G52)</f>
        <v>1914.5800000000163</v>
      </c>
      <c r="I26" s="927">
        <f>SUM('22'!G39,'22'!G53)</f>
        <v>2775.9200000000419</v>
      </c>
      <c r="J26" s="927">
        <f>SUM('22'!G41,'22'!G42,'22'!G55,'22'!G56)</f>
        <v>4737.3100000000049</v>
      </c>
      <c r="K26" s="927">
        <f>SUM('22'!G43,'22'!G57)</f>
        <v>2692.75</v>
      </c>
      <c r="L26" s="254">
        <f>'22'!G50</f>
        <v>1108.0100000000002</v>
      </c>
      <c r="M26" s="254">
        <f>'22'!G36</f>
        <v>919.97000000000116</v>
      </c>
      <c r="N26" s="254">
        <f>'22'!G138</f>
        <v>109</v>
      </c>
      <c r="O26" s="254">
        <f>'22'!$G$139</f>
        <v>4</v>
      </c>
      <c r="P26" s="254">
        <f>'22'!$G$140</f>
        <v>1.1999999999970896</v>
      </c>
      <c r="Q26" s="254">
        <f>'22'!$G$141</f>
        <v>197.43999999999505</v>
      </c>
      <c r="R26" s="254">
        <f>'22'!$G$142</f>
        <v>74.379999999997381</v>
      </c>
      <c r="S26" s="254">
        <f>'22'!$G$145</f>
        <v>25.139999999999418</v>
      </c>
      <c r="T26" s="251">
        <f>'22'!$G$146</f>
        <v>500</v>
      </c>
      <c r="U26" s="251">
        <f>'22'!$G$144</f>
        <v>251</v>
      </c>
      <c r="V26" s="251">
        <f>'22'!$G$147</f>
        <v>402.64000000001397</v>
      </c>
      <c r="W26" s="251">
        <f>'22'!$G$148</f>
        <v>297.76000000000931</v>
      </c>
      <c r="X26" s="251">
        <f>'22'!$G$143</f>
        <v>27.420000000000073</v>
      </c>
      <c r="Y26" s="251">
        <f>'22'!$G$58</f>
        <v>215.00999999999476</v>
      </c>
      <c r="Z26" s="251">
        <f>'22'!$G$151</f>
        <v>225</v>
      </c>
      <c r="AA26" s="251">
        <f>'22'!G161</f>
        <v>2.279999999969732</v>
      </c>
      <c r="AB26" s="251">
        <f>'22'!G162</f>
        <v>41</v>
      </c>
      <c r="AC26" s="251">
        <f>'22'!G88</f>
        <v>0</v>
      </c>
      <c r="AD26" s="251">
        <f>'22'!G163+'22'!G164</f>
        <v>84.69999999999709</v>
      </c>
      <c r="AE26" s="254">
        <f>'22'!$G$116</f>
        <v>0</v>
      </c>
      <c r="AF26" s="254">
        <f>'22'!$G$117</f>
        <v>14.989999999999782</v>
      </c>
      <c r="AG26" s="254">
        <f>'22'!$G$118</f>
        <v>405.70000000001164</v>
      </c>
      <c r="AH26" s="254">
        <f>'22'!$G$119</f>
        <v>427.51999999998952</v>
      </c>
      <c r="AI26" s="254">
        <f>'22'!$G$120</f>
        <v>412.20999999999913</v>
      </c>
      <c r="AJ26" s="254">
        <f>'22'!$G$121</f>
        <v>776.8399999999674</v>
      </c>
      <c r="AK26" s="254">
        <f>'22'!$G$122</f>
        <v>235.58000000000175</v>
      </c>
      <c r="AL26" s="254">
        <f>'22'!$G$123</f>
        <v>354.81000000002678</v>
      </c>
      <c r="AM26" s="254">
        <f>'22'!$G$133</f>
        <v>649.09999999999127</v>
      </c>
      <c r="AN26" s="254">
        <f>'22'!$G$15</f>
        <v>1062.4600000001956</v>
      </c>
      <c r="AO26" s="256">
        <f>'22'!$G$74</f>
        <v>332.31000000005588</v>
      </c>
      <c r="AP26" s="256">
        <f>'22'!$G$75</f>
        <v>0</v>
      </c>
      <c r="AQ26" s="256">
        <f>'22'!$G$76</f>
        <v>92.069999999977881</v>
      </c>
      <c r="AR26" s="256">
        <f>'22'!$G$77</f>
        <v>47.900000000001455</v>
      </c>
      <c r="AS26" s="256">
        <f>'22'!$G$78</f>
        <v>1.7000000000007276</v>
      </c>
      <c r="AT26" s="256">
        <f t="shared" si="0"/>
        <v>588.48000000015963</v>
      </c>
      <c r="AU26" s="254">
        <f>SUM('22'!G91:G92)</f>
        <v>11.440000000000509</v>
      </c>
      <c r="AV26" s="254">
        <f>'22'!$G$88</f>
        <v>0</v>
      </c>
      <c r="AW26" s="254">
        <f>'22'!$G$89</f>
        <v>10.010000000002037</v>
      </c>
      <c r="AX26" s="254">
        <f>'22'!$G$90</f>
        <v>5.6600000000034925</v>
      </c>
      <c r="AY26" s="252">
        <f t="shared" si="1"/>
        <v>15.67000000000553</v>
      </c>
      <c r="BA26" s="314">
        <f t="shared" si="6"/>
        <v>-256.17000000010376</v>
      </c>
      <c r="BB26" s="353">
        <f t="shared" si="3"/>
        <v>3767.8799999998664</v>
      </c>
      <c r="BC26" s="353">
        <f t="shared" si="4"/>
        <v>18.27690982327811</v>
      </c>
    </row>
    <row r="27" spans="1:55" x14ac:dyDescent="0.2">
      <c r="A27" s="361">
        <v>23</v>
      </c>
      <c r="B27" s="927">
        <f>'23'!G7</f>
        <v>20145.410000000033</v>
      </c>
      <c r="C27" s="927">
        <f>'23'!G8</f>
        <v>20368.810000000056</v>
      </c>
      <c r="D27" s="927">
        <f>'23'!G15</f>
        <v>1066.1599999999162</v>
      </c>
      <c r="E27" s="927">
        <f>'23'!G20</f>
        <v>249</v>
      </c>
      <c r="F27" s="927">
        <f>SUM('23'!G35,'23'!G49)</f>
        <v>3026.2200000000012</v>
      </c>
      <c r="G27" s="927">
        <f>SUM('23'!G37,'23'!G51)</f>
        <v>1586.7099999999919</v>
      </c>
      <c r="H27" s="927">
        <f>SUM('23'!G38,'23'!G52)</f>
        <v>1933.5499999999884</v>
      </c>
      <c r="I27" s="927">
        <f>SUM('23'!G39,'23'!G53)</f>
        <v>2743.8499999999767</v>
      </c>
      <c r="J27" s="927">
        <f>SUM('23'!G41,'23'!G42,'23'!G55,'23'!G56)</f>
        <v>4454.0999999999985</v>
      </c>
      <c r="K27" s="927">
        <f>SUM('23'!G43,'23'!G57)</f>
        <v>2677.5</v>
      </c>
      <c r="L27" s="254">
        <f>'23'!G50</f>
        <v>1077.1100000000006</v>
      </c>
      <c r="M27" s="254">
        <f>'23'!G36</f>
        <v>821.63999999999942</v>
      </c>
      <c r="N27" s="254">
        <f>'23'!G138</f>
        <v>125</v>
      </c>
      <c r="O27" s="254">
        <f>'23'!G139</f>
        <v>14</v>
      </c>
      <c r="P27" s="254">
        <f>'23'!$G$140</f>
        <v>0</v>
      </c>
      <c r="Q27" s="254">
        <f>'23'!$G$141</f>
        <v>198.9800000000032</v>
      </c>
      <c r="R27" s="254">
        <f>'23'!$G$142</f>
        <v>71.31000000000131</v>
      </c>
      <c r="S27" s="254">
        <f>'23'!$G$145</f>
        <v>24.930000000000291</v>
      </c>
      <c r="T27" s="251">
        <f>'23'!$G$146</f>
        <v>482</v>
      </c>
      <c r="U27" s="251">
        <f>'23'!$G$144</f>
        <v>234</v>
      </c>
      <c r="V27" s="251">
        <f>'23'!$G$147</f>
        <v>373.88000000000466</v>
      </c>
      <c r="W27" s="251">
        <f>'23'!$G$148</f>
        <v>263.76000000000931</v>
      </c>
      <c r="X27" s="251">
        <f>'23'!$G$143</f>
        <v>21.980000000000018</v>
      </c>
      <c r="Y27" s="251">
        <f>'23'!$G$58</f>
        <v>235.9600000000064</v>
      </c>
      <c r="Z27" s="251">
        <f>'23'!$G$151</f>
        <v>212</v>
      </c>
      <c r="AA27" s="251">
        <f>'23'!$G$161</f>
        <v>-3.9999999979045242E-2</v>
      </c>
      <c r="AB27" s="251">
        <f>'23'!G162</f>
        <v>37.5</v>
      </c>
      <c r="AC27" s="251">
        <f>'23'!G88</f>
        <v>0</v>
      </c>
      <c r="AD27" s="251">
        <f>'23'!G163+'23'!G164</f>
        <v>63.500000000005457</v>
      </c>
      <c r="AE27" s="254">
        <f>'23'!$G$116</f>
        <v>0</v>
      </c>
      <c r="AF27" s="254">
        <f>'23'!$G$117</f>
        <v>15.070000000000164</v>
      </c>
      <c r="AG27" s="254">
        <f>'23'!$G$118</f>
        <v>376.10999999998603</v>
      </c>
      <c r="AH27" s="254">
        <f>'23'!$G$119</f>
        <v>438.02999999999884</v>
      </c>
      <c r="AI27" s="254">
        <f>'23'!$G$120</f>
        <v>435.4900000000016</v>
      </c>
      <c r="AJ27" s="254">
        <f>'23'!$G$121</f>
        <v>758.65000000002328</v>
      </c>
      <c r="AK27" s="254">
        <f>'23'!$G$122</f>
        <v>191.2899999999936</v>
      </c>
      <c r="AL27" s="254">
        <f>'23'!$G$123</f>
        <v>351.35999999998603</v>
      </c>
      <c r="AM27" s="254">
        <f>'23'!$G$133</f>
        <v>663.94000000000233</v>
      </c>
      <c r="AN27" s="254">
        <f>'23'!$G$15</f>
        <v>1066.1599999999162</v>
      </c>
      <c r="AO27" s="256">
        <f>'23'!$G$74</f>
        <v>301.47999999998137</v>
      </c>
      <c r="AP27" s="256">
        <f>'23'!$G$75</f>
        <v>0</v>
      </c>
      <c r="AQ27" s="256">
        <f>'23'!$G$76</f>
        <v>120.20000000001164</v>
      </c>
      <c r="AR27" s="256">
        <f>'23'!$G$77</f>
        <v>41.099999999998545</v>
      </c>
      <c r="AS27" s="256">
        <f>'23'!$G$78</f>
        <v>1.2999999999992724</v>
      </c>
      <c r="AT27" s="256">
        <f t="shared" si="0"/>
        <v>602.07999999992535</v>
      </c>
      <c r="AU27" s="254">
        <f>SUM('23'!G91:G92)</f>
        <v>10.729999999999563</v>
      </c>
      <c r="AV27" s="254">
        <f>'23'!$G$88</f>
        <v>0</v>
      </c>
      <c r="AW27" s="254">
        <f>'23'!$G$89</f>
        <v>10.419999999998254</v>
      </c>
      <c r="AX27" s="254">
        <f>'23'!$G$90</f>
        <v>5.5399999999935972</v>
      </c>
      <c r="AY27" s="252">
        <f t="shared" si="1"/>
        <v>15.959999999991851</v>
      </c>
      <c r="BA27" s="314">
        <f t="shared" si="6"/>
        <v>-300.59999999994398</v>
      </c>
      <c r="BB27" s="353">
        <f t="shared" si="3"/>
        <v>3710.9200000000928</v>
      </c>
      <c r="BC27" s="353">
        <f t="shared" si="4"/>
        <v>18.420672500584931</v>
      </c>
    </row>
    <row r="28" spans="1:55" s="316" customFormat="1" x14ac:dyDescent="0.2">
      <c r="A28" s="361">
        <v>24</v>
      </c>
      <c r="B28" s="927">
        <f>'24'!G7</f>
        <v>20483</v>
      </c>
      <c r="C28" s="927">
        <f>'24'!G8</f>
        <v>20704</v>
      </c>
      <c r="D28" s="927">
        <f>'24'!G15</f>
        <v>1076</v>
      </c>
      <c r="E28" s="927">
        <f>'24'!G20</f>
        <v>234</v>
      </c>
      <c r="F28" s="927">
        <f>SUM('24'!G35,'24'!G49)</f>
        <v>3095</v>
      </c>
      <c r="G28" s="927">
        <f>SUM('24'!G37,'24'!G51)</f>
        <v>1616</v>
      </c>
      <c r="H28" s="927">
        <f>SUM('24'!G38,'24'!G52)</f>
        <v>1954</v>
      </c>
      <c r="I28" s="927">
        <f>SUM('24'!G39,'24'!G53)</f>
        <v>2746</v>
      </c>
      <c r="J28" s="927">
        <f>SUM('24'!G41,'24'!G42,'24'!G55,'24'!G56)</f>
        <v>4621</v>
      </c>
      <c r="K28" s="927">
        <f>SUM('24'!G43,'24'!G57)</f>
        <v>2687</v>
      </c>
      <c r="L28" s="254">
        <f>'24'!G50</f>
        <v>1032</v>
      </c>
      <c r="M28" s="251">
        <f>'24'!G36</f>
        <v>955</v>
      </c>
      <c r="N28" s="251">
        <f>'24'!G138</f>
        <v>118</v>
      </c>
      <c r="O28" s="251">
        <f>'24'!G139</f>
        <v>7</v>
      </c>
      <c r="P28" s="251">
        <f>'24'!$G$140</f>
        <v>-0.39999999999417923</v>
      </c>
      <c r="Q28" s="251">
        <f>'24'!$G$141</f>
        <v>208</v>
      </c>
      <c r="R28" s="251">
        <f>'24'!$G$142</f>
        <v>78</v>
      </c>
      <c r="S28" s="251">
        <f>'24'!$G$145</f>
        <v>20</v>
      </c>
      <c r="T28" s="251">
        <f>'24'!$G$146</f>
        <v>448</v>
      </c>
      <c r="U28" s="251">
        <f>'24'!$G$144</f>
        <v>245</v>
      </c>
      <c r="V28" s="251">
        <f>'24'!$G$147</f>
        <v>380</v>
      </c>
      <c r="W28" s="251">
        <f>'24'!$G$148</f>
        <v>285</v>
      </c>
      <c r="X28" s="251">
        <f>'24'!$G$143</f>
        <v>23</v>
      </c>
      <c r="Y28" s="251">
        <f>'24'!$G$58</f>
        <v>218</v>
      </c>
      <c r="Z28" s="251">
        <f>'24'!$G$151</f>
        <v>247</v>
      </c>
      <c r="AA28" s="251">
        <f>'24'!G161</f>
        <v>0</v>
      </c>
      <c r="AB28" s="251">
        <f>'24'!G162</f>
        <v>31</v>
      </c>
      <c r="AC28" s="251">
        <f>'24'!G88</f>
        <v>2.4400000000023283</v>
      </c>
      <c r="AD28" s="251">
        <f>'24'!G163+'24'!G164</f>
        <v>67</v>
      </c>
      <c r="AE28" s="251">
        <f>'24'!$G$116</f>
        <v>0</v>
      </c>
      <c r="AF28" s="251">
        <f>'24'!$G$117</f>
        <v>15</v>
      </c>
      <c r="AG28" s="251">
        <f>'24'!$G$118</f>
        <v>388</v>
      </c>
      <c r="AH28" s="251">
        <f>'24'!$G$119</f>
        <v>417</v>
      </c>
      <c r="AI28" s="251">
        <f>'24'!$G$120</f>
        <v>438</v>
      </c>
      <c r="AJ28" s="251">
        <f>'24'!$G$121</f>
        <v>794</v>
      </c>
      <c r="AK28" s="251">
        <f>'24'!$G$122</f>
        <v>191</v>
      </c>
      <c r="AL28" s="251">
        <f>'24'!$G$123</f>
        <v>348</v>
      </c>
      <c r="AM28" s="251">
        <f>'24'!$G$133</f>
        <v>679</v>
      </c>
      <c r="AN28" s="251">
        <f>'24'!$G$15</f>
        <v>1076</v>
      </c>
      <c r="AO28" s="256">
        <f>'24'!$G$74</f>
        <v>299</v>
      </c>
      <c r="AP28" s="256">
        <f>'24'!$G$75</f>
        <v>0</v>
      </c>
      <c r="AQ28" s="256">
        <f>'24'!$G$76</f>
        <v>121</v>
      </c>
      <c r="AR28" s="256">
        <f>'24'!$G$77</f>
        <v>43</v>
      </c>
      <c r="AS28" s="256">
        <f>'24'!$G$78</f>
        <v>2</v>
      </c>
      <c r="AT28" s="256">
        <f>AN28-SUM(AO28:AS28)</f>
        <v>611</v>
      </c>
      <c r="AU28" s="251">
        <f>SUM('24'!G91:G92)</f>
        <v>10.260000000000218</v>
      </c>
      <c r="AV28" s="251">
        <f>'24'!$G$88</f>
        <v>2.4400000000023283</v>
      </c>
      <c r="AW28" s="251">
        <f>'24'!$G$89</f>
        <v>7.3100000000013097</v>
      </c>
      <c r="AX28" s="251">
        <f>'24'!$G$90</f>
        <v>5.180000000007567</v>
      </c>
      <c r="AY28" s="255">
        <f t="shared" si="1"/>
        <v>14.930000000011205</v>
      </c>
      <c r="BA28" s="317">
        <f t="shared" si="6"/>
        <v>-312</v>
      </c>
      <c r="BB28" s="353">
        <f t="shared" si="3"/>
        <v>3767</v>
      </c>
      <c r="BC28" s="353">
        <f t="shared" si="4"/>
        <v>18.390860713762631</v>
      </c>
    </row>
    <row r="29" spans="1:55" x14ac:dyDescent="0.2">
      <c r="A29" s="361">
        <v>25</v>
      </c>
      <c r="B29" s="927">
        <f>'25'!G7</f>
        <v>21895</v>
      </c>
      <c r="C29" s="927">
        <f>'25'!G8</f>
        <v>22043</v>
      </c>
      <c r="D29" s="927">
        <f>'25'!G15</f>
        <v>1177</v>
      </c>
      <c r="E29" s="927">
        <f>'25'!G20</f>
        <v>252</v>
      </c>
      <c r="F29" s="927">
        <f>SUM('25'!G35,'25'!G49)</f>
        <v>3243</v>
      </c>
      <c r="G29" s="927">
        <f>SUM('25'!G37,'25'!G51)</f>
        <v>1632</v>
      </c>
      <c r="H29" s="927">
        <f>SUM('25'!G38,'25'!G52)</f>
        <v>2035</v>
      </c>
      <c r="I29" s="927">
        <f>SUM('25'!G39,'25'!G53)</f>
        <v>2850</v>
      </c>
      <c r="J29" s="927">
        <f>SUM('25'!G41,'25'!G42,'25'!G55,'25'!G56)</f>
        <v>4992</v>
      </c>
      <c r="K29" s="927">
        <f>SUM('25'!G43,'25'!G57)</f>
        <v>2685</v>
      </c>
      <c r="L29" s="254">
        <f>'25'!G50</f>
        <v>1393</v>
      </c>
      <c r="M29" s="254">
        <f>'25'!G36</f>
        <v>1168</v>
      </c>
      <c r="N29" s="254">
        <f>'25'!G138</f>
        <v>137</v>
      </c>
      <c r="O29" s="254">
        <f>'25'!$G$139</f>
        <v>39</v>
      </c>
      <c r="P29" s="254">
        <f>'25'!$G$140</f>
        <v>0</v>
      </c>
      <c r="Q29" s="254">
        <f>'25'!$G$141</f>
        <v>222</v>
      </c>
      <c r="R29" s="254">
        <f>'25'!$G$142</f>
        <v>82</v>
      </c>
      <c r="S29" s="254">
        <f>'25'!$G$145</f>
        <v>15</v>
      </c>
      <c r="T29" s="251">
        <f>'25'!$G$146</f>
        <v>629</v>
      </c>
      <c r="U29" s="251">
        <f>'25'!$G$144</f>
        <v>242</v>
      </c>
      <c r="V29" s="251">
        <f>'25'!$G$147</f>
        <v>474</v>
      </c>
      <c r="W29" s="251">
        <f>'25'!$G$148</f>
        <v>398</v>
      </c>
      <c r="X29" s="251">
        <f>'25'!$G$143</f>
        <v>24</v>
      </c>
      <c r="Y29" s="251">
        <f>'25'!$G$58</f>
        <v>212</v>
      </c>
      <c r="Z29" s="251">
        <f>'25'!$G$151</f>
        <v>245</v>
      </c>
      <c r="AA29" s="251">
        <f>'25'!G161</f>
        <v>0</v>
      </c>
      <c r="AB29" s="251">
        <f>'25'!G162</f>
        <v>19</v>
      </c>
      <c r="AC29" s="251">
        <f>'25'!G88</f>
        <v>9.0299999999988358</v>
      </c>
      <c r="AD29" s="251">
        <f>'25'!G163+'25'!G164</f>
        <v>39</v>
      </c>
      <c r="AE29" s="254">
        <f>'25'!$G$116</f>
        <v>0</v>
      </c>
      <c r="AF29" s="254">
        <f>'25'!$G$117</f>
        <v>32</v>
      </c>
      <c r="AG29" s="254">
        <f>'25'!$G$118</f>
        <v>343</v>
      </c>
      <c r="AH29" s="254">
        <f>'25'!$G$119</f>
        <v>425</v>
      </c>
      <c r="AI29" s="254">
        <f>'25'!$G$120</f>
        <v>416</v>
      </c>
      <c r="AJ29" s="254">
        <f>'25'!$G$121</f>
        <v>829</v>
      </c>
      <c r="AK29" s="254">
        <f>'25'!$G$122</f>
        <v>202</v>
      </c>
      <c r="AL29" s="254">
        <f>'25'!$G$123</f>
        <v>360</v>
      </c>
      <c r="AM29" s="254">
        <f>'25'!$G$133</f>
        <v>702</v>
      </c>
      <c r="AN29" s="254">
        <f>'25'!$G$15</f>
        <v>1177</v>
      </c>
      <c r="AO29" s="256">
        <f>'25'!$G$74</f>
        <v>329</v>
      </c>
      <c r="AP29" s="256">
        <f>'25'!$G$75</f>
        <v>0</v>
      </c>
      <c r="AQ29" s="256">
        <f>'25'!$G$76</f>
        <v>123</v>
      </c>
      <c r="AR29" s="256">
        <f>'25'!$G$77</f>
        <v>83</v>
      </c>
      <c r="AS29" s="256">
        <f>'25'!$G$78</f>
        <v>4</v>
      </c>
      <c r="AT29" s="256">
        <f t="shared" si="0"/>
        <v>638</v>
      </c>
      <c r="AU29" s="254">
        <f>SUM('25'!G91:G92)</f>
        <v>11.679999999999836</v>
      </c>
      <c r="AV29" s="254">
        <f>'25'!$G$88</f>
        <v>9.0299999999988358</v>
      </c>
      <c r="AW29" s="254">
        <f>'25'!$G$89</f>
        <v>0</v>
      </c>
      <c r="AX29" s="254">
        <f>'25'!$G$90</f>
        <v>7.8499999999912689</v>
      </c>
      <c r="AY29" s="252">
        <f t="shared" si="1"/>
        <v>16.879999999990105</v>
      </c>
      <c r="BA29" s="314">
        <f t="shared" si="6"/>
        <v>-309</v>
      </c>
      <c r="BB29" s="353">
        <f t="shared" si="3"/>
        <v>4394</v>
      </c>
      <c r="BC29" s="353">
        <f t="shared" si="4"/>
        <v>20.068508791961637</v>
      </c>
    </row>
    <row r="30" spans="1:55" x14ac:dyDescent="0.2">
      <c r="A30" s="361">
        <v>26</v>
      </c>
      <c r="B30" s="927">
        <f>'26'!G7</f>
        <v>21937</v>
      </c>
      <c r="C30" s="927">
        <f>'26'!G8</f>
        <v>22149</v>
      </c>
      <c r="D30" s="927">
        <f>'26'!G15</f>
        <v>1237</v>
      </c>
      <c r="E30" s="927">
        <f>'26'!G20</f>
        <v>273</v>
      </c>
      <c r="F30" s="927">
        <f>SUM('26'!G35,'26'!G49)</f>
        <v>3343</v>
      </c>
      <c r="G30" s="927">
        <f>SUM('26'!G37,'26'!G51)</f>
        <v>1597</v>
      </c>
      <c r="H30" s="927">
        <f>SUM('26'!G38,'26'!G52)</f>
        <v>1966</v>
      </c>
      <c r="I30" s="927">
        <f>SUM('26'!G39,'26'!G53)</f>
        <v>2728</v>
      </c>
      <c r="J30" s="927">
        <f>SUM('26'!G41,'26'!G42,'26'!G55,'26'!G56)</f>
        <v>5089</v>
      </c>
      <c r="K30" s="927">
        <f>SUM('26'!G43,'26'!G57)</f>
        <v>2682</v>
      </c>
      <c r="L30" s="254">
        <f>'26'!G50</f>
        <v>1428</v>
      </c>
      <c r="M30" s="254">
        <f>'26'!G36</f>
        <v>1268</v>
      </c>
      <c r="N30" s="254">
        <f>'26'!G138</f>
        <v>118</v>
      </c>
      <c r="O30" s="254">
        <f>'26'!$G$139</f>
        <v>2</v>
      </c>
      <c r="P30" s="254">
        <f>'26'!$G$140</f>
        <v>0</v>
      </c>
      <c r="Q30" s="254">
        <f>'26'!$G$141</f>
        <v>201</v>
      </c>
      <c r="R30" s="254">
        <f>'26'!$G$142</f>
        <v>73</v>
      </c>
      <c r="S30" s="254">
        <f>'26'!$G$145</f>
        <v>17</v>
      </c>
      <c r="T30" s="251">
        <f>'26'!$G$146</f>
        <v>465</v>
      </c>
      <c r="U30" s="251">
        <f>'26'!$G$144</f>
        <v>248</v>
      </c>
      <c r="V30" s="251">
        <f>'26'!$G$147</f>
        <v>874</v>
      </c>
      <c r="W30" s="251">
        <f>'26'!$G$148</f>
        <v>347</v>
      </c>
      <c r="X30" s="251">
        <f>'26'!$G$143</f>
        <v>22</v>
      </c>
      <c r="Y30" s="251">
        <f>'26'!$G$58</f>
        <v>250</v>
      </c>
      <c r="Z30" s="251">
        <f>'26'!$G$151</f>
        <v>225</v>
      </c>
      <c r="AA30" s="251">
        <f>'26'!G161</f>
        <v>0</v>
      </c>
      <c r="AB30" s="251">
        <f>'26'!G162</f>
        <v>14</v>
      </c>
      <c r="AC30" s="251">
        <f>'26'!G88</f>
        <v>11</v>
      </c>
      <c r="AD30" s="251">
        <f>'26'!G163+'26'!G164</f>
        <v>36</v>
      </c>
      <c r="AE30" s="254">
        <f>'26'!$G$116</f>
        <v>0</v>
      </c>
      <c r="AF30" s="254">
        <f>'26'!$G$117</f>
        <v>41</v>
      </c>
      <c r="AG30" s="254">
        <f>'26'!$G$118</f>
        <v>340</v>
      </c>
      <c r="AH30" s="254">
        <f>'26'!$G$119</f>
        <v>434</v>
      </c>
      <c r="AI30" s="254">
        <f>'26'!$G$120</f>
        <v>409</v>
      </c>
      <c r="AJ30" s="254">
        <f>'26'!$G$121</f>
        <v>773</v>
      </c>
      <c r="AK30" s="254">
        <f>'26'!$G$122</f>
        <v>231</v>
      </c>
      <c r="AL30" s="254">
        <f>'26'!$G$123</f>
        <v>355</v>
      </c>
      <c r="AM30" s="254">
        <f>'26'!$G$133</f>
        <v>673</v>
      </c>
      <c r="AN30" s="254">
        <f>'26'!$G$15</f>
        <v>1237</v>
      </c>
      <c r="AO30" s="256">
        <f>'26'!$G$74</f>
        <v>336</v>
      </c>
      <c r="AP30" s="256">
        <f>'26'!$G$75</f>
        <v>0</v>
      </c>
      <c r="AQ30" s="256">
        <f>'26'!$G$76</f>
        <v>130</v>
      </c>
      <c r="AR30" s="256">
        <f>'26'!$G$77</f>
        <v>46</v>
      </c>
      <c r="AS30" s="256">
        <f>'26'!$G$78</f>
        <v>2</v>
      </c>
      <c r="AT30" s="256">
        <f t="shared" si="0"/>
        <v>723</v>
      </c>
      <c r="AU30" s="254">
        <f>SUM('26'!G91:G92)</f>
        <v>11</v>
      </c>
      <c r="AV30" s="254">
        <f>'26'!$G$88</f>
        <v>11</v>
      </c>
      <c r="AW30" s="254">
        <f>'26'!$G$89</f>
        <v>0</v>
      </c>
      <c r="AX30" s="254">
        <f>'26'!$G$90</f>
        <v>5.8899999999994179</v>
      </c>
      <c r="AY30" s="252">
        <f t="shared" si="1"/>
        <v>16.889999999999418</v>
      </c>
      <c r="BA30" s="314">
        <f t="shared" si="6"/>
        <v>-387</v>
      </c>
      <c r="BB30" s="353">
        <f t="shared" si="3"/>
        <v>4494</v>
      </c>
      <c r="BC30" s="353">
        <f t="shared" si="4"/>
        <v>20.485937001413138</v>
      </c>
    </row>
    <row r="31" spans="1:55" x14ac:dyDescent="0.2">
      <c r="A31" s="361">
        <v>27</v>
      </c>
      <c r="B31" s="927">
        <f>'27'!G7</f>
        <v>21552</v>
      </c>
      <c r="C31" s="927">
        <f>'27'!G8</f>
        <v>21761</v>
      </c>
      <c r="D31" s="927">
        <f>'27'!G15</f>
        <v>1125</v>
      </c>
      <c r="E31" s="927">
        <f>'27'!G20</f>
        <v>257</v>
      </c>
      <c r="F31" s="927">
        <f>SUM('27'!G35,'27'!G49)</f>
        <v>3365</v>
      </c>
      <c r="G31" s="927">
        <f>SUM('27'!G37,'27'!G51)</f>
        <v>1580</v>
      </c>
      <c r="H31" s="927">
        <f>SUM('27'!G38,'27'!G52)</f>
        <v>1959</v>
      </c>
      <c r="I31" s="927">
        <f>SUM('27'!G39,'27'!G53)</f>
        <v>2857</v>
      </c>
      <c r="J31" s="927">
        <f>SUM('27'!G41,'27'!G42,'27'!G55,'27'!G56)</f>
        <v>4970</v>
      </c>
      <c r="K31" s="927">
        <f>SUM('27'!G43,'27'!G57)</f>
        <v>2703</v>
      </c>
      <c r="L31" s="254">
        <f>'27'!G50</f>
        <v>1298</v>
      </c>
      <c r="M31" s="254">
        <f>'27'!G36</f>
        <v>880</v>
      </c>
      <c r="N31" s="254">
        <f>'27'!G138</f>
        <v>100</v>
      </c>
      <c r="O31" s="254">
        <f>'27'!$G$139</f>
        <v>17</v>
      </c>
      <c r="P31" s="254">
        <f>'27'!$G$140</f>
        <v>0</v>
      </c>
      <c r="Q31" s="254">
        <f>'27'!$G$141</f>
        <v>203</v>
      </c>
      <c r="R31" s="254">
        <f>'27'!$G$142</f>
        <v>71</v>
      </c>
      <c r="S31" s="254">
        <f>'27'!$G$145</f>
        <v>15</v>
      </c>
      <c r="T31" s="251">
        <f>'27'!$G$146</f>
        <v>488</v>
      </c>
      <c r="U31" s="251">
        <f>'27'!$G$144</f>
        <v>236</v>
      </c>
      <c r="V31" s="251">
        <f>'27'!$G$147</f>
        <v>6</v>
      </c>
      <c r="W31" s="251">
        <f>'27'!$G$148</f>
        <v>278</v>
      </c>
      <c r="X31" s="251">
        <f>'27'!$G$143</f>
        <v>22</v>
      </c>
      <c r="Y31" s="251">
        <f>'27'!$G$58</f>
        <v>223</v>
      </c>
      <c r="Z31" s="251">
        <f>'27'!$G$151</f>
        <v>211</v>
      </c>
      <c r="AA31" s="251">
        <f>'27'!G161</f>
        <v>2</v>
      </c>
      <c r="AB31" s="251">
        <f>'27'!G162</f>
        <v>30</v>
      </c>
      <c r="AC31" s="251">
        <f>'27'!G88</f>
        <v>11</v>
      </c>
      <c r="AD31" s="251">
        <f>'27'!G163+'27'!G164</f>
        <v>98</v>
      </c>
      <c r="AE31" s="254">
        <f>'27'!$G$116</f>
        <v>0</v>
      </c>
      <c r="AF31" s="254">
        <f>'27'!$G$117</f>
        <v>20</v>
      </c>
      <c r="AG31" s="254">
        <f>'27'!$G$118</f>
        <v>416</v>
      </c>
      <c r="AH31" s="254">
        <f>'27'!$G$119</f>
        <v>423</v>
      </c>
      <c r="AI31" s="254">
        <f>'27'!$G$120</f>
        <v>406</v>
      </c>
      <c r="AJ31" s="254">
        <f>'27'!$G$121</f>
        <v>791</v>
      </c>
      <c r="AK31" s="254">
        <f>'27'!$G$122</f>
        <v>220</v>
      </c>
      <c r="AL31" s="254">
        <f>'27'!$G$123</f>
        <v>348</v>
      </c>
      <c r="AM31" s="254">
        <f>'27'!$G$133</f>
        <v>657</v>
      </c>
      <c r="AN31" s="254">
        <f>'27'!$G$15</f>
        <v>1125</v>
      </c>
      <c r="AO31" s="254">
        <f>'27'!$G$74</f>
        <v>311</v>
      </c>
      <c r="AP31" s="254">
        <f>'27'!$G$75</f>
        <v>0</v>
      </c>
      <c r="AQ31" s="254">
        <f>'27'!$G$76</f>
        <v>109</v>
      </c>
      <c r="AR31" s="254">
        <f>'27'!$G$77</f>
        <v>48</v>
      </c>
      <c r="AS31" s="254">
        <f>'27'!$G$78</f>
        <v>1</v>
      </c>
      <c r="AT31" s="254">
        <f t="shared" si="0"/>
        <v>656</v>
      </c>
      <c r="AU31" s="254">
        <f>SUM('27'!G91:G92)</f>
        <v>11</v>
      </c>
      <c r="AV31" s="254">
        <f>'27'!$G$88</f>
        <v>11</v>
      </c>
      <c r="AW31" s="254">
        <f>'27'!$G$89</f>
        <v>0</v>
      </c>
      <c r="AX31" s="254">
        <f>'27'!$G$90</f>
        <v>5.4600000000064028</v>
      </c>
      <c r="AY31" s="252">
        <f t="shared" si="1"/>
        <v>16.460000000006403</v>
      </c>
      <c r="BA31" s="314">
        <f t="shared" si="6"/>
        <v>-345</v>
      </c>
      <c r="BB31" s="353">
        <f t="shared" si="3"/>
        <v>4104</v>
      </c>
      <c r="BC31" s="353">
        <f t="shared" si="4"/>
        <v>19.042316258351892</v>
      </c>
    </row>
    <row r="32" spans="1:55" x14ac:dyDescent="0.2">
      <c r="A32" s="361">
        <v>28</v>
      </c>
      <c r="B32" s="927">
        <f>'28'!G7</f>
        <v>21069.620000000003</v>
      </c>
      <c r="C32" s="927">
        <f>'28'!G8</f>
        <v>21245.880000000005</v>
      </c>
      <c r="D32" s="927">
        <f>'28'!G15</f>
        <v>1026.0300000000279</v>
      </c>
      <c r="E32" s="927">
        <f>'28'!G20</f>
        <v>291</v>
      </c>
      <c r="F32" s="927">
        <f>SUM('28'!G35,'28'!G49)</f>
        <v>3320.6799999999639</v>
      </c>
      <c r="G32" s="927">
        <f>SUM('28'!G37,'28'!G51)</f>
        <v>1536.2300000000105</v>
      </c>
      <c r="H32" s="927">
        <f>SUM('28'!G38,'28'!G52)</f>
        <v>1967.4899999999907</v>
      </c>
      <c r="I32" s="927">
        <f>SUM('28'!G39,'28'!G53)</f>
        <v>2740.429999999993</v>
      </c>
      <c r="J32" s="927">
        <f>SUM('28'!G41,'28'!G42,'28'!G55,'28'!G56)</f>
        <v>4561.429999999993</v>
      </c>
      <c r="K32" s="927">
        <f>SUM('28'!G43,'28'!G57)</f>
        <v>2482.0699999999997</v>
      </c>
      <c r="L32" s="254">
        <f>'28'!G50</f>
        <v>1148.2000000000007</v>
      </c>
      <c r="M32" s="254">
        <f>'28'!G36</f>
        <v>766.93999999999869</v>
      </c>
      <c r="N32" s="254">
        <f>'28'!G138</f>
        <v>127</v>
      </c>
      <c r="O32" s="254">
        <f>'28'!$G$139</f>
        <v>2</v>
      </c>
      <c r="P32" s="254">
        <f>'28'!$G$140</f>
        <v>0</v>
      </c>
      <c r="Q32" s="254">
        <f>'28'!$G$141</f>
        <v>183.37999999999738</v>
      </c>
      <c r="R32" s="254">
        <f>'28'!$G$142</f>
        <v>81.340000000000146</v>
      </c>
      <c r="S32" s="254">
        <f>'28'!$G$145</f>
        <v>12.779999999999745</v>
      </c>
      <c r="T32" s="251">
        <f>'28'!$G$146</f>
        <v>480</v>
      </c>
      <c r="U32" s="251">
        <f>'28'!$G$144</f>
        <v>244</v>
      </c>
      <c r="V32" s="251">
        <f>'28'!$G$147</f>
        <v>430.76000000000931</v>
      </c>
      <c r="W32" s="251">
        <f>'28'!$G$148</f>
        <v>256.07999999995809</v>
      </c>
      <c r="X32" s="251">
        <f>'28'!$G$143</f>
        <v>24.889999999999873</v>
      </c>
      <c r="Y32" s="251">
        <f>'28'!$G$58</f>
        <v>218.32000000000698</v>
      </c>
      <c r="Z32" s="251">
        <f>'28'!$G$151</f>
        <v>256</v>
      </c>
      <c r="AA32" s="251">
        <f>'28'!G161</f>
        <v>1</v>
      </c>
      <c r="AB32" s="251">
        <f>'28'!G162</f>
        <v>27.19999999999709</v>
      </c>
      <c r="AC32" s="251">
        <f>'28'!G88</f>
        <v>1.8699999999989814</v>
      </c>
      <c r="AD32" s="251">
        <f>'28'!G163+'28'!G164</f>
        <v>99.899999999994179</v>
      </c>
      <c r="AE32" s="254">
        <f>'28'!$G$116</f>
        <v>0</v>
      </c>
      <c r="AF32" s="254">
        <f>'28'!$G$117</f>
        <v>21.059999999999945</v>
      </c>
      <c r="AG32" s="254">
        <f>'28'!$G$118</f>
        <v>426.67000000001281</v>
      </c>
      <c r="AH32" s="254">
        <f>'28'!$G$119</f>
        <v>424.25</v>
      </c>
      <c r="AI32" s="254">
        <f>'28'!$G$120</f>
        <v>414.63999999999942</v>
      </c>
      <c r="AJ32" s="254">
        <f>'28'!$G$121</f>
        <v>799.14100000000326</v>
      </c>
      <c r="AK32" s="254">
        <f>'28'!$G$122</f>
        <v>228.52000000000407</v>
      </c>
      <c r="AL32" s="254">
        <f>'28'!$G$123</f>
        <v>347.63000000000466</v>
      </c>
      <c r="AM32" s="254">
        <f>'28'!$G$133</f>
        <v>658.92999999999302</v>
      </c>
      <c r="AN32" s="254">
        <f>'28'!$G$15</f>
        <v>1026.0300000000279</v>
      </c>
      <c r="AO32" s="254">
        <f>'28'!$G$74</f>
        <v>325.92099999997299</v>
      </c>
      <c r="AP32" s="254">
        <f>'28'!$G$75</f>
        <v>0</v>
      </c>
      <c r="AQ32" s="254">
        <f>'28'!$G$76</f>
        <v>85.940000000002328</v>
      </c>
      <c r="AR32" s="254">
        <f>'28'!$G$77</f>
        <v>30</v>
      </c>
      <c r="AS32" s="254">
        <f>'28'!$G$78</f>
        <v>0.8999999999996362</v>
      </c>
      <c r="AT32" s="254">
        <f t="shared" si="0"/>
        <v>583.26900000005298</v>
      </c>
      <c r="AU32" s="254">
        <f>SUM('28'!G91:G92)</f>
        <v>11.680000000000291</v>
      </c>
      <c r="AV32" s="254">
        <f>'28'!$G$88</f>
        <v>1.8699999999989814</v>
      </c>
      <c r="AW32" s="254">
        <f>'28'!$G$89</f>
        <v>7.9399999999986903</v>
      </c>
      <c r="AX32" s="254">
        <f>'28'!$G$90</f>
        <v>5.9299999999930151</v>
      </c>
      <c r="AY32" s="252">
        <f t="shared" si="1"/>
        <v>15.739999999990687</v>
      </c>
      <c r="BA32" s="314">
        <f t="shared" si="6"/>
        <v>-257.34800000007999</v>
      </c>
      <c r="BB32" s="353">
        <f t="shared" si="3"/>
        <v>4419.2300000000469</v>
      </c>
      <c r="BC32" s="353">
        <f t="shared" si="4"/>
        <v>20.974417194045483</v>
      </c>
    </row>
    <row r="33" spans="1:55" x14ac:dyDescent="0.2">
      <c r="A33" s="361">
        <v>29</v>
      </c>
      <c r="B33" s="927">
        <f>'29'!G7</f>
        <v>19332.18</v>
      </c>
      <c r="C33" s="927">
        <f>'29'!G8</f>
        <v>19408.330000000002</v>
      </c>
      <c r="D33" s="927">
        <f>'29'!G15</f>
        <v>1018.3400000000838</v>
      </c>
      <c r="E33" s="927">
        <f>'29'!G20</f>
        <v>273</v>
      </c>
      <c r="F33" s="927">
        <f>SUM('29'!G35,'29'!G49)</f>
        <v>3305.5600000000268</v>
      </c>
      <c r="G33" s="927">
        <f>SUM('29'!G37,'29'!G51)</f>
        <v>1544.4799999999814</v>
      </c>
      <c r="H33" s="927">
        <f>SUM('29'!G38,'29'!G52)</f>
        <v>1870.5800000000163</v>
      </c>
      <c r="I33" s="927">
        <f>SUM('29'!G39,'29'!G53)</f>
        <v>2727.320000000007</v>
      </c>
      <c r="J33" s="927">
        <f>SUM('29'!G41,'29'!G42,'29'!G55,'29'!G56)</f>
        <v>4224.4000000000015</v>
      </c>
      <c r="K33" s="927">
        <f>SUM('29'!G43,'29'!G57)</f>
        <v>2459.9199999999983</v>
      </c>
      <c r="L33" s="254">
        <f>'29'!G50</f>
        <v>950.39999999999782</v>
      </c>
      <c r="M33" s="254">
        <f>'29'!G36</f>
        <v>817.22999999999956</v>
      </c>
      <c r="N33" s="254">
        <f>'29'!G138</f>
        <v>104</v>
      </c>
      <c r="O33" s="254">
        <f>'29'!$G$139</f>
        <v>1</v>
      </c>
      <c r="P33" s="254">
        <f>'29'!$G$140</f>
        <v>0</v>
      </c>
      <c r="Q33" s="254">
        <f>'29'!$G$141</f>
        <v>180.20000000000437</v>
      </c>
      <c r="R33" s="254">
        <f>'29'!$G$142</f>
        <v>72.400000000001455</v>
      </c>
      <c r="S33" s="254">
        <f>'29'!$G$145</f>
        <v>11.220000000000255</v>
      </c>
      <c r="T33" s="254">
        <f>'29'!$G$146</f>
        <v>443</v>
      </c>
      <c r="U33" s="254">
        <f>'29'!$G$144</f>
        <v>247</v>
      </c>
      <c r="V33" s="254">
        <f>'29'!$G$147</f>
        <v>371.52000000001863</v>
      </c>
      <c r="W33" s="254">
        <f>'29'!$G$148</f>
        <v>246.88000000000466</v>
      </c>
      <c r="X33" s="254">
        <f>'29'!$G$143</f>
        <v>24.010000000000218</v>
      </c>
      <c r="Y33" s="254">
        <f>'29'!$G$58</f>
        <v>181.27999999999884</v>
      </c>
      <c r="Z33" s="254">
        <f>'29'!$G$151</f>
        <v>223</v>
      </c>
      <c r="AA33" s="254">
        <f>'29'!G161</f>
        <v>3.9999999979045242E-2</v>
      </c>
      <c r="AB33" s="254">
        <f>'29'!G162</f>
        <v>30.400000000008731</v>
      </c>
      <c r="AC33" s="254">
        <f>'29'!G88</f>
        <v>0.19000000000232831</v>
      </c>
      <c r="AD33" s="254">
        <f>'29'!G163+'29'!G164</f>
        <v>114.10000000000855</v>
      </c>
      <c r="AE33" s="254">
        <f>'29'!$G$116</f>
        <v>0</v>
      </c>
      <c r="AF33" s="254">
        <f>'29'!$G$117</f>
        <v>20.950000000000273</v>
      </c>
      <c r="AG33" s="254">
        <f>'29'!$G$118</f>
        <v>440.03999999997905</v>
      </c>
      <c r="AH33" s="254">
        <f>'29'!$G$119</f>
        <v>389.04000000000815</v>
      </c>
      <c r="AI33" s="254">
        <f>'29'!$G$120</f>
        <v>401.86999999999898</v>
      </c>
      <c r="AJ33" s="254">
        <f>'29'!$G$121</f>
        <v>739.46899999998277</v>
      </c>
      <c r="AK33" s="254">
        <f>'29'!$G$122</f>
        <v>218.55000000000291</v>
      </c>
      <c r="AL33" s="254">
        <f>'29'!$G$123</f>
        <v>349</v>
      </c>
      <c r="AM33" s="254">
        <f>'29'!$G$133</f>
        <v>707.36000000000058</v>
      </c>
      <c r="AN33" s="254">
        <f>'29'!$G$15</f>
        <v>1018.3400000000838</v>
      </c>
      <c r="AO33" s="254">
        <f>'29'!$G$74</f>
        <v>326.39899999997579</v>
      </c>
      <c r="AP33" s="254">
        <f>'29'!$G$75</f>
        <v>0</v>
      </c>
      <c r="AQ33" s="254">
        <f>'29'!$G$76</f>
        <v>93.589999999996508</v>
      </c>
      <c r="AR33" s="254">
        <f>'29'!$G$77</f>
        <v>36</v>
      </c>
      <c r="AS33" s="254">
        <f>'29'!$G$78</f>
        <v>1.3000000000010914</v>
      </c>
      <c r="AT33" s="254">
        <f t="shared" si="0"/>
        <v>561.05100000011043</v>
      </c>
      <c r="AU33" s="254">
        <f>SUM('29'!G91:G92)</f>
        <v>11.449999999999818</v>
      </c>
      <c r="AV33" s="254">
        <f>'29'!$G$88</f>
        <v>0.19000000000232831</v>
      </c>
      <c r="AW33" s="254">
        <f>'29'!$G$89</f>
        <v>9.319999999999709</v>
      </c>
      <c r="AX33" s="254">
        <f>'29'!$G$90</f>
        <v>5.1000000000058208</v>
      </c>
      <c r="AY33" s="252">
        <f t="shared" si="1"/>
        <v>14.610000000007858</v>
      </c>
      <c r="BA33" s="314">
        <f t="shared" si="6"/>
        <v>-234.65200000013465</v>
      </c>
      <c r="BB33" s="353">
        <f t="shared" si="3"/>
        <v>3094.7899999999718</v>
      </c>
      <c r="BC33" s="353">
        <f t="shared" si="4"/>
        <v>16.008489471958008</v>
      </c>
    </row>
    <row r="34" spans="1:55" s="313" customFormat="1" x14ac:dyDescent="0.2">
      <c r="A34" s="361">
        <v>30</v>
      </c>
      <c r="B34" s="927">
        <f>'30'!G7</f>
        <v>24000</v>
      </c>
      <c r="C34" s="927">
        <f>'30'!G8</f>
        <v>24000</v>
      </c>
      <c r="D34" s="927">
        <f>'30'!G15</f>
        <v>1100</v>
      </c>
      <c r="E34" s="927">
        <f>'30'!G20</f>
        <v>-1309</v>
      </c>
      <c r="F34" s="927">
        <f>SUM('30'!G35,'30'!G49)</f>
        <v>-104213.28</v>
      </c>
      <c r="G34" s="927">
        <f>SUM('30'!G37,'30'!G51)</f>
        <v>-46682.97</v>
      </c>
      <c r="H34" s="927">
        <f>SUM('30'!G38,'30'!G52)</f>
        <v>-57818.020000000019</v>
      </c>
      <c r="I34" s="927">
        <f>SUM('30'!G39,'30'!G53)</f>
        <v>-83941.460000000021</v>
      </c>
      <c r="J34" s="927">
        <f>SUM('30'!G41,'30'!G42,'30'!G55,'30'!G56)</f>
        <v>1016572.28</v>
      </c>
      <c r="K34" s="927">
        <f>SUM('30'!G43,'30'!G57)</f>
        <v>1486606.61</v>
      </c>
      <c r="L34" s="251">
        <f>'30'!G50</f>
        <v>700698.59</v>
      </c>
      <c r="M34" s="251">
        <f>'30'!G36</f>
        <v>59641.53</v>
      </c>
      <c r="N34" s="251">
        <f>'30'!G138</f>
        <v>-2711</v>
      </c>
      <c r="O34" s="251">
        <f>'30'!$G$139</f>
        <v>-346</v>
      </c>
      <c r="P34" s="251">
        <f>'30'!$G$140</f>
        <v>-33</v>
      </c>
      <c r="Q34" s="251">
        <f>'30'!$G$141</f>
        <v>-5791.8499999999985</v>
      </c>
      <c r="R34" s="251">
        <f>'30'!$G$142</f>
        <v>-1395.2400000000016</v>
      </c>
      <c r="S34" s="251">
        <f>'30'!$G$145</f>
        <v>-1111</v>
      </c>
      <c r="T34" s="251">
        <f>'30'!$G$146</f>
        <v>-13030</v>
      </c>
      <c r="U34" s="251">
        <f>'30'!$G$144</f>
        <v>-6818</v>
      </c>
      <c r="V34" s="251">
        <f>'30'!$G$147</f>
        <v>-12465.239999999991</v>
      </c>
      <c r="W34" s="251">
        <f>'30'!$G$148</f>
        <v>-8661.2799999999115</v>
      </c>
      <c r="X34" s="251">
        <f>'30'!$G$143</f>
        <v>-815.5</v>
      </c>
      <c r="Y34" s="251">
        <f>'30'!$G$58</f>
        <v>-6558.75</v>
      </c>
      <c r="Z34" s="251">
        <f>'30'!$G$151</f>
        <v>-6981</v>
      </c>
      <c r="AA34" s="251">
        <f>'30'!G161</f>
        <v>-175.9199999999837</v>
      </c>
      <c r="AB34" s="251">
        <f>'30'!G162</f>
        <v>-909.90000000000873</v>
      </c>
      <c r="AC34" s="251">
        <f>'30'!G88</f>
        <v>-88.569999999999709</v>
      </c>
      <c r="AD34" s="251">
        <f>'30'!G163+'30'!G164</f>
        <v>-2437.3000000000002</v>
      </c>
      <c r="AE34" s="251">
        <f>'30'!$G$116</f>
        <v>0</v>
      </c>
      <c r="AF34" s="251">
        <f>'30'!$G$117</f>
        <v>-605.93000000000029</v>
      </c>
      <c r="AG34" s="251">
        <f>'30'!$G$118</f>
        <v>-11092.979999999981</v>
      </c>
      <c r="AH34" s="251">
        <f>'30'!$G$119</f>
        <v>-12566.760000000009</v>
      </c>
      <c r="AI34" s="251">
        <f>'30'!$G$120</f>
        <v>-12058.189999999999</v>
      </c>
      <c r="AJ34" s="251">
        <f>'30'!$G$121</f>
        <v>-21904.380000000005</v>
      </c>
      <c r="AK34" s="251">
        <f>'30'!$G$122</f>
        <v>-8578.2800000000134</v>
      </c>
      <c r="AL34" s="251">
        <f>'30'!$G$123</f>
        <v>-10096.630000000005</v>
      </c>
      <c r="AM34" s="251">
        <f>'30'!$G$133</f>
        <v>-22993.869999999995</v>
      </c>
      <c r="AN34" s="251">
        <f>'30'!$G$15</f>
        <v>1100</v>
      </c>
      <c r="AO34" s="251">
        <f>'30'!$G$74</f>
        <v>-9203.2709999999497</v>
      </c>
      <c r="AP34" s="251">
        <f>'30'!$G$75</f>
        <v>0</v>
      </c>
      <c r="AQ34" s="251">
        <f>'30'!$G$76</f>
        <v>-3616.5299999999988</v>
      </c>
      <c r="AR34" s="251">
        <f>'30'!$G$77</f>
        <v>-1416</v>
      </c>
      <c r="AS34" s="251">
        <f>'30'!$G$78</f>
        <v>-69.200000000000728</v>
      </c>
      <c r="AT34" s="251">
        <f t="shared" si="0"/>
        <v>15405.000999999949</v>
      </c>
      <c r="AU34" s="251">
        <f>SUM('30'!G91:G92)</f>
        <v>-322.23000000000047</v>
      </c>
      <c r="AV34" s="251">
        <f>'30'!$G$88</f>
        <v>-88.569999999999709</v>
      </c>
      <c r="AW34" s="251">
        <f>'30'!$G$89</f>
        <v>-223.7699999999968</v>
      </c>
      <c r="AX34" s="251">
        <f>'30'!$G$90</f>
        <v>-193.75999999999476</v>
      </c>
      <c r="AY34" s="255">
        <f t="shared" si="1"/>
        <v>-506.09999999999127</v>
      </c>
      <c r="BA34" s="315">
        <f t="shared" si="6"/>
        <v>-24608.271999999899</v>
      </c>
      <c r="BB34" s="353">
        <f t="shared" si="3"/>
        <v>-2179964.41</v>
      </c>
      <c r="BC34" s="353">
        <f t="shared" si="4"/>
        <v>-9083.1850416666675</v>
      </c>
    </row>
    <row r="35" spans="1:55" x14ac:dyDescent="0.2">
      <c r="A35" s="361">
        <v>31</v>
      </c>
      <c r="B35" s="927">
        <f>'31'!G7</f>
        <v>24000</v>
      </c>
      <c r="C35" s="927">
        <f>'31'!G8</f>
        <v>24000.000000000015</v>
      </c>
      <c r="D35" s="927">
        <f>'31'!G15</f>
        <v>1100</v>
      </c>
      <c r="E35" s="927">
        <f>'31'!G20</f>
        <v>-1467</v>
      </c>
      <c r="F35" s="927">
        <f>SUM('31'!G35,'31'!G49)</f>
        <v>-108842.89999999998</v>
      </c>
      <c r="G35" s="927">
        <f>SUM('31'!G37,'31'!G51)</f>
        <v>-48452.909999999989</v>
      </c>
      <c r="H35" s="927">
        <f>SUM('31'!G38,'31'!G52)</f>
        <v>-55781.009999999995</v>
      </c>
      <c r="I35" s="927">
        <f>SUM('31'!G39,'31'!G53)</f>
        <v>-88282.239999999991</v>
      </c>
      <c r="J35" s="927">
        <f>SUM('31'!G41,'31'!G42,'31'!G55,'31'!G56)</f>
        <v>-201413.86000000002</v>
      </c>
      <c r="K35" s="927">
        <f>SUM('31'!G43,'31'!G57)</f>
        <v>-82511.200000000186</v>
      </c>
      <c r="L35" s="251">
        <f>'31'!G50</f>
        <v>-38860.879999999888</v>
      </c>
      <c r="M35" s="251">
        <f>'31'!G36</f>
        <v>-29524.03</v>
      </c>
      <c r="N35" s="251">
        <f>'31'!G138</f>
        <v>-1615</v>
      </c>
      <c r="O35" s="251">
        <f>'31'!$G$139</f>
        <v>-97</v>
      </c>
      <c r="P35" s="251">
        <f>'31'!$G$140</f>
        <v>-32</v>
      </c>
      <c r="Q35" s="251">
        <f>'31'!$G$141</f>
        <v>-5838.7800000000061</v>
      </c>
      <c r="R35" s="251">
        <f>'31'!$G$142</f>
        <v>-498.63000000000102</v>
      </c>
      <c r="S35" s="251">
        <f>'31'!$G$145</f>
        <v>-1206</v>
      </c>
      <c r="T35" s="251">
        <f>'31'!$G$146</f>
        <v>-12366</v>
      </c>
      <c r="U35" s="251">
        <f>'31'!$G$144</f>
        <v>-7026</v>
      </c>
      <c r="V35" s="251">
        <f>'31'!$G$147</f>
        <v>-13074.119999999995</v>
      </c>
      <c r="W35" s="251">
        <f>'31'!$G$148</f>
        <v>-8681.5600000000559</v>
      </c>
      <c r="X35" s="251">
        <f>'31'!$G$143</f>
        <v>-818.22</v>
      </c>
      <c r="Y35" s="251">
        <f>'31'!$G$58</f>
        <v>-6304.9500000000116</v>
      </c>
      <c r="Z35" s="251">
        <f>'31'!$G$151</f>
        <v>-7712</v>
      </c>
      <c r="AA35" s="251">
        <f>'31'!G161</f>
        <v>-1447.0800000000163</v>
      </c>
      <c r="AB35" s="251">
        <f>'31'!G162</f>
        <v>-896.09999999999127</v>
      </c>
      <c r="AC35" s="251">
        <f>'31'!G89</f>
        <v>-182.11000000000058</v>
      </c>
      <c r="AD35" s="251">
        <f>'31'!G163+'31'!G164</f>
        <v>-2247.3000000000084</v>
      </c>
      <c r="AE35" s="251">
        <f>'31'!$G$116</f>
        <v>0</v>
      </c>
      <c r="AF35" s="251">
        <f>'31'!$G$117</f>
        <v>-782.88999999999987</v>
      </c>
      <c r="AG35" s="251">
        <f>'31'!$G$118</f>
        <v>-10985.800000000017</v>
      </c>
      <c r="AH35" s="251">
        <f>'31'!$G$119</f>
        <v>-12915.420000000013</v>
      </c>
      <c r="AI35" s="251">
        <f>'31'!$G$120</f>
        <v>-12877.72</v>
      </c>
      <c r="AJ35" s="251">
        <f>'31'!$G$121</f>
        <v>-21816.719999999972</v>
      </c>
      <c r="AK35" s="251">
        <f>'31'!$G$122</f>
        <v>-9400.9099999999889</v>
      </c>
      <c r="AL35" s="251">
        <f>'31'!$G$123</f>
        <v>-8618.2400000000052</v>
      </c>
      <c r="AM35" s="251">
        <f>'31'!$G$133</f>
        <v>-22625.129999999997</v>
      </c>
      <c r="AN35" s="251">
        <f>'31'!$G$15</f>
        <v>1100</v>
      </c>
      <c r="AO35" s="251">
        <f>'31'!$G$74</f>
        <v>-8667.8179999999702</v>
      </c>
      <c r="AP35" s="251">
        <f>'31'!$G$75</f>
        <v>-3.4000000000087311</v>
      </c>
      <c r="AQ35" s="251">
        <f>'31'!$G$76</f>
        <v>-3398.5</v>
      </c>
      <c r="AR35" s="251">
        <f>'31'!$G$77</f>
        <v>-1312.5</v>
      </c>
      <c r="AS35" s="251">
        <f>'31'!$G$78</f>
        <v>-82.600000000000364</v>
      </c>
      <c r="AT35" s="251">
        <f t="shared" ref="AT35" si="7">AN35-SUM(AO35:AS35)</f>
        <v>14564.817999999979</v>
      </c>
      <c r="AU35" s="251">
        <f>SUM('31'!G92:G142)</f>
        <v>-973375.93620958365</v>
      </c>
      <c r="AV35" s="251">
        <f>'31'!$G$88</f>
        <v>-118.92000000000189</v>
      </c>
      <c r="AW35" s="251">
        <f>'31'!$G$89</f>
        <v>-182.11000000000058</v>
      </c>
      <c r="AX35" s="251">
        <f>'30'!$G$90</f>
        <v>-193.75999999999476</v>
      </c>
      <c r="AY35" s="255">
        <f t="shared" ref="AY35" si="8">SUM(AV35:AX35)</f>
        <v>-494.78999999999724</v>
      </c>
      <c r="BA35" s="314"/>
      <c r="BB35" s="353">
        <f t="shared" si="3"/>
        <v>615589.07000000007</v>
      </c>
      <c r="BC35" s="353">
        <f t="shared" si="4"/>
        <v>2564.9544583333336</v>
      </c>
    </row>
    <row r="36" spans="1:55" s="318" customFormat="1" x14ac:dyDescent="0.2">
      <c r="A36" s="304" t="s">
        <v>359</v>
      </c>
      <c r="B36" s="305">
        <f>AVERAGE(B5:B35)</f>
        <v>22653.735483870969</v>
      </c>
      <c r="C36" s="305">
        <f t="shared" ref="C36:BC36" si="9">AVERAGE(C5:C35)</f>
        <v>22914.006774193545</v>
      </c>
      <c r="D36" s="305">
        <f t="shared" si="9"/>
        <v>1145.0764516129068</v>
      </c>
      <c r="E36" s="305">
        <f t="shared" si="9"/>
        <v>156.87096774193549</v>
      </c>
      <c r="F36" s="305">
        <f t="shared" si="9"/>
        <v>-3511.0612903225801</v>
      </c>
      <c r="G36" s="305">
        <f t="shared" si="9"/>
        <v>-1562.9970967741931</v>
      </c>
      <c r="H36" s="305">
        <f t="shared" si="9"/>
        <v>-1799.3874193548386</v>
      </c>
      <c r="I36" s="305">
        <f t="shared" si="9"/>
        <v>-2847.8141935483868</v>
      </c>
      <c r="J36" s="305">
        <f t="shared" si="9"/>
        <v>31232.61741935484</v>
      </c>
      <c r="K36" s="305">
        <f t="shared" si="9"/>
        <v>47811.929032258056</v>
      </c>
      <c r="L36" s="305">
        <f t="shared" si="9"/>
        <v>22587.552258064519</v>
      </c>
      <c r="M36" s="305">
        <f t="shared" si="9"/>
        <v>1942.1280645161291</v>
      </c>
      <c r="N36" s="305">
        <f t="shared" si="9"/>
        <v>-51.838709677419352</v>
      </c>
      <c r="O36" s="305">
        <f t="shared" si="9"/>
        <v>-3.129032258064516</v>
      </c>
      <c r="P36" s="305">
        <f t="shared" si="9"/>
        <v>-1.032258064516129</v>
      </c>
      <c r="Q36" s="305">
        <f t="shared" si="9"/>
        <v>-188.34774193548407</v>
      </c>
      <c r="R36" s="305">
        <f t="shared" si="9"/>
        <v>-16.084838709677452</v>
      </c>
      <c r="S36" s="305">
        <f t="shared" si="9"/>
        <v>-38.903225806451616</v>
      </c>
      <c r="T36" s="305">
        <f t="shared" si="9"/>
        <v>-398.90322580645159</v>
      </c>
      <c r="U36" s="305">
        <f t="shared" si="9"/>
        <v>-226.64516129032259</v>
      </c>
      <c r="V36" s="305">
        <f t="shared" si="9"/>
        <v>-421.74580645161274</v>
      </c>
      <c r="W36" s="305">
        <f t="shared" si="9"/>
        <v>-280.05032258064699</v>
      </c>
      <c r="X36" s="305">
        <f t="shared" si="9"/>
        <v>-26.394193548387097</v>
      </c>
      <c r="Y36" s="305">
        <f t="shared" si="9"/>
        <v>-203.38548387096813</v>
      </c>
      <c r="Z36" s="305">
        <f t="shared" si="9"/>
        <v>-248.7741935483871</v>
      </c>
      <c r="AA36" s="305">
        <f t="shared" si="9"/>
        <v>-46.680000000000526</v>
      </c>
      <c r="AB36" s="305">
        <f t="shared" si="9"/>
        <v>-28.906451612902945</v>
      </c>
      <c r="AC36" s="305">
        <f t="shared" si="9"/>
        <v>-10.64857142857138</v>
      </c>
      <c r="AD36" s="305">
        <f t="shared" si="9"/>
        <v>-72.49354838709705</v>
      </c>
      <c r="AE36" s="305">
        <f t="shared" si="9"/>
        <v>0</v>
      </c>
      <c r="AF36" s="305">
        <f t="shared" si="9"/>
        <v>-25.254516129032254</v>
      </c>
      <c r="AG36" s="305">
        <f t="shared" si="9"/>
        <v>-354.38064516129089</v>
      </c>
      <c r="AH36" s="305">
        <f t="shared" si="9"/>
        <v>-416.62645161290362</v>
      </c>
      <c r="AI36" s="305">
        <f t="shared" si="9"/>
        <v>-415.41032258064513</v>
      </c>
      <c r="AJ36" s="305">
        <f t="shared" si="9"/>
        <v>-703.76516129032166</v>
      </c>
      <c r="AK36" s="305">
        <f t="shared" si="9"/>
        <v>-303.25516129032223</v>
      </c>
      <c r="AL36" s="305">
        <f t="shared" si="9"/>
        <v>-278.00774193548403</v>
      </c>
      <c r="AM36" s="305">
        <f t="shared" si="9"/>
        <v>-729.84290322580637</v>
      </c>
      <c r="AN36" s="305">
        <f t="shared" si="9"/>
        <v>1145.0764516129068</v>
      </c>
      <c r="AO36" s="305">
        <f t="shared" si="9"/>
        <v>-279.60703225806355</v>
      </c>
      <c r="AP36" s="305">
        <f t="shared" si="9"/>
        <v>7.7577419354835708</v>
      </c>
      <c r="AQ36" s="305">
        <f t="shared" si="9"/>
        <v>-109.62903225806451</v>
      </c>
      <c r="AR36" s="305">
        <f t="shared" si="9"/>
        <v>-42.338709677419352</v>
      </c>
      <c r="AS36" s="305">
        <f t="shared" si="9"/>
        <v>-2.6645161290322696</v>
      </c>
      <c r="AT36" s="305">
        <f t="shared" si="9"/>
        <v>1571.5580000000029</v>
      </c>
      <c r="AU36" s="305">
        <f t="shared" si="9"/>
        <v>-31399.223748696248</v>
      </c>
      <c r="AV36" s="305">
        <f t="shared" si="9"/>
        <v>-3.8361290322581256</v>
      </c>
      <c r="AW36" s="305">
        <f t="shared" si="9"/>
        <v>-5.8745161290322772</v>
      </c>
      <c r="AX36" s="305">
        <f t="shared" si="9"/>
        <v>-6.2503225806449922</v>
      </c>
      <c r="AY36" s="305">
        <f t="shared" si="9"/>
        <v>-15.960967741935395</v>
      </c>
      <c r="AZ36" s="305">
        <f t="shared" si="9"/>
        <v>28.417886341854445</v>
      </c>
      <c r="BA36" s="305">
        <f t="shared" si="9"/>
        <v>-1573.4353684210587</v>
      </c>
      <c r="BB36" s="305">
        <f t="shared" si="9"/>
        <v>-46205.894193548389</v>
      </c>
      <c r="BC36" s="305">
        <f t="shared" si="9"/>
        <v>-191.45398205932344</v>
      </c>
    </row>
    <row r="37" spans="1:55" x14ac:dyDescent="0.2">
      <c r="A37" s="261" t="s">
        <v>196</v>
      </c>
      <c r="B37" s="305">
        <f>SUM(B5:B35)</f>
        <v>702265.8</v>
      </c>
      <c r="C37" s="305">
        <f t="shared" ref="C37:BC37" si="10">SUM(C5:C35)</f>
        <v>710334.21</v>
      </c>
      <c r="D37" s="305">
        <f t="shared" si="10"/>
        <v>35497.370000000112</v>
      </c>
      <c r="E37" s="305">
        <f t="shared" si="10"/>
        <v>4863</v>
      </c>
      <c r="F37" s="305">
        <f>SUM(F5:F35)</f>
        <v>-108842.89999999998</v>
      </c>
      <c r="G37" s="305">
        <f t="shared" si="10"/>
        <v>-48452.909999999989</v>
      </c>
      <c r="H37" s="305">
        <f t="shared" si="10"/>
        <v>-55781.009999999995</v>
      </c>
      <c r="I37" s="305">
        <f t="shared" si="10"/>
        <v>-88282.239999999991</v>
      </c>
      <c r="J37" s="305">
        <f t="shared" si="10"/>
        <v>968211.14</v>
      </c>
      <c r="K37" s="305">
        <f t="shared" si="10"/>
        <v>1482169.7999999998</v>
      </c>
      <c r="L37" s="305">
        <f t="shared" si="10"/>
        <v>700214.12000000011</v>
      </c>
      <c r="M37" s="305">
        <f t="shared" si="10"/>
        <v>60205.97</v>
      </c>
      <c r="N37" s="305">
        <f t="shared" si="10"/>
        <v>-1607</v>
      </c>
      <c r="O37" s="305">
        <f t="shared" si="10"/>
        <v>-97</v>
      </c>
      <c r="P37" s="305">
        <f t="shared" si="10"/>
        <v>-32</v>
      </c>
      <c r="Q37" s="305">
        <f t="shared" si="10"/>
        <v>-5838.7800000000061</v>
      </c>
      <c r="R37" s="305">
        <f t="shared" si="10"/>
        <v>-498.63000000000102</v>
      </c>
      <c r="S37" s="305">
        <f t="shared" si="10"/>
        <v>-1206</v>
      </c>
      <c r="T37" s="305">
        <f t="shared" si="10"/>
        <v>-12366</v>
      </c>
      <c r="U37" s="305">
        <f t="shared" si="10"/>
        <v>-7026</v>
      </c>
      <c r="V37" s="305">
        <f t="shared" si="10"/>
        <v>-13074.119999999995</v>
      </c>
      <c r="W37" s="305">
        <f t="shared" si="10"/>
        <v>-8681.5600000000559</v>
      </c>
      <c r="X37" s="305">
        <f t="shared" si="10"/>
        <v>-818.22</v>
      </c>
      <c r="Y37" s="305">
        <f t="shared" si="10"/>
        <v>-6304.9500000000116</v>
      </c>
      <c r="Z37" s="305">
        <f t="shared" si="10"/>
        <v>-7712</v>
      </c>
      <c r="AA37" s="305">
        <f t="shared" si="10"/>
        <v>-1447.0800000000163</v>
      </c>
      <c r="AB37" s="305">
        <f t="shared" si="10"/>
        <v>-896.09999999999127</v>
      </c>
      <c r="AC37" s="305">
        <f t="shared" si="10"/>
        <v>-223.61999999999898</v>
      </c>
      <c r="AD37" s="305">
        <f t="shared" si="10"/>
        <v>-2247.3000000000084</v>
      </c>
      <c r="AE37" s="305">
        <f t="shared" si="10"/>
        <v>0</v>
      </c>
      <c r="AF37" s="305">
        <f t="shared" si="10"/>
        <v>-782.88999999999987</v>
      </c>
      <c r="AG37" s="305">
        <f t="shared" si="10"/>
        <v>-10985.800000000017</v>
      </c>
      <c r="AH37" s="305">
        <f t="shared" si="10"/>
        <v>-12915.420000000013</v>
      </c>
      <c r="AI37" s="305">
        <f t="shared" si="10"/>
        <v>-12877.72</v>
      </c>
      <c r="AJ37" s="305">
        <f t="shared" si="10"/>
        <v>-21816.719999999972</v>
      </c>
      <c r="AK37" s="305">
        <f t="shared" si="10"/>
        <v>-9400.9099999999889</v>
      </c>
      <c r="AL37" s="305">
        <f t="shared" si="10"/>
        <v>-8618.2400000000052</v>
      </c>
      <c r="AM37" s="305">
        <f t="shared" si="10"/>
        <v>-22625.129999999997</v>
      </c>
      <c r="AN37" s="305">
        <f t="shared" si="10"/>
        <v>35497.370000000112</v>
      </c>
      <c r="AO37" s="305">
        <f t="shared" si="10"/>
        <v>-8667.8179999999702</v>
      </c>
      <c r="AP37" s="305">
        <f t="shared" si="10"/>
        <v>240.48999999999069</v>
      </c>
      <c r="AQ37" s="305">
        <f t="shared" si="10"/>
        <v>-3398.5</v>
      </c>
      <c r="AR37" s="305">
        <f t="shared" si="10"/>
        <v>-1312.5</v>
      </c>
      <c r="AS37" s="305">
        <f t="shared" si="10"/>
        <v>-82.600000000000364</v>
      </c>
      <c r="AT37" s="305">
        <f t="shared" si="10"/>
        <v>48718.29800000009</v>
      </c>
      <c r="AU37" s="305">
        <f t="shared" si="10"/>
        <v>-973375.93620958365</v>
      </c>
      <c r="AV37" s="305">
        <f t="shared" si="10"/>
        <v>-118.92000000000189</v>
      </c>
      <c r="AW37" s="305">
        <f t="shared" si="10"/>
        <v>-182.11000000000058</v>
      </c>
      <c r="AX37" s="305">
        <f t="shared" si="10"/>
        <v>-193.75999999999476</v>
      </c>
      <c r="AY37" s="305">
        <f t="shared" si="10"/>
        <v>-494.78999999999724</v>
      </c>
      <c r="AZ37" s="305">
        <f t="shared" si="10"/>
        <v>198.9252043929811</v>
      </c>
      <c r="BA37" s="305">
        <f t="shared" si="10"/>
        <v>-29895.272000000114</v>
      </c>
      <c r="BB37" s="305">
        <f t="shared" si="10"/>
        <v>-1432382.72</v>
      </c>
      <c r="BC37" s="305">
        <f t="shared" si="10"/>
        <v>-5935.0734438390264</v>
      </c>
    </row>
    <row r="38" spans="1:55" s="318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2"/>
      <c r="BC38" s="352"/>
    </row>
    <row r="39" spans="1:55" x14ac:dyDescent="0.2">
      <c r="A39" s="261"/>
      <c r="B39" s="261"/>
      <c r="C39" s="261"/>
      <c r="D39" s="261"/>
      <c r="E39" s="261"/>
      <c r="F39" s="928">
        <f t="shared" ref="F39:K39" si="11">F19-F18</f>
        <v>-93</v>
      </c>
      <c r="G39" s="928">
        <f t="shared" si="11"/>
        <v>-55</v>
      </c>
      <c r="H39" s="928">
        <f t="shared" si="11"/>
        <v>-98</v>
      </c>
      <c r="I39" s="928">
        <f t="shared" si="11"/>
        <v>-83</v>
      </c>
      <c r="J39" s="928">
        <f t="shared" si="11"/>
        <v>1268</v>
      </c>
      <c r="K39" s="928">
        <f t="shared" si="11"/>
        <v>-20</v>
      </c>
      <c r="L39" s="928"/>
      <c r="M39" s="928"/>
      <c r="AO39" s="319" t="s">
        <v>109</v>
      </c>
      <c r="AP39" s="320">
        <v>191</v>
      </c>
      <c r="AQ39" s="320"/>
      <c r="AR39" s="320"/>
    </row>
    <row r="40" spans="1:55" x14ac:dyDescent="0.2">
      <c r="A40" s="261"/>
      <c r="B40" s="261"/>
      <c r="C40" s="261"/>
      <c r="D40" s="261"/>
      <c r="E40" s="261"/>
      <c r="AO40" s="320"/>
      <c r="AP40" s="320">
        <v>88</v>
      </c>
      <c r="AQ40" s="320"/>
      <c r="AR40" s="320"/>
    </row>
    <row r="41" spans="1:55" x14ac:dyDescent="0.2">
      <c r="A41" s="261"/>
      <c r="B41" s="261"/>
      <c r="C41" s="261"/>
      <c r="D41" s="261"/>
      <c r="E41" s="261"/>
      <c r="AO41" s="320"/>
      <c r="AP41" s="321">
        <f>SUM(AP39:AP40)</f>
        <v>279</v>
      </c>
      <c r="AQ41" s="320" t="s">
        <v>110</v>
      </c>
      <c r="AR41" s="320">
        <v>335</v>
      </c>
    </row>
    <row r="42" spans="1:55" x14ac:dyDescent="0.2">
      <c r="A42" s="261"/>
      <c r="B42" s="261"/>
      <c r="C42" s="261"/>
      <c r="D42" s="261"/>
      <c r="E42" s="261"/>
      <c r="AO42" s="320"/>
      <c r="AP42" s="320"/>
      <c r="AQ42" s="320"/>
      <c r="AR42" s="320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9" t="s">
        <v>111</v>
      </c>
      <c r="AP43" s="321">
        <v>168</v>
      </c>
      <c r="AQ43" s="320"/>
      <c r="AR43" s="320"/>
    </row>
    <row r="44" spans="1:55" x14ac:dyDescent="0.2">
      <c r="A44" s="261"/>
      <c r="B44" s="261"/>
      <c r="C44" s="261"/>
      <c r="D44" s="261"/>
      <c r="E44" s="261"/>
      <c r="AO44" s="320"/>
      <c r="AP44" s="320"/>
      <c r="AQ44" s="320" t="s">
        <v>112</v>
      </c>
      <c r="AR44" s="320"/>
    </row>
    <row r="45" spans="1:55" x14ac:dyDescent="0.2">
      <c r="A45" s="261"/>
      <c r="B45" s="261"/>
      <c r="C45" s="261"/>
      <c r="D45" s="261"/>
      <c r="E45" s="261"/>
      <c r="AO45" s="320" t="s">
        <v>113</v>
      </c>
      <c r="AP45" s="320">
        <f>20*38.68</f>
        <v>773.6</v>
      </c>
      <c r="AQ45" s="320" t="s">
        <v>114</v>
      </c>
      <c r="AR45" s="320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2"/>
      <c r="B89" s="322"/>
      <c r="C89" s="322"/>
      <c r="D89" s="322"/>
      <c r="E89" s="322"/>
    </row>
    <row r="90" spans="1:5" x14ac:dyDescent="0.2">
      <c r="A90" s="322"/>
      <c r="B90" s="322"/>
      <c r="C90" s="322"/>
      <c r="D90" s="322"/>
      <c r="E90" s="322"/>
    </row>
    <row r="91" spans="1:5" x14ac:dyDescent="0.2">
      <c r="A91" s="322"/>
      <c r="B91" s="322"/>
      <c r="C91" s="322"/>
      <c r="D91" s="322"/>
      <c r="E91" s="322"/>
    </row>
    <row r="92" spans="1:5" x14ac:dyDescent="0.2">
      <c r="A92" s="322"/>
      <c r="B92" s="322"/>
      <c r="C92" s="322"/>
      <c r="D92" s="322"/>
      <c r="E92" s="322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zoomScale="60" zoomScaleNormal="61" zoomScalePageLayoutView="70" workbookViewId="0">
      <selection activeCell="F132" sqref="F132"/>
    </sheetView>
  </sheetViews>
  <sheetFormatPr defaultColWidth="22.33203125" defaultRowHeight="21.95" customHeight="1" x14ac:dyDescent="0.4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25.77734375" style="169" customWidth="1"/>
    <col min="6" max="6" width="19.44140625" style="169" customWidth="1"/>
    <col min="7" max="7" width="28.88671875" style="169" customWidth="1"/>
    <col min="8" max="8" width="24.6640625" style="170" customWidth="1"/>
    <col min="9" max="9" width="23.5546875" style="169" customWidth="1"/>
    <col min="10" max="10" width="24" style="171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ht="27" x14ac:dyDescent="0.4">
      <c r="A2" s="557" t="s">
        <v>357</v>
      </c>
      <c r="B2" s="583">
        <v>44531</v>
      </c>
      <c r="C2" s="380" t="s">
        <v>67</v>
      </c>
      <c r="D2" s="381">
        <v>0.96</v>
      </c>
      <c r="E2" s="553"/>
      <c r="F2" s="382"/>
      <c r="G2" s="382" t="s">
        <v>116</v>
      </c>
      <c r="H2" s="382" t="s">
        <v>5</v>
      </c>
      <c r="I2" s="382" t="s">
        <v>7</v>
      </c>
      <c r="J2" s="383" t="s">
        <v>117</v>
      </c>
    </row>
    <row r="3" spans="1:15" ht="22.5" x14ac:dyDescent="0.4">
      <c r="A3" s="558"/>
      <c r="B3" s="384"/>
      <c r="C3" s="380" t="s">
        <v>118</v>
      </c>
      <c r="D3" s="385">
        <v>22</v>
      </c>
      <c r="E3" s="753" t="s">
        <v>119</v>
      </c>
      <c r="F3" s="754"/>
      <c r="G3" s="386"/>
      <c r="H3" s="387"/>
      <c r="I3" s="387"/>
      <c r="J3" s="388"/>
      <c r="K3" s="584"/>
      <c r="L3" s="465"/>
    </row>
    <row r="4" spans="1:15" ht="27" x14ac:dyDescent="0.5">
      <c r="A4" s="559"/>
      <c r="B4" s="389"/>
      <c r="C4" s="380" t="s">
        <v>120</v>
      </c>
      <c r="D4" s="381">
        <v>0.76</v>
      </c>
      <c r="E4" s="554"/>
      <c r="F4" s="390"/>
      <c r="G4" s="390"/>
      <c r="H4" s="390"/>
      <c r="I4" s="391"/>
      <c r="J4" s="388"/>
      <c r="K4" s="585"/>
      <c r="L4" s="465"/>
    </row>
    <row r="5" spans="1:15" ht="22.5" x14ac:dyDescent="0.4">
      <c r="A5" s="560" t="s">
        <v>121</v>
      </c>
      <c r="B5" s="392"/>
      <c r="C5" s="392"/>
      <c r="D5" s="392" t="s">
        <v>122</v>
      </c>
      <c r="E5" s="393" t="s">
        <v>123</v>
      </c>
      <c r="F5" s="393" t="s">
        <v>110</v>
      </c>
      <c r="G5" s="394" t="s">
        <v>124</v>
      </c>
      <c r="H5" s="395" t="s">
        <v>125</v>
      </c>
      <c r="I5" s="396" t="s">
        <v>126</v>
      </c>
      <c r="J5" s="397" t="s">
        <v>127</v>
      </c>
      <c r="K5" s="586"/>
      <c r="L5" s="465"/>
    </row>
    <row r="6" spans="1:15" ht="22.5" x14ac:dyDescent="0.4">
      <c r="A6" s="744" t="s">
        <v>128</v>
      </c>
      <c r="B6" s="745"/>
      <c r="C6" s="746"/>
      <c r="D6" s="398"/>
      <c r="E6" s="398"/>
      <c r="F6" s="398"/>
      <c r="G6" s="398"/>
      <c r="H6" s="399"/>
      <c r="I6" s="399"/>
      <c r="J6" s="400"/>
      <c r="K6" s="587"/>
      <c r="L6" s="465"/>
    </row>
    <row r="7" spans="1:15" ht="23.25" thickBot="1" x14ac:dyDescent="0.45">
      <c r="A7" s="561" t="s">
        <v>129</v>
      </c>
      <c r="B7" s="401"/>
      <c r="C7" s="401"/>
      <c r="D7" s="402" t="s">
        <v>130</v>
      </c>
      <c r="E7" s="403">
        <v>400842</v>
      </c>
      <c r="F7" s="403">
        <v>423510</v>
      </c>
      <c r="G7" s="404">
        <f>F7-E7</f>
        <v>22668</v>
      </c>
      <c r="H7" s="405">
        <f>G7</f>
        <v>22668</v>
      </c>
      <c r="I7" s="406">
        <v>12000</v>
      </c>
      <c r="J7" s="407">
        <f>H7/DAY(B2)</f>
        <v>22668</v>
      </c>
      <c r="K7" s="588">
        <v>1375467</v>
      </c>
      <c r="L7" s="465"/>
      <c r="N7" s="589"/>
      <c r="O7" s="171"/>
    </row>
    <row r="8" spans="1:15" ht="23.25" thickBot="1" x14ac:dyDescent="0.45">
      <c r="A8" s="562" t="s">
        <v>131</v>
      </c>
      <c r="B8" s="408"/>
      <c r="C8" s="409"/>
      <c r="D8" s="410" t="s">
        <v>24</v>
      </c>
      <c r="E8" s="403">
        <v>438295</v>
      </c>
      <c r="F8" s="411">
        <v>461284</v>
      </c>
      <c r="G8" s="404">
        <f>F8-E8</f>
        <v>22989</v>
      </c>
      <c r="H8" s="405">
        <f>G8</f>
        <v>22989</v>
      </c>
      <c r="I8" s="412">
        <v>12000</v>
      </c>
      <c r="J8" s="407">
        <f>H8/DAY(B2)</f>
        <v>22989</v>
      </c>
      <c r="K8" s="588">
        <v>1715917</v>
      </c>
      <c r="L8" s="403">
        <v>1728480</v>
      </c>
      <c r="M8" s="589">
        <f>L8-K8</f>
        <v>12563</v>
      </c>
      <c r="N8" s="589"/>
      <c r="O8" s="171"/>
    </row>
    <row r="9" spans="1:15" ht="22.5" x14ac:dyDescent="0.4">
      <c r="A9" s="563" t="s">
        <v>132</v>
      </c>
      <c r="B9" s="413"/>
      <c r="C9" s="413"/>
      <c r="D9" s="402" t="s">
        <v>130</v>
      </c>
      <c r="E9" s="653">
        <v>1719097.7</v>
      </c>
      <c r="F9" s="414">
        <v>1732492</v>
      </c>
      <c r="G9" s="404">
        <f>F9-E9</f>
        <v>13394.300000000047</v>
      </c>
      <c r="H9" s="405">
        <f t="shared" ref="H9:H13" si="0">G9</f>
        <v>13394.300000000047</v>
      </c>
      <c r="I9" s="415">
        <f>I8-J8</f>
        <v>-10989</v>
      </c>
      <c r="J9" s="407">
        <f>H9/DAY(B2)</f>
        <v>13394.300000000047</v>
      </c>
      <c r="K9" s="590">
        <f>K8-100</f>
        <v>1715817</v>
      </c>
      <c r="L9" s="465"/>
      <c r="N9" s="589"/>
      <c r="O9" s="171"/>
    </row>
    <row r="10" spans="1:15" ht="22.5" x14ac:dyDescent="0.4">
      <c r="A10" s="561" t="s">
        <v>133</v>
      </c>
      <c r="B10" s="401"/>
      <c r="C10" s="401"/>
      <c r="D10" s="402" t="s">
        <v>130</v>
      </c>
      <c r="E10" s="653">
        <v>406082.43</v>
      </c>
      <c r="F10" s="414">
        <v>414739</v>
      </c>
      <c r="G10" s="404">
        <f t="shared" ref="G10:G11" si="1">F10-E10</f>
        <v>8656.570000000007</v>
      </c>
      <c r="H10" s="405">
        <f t="shared" si="0"/>
        <v>8656.570000000007</v>
      </c>
      <c r="I10" s="416"/>
      <c r="J10" s="407">
        <f>H10/DAY(B2)</f>
        <v>8656.570000000007</v>
      </c>
      <c r="K10" s="590"/>
      <c r="L10" s="465"/>
      <c r="N10" s="589"/>
      <c r="O10" s="171"/>
    </row>
    <row r="11" spans="1:15" ht="22.5" x14ac:dyDescent="0.4">
      <c r="A11" s="561" t="s">
        <v>134</v>
      </c>
      <c r="B11" s="401"/>
      <c r="C11" s="401"/>
      <c r="D11" s="402" t="s">
        <v>130</v>
      </c>
      <c r="E11" s="403">
        <v>37000</v>
      </c>
      <c r="F11" s="403">
        <v>37000</v>
      </c>
      <c r="G11" s="404">
        <f t="shared" si="1"/>
        <v>0</v>
      </c>
      <c r="H11" s="405">
        <f t="shared" si="0"/>
        <v>0</v>
      </c>
      <c r="I11" s="416"/>
      <c r="J11" s="407">
        <f>H11/DAY(B2)</f>
        <v>0</v>
      </c>
      <c r="K11" s="590"/>
      <c r="L11" s="465"/>
      <c r="N11" s="589"/>
      <c r="O11" s="171">
        <f>142-18</f>
        <v>124</v>
      </c>
    </row>
    <row r="12" spans="1:15" ht="22.5" x14ac:dyDescent="0.4">
      <c r="A12" s="561" t="s">
        <v>135</v>
      </c>
      <c r="B12" s="401"/>
      <c r="C12" s="401"/>
      <c r="D12" s="402" t="s">
        <v>130</v>
      </c>
      <c r="E12" s="414">
        <v>40010</v>
      </c>
      <c r="F12" s="414">
        <v>40010</v>
      </c>
      <c r="G12" s="404">
        <f>F12-E12</f>
        <v>0</v>
      </c>
      <c r="H12" s="405">
        <f t="shared" si="0"/>
        <v>0</v>
      </c>
      <c r="I12" s="416"/>
      <c r="J12" s="407">
        <f>H12/DAY(B2)</f>
        <v>0</v>
      </c>
      <c r="K12" s="590"/>
      <c r="L12" s="465"/>
      <c r="N12" s="589"/>
      <c r="O12" s="171"/>
    </row>
    <row r="13" spans="1:15" ht="22.5" x14ac:dyDescent="0.4">
      <c r="A13" s="564" t="s">
        <v>136</v>
      </c>
      <c r="B13" s="417"/>
      <c r="C13" s="417"/>
      <c r="D13" s="402"/>
      <c r="E13" s="403"/>
      <c r="F13" s="403"/>
      <c r="G13" s="404">
        <f>F13-E13</f>
        <v>0</v>
      </c>
      <c r="H13" s="405">
        <f t="shared" si="0"/>
        <v>0</v>
      </c>
      <c r="I13" s="418">
        <f>G7-G13</f>
        <v>22668</v>
      </c>
      <c r="J13" s="407">
        <f>H13/DAY(B2)</f>
        <v>0</v>
      </c>
      <c r="K13" s="590"/>
      <c r="L13" s="465"/>
      <c r="N13" s="589"/>
      <c r="O13" s="171"/>
    </row>
    <row r="14" spans="1:15" ht="22.5" x14ac:dyDescent="0.4">
      <c r="A14" s="747" t="s">
        <v>137</v>
      </c>
      <c r="B14" s="748"/>
      <c r="C14" s="749"/>
      <c r="D14" s="399"/>
      <c r="E14" s="399"/>
      <c r="F14" s="399"/>
      <c r="G14" s="419"/>
      <c r="H14" s="399"/>
      <c r="I14" s="399"/>
      <c r="J14" s="400"/>
      <c r="K14" s="591"/>
      <c r="L14" s="465"/>
      <c r="N14" s="589"/>
      <c r="O14" s="171"/>
    </row>
    <row r="15" spans="1:15" ht="22.5" x14ac:dyDescent="0.4">
      <c r="A15" s="565" t="s">
        <v>138</v>
      </c>
      <c r="B15" s="420"/>
      <c r="C15" s="420"/>
      <c r="D15" s="402" t="s">
        <v>139</v>
      </c>
      <c r="E15" s="421">
        <v>1843148</v>
      </c>
      <c r="F15" s="422">
        <v>1844222</v>
      </c>
      <c r="G15" s="423">
        <f>(F15-E15)</f>
        <v>1074</v>
      </c>
      <c r="H15" s="415">
        <f>G15</f>
        <v>1074</v>
      </c>
      <c r="I15" s="406">
        <v>800</v>
      </c>
      <c r="J15" s="407">
        <f>H15/DAY(B2)</f>
        <v>1074</v>
      </c>
      <c r="K15" s="590"/>
      <c r="L15" s="465"/>
      <c r="N15" s="589"/>
      <c r="O15" s="171"/>
    </row>
    <row r="16" spans="1:15" ht="22.5" x14ac:dyDescent="0.4">
      <c r="A16" s="566"/>
      <c r="B16" s="424"/>
      <c r="C16" s="424"/>
      <c r="D16" s="425"/>
      <c r="E16" s="421"/>
      <c r="F16" s="421"/>
      <c r="G16" s="404"/>
      <c r="H16" s="415"/>
      <c r="I16" s="418">
        <f>I15-J15</f>
        <v>-274</v>
      </c>
      <c r="J16" s="426"/>
      <c r="K16" s="590"/>
      <c r="L16" s="465"/>
      <c r="N16" s="589"/>
      <c r="O16" s="171"/>
    </row>
    <row r="17" spans="1:15" ht="22.5" x14ac:dyDescent="0.4">
      <c r="A17" s="747" t="s">
        <v>140</v>
      </c>
      <c r="B17" s="748"/>
      <c r="C17" s="749"/>
      <c r="D17" s="399"/>
      <c r="E17" s="399"/>
      <c r="F17" s="399"/>
      <c r="G17" s="427"/>
      <c r="H17" s="399"/>
      <c r="I17" s="399"/>
      <c r="J17" s="400"/>
      <c r="K17" s="590"/>
      <c r="L17" s="465"/>
      <c r="N17" s="589"/>
      <c r="O17" s="171"/>
    </row>
    <row r="18" spans="1:15" ht="22.5" x14ac:dyDescent="0.4">
      <c r="A18" s="738" t="s">
        <v>141</v>
      </c>
      <c r="B18" s="739"/>
      <c r="C18" s="740"/>
      <c r="D18" s="402" t="s">
        <v>142</v>
      </c>
      <c r="E18" s="428">
        <v>22</v>
      </c>
      <c r="F18" s="428">
        <v>16</v>
      </c>
      <c r="G18" s="429">
        <f>F18*10</f>
        <v>160</v>
      </c>
      <c r="H18" s="405">
        <f>G18</f>
        <v>160</v>
      </c>
      <c r="I18" s="406">
        <v>65</v>
      </c>
      <c r="J18" s="407">
        <f>H18/DAY(B2)</f>
        <v>160</v>
      </c>
      <c r="K18" s="590"/>
      <c r="L18" s="465"/>
      <c r="N18" s="589"/>
      <c r="O18" s="171"/>
    </row>
    <row r="19" spans="1:15" ht="22.5" x14ac:dyDescent="0.4">
      <c r="A19" s="738" t="s">
        <v>69</v>
      </c>
      <c r="B19" s="739"/>
      <c r="C19" s="740"/>
      <c r="D19" s="402" t="s">
        <v>142</v>
      </c>
      <c r="E19" s="428">
        <v>150584</v>
      </c>
      <c r="F19" s="428">
        <v>150636</v>
      </c>
      <c r="G19" s="404">
        <f t="shared" ref="G19" si="2">F19-E19</f>
        <v>52</v>
      </c>
      <c r="H19" s="405">
        <f t="shared" ref="H19" si="3">G19</f>
        <v>52</v>
      </c>
      <c r="I19" s="430"/>
      <c r="J19" s="407">
        <f>H19/DAY(B2)</f>
        <v>52</v>
      </c>
      <c r="K19" s="590"/>
      <c r="L19" s="465"/>
      <c r="N19" s="589"/>
      <c r="O19" s="171"/>
    </row>
    <row r="20" spans="1:15" ht="22.5" x14ac:dyDescent="0.4">
      <c r="A20" s="564" t="s">
        <v>143</v>
      </c>
      <c r="B20" s="417"/>
      <c r="C20" s="417"/>
      <c r="D20" s="431"/>
      <c r="E20" s="431"/>
      <c r="F20" s="431"/>
      <c r="G20" s="432">
        <f>G18+G19</f>
        <v>212</v>
      </c>
      <c r="H20" s="405">
        <f>G20</f>
        <v>212</v>
      </c>
      <c r="I20" s="433">
        <f>I18-J20</f>
        <v>-147</v>
      </c>
      <c r="J20" s="407">
        <f>H20/DAY(B2)</f>
        <v>212</v>
      </c>
      <c r="K20" s="590"/>
      <c r="L20" s="465"/>
      <c r="N20" s="589"/>
      <c r="O20" s="171"/>
    </row>
    <row r="21" spans="1:15" ht="22.5" x14ac:dyDescent="0.4">
      <c r="A21" s="747" t="s">
        <v>144</v>
      </c>
      <c r="B21" s="748"/>
      <c r="C21" s="749"/>
      <c r="D21" s="399"/>
      <c r="E21" s="399"/>
      <c r="F21" s="399"/>
      <c r="G21" s="419"/>
      <c r="H21" s="399"/>
      <c r="I21" s="399"/>
      <c r="J21" s="400"/>
      <c r="K21" s="590"/>
      <c r="L21" s="465"/>
      <c r="N21" s="589"/>
      <c r="O21" s="171"/>
    </row>
    <row r="22" spans="1:15" ht="22.5" x14ac:dyDescent="0.4">
      <c r="A22" s="565" t="s">
        <v>145</v>
      </c>
      <c r="B22" s="420"/>
      <c r="C22" s="420"/>
      <c r="D22" s="402" t="s">
        <v>146</v>
      </c>
      <c r="E22" s="428">
        <v>2970</v>
      </c>
      <c r="F22" s="428">
        <v>2970</v>
      </c>
      <c r="G22" s="429">
        <f>(F22-E22)</f>
        <v>0</v>
      </c>
      <c r="H22" s="405">
        <f>G22</f>
        <v>0</v>
      </c>
      <c r="I22" s="416"/>
      <c r="J22" s="407">
        <f>H22/DAY(B2)</f>
        <v>0</v>
      </c>
      <c r="K22" s="590"/>
      <c r="L22" s="465"/>
      <c r="N22" s="589"/>
      <c r="O22" s="171"/>
    </row>
    <row r="23" spans="1:15" ht="22.5" x14ac:dyDescent="0.4">
      <c r="A23" s="565" t="s">
        <v>147</v>
      </c>
      <c r="B23" s="420"/>
      <c r="C23" s="420"/>
      <c r="D23" s="402" t="s">
        <v>146</v>
      </c>
      <c r="E23" s="428">
        <v>2000</v>
      </c>
      <c r="F23" s="428">
        <v>2000</v>
      </c>
      <c r="G23" s="429">
        <f t="shared" ref="G23" si="4">(F23-E23)</f>
        <v>0</v>
      </c>
      <c r="H23" s="405">
        <f t="shared" ref="H23:H24" si="5">G23</f>
        <v>0</v>
      </c>
      <c r="I23" s="416"/>
      <c r="J23" s="407">
        <f>H23/DAY(B2)</f>
        <v>0</v>
      </c>
      <c r="K23" s="590"/>
      <c r="L23" s="465"/>
      <c r="N23" s="589"/>
      <c r="O23" s="171"/>
    </row>
    <row r="24" spans="1:15" ht="22.5" x14ac:dyDescent="0.4">
      <c r="A24" s="567" t="s">
        <v>148</v>
      </c>
      <c r="B24" s="434"/>
      <c r="C24" s="434"/>
      <c r="D24" s="392" t="s">
        <v>146</v>
      </c>
      <c r="E24" s="435">
        <v>4970</v>
      </c>
      <c r="F24" s="435"/>
      <c r="G24" s="429">
        <f>SUM(G22:G23)</f>
        <v>0</v>
      </c>
      <c r="H24" s="405">
        <f t="shared" si="5"/>
        <v>0</v>
      </c>
      <c r="I24" s="416"/>
      <c r="J24" s="407">
        <f>H24/DAY(B2)</f>
        <v>0</v>
      </c>
      <c r="K24" s="590"/>
      <c r="L24" s="465"/>
      <c r="N24" s="589"/>
      <c r="O24" s="171"/>
    </row>
    <row r="25" spans="1:15" ht="22.5" x14ac:dyDescent="0.4">
      <c r="A25" s="744" t="s">
        <v>149</v>
      </c>
      <c r="B25" s="745"/>
      <c r="C25" s="746"/>
      <c r="D25" s="398"/>
      <c r="E25" s="398"/>
      <c r="F25" s="398"/>
      <c r="G25" s="436"/>
      <c r="H25" s="437"/>
      <c r="I25" s="438"/>
      <c r="J25" s="439"/>
      <c r="K25" s="590"/>
      <c r="L25" s="465"/>
      <c r="N25" s="589"/>
      <c r="O25" s="171"/>
    </row>
    <row r="26" spans="1:15" ht="22.5" x14ac:dyDescent="0.4">
      <c r="A26" s="568" t="s">
        <v>150</v>
      </c>
      <c r="B26" s="440"/>
      <c r="C26" s="441"/>
      <c r="D26" s="442" t="s">
        <v>151</v>
      </c>
      <c r="E26" s="443"/>
      <c r="F26" s="443"/>
      <c r="G26" s="444"/>
      <c r="H26" s="405"/>
      <c r="I26" s="445"/>
      <c r="J26" s="407"/>
      <c r="K26" s="591"/>
      <c r="L26" s="465"/>
      <c r="N26" s="589"/>
      <c r="O26" s="171"/>
    </row>
    <row r="27" spans="1:15" ht="22.5" x14ac:dyDescent="0.4">
      <c r="A27" s="568" t="s">
        <v>5</v>
      </c>
      <c r="B27" s="440"/>
      <c r="C27" s="441"/>
      <c r="D27" s="446" t="s">
        <v>24</v>
      </c>
      <c r="E27" s="447">
        <v>22989</v>
      </c>
      <c r="F27" s="447">
        <v>9</v>
      </c>
      <c r="G27" s="448">
        <f>E27*F27</f>
        <v>206901</v>
      </c>
      <c r="H27" s="405">
        <f t="shared" ref="H27:H32" si="6">G27</f>
        <v>206901</v>
      </c>
      <c r="I27" s="449"/>
      <c r="J27" s="407">
        <f>H27/DAY(B2)</f>
        <v>206901</v>
      </c>
      <c r="K27" s="590"/>
      <c r="L27" s="465"/>
      <c r="N27" s="589"/>
      <c r="O27" s="171"/>
    </row>
    <row r="28" spans="1:15" ht="22.5" x14ac:dyDescent="0.4">
      <c r="A28" s="568" t="s">
        <v>152</v>
      </c>
      <c r="B28" s="440"/>
      <c r="C28" s="441"/>
      <c r="D28" s="446" t="s">
        <v>153</v>
      </c>
      <c r="E28" s="447">
        <v>1074</v>
      </c>
      <c r="F28" s="447">
        <v>52</v>
      </c>
      <c r="G28" s="448">
        <f>E28*F28</f>
        <v>55848</v>
      </c>
      <c r="H28" s="405">
        <f t="shared" si="6"/>
        <v>55848</v>
      </c>
      <c r="I28" s="450"/>
      <c r="J28" s="407">
        <f>H28/DAY(B2)</f>
        <v>55848</v>
      </c>
      <c r="K28" s="590"/>
      <c r="L28" s="465"/>
      <c r="N28" s="589"/>
      <c r="O28" s="171"/>
    </row>
    <row r="29" spans="1:15" ht="22.5" x14ac:dyDescent="0.4">
      <c r="A29" s="568" t="s">
        <v>154</v>
      </c>
      <c r="B29" s="440"/>
      <c r="C29" s="441"/>
      <c r="D29" s="446" t="s">
        <v>155</v>
      </c>
      <c r="E29" s="447">
        <v>0</v>
      </c>
      <c r="F29" s="447">
        <v>69</v>
      </c>
      <c r="G29" s="448">
        <f>E29*F29</f>
        <v>0</v>
      </c>
      <c r="H29" s="405">
        <f t="shared" si="6"/>
        <v>0</v>
      </c>
      <c r="I29" s="450"/>
      <c r="J29" s="407">
        <f>H29/DAY(B2)</f>
        <v>0</v>
      </c>
      <c r="K29" s="590"/>
      <c r="L29" s="465"/>
      <c r="N29" s="589"/>
      <c r="O29" s="171"/>
    </row>
    <row r="30" spans="1:15" ht="22.5" x14ac:dyDescent="0.4">
      <c r="A30" s="568" t="s">
        <v>156</v>
      </c>
      <c r="B30" s="440"/>
      <c r="C30" s="441"/>
      <c r="D30" s="446" t="s">
        <v>157</v>
      </c>
      <c r="E30" s="447">
        <v>52</v>
      </c>
      <c r="F30" s="447">
        <v>146</v>
      </c>
      <c r="G30" s="448">
        <f>E30*F30</f>
        <v>7592</v>
      </c>
      <c r="H30" s="405">
        <f t="shared" si="6"/>
        <v>7592</v>
      </c>
      <c r="I30" s="450"/>
      <c r="J30" s="407">
        <f>H30/DAY(B2)</f>
        <v>7592</v>
      </c>
      <c r="K30" s="590"/>
      <c r="L30" s="465"/>
      <c r="N30" s="589"/>
      <c r="O30" s="171"/>
    </row>
    <row r="31" spans="1:15" ht="22.5" x14ac:dyDescent="0.4">
      <c r="A31" s="568" t="s">
        <v>158</v>
      </c>
      <c r="B31" s="440"/>
      <c r="C31" s="441"/>
      <c r="D31" s="446" t="s">
        <v>142</v>
      </c>
      <c r="E31" s="447">
        <v>160</v>
      </c>
      <c r="F31" s="447">
        <v>80</v>
      </c>
      <c r="G31" s="448">
        <f>E31*F31</f>
        <v>12800</v>
      </c>
      <c r="H31" s="405">
        <f t="shared" si="6"/>
        <v>12800</v>
      </c>
      <c r="I31" s="450"/>
      <c r="J31" s="407">
        <f>H31/DAY(B2)</f>
        <v>12800</v>
      </c>
      <c r="K31" s="590"/>
      <c r="L31" s="465"/>
      <c r="N31" s="589"/>
      <c r="O31" s="171"/>
    </row>
    <row r="32" spans="1:15" ht="22.5" x14ac:dyDescent="0.4">
      <c r="A32" s="569" t="s">
        <v>159</v>
      </c>
      <c r="B32" s="451"/>
      <c r="C32" s="452"/>
      <c r="D32" s="453"/>
      <c r="E32" s="453"/>
      <c r="F32" s="453"/>
      <c r="G32" s="454">
        <f>G27+G28+G29+G30+G31</f>
        <v>283141</v>
      </c>
      <c r="H32" s="405">
        <f t="shared" si="6"/>
        <v>283141</v>
      </c>
      <c r="I32" s="455"/>
      <c r="J32" s="407">
        <f>H32/DAY(B2)</f>
        <v>283141</v>
      </c>
      <c r="K32" s="590"/>
      <c r="L32" s="465"/>
      <c r="N32" s="589"/>
      <c r="O32" s="171"/>
    </row>
    <row r="33" spans="1:15" ht="25.5" customHeight="1" x14ac:dyDescent="0.4">
      <c r="A33" s="755" t="s">
        <v>331</v>
      </c>
      <c r="B33" s="756"/>
      <c r="C33" s="756"/>
      <c r="D33" s="592"/>
      <c r="E33" s="654"/>
      <c r="F33" s="592"/>
      <c r="G33" s="592"/>
      <c r="H33" s="592"/>
      <c r="I33" s="592"/>
      <c r="J33" s="593"/>
      <c r="K33" s="590"/>
      <c r="L33" s="465"/>
      <c r="N33" s="589"/>
      <c r="O33" s="171"/>
    </row>
    <row r="34" spans="1:15" ht="22.5" x14ac:dyDescent="0.4">
      <c r="A34" s="570" t="s">
        <v>160</v>
      </c>
      <c r="B34" s="456"/>
      <c r="C34" s="456"/>
      <c r="D34" s="399"/>
      <c r="E34" s="398"/>
      <c r="F34" s="398"/>
      <c r="G34" s="399"/>
      <c r="H34" s="399"/>
      <c r="I34" s="399"/>
      <c r="J34" s="400"/>
      <c r="K34" s="590"/>
      <c r="L34" s="465"/>
      <c r="N34" s="589"/>
      <c r="O34" s="171"/>
    </row>
    <row r="35" spans="1:15" ht="22.5" x14ac:dyDescent="0.4">
      <c r="A35" s="561" t="s">
        <v>161</v>
      </c>
      <c r="B35" s="401"/>
      <c r="C35" s="401"/>
      <c r="D35" s="402" t="s">
        <v>130</v>
      </c>
      <c r="E35" s="457">
        <v>93534.63</v>
      </c>
      <c r="F35" s="457">
        <v>95651</v>
      </c>
      <c r="G35" s="404">
        <f t="shared" ref="G35:G46" si="7">F35-E35</f>
        <v>2116.3699999999953</v>
      </c>
      <c r="H35" s="405">
        <f t="shared" ref="H35:H47" si="8">G35</f>
        <v>2116.3699999999953</v>
      </c>
      <c r="I35" s="403"/>
      <c r="J35" s="407">
        <f>H35/DAY(B2)</f>
        <v>2116.3699999999953</v>
      </c>
      <c r="K35" s="590"/>
      <c r="L35" s="465"/>
      <c r="N35" s="589"/>
      <c r="O35" s="171"/>
    </row>
    <row r="36" spans="1:15" ht="22.5" x14ac:dyDescent="0.4">
      <c r="A36" s="561" t="s">
        <v>162</v>
      </c>
      <c r="B36" s="401"/>
      <c r="C36" s="401"/>
      <c r="D36" s="402" t="s">
        <v>130</v>
      </c>
      <c r="E36" s="457">
        <v>79463.7</v>
      </c>
      <c r="F36" s="457">
        <v>80404</v>
      </c>
      <c r="G36" s="404">
        <f t="shared" si="7"/>
        <v>940.30000000000291</v>
      </c>
      <c r="H36" s="405">
        <f t="shared" si="8"/>
        <v>940.30000000000291</v>
      </c>
      <c r="I36" s="403"/>
      <c r="J36" s="407">
        <f>H36/DAY(B2)</f>
        <v>940.30000000000291</v>
      </c>
      <c r="K36" s="590"/>
      <c r="L36" s="465"/>
      <c r="N36" s="589"/>
      <c r="O36" s="594"/>
    </row>
    <row r="37" spans="1:15" ht="22.5" x14ac:dyDescent="0.4">
      <c r="A37" s="561" t="s">
        <v>163</v>
      </c>
      <c r="B37" s="401"/>
      <c r="C37" s="401"/>
      <c r="D37" s="402" t="s">
        <v>130</v>
      </c>
      <c r="E37" s="457">
        <v>145506.74</v>
      </c>
      <c r="F37" s="457">
        <v>147209</v>
      </c>
      <c r="G37" s="404">
        <f t="shared" si="7"/>
        <v>1702.2600000000093</v>
      </c>
      <c r="H37" s="405">
        <f t="shared" si="8"/>
        <v>1702.2600000000093</v>
      </c>
      <c r="I37" s="403"/>
      <c r="J37" s="407">
        <f>H37/DAY(B2)</f>
        <v>1702.2600000000093</v>
      </c>
      <c r="K37" s="590"/>
      <c r="L37" s="465"/>
      <c r="N37" s="589"/>
      <c r="O37" s="595"/>
    </row>
    <row r="38" spans="1:15" ht="22.5" x14ac:dyDescent="0.4">
      <c r="A38" s="561" t="s">
        <v>164</v>
      </c>
      <c r="B38" s="401"/>
      <c r="C38" s="401"/>
      <c r="D38" s="402" t="s">
        <v>130</v>
      </c>
      <c r="E38" s="395">
        <v>171004.05</v>
      </c>
      <c r="F38" s="395">
        <v>172909</v>
      </c>
      <c r="G38" s="404">
        <f t="shared" si="7"/>
        <v>1904.9500000000116</v>
      </c>
      <c r="H38" s="405">
        <f t="shared" si="8"/>
        <v>1904.9500000000116</v>
      </c>
      <c r="I38" s="403"/>
      <c r="J38" s="407">
        <f>H38/DAY(B2)</f>
        <v>1904.9500000000116</v>
      </c>
      <c r="K38" s="590"/>
      <c r="L38" s="465"/>
      <c r="N38" s="589"/>
      <c r="O38" s="171"/>
    </row>
    <row r="39" spans="1:15" ht="22.5" x14ac:dyDescent="0.4">
      <c r="A39" s="561" t="s">
        <v>165</v>
      </c>
      <c r="B39" s="401"/>
      <c r="C39" s="401"/>
      <c r="D39" s="402" t="s">
        <v>130</v>
      </c>
      <c r="E39" s="457">
        <v>321663.28999999998</v>
      </c>
      <c r="F39" s="457">
        <v>324609</v>
      </c>
      <c r="G39" s="404">
        <f t="shared" si="7"/>
        <v>2945.710000000021</v>
      </c>
      <c r="H39" s="405">
        <f t="shared" si="8"/>
        <v>2945.710000000021</v>
      </c>
      <c r="I39" s="403"/>
      <c r="J39" s="407">
        <f>H39/DAY(B2)</f>
        <v>2945.710000000021</v>
      </c>
      <c r="K39" s="590"/>
      <c r="L39" s="465"/>
      <c r="N39" s="589"/>
      <c r="O39" s="171"/>
    </row>
    <row r="40" spans="1:15" ht="22.5" x14ac:dyDescent="0.4">
      <c r="A40" s="571" t="s">
        <v>166</v>
      </c>
      <c r="B40" s="458"/>
      <c r="C40" s="458"/>
      <c r="D40" s="402" t="s">
        <v>130</v>
      </c>
      <c r="E40" s="457">
        <v>111.22</v>
      </c>
      <c r="F40" s="457">
        <v>114</v>
      </c>
      <c r="G40" s="404">
        <f t="shared" si="7"/>
        <v>2.7800000000000011</v>
      </c>
      <c r="H40" s="405">
        <f t="shared" si="8"/>
        <v>2.7800000000000011</v>
      </c>
      <c r="I40" s="403"/>
      <c r="J40" s="407">
        <f>H40/DAY(B2)</f>
        <v>2.7800000000000011</v>
      </c>
      <c r="K40" s="591"/>
      <c r="L40" s="465"/>
      <c r="N40" s="589"/>
      <c r="O40" s="171"/>
    </row>
    <row r="41" spans="1:15" ht="22.5" x14ac:dyDescent="0.4">
      <c r="A41" s="561" t="s">
        <v>167</v>
      </c>
      <c r="B41" s="401"/>
      <c r="C41" s="401"/>
      <c r="D41" s="402" t="s">
        <v>130</v>
      </c>
      <c r="E41" s="457">
        <v>590513.71</v>
      </c>
      <c r="F41" s="457">
        <v>590514</v>
      </c>
      <c r="G41" s="404">
        <f t="shared" si="7"/>
        <v>0.2900000000372529</v>
      </c>
      <c r="H41" s="405">
        <f t="shared" si="8"/>
        <v>0.2900000000372529</v>
      </c>
      <c r="I41" s="403"/>
      <c r="J41" s="407">
        <f>H41/DAY(B2)</f>
        <v>0.2900000000372529</v>
      </c>
      <c r="K41" s="590"/>
      <c r="L41" s="465"/>
      <c r="N41" s="589"/>
      <c r="O41" s="171"/>
    </row>
    <row r="42" spans="1:15" ht="22.5" x14ac:dyDescent="0.4">
      <c r="A42" s="561" t="s">
        <v>168</v>
      </c>
      <c r="B42" s="401"/>
      <c r="C42" s="401"/>
      <c r="D42" s="402" t="s">
        <v>130</v>
      </c>
      <c r="E42" s="457">
        <v>316053.99</v>
      </c>
      <c r="F42" s="457">
        <v>316054</v>
      </c>
      <c r="G42" s="404">
        <f t="shared" si="7"/>
        <v>1.0000000009313226E-2</v>
      </c>
      <c r="H42" s="405">
        <f t="shared" si="8"/>
        <v>1.0000000009313226E-2</v>
      </c>
      <c r="I42" s="403"/>
      <c r="J42" s="407">
        <f>H42/DAY(B2)</f>
        <v>1.0000000009313226E-2</v>
      </c>
      <c r="K42" s="590"/>
      <c r="L42" s="465"/>
      <c r="N42" s="589"/>
      <c r="O42" s="171"/>
    </row>
    <row r="43" spans="1:15" ht="22.5" x14ac:dyDescent="0.4">
      <c r="A43" s="561" t="s">
        <v>169</v>
      </c>
      <c r="B43" s="401"/>
      <c r="C43" s="401"/>
      <c r="D43" s="402" t="s">
        <v>130</v>
      </c>
      <c r="E43" s="457">
        <v>1528598.6</v>
      </c>
      <c r="F43" s="457">
        <v>1531058</v>
      </c>
      <c r="G43" s="404">
        <f t="shared" si="7"/>
        <v>2459.3999999999069</v>
      </c>
      <c r="H43" s="405">
        <f t="shared" si="8"/>
        <v>2459.3999999999069</v>
      </c>
      <c r="I43" s="403"/>
      <c r="J43" s="407">
        <f>H43/DAY(B2)</f>
        <v>2459.3999999999069</v>
      </c>
      <c r="K43" s="590"/>
      <c r="L43" s="465"/>
      <c r="N43" s="589"/>
      <c r="O43" s="171"/>
    </row>
    <row r="44" spans="1:15" ht="22.5" x14ac:dyDescent="0.4">
      <c r="A44" s="561" t="s">
        <v>170</v>
      </c>
      <c r="B44" s="401"/>
      <c r="C44" s="401"/>
      <c r="D44" s="402" t="s">
        <v>130</v>
      </c>
      <c r="E44" s="457">
        <v>0</v>
      </c>
      <c r="F44" s="457">
        <v>0</v>
      </c>
      <c r="G44" s="404">
        <f t="shared" si="7"/>
        <v>0</v>
      </c>
      <c r="H44" s="405">
        <f t="shared" si="8"/>
        <v>0</v>
      </c>
      <c r="I44" s="403"/>
      <c r="J44" s="407">
        <f>H44/DAY(B2)</f>
        <v>0</v>
      </c>
      <c r="K44" s="590"/>
      <c r="L44" s="465"/>
      <c r="N44" s="589"/>
      <c r="O44" s="171"/>
    </row>
    <row r="45" spans="1:15" ht="22.5" x14ac:dyDescent="0.4">
      <c r="A45" s="561" t="s">
        <v>171</v>
      </c>
      <c r="B45" s="401"/>
      <c r="C45" s="401"/>
      <c r="D45" s="402" t="s">
        <v>130</v>
      </c>
      <c r="E45" s="457">
        <v>0</v>
      </c>
      <c r="F45" s="457">
        <v>0</v>
      </c>
      <c r="G45" s="404">
        <f t="shared" si="7"/>
        <v>0</v>
      </c>
      <c r="H45" s="405">
        <f t="shared" si="8"/>
        <v>0</v>
      </c>
      <c r="I45" s="403"/>
      <c r="J45" s="407">
        <f>H45/DAY(B2)</f>
        <v>0</v>
      </c>
      <c r="K45" s="590"/>
      <c r="L45" s="465"/>
      <c r="N45" s="589"/>
      <c r="O45" s="171"/>
    </row>
    <row r="46" spans="1:15" ht="22.5" x14ac:dyDescent="0.4">
      <c r="A46" s="561" t="s">
        <v>172</v>
      </c>
      <c r="B46" s="401"/>
      <c r="C46" s="401"/>
      <c r="D46" s="402" t="s">
        <v>130</v>
      </c>
      <c r="E46" s="457">
        <v>0</v>
      </c>
      <c r="F46" s="457">
        <v>0</v>
      </c>
      <c r="G46" s="404">
        <f t="shared" si="7"/>
        <v>0</v>
      </c>
      <c r="H46" s="405">
        <f t="shared" si="8"/>
        <v>0</v>
      </c>
      <c r="I46" s="403"/>
      <c r="J46" s="407">
        <f>H46/DAY(B2)</f>
        <v>0</v>
      </c>
      <c r="K46" s="590"/>
      <c r="L46" s="465"/>
      <c r="N46" s="589"/>
      <c r="O46" s="171"/>
    </row>
    <row r="47" spans="1:15" ht="22.5" x14ac:dyDescent="0.4">
      <c r="A47" s="564" t="s">
        <v>173</v>
      </c>
      <c r="B47" s="417"/>
      <c r="C47" s="417"/>
      <c r="D47" s="396"/>
      <c r="E47" s="392"/>
      <c r="F47" s="392"/>
      <c r="G47" s="429">
        <f>G35+G36+G37+G38+G39+G40+G41+G42+G43+G44+G45+G46</f>
        <v>12072.069999999994</v>
      </c>
      <c r="H47" s="405">
        <f t="shared" si="8"/>
        <v>12072.069999999994</v>
      </c>
      <c r="I47" s="403"/>
      <c r="J47" s="407">
        <f>H47/DAY(B2)</f>
        <v>12072.069999999994</v>
      </c>
      <c r="K47" s="590"/>
      <c r="L47" s="465"/>
      <c r="N47" s="589"/>
      <c r="O47" s="171"/>
    </row>
    <row r="48" spans="1:15" ht="22.5" x14ac:dyDescent="0.4">
      <c r="A48" s="570" t="s">
        <v>174</v>
      </c>
      <c r="B48" s="456"/>
      <c r="C48" s="456"/>
      <c r="D48" s="399"/>
      <c r="E48" s="398"/>
      <c r="F48" s="398"/>
      <c r="G48" s="399"/>
      <c r="H48" s="399"/>
      <c r="I48" s="399"/>
      <c r="J48" s="400"/>
      <c r="K48" s="590"/>
      <c r="L48" s="465"/>
      <c r="N48" s="589"/>
      <c r="O48" s="171"/>
    </row>
    <row r="49" spans="1:15" ht="22.5" x14ac:dyDescent="0.4">
      <c r="A49" s="561" t="s">
        <v>161</v>
      </c>
      <c r="B49" s="459"/>
      <c r="C49" s="459"/>
      <c r="D49" s="402" t="s">
        <v>130</v>
      </c>
      <c r="E49" s="457">
        <v>220513.33</v>
      </c>
      <c r="F49" s="457">
        <v>222237</v>
      </c>
      <c r="G49" s="404">
        <f t="shared" ref="G49:G58" si="9">F49-E49</f>
        <v>1723.6700000000128</v>
      </c>
      <c r="H49" s="405">
        <f t="shared" ref="H49:H60" si="10">G49</f>
        <v>1723.6700000000128</v>
      </c>
      <c r="I49" s="403"/>
      <c r="J49" s="407">
        <f>H49/DAY(B2)</f>
        <v>1723.6700000000128</v>
      </c>
      <c r="K49" s="590"/>
      <c r="L49" s="465"/>
      <c r="N49" s="589"/>
      <c r="O49" s="171"/>
    </row>
    <row r="50" spans="1:15" ht="22.5" x14ac:dyDescent="0.4">
      <c r="A50" s="561" t="s">
        <v>175</v>
      </c>
      <c r="B50" s="459"/>
      <c r="C50" s="459"/>
      <c r="D50" s="402" t="s">
        <v>130</v>
      </c>
      <c r="E50" s="457">
        <v>723223.19</v>
      </c>
      <c r="F50" s="457">
        <v>724683</v>
      </c>
      <c r="G50" s="404">
        <f t="shared" si="9"/>
        <v>1459.8100000000559</v>
      </c>
      <c r="H50" s="405">
        <f t="shared" si="10"/>
        <v>1459.8100000000559</v>
      </c>
      <c r="I50" s="403"/>
      <c r="J50" s="407">
        <f>H50/DAY(B2)</f>
        <v>1459.8100000000559</v>
      </c>
      <c r="K50" s="590"/>
      <c r="L50" s="465"/>
      <c r="N50" s="589"/>
      <c r="O50" s="171"/>
    </row>
    <row r="51" spans="1:15" ht="22.5" x14ac:dyDescent="0.4">
      <c r="A51" s="561" t="s">
        <v>163</v>
      </c>
      <c r="B51" s="459"/>
      <c r="C51" s="459"/>
      <c r="D51" s="402" t="s">
        <v>130</v>
      </c>
      <c r="E51" s="457">
        <v>0</v>
      </c>
      <c r="F51" s="457">
        <v>0</v>
      </c>
      <c r="G51" s="404">
        <f t="shared" si="9"/>
        <v>0</v>
      </c>
      <c r="H51" s="405">
        <f t="shared" si="10"/>
        <v>0</v>
      </c>
      <c r="I51" s="403"/>
      <c r="J51" s="407">
        <f>H51/DAY(B2)</f>
        <v>0</v>
      </c>
      <c r="K51" s="590"/>
      <c r="L51" s="465"/>
      <c r="N51" s="589"/>
      <c r="O51" s="171"/>
    </row>
    <row r="52" spans="1:15" ht="22.5" x14ac:dyDescent="0.4">
      <c r="A52" s="561" t="s">
        <v>176</v>
      </c>
      <c r="B52" s="459"/>
      <c r="C52" s="459"/>
      <c r="D52" s="402" t="s">
        <v>130</v>
      </c>
      <c r="E52" s="457">
        <v>0</v>
      </c>
      <c r="F52" s="457">
        <v>0</v>
      </c>
      <c r="G52" s="404">
        <f t="shared" si="9"/>
        <v>0</v>
      </c>
      <c r="H52" s="405">
        <f t="shared" si="10"/>
        <v>0</v>
      </c>
      <c r="I52" s="403"/>
      <c r="J52" s="407">
        <f>H52/DAY(B2)</f>
        <v>0</v>
      </c>
      <c r="K52" s="590"/>
      <c r="L52" s="465"/>
      <c r="N52" s="589"/>
      <c r="O52" s="171"/>
    </row>
    <row r="53" spans="1:15" ht="22.5" x14ac:dyDescent="0.4">
      <c r="A53" s="561" t="s">
        <v>165</v>
      </c>
      <c r="B53" s="459"/>
      <c r="C53" s="459"/>
      <c r="D53" s="402" t="s">
        <v>130</v>
      </c>
      <c r="E53" s="457">
        <v>0</v>
      </c>
      <c r="F53" s="457">
        <v>0</v>
      </c>
      <c r="G53" s="404">
        <f t="shared" si="9"/>
        <v>0</v>
      </c>
      <c r="H53" s="405">
        <f t="shared" si="10"/>
        <v>0</v>
      </c>
      <c r="I53" s="403"/>
      <c r="J53" s="407">
        <f>H53/DAY(B2)</f>
        <v>0</v>
      </c>
      <c r="K53" s="590"/>
      <c r="L53" s="465"/>
      <c r="N53" s="589"/>
      <c r="O53" s="171"/>
    </row>
    <row r="54" spans="1:15" ht="22.5" x14ac:dyDescent="0.4">
      <c r="A54" s="561" t="s">
        <v>177</v>
      </c>
      <c r="B54" s="459"/>
      <c r="C54" s="459"/>
      <c r="D54" s="402" t="s">
        <v>130</v>
      </c>
      <c r="E54" s="457">
        <v>3031.28</v>
      </c>
      <c r="F54" s="457">
        <v>3038</v>
      </c>
      <c r="G54" s="404">
        <f t="shared" si="9"/>
        <v>6.7199999999997999</v>
      </c>
      <c r="H54" s="405">
        <f t="shared" si="10"/>
        <v>6.7199999999997999</v>
      </c>
      <c r="I54" s="403"/>
      <c r="J54" s="407">
        <f>H54/DAY(B2)</f>
        <v>6.7199999999997999</v>
      </c>
      <c r="K54" s="590"/>
      <c r="L54" s="465"/>
      <c r="N54" s="589"/>
      <c r="O54" s="171"/>
    </row>
    <row r="55" spans="1:15" ht="22.5" x14ac:dyDescent="0.4">
      <c r="A55" s="561" t="s">
        <v>178</v>
      </c>
      <c r="B55" s="459"/>
      <c r="C55" s="459"/>
      <c r="D55" s="402" t="s">
        <v>130</v>
      </c>
      <c r="E55" s="457">
        <v>0</v>
      </c>
      <c r="F55" s="457">
        <v>0</v>
      </c>
      <c r="G55" s="404">
        <f t="shared" si="9"/>
        <v>0</v>
      </c>
      <c r="H55" s="405">
        <f t="shared" si="10"/>
        <v>0</v>
      </c>
      <c r="I55" s="403"/>
      <c r="J55" s="407">
        <f>H55/DAY(B2)</f>
        <v>0</v>
      </c>
      <c r="K55" s="590"/>
      <c r="L55" s="465"/>
      <c r="N55" s="589"/>
      <c r="O55" s="171"/>
    </row>
    <row r="56" spans="1:15" ht="22.5" x14ac:dyDescent="0.4">
      <c r="A56" s="561" t="s">
        <v>179</v>
      </c>
      <c r="B56" s="459"/>
      <c r="C56" s="459"/>
      <c r="D56" s="402" t="s">
        <v>180</v>
      </c>
      <c r="E56" s="457">
        <v>190514.95</v>
      </c>
      <c r="F56" s="457">
        <v>195914</v>
      </c>
      <c r="G56" s="404">
        <f t="shared" si="9"/>
        <v>5399.0499999999884</v>
      </c>
      <c r="H56" s="405">
        <f t="shared" si="10"/>
        <v>5399.0499999999884</v>
      </c>
      <c r="I56" s="403"/>
      <c r="J56" s="407">
        <f>H56/DAY(B2)</f>
        <v>5399.0499999999884</v>
      </c>
      <c r="K56" s="587"/>
      <c r="L56" s="465"/>
      <c r="N56" s="589"/>
      <c r="O56" s="171"/>
    </row>
    <row r="57" spans="1:15" ht="22.5" x14ac:dyDescent="0.4">
      <c r="A57" s="561" t="s">
        <v>169</v>
      </c>
      <c r="B57" s="459"/>
      <c r="C57" s="459"/>
      <c r="D57" s="402" t="s">
        <v>130</v>
      </c>
      <c r="E57" s="457">
        <v>0</v>
      </c>
      <c r="F57" s="457">
        <v>0</v>
      </c>
      <c r="G57" s="404">
        <f t="shared" si="9"/>
        <v>0</v>
      </c>
      <c r="H57" s="405">
        <f t="shared" si="10"/>
        <v>0</v>
      </c>
      <c r="I57" s="403"/>
      <c r="J57" s="407">
        <f>H57/DAY(B2)</f>
        <v>0</v>
      </c>
      <c r="K57" s="590"/>
      <c r="L57" s="465"/>
      <c r="N57" s="589"/>
      <c r="O57" s="171"/>
    </row>
    <row r="58" spans="1:15" ht="22.5" x14ac:dyDescent="0.4">
      <c r="A58" s="561" t="s">
        <v>181</v>
      </c>
      <c r="B58" s="459"/>
      <c r="C58" s="459"/>
      <c r="D58" s="402" t="s">
        <v>130</v>
      </c>
      <c r="E58" s="457">
        <v>85324.85</v>
      </c>
      <c r="F58" s="457">
        <v>85531</v>
      </c>
      <c r="G58" s="404">
        <f t="shared" si="9"/>
        <v>206.14999999999418</v>
      </c>
      <c r="H58" s="405">
        <f t="shared" si="10"/>
        <v>206.14999999999418</v>
      </c>
      <c r="I58" s="403"/>
      <c r="J58" s="407">
        <f>H58/DAY(B2)</f>
        <v>206.14999999999418</v>
      </c>
      <c r="K58" s="590"/>
      <c r="L58" s="465"/>
      <c r="N58" s="589"/>
      <c r="O58" s="171"/>
    </row>
    <row r="59" spans="1:15" ht="22.5" x14ac:dyDescent="0.4">
      <c r="A59" s="564" t="s">
        <v>173</v>
      </c>
      <c r="B59" s="417"/>
      <c r="C59" s="417"/>
      <c r="D59" s="392"/>
      <c r="E59" s="392"/>
      <c r="F59" s="392"/>
      <c r="G59" s="429">
        <f>G49+G50+G51+G52+G53+G54+G55+G56+G57+G58</f>
        <v>8795.4000000000506</v>
      </c>
      <c r="H59" s="405">
        <f t="shared" si="10"/>
        <v>8795.4000000000506</v>
      </c>
      <c r="I59" s="403">
        <f>G7-G60</f>
        <v>1800.5299999999552</v>
      </c>
      <c r="J59" s="407">
        <f>H59/DAY(B2)</f>
        <v>8795.4000000000506</v>
      </c>
      <c r="K59" s="590"/>
      <c r="L59" s="465"/>
      <c r="N59" s="589"/>
      <c r="O59" s="171"/>
    </row>
    <row r="60" spans="1:15" ht="22.5" x14ac:dyDescent="0.4">
      <c r="A60" s="561"/>
      <c r="B60" s="401"/>
      <c r="C60" s="401"/>
      <c r="D60" s="392" t="s">
        <v>182</v>
      </c>
      <c r="E60" s="392"/>
      <c r="F60" s="392"/>
      <c r="G60" s="429">
        <f>G47+G59</f>
        <v>20867.470000000045</v>
      </c>
      <c r="H60" s="405">
        <f t="shared" si="10"/>
        <v>20867.470000000045</v>
      </c>
      <c r="I60" s="403">
        <f>G13-G60</f>
        <v>-20867.470000000045</v>
      </c>
      <c r="J60" s="407">
        <f>H60/DAY(B2)</f>
        <v>20867.470000000045</v>
      </c>
      <c r="K60" s="590"/>
      <c r="L60" s="465"/>
      <c r="N60" s="589"/>
      <c r="O60" s="171"/>
    </row>
    <row r="61" spans="1:15" s="598" customFormat="1" ht="22.5" x14ac:dyDescent="0.4">
      <c r="A61" s="757" t="s">
        <v>332</v>
      </c>
      <c r="B61" s="758"/>
      <c r="C61" s="759"/>
      <c r="D61" s="460"/>
      <c r="E61" s="460"/>
      <c r="F61" s="460"/>
      <c r="G61" s="461"/>
      <c r="H61" s="460"/>
      <c r="I61" s="460"/>
      <c r="J61" s="462"/>
      <c r="K61" s="596"/>
      <c r="L61" s="597"/>
      <c r="N61" s="589"/>
      <c r="O61" s="171"/>
    </row>
    <row r="62" spans="1:15" ht="22.5" x14ac:dyDescent="0.4">
      <c r="A62" s="738" t="s">
        <v>198</v>
      </c>
      <c r="B62" s="739"/>
      <c r="C62" s="740"/>
      <c r="D62" s="402" t="s">
        <v>142</v>
      </c>
      <c r="E62" s="428">
        <v>263465</v>
      </c>
      <c r="F62" s="428">
        <v>263573</v>
      </c>
      <c r="G62" s="404">
        <f t="shared" ref="G62:G63" si="11">F62-E62</f>
        <v>108</v>
      </c>
      <c r="H62" s="405">
        <f t="shared" ref="H62:H71" si="12">G62</f>
        <v>108</v>
      </c>
      <c r="I62" s="416"/>
      <c r="J62" s="407">
        <f>H62/DAY(B2)</f>
        <v>108</v>
      </c>
      <c r="K62" s="591"/>
      <c r="L62" s="465"/>
      <c r="N62" s="589"/>
      <c r="O62" s="171"/>
    </row>
    <row r="63" spans="1:15" ht="22.5" x14ac:dyDescent="0.4">
      <c r="A63" s="738" t="s">
        <v>199</v>
      </c>
      <c r="B63" s="739"/>
      <c r="C63" s="740"/>
      <c r="D63" s="402" t="s">
        <v>142</v>
      </c>
      <c r="E63" s="428">
        <v>209375</v>
      </c>
      <c r="F63" s="428">
        <v>209469</v>
      </c>
      <c r="G63" s="404">
        <f t="shared" si="11"/>
        <v>94</v>
      </c>
      <c r="H63" s="405">
        <f t="shared" si="12"/>
        <v>94</v>
      </c>
      <c r="I63" s="416"/>
      <c r="J63" s="407">
        <f>H63/DAY(B2)</f>
        <v>94</v>
      </c>
      <c r="K63" s="596"/>
      <c r="L63" s="465"/>
      <c r="N63" s="589"/>
      <c r="O63" s="171"/>
    </row>
    <row r="64" spans="1:15" ht="22.5" x14ac:dyDescent="0.4">
      <c r="A64" s="723" t="s">
        <v>200</v>
      </c>
      <c r="B64" s="724"/>
      <c r="C64" s="725"/>
      <c r="D64" s="402"/>
      <c r="E64" s="428"/>
      <c r="F64" s="428"/>
      <c r="G64" s="404">
        <f>G62+G63</f>
        <v>202</v>
      </c>
      <c r="H64" s="405">
        <f t="shared" si="12"/>
        <v>202</v>
      </c>
      <c r="I64" s="416"/>
      <c r="J64" s="407">
        <f>H64/DAY(B2)</f>
        <v>202</v>
      </c>
      <c r="K64" s="596"/>
      <c r="L64" s="465"/>
      <c r="N64" s="589"/>
      <c r="O64" s="171"/>
    </row>
    <row r="65" spans="1:15" ht="22.5" x14ac:dyDescent="0.4">
      <c r="A65" s="750" t="s">
        <v>201</v>
      </c>
      <c r="B65" s="751"/>
      <c r="C65" s="752"/>
      <c r="D65" s="402" t="s">
        <v>142</v>
      </c>
      <c r="E65" s="428">
        <v>429363</v>
      </c>
      <c r="F65" s="428">
        <v>429449</v>
      </c>
      <c r="G65" s="404">
        <f t="shared" ref="G65:G70" si="13">F65-E65</f>
        <v>86</v>
      </c>
      <c r="H65" s="405">
        <f t="shared" si="12"/>
        <v>86</v>
      </c>
      <c r="I65" s="416"/>
      <c r="J65" s="407">
        <f>H65/DAY(B2)</f>
        <v>86</v>
      </c>
      <c r="K65" s="596"/>
      <c r="L65" s="465"/>
      <c r="N65" s="589"/>
      <c r="O65" s="171"/>
    </row>
    <row r="66" spans="1:15" ht="22.5" x14ac:dyDescent="0.4">
      <c r="A66" s="565" t="s">
        <v>202</v>
      </c>
      <c r="B66" s="420"/>
      <c r="C66" s="420"/>
      <c r="D66" s="402" t="s">
        <v>142</v>
      </c>
      <c r="E66" s="428">
        <v>106599</v>
      </c>
      <c r="F66" s="428">
        <v>106617</v>
      </c>
      <c r="G66" s="404">
        <f t="shared" si="13"/>
        <v>18</v>
      </c>
      <c r="H66" s="405">
        <f t="shared" si="12"/>
        <v>18</v>
      </c>
      <c r="I66" s="416"/>
      <c r="J66" s="407">
        <f>H66/DAY(B2)</f>
        <v>18</v>
      </c>
      <c r="K66" s="587"/>
      <c r="L66" s="465"/>
      <c r="N66" s="589"/>
      <c r="O66" s="171"/>
    </row>
    <row r="67" spans="1:15" ht="22.5" x14ac:dyDescent="0.4">
      <c r="A67" s="565" t="s">
        <v>203</v>
      </c>
      <c r="B67" s="420"/>
      <c r="C67" s="420"/>
      <c r="D67" s="402" t="s">
        <v>142</v>
      </c>
      <c r="E67" s="655">
        <v>103011</v>
      </c>
      <c r="F67" s="428">
        <v>103036</v>
      </c>
      <c r="G67" s="404">
        <f t="shared" si="13"/>
        <v>25</v>
      </c>
      <c r="H67" s="405">
        <f t="shared" si="12"/>
        <v>25</v>
      </c>
      <c r="I67" s="416"/>
      <c r="J67" s="407">
        <f>H67/DAY(B2)</f>
        <v>25</v>
      </c>
      <c r="K67" s="599"/>
      <c r="L67" s="465"/>
      <c r="N67" s="589"/>
      <c r="O67" s="171"/>
    </row>
    <row r="68" spans="1:15" ht="22.5" x14ac:dyDescent="0.4">
      <c r="A68" s="565" t="s">
        <v>204</v>
      </c>
      <c r="B68" s="420"/>
      <c r="C68" s="420"/>
      <c r="D68" s="402" t="s">
        <v>142</v>
      </c>
      <c r="E68" s="428">
        <v>155440</v>
      </c>
      <c r="F68" s="428">
        <v>155474</v>
      </c>
      <c r="G68" s="404">
        <f t="shared" si="13"/>
        <v>34</v>
      </c>
      <c r="H68" s="405">
        <f t="shared" si="12"/>
        <v>34</v>
      </c>
      <c r="I68" s="416"/>
      <c r="J68" s="407">
        <f>H68/DAY(B2)</f>
        <v>34</v>
      </c>
      <c r="K68" s="596"/>
      <c r="L68" s="465"/>
      <c r="N68" s="589"/>
      <c r="O68" s="171"/>
    </row>
    <row r="69" spans="1:15" ht="22.5" x14ac:dyDescent="0.4">
      <c r="A69" s="565" t="s">
        <v>205</v>
      </c>
      <c r="B69" s="420"/>
      <c r="C69" s="420"/>
      <c r="D69" s="402" t="s">
        <v>142</v>
      </c>
      <c r="E69" s="428">
        <v>9843</v>
      </c>
      <c r="F69" s="428">
        <v>9853</v>
      </c>
      <c r="G69" s="404">
        <f t="shared" si="13"/>
        <v>10</v>
      </c>
      <c r="H69" s="405">
        <f t="shared" si="12"/>
        <v>10</v>
      </c>
      <c r="I69" s="416"/>
      <c r="J69" s="407">
        <f>H69/DAY(B2)</f>
        <v>10</v>
      </c>
      <c r="K69" s="596"/>
      <c r="L69" s="465"/>
      <c r="N69" s="589"/>
      <c r="O69" s="171"/>
    </row>
    <row r="70" spans="1:15" ht="22.5" x14ac:dyDescent="0.4">
      <c r="A70" s="565" t="s">
        <v>206</v>
      </c>
      <c r="B70" s="420"/>
      <c r="C70" s="420"/>
      <c r="D70" s="402" t="s">
        <v>142</v>
      </c>
      <c r="E70" s="655">
        <v>7542</v>
      </c>
      <c r="F70" s="428">
        <v>7548</v>
      </c>
      <c r="G70" s="404">
        <f t="shared" si="13"/>
        <v>6</v>
      </c>
      <c r="H70" s="405">
        <f t="shared" si="12"/>
        <v>6</v>
      </c>
      <c r="I70" s="416"/>
      <c r="J70" s="407">
        <f>H70/DAY(B2)</f>
        <v>6</v>
      </c>
      <c r="K70" s="596"/>
      <c r="L70" s="465"/>
      <c r="N70" s="589"/>
      <c r="O70" s="171"/>
    </row>
    <row r="71" spans="1:15" ht="22.5" x14ac:dyDescent="0.4">
      <c r="A71" s="723" t="s">
        <v>208</v>
      </c>
      <c r="B71" s="724"/>
      <c r="C71" s="725"/>
      <c r="D71" s="425"/>
      <c r="E71" s="425"/>
      <c r="F71" s="425"/>
      <c r="G71" s="463">
        <f>SUM(G65:G70)</f>
        <v>179</v>
      </c>
      <c r="H71" s="405">
        <f t="shared" si="12"/>
        <v>179</v>
      </c>
      <c r="I71" s="464"/>
      <c r="J71" s="407">
        <f>H71/DAY(B2)</f>
        <v>179</v>
      </c>
      <c r="K71" s="596"/>
      <c r="L71" s="465"/>
      <c r="N71" s="589"/>
      <c r="O71" s="171"/>
    </row>
    <row r="72" spans="1:15" ht="22.5" x14ac:dyDescent="0.4">
      <c r="A72" s="760"/>
      <c r="B72" s="737"/>
      <c r="C72" s="551"/>
      <c r="D72" s="465"/>
      <c r="E72" s="465"/>
      <c r="F72" s="465"/>
      <c r="G72" s="465"/>
      <c r="H72" s="466"/>
      <c r="I72" s="465"/>
      <c r="J72" s="467"/>
      <c r="N72" s="589"/>
      <c r="O72" s="171"/>
    </row>
    <row r="73" spans="1:15" ht="22.5" x14ac:dyDescent="0.4">
      <c r="A73" s="757" t="s">
        <v>333</v>
      </c>
      <c r="B73" s="758"/>
      <c r="C73" s="759"/>
      <c r="D73" s="460"/>
      <c r="E73" s="460"/>
      <c r="F73" s="460"/>
      <c r="G73" s="468"/>
      <c r="H73" s="468"/>
      <c r="I73" s="468"/>
      <c r="J73" s="469"/>
      <c r="K73" s="596"/>
      <c r="L73" s="465"/>
      <c r="N73" s="589"/>
      <c r="O73" s="171"/>
    </row>
    <row r="74" spans="1:15" ht="22.5" x14ac:dyDescent="0.4">
      <c r="A74" s="738" t="s">
        <v>220</v>
      </c>
      <c r="B74" s="739"/>
      <c r="C74" s="740"/>
      <c r="D74" s="402" t="s">
        <v>139</v>
      </c>
      <c r="E74" s="421">
        <v>882253.049</v>
      </c>
      <c r="F74" s="421">
        <v>882559</v>
      </c>
      <c r="G74" s="404">
        <f t="shared" ref="G74:G78" si="14">F74-E74</f>
        <v>305.95100000000093</v>
      </c>
      <c r="H74" s="405">
        <f t="shared" ref="H74:H79" si="15">G74</f>
        <v>305.95100000000093</v>
      </c>
      <c r="I74" s="464"/>
      <c r="J74" s="407">
        <f>H74/DAY(B2)</f>
        <v>305.95100000000093</v>
      </c>
      <c r="K74" s="596"/>
      <c r="L74" s="465"/>
      <c r="N74" s="589"/>
      <c r="O74" s="171"/>
    </row>
    <row r="75" spans="1:15" ht="22.5" x14ac:dyDescent="0.4">
      <c r="A75" s="738" t="s">
        <v>221</v>
      </c>
      <c r="B75" s="739"/>
      <c r="C75" s="740"/>
      <c r="D75" s="402" t="s">
        <v>139</v>
      </c>
      <c r="E75" s="421">
        <v>73586.8</v>
      </c>
      <c r="F75" s="421">
        <v>73586.8</v>
      </c>
      <c r="G75" s="404">
        <f t="shared" si="14"/>
        <v>0</v>
      </c>
      <c r="H75" s="405">
        <f t="shared" si="15"/>
        <v>0</v>
      </c>
      <c r="I75" s="464"/>
      <c r="J75" s="407">
        <f>H75/DAY(B2)</f>
        <v>0</v>
      </c>
      <c r="K75" s="596"/>
      <c r="L75" s="465"/>
      <c r="N75" s="589"/>
      <c r="O75" s="171"/>
    </row>
    <row r="76" spans="1:15" ht="22.5" x14ac:dyDescent="0.4">
      <c r="A76" s="761" t="s">
        <v>222</v>
      </c>
      <c r="B76" s="762"/>
      <c r="C76" s="763"/>
      <c r="D76" s="402" t="s">
        <v>139</v>
      </c>
      <c r="E76" s="421">
        <v>163384</v>
      </c>
      <c r="F76" s="421">
        <v>163500</v>
      </c>
      <c r="G76" s="404">
        <f t="shared" si="14"/>
        <v>116</v>
      </c>
      <c r="H76" s="405">
        <f t="shared" si="15"/>
        <v>116</v>
      </c>
      <c r="I76" s="464"/>
      <c r="J76" s="407">
        <f>H76/DAY(B2)</f>
        <v>116</v>
      </c>
      <c r="K76" s="596"/>
      <c r="L76" s="465"/>
      <c r="N76" s="589"/>
      <c r="O76" s="171"/>
    </row>
    <row r="77" spans="1:15" ht="22.5" x14ac:dyDescent="0.4">
      <c r="A77" s="761" t="s">
        <v>223</v>
      </c>
      <c r="B77" s="762"/>
      <c r="C77" s="763"/>
      <c r="D77" s="402" t="s">
        <v>139</v>
      </c>
      <c r="E77" s="421">
        <v>38810</v>
      </c>
      <c r="F77" s="421">
        <v>38855</v>
      </c>
      <c r="G77" s="404">
        <f t="shared" si="14"/>
        <v>45</v>
      </c>
      <c r="H77" s="405">
        <f t="shared" si="15"/>
        <v>45</v>
      </c>
      <c r="I77" s="464"/>
      <c r="J77" s="407">
        <f>H77/DAY(B2)</f>
        <v>45</v>
      </c>
      <c r="K77" s="596"/>
      <c r="L77" s="465"/>
      <c r="N77" s="589"/>
      <c r="O77" s="171"/>
    </row>
    <row r="78" spans="1:15" ht="22.5" x14ac:dyDescent="0.4">
      <c r="A78" s="761" t="s">
        <v>224</v>
      </c>
      <c r="B78" s="762"/>
      <c r="C78" s="763"/>
      <c r="D78" s="402" t="s">
        <v>139</v>
      </c>
      <c r="E78" s="421">
        <v>9412</v>
      </c>
      <c r="F78" s="421">
        <v>9414</v>
      </c>
      <c r="G78" s="404">
        <f t="shared" si="14"/>
        <v>2</v>
      </c>
      <c r="H78" s="405">
        <f t="shared" si="15"/>
        <v>2</v>
      </c>
      <c r="I78" s="416"/>
      <c r="J78" s="407">
        <f>H78/DAY(B2)</f>
        <v>2</v>
      </c>
      <c r="K78" s="596"/>
      <c r="L78" s="465"/>
      <c r="N78" s="589"/>
      <c r="O78" s="171"/>
    </row>
    <row r="79" spans="1:15" ht="22.5" x14ac:dyDescent="0.4">
      <c r="A79" s="761" t="s">
        <v>225</v>
      </c>
      <c r="B79" s="762"/>
      <c r="C79" s="763"/>
      <c r="D79" s="402"/>
      <c r="E79" s="414"/>
      <c r="F79" s="421"/>
      <c r="G79" s="404">
        <f>G15-SUM(G74:G78)</f>
        <v>605.04899999999907</v>
      </c>
      <c r="H79" s="405">
        <f t="shared" si="15"/>
        <v>605.04899999999907</v>
      </c>
      <c r="I79" s="416"/>
      <c r="J79" s="407"/>
      <c r="K79" s="596"/>
      <c r="L79" s="465"/>
      <c r="N79" s="589"/>
      <c r="O79" s="171"/>
    </row>
    <row r="80" spans="1:15" ht="22.5" x14ac:dyDescent="0.4">
      <c r="A80" s="723" t="s">
        <v>329</v>
      </c>
      <c r="B80" s="724"/>
      <c r="C80" s="725"/>
      <c r="D80" s="402"/>
      <c r="E80" s="414"/>
      <c r="F80" s="414"/>
      <c r="G80" s="404">
        <f>SUM(G74:G79)</f>
        <v>1074</v>
      </c>
      <c r="H80" s="405"/>
      <c r="I80" s="416"/>
      <c r="J80" s="407"/>
      <c r="K80" s="596"/>
      <c r="L80" s="465"/>
      <c r="N80" s="589"/>
      <c r="O80" s="171"/>
    </row>
    <row r="81" spans="1:15" ht="22.5" x14ac:dyDescent="0.4">
      <c r="A81" s="764" t="s">
        <v>226</v>
      </c>
      <c r="B81" s="765"/>
      <c r="C81" s="766"/>
      <c r="D81" s="398"/>
      <c r="E81" s="398"/>
      <c r="F81" s="398"/>
      <c r="G81" s="470"/>
      <c r="H81" s="470"/>
      <c r="I81" s="470"/>
      <c r="J81" s="471"/>
      <c r="O81" s="171"/>
    </row>
    <row r="82" spans="1:15" ht="22.5" x14ac:dyDescent="0.4">
      <c r="A82" s="565" t="s">
        <v>227</v>
      </c>
      <c r="B82" s="420"/>
      <c r="C82" s="420"/>
      <c r="D82" s="402" t="s">
        <v>228</v>
      </c>
      <c r="E82" s="428">
        <v>0</v>
      </c>
      <c r="F82" s="428">
        <v>0</v>
      </c>
      <c r="G82" s="404">
        <f t="shared" ref="G82:G92" si="16">F82-E82</f>
        <v>0</v>
      </c>
      <c r="H82" s="405">
        <f t="shared" ref="H82:H92" si="17">G82</f>
        <v>0</v>
      </c>
      <c r="I82" s="416"/>
      <c r="J82" s="407">
        <f>H82/DAY(B2)</f>
        <v>0</v>
      </c>
      <c r="O82" s="171"/>
    </row>
    <row r="83" spans="1:15" ht="22.5" x14ac:dyDescent="0.4">
      <c r="A83" s="565" t="s">
        <v>229</v>
      </c>
      <c r="B83" s="420"/>
      <c r="C83" s="420"/>
      <c r="D83" s="402" t="s">
        <v>228</v>
      </c>
      <c r="E83" s="428">
        <v>0</v>
      </c>
      <c r="F83" s="428">
        <v>0</v>
      </c>
      <c r="G83" s="404">
        <f t="shared" si="16"/>
        <v>0</v>
      </c>
      <c r="H83" s="405">
        <f t="shared" si="17"/>
        <v>0</v>
      </c>
      <c r="I83" s="416"/>
      <c r="J83" s="407">
        <f>H83/DAY(B2)</f>
        <v>0</v>
      </c>
      <c r="O83" s="171"/>
    </row>
    <row r="84" spans="1:15" ht="22.5" x14ac:dyDescent="0.4">
      <c r="A84" s="565" t="s">
        <v>230</v>
      </c>
      <c r="B84" s="420"/>
      <c r="C84" s="420"/>
      <c r="D84" s="402" t="s">
        <v>228</v>
      </c>
      <c r="E84" s="472">
        <v>41628.559999999998</v>
      </c>
      <c r="F84" s="472">
        <v>41628.559999999998</v>
      </c>
      <c r="G84" s="404">
        <f t="shared" si="16"/>
        <v>0</v>
      </c>
      <c r="H84" s="405">
        <f t="shared" si="17"/>
        <v>0</v>
      </c>
      <c r="I84" s="416"/>
      <c r="J84" s="407">
        <f>H84/DAY(B2)</f>
        <v>0</v>
      </c>
      <c r="O84" s="171"/>
    </row>
    <row r="85" spans="1:15" ht="22.5" x14ac:dyDescent="0.4">
      <c r="A85" s="565" t="s">
        <v>231</v>
      </c>
      <c r="B85" s="420"/>
      <c r="C85" s="420"/>
      <c r="D85" s="402" t="s">
        <v>228</v>
      </c>
      <c r="E85" s="472">
        <v>1503.56</v>
      </c>
      <c r="F85" s="472">
        <v>1503.56</v>
      </c>
      <c r="G85" s="404">
        <f t="shared" si="16"/>
        <v>0</v>
      </c>
      <c r="H85" s="405">
        <f t="shared" si="17"/>
        <v>0</v>
      </c>
      <c r="I85" s="416">
        <f>G82+G83+G84+G85</f>
        <v>0</v>
      </c>
      <c r="J85" s="407">
        <f>H85/DAY(B2)</f>
        <v>0</v>
      </c>
      <c r="O85" s="171"/>
    </row>
    <row r="86" spans="1:15" ht="22.5" x14ac:dyDescent="0.4">
      <c r="A86" s="565" t="s">
        <v>232</v>
      </c>
      <c r="B86" s="420"/>
      <c r="C86" s="420"/>
      <c r="D86" s="402" t="s">
        <v>228</v>
      </c>
      <c r="E86" s="472">
        <v>42826</v>
      </c>
      <c r="F86" s="472">
        <v>42826</v>
      </c>
      <c r="G86" s="404">
        <f t="shared" si="16"/>
        <v>0</v>
      </c>
      <c r="H86" s="405">
        <f t="shared" si="17"/>
        <v>0</v>
      </c>
      <c r="I86" s="416"/>
      <c r="J86" s="407">
        <f>H86/DAY(B2)</f>
        <v>0</v>
      </c>
      <c r="O86" s="171"/>
    </row>
    <row r="87" spans="1:15" ht="22.5" x14ac:dyDescent="0.4">
      <c r="A87" s="565" t="s">
        <v>233</v>
      </c>
      <c r="B87" s="420"/>
      <c r="C87" s="420"/>
      <c r="D87" s="402" t="s">
        <v>228</v>
      </c>
      <c r="E87" s="472">
        <v>34420.400000000001</v>
      </c>
      <c r="F87" s="472">
        <v>34444.29</v>
      </c>
      <c r="G87" s="404">
        <f t="shared" si="16"/>
        <v>23.889999999999418</v>
      </c>
      <c r="H87" s="405">
        <f t="shared" si="17"/>
        <v>23.889999999999418</v>
      </c>
      <c r="I87" s="416"/>
      <c r="J87" s="407">
        <f>H87/DAY(B2)</f>
        <v>23.889999999999418</v>
      </c>
      <c r="O87" s="171"/>
    </row>
    <row r="88" spans="1:15" ht="22.5" x14ac:dyDescent="0.4">
      <c r="A88" s="565" t="s">
        <v>234</v>
      </c>
      <c r="B88" s="420"/>
      <c r="C88" s="420"/>
      <c r="D88" s="402" t="s">
        <v>228</v>
      </c>
      <c r="E88" s="472">
        <v>23952.49</v>
      </c>
      <c r="F88" s="472">
        <v>23961.48</v>
      </c>
      <c r="G88" s="404">
        <f t="shared" si="16"/>
        <v>8.9899999999979627</v>
      </c>
      <c r="H88" s="405">
        <f t="shared" si="17"/>
        <v>8.9899999999979627</v>
      </c>
      <c r="I88" s="416">
        <f>G86+G87+G88</f>
        <v>32.879999999997381</v>
      </c>
      <c r="J88" s="407">
        <f>H88/DAY(B2)</f>
        <v>8.9899999999979627</v>
      </c>
      <c r="O88" s="171"/>
    </row>
    <row r="89" spans="1:15" ht="22.5" x14ac:dyDescent="0.4">
      <c r="A89" s="565" t="s">
        <v>235</v>
      </c>
      <c r="B89" s="420"/>
      <c r="C89" s="420"/>
      <c r="D89" s="402" t="s">
        <v>228</v>
      </c>
      <c r="E89" s="472">
        <v>25427.49</v>
      </c>
      <c r="F89" s="472">
        <v>25427.49</v>
      </c>
      <c r="G89" s="404">
        <f t="shared" si="16"/>
        <v>0</v>
      </c>
      <c r="H89" s="405">
        <f t="shared" si="17"/>
        <v>0</v>
      </c>
      <c r="I89" s="416"/>
      <c r="J89" s="407">
        <f>H89/DAY(B2)</f>
        <v>0</v>
      </c>
      <c r="O89" s="171"/>
    </row>
    <row r="90" spans="1:15" ht="22.5" x14ac:dyDescent="0.4">
      <c r="A90" s="565" t="s">
        <v>236</v>
      </c>
      <c r="B90" s="420"/>
      <c r="C90" s="420"/>
      <c r="D90" s="402" t="s">
        <v>228</v>
      </c>
      <c r="E90" s="472">
        <v>70828.27</v>
      </c>
      <c r="F90" s="472">
        <v>70835</v>
      </c>
      <c r="G90" s="404">
        <f t="shared" si="16"/>
        <v>6.7299999999959255</v>
      </c>
      <c r="H90" s="405">
        <f t="shared" si="17"/>
        <v>6.7299999999959255</v>
      </c>
      <c r="I90" s="416">
        <f>G89+G90</f>
        <v>6.7299999999959255</v>
      </c>
      <c r="J90" s="407">
        <f>H90/DAY(B2)</f>
        <v>6.7299999999959255</v>
      </c>
      <c r="O90" s="171"/>
    </row>
    <row r="91" spans="1:15" ht="22.5" x14ac:dyDescent="0.4">
      <c r="A91" s="565" t="s">
        <v>237</v>
      </c>
      <c r="B91" s="420"/>
      <c r="C91" s="420"/>
      <c r="D91" s="402" t="s">
        <v>228</v>
      </c>
      <c r="E91" s="428">
        <v>3226</v>
      </c>
      <c r="F91" s="428">
        <v>3226</v>
      </c>
      <c r="G91" s="404">
        <f t="shared" si="16"/>
        <v>0</v>
      </c>
      <c r="H91" s="405">
        <f t="shared" si="17"/>
        <v>0</v>
      </c>
      <c r="I91" s="473"/>
      <c r="J91" s="407">
        <f>H91/DAY(B2)</f>
        <v>0</v>
      </c>
      <c r="O91" s="171"/>
    </row>
    <row r="92" spans="1:15" ht="22.5" x14ac:dyDescent="0.4">
      <c r="A92" s="565" t="s">
        <v>238</v>
      </c>
      <c r="B92" s="420"/>
      <c r="C92" s="420"/>
      <c r="D92" s="402" t="s">
        <v>228</v>
      </c>
      <c r="E92" s="428">
        <v>5095.8999999999996</v>
      </c>
      <c r="F92" s="428">
        <v>5106.55</v>
      </c>
      <c r="G92" s="404">
        <f t="shared" si="16"/>
        <v>10.650000000000546</v>
      </c>
      <c r="H92" s="405">
        <f t="shared" si="17"/>
        <v>10.650000000000546</v>
      </c>
      <c r="I92" s="473"/>
      <c r="J92" s="407">
        <f>H92/DAY(B2)</f>
        <v>10.650000000000546</v>
      </c>
      <c r="O92" s="171"/>
    </row>
    <row r="93" spans="1:15" ht="22.5" x14ac:dyDescent="0.4">
      <c r="A93" s="767" t="s">
        <v>239</v>
      </c>
      <c r="B93" s="768"/>
      <c r="C93" s="769"/>
      <c r="D93" s="399"/>
      <c r="E93" s="399"/>
      <c r="F93" s="399"/>
      <c r="G93" s="419"/>
      <c r="H93" s="419"/>
      <c r="I93" s="419"/>
      <c r="J93" s="474"/>
      <c r="K93" s="596"/>
      <c r="L93" s="465"/>
      <c r="O93" s="171"/>
    </row>
    <row r="94" spans="1:15" ht="22.5" x14ac:dyDescent="0.4">
      <c r="A94" s="738" t="s">
        <v>240</v>
      </c>
      <c r="B94" s="739"/>
      <c r="C94" s="740"/>
      <c r="D94" s="402" t="s">
        <v>130</v>
      </c>
      <c r="E94" s="402"/>
      <c r="F94" s="402"/>
      <c r="G94" s="405">
        <f>G35+G43+G49+G57</f>
        <v>6299.439999999915</v>
      </c>
      <c r="H94" s="405">
        <f t="shared" ref="H94:H105" si="18">G94</f>
        <v>6299.439999999915</v>
      </c>
      <c r="I94" s="416"/>
      <c r="J94" s="407">
        <f>H94/DAY(B2)</f>
        <v>6299.439999999915</v>
      </c>
      <c r="K94" s="596"/>
      <c r="L94" s="465"/>
      <c r="O94" s="171"/>
    </row>
    <row r="95" spans="1:15" ht="22.5" x14ac:dyDescent="0.4">
      <c r="A95" s="738" t="s">
        <v>241</v>
      </c>
      <c r="B95" s="739"/>
      <c r="C95" s="740"/>
      <c r="D95" s="402" t="s">
        <v>23</v>
      </c>
      <c r="E95" s="392"/>
      <c r="F95" s="392"/>
      <c r="G95" s="475">
        <f>G94/G7</f>
        <v>0.277900123522142</v>
      </c>
      <c r="H95" s="405">
        <f t="shared" si="18"/>
        <v>0.277900123522142</v>
      </c>
      <c r="I95" s="476"/>
      <c r="J95" s="407">
        <f>H95/DAY(B2)</f>
        <v>0.277900123522142</v>
      </c>
      <c r="K95" s="596"/>
      <c r="L95" s="465"/>
      <c r="O95" s="171"/>
    </row>
    <row r="96" spans="1:15" ht="22.5" x14ac:dyDescent="0.4">
      <c r="A96" s="738" t="s">
        <v>242</v>
      </c>
      <c r="B96" s="739"/>
      <c r="C96" s="740"/>
      <c r="D96" s="402" t="s">
        <v>130</v>
      </c>
      <c r="E96" s="403"/>
      <c r="F96" s="403"/>
      <c r="G96" s="405">
        <f>G41+G42+G55+G56</f>
        <v>5399.3500000000349</v>
      </c>
      <c r="H96" s="405">
        <f t="shared" si="18"/>
        <v>5399.3500000000349</v>
      </c>
      <c r="I96" s="416"/>
      <c r="J96" s="407">
        <f>H96/DAY(B2)</f>
        <v>5399.3500000000349</v>
      </c>
      <c r="K96" s="596"/>
      <c r="L96" s="465"/>
      <c r="O96" s="171"/>
    </row>
    <row r="97" spans="1:15" ht="22.5" x14ac:dyDescent="0.4">
      <c r="A97" s="738" t="s">
        <v>243</v>
      </c>
      <c r="B97" s="739"/>
      <c r="C97" s="740"/>
      <c r="D97" s="402" t="s">
        <v>23</v>
      </c>
      <c r="E97" s="403"/>
      <c r="F97" s="403"/>
      <c r="G97" s="475">
        <f>G96/G7</f>
        <v>0.23819260631727698</v>
      </c>
      <c r="H97" s="405">
        <f t="shared" si="18"/>
        <v>0.23819260631727698</v>
      </c>
      <c r="I97" s="476"/>
      <c r="J97" s="407">
        <f>H97/DAY(B2)</f>
        <v>0.23819260631727698</v>
      </c>
      <c r="K97" s="596"/>
      <c r="L97" s="465"/>
      <c r="O97" s="171"/>
    </row>
    <row r="98" spans="1:15" ht="22.5" x14ac:dyDescent="0.4">
      <c r="A98" s="738" t="s">
        <v>244</v>
      </c>
      <c r="B98" s="739"/>
      <c r="C98" s="740"/>
      <c r="D98" s="402" t="s">
        <v>130</v>
      </c>
      <c r="E98" s="403"/>
      <c r="F98" s="403"/>
      <c r="G98" s="405">
        <f>G39+G53</f>
        <v>2945.710000000021</v>
      </c>
      <c r="H98" s="405">
        <f t="shared" si="18"/>
        <v>2945.710000000021</v>
      </c>
      <c r="I98" s="477"/>
      <c r="J98" s="407">
        <f>H98/DAY(B2)</f>
        <v>2945.710000000021</v>
      </c>
      <c r="K98" s="596"/>
      <c r="L98" s="465"/>
      <c r="O98" s="171"/>
    </row>
    <row r="99" spans="1:15" ht="22.5" x14ac:dyDescent="0.4">
      <c r="A99" s="738" t="s">
        <v>245</v>
      </c>
      <c r="B99" s="739"/>
      <c r="C99" s="740"/>
      <c r="D99" s="402" t="s">
        <v>23</v>
      </c>
      <c r="E99" s="403"/>
      <c r="F99" s="403"/>
      <c r="G99" s="475">
        <f>G98/G7</f>
        <v>0.1299501499911779</v>
      </c>
      <c r="H99" s="405">
        <f t="shared" si="18"/>
        <v>0.1299501499911779</v>
      </c>
      <c r="I99" s="477"/>
      <c r="J99" s="407">
        <f>H99/DAY(B2)</f>
        <v>0.1299501499911779</v>
      </c>
      <c r="O99" s="171"/>
    </row>
    <row r="100" spans="1:15" ht="22.5" x14ac:dyDescent="0.4">
      <c r="A100" s="738" t="s">
        <v>246</v>
      </c>
      <c r="B100" s="739"/>
      <c r="C100" s="740"/>
      <c r="D100" s="402" t="s">
        <v>180</v>
      </c>
      <c r="E100" s="403"/>
      <c r="F100" s="403"/>
      <c r="G100" s="405">
        <f>G38+G52</f>
        <v>1904.9500000000116</v>
      </c>
      <c r="H100" s="405">
        <f t="shared" si="18"/>
        <v>1904.9500000000116</v>
      </c>
      <c r="I100" s="416"/>
      <c r="J100" s="407">
        <f>H100/DAY(B2)</f>
        <v>1904.9500000000116</v>
      </c>
      <c r="K100" s="600"/>
      <c r="O100" s="171"/>
    </row>
    <row r="101" spans="1:15" ht="22.5" x14ac:dyDescent="0.4">
      <c r="A101" s="738" t="s">
        <v>247</v>
      </c>
      <c r="B101" s="739"/>
      <c r="C101" s="740"/>
      <c r="D101" s="402" t="s">
        <v>23</v>
      </c>
      <c r="E101" s="403"/>
      <c r="F101" s="403"/>
      <c r="G101" s="475">
        <f>G100/G7</f>
        <v>8.4036968413623236E-2</v>
      </c>
      <c r="H101" s="405">
        <f t="shared" si="18"/>
        <v>8.4036968413623236E-2</v>
      </c>
      <c r="I101" s="477"/>
      <c r="J101" s="407">
        <f>H101/DAY(B2)</f>
        <v>8.4036968413623236E-2</v>
      </c>
      <c r="O101" s="171"/>
    </row>
    <row r="102" spans="1:15" ht="22.5" x14ac:dyDescent="0.4">
      <c r="A102" s="738" t="s">
        <v>248</v>
      </c>
      <c r="B102" s="739"/>
      <c r="C102" s="740"/>
      <c r="D102" s="402" t="s">
        <v>180</v>
      </c>
      <c r="E102" s="403"/>
      <c r="F102" s="403"/>
      <c r="G102" s="405">
        <f>G36+G50</f>
        <v>2400.1100000000588</v>
      </c>
      <c r="H102" s="405">
        <f t="shared" si="18"/>
        <v>2400.1100000000588</v>
      </c>
      <c r="I102" s="477"/>
      <c r="J102" s="407">
        <f>H102/DAY(B2)</f>
        <v>2400.1100000000588</v>
      </c>
      <c r="O102" s="171"/>
    </row>
    <row r="103" spans="1:15" ht="22.5" x14ac:dyDescent="0.4">
      <c r="A103" s="738" t="s">
        <v>249</v>
      </c>
      <c r="B103" s="739"/>
      <c r="C103" s="740"/>
      <c r="D103" s="402" t="s">
        <v>23</v>
      </c>
      <c r="E103" s="403"/>
      <c r="F103" s="403"/>
      <c r="G103" s="475">
        <f>G102/G7</f>
        <v>0.10588097758955616</v>
      </c>
      <c r="H103" s="405">
        <f t="shared" si="18"/>
        <v>0.10588097758955616</v>
      </c>
      <c r="I103" s="416"/>
      <c r="J103" s="407">
        <f>H103/DAY(B2)</f>
        <v>0.10588097758955616</v>
      </c>
      <c r="O103" s="171"/>
    </row>
    <row r="104" spans="1:15" ht="22.5" x14ac:dyDescent="0.4">
      <c r="A104" s="738" t="s">
        <v>250</v>
      </c>
      <c r="B104" s="739"/>
      <c r="C104" s="740"/>
      <c r="D104" s="402" t="s">
        <v>180</v>
      </c>
      <c r="E104" s="403"/>
      <c r="F104" s="403"/>
      <c r="G104" s="405">
        <f>G37+G51</f>
        <v>1702.2600000000093</v>
      </c>
      <c r="H104" s="405">
        <f t="shared" si="18"/>
        <v>1702.2600000000093</v>
      </c>
      <c r="I104" s="416"/>
      <c r="J104" s="407">
        <f>H104/DAY(B2)</f>
        <v>1702.2600000000093</v>
      </c>
      <c r="O104" s="171"/>
    </row>
    <row r="105" spans="1:15" ht="23.25" thickBot="1" x14ac:dyDescent="0.45">
      <c r="A105" s="774" t="s">
        <v>251</v>
      </c>
      <c r="B105" s="775"/>
      <c r="C105" s="776"/>
      <c r="D105" s="478" t="s">
        <v>23</v>
      </c>
      <c r="E105" s="479"/>
      <c r="F105" s="479"/>
      <c r="G105" s="480">
        <f>G104/G7</f>
        <v>7.509528851244085E-2</v>
      </c>
      <c r="H105" s="405">
        <f t="shared" si="18"/>
        <v>7.509528851244085E-2</v>
      </c>
      <c r="I105" s="481"/>
      <c r="J105" s="482">
        <f>H105/DAY(B2)</f>
        <v>7.509528851244085E-2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777" t="s">
        <v>324</v>
      </c>
      <c r="B108" s="777"/>
      <c r="C108" s="777"/>
      <c r="D108" s="777"/>
      <c r="E108" s="777"/>
      <c r="F108" s="777"/>
      <c r="G108" s="777"/>
      <c r="H108" s="777"/>
      <c r="I108" s="777"/>
      <c r="J108" s="777"/>
    </row>
    <row r="109" spans="1:15" ht="22.5" x14ac:dyDescent="0.4">
      <c r="A109" s="770"/>
      <c r="B109" s="770"/>
    </row>
    <row r="110" spans="1:15" ht="22.5" x14ac:dyDescent="0.4">
      <c r="A110" s="778" t="s">
        <v>165</v>
      </c>
      <c r="B110" s="779"/>
      <c r="C110" s="779"/>
      <c r="D110" s="779"/>
      <c r="E110" s="779"/>
      <c r="F110" s="779"/>
      <c r="G110" s="779"/>
      <c r="H110" s="779"/>
      <c r="I110" s="779"/>
      <c r="J110" s="780"/>
    </row>
    <row r="111" spans="1:15" ht="22.5" x14ac:dyDescent="0.4">
      <c r="A111" s="781"/>
      <c r="B111" s="782"/>
      <c r="C111" s="783"/>
      <c r="D111" s="473"/>
      <c r="E111" s="473"/>
      <c r="F111" s="473"/>
      <c r="G111" s="473"/>
      <c r="H111" s="483"/>
      <c r="I111" s="473"/>
      <c r="J111" s="484"/>
    </row>
    <row r="112" spans="1:15" ht="22.5" x14ac:dyDescent="0.4">
      <c r="A112" s="735" t="s">
        <v>252</v>
      </c>
      <c r="B112" s="736"/>
      <c r="C112" s="737"/>
      <c r="D112" s="392" t="s">
        <v>183</v>
      </c>
      <c r="E112" s="485">
        <v>53352.01</v>
      </c>
      <c r="F112" s="485">
        <v>53433</v>
      </c>
      <c r="G112" s="404">
        <f t="shared" ref="G112:G123" si="19">F112-E112</f>
        <v>80.989999999997963</v>
      </c>
      <c r="H112" s="405">
        <f t="shared" ref="H112:H123" si="20">G112</f>
        <v>80.989999999997963</v>
      </c>
      <c r="I112" s="473"/>
      <c r="J112" s="486">
        <f>H112/DAY(B2)</f>
        <v>80.989999999997963</v>
      </c>
    </row>
    <row r="113" spans="1:18" ht="29.25" customHeight="1" x14ac:dyDescent="0.4">
      <c r="A113" s="735" t="s">
        <v>253</v>
      </c>
      <c r="B113" s="736"/>
      <c r="C113" s="737"/>
      <c r="D113" s="392" t="s">
        <v>183</v>
      </c>
      <c r="E113" s="485">
        <v>17956.53</v>
      </c>
      <c r="F113" s="485">
        <v>18391</v>
      </c>
      <c r="G113" s="404">
        <f t="shared" si="19"/>
        <v>434.47000000000116</v>
      </c>
      <c r="H113" s="405">
        <f t="shared" si="20"/>
        <v>434.47000000000116</v>
      </c>
      <c r="I113" s="473"/>
      <c r="J113" s="486">
        <f>H113/DAY(B2)</f>
        <v>434.47000000000116</v>
      </c>
    </row>
    <row r="114" spans="1:18" ht="29.25" customHeight="1" x14ac:dyDescent="0.4">
      <c r="A114" s="735" t="s">
        <v>254</v>
      </c>
      <c r="B114" s="736"/>
      <c r="C114" s="737"/>
      <c r="D114" s="392" t="s">
        <v>183</v>
      </c>
      <c r="E114" s="485">
        <v>13927.1</v>
      </c>
      <c r="F114" s="485">
        <v>14194</v>
      </c>
      <c r="G114" s="404">
        <f t="shared" si="19"/>
        <v>266.89999999999964</v>
      </c>
      <c r="H114" s="405">
        <f t="shared" si="20"/>
        <v>266.89999999999964</v>
      </c>
      <c r="I114" s="473"/>
      <c r="J114" s="486">
        <f>H114/DAY(B2)</f>
        <v>266.89999999999964</v>
      </c>
    </row>
    <row r="115" spans="1:18" ht="29.25" customHeight="1" x14ac:dyDescent="0.4">
      <c r="A115" s="735" t="s">
        <v>255</v>
      </c>
      <c r="B115" s="736"/>
      <c r="C115" s="737"/>
      <c r="D115" s="392" t="s">
        <v>183</v>
      </c>
      <c r="E115" s="485">
        <v>8423.68</v>
      </c>
      <c r="F115" s="485">
        <v>8443</v>
      </c>
      <c r="G115" s="404">
        <f t="shared" si="19"/>
        <v>19.319999999999709</v>
      </c>
      <c r="H115" s="405">
        <f t="shared" si="20"/>
        <v>19.319999999999709</v>
      </c>
      <c r="I115" s="473"/>
      <c r="J115" s="486">
        <f>H115/DAY(B2)</f>
        <v>19.319999999999709</v>
      </c>
    </row>
    <row r="116" spans="1:18" ht="29.25" customHeight="1" x14ac:dyDescent="0.4">
      <c r="A116" s="771" t="s">
        <v>96</v>
      </c>
      <c r="B116" s="772"/>
      <c r="C116" s="773"/>
      <c r="D116" s="392" t="s">
        <v>183</v>
      </c>
      <c r="E116" s="485">
        <v>0</v>
      </c>
      <c r="F116" s="485">
        <v>0</v>
      </c>
      <c r="G116" s="404">
        <f t="shared" si="19"/>
        <v>0</v>
      </c>
      <c r="H116" s="405">
        <f t="shared" si="20"/>
        <v>0</v>
      </c>
      <c r="I116" s="473"/>
      <c r="J116" s="486">
        <f>H116/DAY(B2)</f>
        <v>0</v>
      </c>
      <c r="Q116" s="735"/>
      <c r="R116" s="737"/>
    </row>
    <row r="117" spans="1:18" ht="29.25" customHeight="1" x14ac:dyDescent="0.4">
      <c r="A117" s="771" t="s">
        <v>184</v>
      </c>
      <c r="B117" s="772"/>
      <c r="C117" s="773"/>
      <c r="D117" s="392" t="s">
        <v>183</v>
      </c>
      <c r="E117" s="485">
        <v>1941.08</v>
      </c>
      <c r="F117" s="485">
        <v>1961</v>
      </c>
      <c r="G117" s="404">
        <f t="shared" si="19"/>
        <v>19.920000000000073</v>
      </c>
      <c r="H117" s="405">
        <f t="shared" si="20"/>
        <v>19.920000000000073</v>
      </c>
      <c r="I117" s="473"/>
      <c r="J117" s="486">
        <f>H117/DAY(B2)</f>
        <v>19.920000000000073</v>
      </c>
      <c r="Q117" s="735"/>
      <c r="R117" s="737"/>
    </row>
    <row r="118" spans="1:18" ht="22.5" x14ac:dyDescent="0.4">
      <c r="A118" s="791" t="s">
        <v>97</v>
      </c>
      <c r="B118" s="791"/>
      <c r="C118" s="791"/>
      <c r="D118" s="402" t="s">
        <v>183</v>
      </c>
      <c r="E118" s="485">
        <v>229837.73</v>
      </c>
      <c r="F118" s="485">
        <v>230270</v>
      </c>
      <c r="G118" s="404">
        <f t="shared" si="19"/>
        <v>432.26999999998952</v>
      </c>
      <c r="H118" s="405">
        <f t="shared" si="20"/>
        <v>432.26999999998952</v>
      </c>
      <c r="I118" s="473"/>
      <c r="J118" s="486">
        <f>H118/DAY(B2)</f>
        <v>432.26999999998952</v>
      </c>
      <c r="Q118" s="735"/>
      <c r="R118" s="737"/>
    </row>
    <row r="119" spans="1:18" ht="22.5" x14ac:dyDescent="0.4">
      <c r="A119" s="791" t="s">
        <v>98</v>
      </c>
      <c r="B119" s="791"/>
      <c r="C119" s="791"/>
      <c r="D119" s="402" t="s">
        <v>183</v>
      </c>
      <c r="E119" s="485">
        <v>231726.53</v>
      </c>
      <c r="F119" s="485">
        <v>232201</v>
      </c>
      <c r="G119" s="404">
        <f t="shared" si="19"/>
        <v>474.47000000000116</v>
      </c>
      <c r="H119" s="405">
        <f t="shared" si="20"/>
        <v>474.47000000000116</v>
      </c>
      <c r="I119" s="473"/>
      <c r="J119" s="486">
        <f>H119/DAY(B2)</f>
        <v>474.47000000000116</v>
      </c>
    </row>
    <row r="120" spans="1:18" ht="22.5" x14ac:dyDescent="0.4">
      <c r="A120" s="791" t="s">
        <v>99</v>
      </c>
      <c r="B120" s="791"/>
      <c r="C120" s="791"/>
      <c r="D120" s="402" t="s">
        <v>183</v>
      </c>
      <c r="E120" s="485">
        <v>17185.32</v>
      </c>
      <c r="F120" s="485">
        <v>17614</v>
      </c>
      <c r="G120" s="404">
        <f t="shared" si="19"/>
        <v>428.68000000000029</v>
      </c>
      <c r="H120" s="405">
        <f t="shared" si="20"/>
        <v>428.68000000000029</v>
      </c>
      <c r="I120" s="473"/>
      <c r="J120" s="486">
        <f>H120/DAY(B2)</f>
        <v>428.68000000000029</v>
      </c>
    </row>
    <row r="121" spans="1:18" ht="22.5" x14ac:dyDescent="0.4">
      <c r="A121" s="791" t="s">
        <v>100</v>
      </c>
      <c r="B121" s="791"/>
      <c r="C121" s="791"/>
      <c r="D121" s="402" t="s">
        <v>183</v>
      </c>
      <c r="E121" s="485">
        <v>353054.23</v>
      </c>
      <c r="F121" s="485">
        <v>353715</v>
      </c>
      <c r="G121" s="404">
        <f t="shared" si="19"/>
        <v>660.77000000001863</v>
      </c>
      <c r="H121" s="405">
        <f t="shared" si="20"/>
        <v>660.77000000001863</v>
      </c>
      <c r="I121" s="473"/>
      <c r="J121" s="486">
        <f>H121/DAY(B2)</f>
        <v>660.77000000001863</v>
      </c>
    </row>
    <row r="122" spans="1:18" ht="22.5" x14ac:dyDescent="0.4">
      <c r="A122" s="791" t="s">
        <v>101</v>
      </c>
      <c r="B122" s="791"/>
      <c r="C122" s="791"/>
      <c r="D122" s="402" t="s">
        <v>183</v>
      </c>
      <c r="E122" s="485">
        <v>111009.79</v>
      </c>
      <c r="F122" s="485">
        <v>111328</v>
      </c>
      <c r="G122" s="404">
        <f t="shared" si="19"/>
        <v>318.2100000000064</v>
      </c>
      <c r="H122" s="405">
        <f t="shared" si="20"/>
        <v>318.2100000000064</v>
      </c>
      <c r="I122" s="473"/>
      <c r="J122" s="486">
        <f>H122/DAY(B2)</f>
        <v>318.2100000000064</v>
      </c>
    </row>
    <row r="123" spans="1:18" ht="22.5" x14ac:dyDescent="0.4">
      <c r="A123" s="791" t="s">
        <v>102</v>
      </c>
      <c r="B123" s="791"/>
      <c r="C123" s="791"/>
      <c r="D123" s="402" t="s">
        <v>183</v>
      </c>
      <c r="E123" s="485">
        <v>134366</v>
      </c>
      <c r="F123" s="485">
        <v>134661</v>
      </c>
      <c r="G123" s="404">
        <f t="shared" si="19"/>
        <v>295</v>
      </c>
      <c r="H123" s="405">
        <f t="shared" si="20"/>
        <v>295</v>
      </c>
      <c r="I123" s="473"/>
      <c r="J123" s="486">
        <f>H123/DAY(B2)</f>
        <v>295</v>
      </c>
    </row>
    <row r="124" spans="1:18" ht="29.25" customHeight="1" x14ac:dyDescent="0.4">
      <c r="A124" s="781"/>
      <c r="B124" s="782"/>
      <c r="C124" s="783"/>
      <c r="D124" s="473"/>
      <c r="E124" s="473"/>
      <c r="F124" s="473"/>
      <c r="G124" s="484"/>
      <c r="H124" s="483"/>
      <c r="I124" s="473"/>
      <c r="J124" s="484"/>
    </row>
    <row r="125" spans="1:18" ht="27" x14ac:dyDescent="0.5">
      <c r="A125" s="723" t="s">
        <v>196</v>
      </c>
      <c r="B125" s="724"/>
      <c r="C125" s="725"/>
      <c r="D125" s="402"/>
      <c r="E125" s="556"/>
      <c r="F125" s="487"/>
      <c r="G125" s="404">
        <f>SUM(G112:G124)</f>
        <v>3431.0000000000146</v>
      </c>
      <c r="H125" s="483"/>
      <c r="I125" s="329">
        <f>G125-(G39+G53)</f>
        <v>485.2899999999936</v>
      </c>
      <c r="J125" s="484"/>
    </row>
    <row r="126" spans="1:18" ht="22.5" x14ac:dyDescent="0.4">
      <c r="A126" s="793" t="s">
        <v>317</v>
      </c>
      <c r="B126" s="793"/>
      <c r="C126" s="793"/>
      <c r="D126" s="793"/>
      <c r="E126" s="793"/>
      <c r="F126" s="793"/>
      <c r="G126" s="793"/>
      <c r="H126" s="793"/>
      <c r="I126" s="793"/>
      <c r="J126" s="793"/>
    </row>
    <row r="127" spans="1:18" ht="27" x14ac:dyDescent="0.5">
      <c r="A127" s="784"/>
      <c r="B127" s="784"/>
      <c r="C127" s="473"/>
      <c r="D127" s="402"/>
      <c r="E127" s="556"/>
      <c r="F127" s="487"/>
      <c r="G127" s="404"/>
      <c r="H127" s="405">
        <f t="shared" ref="H127:H135" si="21">G127</f>
        <v>0</v>
      </c>
      <c r="I127" s="473"/>
      <c r="J127" s="486">
        <f>H127/DAY(B2)</f>
        <v>0</v>
      </c>
    </row>
    <row r="128" spans="1:18" ht="29.25" customHeight="1" x14ac:dyDescent="0.4">
      <c r="A128" s="735" t="s">
        <v>318</v>
      </c>
      <c r="B128" s="736"/>
      <c r="C128" s="737"/>
      <c r="D128" s="402" t="s">
        <v>183</v>
      </c>
      <c r="E128" s="473">
        <v>27604.37</v>
      </c>
      <c r="F128" s="473">
        <v>27919</v>
      </c>
      <c r="G128" s="404">
        <f t="shared" ref="G128:G133" si="22">F128-E128</f>
        <v>314.63000000000102</v>
      </c>
      <c r="H128" s="405">
        <f t="shared" si="21"/>
        <v>314.63000000000102</v>
      </c>
      <c r="I128" s="473"/>
      <c r="J128" s="486">
        <f>H128/DAY(B2)</f>
        <v>314.63000000000102</v>
      </c>
    </row>
    <row r="129" spans="1:15" ht="22.5" x14ac:dyDescent="0.4">
      <c r="A129" s="572" t="s">
        <v>319</v>
      </c>
      <c r="B129" s="488"/>
      <c r="C129" s="489"/>
      <c r="D129" s="402" t="s">
        <v>183</v>
      </c>
      <c r="E129" s="473">
        <v>12747.59</v>
      </c>
      <c r="F129" s="473">
        <v>12946</v>
      </c>
      <c r="G129" s="404">
        <f t="shared" si="22"/>
        <v>198.40999999999985</v>
      </c>
      <c r="H129" s="405">
        <f t="shared" si="21"/>
        <v>198.40999999999985</v>
      </c>
      <c r="I129" s="473"/>
      <c r="J129" s="486">
        <f>H129/DAY(B2)</f>
        <v>198.40999999999985</v>
      </c>
      <c r="N129" s="601"/>
      <c r="O129" s="541"/>
    </row>
    <row r="130" spans="1:15" ht="22.5" x14ac:dyDescent="0.4">
      <c r="A130" s="572" t="s">
        <v>320</v>
      </c>
      <c r="B130" s="488"/>
      <c r="C130" s="489"/>
      <c r="D130" s="402" t="s">
        <v>183</v>
      </c>
      <c r="E130" s="473">
        <v>2057.11</v>
      </c>
      <c r="F130" s="473">
        <v>2321</v>
      </c>
      <c r="G130" s="404">
        <f t="shared" si="22"/>
        <v>263.88999999999987</v>
      </c>
      <c r="H130" s="405">
        <f t="shared" si="21"/>
        <v>263.88999999999987</v>
      </c>
      <c r="I130" s="473"/>
      <c r="J130" s="486">
        <f>H130/DAY(B2)</f>
        <v>263.88999999999987</v>
      </c>
      <c r="N130" s="601"/>
      <c r="O130" s="541"/>
    </row>
    <row r="131" spans="1:15" ht="22.5" x14ac:dyDescent="0.4">
      <c r="A131" s="735" t="s">
        <v>321</v>
      </c>
      <c r="B131" s="736"/>
      <c r="C131" s="737"/>
      <c r="D131" s="402" t="s">
        <v>183</v>
      </c>
      <c r="E131" s="473">
        <v>9169.35</v>
      </c>
      <c r="F131" s="507">
        <v>9349</v>
      </c>
      <c r="G131" s="499">
        <f t="shared" si="22"/>
        <v>179.64999999999964</v>
      </c>
      <c r="H131" s="405">
        <f t="shared" si="21"/>
        <v>179.64999999999964</v>
      </c>
      <c r="I131" s="473"/>
      <c r="J131" s="486">
        <f>H131/DAY(B2)</f>
        <v>179.64999999999964</v>
      </c>
      <c r="N131" s="601"/>
      <c r="O131" s="541"/>
    </row>
    <row r="132" spans="1:15" ht="22.5" x14ac:dyDescent="0.4">
      <c r="A132" s="735" t="s">
        <v>322</v>
      </c>
      <c r="B132" s="736"/>
      <c r="C132" s="737"/>
      <c r="D132" s="402" t="s">
        <v>183</v>
      </c>
      <c r="E132" s="473">
        <v>26180.240000000002</v>
      </c>
      <c r="F132" s="507">
        <v>26674</v>
      </c>
      <c r="G132" s="499">
        <f t="shared" si="22"/>
        <v>493.7599999999984</v>
      </c>
      <c r="H132" s="405">
        <f t="shared" si="21"/>
        <v>493.7599999999984</v>
      </c>
      <c r="I132" s="473"/>
      <c r="J132" s="486">
        <f>H132/DAY(B2)</f>
        <v>493.7599999999984</v>
      </c>
    </row>
    <row r="133" spans="1:15" ht="22.5" x14ac:dyDescent="0.4">
      <c r="A133" s="735" t="s">
        <v>342</v>
      </c>
      <c r="B133" s="736"/>
      <c r="C133" s="737"/>
      <c r="D133" s="402" t="s">
        <v>183</v>
      </c>
      <c r="E133" s="473">
        <v>63474.42</v>
      </c>
      <c r="F133" s="507">
        <v>64318</v>
      </c>
      <c r="G133" s="499">
        <f t="shared" si="22"/>
        <v>843.58000000000175</v>
      </c>
      <c r="H133" s="405">
        <f t="shared" si="21"/>
        <v>843.58000000000175</v>
      </c>
      <c r="I133" s="473"/>
      <c r="J133" s="486">
        <f>H133/DAY(B2)</f>
        <v>843.58000000000175</v>
      </c>
    </row>
    <row r="134" spans="1:15" ht="22.5" x14ac:dyDescent="0.4">
      <c r="A134" s="792" t="s">
        <v>340</v>
      </c>
      <c r="B134" s="789"/>
      <c r="C134" s="790"/>
      <c r="D134" s="402" t="s">
        <v>183</v>
      </c>
      <c r="E134" s="656">
        <v>651259</v>
      </c>
      <c r="F134" s="507">
        <v>651805</v>
      </c>
      <c r="G134" s="499">
        <f>F134-E134</f>
        <v>546</v>
      </c>
      <c r="H134" s="405">
        <f t="shared" ref="H134" si="23">G134</f>
        <v>546</v>
      </c>
      <c r="I134" s="473"/>
      <c r="J134" s="486">
        <f>H134/DAY(B2)</f>
        <v>546</v>
      </c>
    </row>
    <row r="135" spans="1:15" ht="22.5" x14ac:dyDescent="0.4">
      <c r="A135" s="723" t="s">
        <v>196</v>
      </c>
      <c r="B135" s="724"/>
      <c r="C135" s="725"/>
      <c r="D135" s="402"/>
      <c r="E135" s="473"/>
      <c r="F135" s="473"/>
      <c r="G135" s="404">
        <f>SUM(G128:G134)</f>
        <v>2839.9200000000005</v>
      </c>
      <c r="H135" s="405">
        <f t="shared" si="21"/>
        <v>2839.9200000000005</v>
      </c>
      <c r="I135" s="329">
        <f>G135-(G35+G49)</f>
        <v>-1000.1200000000076</v>
      </c>
      <c r="J135" s="486">
        <f>H135/DAY(B2)</f>
        <v>2839.9200000000005</v>
      </c>
    </row>
    <row r="136" spans="1:15" ht="22.5" x14ac:dyDescent="0.4">
      <c r="A136" s="793" t="s">
        <v>325</v>
      </c>
      <c r="B136" s="793"/>
      <c r="C136" s="793"/>
      <c r="D136" s="793"/>
      <c r="E136" s="793"/>
      <c r="F136" s="793"/>
      <c r="G136" s="793"/>
      <c r="H136" s="793"/>
      <c r="I136" s="793"/>
      <c r="J136" s="793"/>
    </row>
    <row r="137" spans="1:15" ht="22.5" x14ac:dyDescent="0.4">
      <c r="A137" s="165"/>
      <c r="B137" s="473"/>
      <c r="C137" s="473"/>
      <c r="D137" s="473"/>
      <c r="E137" s="473"/>
      <c r="F137" s="473"/>
      <c r="G137" s="473"/>
      <c r="H137" s="483"/>
      <c r="I137" s="473"/>
      <c r="J137" s="484"/>
    </row>
    <row r="138" spans="1:15" ht="22.5" x14ac:dyDescent="0.4">
      <c r="A138" s="791" t="s">
        <v>185</v>
      </c>
      <c r="B138" s="791"/>
      <c r="C138" s="791"/>
      <c r="D138" s="402" t="s">
        <v>183</v>
      </c>
      <c r="E138" s="490">
        <v>861262</v>
      </c>
      <c r="F138" s="490">
        <v>861310</v>
      </c>
      <c r="G138" s="404">
        <f t="shared" ref="G138:G150" si="24">F138-E138</f>
        <v>48</v>
      </c>
      <c r="H138" s="405">
        <f t="shared" ref="H138:H150" si="25">G138</f>
        <v>48</v>
      </c>
      <c r="I138" s="416"/>
      <c r="J138" s="486">
        <f>H138/DAY(B2)</f>
        <v>48</v>
      </c>
    </row>
    <row r="139" spans="1:15" ht="22.5" x14ac:dyDescent="0.4">
      <c r="A139" s="791" t="s">
        <v>186</v>
      </c>
      <c r="B139" s="791"/>
      <c r="C139" s="791"/>
      <c r="D139" s="402" t="s">
        <v>183</v>
      </c>
      <c r="E139" s="491">
        <v>886199</v>
      </c>
      <c r="F139" s="491">
        <v>886207</v>
      </c>
      <c r="G139" s="404">
        <f t="shared" si="24"/>
        <v>8</v>
      </c>
      <c r="H139" s="405">
        <f t="shared" si="25"/>
        <v>8</v>
      </c>
      <c r="I139" s="416"/>
      <c r="J139" s="486">
        <f>H139/DAY(B2)</f>
        <v>8</v>
      </c>
    </row>
    <row r="140" spans="1:15" ht="22.5" x14ac:dyDescent="0.4">
      <c r="A140" s="791" t="s">
        <v>187</v>
      </c>
      <c r="B140" s="791"/>
      <c r="C140" s="791"/>
      <c r="D140" s="402" t="s">
        <v>183</v>
      </c>
      <c r="E140" s="492">
        <v>88849</v>
      </c>
      <c r="F140" s="492">
        <v>88849</v>
      </c>
      <c r="G140" s="404">
        <f t="shared" si="24"/>
        <v>0</v>
      </c>
      <c r="H140" s="405">
        <f t="shared" si="25"/>
        <v>0</v>
      </c>
      <c r="I140" s="416"/>
      <c r="J140" s="486">
        <f>H140/DAY(B2)</f>
        <v>0</v>
      </c>
    </row>
    <row r="141" spans="1:15" ht="22.5" x14ac:dyDescent="0.4">
      <c r="A141" s="729" t="s">
        <v>188</v>
      </c>
      <c r="B141" s="729"/>
      <c r="C141" s="729"/>
      <c r="D141" s="493" t="s">
        <v>183</v>
      </c>
      <c r="E141" s="492">
        <v>43126.73</v>
      </c>
      <c r="F141" s="491">
        <v>43326</v>
      </c>
      <c r="G141" s="499">
        <f t="shared" si="24"/>
        <v>199.2699999999968</v>
      </c>
      <c r="H141" s="498">
        <f t="shared" si="25"/>
        <v>199.2699999999968</v>
      </c>
      <c r="I141" s="574"/>
      <c r="J141" s="575">
        <f>H141/DAY(B2)</f>
        <v>199.2699999999968</v>
      </c>
    </row>
    <row r="142" spans="1:15" ht="22.5" x14ac:dyDescent="0.4">
      <c r="A142" s="729" t="s">
        <v>189</v>
      </c>
      <c r="B142" s="729"/>
      <c r="C142" s="729"/>
      <c r="D142" s="493" t="s">
        <v>183</v>
      </c>
      <c r="E142" s="491">
        <v>17460.5</v>
      </c>
      <c r="F142" s="491">
        <v>17478</v>
      </c>
      <c r="G142" s="499">
        <f t="shared" si="24"/>
        <v>17.5</v>
      </c>
      <c r="H142" s="498">
        <f t="shared" si="25"/>
        <v>17.5</v>
      </c>
      <c r="I142" s="576"/>
      <c r="J142" s="575">
        <f>H142/DAY(B2)</f>
        <v>17.5</v>
      </c>
    </row>
    <row r="143" spans="1:15" ht="22.5" x14ac:dyDescent="0.4">
      <c r="A143" s="731" t="s">
        <v>91</v>
      </c>
      <c r="B143" s="731"/>
      <c r="C143" s="731"/>
      <c r="D143" s="493" t="s">
        <v>183</v>
      </c>
      <c r="E143" s="492">
        <v>2201.4</v>
      </c>
      <c r="F143" s="491">
        <v>2232</v>
      </c>
      <c r="G143" s="499">
        <f t="shared" si="24"/>
        <v>30.599999999999909</v>
      </c>
      <c r="H143" s="498">
        <f t="shared" si="25"/>
        <v>30.599999999999909</v>
      </c>
      <c r="I143" s="576"/>
      <c r="J143" s="575">
        <f>H143/DAY(B2)</f>
        <v>30.599999999999909</v>
      </c>
    </row>
    <row r="144" spans="1:15" ht="22.5" x14ac:dyDescent="0.4">
      <c r="A144" s="729" t="s">
        <v>90</v>
      </c>
      <c r="B144" s="729"/>
      <c r="C144" s="729"/>
      <c r="D144" s="493" t="s">
        <v>183</v>
      </c>
      <c r="E144" s="492">
        <v>862395</v>
      </c>
      <c r="F144" s="491">
        <v>862621</v>
      </c>
      <c r="G144" s="499">
        <f t="shared" si="24"/>
        <v>226</v>
      </c>
      <c r="H144" s="498">
        <f t="shared" si="25"/>
        <v>226</v>
      </c>
      <c r="I144" s="576"/>
      <c r="J144" s="575">
        <f>H144/DAY(B2)</f>
        <v>226</v>
      </c>
    </row>
    <row r="145" spans="1:10" ht="22.5" x14ac:dyDescent="0.4">
      <c r="A145" s="731" t="s">
        <v>190</v>
      </c>
      <c r="B145" s="731"/>
      <c r="C145" s="731"/>
      <c r="D145" s="493" t="s">
        <v>183</v>
      </c>
      <c r="E145" s="492">
        <v>3419</v>
      </c>
      <c r="F145" s="491">
        <v>3460</v>
      </c>
      <c r="G145" s="499">
        <f t="shared" si="24"/>
        <v>41</v>
      </c>
      <c r="H145" s="498">
        <f t="shared" si="25"/>
        <v>41</v>
      </c>
      <c r="I145" s="576"/>
      <c r="J145" s="575">
        <f>H145/DAY(B2)</f>
        <v>41</v>
      </c>
    </row>
    <row r="146" spans="1:10" ht="22.5" x14ac:dyDescent="0.4">
      <c r="A146" s="732" t="s">
        <v>191</v>
      </c>
      <c r="B146" s="733"/>
      <c r="C146" s="734"/>
      <c r="D146" s="493" t="s">
        <v>183</v>
      </c>
      <c r="E146" s="491">
        <v>710885</v>
      </c>
      <c r="F146" s="491">
        <v>711155</v>
      </c>
      <c r="G146" s="499">
        <f t="shared" si="24"/>
        <v>270</v>
      </c>
      <c r="H146" s="498">
        <f t="shared" si="25"/>
        <v>270</v>
      </c>
      <c r="I146" s="576"/>
      <c r="J146" s="575">
        <f>H146/DAY(B2)</f>
        <v>270</v>
      </c>
    </row>
    <row r="147" spans="1:10" ht="22.5" x14ac:dyDescent="0.4">
      <c r="A147" s="729" t="s">
        <v>192</v>
      </c>
      <c r="B147" s="729"/>
      <c r="C147" s="729"/>
      <c r="D147" s="493" t="s">
        <v>183</v>
      </c>
      <c r="E147" s="491">
        <v>601985.04</v>
      </c>
      <c r="F147" s="491">
        <v>602436</v>
      </c>
      <c r="G147" s="499">
        <f t="shared" si="24"/>
        <v>450.95999999996275</v>
      </c>
      <c r="H147" s="498">
        <f t="shared" si="25"/>
        <v>450.95999999996275</v>
      </c>
      <c r="I147" s="576"/>
      <c r="J147" s="575">
        <f>H147/DAY(B2)</f>
        <v>450.95999999996275</v>
      </c>
    </row>
    <row r="148" spans="1:10" ht="22.5" x14ac:dyDescent="0.4">
      <c r="A148" s="726" t="s">
        <v>193</v>
      </c>
      <c r="B148" s="727"/>
      <c r="C148" s="728"/>
      <c r="D148" s="555" t="s">
        <v>130</v>
      </c>
      <c r="E148" s="422">
        <v>673789.68</v>
      </c>
      <c r="F148" s="472">
        <v>674040</v>
      </c>
      <c r="G148" s="499">
        <f t="shared" si="24"/>
        <v>250.31999999994878</v>
      </c>
      <c r="H148" s="498">
        <f t="shared" si="25"/>
        <v>250.31999999994878</v>
      </c>
      <c r="I148" s="498"/>
      <c r="J148" s="575">
        <f>H148/DAY(B2)</f>
        <v>250.31999999994878</v>
      </c>
    </row>
    <row r="149" spans="1:10" ht="22.5" x14ac:dyDescent="0.4">
      <c r="A149" s="726" t="s">
        <v>336</v>
      </c>
      <c r="B149" s="727"/>
      <c r="C149" s="728"/>
      <c r="D149" s="577" t="s">
        <v>130</v>
      </c>
      <c r="E149" s="392">
        <v>95022</v>
      </c>
      <c r="F149" s="577">
        <v>95405</v>
      </c>
      <c r="G149" s="499">
        <f t="shared" si="24"/>
        <v>383</v>
      </c>
      <c r="H149" s="498">
        <f t="shared" si="25"/>
        <v>383</v>
      </c>
      <c r="I149" s="499"/>
      <c r="J149" s="575">
        <f>H149/DAY(B2)</f>
        <v>383</v>
      </c>
    </row>
    <row r="150" spans="1:10" ht="22.5" x14ac:dyDescent="0.4">
      <c r="A150" s="726" t="s">
        <v>337</v>
      </c>
      <c r="B150" s="727"/>
      <c r="C150" s="728"/>
      <c r="D150" s="555" t="s">
        <v>130</v>
      </c>
      <c r="E150" s="493">
        <v>7167232</v>
      </c>
      <c r="F150" s="493">
        <v>7167232</v>
      </c>
      <c r="G150" s="499">
        <f t="shared" si="24"/>
        <v>0</v>
      </c>
      <c r="H150" s="498">
        <f t="shared" si="25"/>
        <v>0</v>
      </c>
      <c r="I150" s="499"/>
      <c r="J150" s="575">
        <f>H150/DAY(B2)</f>
        <v>0</v>
      </c>
    </row>
    <row r="151" spans="1:10" ht="22.5" x14ac:dyDescent="0.4">
      <c r="A151" s="726" t="s">
        <v>338</v>
      </c>
      <c r="B151" s="727"/>
      <c r="C151" s="728"/>
      <c r="D151" s="578"/>
      <c r="E151" s="493">
        <v>70722</v>
      </c>
      <c r="F151" s="493">
        <v>70942</v>
      </c>
      <c r="G151" s="499">
        <f t="shared" ref="G151:G152" si="26">F151-E151</f>
        <v>220</v>
      </c>
      <c r="H151" s="498">
        <f t="shared" ref="H151:H153" si="27">G151</f>
        <v>220</v>
      </c>
      <c r="I151" s="499"/>
      <c r="J151" s="575">
        <f>H151/DAY(B2)</f>
        <v>220</v>
      </c>
    </row>
    <row r="152" spans="1:10" ht="22.5" x14ac:dyDescent="0.4">
      <c r="A152" s="726" t="s">
        <v>339</v>
      </c>
      <c r="B152" s="727"/>
      <c r="C152" s="728"/>
      <c r="D152" s="578"/>
      <c r="E152" s="493">
        <v>0</v>
      </c>
      <c r="F152" s="493"/>
      <c r="G152" s="499">
        <f t="shared" si="26"/>
        <v>0</v>
      </c>
      <c r="H152" s="498">
        <f t="shared" si="27"/>
        <v>0</v>
      </c>
      <c r="I152" s="499"/>
      <c r="J152" s="575">
        <f>H152/DAY(B2)</f>
        <v>0</v>
      </c>
    </row>
    <row r="153" spans="1:10" ht="22.5" x14ac:dyDescent="0.4">
      <c r="A153" s="723" t="s">
        <v>196</v>
      </c>
      <c r="B153" s="724"/>
      <c r="C153" s="725"/>
      <c r="D153" s="578"/>
      <c r="E153" s="494"/>
      <c r="F153" s="494"/>
      <c r="G153" s="579">
        <f>SUM(G138:G152)</f>
        <v>2144.6499999999082</v>
      </c>
      <c r="H153" s="580">
        <f t="shared" si="27"/>
        <v>2144.6499999999082</v>
      </c>
      <c r="I153" s="119">
        <f>G153-(G38+G52)</f>
        <v>239.69999999989659</v>
      </c>
      <c r="J153" s="581"/>
    </row>
    <row r="154" spans="1:10" ht="22.5" x14ac:dyDescent="0.4">
      <c r="A154" s="730" t="s">
        <v>344</v>
      </c>
      <c r="B154" s="730"/>
      <c r="C154" s="730"/>
      <c r="D154" s="730"/>
      <c r="E154" s="730"/>
      <c r="F154" s="730"/>
      <c r="G154" s="730"/>
      <c r="H154" s="730"/>
      <c r="I154" s="730"/>
      <c r="J154" s="730"/>
    </row>
    <row r="155" spans="1:10" ht="27.75" customHeight="1" x14ac:dyDescent="0.4">
      <c r="A155" s="729" t="s">
        <v>345</v>
      </c>
      <c r="B155" s="729"/>
      <c r="C155" s="729"/>
      <c r="D155" s="503"/>
      <c r="E155" s="660">
        <v>77515.600000000006</v>
      </c>
      <c r="F155" s="503">
        <v>77524</v>
      </c>
      <c r="G155" s="499">
        <f t="shared" ref="G155:G156" si="28">F155-E155</f>
        <v>8.3999999999941792</v>
      </c>
      <c r="H155" s="503"/>
      <c r="I155" s="503"/>
      <c r="J155" s="575">
        <f>H155/DAY(B2)</f>
        <v>0</v>
      </c>
    </row>
    <row r="156" spans="1:10" ht="25.5" customHeight="1" x14ac:dyDescent="0.4">
      <c r="A156" s="729" t="s">
        <v>349</v>
      </c>
      <c r="B156" s="729"/>
      <c r="C156" s="729"/>
      <c r="D156" s="507"/>
      <c r="E156" s="473">
        <v>0</v>
      </c>
      <c r="F156" s="507">
        <v>0</v>
      </c>
      <c r="G156" s="499">
        <f t="shared" si="28"/>
        <v>0</v>
      </c>
      <c r="H156" s="506"/>
      <c r="I156" s="507"/>
      <c r="J156" s="575">
        <f>H156/DAY(B2)</f>
        <v>0</v>
      </c>
    </row>
    <row r="157" spans="1:10" ht="25.5" customHeight="1" x14ac:dyDescent="0.5">
      <c r="A157" s="794" t="s">
        <v>365</v>
      </c>
      <c r="B157" s="795"/>
      <c r="C157" s="796"/>
      <c r="D157" s="117" t="s">
        <v>130</v>
      </c>
      <c r="E157" s="473"/>
      <c r="F157" s="507"/>
      <c r="G157" s="499"/>
      <c r="H157" s="506"/>
      <c r="I157" s="507"/>
      <c r="J157" s="575"/>
    </row>
    <row r="158" spans="1:10" ht="25.5" customHeight="1" x14ac:dyDescent="0.5">
      <c r="A158" s="794" t="s">
        <v>366</v>
      </c>
      <c r="B158" s="795"/>
      <c r="C158" s="796"/>
      <c r="D158" s="117" t="s">
        <v>130</v>
      </c>
      <c r="E158" s="473"/>
      <c r="F158" s="507"/>
      <c r="G158" s="499"/>
      <c r="H158" s="506"/>
      <c r="I158" s="507"/>
      <c r="J158" s="575"/>
    </row>
    <row r="159" spans="1:10" ht="25.5" customHeight="1" x14ac:dyDescent="0.4">
      <c r="A159" s="797"/>
      <c r="B159" s="798"/>
      <c r="C159" s="799"/>
      <c r="D159" s="507"/>
      <c r="E159" s="473"/>
      <c r="F159" s="507"/>
      <c r="G159" s="499"/>
      <c r="H159" s="506"/>
      <c r="I159" s="507"/>
      <c r="J159" s="575"/>
    </row>
    <row r="160" spans="1:10" ht="22.5" x14ac:dyDescent="0.4">
      <c r="A160" s="793" t="s">
        <v>326</v>
      </c>
      <c r="B160" s="793"/>
      <c r="C160" s="793"/>
      <c r="D160" s="793"/>
      <c r="E160" s="793"/>
      <c r="F160" s="793"/>
      <c r="G160" s="793"/>
      <c r="H160" s="793"/>
      <c r="I160" s="793"/>
      <c r="J160" s="793"/>
    </row>
    <row r="161" spans="1:10" ht="22.5" x14ac:dyDescent="0.4">
      <c r="A161" s="573" t="s">
        <v>92</v>
      </c>
      <c r="B161" s="495"/>
      <c r="C161" s="495"/>
      <c r="D161" s="496" t="s">
        <v>180</v>
      </c>
      <c r="E161" s="497">
        <v>470976.12</v>
      </c>
      <c r="F161" s="497">
        <v>471022</v>
      </c>
      <c r="G161" s="498">
        <f t="shared" ref="G161:G168" si="29">F161-E161</f>
        <v>45.880000000004657</v>
      </c>
      <c r="H161" s="405">
        <f t="shared" ref="H161:H168" si="30">G161</f>
        <v>45.880000000004657</v>
      </c>
      <c r="I161" s="499"/>
      <c r="J161" s="500">
        <f>H161/DAY(B2)</f>
        <v>45.880000000004657</v>
      </c>
    </row>
    <row r="162" spans="1:10" ht="22.5" x14ac:dyDescent="0.4">
      <c r="A162" s="573" t="s">
        <v>93</v>
      </c>
      <c r="B162" s="495"/>
      <c r="C162" s="495"/>
      <c r="D162" s="496" t="s">
        <v>180</v>
      </c>
      <c r="E162" s="497">
        <v>86601.7</v>
      </c>
      <c r="F162" s="497">
        <v>86673</v>
      </c>
      <c r="G162" s="498">
        <f t="shared" si="29"/>
        <v>71.30000000000291</v>
      </c>
      <c r="H162" s="405">
        <f t="shared" si="30"/>
        <v>71.30000000000291</v>
      </c>
      <c r="I162" s="499"/>
      <c r="J162" s="500">
        <f>H162/DAY(B2)</f>
        <v>71.30000000000291</v>
      </c>
    </row>
    <row r="163" spans="1:10" ht="22.5" x14ac:dyDescent="0.4">
      <c r="A163" s="573" t="s">
        <v>197</v>
      </c>
      <c r="B163" s="495"/>
      <c r="C163" s="495"/>
      <c r="D163" s="496" t="s">
        <v>180</v>
      </c>
      <c r="E163" s="497">
        <v>75459.8</v>
      </c>
      <c r="F163" s="497">
        <v>75567</v>
      </c>
      <c r="G163" s="498">
        <f t="shared" si="29"/>
        <v>107.19999999999709</v>
      </c>
      <c r="H163" s="405">
        <f t="shared" si="30"/>
        <v>107.19999999999709</v>
      </c>
      <c r="I163" s="499"/>
      <c r="J163" s="500">
        <f>H163/DAY(B2)</f>
        <v>107.19999999999709</v>
      </c>
    </row>
    <row r="164" spans="1:10" ht="22.5" x14ac:dyDescent="0.4">
      <c r="A164" s="573" t="s">
        <v>197</v>
      </c>
      <c r="B164" s="495"/>
      <c r="C164" s="495"/>
      <c r="D164" s="496" t="s">
        <v>180</v>
      </c>
      <c r="E164" s="497">
        <v>4097.8999999999996</v>
      </c>
      <c r="F164" s="497">
        <v>4106</v>
      </c>
      <c r="G164" s="498">
        <f t="shared" si="29"/>
        <v>8.1000000000003638</v>
      </c>
      <c r="H164" s="405">
        <f t="shared" si="30"/>
        <v>8.1000000000003638</v>
      </c>
      <c r="I164" s="499"/>
      <c r="J164" s="500">
        <f>H164/DAY(B2)</f>
        <v>8.1000000000003638</v>
      </c>
    </row>
    <row r="165" spans="1:10" ht="22.5" x14ac:dyDescent="0.4">
      <c r="A165" s="573" t="s">
        <v>309</v>
      </c>
      <c r="B165" s="495"/>
      <c r="C165" s="495"/>
      <c r="D165" s="496" t="s">
        <v>180</v>
      </c>
      <c r="E165" s="497">
        <v>29428.931199999999</v>
      </c>
      <c r="F165" s="497">
        <v>29439</v>
      </c>
      <c r="G165" s="498">
        <f t="shared" si="29"/>
        <v>10.06880000000092</v>
      </c>
      <c r="H165" s="405">
        <f t="shared" si="30"/>
        <v>10.06880000000092</v>
      </c>
      <c r="I165" s="499"/>
      <c r="J165" s="500">
        <f>H165/DAY(B2)</f>
        <v>10.06880000000092</v>
      </c>
    </row>
    <row r="166" spans="1:10" ht="22.5" x14ac:dyDescent="0.4">
      <c r="A166" s="784"/>
      <c r="B166" s="784"/>
      <c r="C166" s="473"/>
      <c r="D166" s="496" t="s">
        <v>180</v>
      </c>
      <c r="E166" s="473"/>
      <c r="F166" s="473"/>
      <c r="G166" s="498">
        <f t="shared" si="29"/>
        <v>0</v>
      </c>
      <c r="H166" s="405">
        <f t="shared" si="30"/>
        <v>0</v>
      </c>
      <c r="I166" s="473"/>
      <c r="J166" s="484"/>
    </row>
    <row r="167" spans="1:10" ht="22.5" x14ac:dyDescent="0.4">
      <c r="A167" s="784"/>
      <c r="B167" s="784"/>
      <c r="C167" s="473"/>
      <c r="D167" s="496" t="s">
        <v>180</v>
      </c>
      <c r="E167" s="473"/>
      <c r="F167" s="473"/>
      <c r="G167" s="498">
        <f t="shared" si="29"/>
        <v>0</v>
      </c>
      <c r="H167" s="405">
        <f t="shared" si="30"/>
        <v>0</v>
      </c>
      <c r="I167" s="473"/>
      <c r="J167" s="484"/>
    </row>
    <row r="168" spans="1:10" ht="22.5" x14ac:dyDescent="0.4">
      <c r="A168" s="784"/>
      <c r="B168" s="784"/>
      <c r="C168" s="473"/>
      <c r="D168" s="496" t="s">
        <v>180</v>
      </c>
      <c r="E168" s="473"/>
      <c r="F168" s="473"/>
      <c r="G168" s="498">
        <f t="shared" si="29"/>
        <v>0</v>
      </c>
      <c r="H168" s="405">
        <f t="shared" si="30"/>
        <v>0</v>
      </c>
      <c r="I168" s="473"/>
      <c r="J168" s="484"/>
    </row>
    <row r="169" spans="1:10" ht="22.5" x14ac:dyDescent="0.4"/>
    <row r="170" spans="1:10" ht="22.5" x14ac:dyDescent="0.4"/>
    <row r="171" spans="1:10" ht="22.5" x14ac:dyDescent="0.4">
      <c r="A171" s="785" t="s">
        <v>330</v>
      </c>
      <c r="B171" s="786"/>
      <c r="C171" s="786"/>
      <c r="D171" s="786"/>
      <c r="E171" s="786"/>
      <c r="F171" s="786"/>
      <c r="G171" s="786"/>
      <c r="H171" s="786"/>
      <c r="I171" s="786"/>
      <c r="J171" s="787"/>
    </row>
    <row r="172" spans="1:10" ht="22.5" x14ac:dyDescent="0.4">
      <c r="A172" s="804"/>
      <c r="B172" s="805"/>
      <c r="C172" s="501"/>
      <c r="D172" s="552"/>
      <c r="E172" s="487"/>
      <c r="F172" s="487"/>
      <c r="G172" s="487"/>
      <c r="H172" s="483"/>
      <c r="I172" s="487"/>
      <c r="J172" s="502">
        <f>H172/DAY(B2)</f>
        <v>0</v>
      </c>
    </row>
    <row r="173" spans="1:10" ht="22.5" x14ac:dyDescent="0.4">
      <c r="A173" s="788" t="s">
        <v>209</v>
      </c>
      <c r="B173" s="790"/>
      <c r="C173" s="379"/>
      <c r="D173" s="552" t="s">
        <v>142</v>
      </c>
      <c r="E173" s="487">
        <v>8107</v>
      </c>
      <c r="F173" s="487">
        <v>8107</v>
      </c>
      <c r="G173" s="487">
        <f>F173-E173</f>
        <v>0</v>
      </c>
      <c r="H173" s="405">
        <f t="shared" ref="H173:H189" si="31">G173</f>
        <v>0</v>
      </c>
      <c r="I173" s="487"/>
      <c r="J173" s="502">
        <f>H173/DAY(B2)</f>
        <v>0</v>
      </c>
    </row>
    <row r="174" spans="1:10" ht="22.5" x14ac:dyDescent="0.4">
      <c r="A174" s="788" t="s">
        <v>75</v>
      </c>
      <c r="B174" s="790"/>
      <c r="C174" s="379"/>
      <c r="D174" s="552" t="s">
        <v>142</v>
      </c>
      <c r="E174" s="650">
        <v>37808</v>
      </c>
      <c r="F174" s="503">
        <v>37823</v>
      </c>
      <c r="G174" s="487">
        <f t="shared" ref="G174:G175" si="32">F174-E174</f>
        <v>15</v>
      </c>
      <c r="H174" s="405">
        <f t="shared" si="31"/>
        <v>15</v>
      </c>
      <c r="I174" s="487"/>
      <c r="J174" s="502">
        <f>H174/DAY(B2)</f>
        <v>15</v>
      </c>
    </row>
    <row r="175" spans="1:10" ht="22.5" x14ac:dyDescent="0.4">
      <c r="A175" s="788" t="s">
        <v>76</v>
      </c>
      <c r="B175" s="789"/>
      <c r="C175" s="790"/>
      <c r="D175" s="552" t="s">
        <v>142</v>
      </c>
      <c r="E175" s="487">
        <v>21137</v>
      </c>
      <c r="F175" s="487">
        <v>21147</v>
      </c>
      <c r="G175" s="487">
        <f t="shared" si="32"/>
        <v>10</v>
      </c>
      <c r="H175" s="405">
        <f t="shared" si="31"/>
        <v>10</v>
      </c>
      <c r="I175" s="487"/>
      <c r="J175" s="502"/>
    </row>
    <row r="176" spans="1:10" ht="22.5" x14ac:dyDescent="0.4">
      <c r="A176" s="800" t="s">
        <v>196</v>
      </c>
      <c r="B176" s="801"/>
      <c r="C176" s="379"/>
      <c r="D176" s="552"/>
      <c r="E176" s="487"/>
      <c r="F176" s="487"/>
      <c r="G176" s="487">
        <f>SUM(G173:G175)</f>
        <v>25</v>
      </c>
      <c r="H176" s="405">
        <f t="shared" si="31"/>
        <v>25</v>
      </c>
      <c r="I176" s="487"/>
      <c r="J176" s="502">
        <f>H176/DAY(B2)</f>
        <v>25</v>
      </c>
    </row>
    <row r="177" spans="1:10" ht="22.5" x14ac:dyDescent="0.4">
      <c r="A177" s="788" t="s">
        <v>77</v>
      </c>
      <c r="B177" s="790"/>
      <c r="C177" s="379"/>
      <c r="D177" s="552" t="s">
        <v>142</v>
      </c>
      <c r="E177" s="487"/>
      <c r="F177" s="487"/>
      <c r="G177" s="487"/>
      <c r="H177" s="405">
        <f t="shared" si="31"/>
        <v>0</v>
      </c>
      <c r="I177" s="487"/>
      <c r="J177" s="502">
        <f>H177/DAY(B2)</f>
        <v>0</v>
      </c>
    </row>
    <row r="178" spans="1:10" ht="22.5" x14ac:dyDescent="0.4">
      <c r="A178" s="788" t="s">
        <v>210</v>
      </c>
      <c r="B178" s="790"/>
      <c r="C178" s="379"/>
      <c r="D178" s="552" t="s">
        <v>142</v>
      </c>
      <c r="E178" s="487">
        <v>77352</v>
      </c>
      <c r="F178" s="487">
        <v>77415</v>
      </c>
      <c r="G178" s="487">
        <f>F178-E178</f>
        <v>63</v>
      </c>
      <c r="H178" s="405">
        <f t="shared" si="31"/>
        <v>63</v>
      </c>
      <c r="I178" s="487"/>
      <c r="J178" s="502">
        <f>H178/DAY(B2)</f>
        <v>63</v>
      </c>
    </row>
    <row r="179" spans="1:10" ht="22.5" x14ac:dyDescent="0.4">
      <c r="A179" s="788" t="s">
        <v>211</v>
      </c>
      <c r="B179" s="790"/>
      <c r="C179" s="379"/>
      <c r="D179" s="552" t="s">
        <v>142</v>
      </c>
      <c r="E179" s="487">
        <v>33886</v>
      </c>
      <c r="F179" s="487">
        <v>33886</v>
      </c>
      <c r="G179" s="487">
        <f t="shared" ref="G179:G180" si="33">F179-E179</f>
        <v>0</v>
      </c>
      <c r="H179" s="405">
        <f t="shared" si="31"/>
        <v>0</v>
      </c>
      <c r="I179" s="487"/>
      <c r="J179" s="502">
        <f>H179/DAY(B2)</f>
        <v>0</v>
      </c>
    </row>
    <row r="180" spans="1:10" ht="22.5" x14ac:dyDescent="0.4">
      <c r="A180" s="788" t="s">
        <v>212</v>
      </c>
      <c r="B180" s="790"/>
      <c r="C180" s="379"/>
      <c r="D180" s="552" t="s">
        <v>142</v>
      </c>
      <c r="E180" s="487">
        <v>5273</v>
      </c>
      <c r="F180" s="487">
        <v>5277</v>
      </c>
      <c r="G180" s="487">
        <f t="shared" si="33"/>
        <v>4</v>
      </c>
      <c r="H180" s="405">
        <f t="shared" si="31"/>
        <v>4</v>
      </c>
      <c r="I180" s="487"/>
      <c r="J180" s="502">
        <f>H180/DAY(B2)</f>
        <v>4</v>
      </c>
    </row>
    <row r="181" spans="1:10" ht="22.5" x14ac:dyDescent="0.4">
      <c r="A181" s="800" t="s">
        <v>108</v>
      </c>
      <c r="B181" s="801"/>
      <c r="C181" s="379"/>
      <c r="D181" s="552"/>
      <c r="E181" s="487"/>
      <c r="F181" s="487"/>
      <c r="G181" s="487">
        <f>SUM(G178:G180)</f>
        <v>67</v>
      </c>
      <c r="H181" s="405">
        <f t="shared" si="31"/>
        <v>67</v>
      </c>
      <c r="I181" s="487"/>
      <c r="J181" s="502">
        <f>H181/DAY(B2)</f>
        <v>67</v>
      </c>
    </row>
    <row r="182" spans="1:10" ht="21.95" customHeight="1" x14ac:dyDescent="0.4">
      <c r="A182" s="788" t="s">
        <v>213</v>
      </c>
      <c r="B182" s="790"/>
      <c r="C182" s="379"/>
      <c r="D182" s="552"/>
      <c r="E182" s="487"/>
      <c r="F182" s="487"/>
      <c r="G182" s="487"/>
      <c r="H182" s="405">
        <f t="shared" si="31"/>
        <v>0</v>
      </c>
      <c r="I182" s="487"/>
      <c r="J182" s="502">
        <f>H182/DAY(B2)</f>
        <v>0</v>
      </c>
    </row>
    <row r="183" spans="1:10" ht="21.95" customHeight="1" x14ac:dyDescent="0.4">
      <c r="A183" s="788" t="s">
        <v>214</v>
      </c>
      <c r="B183" s="790"/>
      <c r="C183" s="379"/>
      <c r="D183" s="552" t="s">
        <v>142</v>
      </c>
      <c r="E183" s="650">
        <v>14496</v>
      </c>
      <c r="F183" s="503">
        <v>14510</v>
      </c>
      <c r="G183" s="503">
        <f>F183-E183</f>
        <v>14</v>
      </c>
      <c r="H183" s="405">
        <f t="shared" si="31"/>
        <v>14</v>
      </c>
      <c r="I183" s="487"/>
      <c r="J183" s="502">
        <f>H183/DAY(B2)</f>
        <v>14</v>
      </c>
    </row>
    <row r="184" spans="1:10" ht="21.95" customHeight="1" x14ac:dyDescent="0.4">
      <c r="A184" s="788" t="s">
        <v>215</v>
      </c>
      <c r="B184" s="790"/>
      <c r="C184" s="379"/>
      <c r="D184" s="552" t="s">
        <v>142</v>
      </c>
      <c r="E184" s="650">
        <v>10031</v>
      </c>
      <c r="F184" s="503">
        <v>10038</v>
      </c>
      <c r="G184" s="503">
        <f t="shared" ref="G184:G185" si="34">F184-E184</f>
        <v>7</v>
      </c>
      <c r="H184" s="405">
        <f t="shared" si="31"/>
        <v>7</v>
      </c>
      <c r="I184" s="487"/>
      <c r="J184" s="502">
        <f>H184/DAY(B2)</f>
        <v>7</v>
      </c>
    </row>
    <row r="185" spans="1:10" ht="22.5" x14ac:dyDescent="0.4">
      <c r="A185" s="788" t="s">
        <v>216</v>
      </c>
      <c r="B185" s="790"/>
      <c r="C185" s="379"/>
      <c r="D185" s="552" t="s">
        <v>142</v>
      </c>
      <c r="E185" s="650"/>
      <c r="F185" s="503"/>
      <c r="G185" s="503">
        <f t="shared" si="34"/>
        <v>0</v>
      </c>
      <c r="H185" s="405">
        <f t="shared" si="31"/>
        <v>0</v>
      </c>
      <c r="I185" s="487"/>
      <c r="J185" s="504">
        <f>H185/DAY(B2)</f>
        <v>0</v>
      </c>
    </row>
    <row r="186" spans="1:10" ht="22.5" x14ac:dyDescent="0.4">
      <c r="A186" s="800" t="s">
        <v>196</v>
      </c>
      <c r="B186" s="801"/>
      <c r="C186" s="379"/>
      <c r="D186" s="229"/>
      <c r="E186" s="650"/>
      <c r="F186" s="503"/>
      <c r="G186" s="503">
        <f>SUM(G183:G185)</f>
        <v>21</v>
      </c>
      <c r="H186" s="405">
        <f t="shared" si="31"/>
        <v>21</v>
      </c>
      <c r="I186" s="503"/>
      <c r="J186" s="504">
        <f>H186/DAY(B2)</f>
        <v>21</v>
      </c>
    </row>
    <row r="187" spans="1:10" ht="22.5" x14ac:dyDescent="0.4">
      <c r="A187" s="788" t="s">
        <v>217</v>
      </c>
      <c r="B187" s="790"/>
      <c r="C187" s="379"/>
      <c r="D187" s="505" t="s">
        <v>142</v>
      </c>
      <c r="E187" s="506"/>
      <c r="F187" s="506"/>
      <c r="G187" s="506">
        <f>G62+G19</f>
        <v>160</v>
      </c>
      <c r="H187" s="405">
        <f t="shared" si="31"/>
        <v>160</v>
      </c>
      <c r="I187" s="507"/>
      <c r="J187" s="504">
        <f>H187/DAY(B2)</f>
        <v>160</v>
      </c>
    </row>
    <row r="188" spans="1:10" ht="22.5" x14ac:dyDescent="0.4">
      <c r="A188" s="788" t="s">
        <v>218</v>
      </c>
      <c r="B188" s="790"/>
      <c r="C188" s="379"/>
      <c r="D188" s="505" t="s">
        <v>142</v>
      </c>
      <c r="E188" s="506"/>
      <c r="F188" s="506"/>
      <c r="G188" s="506">
        <f>G65+G66+G67+G69+G70</f>
        <v>145</v>
      </c>
      <c r="H188" s="405">
        <f t="shared" si="31"/>
        <v>145</v>
      </c>
      <c r="I188" s="507"/>
      <c r="J188" s="467"/>
    </row>
    <row r="189" spans="1:10" ht="22.5" x14ac:dyDescent="0.4">
      <c r="A189" s="788" t="s">
        <v>219</v>
      </c>
      <c r="B189" s="790"/>
      <c r="C189" s="379"/>
      <c r="D189" s="505" t="s">
        <v>142</v>
      </c>
      <c r="E189" s="650"/>
      <c r="F189" s="503"/>
      <c r="G189" s="503">
        <f>G181</f>
        <v>67</v>
      </c>
      <c r="H189" s="405">
        <f t="shared" si="31"/>
        <v>67</v>
      </c>
      <c r="I189" s="507"/>
      <c r="J189" s="500">
        <f>H189/DAY(B2)</f>
        <v>67</v>
      </c>
    </row>
    <row r="190" spans="1:10" ht="27" x14ac:dyDescent="0.5">
      <c r="A190" s="802" t="s">
        <v>361</v>
      </c>
      <c r="B190" s="803"/>
      <c r="C190" s="652"/>
      <c r="D190" s="520"/>
      <c r="E190" s="524">
        <v>52948.703000000001</v>
      </c>
      <c r="F190" s="520">
        <v>52955</v>
      </c>
      <c r="G190" s="657">
        <f>F190-E190</f>
        <v>6.2969999999986612</v>
      </c>
      <c r="H190" s="522"/>
      <c r="I190" s="520"/>
      <c r="J190" s="523"/>
    </row>
    <row r="191" spans="1:10" ht="22.5" x14ac:dyDescent="0.4">
      <c r="A191" s="788"/>
      <c r="B191" s="790"/>
    </row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  <row r="268" ht="22.5" x14ac:dyDescent="0.4"/>
    <row r="269" ht="22.5" x14ac:dyDescent="0.4"/>
    <row r="270" ht="22.5" x14ac:dyDescent="0.4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31" zoomScale="55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6" s="57" customFormat="1" ht="27" x14ac:dyDescent="0.5">
      <c r="A2" s="191" t="s">
        <v>350</v>
      </c>
      <c r="B2" s="262">
        <v>44532</v>
      </c>
      <c r="C2" s="350" t="s">
        <v>67</v>
      </c>
      <c r="D2" s="218">
        <v>0.43559999999999999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50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423510</v>
      </c>
      <c r="F7" s="95">
        <v>445058</v>
      </c>
      <c r="G7" s="112">
        <f>F7-E7</f>
        <v>21548</v>
      </c>
      <c r="H7" s="99">
        <f>G7+'1'!H7</f>
        <v>44216</v>
      </c>
      <c r="I7" s="113">
        <f>'[1]1'!I7</f>
        <v>12000</v>
      </c>
      <c r="J7" s="175">
        <f>H7/DAY(B2)</f>
        <v>22108</v>
      </c>
      <c r="K7" s="172">
        <v>1375467</v>
      </c>
      <c r="L7" s="66"/>
      <c r="N7" s="87"/>
      <c r="O7" s="375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461284</v>
      </c>
      <c r="F8" s="114">
        <v>482951</v>
      </c>
      <c r="G8" s="115">
        <f>F8-E8</f>
        <v>21667</v>
      </c>
      <c r="H8" s="99">
        <f>G8+'1'!H8</f>
        <v>44656</v>
      </c>
      <c r="I8" s="116">
        <v>12000</v>
      </c>
      <c r="J8" s="175">
        <f>H8/DAY(B2)</f>
        <v>22328</v>
      </c>
      <c r="K8" s="172">
        <v>1715917</v>
      </c>
      <c r="L8" s="76">
        <v>1728480</v>
      </c>
      <c r="M8" s="87">
        <f>L8-K8</f>
        <v>12563</v>
      </c>
      <c r="N8" s="87"/>
      <c r="O8" s="375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1732492</v>
      </c>
      <c r="F9" s="355">
        <v>1748743.3</v>
      </c>
      <c r="G9" s="112">
        <f t="shared" ref="G9:G11" si="0">F9-E9</f>
        <v>16251.300000000047</v>
      </c>
      <c r="H9" s="99">
        <f>G9+'1'!H9</f>
        <v>29645.600000000093</v>
      </c>
      <c r="I9" s="124">
        <f>I8-J8</f>
        <v>-10328</v>
      </c>
      <c r="J9" s="175">
        <f>H9/DAY(B2)</f>
        <v>14822.800000000047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414739</v>
      </c>
      <c r="F10" s="117">
        <v>419442.27</v>
      </c>
      <c r="G10" s="112">
        <f t="shared" si="0"/>
        <v>4703.2700000000186</v>
      </c>
      <c r="H10" s="99">
        <f>G10+'1'!H10</f>
        <v>13359.840000000026</v>
      </c>
      <c r="I10" s="118"/>
      <c r="J10" s="175">
        <f>H10/DAY(B2)</f>
        <v>6679.9200000000128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20954.570000000065</v>
      </c>
      <c r="H13" s="99">
        <f>G13+'1'!H13</f>
        <v>20954.570000000065</v>
      </c>
      <c r="I13" s="120">
        <f>G7-G13</f>
        <v>593.42999999993481</v>
      </c>
      <c r="J13" s="175">
        <f>H13/DAY(B2)</f>
        <v>10477.285000000033</v>
      </c>
      <c r="K13" s="79"/>
      <c r="L13" s="66"/>
      <c r="N13" s="87"/>
      <c r="O13" s="71"/>
      <c r="P13" s="65">
        <v>822</v>
      </c>
    </row>
    <row r="14" spans="1:16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7" t="s">
        <v>138</v>
      </c>
      <c r="B15" s="205"/>
      <c r="C15" s="205"/>
      <c r="D15" s="151" t="s">
        <v>139</v>
      </c>
      <c r="E15" s="95">
        <f>'1'!F15</f>
        <v>1844222</v>
      </c>
      <c r="F15" s="354">
        <v>1845316.24</v>
      </c>
      <c r="G15" s="358">
        <f>(F15-E15)</f>
        <v>1094.2399999999907</v>
      </c>
      <c r="H15" s="99">
        <f>G15+'1'!H15</f>
        <v>2168.2399999999907</v>
      </c>
      <c r="I15" s="113">
        <v>800</v>
      </c>
      <c r="J15" s="175">
        <f>H15/DAY(B2)</f>
        <v>1084.1199999999953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-284.11999999999534</v>
      </c>
      <c r="J16" s="176"/>
      <c r="K16" s="79"/>
      <c r="L16" s="66"/>
      <c r="N16" s="87"/>
      <c r="O16" s="71"/>
      <c r="P16" s="71">
        <f>G9+P12</f>
        <v>16949.300000000047</v>
      </c>
    </row>
    <row r="17" spans="1:16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17073.300000000047</v>
      </c>
    </row>
    <row r="18" spans="1:16" ht="27.75" x14ac:dyDescent="0.5">
      <c r="A18" s="809" t="s">
        <v>141</v>
      </c>
      <c r="B18" s="810"/>
      <c r="C18" s="811"/>
      <c r="D18" s="151" t="s">
        <v>142</v>
      </c>
      <c r="E18" s="95">
        <f>'1'!F18</f>
        <v>16</v>
      </c>
      <c r="F18" s="117">
        <v>20</v>
      </c>
      <c r="G18" s="119">
        <f>F18*10</f>
        <v>200</v>
      </c>
      <c r="H18" s="99">
        <f>G18+'1'!H18</f>
        <v>360</v>
      </c>
      <c r="I18" s="113">
        <f>'[1]1'!I18</f>
        <v>65</v>
      </c>
      <c r="J18" s="175">
        <f>H18/DAY(B2)</f>
        <v>180</v>
      </c>
      <c r="K18" s="79"/>
      <c r="L18" s="66"/>
      <c r="N18" s="87"/>
      <c r="O18" s="71"/>
    </row>
    <row r="19" spans="1:16" ht="27.75" x14ac:dyDescent="0.5">
      <c r="A19" s="809" t="s">
        <v>69</v>
      </c>
      <c r="B19" s="810"/>
      <c r="C19" s="811"/>
      <c r="D19" s="151" t="s">
        <v>142</v>
      </c>
      <c r="E19" s="95">
        <f>'1'!F19</f>
        <v>150636</v>
      </c>
      <c r="F19" s="355">
        <v>150690</v>
      </c>
      <c r="G19" s="112">
        <f>F19-E19</f>
        <v>54</v>
      </c>
      <c r="H19" s="99">
        <f>G19+'1'!H19</f>
        <v>106</v>
      </c>
      <c r="I19" s="356"/>
      <c r="J19" s="175">
        <f>H19/DAY(B2)</f>
        <v>53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7">
        <f>G18+G19</f>
        <v>254</v>
      </c>
      <c r="H20" s="99">
        <f>G20+'1'!H20</f>
        <v>466</v>
      </c>
      <c r="I20" s="338">
        <f>I18-J20</f>
        <v>-168</v>
      </c>
      <c r="J20" s="175">
        <f>H20/DAY(B2)</f>
        <v>233</v>
      </c>
      <c r="K20" s="79"/>
      <c r="L20" s="66"/>
      <c r="N20" s="87"/>
      <c r="O20" s="71"/>
    </row>
    <row r="21" spans="1:16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7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7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21667</v>
      </c>
      <c r="F27" s="136">
        <v>9</v>
      </c>
      <c r="G27" s="137">
        <f>E27*F27</f>
        <v>195003</v>
      </c>
      <c r="H27" s="99">
        <f>G27+'1'!H27</f>
        <v>401904</v>
      </c>
      <c r="I27" s="138"/>
      <c r="J27" s="175">
        <f>H27/DAY(B2)</f>
        <v>200952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1094.2399999999907</v>
      </c>
      <c r="F28" s="136">
        <v>52</v>
      </c>
      <c r="G28" s="137">
        <f t="shared" ref="G28:G31" si="2">E28*F28</f>
        <v>56900.479999999516</v>
      </c>
      <c r="H28" s="99">
        <f>G28+'1'!H28</f>
        <v>112748.47999999952</v>
      </c>
      <c r="I28" s="140"/>
      <c r="J28" s="175">
        <f>H28/DAY(B2)</f>
        <v>56374.239999999758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 t="shared" si="2"/>
        <v>7884</v>
      </c>
      <c r="H30" s="99">
        <f>G30+'1'!H30</f>
        <v>15476</v>
      </c>
      <c r="I30" s="140"/>
      <c r="J30" s="175">
        <f>H30/DAY(B2)</f>
        <v>7738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 t="shared" si="2"/>
        <v>16000</v>
      </c>
      <c r="H31" s="99">
        <f>G31+'1'!H31</f>
        <v>28800</v>
      </c>
      <c r="I31" s="140"/>
      <c r="J31" s="175">
        <f>H31/DAY(B2)</f>
        <v>14400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275787.47999999952</v>
      </c>
      <c r="H32" s="99">
        <f>G32+'1'!H32</f>
        <v>558928.47999999952</v>
      </c>
      <c r="I32" s="144"/>
      <c r="J32" s="175">
        <f>H32/DAY(B2)</f>
        <v>279464.23999999976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95651</v>
      </c>
      <c r="F35" s="145">
        <v>97626.8</v>
      </c>
      <c r="G35" s="112">
        <f t="shared" ref="G35:G46" si="3">F35-E35</f>
        <v>1975.8000000000029</v>
      </c>
      <c r="H35" s="99">
        <f>G35+'1'!H35</f>
        <v>4092.1699999999983</v>
      </c>
      <c r="I35" s="95"/>
      <c r="J35" s="175">
        <f>H35/DAY(B2)</f>
        <v>2046.0849999999991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80404</v>
      </c>
      <c r="F36" s="145">
        <v>81372.7</v>
      </c>
      <c r="G36" s="112">
        <f t="shared" si="3"/>
        <v>968.69999999999709</v>
      </c>
      <c r="H36" s="99">
        <f>G36+'1'!H36</f>
        <v>1909</v>
      </c>
      <c r="I36" s="95"/>
      <c r="J36" s="175">
        <f>H36/DAY(B2)</f>
        <v>954.5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147209</v>
      </c>
      <c r="F37" s="145">
        <v>148879.59</v>
      </c>
      <c r="G37" s="112">
        <f t="shared" si="3"/>
        <v>1670.5899999999965</v>
      </c>
      <c r="H37" s="99">
        <f>G37+'1'!H37</f>
        <v>3372.8500000000058</v>
      </c>
      <c r="I37" s="95"/>
      <c r="J37" s="175">
        <f>H37/DAY(B2)</f>
        <v>1686.4250000000029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172909</v>
      </c>
      <c r="F38" s="108">
        <v>174805.57</v>
      </c>
      <c r="G38" s="112">
        <f t="shared" si="3"/>
        <v>1896.570000000007</v>
      </c>
      <c r="H38" s="99">
        <f>G38+'1'!H38</f>
        <v>3801.5200000000186</v>
      </c>
      <c r="I38" s="95"/>
      <c r="J38" s="175">
        <f>H38/DAY(B2)</f>
        <v>1900.7600000000093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324609</v>
      </c>
      <c r="F39" s="145">
        <v>327392</v>
      </c>
      <c r="G39" s="112">
        <f t="shared" si="3"/>
        <v>2783</v>
      </c>
      <c r="H39" s="99">
        <f>G39+'1'!H39</f>
        <v>5728.710000000021</v>
      </c>
      <c r="I39" s="95"/>
      <c r="J39" s="175">
        <f>H39/DAY(B2)</f>
        <v>2864.3550000000105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114</v>
      </c>
      <c r="F40" s="145">
        <v>114.8</v>
      </c>
      <c r="G40" s="112">
        <f t="shared" si="3"/>
        <v>0.79999999999999716</v>
      </c>
      <c r="H40" s="99">
        <f>G40+'1'!H40</f>
        <v>3.5799999999999983</v>
      </c>
      <c r="I40" s="95"/>
      <c r="J40" s="175">
        <f>H40/DAY(B2)</f>
        <v>1.7899999999999991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590514</v>
      </c>
      <c r="F41" s="145">
        <v>590513.71</v>
      </c>
      <c r="G41" s="112">
        <f t="shared" si="3"/>
        <v>-0.2900000000372529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316054</v>
      </c>
      <c r="F42" s="145">
        <v>319343.77</v>
      </c>
      <c r="G42" s="112">
        <f t="shared" si="3"/>
        <v>3289.7700000000186</v>
      </c>
      <c r="H42" s="99">
        <f>G42+'1'!H42</f>
        <v>3289.7800000000279</v>
      </c>
      <c r="I42" s="95"/>
      <c r="J42" s="175">
        <f>H42/DAY(B2)</f>
        <v>1644.890000000014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1531058</v>
      </c>
      <c r="F43" s="145">
        <v>1533446.4</v>
      </c>
      <c r="G43" s="112">
        <f t="shared" si="3"/>
        <v>2388.3999999999069</v>
      </c>
      <c r="H43" s="99">
        <f>G43+'1'!H43</f>
        <v>4847.7999999998137</v>
      </c>
      <c r="I43" s="95"/>
      <c r="J43" s="175">
        <f>H43/DAY(B2)</f>
        <v>2423.8999999999069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14973.339999999891</v>
      </c>
      <c r="H47" s="99">
        <f>G47+'1'!H47</f>
        <v>27045.409999999887</v>
      </c>
      <c r="I47" s="95"/>
      <c r="J47" s="175">
        <f>H47/DAY(B2)</f>
        <v>13522.704999999944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222237</v>
      </c>
      <c r="F49" s="145">
        <v>223959.89</v>
      </c>
      <c r="G49" s="112">
        <f t="shared" ref="G49:G58" si="4">F49-E49</f>
        <v>1722.890000000014</v>
      </c>
      <c r="H49" s="99">
        <f>G49+'1'!H49</f>
        <v>3446.5600000000268</v>
      </c>
      <c r="I49" s="95"/>
      <c r="J49" s="175">
        <f>H49/DAY(B2)</f>
        <v>1723.2800000000134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724683</v>
      </c>
      <c r="F50" s="145">
        <v>726169.35</v>
      </c>
      <c r="G50" s="112">
        <f t="shared" si="4"/>
        <v>1486.3499999999767</v>
      </c>
      <c r="H50" s="99">
        <f>G50+'1'!H50</f>
        <v>2946.1600000000326</v>
      </c>
      <c r="I50" s="95"/>
      <c r="J50" s="175">
        <f>H50/DAY(B2)</f>
        <v>1473.0800000000163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3038</v>
      </c>
      <c r="F54" s="145">
        <v>3044.62</v>
      </c>
      <c r="G54" s="112">
        <f t="shared" si="4"/>
        <v>6.6199999999998909</v>
      </c>
      <c r="H54" s="99">
        <f>G54+'1'!H54</f>
        <v>13.339999999999691</v>
      </c>
      <c r="I54" s="95"/>
      <c r="J54" s="175">
        <f>H54/DAY(B2)</f>
        <v>6.6699999999998454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0</v>
      </c>
      <c r="F55" s="145">
        <v>0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195914</v>
      </c>
      <c r="F56" s="145">
        <v>197351.65</v>
      </c>
      <c r="G56" s="112">
        <f t="shared" si="4"/>
        <v>1437.6499999999942</v>
      </c>
      <c r="H56" s="99">
        <f>G56+'1'!H56</f>
        <v>6836.6999999999825</v>
      </c>
      <c r="I56" s="95"/>
      <c r="J56" s="175">
        <f>H56/DAY(B2)</f>
        <v>3418.3499999999913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85531</v>
      </c>
      <c r="F58" s="145">
        <v>85738.19</v>
      </c>
      <c r="G58" s="112">
        <f t="shared" si="4"/>
        <v>207.19000000000233</v>
      </c>
      <c r="H58" s="99">
        <f>G58+'1'!H58</f>
        <v>413.33999999999651</v>
      </c>
      <c r="I58" s="95"/>
      <c r="J58" s="175">
        <f>H58/DAY(B2)</f>
        <v>206.66999999999825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4860.6999999999871</v>
      </c>
      <c r="H59" s="99">
        <f>G59+'1'!H59</f>
        <v>13656.100000000039</v>
      </c>
      <c r="I59" s="95">
        <f>G7-G60</f>
        <v>1713.9600000001228</v>
      </c>
      <c r="J59" s="175">
        <f>H59/DAY(B2)</f>
        <v>6828.0500000000193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19834.039999999877</v>
      </c>
      <c r="H60" s="99">
        <f>G60+'1'!H60</f>
        <v>40701.509999999922</v>
      </c>
      <c r="I60" s="95">
        <f>G13-G60</f>
        <v>1120.530000000188</v>
      </c>
      <c r="J60" s="175">
        <f>H60/DAY(B2)</f>
        <v>20350.754999999961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'1'!F62</f>
        <v>263573</v>
      </c>
      <c r="F62" s="122">
        <v>263689</v>
      </c>
      <c r="G62" s="112">
        <f t="shared" ref="G62:G63" si="5">F62-E62</f>
        <v>116</v>
      </c>
      <c r="H62" s="99">
        <f>G62+'1'!H62</f>
        <v>224</v>
      </c>
      <c r="I62" s="118"/>
      <c r="J62" s="175">
        <f>H62/DAY(B2)</f>
        <v>112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'1'!F63</f>
        <v>209469</v>
      </c>
      <c r="F63" s="122">
        <v>209571</v>
      </c>
      <c r="G63" s="112">
        <f t="shared" si="5"/>
        <v>102</v>
      </c>
      <c r="H63" s="99">
        <f>G63+'1'!H63</f>
        <v>196</v>
      </c>
      <c r="I63" s="118"/>
      <c r="J63" s="175">
        <f>H63/DAY(B2)</f>
        <v>98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'1'!F64</f>
        <v>0</v>
      </c>
      <c r="F64" s="122"/>
      <c r="G64" s="112">
        <f>G62+G63</f>
        <v>218</v>
      </c>
      <c r="H64" s="99">
        <f>G64+'1'!H64</f>
        <v>420</v>
      </c>
      <c r="I64" s="118"/>
      <c r="J64" s="175">
        <f>H64/DAY(B2)</f>
        <v>210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'1'!F65</f>
        <v>429449</v>
      </c>
      <c r="F65" s="122">
        <v>429547</v>
      </c>
      <c r="G65" s="112">
        <f t="shared" ref="G65:G70" si="6">F65-E65</f>
        <v>98</v>
      </c>
      <c r="H65" s="99">
        <f>G65+'1'!H65</f>
        <v>184</v>
      </c>
      <c r="I65" s="118"/>
      <c r="J65" s="175">
        <f>H65/DAY(B2)</f>
        <v>92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'1'!F66</f>
        <v>106617</v>
      </c>
      <c r="F66" s="122">
        <v>106638</v>
      </c>
      <c r="G66" s="112">
        <f t="shared" si="6"/>
        <v>21</v>
      </c>
      <c r="H66" s="99">
        <f>G66+'1'!H66</f>
        <v>39</v>
      </c>
      <c r="I66" s="118"/>
      <c r="J66" s="175">
        <f>H66/DAY(B2)</f>
        <v>19.5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'1'!F67</f>
        <v>103036</v>
      </c>
      <c r="F67" s="122">
        <v>103065</v>
      </c>
      <c r="G67" s="112">
        <f t="shared" si="6"/>
        <v>29</v>
      </c>
      <c r="H67" s="99">
        <f>G67+'1'!H67</f>
        <v>54</v>
      </c>
      <c r="I67" s="118"/>
      <c r="J67" s="175">
        <f>H67/DAY(B2)</f>
        <v>27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'1'!F68</f>
        <v>155474</v>
      </c>
      <c r="F68" s="122">
        <v>155507</v>
      </c>
      <c r="G68" s="112">
        <f t="shared" si="6"/>
        <v>33</v>
      </c>
      <c r="H68" s="99">
        <f>G68+'1'!H68</f>
        <v>67</v>
      </c>
      <c r="I68" s="118"/>
      <c r="J68" s="175">
        <f>H68/DAY(B2)</f>
        <v>33.5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'1'!F69</f>
        <v>9853</v>
      </c>
      <c r="F69" s="122">
        <v>9878</v>
      </c>
      <c r="G69" s="236">
        <f t="shared" si="6"/>
        <v>25</v>
      </c>
      <c r="H69" s="99">
        <f>G69+'1'!H69</f>
        <v>35</v>
      </c>
      <c r="I69" s="118"/>
      <c r="J69" s="175">
        <f>H69/DAY(B2)</f>
        <v>17.5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'1'!F70</f>
        <v>7548</v>
      </c>
      <c r="F70" s="122">
        <v>7569.2</v>
      </c>
      <c r="G70" s="112">
        <f t="shared" si="6"/>
        <v>21.199999999999818</v>
      </c>
      <c r="H70" s="99">
        <f>G70+'1'!H70</f>
        <v>27.199999999999818</v>
      </c>
      <c r="I70" s="118"/>
      <c r="J70" s="175">
        <f>H70/DAY(B2)</f>
        <v>13.599999999999909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227.19999999999982</v>
      </c>
      <c r="H71" s="99">
        <f>G71+'1'!H71</f>
        <v>406.19999999999982</v>
      </c>
      <c r="I71" s="154"/>
      <c r="J71" s="175">
        <f>H71/DAY(B2)</f>
        <v>203.09999999999991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'1'!F74</f>
        <v>882559</v>
      </c>
      <c r="F74" s="123">
        <v>882857.2</v>
      </c>
      <c r="G74" s="112">
        <f t="shared" ref="G74:G78" si="7">F74-E74</f>
        <v>298.19999999995343</v>
      </c>
      <c r="H74" s="99">
        <f>G74+'1'!H74</f>
        <v>604.15099999995437</v>
      </c>
      <c r="I74" s="154"/>
      <c r="J74" s="175">
        <f>H74/DAY(B2)</f>
        <v>302.07549999997718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'1'!F76</f>
        <v>163500</v>
      </c>
      <c r="F76" s="123">
        <v>163621.9</v>
      </c>
      <c r="G76" s="112">
        <f t="shared" si="7"/>
        <v>121.89999999999418</v>
      </c>
      <c r="H76" s="99">
        <f>G76+'1'!H76</f>
        <v>237.89999999999418</v>
      </c>
      <c r="I76" s="154"/>
      <c r="J76" s="175">
        <f>H76/DAY(B2)</f>
        <v>118.94999999999709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'1'!F77</f>
        <v>38855</v>
      </c>
      <c r="F77" s="123">
        <v>38904.5</v>
      </c>
      <c r="G77" s="112">
        <f t="shared" si="7"/>
        <v>49.5</v>
      </c>
      <c r="H77" s="99">
        <f>G77+'1'!H77</f>
        <v>94.5</v>
      </c>
      <c r="I77" s="154"/>
      <c r="J77" s="175">
        <f>H77/DAY(B2)</f>
        <v>47.25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'1'!F78</f>
        <v>9414</v>
      </c>
      <c r="F78" s="123">
        <v>9416.4</v>
      </c>
      <c r="G78" s="112">
        <f t="shared" si="7"/>
        <v>2.3999999999996362</v>
      </c>
      <c r="H78" s="99">
        <f>G78+'1'!H78</f>
        <v>4.3999999999996362</v>
      </c>
      <c r="I78" s="118"/>
      <c r="J78" s="175">
        <f>H78/DAY(B2)</f>
        <v>2.1999999999998181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'1'!F79</f>
        <v>0</v>
      </c>
      <c r="F79" s="123"/>
      <c r="G79" s="112">
        <f>G15-SUM(G74:G78)</f>
        <v>622.24000000004344</v>
      </c>
      <c r="H79" s="99">
        <f>G79+'1'!H79</f>
        <v>1227.2890000000425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1094.2399999999907</v>
      </c>
      <c r="H80" s="99">
        <f>G80+'1'!H80</f>
        <v>1094.2399999999907</v>
      </c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'1'!F84</f>
        <v>41628.559999999998</v>
      </c>
      <c r="F84" s="164">
        <v>41628.559999999998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'1'!F85</f>
        <v>1503.56</v>
      </c>
      <c r="F85" s="164">
        <v>1518.37</v>
      </c>
      <c r="G85" s="112">
        <f t="shared" si="8"/>
        <v>14.809999999999945</v>
      </c>
      <c r="H85" s="99">
        <f>G85+'1'!H85</f>
        <v>14.809999999999945</v>
      </c>
      <c r="I85" s="118">
        <f>G82+G83+G84+G85</f>
        <v>14.809999999999945</v>
      </c>
      <c r="J85" s="175">
        <f>H85/DAY(B2)</f>
        <v>7.4049999999999727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'1'!F86</f>
        <v>42826</v>
      </c>
      <c r="F86" s="164">
        <v>42826</v>
      </c>
      <c r="G86" s="112">
        <f t="shared" si="8"/>
        <v>0</v>
      </c>
      <c r="H86" s="99">
        <f>G86+'1'!H86</f>
        <v>0</v>
      </c>
      <c r="I86" s="118"/>
      <c r="J86" s="175">
        <f>H86/DAY(B2)</f>
        <v>0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'1'!F87</f>
        <v>34444.29</v>
      </c>
      <c r="F87" s="164">
        <v>34454.29</v>
      </c>
      <c r="G87" s="112">
        <f t="shared" si="8"/>
        <v>10</v>
      </c>
      <c r="H87" s="99">
        <f>G87+'1'!H87</f>
        <v>33.889999999999418</v>
      </c>
      <c r="I87" s="118"/>
      <c r="J87" s="175">
        <f>H87/DAY(B2)</f>
        <v>16.944999999999709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'1'!F88</f>
        <v>23961.48</v>
      </c>
      <c r="F88" s="164">
        <v>23962.48</v>
      </c>
      <c r="G88" s="112">
        <f t="shared" si="8"/>
        <v>1</v>
      </c>
      <c r="H88" s="99">
        <f>G88+'1'!H88</f>
        <v>9.9899999999979627</v>
      </c>
      <c r="I88" s="118">
        <f>G86+G87+G88</f>
        <v>11</v>
      </c>
      <c r="J88" s="175">
        <f>H88/DAY(B2)</f>
        <v>4.9949999999989814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'1'!F89</f>
        <v>25427.49</v>
      </c>
      <c r="F89" s="164">
        <v>25437.87</v>
      </c>
      <c r="G89" s="112">
        <f t="shared" si="8"/>
        <v>10.379999999997381</v>
      </c>
      <c r="H89" s="99">
        <f>G89+'1'!H89</f>
        <v>10.379999999997381</v>
      </c>
      <c r="I89" s="118"/>
      <c r="J89" s="175">
        <f>H89/DAY(B2)</f>
        <v>5.1899999999986903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'1'!F90</f>
        <v>70835</v>
      </c>
      <c r="F90" s="164">
        <v>70841.8</v>
      </c>
      <c r="G90" s="112">
        <f t="shared" si="8"/>
        <v>6.8000000000029104</v>
      </c>
      <c r="H90" s="99">
        <f>G90+'1'!H90</f>
        <v>13.529999999998836</v>
      </c>
      <c r="I90" s="118">
        <f>G89+G90</f>
        <v>17.180000000000291</v>
      </c>
      <c r="J90" s="175">
        <f>H90/DAY(B2)</f>
        <v>6.7649999999994179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'1'!F91</f>
        <v>3226</v>
      </c>
      <c r="F91" s="122">
        <v>3226.32</v>
      </c>
      <c r="G91" s="112">
        <f t="shared" si="8"/>
        <v>0.32000000000016371</v>
      </c>
      <c r="H91" s="99">
        <f>G91+'1'!H91</f>
        <v>0.32000000000016371</v>
      </c>
      <c r="I91" s="165"/>
      <c r="J91" s="175">
        <f>H91/DAY(B2)</f>
        <v>0.16000000000008185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'1'!F92</f>
        <v>5106.55</v>
      </c>
      <c r="F92" s="122">
        <v>5116.97</v>
      </c>
      <c r="G92" s="112">
        <f t="shared" si="8"/>
        <v>10.420000000000073</v>
      </c>
      <c r="H92" s="99">
        <f>G92+'1'!H92</f>
        <v>21.070000000000618</v>
      </c>
      <c r="I92" s="165"/>
      <c r="J92" s="175">
        <f>H92/DAY(B2)</f>
        <v>10.535000000000309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6087.0899999999237</v>
      </c>
      <c r="H94" s="99">
        <f>G94+'1'!H94</f>
        <v>12386.529999999839</v>
      </c>
      <c r="I94" s="118"/>
      <c r="J94" s="175">
        <f>H94/DAY(B2)</f>
        <v>6193.2649999999194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0.28248979023574922</v>
      </c>
      <c r="H95" s="99">
        <f>G95+'1'!H95</f>
        <v>0.56038991375789116</v>
      </c>
      <c r="I95" s="167"/>
      <c r="J95" s="175">
        <f>H95/DAY(B2)</f>
        <v>0.28019495687894558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4727.1299999999756</v>
      </c>
      <c r="H96" s="99">
        <f>G96+'1'!H96</f>
        <v>10126.48000000001</v>
      </c>
      <c r="I96" s="118"/>
      <c r="J96" s="175">
        <f>H96/DAY(B2)</f>
        <v>5063.2400000000052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0.21937674030072282</v>
      </c>
      <c r="H97" s="99">
        <f>G97+'1'!H97</f>
        <v>0.45756934661799981</v>
      </c>
      <c r="I97" s="167"/>
      <c r="J97" s="175">
        <f>H97/DAY(B2)</f>
        <v>0.2287846733089999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2783</v>
      </c>
      <c r="H98" s="99">
        <f>G98+'1'!H98</f>
        <v>5728.710000000021</v>
      </c>
      <c r="I98" s="168"/>
      <c r="J98" s="175">
        <f>H98/DAY(B2)</f>
        <v>2864.3550000000105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0.12915351772786338</v>
      </c>
      <c r="H99" s="99">
        <f>G99+'1'!H99</f>
        <v>0.25910366771904125</v>
      </c>
      <c r="I99" s="168"/>
      <c r="J99" s="175">
        <f>H99/DAY(B2)</f>
        <v>0.12955183385952063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1896.570000000007</v>
      </c>
      <c r="H100" s="99">
        <f>G100+'1'!H100</f>
        <v>3801.5200000000186</v>
      </c>
      <c r="I100" s="118"/>
      <c r="J100" s="175">
        <f>H100/DAY(B2)</f>
        <v>1900.7600000000093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8.8016057174680112E-2</v>
      </c>
      <c r="H101" s="99">
        <f>G101+'1'!H101</f>
        <v>0.17205302558830335</v>
      </c>
      <c r="I101" s="168"/>
      <c r="J101" s="175">
        <f>H101/DAY(B2)</f>
        <v>8.6026512794151674E-2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2455.0499999999738</v>
      </c>
      <c r="H102" s="99">
        <f>G102+'1'!H102</f>
        <v>4855.1600000000326</v>
      </c>
      <c r="I102" s="168"/>
      <c r="J102" s="175">
        <f>H102/DAY(B2)</f>
        <v>2427.5800000000163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0.11393400779654603</v>
      </c>
      <c r="H103" s="99">
        <f>G103+'1'!H103</f>
        <v>0.21981498538610217</v>
      </c>
      <c r="I103" s="118"/>
      <c r="J103" s="175">
        <f>H103/DAY(B2)</f>
        <v>0.10990749269305108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1670.5899999999965</v>
      </c>
      <c r="H104" s="99">
        <f>G104+'1'!H104</f>
        <v>3372.8500000000058</v>
      </c>
      <c r="I104" s="118"/>
      <c r="J104" s="175">
        <f>H104/DAY(B2)</f>
        <v>1686.4250000000029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7.752877297196939E-2</v>
      </c>
      <c r="H105" s="99">
        <f>G105+'1'!H105</f>
        <v>0.15262406148441024</v>
      </c>
      <c r="I105" s="187"/>
      <c r="J105" s="188">
        <f>H105/DAY(B2)</f>
        <v>7.631203074220512E-2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'1'!F112</f>
        <v>53433</v>
      </c>
      <c r="F112" s="237">
        <v>53512.2</v>
      </c>
      <c r="G112" s="112">
        <f t="shared" ref="G112:G123" si="9">F112-E112</f>
        <v>79.19999999999709</v>
      </c>
      <c r="H112" s="99">
        <f>G112+'1'!H112</f>
        <v>160.18999999999505</v>
      </c>
      <c r="I112" s="165"/>
      <c r="J112" s="330">
        <f>H112/DAY(B2)</f>
        <v>80.094999999997526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'1'!F113</f>
        <v>18391</v>
      </c>
      <c r="F113" s="237">
        <v>18821.34</v>
      </c>
      <c r="G113" s="112">
        <f t="shared" si="9"/>
        <v>430.34000000000015</v>
      </c>
      <c r="H113" s="99">
        <f>G113+'1'!H113</f>
        <v>864.81000000000131</v>
      </c>
      <c r="I113" s="165"/>
      <c r="J113" s="330">
        <f>H113/DAY(B2)</f>
        <v>432.40500000000065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'1'!F114</f>
        <v>14194</v>
      </c>
      <c r="F114" s="237">
        <v>14460.59</v>
      </c>
      <c r="G114" s="112">
        <f t="shared" si="9"/>
        <v>266.59000000000015</v>
      </c>
      <c r="H114" s="99">
        <f>G114+'1'!H114</f>
        <v>533.48999999999978</v>
      </c>
      <c r="I114" s="165"/>
      <c r="J114" s="330">
        <f>H114/DAY(B2)</f>
        <v>266.74499999999989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'1'!F115</f>
        <v>8443</v>
      </c>
      <c r="F115" s="237">
        <v>8457.89</v>
      </c>
      <c r="G115" s="112">
        <f t="shared" si="9"/>
        <v>14.889999999999418</v>
      </c>
      <c r="H115" s="99">
        <f>G115+'1'!H115</f>
        <v>34.209999999999127</v>
      </c>
      <c r="I115" s="165"/>
      <c r="J115" s="330">
        <f>H115/DAY(B2)</f>
        <v>17.104999999999563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30">
        <f>H116/DAY(B2)</f>
        <v>0</v>
      </c>
      <c r="Q116" s="839"/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'1'!F117</f>
        <v>1961</v>
      </c>
      <c r="F117" s="237">
        <v>1982.83</v>
      </c>
      <c r="G117" s="112">
        <f t="shared" si="9"/>
        <v>21.829999999999927</v>
      </c>
      <c r="H117" s="99">
        <f>G117+'1'!H117</f>
        <v>41.75</v>
      </c>
      <c r="I117" s="165"/>
      <c r="J117" s="330">
        <f>H117/DAY(B2)</f>
        <v>20.875</v>
      </c>
      <c r="Q117" s="839"/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'1'!F118</f>
        <v>230270</v>
      </c>
      <c r="F118" s="237">
        <v>230708</v>
      </c>
      <c r="G118" s="112">
        <f t="shared" si="9"/>
        <v>438</v>
      </c>
      <c r="H118" s="99">
        <f>G118+'1'!H118</f>
        <v>870.26999999998952</v>
      </c>
      <c r="I118" s="165"/>
      <c r="J118" s="330">
        <f>H118/DAY(B2)</f>
        <v>435.13499999999476</v>
      </c>
      <c r="Q118" s="839"/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'1'!F119</f>
        <v>232201</v>
      </c>
      <c r="F119" s="237">
        <v>232623.67</v>
      </c>
      <c r="G119" s="112">
        <f t="shared" si="9"/>
        <v>422.67000000001281</v>
      </c>
      <c r="H119" s="99">
        <f>G119+'1'!H119</f>
        <v>897.14000000001397</v>
      </c>
      <c r="I119" s="165"/>
      <c r="J119" s="330">
        <f>H119/DAY(B2)</f>
        <v>448.57000000000698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'1'!F120</f>
        <v>17614</v>
      </c>
      <c r="F120" s="237">
        <v>18028.8</v>
      </c>
      <c r="G120" s="112">
        <f t="shared" si="9"/>
        <v>414.79999999999927</v>
      </c>
      <c r="H120" s="99">
        <f>G120+'1'!H120</f>
        <v>843.47999999999956</v>
      </c>
      <c r="I120" s="165"/>
      <c r="J120" s="330">
        <f>H120/DAY(B2)</f>
        <v>421.73999999999978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'1'!F121</f>
        <v>353715</v>
      </c>
      <c r="F121" s="237">
        <v>354393.59</v>
      </c>
      <c r="G121" s="112">
        <f t="shared" si="9"/>
        <v>678.59000000002561</v>
      </c>
      <c r="H121" s="99">
        <f>G121+'1'!H121</f>
        <v>1339.3600000000442</v>
      </c>
      <c r="I121" s="165"/>
      <c r="J121" s="330">
        <f>H121/DAY(B2)</f>
        <v>669.68000000002212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'1'!F122</f>
        <v>111328</v>
      </c>
      <c r="F122" s="237">
        <v>111621.23</v>
      </c>
      <c r="G122" s="112">
        <f t="shared" si="9"/>
        <v>293.22999999999593</v>
      </c>
      <c r="H122" s="99">
        <f>G122+'1'!H122</f>
        <v>611.44000000000233</v>
      </c>
      <c r="I122" s="165"/>
      <c r="J122" s="330">
        <f>H122/DAY(B2)</f>
        <v>305.72000000000116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'1'!F123</f>
        <v>134661</v>
      </c>
      <c r="F123" s="237">
        <v>134957.85</v>
      </c>
      <c r="G123" s="112">
        <f t="shared" si="9"/>
        <v>296.85000000000582</v>
      </c>
      <c r="H123" s="99">
        <f>G123+'1'!H123</f>
        <v>591.85000000000582</v>
      </c>
      <c r="I123" s="165"/>
      <c r="J123" s="330">
        <f>H123/DAY(B2)</f>
        <v>295.92500000000291</v>
      </c>
    </row>
    <row r="124" spans="1:18" ht="29.25" customHeight="1" x14ac:dyDescent="0.5">
      <c r="A124" s="864"/>
      <c r="B124" s="865"/>
      <c r="C124" s="866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3356.9900000000362</v>
      </c>
      <c r="H125" s="156"/>
      <c r="I125" s="329">
        <f>G125-(G39+G53)</f>
        <v>573.99000000003616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G127+'1'!H127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'1'!F128</f>
        <v>27919</v>
      </c>
      <c r="F128" s="165">
        <v>28240.11</v>
      </c>
      <c r="G128" s="112">
        <f t="shared" ref="G128:G133" si="10">F128-E128</f>
        <v>321.11000000000058</v>
      </c>
      <c r="H128" s="99">
        <f>G128+'1'!H128</f>
        <v>635.7400000000016</v>
      </c>
      <c r="I128" s="165"/>
      <c r="J128" s="330">
        <f>H128/DAY(B2)</f>
        <v>317.8700000000008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'1'!F129</f>
        <v>12946</v>
      </c>
      <c r="F129" s="165">
        <v>13180.22</v>
      </c>
      <c r="G129" s="112">
        <f t="shared" si="10"/>
        <v>234.21999999999935</v>
      </c>
      <c r="H129" s="99">
        <f>G129+'1'!H129</f>
        <v>432.6299999999992</v>
      </c>
      <c r="I129" s="165"/>
      <c r="J129" s="330">
        <f>H129/DAY(B2)</f>
        <v>216.3149999999996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'1'!F130</f>
        <v>2321</v>
      </c>
      <c r="F130" s="165">
        <v>2573.5500000000002</v>
      </c>
      <c r="G130" s="112">
        <f t="shared" si="10"/>
        <v>252.55000000000018</v>
      </c>
      <c r="H130" s="99">
        <f>G130+'1'!H130</f>
        <v>516.44000000000005</v>
      </c>
      <c r="I130" s="165"/>
      <c r="J130" s="330">
        <f>H130/DAY(B2)</f>
        <v>258.22000000000003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'1'!F131</f>
        <v>9349</v>
      </c>
      <c r="F131" s="165">
        <v>9510.59</v>
      </c>
      <c r="G131" s="112">
        <f t="shared" si="10"/>
        <v>161.59000000000015</v>
      </c>
      <c r="H131" s="99">
        <f>G131+'1'!H131</f>
        <v>341.23999999999978</v>
      </c>
      <c r="I131" s="165"/>
      <c r="J131" s="330">
        <f>H131/DAY(B2)</f>
        <v>170.61999999999989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'1'!F132</f>
        <v>26674</v>
      </c>
      <c r="F132" s="165">
        <v>27162.9</v>
      </c>
      <c r="G132" s="112">
        <f t="shared" si="10"/>
        <v>488.90000000000146</v>
      </c>
      <c r="H132" s="99">
        <f>G132+'1'!H132</f>
        <v>982.65999999999985</v>
      </c>
      <c r="I132" s="165"/>
      <c r="J132" s="330">
        <f>H132/DAY(B2)</f>
        <v>491.32999999999993</v>
      </c>
    </row>
    <row r="133" spans="1:15" ht="27.75" x14ac:dyDescent="0.5">
      <c r="A133" s="839" t="s">
        <v>342</v>
      </c>
      <c r="B133" s="840"/>
      <c r="C133" s="841"/>
      <c r="D133" s="151" t="s">
        <v>183</v>
      </c>
      <c r="E133" s="95">
        <f>'1'!F133</f>
        <v>64318</v>
      </c>
      <c r="F133" s="165">
        <v>65153.4</v>
      </c>
      <c r="G133" s="112">
        <f t="shared" si="10"/>
        <v>835.40000000000146</v>
      </c>
      <c r="H133" s="99">
        <f>G133+'1'!H133</f>
        <v>1678.9800000000032</v>
      </c>
      <c r="I133" s="165"/>
      <c r="J133" s="330">
        <f>H133/DAY(B2)</f>
        <v>839.4900000000016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'1'!F134</f>
        <v>651805</v>
      </c>
      <c r="F134" s="165">
        <v>652466</v>
      </c>
      <c r="G134" s="112">
        <f>F134-E134</f>
        <v>661</v>
      </c>
      <c r="H134" s="99">
        <f>G134+'1'!H134</f>
        <v>1207</v>
      </c>
      <c r="I134" s="165"/>
      <c r="J134" s="330">
        <f>H134/DAY(B2)</f>
        <v>603.5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2954.7700000000032</v>
      </c>
      <c r="H135" s="99">
        <f>G135+'1'!H135</f>
        <v>5794.6900000000041</v>
      </c>
      <c r="I135" s="329">
        <f>G135-(G35+G49)</f>
        <v>-743.92000000001372</v>
      </c>
      <c r="J135" s="330">
        <f>H135/DAY(B2)</f>
        <v>2897.3450000000021</v>
      </c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'1'!F138</f>
        <v>861310</v>
      </c>
      <c r="F138" s="147">
        <v>861374</v>
      </c>
      <c r="G138" s="112">
        <f t="shared" ref="G138:G152" si="11">F138-E138</f>
        <v>64</v>
      </c>
      <c r="H138" s="99">
        <f>G138+'1'!H138</f>
        <v>112</v>
      </c>
      <c r="I138" s="118"/>
      <c r="J138" s="330">
        <f>H138/DAY(B2)</f>
        <v>56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'1'!F139</f>
        <v>886207</v>
      </c>
      <c r="F139" s="148">
        <v>886216</v>
      </c>
      <c r="G139" s="112">
        <f t="shared" si="11"/>
        <v>9</v>
      </c>
      <c r="H139" s="99">
        <f>G139+'1'!H139</f>
        <v>17</v>
      </c>
      <c r="I139" s="118"/>
      <c r="J139" s="330">
        <f>H139/DAY(B2)</f>
        <v>8.5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'1'!F140</f>
        <v>88849</v>
      </c>
      <c r="F140" s="149">
        <v>88849</v>
      </c>
      <c r="G140" s="112">
        <f t="shared" si="11"/>
        <v>0</v>
      </c>
      <c r="H140" s="99">
        <f>G140+'1'!H140</f>
        <v>0</v>
      </c>
      <c r="I140" s="118"/>
      <c r="J140" s="330">
        <f>H140/DAY(B2)</f>
        <v>0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'1'!F141</f>
        <v>43326</v>
      </c>
      <c r="F141" s="149">
        <v>43515.199999999997</v>
      </c>
      <c r="G141" s="112">
        <f t="shared" si="11"/>
        <v>189.19999999999709</v>
      </c>
      <c r="H141" s="99">
        <f>G141+'1'!H141</f>
        <v>388.46999999999389</v>
      </c>
      <c r="I141" s="118"/>
      <c r="J141" s="330">
        <f>H141/DAY(B2)</f>
        <v>194.23499999999694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'1'!F142</f>
        <v>17478</v>
      </c>
      <c r="F142" s="148">
        <v>17495.400000000001</v>
      </c>
      <c r="G142" s="112">
        <f t="shared" si="11"/>
        <v>17.400000000001455</v>
      </c>
      <c r="H142" s="99">
        <f>G142+'1'!H142</f>
        <v>34.900000000001455</v>
      </c>
      <c r="I142" s="140"/>
      <c r="J142" s="330">
        <f>H142/DAY(B2)</f>
        <v>17.450000000000728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'1'!F143</f>
        <v>2232</v>
      </c>
      <c r="F143" s="149">
        <v>2262</v>
      </c>
      <c r="G143" s="112">
        <f t="shared" si="11"/>
        <v>30</v>
      </c>
      <c r="H143" s="99">
        <f>G143+'1'!H143</f>
        <v>60.599999999999909</v>
      </c>
      <c r="I143" s="140"/>
      <c r="J143" s="330">
        <f>H143/DAY(B2)</f>
        <v>30.299999999999955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'1'!F144</f>
        <v>862621</v>
      </c>
      <c r="F144" s="149">
        <v>862846</v>
      </c>
      <c r="G144" s="112">
        <f t="shared" si="11"/>
        <v>225</v>
      </c>
      <c r="H144" s="99">
        <f>G144+'1'!H144</f>
        <v>451</v>
      </c>
      <c r="I144" s="140"/>
      <c r="J144" s="330">
        <f>H144/DAY(B2)</f>
        <v>225.5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'1'!F145</f>
        <v>3460</v>
      </c>
      <c r="F145" s="149">
        <v>3505.19</v>
      </c>
      <c r="G145" s="112">
        <f t="shared" si="11"/>
        <v>45.190000000000055</v>
      </c>
      <c r="H145" s="99">
        <f>G145+'1'!H145</f>
        <v>86.190000000000055</v>
      </c>
      <c r="I145" s="140"/>
      <c r="J145" s="330">
        <f>H145/DAY(B2)</f>
        <v>43.095000000000027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'1'!F146</f>
        <v>711155</v>
      </c>
      <c r="F146" s="148">
        <v>711492</v>
      </c>
      <c r="G146" s="112">
        <f t="shared" si="11"/>
        <v>337</v>
      </c>
      <c r="H146" s="99">
        <f>G146+'1'!H146</f>
        <v>607</v>
      </c>
      <c r="I146" s="140"/>
      <c r="J146" s="330">
        <f>H146/DAY(B2)</f>
        <v>303.5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'1'!F147</f>
        <v>602436</v>
      </c>
      <c r="F147" s="148">
        <v>602838.31999999995</v>
      </c>
      <c r="G147" s="112">
        <f t="shared" si="11"/>
        <v>402.31999999994878</v>
      </c>
      <c r="H147" s="99">
        <f>G147+'1'!H147</f>
        <v>853.27999999991152</v>
      </c>
      <c r="I147" s="140"/>
      <c r="J147" s="330">
        <f>H147/DAY(B2)</f>
        <v>426.63999999995576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'1'!F148</f>
        <v>674040</v>
      </c>
      <c r="F148" s="150">
        <v>674265.04</v>
      </c>
      <c r="G148" s="112">
        <f t="shared" si="11"/>
        <v>225.04000000003725</v>
      </c>
      <c r="H148" s="99">
        <f>G148+'1'!H148</f>
        <v>475.35999999998603</v>
      </c>
      <c r="I148" s="124"/>
      <c r="J148" s="330">
        <f>H148/DAY(B2)</f>
        <v>237.67999999999302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'1'!F149</f>
        <v>95405</v>
      </c>
      <c r="F149" s="146">
        <v>95789</v>
      </c>
      <c r="G149" s="112">
        <f t="shared" si="11"/>
        <v>384</v>
      </c>
      <c r="H149" s="99">
        <f>G149+'1'!H149</f>
        <v>767</v>
      </c>
      <c r="I149" s="119"/>
      <c r="J149" s="330">
        <f>H149/DAY(B2)</f>
        <v>383.5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'1'!F150</f>
        <v>7167232</v>
      </c>
      <c r="F150" s="233">
        <v>7167232</v>
      </c>
      <c r="G150" s="112">
        <f t="shared" si="11"/>
        <v>0</v>
      </c>
      <c r="H150" s="99">
        <f>G150+'1'!H150</f>
        <v>0</v>
      </c>
      <c r="I150" s="119"/>
      <c r="J150" s="330">
        <f>H150/DAY(B2)</f>
        <v>0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'1'!F151</f>
        <v>70942</v>
      </c>
      <c r="F151" s="233">
        <v>71195</v>
      </c>
      <c r="G151" s="112">
        <f t="shared" si="11"/>
        <v>253</v>
      </c>
      <c r="H151" s="99">
        <f>G151+'1'!H151</f>
        <v>473</v>
      </c>
      <c r="I151" s="119"/>
      <c r="J151" s="330">
        <f>H151/DAY(B2)</f>
        <v>236.5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'1'!F152</f>
        <v>0</v>
      </c>
      <c r="F152" s="233"/>
      <c r="G152" s="112">
        <f t="shared" si="11"/>
        <v>0</v>
      </c>
      <c r="H152" s="99">
        <f>G152+'1'!H152</f>
        <v>0</v>
      </c>
      <c r="I152" s="119"/>
      <c r="J152" s="330">
        <f>H152/DAY(B2)</f>
        <v>0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2181.1499999999846</v>
      </c>
      <c r="H153" s="365"/>
      <c r="I153" s="119">
        <f>G153-(G38+G52)</f>
        <v>284.57999999997764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'1'!F155</f>
        <v>77524</v>
      </c>
      <c r="F155" s="602">
        <v>77532</v>
      </c>
      <c r="G155" s="112">
        <f t="shared" ref="G155:G156" si="12">F155-E155</f>
        <v>8</v>
      </c>
      <c r="H155" s="99">
        <f>G155+'1'!H155</f>
        <v>8</v>
      </c>
      <c r="I155" s="366"/>
      <c r="J155" s="330">
        <f>H155/DAY(B2)</f>
        <v>4</v>
      </c>
    </row>
    <row r="156" spans="1:10" ht="27.75" x14ac:dyDescent="0.5">
      <c r="A156" s="838" t="s">
        <v>347</v>
      </c>
      <c r="B156" s="838"/>
      <c r="C156" s="838"/>
      <c r="D156" s="117" t="s">
        <v>130</v>
      </c>
      <c r="E156" s="95">
        <f>'1'!F156</f>
        <v>0</v>
      </c>
      <c r="F156" s="165"/>
      <c r="G156" s="112">
        <f t="shared" si="12"/>
        <v>0</v>
      </c>
      <c r="H156" s="99">
        <f>G156+'1'!H156</f>
        <v>0</v>
      </c>
      <c r="I156" s="165"/>
      <c r="J156" s="330">
        <f>H156/DAY(B2)</f>
        <v>0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/>
      <c r="F157" s="165"/>
      <c r="G157" s="112"/>
      <c r="H157" s="99"/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/>
      <c r="F158" s="165"/>
      <c r="G158" s="112"/>
      <c r="H158" s="99"/>
      <c r="I158" s="165"/>
      <c r="J158" s="330"/>
    </row>
    <row r="159" spans="1:10" ht="27.75" x14ac:dyDescent="0.5">
      <c r="A159" s="794"/>
      <c r="B159" s="795"/>
      <c r="C159" s="796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471022</v>
      </c>
      <c r="F161" s="235">
        <v>471029.24</v>
      </c>
      <c r="G161" s="238">
        <f t="shared" ref="G161:G165" si="13">F161-E161</f>
        <v>7.2399999999906868</v>
      </c>
      <c r="H161" s="99">
        <f>G161+'1'!H161</f>
        <v>53.119999999995343</v>
      </c>
      <c r="I161" s="236"/>
      <c r="J161" s="239">
        <f>H161/DAY(B2)</f>
        <v>26.559999999997672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'1'!F162</f>
        <v>86673</v>
      </c>
      <c r="F162" s="235">
        <v>86713.4</v>
      </c>
      <c r="G162" s="238">
        <f t="shared" si="13"/>
        <v>40.399999999994179</v>
      </c>
      <c r="H162" s="99">
        <f>G162+'1'!H162</f>
        <v>111.69999999999709</v>
      </c>
      <c r="I162" s="236"/>
      <c r="J162" s="239">
        <f>H162/DAY(B2)</f>
        <v>55.849999999998545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'1'!F163</f>
        <v>75567</v>
      </c>
      <c r="F163" s="235">
        <v>75692</v>
      </c>
      <c r="G163" s="238">
        <f t="shared" si="13"/>
        <v>125</v>
      </c>
      <c r="H163" s="99">
        <f>G163+'1'!H163</f>
        <v>232.19999999999709</v>
      </c>
      <c r="I163" s="236"/>
      <c r="J163" s="239">
        <f>H163/DAY(B2)</f>
        <v>116.09999999999854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4106</v>
      </c>
      <c r="F164" s="235">
        <v>4112.8999999999996</v>
      </c>
      <c r="G164" s="238">
        <f t="shared" si="13"/>
        <v>6.8999999999996362</v>
      </c>
      <c r="H164" s="99">
        <f>G164+'1'!H164</f>
        <v>15</v>
      </c>
      <c r="I164" s="236"/>
      <c r="J164" s="239">
        <f>H164/DAY(B2)</f>
        <v>7.5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'1'!F165</f>
        <v>29439</v>
      </c>
      <c r="F165" s="235">
        <v>29447.759999999998</v>
      </c>
      <c r="G165" s="238">
        <f t="shared" si="13"/>
        <v>8.7599999999983993</v>
      </c>
      <c r="H165" s="99">
        <f>G165+'1'!H165</f>
        <v>18.828799999999319</v>
      </c>
      <c r="I165" s="236"/>
      <c r="J165" s="239">
        <f>H165/DAY(B2)</f>
        <v>9.4143999999996595</v>
      </c>
    </row>
    <row r="166" spans="1:10" ht="29.25" customHeight="1" x14ac:dyDescent="0.5">
      <c r="A166" s="870"/>
      <c r="B166" s="870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9"/>
    </row>
    <row r="167" spans="1:10" ht="29.25" x14ac:dyDescent="0.5">
      <c r="A167" s="870"/>
      <c r="B167" s="870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9"/>
    </row>
    <row r="168" spans="1:10" ht="29.25" x14ac:dyDescent="0.5">
      <c r="A168" s="870"/>
      <c r="B168" s="870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9"/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35.25" customHeight="1" x14ac:dyDescent="0.5">
      <c r="A173" s="831" t="s">
        <v>209</v>
      </c>
      <c r="B173" s="832"/>
      <c r="C173" s="335"/>
      <c r="D173" s="228" t="s">
        <v>142</v>
      </c>
      <c r="E173" s="95">
        <f>'1'!F173</f>
        <v>8107</v>
      </c>
      <c r="F173" s="155">
        <v>8107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'1'!F174</f>
        <v>37823</v>
      </c>
      <c r="F174" s="157">
        <v>37840</v>
      </c>
      <c r="G174" s="155">
        <f t="shared" ref="G174:G175" si="14">F174-E174</f>
        <v>17</v>
      </c>
      <c r="H174" s="99">
        <f>G174+'1'!H174</f>
        <v>32</v>
      </c>
      <c r="I174" s="155"/>
      <c r="J174" s="178">
        <f>H174/DAY(B2)</f>
        <v>16</v>
      </c>
    </row>
    <row r="175" spans="1:10" ht="27.75" x14ac:dyDescent="0.5">
      <c r="A175" s="831" t="s">
        <v>76</v>
      </c>
      <c r="B175" s="833"/>
      <c r="C175" s="832"/>
      <c r="D175" s="228" t="s">
        <v>142</v>
      </c>
      <c r="E175" s="95">
        <f>'1'!F175</f>
        <v>21147</v>
      </c>
      <c r="F175" s="155">
        <v>21158</v>
      </c>
      <c r="G175" s="155">
        <f t="shared" si="14"/>
        <v>11</v>
      </c>
      <c r="H175" s="99">
        <f>G175+'1'!H175</f>
        <v>21</v>
      </c>
      <c r="I175" s="155"/>
      <c r="J175" s="178">
        <f>H175/DAY(B2)</f>
        <v>10.5</v>
      </c>
    </row>
    <row r="176" spans="1:10" ht="27.75" x14ac:dyDescent="0.5">
      <c r="A176" s="867" t="s">
        <v>196</v>
      </c>
      <c r="B176" s="868"/>
      <c r="C176" s="529"/>
      <c r="D176" s="228"/>
      <c r="E176" s="95"/>
      <c r="F176" s="155"/>
      <c r="G176" s="155">
        <f>SUM(G173:G175)</f>
        <v>28</v>
      </c>
      <c r="H176" s="99">
        <f>G176+'1'!H176</f>
        <v>53</v>
      </c>
      <c r="I176" s="155"/>
      <c r="J176" s="178">
        <f>H176/DAY(B2)</f>
        <v>26.5</v>
      </c>
    </row>
    <row r="177" spans="1:10" ht="27.75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831" t="s">
        <v>210</v>
      </c>
      <c r="B178" s="832"/>
      <c r="C178" s="335"/>
      <c r="D178" s="228" t="s">
        <v>142</v>
      </c>
      <c r="E178" s="95">
        <f>'1'!F178</f>
        <v>77415</v>
      </c>
      <c r="F178" s="155">
        <v>77477</v>
      </c>
      <c r="G178" s="155">
        <f>F178-E178</f>
        <v>62</v>
      </c>
      <c r="H178" s="99">
        <f>G178+'1'!H178</f>
        <v>125</v>
      </c>
      <c r="I178" s="155"/>
      <c r="J178" s="178">
        <f>H178/DAY(B2)</f>
        <v>62.5</v>
      </c>
    </row>
    <row r="179" spans="1:10" ht="27.75" x14ac:dyDescent="0.5">
      <c r="A179" s="831" t="s">
        <v>211</v>
      </c>
      <c r="B179" s="832"/>
      <c r="C179" s="335"/>
      <c r="D179" s="228" t="s">
        <v>142</v>
      </c>
      <c r="E179" s="95">
        <f>'1'!F179</f>
        <v>33886</v>
      </c>
      <c r="F179" s="155">
        <v>33886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'1'!F180</f>
        <v>5277</v>
      </c>
      <c r="F180" s="155">
        <v>5278</v>
      </c>
      <c r="G180" s="155">
        <f t="shared" si="15"/>
        <v>1</v>
      </c>
      <c r="H180" s="99">
        <f>G180+'1'!H180</f>
        <v>5</v>
      </c>
      <c r="I180" s="155"/>
      <c r="J180" s="178">
        <f>H180/DAY(B2)</f>
        <v>2.5</v>
      </c>
    </row>
    <row r="181" spans="1:10" ht="27.75" x14ac:dyDescent="0.5">
      <c r="A181" s="872" t="s">
        <v>108</v>
      </c>
      <c r="B181" s="873"/>
      <c r="C181" s="529"/>
      <c r="D181" s="228"/>
      <c r="E181" s="95"/>
      <c r="F181" s="155"/>
      <c r="G181" s="155">
        <f>SUM(G178:G180)</f>
        <v>63</v>
      </c>
      <c r="H181" s="99">
        <f>G181+'1'!H181</f>
        <v>130</v>
      </c>
      <c r="I181" s="155"/>
      <c r="J181" s="178">
        <f>H181/DAY(B2)</f>
        <v>65</v>
      </c>
    </row>
    <row r="182" spans="1:10" ht="31.5" customHeight="1" x14ac:dyDescent="0.5">
      <c r="A182" s="831" t="s">
        <v>213</v>
      </c>
      <c r="B182" s="832"/>
      <c r="C182" s="335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831" t="s">
        <v>214</v>
      </c>
      <c r="B183" s="832"/>
      <c r="C183" s="336"/>
      <c r="D183" s="228" t="s">
        <v>142</v>
      </c>
      <c r="E183" s="95">
        <f>'1'!F183</f>
        <v>14510</v>
      </c>
      <c r="F183" s="157">
        <v>14538</v>
      </c>
      <c r="G183" s="157">
        <f>F183-E183</f>
        <v>28</v>
      </c>
      <c r="H183" s="99">
        <f>G183+'1'!H183</f>
        <v>42</v>
      </c>
      <c r="I183" s="155"/>
      <c r="J183" s="178">
        <f>H183/DAY(B2)</f>
        <v>21</v>
      </c>
    </row>
    <row r="184" spans="1:10" ht="27.75" customHeight="1" x14ac:dyDescent="0.5">
      <c r="A184" s="831" t="s">
        <v>215</v>
      </c>
      <c r="B184" s="832"/>
      <c r="C184" s="336"/>
      <c r="D184" s="228" t="s">
        <v>142</v>
      </c>
      <c r="E184" s="95">
        <f>'1'!F184</f>
        <v>10038</v>
      </c>
      <c r="F184" s="157">
        <v>10046</v>
      </c>
      <c r="G184" s="157">
        <f t="shared" ref="G184:G185" si="16">F184-E184</f>
        <v>8</v>
      </c>
      <c r="H184" s="99">
        <f>G184+'1'!H184</f>
        <v>15</v>
      </c>
      <c r="I184" s="155"/>
      <c r="J184" s="178">
        <f>H184/DAY(B2)</f>
        <v>7.5</v>
      </c>
    </row>
    <row r="185" spans="1:10" ht="24.75" customHeight="1" x14ac:dyDescent="0.5">
      <c r="A185" s="831" t="s">
        <v>216</v>
      </c>
      <c r="B185" s="832"/>
      <c r="C185" s="336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867" t="s">
        <v>196</v>
      </c>
      <c r="B186" s="868"/>
      <c r="C186" s="528"/>
      <c r="D186" s="229"/>
      <c r="E186" s="95"/>
      <c r="F186" s="157"/>
      <c r="G186" s="157">
        <f>SUM(G183:G185)</f>
        <v>36</v>
      </c>
      <c r="H186" s="99">
        <f>G186+'1'!H186</f>
        <v>57</v>
      </c>
      <c r="I186" s="157"/>
      <c r="J186" s="178">
        <f>H186/DAY(B2)</f>
        <v>28.5</v>
      </c>
    </row>
    <row r="187" spans="1:10" ht="28.5" customHeight="1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506">
        <f>G62+G19</f>
        <v>170</v>
      </c>
      <c r="H187" s="99">
        <f>G187+'1'!H187</f>
        <v>330</v>
      </c>
      <c r="I187" s="158"/>
      <c r="J187" s="179">
        <f>H187/DAY(B2)</f>
        <v>165</v>
      </c>
    </row>
    <row r="188" spans="1:10" ht="24" customHeight="1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194.19999999999982</v>
      </c>
      <c r="H188" s="99">
        <f>G188+'1'!H188</f>
        <v>339.19999999999982</v>
      </c>
      <c r="I188" s="158"/>
      <c r="J188" s="179">
        <f>H188/DAY(B2)</f>
        <v>169.59999999999991</v>
      </c>
    </row>
    <row r="189" spans="1:10" ht="24.75" customHeight="1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63</v>
      </c>
      <c r="H189" s="99">
        <f>G189+'1'!H189</f>
        <v>130</v>
      </c>
      <c r="I189" s="158"/>
      <c r="J189" s="179">
        <f>H189/DAY(B2)</f>
        <v>65</v>
      </c>
    </row>
    <row r="190" spans="1:10" ht="27.75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136" zoomScale="55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6" s="57" customFormat="1" ht="27" x14ac:dyDescent="0.5">
      <c r="A2" s="191" t="s">
        <v>350</v>
      </c>
      <c r="B2" s="377">
        <v>44533</v>
      </c>
      <c r="C2" s="350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50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445058</v>
      </c>
      <c r="F7" s="95">
        <v>468532.23</v>
      </c>
      <c r="G7" s="112">
        <f>F7-E7</f>
        <v>23474.229999999981</v>
      </c>
      <c r="H7" s="99">
        <f>G7+'2'!H7</f>
        <v>67690.229999999981</v>
      </c>
      <c r="I7" s="113">
        <f>'1'!I7</f>
        <v>12000</v>
      </c>
      <c r="J7" s="175">
        <f>H7/DAY(B2)</f>
        <v>22563.409999999993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482951</v>
      </c>
      <c r="F8" s="114">
        <v>506591.27</v>
      </c>
      <c r="G8" s="115">
        <f>F8-E8</f>
        <v>23640.270000000019</v>
      </c>
      <c r="H8" s="99">
        <f>G8+'2'!H8</f>
        <v>68296.270000000019</v>
      </c>
      <c r="I8" s="116"/>
      <c r="J8" s="175">
        <f>H8/DAY(B2)</f>
        <v>22765.42333333334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1748743.3</v>
      </c>
      <c r="F9" s="117">
        <v>1768400.5</v>
      </c>
      <c r="G9" s="112">
        <f>F9-E9</f>
        <v>19657.199999999953</v>
      </c>
      <c r="H9" s="99">
        <f>G9+'2'!H9</f>
        <v>49302.800000000047</v>
      </c>
      <c r="I9" s="124">
        <f>I7-J7</f>
        <v>-10563.409999999993</v>
      </c>
      <c r="J9" s="175">
        <f>H9/DAY(B2)</f>
        <v>16434.266666666681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419442.27</v>
      </c>
      <c r="F10" s="117">
        <v>422591</v>
      </c>
      <c r="G10" s="112">
        <f t="shared" ref="G10:G12" si="0">F10-E10</f>
        <v>3148.7299999999814</v>
      </c>
      <c r="H10" s="99">
        <f>G10+'2'!H10</f>
        <v>16508.570000000007</v>
      </c>
      <c r="I10" s="282"/>
      <c r="J10" s="175">
        <f>H10/DAY(B2)</f>
        <v>5502.8566666666693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22805.929999999935</v>
      </c>
      <c r="H13" s="99">
        <f>G13+'2'!H13</f>
        <v>43760.5</v>
      </c>
      <c r="I13" s="120">
        <f>G7-G13</f>
        <v>668.30000000004657</v>
      </c>
      <c r="J13" s="175">
        <f>H13/DAY(B2)</f>
        <v>14586.833333333334</v>
      </c>
      <c r="K13" s="79"/>
      <c r="L13" s="66"/>
      <c r="N13" s="87"/>
      <c r="O13" s="71"/>
    </row>
    <row r="14" spans="1:16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7" t="s">
        <v>138</v>
      </c>
      <c r="B15" s="205"/>
      <c r="C15" s="205"/>
      <c r="D15" s="151" t="s">
        <v>139</v>
      </c>
      <c r="E15" s="95">
        <f>'2'!F15</f>
        <v>1845316.24</v>
      </c>
      <c r="F15" s="123">
        <v>1846460.39</v>
      </c>
      <c r="G15" s="112">
        <f>(F15-E15)</f>
        <v>1144.1499999999069</v>
      </c>
      <c r="H15" s="99">
        <f>G15+'2'!H15</f>
        <v>3312.3899999998976</v>
      </c>
      <c r="I15" s="113">
        <f>'1'!I15</f>
        <v>800</v>
      </c>
      <c r="J15" s="175">
        <f>H15/DAY(B2)</f>
        <v>1104.1299999999658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-304.12999999996578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'2'!F18</f>
        <v>20</v>
      </c>
      <c r="F18" s="122">
        <v>23</v>
      </c>
      <c r="G18" s="119">
        <f>F18*10</f>
        <v>230</v>
      </c>
      <c r="H18" s="99">
        <f>G18+'2'!H18</f>
        <v>590</v>
      </c>
      <c r="I18" s="113">
        <f>'1'!I18</f>
        <v>65</v>
      </c>
      <c r="J18" s="175">
        <f>H18/DAY(B2)</f>
        <v>196.66666666666666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'2'!F19</f>
        <v>150690</v>
      </c>
      <c r="F19" s="122">
        <v>150745</v>
      </c>
      <c r="G19" s="112">
        <f t="shared" ref="G19" si="1">F19-E19</f>
        <v>55</v>
      </c>
      <c r="H19" s="99">
        <f>G19+'2'!H19</f>
        <v>161</v>
      </c>
      <c r="I19" s="337"/>
      <c r="J19" s="175">
        <f>H19/DAY(B2)</f>
        <v>53.666666666666664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285</v>
      </c>
      <c r="H20" s="99">
        <f>G20+'2'!H20</f>
        <v>751</v>
      </c>
      <c r="I20" s="338">
        <f>I18-J20</f>
        <v>-185.33333333333334</v>
      </c>
      <c r="J20" s="175">
        <f>H20/DAY(B2)</f>
        <v>250.33333333333334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'2'!F23</f>
        <v>2000</v>
      </c>
      <c r="F23" s="122">
        <v>2000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23640.270000000019</v>
      </c>
      <c r="F27" s="136">
        <v>9</v>
      </c>
      <c r="G27" s="137">
        <f>E27*F27</f>
        <v>212762.43000000017</v>
      </c>
      <c r="H27" s="99">
        <f>G27+'2'!H27</f>
        <v>614666.43000000017</v>
      </c>
      <c r="I27" s="138"/>
      <c r="J27" s="175">
        <f>H27/DAY(B2)</f>
        <v>204888.81000000006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1144.1499999999069</v>
      </c>
      <c r="F28" s="136">
        <v>52</v>
      </c>
      <c r="G28" s="137">
        <f>E28*F28</f>
        <v>59495.799999995157</v>
      </c>
      <c r="H28" s="99">
        <f>G28+'2'!H28</f>
        <v>172244.27999999467</v>
      </c>
      <c r="I28" s="140"/>
      <c r="J28" s="175">
        <f>H28/DAY(B2)</f>
        <v>57414.759999998227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G30+'2'!H30</f>
        <v>23506</v>
      </c>
      <c r="I30" s="140"/>
      <c r="J30" s="175">
        <f>H30/DAY(B2)</f>
        <v>7835.333333333333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G31+'2'!H31</f>
        <v>47200</v>
      </c>
      <c r="I31" s="140"/>
      <c r="J31" s="175">
        <f>H31/DAY(B2)</f>
        <v>15733.333333333334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298688.22999999532</v>
      </c>
      <c r="H32" s="99">
        <f>G32+'2'!H32</f>
        <v>857616.70999999484</v>
      </c>
      <c r="I32" s="144"/>
      <c r="J32" s="175">
        <f>H32/DAY(B2)</f>
        <v>285872.23666666495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97626.8</v>
      </c>
      <c r="F35" s="145">
        <v>99687.1</v>
      </c>
      <c r="G35" s="112">
        <f t="shared" ref="G35:G46" si="3">F35-E35</f>
        <v>2060.3000000000029</v>
      </c>
      <c r="H35" s="99">
        <f>G35+'2'!H35</f>
        <v>6152.4700000000012</v>
      </c>
      <c r="I35" s="95"/>
      <c r="J35" s="175">
        <f>H35/DAY(B2)</f>
        <v>2050.8233333333337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81372.7</v>
      </c>
      <c r="F36" s="145">
        <v>82398.58</v>
      </c>
      <c r="G36" s="112">
        <f t="shared" si="3"/>
        <v>1025.8800000000047</v>
      </c>
      <c r="H36" s="99">
        <f>G36+'2'!H36</f>
        <v>2934.8800000000047</v>
      </c>
      <c r="I36" s="95"/>
      <c r="J36" s="175">
        <f>H36/DAY(B2)</f>
        <v>978.29333333333489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148879.59</v>
      </c>
      <c r="F37" s="145">
        <v>150488.92000000001</v>
      </c>
      <c r="G37" s="112">
        <f t="shared" si="3"/>
        <v>1609.3300000000163</v>
      </c>
      <c r="H37" s="99">
        <f>G37+'2'!H37</f>
        <v>4982.1800000000221</v>
      </c>
      <c r="I37" s="95"/>
      <c r="J37" s="175">
        <f>H37/DAY(B2)</f>
        <v>1660.726666666674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174805.57</v>
      </c>
      <c r="F38" s="108">
        <v>176815.03</v>
      </c>
      <c r="G38" s="112">
        <f t="shared" si="3"/>
        <v>2009.4599999999919</v>
      </c>
      <c r="H38" s="99">
        <f>G38+'2'!H38</f>
        <v>5810.9800000000105</v>
      </c>
      <c r="I38" s="95"/>
      <c r="J38" s="175">
        <f>H38/DAY(B2)</f>
        <v>1936.9933333333368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327392</v>
      </c>
      <c r="F39" s="145">
        <v>330283.53000000003</v>
      </c>
      <c r="G39" s="112">
        <f t="shared" si="3"/>
        <v>2891.5300000000279</v>
      </c>
      <c r="H39" s="99">
        <f>G39+'2'!H39</f>
        <v>8620.2400000000489</v>
      </c>
      <c r="I39" s="95"/>
      <c r="J39" s="175">
        <f>H39/DAY(B2)</f>
        <v>2873.4133333333498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114.8</v>
      </c>
      <c r="F40" s="145">
        <v>114.8</v>
      </c>
      <c r="G40" s="112">
        <f t="shared" si="3"/>
        <v>0</v>
      </c>
      <c r="H40" s="99">
        <f>G40+'2'!H40</f>
        <v>3.5799999999999983</v>
      </c>
      <c r="I40" s="95"/>
      <c r="J40" s="175">
        <f>H40/DAY(B2)</f>
        <v>1.1933333333333327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590513.71</v>
      </c>
      <c r="F41" s="145">
        <v>592334.31000000006</v>
      </c>
      <c r="G41" s="112">
        <f t="shared" si="3"/>
        <v>1820.6000000000931</v>
      </c>
      <c r="H41" s="99">
        <f>G41+'2'!H41</f>
        <v>1820.6000000000931</v>
      </c>
      <c r="I41" s="95"/>
      <c r="J41" s="175">
        <f>H41/DAY(B2)</f>
        <v>606.86666666669771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319343.77</v>
      </c>
      <c r="F42" s="145">
        <v>323608.45</v>
      </c>
      <c r="G42" s="112">
        <f t="shared" si="3"/>
        <v>4264.679999999993</v>
      </c>
      <c r="H42" s="99">
        <f>G42+'2'!H42</f>
        <v>7554.460000000021</v>
      </c>
      <c r="I42" s="95"/>
      <c r="J42" s="175">
        <f>H42/DAY(B2)</f>
        <v>2518.1533333333405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1533446.4</v>
      </c>
      <c r="F43" s="145">
        <v>1536153.4</v>
      </c>
      <c r="G43" s="112">
        <f t="shared" si="3"/>
        <v>2707</v>
      </c>
      <c r="H43" s="99">
        <f>G43+'2'!H43</f>
        <v>7554.7999999998137</v>
      </c>
      <c r="I43" s="95"/>
      <c r="J43" s="175">
        <f>H43/DAY(B2)</f>
        <v>2518.2666666666046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18388.78000000013</v>
      </c>
      <c r="H47" s="99">
        <f>G47+'2'!H47</f>
        <v>45434.190000000017</v>
      </c>
      <c r="I47" s="95"/>
      <c r="J47" s="175">
        <f>H47/DAY(B2)</f>
        <v>15144.730000000005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223959.89</v>
      </c>
      <c r="F49" s="145">
        <v>225763.99</v>
      </c>
      <c r="G49" s="112">
        <f t="shared" ref="G49:G58" si="4">F49-E49</f>
        <v>1804.0999999999767</v>
      </c>
      <c r="H49" s="99">
        <f>G49+'2'!H49</f>
        <v>5250.6600000000035</v>
      </c>
      <c r="I49" s="95"/>
      <c r="J49" s="175">
        <f>H49/DAY(B2)</f>
        <v>1750.2200000000012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726169.35</v>
      </c>
      <c r="F50" s="145">
        <v>727456.87</v>
      </c>
      <c r="G50" s="112">
        <f t="shared" si="4"/>
        <v>1287.5200000000186</v>
      </c>
      <c r="H50" s="99">
        <f>G50+'2'!H50</f>
        <v>4233.6800000000512</v>
      </c>
      <c r="I50" s="95"/>
      <c r="J50" s="175">
        <f>H50/DAY(B2)</f>
        <v>1411.2266666666837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3044.62</v>
      </c>
      <c r="F54" s="145">
        <v>3051.36</v>
      </c>
      <c r="G54" s="112">
        <f t="shared" si="4"/>
        <v>6.7400000000002365</v>
      </c>
      <c r="H54" s="99">
        <f>G54+'2'!H54</f>
        <v>20.079999999999927</v>
      </c>
      <c r="I54" s="95"/>
      <c r="J54" s="175">
        <f>H54/DAY(B2)</f>
        <v>6.6933333333333094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0</v>
      </c>
      <c r="F55" s="145">
        <v>0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197351.65</v>
      </c>
      <c r="F56" s="145">
        <v>197377.67</v>
      </c>
      <c r="G56" s="112">
        <f t="shared" si="4"/>
        <v>26.020000000018626</v>
      </c>
      <c r="H56" s="99">
        <f>G56+'2'!H56</f>
        <v>6862.7200000000012</v>
      </c>
      <c r="I56" s="95"/>
      <c r="J56" s="175">
        <f>H56/DAY(B2)</f>
        <v>2287.5733333333337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85738.19</v>
      </c>
      <c r="F58" s="145">
        <v>85964.66</v>
      </c>
      <c r="G58" s="112">
        <f t="shared" si="4"/>
        <v>226.47000000000116</v>
      </c>
      <c r="H58" s="99">
        <f>G58+'2'!H58</f>
        <v>639.80999999999767</v>
      </c>
      <c r="I58" s="95"/>
      <c r="J58" s="175">
        <f>H58/DAY(B2)</f>
        <v>213.26999999999921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3350.8500000000154</v>
      </c>
      <c r="H59" s="99">
        <f>G59+'2'!H59</f>
        <v>17006.950000000055</v>
      </c>
      <c r="I59" s="95">
        <f>G7-G60</f>
        <v>1734.5999999998348</v>
      </c>
      <c r="J59" s="175">
        <f>H59/DAY(B2)</f>
        <v>5668.9833333333518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21739.630000000147</v>
      </c>
      <c r="H60" s="99">
        <f>G60+'2'!H60</f>
        <v>62441.140000000072</v>
      </c>
      <c r="I60" s="95">
        <f>G13-G60</f>
        <v>1066.2999999997883</v>
      </c>
      <c r="J60" s="175">
        <f>H60/DAY(B2)</f>
        <v>20813.713333333359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'2'!F62</f>
        <v>263689</v>
      </c>
      <c r="F62" s="122">
        <v>263817</v>
      </c>
      <c r="G62" s="112">
        <f t="shared" ref="G62:G63" si="5">F62-E62</f>
        <v>128</v>
      </c>
      <c r="H62" s="99">
        <f>G62+'2'!H62</f>
        <v>352</v>
      </c>
      <c r="I62" s="118"/>
      <c r="J62" s="175">
        <f>H62/DAY(B2)</f>
        <v>117.33333333333333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'2'!F63</f>
        <v>209571</v>
      </c>
      <c r="F63" s="122">
        <v>209678</v>
      </c>
      <c r="G63" s="112">
        <f t="shared" si="5"/>
        <v>107</v>
      </c>
      <c r="H63" s="99">
        <f>G63+'2'!H63</f>
        <v>303</v>
      </c>
      <c r="I63" s="118"/>
      <c r="J63" s="175">
        <f>H63/DAY(B2)</f>
        <v>101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'2'!F64</f>
        <v>0</v>
      </c>
      <c r="F64" s="122"/>
      <c r="G64" s="112">
        <f>G62+G63</f>
        <v>235</v>
      </c>
      <c r="H64" s="99">
        <f>G64+'2'!H64</f>
        <v>655</v>
      </c>
      <c r="I64" s="118"/>
      <c r="J64" s="175">
        <f>H64/DAY(B2)</f>
        <v>218.33333333333334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'2'!F65</f>
        <v>429547</v>
      </c>
      <c r="F65" s="122">
        <v>429636</v>
      </c>
      <c r="G65" s="112">
        <f t="shared" ref="G65:G70" si="6">F65-E65</f>
        <v>89</v>
      </c>
      <c r="H65" s="99">
        <f>G65+'2'!H65</f>
        <v>273</v>
      </c>
      <c r="I65" s="118"/>
      <c r="J65" s="175">
        <f>H65/DAY(B2)</f>
        <v>91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'2'!F66</f>
        <v>106638</v>
      </c>
      <c r="F66" s="122">
        <v>106665</v>
      </c>
      <c r="G66" s="112">
        <f t="shared" si="6"/>
        <v>27</v>
      </c>
      <c r="H66" s="99">
        <f>G66+'2'!H66</f>
        <v>66</v>
      </c>
      <c r="I66" s="118"/>
      <c r="J66" s="175">
        <f>H66/DAY(B2)</f>
        <v>22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'2'!F67</f>
        <v>103065</v>
      </c>
      <c r="F67" s="122">
        <v>103094</v>
      </c>
      <c r="G67" s="112">
        <f t="shared" si="6"/>
        <v>29</v>
      </c>
      <c r="H67" s="99">
        <f>G67+'2'!H67</f>
        <v>83</v>
      </c>
      <c r="I67" s="118"/>
      <c r="J67" s="175">
        <f>H67/DAY(B2)</f>
        <v>27.666666666666668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'2'!F68</f>
        <v>155507</v>
      </c>
      <c r="F68" s="122">
        <v>155546</v>
      </c>
      <c r="G68" s="112">
        <f t="shared" si="6"/>
        <v>39</v>
      </c>
      <c r="H68" s="99">
        <f>G68+'2'!H68</f>
        <v>106</v>
      </c>
      <c r="I68" s="118"/>
      <c r="J68" s="175">
        <f>H68/DAY(B2)</f>
        <v>35.333333333333336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'2'!F69</f>
        <v>9878</v>
      </c>
      <c r="F69" s="122">
        <v>9890</v>
      </c>
      <c r="G69" s="112">
        <f t="shared" si="6"/>
        <v>12</v>
      </c>
      <c r="H69" s="99">
        <f>G69+'2'!H69</f>
        <v>47</v>
      </c>
      <c r="I69" s="118"/>
      <c r="J69" s="175">
        <f>H69/DAY(B2)</f>
        <v>15.666666666666666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'2'!F70</f>
        <v>7569.2</v>
      </c>
      <c r="F70" s="122">
        <v>7572</v>
      </c>
      <c r="G70" s="112">
        <f t="shared" si="6"/>
        <v>2.8000000000001819</v>
      </c>
      <c r="H70" s="99">
        <f>G70+'2'!H70</f>
        <v>30</v>
      </c>
      <c r="I70" s="118"/>
      <c r="J70" s="175">
        <f>H70/DAY(B2)</f>
        <v>10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198.80000000000018</v>
      </c>
      <c r="H71" s="99">
        <f>G71+'2'!H71</f>
        <v>605</v>
      </c>
      <c r="I71" s="154"/>
      <c r="J71" s="175">
        <f>H71/DAY(B2)</f>
        <v>201.66666666666666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'2'!F74</f>
        <v>882857.2</v>
      </c>
      <c r="F74" s="117">
        <v>883183.93</v>
      </c>
      <c r="G74" s="112">
        <f t="shared" ref="G74:G78" si="7">F74-E74</f>
        <v>326.73000000009779</v>
      </c>
      <c r="H74" s="99">
        <f>G74+'2'!H74</f>
        <v>930.88100000005215</v>
      </c>
      <c r="I74" s="154"/>
      <c r="J74" s="175">
        <f>H74/DAY(B2)</f>
        <v>310.29366666668403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'2'!F76</f>
        <v>163621.9</v>
      </c>
      <c r="F76" s="123">
        <v>163740.4</v>
      </c>
      <c r="G76" s="112">
        <f t="shared" si="7"/>
        <v>118.5</v>
      </c>
      <c r="H76" s="99">
        <f>G76+'2'!H76</f>
        <v>356.39999999999418</v>
      </c>
      <c r="I76" s="154"/>
      <c r="J76" s="175">
        <f>H76/DAY(B2)</f>
        <v>118.79999999999806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'2'!F77</f>
        <v>38904.5</v>
      </c>
      <c r="F77" s="123">
        <v>38950.5</v>
      </c>
      <c r="G77" s="112">
        <f t="shared" si="7"/>
        <v>46</v>
      </c>
      <c r="H77" s="99">
        <f>G77+'2'!H77</f>
        <v>140.5</v>
      </c>
      <c r="I77" s="154"/>
      <c r="J77" s="175">
        <f>H77/DAY(B2)</f>
        <v>46.833333333333336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'2'!F78</f>
        <v>9416.4</v>
      </c>
      <c r="F78" s="123">
        <v>9419.2000000000007</v>
      </c>
      <c r="G78" s="112">
        <f t="shared" si="7"/>
        <v>2.8000000000010914</v>
      </c>
      <c r="H78" s="99">
        <f>G78+'2'!H78</f>
        <v>7.2000000000007276</v>
      </c>
      <c r="I78" s="118"/>
      <c r="J78" s="175">
        <f>H78/DAY(B2)</f>
        <v>2.4000000000002424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'2'!F79</f>
        <v>0</v>
      </c>
      <c r="F79" s="117"/>
      <c r="G79" s="112">
        <f>G15-SUM(G74:G78)</f>
        <v>650.11999999980799</v>
      </c>
      <c r="H79" s="99">
        <f>G79+'2'!H79</f>
        <v>1877.4089999998505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1144.1499999999069</v>
      </c>
      <c r="H80" s="99">
        <f>G80+'2'!H80</f>
        <v>2238.3899999998976</v>
      </c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'2'!F84</f>
        <v>41628.559999999998</v>
      </c>
      <c r="F84" s="164">
        <v>41638.269999999997</v>
      </c>
      <c r="G84" s="112">
        <f t="shared" si="8"/>
        <v>9.7099999999991269</v>
      </c>
      <c r="H84" s="99">
        <f>G84+'2'!H84</f>
        <v>9.7099999999991269</v>
      </c>
      <c r="I84" s="118"/>
      <c r="J84" s="175">
        <f>H84/DAY(B2)</f>
        <v>3.2366666666663755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'2'!F85</f>
        <v>1518.37</v>
      </c>
      <c r="F85" s="164">
        <v>1540.27</v>
      </c>
      <c r="G85" s="112">
        <f t="shared" si="8"/>
        <v>21.900000000000091</v>
      </c>
      <c r="H85" s="99">
        <f>G85+'2'!H85</f>
        <v>36.710000000000036</v>
      </c>
      <c r="I85" s="118">
        <f>G82+G83+G84+G85</f>
        <v>31.609999999999218</v>
      </c>
      <c r="J85" s="175">
        <f>H85/DAY(B2)</f>
        <v>12.236666666666679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'2'!F86</f>
        <v>42826</v>
      </c>
      <c r="F86" s="164">
        <v>42826.47</v>
      </c>
      <c r="G86" s="112">
        <f t="shared" si="8"/>
        <v>0.47000000000116415</v>
      </c>
      <c r="H86" s="99">
        <f>G86+'2'!H86</f>
        <v>0.47000000000116415</v>
      </c>
      <c r="I86" s="118"/>
      <c r="J86" s="175">
        <f>H86/DAY(B2)</f>
        <v>0.15666666666705473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'2'!F87</f>
        <v>34454.29</v>
      </c>
      <c r="F87" s="164">
        <v>34454.29</v>
      </c>
      <c r="G87" s="112">
        <f t="shared" si="8"/>
        <v>0</v>
      </c>
      <c r="H87" s="99">
        <f>G87+'2'!H87</f>
        <v>33.889999999999418</v>
      </c>
      <c r="I87" s="118"/>
      <c r="J87" s="175">
        <f>H87/DAY(B2)</f>
        <v>11.296666666666473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'2'!F88</f>
        <v>23962.48</v>
      </c>
      <c r="F88" s="164">
        <v>23961.48</v>
      </c>
      <c r="G88" s="112">
        <f t="shared" si="8"/>
        <v>-1</v>
      </c>
      <c r="H88" s="99">
        <f>G88+'2'!H88</f>
        <v>8.9899999999979627</v>
      </c>
      <c r="I88" s="118">
        <f>G86+G87+G88</f>
        <v>-0.52999999999883585</v>
      </c>
      <c r="J88" s="175">
        <f>H88/DAY(B2)</f>
        <v>2.9966666666659876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'2'!F89</f>
        <v>25437.87</v>
      </c>
      <c r="F89" s="164">
        <v>25448.87</v>
      </c>
      <c r="G89" s="112">
        <f t="shared" si="8"/>
        <v>11</v>
      </c>
      <c r="H89" s="99">
        <f>G89+'2'!H89</f>
        <v>21.379999999997381</v>
      </c>
      <c r="I89" s="118"/>
      <c r="J89" s="175">
        <f>H89/DAY(B2)</f>
        <v>7.1266666666657938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'2'!F90</f>
        <v>70841.8</v>
      </c>
      <c r="F90" s="164">
        <v>70848.86</v>
      </c>
      <c r="G90" s="112">
        <f t="shared" si="8"/>
        <v>7.0599999999976717</v>
      </c>
      <c r="H90" s="99">
        <f>G90+'2'!H90</f>
        <v>20.589999999996508</v>
      </c>
      <c r="I90" s="118">
        <f>G89+G90</f>
        <v>18.059999999997672</v>
      </c>
      <c r="J90" s="175">
        <f>H90/DAY(B2)</f>
        <v>6.8633333333321689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'2'!F91</f>
        <v>3226.32</v>
      </c>
      <c r="F91" s="122">
        <v>3226.32</v>
      </c>
      <c r="G91" s="112">
        <f t="shared" si="8"/>
        <v>0</v>
      </c>
      <c r="H91" s="99">
        <f>G91+'2'!H91</f>
        <v>0.32000000000016371</v>
      </c>
      <c r="I91" s="165"/>
      <c r="J91" s="175">
        <f>H91/DAY(B2)</f>
        <v>0.10666666666672124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'2'!F92</f>
        <v>5116.97</v>
      </c>
      <c r="F92" s="122">
        <v>5128.38</v>
      </c>
      <c r="G92" s="112">
        <f t="shared" si="8"/>
        <v>11.409999999999854</v>
      </c>
      <c r="H92" s="99">
        <f>G92+'2'!H92</f>
        <v>32.480000000000473</v>
      </c>
      <c r="I92" s="165"/>
      <c r="J92" s="175">
        <f>H92/DAY(B2)</f>
        <v>10.826666666666824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6571.3999999999796</v>
      </c>
      <c r="H94" s="99">
        <f>G94+'2'!H94</f>
        <v>18957.929999999818</v>
      </c>
      <c r="I94" s="118"/>
      <c r="J94" s="175">
        <f>H94/DAY(B2)</f>
        <v>6319.3099999999395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0.27994102468962706</v>
      </c>
      <c r="H95" s="99">
        <f>G95+'2'!H95</f>
        <v>0.84033093844751816</v>
      </c>
      <c r="I95" s="167"/>
      <c r="J95" s="175">
        <f>H95/DAY(B2)</f>
        <v>0.28011031281583937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6111.3000000001048</v>
      </c>
      <c r="H96" s="99">
        <f>G96+'2'!H96</f>
        <v>16237.780000000115</v>
      </c>
      <c r="I96" s="118"/>
      <c r="J96" s="175">
        <f>H96/DAY(B2)</f>
        <v>5412.5933333333714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0.26034080777090918</v>
      </c>
      <c r="H97" s="99">
        <f>G97+'2'!H97</f>
        <v>0.71791015438890904</v>
      </c>
      <c r="I97" s="167"/>
      <c r="J97" s="175">
        <f>H97/DAY(B2)</f>
        <v>0.239303384796303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2891.5300000000279</v>
      </c>
      <c r="H98" s="99">
        <f>G98+'2'!H98</f>
        <v>8620.2400000000489</v>
      </c>
      <c r="I98" s="168"/>
      <c r="J98" s="175">
        <f>H98/DAY(B2)</f>
        <v>2873.4133333333498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0.12317890725276315</v>
      </c>
      <c r="H99" s="99">
        <f>G99+'2'!H99</f>
        <v>0.3822825749718044</v>
      </c>
      <c r="I99" s="168"/>
      <c r="J99" s="175">
        <f>H99/DAY(B2)</f>
        <v>0.12742752499060148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2009.4599999999919</v>
      </c>
      <c r="H100" s="99">
        <f>G100+'2'!H100</f>
        <v>5810.9800000000105</v>
      </c>
      <c r="I100" s="118"/>
      <c r="J100" s="175">
        <f>H100/DAY(B2)</f>
        <v>1936.9933333333368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8.5602807845028078E-2</v>
      </c>
      <c r="H101" s="99">
        <f>G101+'2'!H101</f>
        <v>0.25765583343333143</v>
      </c>
      <c r="I101" s="168"/>
      <c r="J101" s="175">
        <f>H101/DAY(B2)</f>
        <v>8.588527781111048E-2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2313.4000000000233</v>
      </c>
      <c r="H102" s="99">
        <f>G102+'2'!H102</f>
        <v>7168.5600000000559</v>
      </c>
      <c r="I102" s="168"/>
      <c r="J102" s="175">
        <f>H102/DAY(B2)</f>
        <v>2389.5200000000186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9.8550623385730868E-2</v>
      </c>
      <c r="H103" s="99">
        <f>G103+'2'!H103</f>
        <v>0.31836560877183306</v>
      </c>
      <c r="I103" s="118"/>
      <c r="J103" s="175">
        <f>H103/DAY(B2)</f>
        <v>0.10612186959061103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1609.3300000000163</v>
      </c>
      <c r="H104" s="99">
        <f>G104+'2'!H104</f>
        <v>4982.1800000000221</v>
      </c>
      <c r="I104" s="118"/>
      <c r="J104" s="175">
        <f>H104/DAY(B2)</f>
        <v>1660.726666666674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6.8557307311039276E-2</v>
      </c>
      <c r="H105" s="99">
        <f>G105+'2'!H105</f>
        <v>0.22118136879544953</v>
      </c>
      <c r="I105" s="187"/>
      <c r="J105" s="188">
        <f>H105/DAY(B2)</f>
        <v>7.3727122931816505E-2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'2'!F112</f>
        <v>53512.2</v>
      </c>
      <c r="F112" s="237">
        <v>53591.8</v>
      </c>
      <c r="G112" s="112">
        <f t="shared" ref="G112:G123" si="9">F112-E112</f>
        <v>79.600000000005821</v>
      </c>
      <c r="H112" s="99">
        <f>G112+'2'!H112</f>
        <v>239.79000000000087</v>
      </c>
      <c r="I112" s="165"/>
      <c r="J112" s="330">
        <f>H112/DAY(B2)</f>
        <v>79.930000000000291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'2'!F113</f>
        <v>18821.34</v>
      </c>
      <c r="F113" s="237">
        <v>19250.32</v>
      </c>
      <c r="G113" s="112">
        <f t="shared" si="9"/>
        <v>428.97999999999956</v>
      </c>
      <c r="H113" s="99">
        <f>G113+'2'!H113</f>
        <v>1293.7900000000009</v>
      </c>
      <c r="I113" s="165"/>
      <c r="J113" s="330">
        <f>H113/DAY(B2)</f>
        <v>431.26333333333361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'2'!F114</f>
        <v>14460.59</v>
      </c>
      <c r="F114" s="237">
        <v>14725.31</v>
      </c>
      <c r="G114" s="112">
        <f t="shared" si="9"/>
        <v>264.71999999999935</v>
      </c>
      <c r="H114" s="99">
        <f>G114+'2'!H114</f>
        <v>798.20999999999913</v>
      </c>
      <c r="I114" s="165"/>
      <c r="J114" s="330">
        <f>H114/DAY(B2)</f>
        <v>266.06999999999971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'2'!F115</f>
        <v>8457.89</v>
      </c>
      <c r="F115" s="237">
        <v>8467.68</v>
      </c>
      <c r="G115" s="112">
        <f t="shared" si="9"/>
        <v>9.7900000000008731</v>
      </c>
      <c r="H115" s="99">
        <f>G115+'2'!H115</f>
        <v>44</v>
      </c>
      <c r="I115" s="165"/>
      <c r="J115" s="330">
        <f>H115/DAY(B2)</f>
        <v>14.666666666666666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30">
        <f>H116/DAY(B2)</f>
        <v>0</v>
      </c>
      <c r="Q116" s="839"/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'2'!F117</f>
        <v>1982.83</v>
      </c>
      <c r="F117" s="237">
        <v>2002.19</v>
      </c>
      <c r="G117" s="112">
        <f t="shared" si="9"/>
        <v>19.360000000000127</v>
      </c>
      <c r="H117" s="99">
        <f>G117+'2'!H117</f>
        <v>61.110000000000127</v>
      </c>
      <c r="I117" s="165"/>
      <c r="J117" s="330">
        <f>H117/DAY(B2)</f>
        <v>20.370000000000044</v>
      </c>
      <c r="Q117" s="839"/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'2'!F118</f>
        <v>230708</v>
      </c>
      <c r="F118" s="237">
        <v>231061.27</v>
      </c>
      <c r="G118" s="112">
        <f t="shared" si="9"/>
        <v>353.26999999998952</v>
      </c>
      <c r="H118" s="99">
        <f>G118+'2'!H118</f>
        <v>1223.539999999979</v>
      </c>
      <c r="I118" s="165"/>
      <c r="J118" s="330">
        <f>H118/DAY(B2)</f>
        <v>407.8466666666597</v>
      </c>
      <c r="Q118" s="839"/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'2'!F119</f>
        <v>232623.67</v>
      </c>
      <c r="F119" s="237">
        <v>233058.81</v>
      </c>
      <c r="G119" s="112">
        <f t="shared" si="9"/>
        <v>435.13999999998487</v>
      </c>
      <c r="H119" s="99">
        <f>G119+'2'!H119</f>
        <v>1332.2799999999988</v>
      </c>
      <c r="I119" s="165"/>
      <c r="J119" s="330">
        <f>H119/DAY(B2)</f>
        <v>444.09333333333296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'2'!F120</f>
        <v>18028.8</v>
      </c>
      <c r="F120" s="237">
        <v>18457.23</v>
      </c>
      <c r="G120" s="112">
        <f t="shared" si="9"/>
        <v>428.43000000000029</v>
      </c>
      <c r="H120" s="99">
        <f>G120+'2'!H120</f>
        <v>1271.9099999999999</v>
      </c>
      <c r="I120" s="165"/>
      <c r="J120" s="330">
        <f>H120/DAY(B2)</f>
        <v>423.96999999999997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'2'!F121</f>
        <v>354393.59</v>
      </c>
      <c r="F121" s="237">
        <v>355113.43</v>
      </c>
      <c r="G121" s="112">
        <f t="shared" si="9"/>
        <v>719.8399999999674</v>
      </c>
      <c r="H121" s="99">
        <f>G121+'2'!H121</f>
        <v>2059.2000000000116</v>
      </c>
      <c r="I121" s="165"/>
      <c r="J121" s="330">
        <f>H121/DAY(B2)</f>
        <v>686.40000000000384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'2'!F122</f>
        <v>111621.23</v>
      </c>
      <c r="F122" s="237">
        <v>111950.298</v>
      </c>
      <c r="G122" s="112">
        <f t="shared" si="9"/>
        <v>329.0679999999993</v>
      </c>
      <c r="H122" s="99">
        <f>G122+'2'!H122</f>
        <v>940.50800000000163</v>
      </c>
      <c r="I122" s="165"/>
      <c r="J122" s="330">
        <f>H122/DAY(B2)</f>
        <v>313.50266666666721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'2'!F123</f>
        <v>134957.85</v>
      </c>
      <c r="F123" s="237">
        <v>135269.32999999999</v>
      </c>
      <c r="G123" s="112">
        <f t="shared" si="9"/>
        <v>311.47999999998137</v>
      </c>
      <c r="H123" s="99">
        <f>G123+'2'!H123</f>
        <v>903.32999999998719</v>
      </c>
      <c r="I123" s="165"/>
      <c r="J123" s="330">
        <f>H123/DAY(B2)</f>
        <v>301.10999999999575</v>
      </c>
    </row>
    <row r="124" spans="1:18" ht="29.25" customHeight="1" x14ac:dyDescent="0.5">
      <c r="A124" s="864"/>
      <c r="B124" s="865"/>
      <c r="C124" s="866"/>
      <c r="D124" s="165"/>
      <c r="E124" s="165"/>
      <c r="F124" s="165"/>
      <c r="G124" s="329"/>
      <c r="H124" s="156"/>
      <c r="I124" s="165"/>
      <c r="J124" s="329"/>
    </row>
    <row r="125" spans="1:18" ht="29.25" x14ac:dyDescent="0.5">
      <c r="A125" s="806" t="s">
        <v>196</v>
      </c>
      <c r="B125" s="807"/>
      <c r="C125" s="808"/>
      <c r="D125" s="307"/>
      <c r="E125" s="308"/>
      <c r="F125" s="308"/>
      <c r="G125" s="309">
        <f>SUM(G112:G124)</f>
        <v>3379.6779999999285</v>
      </c>
      <c r="H125" s="156"/>
      <c r="I125" s="329">
        <f>G125-(G39+G53)</f>
        <v>488.14799999990055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95"/>
      <c r="F127" s="308"/>
      <c r="G127" s="309"/>
      <c r="H127" s="99">
        <f>G127+'2'!H127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'2'!F128</f>
        <v>28240.11</v>
      </c>
      <c r="F128" s="165">
        <v>28552.15</v>
      </c>
      <c r="G128" s="112">
        <f t="shared" ref="G128:G134" si="10">F128-E128</f>
        <v>312.04000000000087</v>
      </c>
      <c r="H128" s="99">
        <f>G128+'2'!H128</f>
        <v>947.78000000000247</v>
      </c>
      <c r="I128" s="165"/>
      <c r="J128" s="330">
        <f>H128/DAY(B2)</f>
        <v>315.92666666666747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'2'!F129</f>
        <v>13180.22</v>
      </c>
      <c r="F129" s="165">
        <v>13488.3</v>
      </c>
      <c r="G129" s="112">
        <f t="shared" si="10"/>
        <v>308.07999999999993</v>
      </c>
      <c r="H129" s="99">
        <f>G129+'2'!H129</f>
        <v>740.70999999999913</v>
      </c>
      <c r="I129" s="165"/>
      <c r="J129" s="330">
        <f>H129/DAY(B2)</f>
        <v>246.90333333333305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'2'!F130</f>
        <v>2573.5500000000002</v>
      </c>
      <c r="F130" s="165">
        <v>2840.58</v>
      </c>
      <c r="G130" s="112">
        <f t="shared" si="10"/>
        <v>267.02999999999975</v>
      </c>
      <c r="H130" s="99">
        <f>G130+'2'!H130</f>
        <v>783.4699999999998</v>
      </c>
      <c r="I130" s="165"/>
      <c r="J130" s="330">
        <f>H130/DAY(B2)</f>
        <v>261.15666666666658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'2'!F131</f>
        <v>9510.59</v>
      </c>
      <c r="F131" s="165">
        <v>9691.7199999999993</v>
      </c>
      <c r="G131" s="112">
        <f t="shared" si="10"/>
        <v>181.1299999999992</v>
      </c>
      <c r="H131" s="99">
        <f>G131+'2'!H131</f>
        <v>522.36999999999898</v>
      </c>
      <c r="I131" s="165"/>
      <c r="J131" s="330">
        <f>H131/DAY(B2)</f>
        <v>174.12333333333299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'2'!F132</f>
        <v>27162.9</v>
      </c>
      <c r="F132" s="165">
        <v>27628.1</v>
      </c>
      <c r="G132" s="112">
        <f t="shared" si="10"/>
        <v>465.19999999999709</v>
      </c>
      <c r="H132" s="99">
        <f>G132+'2'!H132</f>
        <v>1447.8599999999969</v>
      </c>
      <c r="I132" s="165"/>
      <c r="J132" s="330">
        <f>H132/DAY(B2)</f>
        <v>482.61999999999898</v>
      </c>
    </row>
    <row r="133" spans="1:15" ht="27.75" x14ac:dyDescent="0.5">
      <c r="A133" s="839" t="s">
        <v>342</v>
      </c>
      <c r="B133" s="840"/>
      <c r="C133" s="841"/>
      <c r="D133" s="151" t="s">
        <v>183</v>
      </c>
      <c r="E133" s="95">
        <f>'2'!F133</f>
        <v>65153.4</v>
      </c>
      <c r="F133" s="165">
        <v>65998.45</v>
      </c>
      <c r="G133" s="112">
        <f t="shared" si="10"/>
        <v>845.04999999999563</v>
      </c>
      <c r="H133" s="99">
        <f>G133+'2'!H133</f>
        <v>2524.0299999999988</v>
      </c>
      <c r="I133" s="165"/>
      <c r="J133" s="330">
        <f>H133/DAY(B2)</f>
        <v>841.34333333333291</v>
      </c>
    </row>
    <row r="134" spans="1:15" ht="27.75" x14ac:dyDescent="0.5">
      <c r="A134" s="881" t="s">
        <v>340</v>
      </c>
      <c r="B134" s="882"/>
      <c r="C134" s="877"/>
      <c r="D134" s="151" t="s">
        <v>183</v>
      </c>
      <c r="E134" s="95">
        <f>'2'!F134</f>
        <v>652466</v>
      </c>
      <c r="F134" s="165">
        <v>653092</v>
      </c>
      <c r="G134" s="112">
        <f t="shared" si="10"/>
        <v>626</v>
      </c>
      <c r="H134" s="99">
        <f>G134+'2'!H134</f>
        <v>1833</v>
      </c>
      <c r="I134" s="165"/>
      <c r="J134" s="330">
        <f>H134/DAY(B2)</f>
        <v>611</v>
      </c>
    </row>
    <row r="135" spans="1:15" ht="29.25" x14ac:dyDescent="0.5">
      <c r="A135" s="806" t="s">
        <v>196</v>
      </c>
      <c r="B135" s="807"/>
      <c r="C135" s="808"/>
      <c r="D135" s="151"/>
      <c r="E135" s="95"/>
      <c r="F135" s="165"/>
      <c r="G135" s="112">
        <f>SUM(G128:G134)</f>
        <v>3004.5299999999925</v>
      </c>
      <c r="H135" s="99">
        <f>G135+'2'!H135</f>
        <v>8799.2199999999975</v>
      </c>
      <c r="I135" s="329">
        <f>G135-(G35+G49)</f>
        <v>-859.86999999998716</v>
      </c>
      <c r="J135" s="330">
        <f>H135/DAY(B2)</f>
        <v>2933.0733333333324</v>
      </c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'2'!F138</f>
        <v>861374</v>
      </c>
      <c r="F138" s="147">
        <v>861429</v>
      </c>
      <c r="G138" s="112">
        <f t="shared" ref="G138:G152" si="11">F138-E138</f>
        <v>55</v>
      </c>
      <c r="H138" s="99">
        <f>G138+'2'!H138</f>
        <v>167</v>
      </c>
      <c r="I138" s="118"/>
      <c r="J138" s="330">
        <f>H138/DAY(B2)</f>
        <v>55.666666666666664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'2'!F139</f>
        <v>886216</v>
      </c>
      <c r="F139" s="148">
        <v>886225</v>
      </c>
      <c r="G139" s="112">
        <f t="shared" si="11"/>
        <v>9</v>
      </c>
      <c r="H139" s="99">
        <f>G139+'2'!H139</f>
        <v>26</v>
      </c>
      <c r="I139" s="118"/>
      <c r="J139" s="330">
        <f>H139/DAY(B2)</f>
        <v>8.6666666666666661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'2'!F140</f>
        <v>88849</v>
      </c>
      <c r="F140" s="149">
        <v>88849</v>
      </c>
      <c r="G140" s="112">
        <f t="shared" si="11"/>
        <v>0</v>
      </c>
      <c r="H140" s="99">
        <f>G140+'2'!H140</f>
        <v>0</v>
      </c>
      <c r="I140" s="118"/>
      <c r="J140" s="330">
        <f>H140/DAY(B2)</f>
        <v>0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'2'!F141</f>
        <v>43515.199999999997</v>
      </c>
      <c r="F141" s="149">
        <v>43721.14</v>
      </c>
      <c r="G141" s="112">
        <f t="shared" si="11"/>
        <v>205.94000000000233</v>
      </c>
      <c r="H141" s="99">
        <f>G141+'2'!H141</f>
        <v>594.40999999999622</v>
      </c>
      <c r="I141" s="118"/>
      <c r="J141" s="330">
        <f>H141/DAY(B2)</f>
        <v>198.13666666666541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'2'!F142</f>
        <v>17495.400000000001</v>
      </c>
      <c r="F142" s="148">
        <v>17513.45</v>
      </c>
      <c r="G142" s="112">
        <f t="shared" si="11"/>
        <v>18.049999999999272</v>
      </c>
      <c r="H142" s="99">
        <f>G142+'2'!H142</f>
        <v>52.950000000000728</v>
      </c>
      <c r="I142" s="140"/>
      <c r="J142" s="330">
        <f>H142/DAY(B2)</f>
        <v>17.650000000000244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'2'!F143</f>
        <v>2262</v>
      </c>
      <c r="F143" s="149">
        <v>2292.42</v>
      </c>
      <c r="G143" s="112">
        <f t="shared" si="11"/>
        <v>30.420000000000073</v>
      </c>
      <c r="H143" s="99">
        <f>G143+'2'!H143</f>
        <v>91.019999999999982</v>
      </c>
      <c r="I143" s="140"/>
      <c r="J143" s="330">
        <f>H143/DAY(B2)</f>
        <v>30.339999999999993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'2'!F144</f>
        <v>862846</v>
      </c>
      <c r="F144" s="149">
        <v>863074</v>
      </c>
      <c r="G144" s="112">
        <f t="shared" si="11"/>
        <v>228</v>
      </c>
      <c r="H144" s="99">
        <f>G144+'2'!H144</f>
        <v>679</v>
      </c>
      <c r="I144" s="140"/>
      <c r="J144" s="330">
        <f>H144/DAY(B2)</f>
        <v>226.33333333333334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'2'!F145</f>
        <v>3505.19</v>
      </c>
      <c r="F145" s="149">
        <v>3552.84</v>
      </c>
      <c r="G145" s="112">
        <f t="shared" si="11"/>
        <v>47.650000000000091</v>
      </c>
      <c r="H145" s="99">
        <f>G145+'2'!H145</f>
        <v>133.84000000000015</v>
      </c>
      <c r="I145" s="140"/>
      <c r="J145" s="330">
        <f>H145/DAY(B2)</f>
        <v>44.613333333333379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'2'!F146</f>
        <v>711492</v>
      </c>
      <c r="F146" s="147">
        <v>711901</v>
      </c>
      <c r="G146" s="112">
        <f t="shared" si="11"/>
        <v>409</v>
      </c>
      <c r="H146" s="99">
        <f>G146+'2'!H146</f>
        <v>1016</v>
      </c>
      <c r="I146" s="140"/>
      <c r="J146" s="330">
        <f>H146/DAY(B2)</f>
        <v>338.66666666666669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'2'!F147</f>
        <v>602838.31999999995</v>
      </c>
      <c r="F147" s="148">
        <v>603257.56000000006</v>
      </c>
      <c r="G147" s="112">
        <f t="shared" si="11"/>
        <v>419.2400000001071</v>
      </c>
      <c r="H147" s="99">
        <f>G147+'2'!H147</f>
        <v>1272.5200000000186</v>
      </c>
      <c r="I147" s="140"/>
      <c r="J147" s="330">
        <f>H147/DAY(B2)</f>
        <v>424.17333333333954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'2'!F148</f>
        <v>674265.04</v>
      </c>
      <c r="F148" s="150">
        <v>674514.72</v>
      </c>
      <c r="G148" s="112">
        <f t="shared" si="11"/>
        <v>249.67999999993481</v>
      </c>
      <c r="H148" s="99">
        <f>G148+'2'!H148</f>
        <v>725.03999999992084</v>
      </c>
      <c r="I148" s="124"/>
      <c r="J148" s="330">
        <f>H148/DAY(B2)</f>
        <v>241.6799999999736</v>
      </c>
    </row>
    <row r="149" spans="1:10" ht="27.75" x14ac:dyDescent="0.5">
      <c r="A149" s="883" t="s">
        <v>336</v>
      </c>
      <c r="B149" s="884"/>
      <c r="C149" s="885"/>
      <c r="D149" s="227" t="s">
        <v>130</v>
      </c>
      <c r="E149" s="95">
        <f>'2'!F149</f>
        <v>95789</v>
      </c>
      <c r="F149" s="146">
        <v>96210</v>
      </c>
      <c r="G149" s="112">
        <f t="shared" si="11"/>
        <v>421</v>
      </c>
      <c r="H149" s="99">
        <f>G149+'2'!H149</f>
        <v>1188</v>
      </c>
      <c r="I149" s="119"/>
      <c r="J149" s="330">
        <f>H149/DAY(B2)</f>
        <v>396</v>
      </c>
    </row>
    <row r="150" spans="1:10" ht="27.75" x14ac:dyDescent="0.5">
      <c r="A150" s="883" t="s">
        <v>337</v>
      </c>
      <c r="B150" s="884"/>
      <c r="C150" s="885"/>
      <c r="D150" s="117" t="s">
        <v>130</v>
      </c>
      <c r="E150" s="95">
        <f>'2'!F150</f>
        <v>7167232</v>
      </c>
      <c r="F150" s="233">
        <v>7167232</v>
      </c>
      <c r="G150" s="112">
        <f t="shared" si="11"/>
        <v>0</v>
      </c>
      <c r="H150" s="99">
        <f>G150+'2'!H150</f>
        <v>0</v>
      </c>
      <c r="I150" s="119"/>
      <c r="J150" s="330">
        <f>H150/DAY(B2)</f>
        <v>0</v>
      </c>
    </row>
    <row r="151" spans="1:10" ht="29.25" customHeight="1" x14ac:dyDescent="0.5">
      <c r="A151" s="883" t="s">
        <v>338</v>
      </c>
      <c r="B151" s="884"/>
      <c r="C151" s="885"/>
      <c r="D151" s="117" t="s">
        <v>130</v>
      </c>
      <c r="E151" s="95">
        <f>'2'!F151</f>
        <v>71195</v>
      </c>
      <c r="F151" s="233">
        <v>71472</v>
      </c>
      <c r="G151" s="112">
        <f t="shared" si="11"/>
        <v>277</v>
      </c>
      <c r="H151" s="99">
        <f>G151+'2'!H151</f>
        <v>750</v>
      </c>
      <c r="I151" s="119"/>
      <c r="J151" s="330">
        <f>H151/DAY(B2)</f>
        <v>250</v>
      </c>
    </row>
    <row r="152" spans="1:10" ht="29.25" customHeight="1" x14ac:dyDescent="0.5">
      <c r="A152" s="883" t="s">
        <v>339</v>
      </c>
      <c r="B152" s="884"/>
      <c r="C152" s="885"/>
      <c r="D152" s="117" t="s">
        <v>130</v>
      </c>
      <c r="E152" s="95">
        <f>'2'!F152</f>
        <v>0</v>
      </c>
      <c r="F152" s="233">
        <v>0</v>
      </c>
      <c r="G152" s="112">
        <f t="shared" si="11"/>
        <v>0</v>
      </c>
      <c r="H152" s="99">
        <f>G152+'2'!H152</f>
        <v>0</v>
      </c>
      <c r="I152" s="119"/>
      <c r="J152" s="330">
        <f>H152/DAY(B2)</f>
        <v>0</v>
      </c>
    </row>
    <row r="153" spans="1:10" ht="29.25" customHeight="1" x14ac:dyDescent="0.5">
      <c r="A153" s="806" t="s">
        <v>196</v>
      </c>
      <c r="B153" s="807"/>
      <c r="C153" s="808"/>
      <c r="D153" s="369"/>
      <c r="E153" s="370"/>
      <c r="F153" s="371"/>
      <c r="G153" s="372">
        <f>SUM(G138:G152)</f>
        <v>2369.9800000000437</v>
      </c>
      <c r="H153" s="373"/>
      <c r="I153" s="119">
        <f>G153-(G38+G52)</f>
        <v>360.52000000005182</v>
      </c>
      <c r="J153" s="374"/>
    </row>
    <row r="154" spans="1:10" ht="29.25" customHeight="1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9.25" customHeight="1" x14ac:dyDescent="0.55000000000000004">
      <c r="A155" s="838" t="s">
        <v>345</v>
      </c>
      <c r="B155" s="838"/>
      <c r="C155" s="838"/>
      <c r="D155" s="117" t="s">
        <v>130</v>
      </c>
      <c r="E155" s="95">
        <f>'2'!F155</f>
        <v>77532</v>
      </c>
      <c r="F155" s="517">
        <v>77540</v>
      </c>
      <c r="G155" s="112">
        <f t="shared" ref="G155:G156" si="12">F155-E155</f>
        <v>8</v>
      </c>
      <c r="H155" s="99">
        <f>G155+'2'!H155</f>
        <v>16</v>
      </c>
      <c r="I155" s="366"/>
      <c r="J155" s="330">
        <f>H155/DAY(B2)</f>
        <v>5.333333333333333</v>
      </c>
    </row>
    <row r="156" spans="1:10" ht="29.25" customHeight="1" x14ac:dyDescent="0.5">
      <c r="A156" s="886" t="s">
        <v>346</v>
      </c>
      <c r="B156" s="886"/>
      <c r="C156" s="886"/>
      <c r="D156" s="117" t="s">
        <v>130</v>
      </c>
      <c r="E156" s="95">
        <f>'2'!F156</f>
        <v>0</v>
      </c>
      <c r="F156" s="165"/>
      <c r="G156" s="112">
        <f t="shared" si="12"/>
        <v>0</v>
      </c>
      <c r="H156" s="99">
        <f>G156+'2'!H156</f>
        <v>0</v>
      </c>
      <c r="I156" s="165"/>
      <c r="J156" s="330">
        <f>H156/DAY(B2)</f>
        <v>0</v>
      </c>
    </row>
    <row r="157" spans="1:10" ht="29.25" customHeight="1" x14ac:dyDescent="0.5">
      <c r="A157" s="794" t="s">
        <v>365</v>
      </c>
      <c r="B157" s="795"/>
      <c r="C157" s="796"/>
      <c r="D157" s="117" t="s">
        <v>130</v>
      </c>
      <c r="E157" s="95"/>
      <c r="F157" s="165"/>
      <c r="G157" s="112"/>
      <c r="H157" s="99"/>
      <c r="I157" s="165"/>
      <c r="J157" s="330"/>
    </row>
    <row r="158" spans="1:10" ht="29.25" customHeight="1" x14ac:dyDescent="0.5">
      <c r="A158" s="794" t="s">
        <v>366</v>
      </c>
      <c r="B158" s="795"/>
      <c r="C158" s="796"/>
      <c r="D158" s="117" t="s">
        <v>130</v>
      </c>
      <c r="E158" s="95"/>
      <c r="F158" s="165"/>
      <c r="G158" s="112"/>
      <c r="H158" s="99"/>
      <c r="I158" s="165"/>
      <c r="J158" s="330"/>
    </row>
    <row r="159" spans="1:10" ht="29.25" customHeight="1" x14ac:dyDescent="0.5">
      <c r="A159" s="883"/>
      <c r="B159" s="884"/>
      <c r="C159" s="885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471029.24</v>
      </c>
      <c r="F161" s="235">
        <v>471036.64</v>
      </c>
      <c r="G161" s="238">
        <f t="shared" ref="G161:G165" si="13">F161-E161</f>
        <v>7.4000000000232831</v>
      </c>
      <c r="H161" s="99">
        <f>G161+'2'!H161</f>
        <v>60.520000000018626</v>
      </c>
      <c r="I161" s="236"/>
      <c r="J161" s="239">
        <f>H161/DAY(B2)</f>
        <v>20.173333333339542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86713.4</v>
      </c>
      <c r="F162" s="235">
        <v>86758.9</v>
      </c>
      <c r="G162" s="238">
        <f t="shared" si="13"/>
        <v>45.5</v>
      </c>
      <c r="H162" s="99">
        <f>G162+'2'!H162</f>
        <v>157.19999999999709</v>
      </c>
      <c r="I162" s="236"/>
      <c r="J162" s="239">
        <f>H162/DAY(B2)</f>
        <v>52.399999999999032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75692</v>
      </c>
      <c r="F163" s="235">
        <v>75811.100000000006</v>
      </c>
      <c r="G163" s="238">
        <f t="shared" si="13"/>
        <v>119.10000000000582</v>
      </c>
      <c r="H163" s="99">
        <f>G163+'2'!H163</f>
        <v>351.30000000000291</v>
      </c>
      <c r="I163" s="236"/>
      <c r="J163" s="239">
        <f>H163/DAY(B2)</f>
        <v>117.10000000000097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4112.8999999999996</v>
      </c>
      <c r="F164" s="235">
        <v>4120.3999999999996</v>
      </c>
      <c r="G164" s="238">
        <f t="shared" si="13"/>
        <v>7.5</v>
      </c>
      <c r="H164" s="99">
        <f>G164+'2'!H164</f>
        <v>22.5</v>
      </c>
      <c r="I164" s="236"/>
      <c r="J164" s="239">
        <f>H164/DAY(B2)</f>
        <v>7.5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29447.759999999998</v>
      </c>
      <c r="F165" s="235">
        <v>29459.31</v>
      </c>
      <c r="G165" s="238">
        <f t="shared" si="13"/>
        <v>11.55000000000291</v>
      </c>
      <c r="H165" s="99">
        <f>G165+'2'!H165</f>
        <v>30.378800000002229</v>
      </c>
      <c r="I165" s="236"/>
      <c r="J165" s="239">
        <f>H165/DAY(B2)</f>
        <v>10.12626666666741</v>
      </c>
    </row>
    <row r="166" spans="1:10" ht="29.25" x14ac:dyDescent="0.5">
      <c r="A166" s="870"/>
      <c r="B166" s="870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9"/>
    </row>
    <row r="167" spans="1:10" ht="29.25" x14ac:dyDescent="0.5">
      <c r="A167" s="870"/>
      <c r="B167" s="870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9"/>
    </row>
    <row r="168" spans="1:10" ht="29.25" x14ac:dyDescent="0.5">
      <c r="A168" s="870"/>
      <c r="B168" s="870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9"/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'2'!F173</f>
        <v>8107</v>
      </c>
      <c r="F173" s="155">
        <v>8107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'2'!F174</f>
        <v>37840</v>
      </c>
      <c r="F174" s="157">
        <v>37854</v>
      </c>
      <c r="G174" s="155">
        <f t="shared" ref="G174:G175" si="14">F174-E174</f>
        <v>14</v>
      </c>
      <c r="H174" s="99">
        <f>G174+'2'!H174</f>
        <v>46</v>
      </c>
      <c r="I174" s="155"/>
      <c r="J174" s="178">
        <f>H174/DAY(B2)</f>
        <v>15.333333333333334</v>
      </c>
    </row>
    <row r="175" spans="1:10" ht="21.75" customHeight="1" x14ac:dyDescent="0.5">
      <c r="A175" s="831" t="s">
        <v>76</v>
      </c>
      <c r="B175" s="833"/>
      <c r="C175" s="832"/>
      <c r="D175" s="228" t="s">
        <v>142</v>
      </c>
      <c r="E175" s="95">
        <f>'2'!F175</f>
        <v>21158</v>
      </c>
      <c r="F175" s="155">
        <v>21170</v>
      </c>
      <c r="G175" s="155">
        <f t="shared" si="14"/>
        <v>12</v>
      </c>
      <c r="H175" s="99">
        <f>G175+'2'!H175</f>
        <v>33</v>
      </c>
      <c r="I175" s="155"/>
      <c r="J175" s="178">
        <f>H175/DAY(B2)</f>
        <v>11</v>
      </c>
    </row>
    <row r="176" spans="1:10" ht="21.75" customHeight="1" x14ac:dyDescent="0.5">
      <c r="A176" s="806" t="s">
        <v>196</v>
      </c>
      <c r="B176" s="807"/>
      <c r="C176" s="808"/>
      <c r="D176" s="228"/>
      <c r="E176" s="95"/>
      <c r="F176" s="155"/>
      <c r="G176" s="155">
        <f>SUM(G173:G175)</f>
        <v>26</v>
      </c>
      <c r="H176" s="99">
        <f>G176+'2'!H176</f>
        <v>79</v>
      </c>
      <c r="I176" s="155"/>
      <c r="J176" s="178">
        <f>H176/DAY(B2)</f>
        <v>26.333333333333332</v>
      </c>
    </row>
    <row r="177" spans="1:10" ht="21.75" customHeight="1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831" t="s">
        <v>210</v>
      </c>
      <c r="B178" s="832"/>
      <c r="C178" s="335"/>
      <c r="D178" s="228" t="s">
        <v>142</v>
      </c>
      <c r="E178" s="95">
        <f>'2'!F178</f>
        <v>77477</v>
      </c>
      <c r="F178" s="155">
        <v>77564</v>
      </c>
      <c r="G178" s="155">
        <f>F178-E178</f>
        <v>87</v>
      </c>
      <c r="H178" s="99">
        <f>G178+'2'!H178</f>
        <v>212</v>
      </c>
      <c r="I178" s="155"/>
      <c r="J178" s="178">
        <f>H178/DAY(B2)</f>
        <v>70.666666666666671</v>
      </c>
    </row>
    <row r="179" spans="1:10" ht="24" customHeight="1" x14ac:dyDescent="0.5">
      <c r="A179" s="831" t="s">
        <v>211</v>
      </c>
      <c r="B179" s="832"/>
      <c r="C179" s="335"/>
      <c r="D179" s="228" t="s">
        <v>142</v>
      </c>
      <c r="E179" s="95">
        <f>'2'!F179</f>
        <v>33886</v>
      </c>
      <c r="F179" s="155">
        <v>33886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2.5" customHeight="1" x14ac:dyDescent="0.5">
      <c r="A180" s="831" t="s">
        <v>212</v>
      </c>
      <c r="B180" s="832"/>
      <c r="C180" s="335"/>
      <c r="D180" s="228" t="s">
        <v>142</v>
      </c>
      <c r="E180" s="95">
        <f>'2'!F180</f>
        <v>5278</v>
      </c>
      <c r="F180" s="155">
        <v>5286</v>
      </c>
      <c r="G180" s="155">
        <f t="shared" si="15"/>
        <v>8</v>
      </c>
      <c r="H180" s="99">
        <f>G180+'2'!H180</f>
        <v>13</v>
      </c>
      <c r="I180" s="155"/>
      <c r="J180" s="178">
        <f>H180/DAY(B2)</f>
        <v>4.333333333333333</v>
      </c>
    </row>
    <row r="181" spans="1:10" ht="29.25" x14ac:dyDescent="0.5">
      <c r="A181" s="806" t="s">
        <v>196</v>
      </c>
      <c r="B181" s="807"/>
      <c r="C181" s="808"/>
      <c r="D181" s="228"/>
      <c r="E181" s="95"/>
      <c r="F181" s="155"/>
      <c r="G181" s="155">
        <f>SUM(G178:G180)</f>
        <v>95</v>
      </c>
      <c r="H181" s="99">
        <f>G181+'2'!H181</f>
        <v>225</v>
      </c>
      <c r="I181" s="155"/>
      <c r="J181" s="178">
        <f>H181/DAY(B2)</f>
        <v>75</v>
      </c>
    </row>
    <row r="182" spans="1:10" ht="27" customHeight="1" x14ac:dyDescent="0.5">
      <c r="A182" s="831" t="s">
        <v>213</v>
      </c>
      <c r="B182" s="832"/>
      <c r="C182" s="335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831" t="s">
        <v>214</v>
      </c>
      <c r="B183" s="832"/>
      <c r="C183" s="336"/>
      <c r="D183" s="228" t="s">
        <v>142</v>
      </c>
      <c r="E183" s="95">
        <f>'2'!F183</f>
        <v>14538</v>
      </c>
      <c r="F183" s="157">
        <v>14553</v>
      </c>
      <c r="G183" s="157">
        <f>F183-E183</f>
        <v>15</v>
      </c>
      <c r="H183" s="99">
        <f>G183+'2'!H183</f>
        <v>57</v>
      </c>
      <c r="I183" s="155"/>
      <c r="J183" s="178">
        <f>H183/DAY(B2)</f>
        <v>19</v>
      </c>
    </row>
    <row r="184" spans="1:10" ht="25.5" customHeight="1" x14ac:dyDescent="0.5">
      <c r="A184" s="831" t="s">
        <v>215</v>
      </c>
      <c r="B184" s="832"/>
      <c r="C184" s="336"/>
      <c r="D184" s="228" t="s">
        <v>142</v>
      </c>
      <c r="E184" s="95">
        <f>'2'!F184</f>
        <v>10046</v>
      </c>
      <c r="F184" s="157">
        <v>10057</v>
      </c>
      <c r="G184" s="157">
        <f t="shared" ref="G184:G185" si="16">F184-E184</f>
        <v>11</v>
      </c>
      <c r="H184" s="99">
        <f>G184+'2'!H184</f>
        <v>26</v>
      </c>
      <c r="I184" s="155"/>
      <c r="J184" s="178">
        <f>H184/DAY(B2)</f>
        <v>8.6666666666666661</v>
      </c>
    </row>
    <row r="185" spans="1:10" ht="27.75" x14ac:dyDescent="0.5">
      <c r="A185" s="831" t="s">
        <v>216</v>
      </c>
      <c r="B185" s="832"/>
      <c r="C185" s="336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806" t="s">
        <v>196</v>
      </c>
      <c r="B186" s="807"/>
      <c r="C186" s="808"/>
      <c r="D186" s="229"/>
      <c r="E186" s="95"/>
      <c r="F186" s="157"/>
      <c r="G186" s="157">
        <f>SUM(G183:G185)</f>
        <v>26</v>
      </c>
      <c r="H186" s="99">
        <f>G186+'2'!H186</f>
        <v>83</v>
      </c>
      <c r="I186" s="157"/>
      <c r="J186" s="178">
        <f>H186/DAY(B2)</f>
        <v>27.666666666666668</v>
      </c>
    </row>
    <row r="187" spans="1:10" ht="27.75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506">
        <f>G62+G19</f>
        <v>183</v>
      </c>
      <c r="H187" s="99">
        <f>G187+'2'!H187</f>
        <v>513</v>
      </c>
      <c r="I187" s="158"/>
      <c r="J187" s="179">
        <f>H187/DAY(B2)</f>
        <v>171</v>
      </c>
    </row>
    <row r="188" spans="1:10" ht="27.75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159.80000000000018</v>
      </c>
      <c r="H188" s="99">
        <f>G188+'2'!H188</f>
        <v>499</v>
      </c>
      <c r="I188" s="158"/>
      <c r="J188" s="179">
        <f>H188/DAY(B2)</f>
        <v>166.33333333333334</v>
      </c>
    </row>
    <row r="189" spans="1:10" ht="27.75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95</v>
      </c>
      <c r="H189" s="99">
        <f>G189+'2'!H189</f>
        <v>225</v>
      </c>
      <c r="I189" s="158"/>
      <c r="J189" s="179">
        <f>H189/DAY(B2)</f>
        <v>75</v>
      </c>
    </row>
    <row r="190" spans="1:10" ht="27.75" x14ac:dyDescent="0.5">
      <c r="A190" s="876"/>
      <c r="B190" s="877"/>
      <c r="C190" s="335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36" zoomScale="55" zoomScaleNormal="48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350</v>
      </c>
      <c r="B2" s="262">
        <v>44473</v>
      </c>
      <c r="C2" s="350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50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468532.23</v>
      </c>
      <c r="F7" s="95">
        <v>493706.51</v>
      </c>
      <c r="G7" s="112">
        <f>F7-E7</f>
        <v>25174.280000000028</v>
      </c>
      <c r="H7" s="99">
        <f>G7+'3'!H7</f>
        <v>92864.510000000009</v>
      </c>
      <c r="I7" s="113">
        <f>'1'!I7</f>
        <v>12000</v>
      </c>
      <c r="J7" s="175">
        <f>H7/DAY(B2)</f>
        <v>23216.127500000002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506591.27</v>
      </c>
      <c r="F8" s="114">
        <v>531902.91</v>
      </c>
      <c r="G8" s="115">
        <f>F8-E8</f>
        <v>25311.640000000014</v>
      </c>
      <c r="H8" s="99">
        <f>G8+'3'!H8</f>
        <v>93607.910000000033</v>
      </c>
      <c r="I8" s="116"/>
      <c r="J8" s="175">
        <f>H8/DAY(B2)</f>
        <v>23401.977500000008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1768400.5</v>
      </c>
      <c r="F9" s="117">
        <v>1789522.3</v>
      </c>
      <c r="G9" s="112">
        <f>F9-E9</f>
        <v>21121.800000000047</v>
      </c>
      <c r="H9" s="99">
        <f>G9+'3'!H9</f>
        <v>70424.600000000093</v>
      </c>
      <c r="I9" s="124">
        <f>I7-J7</f>
        <v>-11216.127500000002</v>
      </c>
      <c r="J9" s="175">
        <f>H9/DAY(B2)</f>
        <v>17606.150000000023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422591</v>
      </c>
      <c r="F10" s="117">
        <v>425935.23</v>
      </c>
      <c r="G10" s="112">
        <f t="shared" ref="G10:G12" si="0">F10-E10</f>
        <v>3344.2299999999814</v>
      </c>
      <c r="H10" s="99">
        <f>G10+'3'!H10</f>
        <v>19852.799999999988</v>
      </c>
      <c r="I10" s="282"/>
      <c r="J10" s="175">
        <f>H10/DAY(B2)</f>
        <v>4963.1999999999971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24466.030000000028</v>
      </c>
      <c r="H13" s="99">
        <f>G13+'3'!H13</f>
        <v>68226.530000000028</v>
      </c>
      <c r="I13" s="120">
        <f>G7-G13</f>
        <v>708.25</v>
      </c>
      <c r="J13" s="175">
        <f>H13/DAY(B2)</f>
        <v>17056.632500000007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'3'!F15</f>
        <v>1846460.39</v>
      </c>
      <c r="F15" s="123">
        <v>1847653.15</v>
      </c>
      <c r="G15" s="112">
        <f>(F15-E15)</f>
        <v>1192.7600000000093</v>
      </c>
      <c r="H15" s="99">
        <f>G15+'3'!H15</f>
        <v>4505.1499999999069</v>
      </c>
      <c r="I15" s="113">
        <f>'1'!I15</f>
        <v>800</v>
      </c>
      <c r="J15" s="175">
        <f>H15/DAY(B2)</f>
        <v>1126.2874999999767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-326.28749999997672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'3'!F18</f>
        <v>23</v>
      </c>
      <c r="F18" s="122">
        <v>20</v>
      </c>
      <c r="G18" s="119">
        <f>F18*10</f>
        <v>200</v>
      </c>
      <c r="H18" s="99">
        <f>G18+'3'!H18</f>
        <v>790</v>
      </c>
      <c r="I18" s="113">
        <f>'1'!I18</f>
        <v>65</v>
      </c>
      <c r="J18" s="175">
        <f>H18/DAY(B2)</f>
        <v>197.5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'3'!F19</f>
        <v>150745</v>
      </c>
      <c r="F19" s="122">
        <v>150799</v>
      </c>
      <c r="G19" s="112">
        <f t="shared" ref="G19" si="1">F19-E19</f>
        <v>54</v>
      </c>
      <c r="H19" s="99">
        <f>G19+'3'!H19</f>
        <v>215</v>
      </c>
      <c r="I19" s="337"/>
      <c r="J19" s="175">
        <f>H19/DAY(B2)</f>
        <v>53.75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254</v>
      </c>
      <c r="H20" s="99">
        <f>G20+'3'!H20</f>
        <v>1005</v>
      </c>
      <c r="I20" s="338">
        <f>I18-J20</f>
        <v>-186.25</v>
      </c>
      <c r="J20" s="175">
        <f>H20/DAY(B2)</f>
        <v>251.25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'3'!F23</f>
        <v>2000</v>
      </c>
      <c r="F23" s="122">
        <v>2000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25311.640000000014</v>
      </c>
      <c r="F27" s="136">
        <v>9</v>
      </c>
      <c r="G27" s="137">
        <f>E27*F27</f>
        <v>227804.76000000013</v>
      </c>
      <c r="H27" s="99">
        <f>G27+'3'!H27</f>
        <v>842471.19000000029</v>
      </c>
      <c r="I27" s="138"/>
      <c r="J27" s="175">
        <f>H27/DAY(B2)</f>
        <v>210617.79750000007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1192.7600000000093</v>
      </c>
      <c r="F28" s="136">
        <v>52</v>
      </c>
      <c r="G28" s="137">
        <f>E28*F28</f>
        <v>62023.520000000484</v>
      </c>
      <c r="H28" s="99">
        <f>G28+'3'!H28</f>
        <v>234267.79999999516</v>
      </c>
      <c r="I28" s="140"/>
      <c r="J28" s="175">
        <f>H28/DAY(B2)</f>
        <v>58566.949999998789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G30+'3'!H30</f>
        <v>31390</v>
      </c>
      <c r="I30" s="140"/>
      <c r="J30" s="175">
        <f>H30/DAY(B2)</f>
        <v>7847.5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G31+'3'!H31</f>
        <v>63200</v>
      </c>
      <c r="I31" s="140"/>
      <c r="J31" s="175">
        <f>H31/DAY(B2)</f>
        <v>15800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313712.28000000061</v>
      </c>
      <c r="H32" s="99">
        <f>G32+'3'!H32</f>
        <v>1171328.9899999956</v>
      </c>
      <c r="I32" s="144"/>
      <c r="J32" s="175">
        <f>H32/DAY(B2)</f>
        <v>292832.24749999889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99687.1</v>
      </c>
      <c r="F35" s="145">
        <v>101933.97</v>
      </c>
      <c r="G35" s="112">
        <f t="shared" ref="G35:G46" si="3">F35-E35</f>
        <v>2246.8699999999953</v>
      </c>
      <c r="H35" s="99">
        <f>G35+'3'!H35</f>
        <v>8399.3399999999965</v>
      </c>
      <c r="I35" s="95"/>
      <c r="J35" s="175">
        <f>H35/DAY(B2)</f>
        <v>2099.8349999999991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82398.58</v>
      </c>
      <c r="F36" s="145">
        <v>83456.460000000006</v>
      </c>
      <c r="G36" s="112">
        <f t="shared" si="3"/>
        <v>1057.8800000000047</v>
      </c>
      <c r="H36" s="99">
        <f>G36+'3'!H36</f>
        <v>3992.7600000000093</v>
      </c>
      <c r="I36" s="95"/>
      <c r="J36" s="175">
        <f>H36/DAY(B2)</f>
        <v>998.19000000000233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150488.92000000001</v>
      </c>
      <c r="F37" s="145">
        <v>152179.54</v>
      </c>
      <c r="G37" s="112">
        <f t="shared" si="3"/>
        <v>1690.6199999999953</v>
      </c>
      <c r="H37" s="99">
        <f>G37+'3'!H37</f>
        <v>6672.8000000000175</v>
      </c>
      <c r="I37" s="95"/>
      <c r="J37" s="175">
        <f>H37/DAY(B2)</f>
        <v>1668.2000000000044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176815.03</v>
      </c>
      <c r="F38" s="108">
        <v>178860.25</v>
      </c>
      <c r="G38" s="112">
        <f t="shared" si="3"/>
        <v>2045.2200000000012</v>
      </c>
      <c r="H38" s="99">
        <f>G38+'3'!H38</f>
        <v>7856.2000000000116</v>
      </c>
      <c r="I38" s="95"/>
      <c r="J38" s="175">
        <f>H38/DAY(B2)</f>
        <v>1964.0500000000029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330283.53000000003</v>
      </c>
      <c r="F39" s="145">
        <v>333282.33</v>
      </c>
      <c r="G39" s="112">
        <f t="shared" si="3"/>
        <v>2998.7999999999884</v>
      </c>
      <c r="H39" s="99">
        <f>G39+'3'!H39</f>
        <v>11619.040000000037</v>
      </c>
      <c r="I39" s="95"/>
      <c r="J39" s="175">
        <f>H39/DAY(B2)</f>
        <v>2904.7600000000093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114.8</v>
      </c>
      <c r="F40" s="145">
        <v>114.88</v>
      </c>
      <c r="G40" s="112">
        <f t="shared" si="3"/>
        <v>7.9999999999998295E-2</v>
      </c>
      <c r="H40" s="99">
        <f>G40+'3'!H40</f>
        <v>3.6599999999999966</v>
      </c>
      <c r="I40" s="95"/>
      <c r="J40" s="175">
        <f>H40/DAY(B2)</f>
        <v>0.91499999999999915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592334.31000000006</v>
      </c>
      <c r="F41" s="145">
        <v>597384.55000000005</v>
      </c>
      <c r="G41" s="112">
        <f t="shared" si="3"/>
        <v>5050.2399999999907</v>
      </c>
      <c r="H41" s="99">
        <f>G41+'3'!H41</f>
        <v>6870.8400000000838</v>
      </c>
      <c r="I41" s="95"/>
      <c r="J41" s="175">
        <f>H41/DAY(B2)</f>
        <v>1717.710000000021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323608.45</v>
      </c>
      <c r="F42" s="145">
        <v>325461.46000000002</v>
      </c>
      <c r="G42" s="112">
        <f t="shared" si="3"/>
        <v>1853.0100000000093</v>
      </c>
      <c r="H42" s="99">
        <f>G42+'3'!H42</f>
        <v>9407.4700000000303</v>
      </c>
      <c r="I42" s="95"/>
      <c r="J42" s="175">
        <f>H42/DAY(B2)</f>
        <v>2351.8675000000076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1536153.4</v>
      </c>
      <c r="F43" s="145">
        <v>1539019.9</v>
      </c>
      <c r="G43" s="112">
        <f t="shared" si="3"/>
        <v>2866.5</v>
      </c>
      <c r="H43" s="99">
        <f>G43+'3'!H43</f>
        <v>10421.299999999814</v>
      </c>
      <c r="I43" s="95"/>
      <c r="J43" s="175">
        <f>H43/DAY(B2)</f>
        <v>2605.3249999999534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19809.219999999987</v>
      </c>
      <c r="H47" s="99">
        <f>G47+'3'!H47</f>
        <v>65243.41</v>
      </c>
      <c r="I47" s="95"/>
      <c r="J47" s="175">
        <f>H47/DAY(B2)</f>
        <v>16310.852500000001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225763.99</v>
      </c>
      <c r="F49" s="604">
        <v>227638.91</v>
      </c>
      <c r="G49" s="112">
        <f t="shared" ref="G49:G58" si="4">F49-E49</f>
        <v>1874.9200000000128</v>
      </c>
      <c r="H49" s="99">
        <f>G49+'3'!H49</f>
        <v>7125.5800000000163</v>
      </c>
      <c r="I49" s="95"/>
      <c r="J49" s="175">
        <f>H49/DAY(B2)</f>
        <v>1781.3950000000041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727456.87</v>
      </c>
      <c r="F50" s="145">
        <v>728860.15</v>
      </c>
      <c r="G50" s="112">
        <f t="shared" si="4"/>
        <v>1403.2800000000279</v>
      </c>
      <c r="H50" s="99">
        <f>G50+'3'!H50</f>
        <v>5636.9600000000792</v>
      </c>
      <c r="I50" s="95"/>
      <c r="J50" s="175">
        <f>H50/DAY(B2)</f>
        <v>1409.2400000000198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3051.36</v>
      </c>
      <c r="F54" s="145">
        <v>3058.01</v>
      </c>
      <c r="G54" s="112">
        <f t="shared" si="4"/>
        <v>6.6500000000000909</v>
      </c>
      <c r="H54" s="99">
        <f>G54+'3'!H54</f>
        <v>26.730000000000018</v>
      </c>
      <c r="I54" s="95"/>
      <c r="J54" s="175">
        <f>H54/DAY(B2)</f>
        <v>6.6825000000000045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0</v>
      </c>
      <c r="F55" s="145">
        <v>0</v>
      </c>
      <c r="G55" s="112">
        <f t="shared" si="4"/>
        <v>0</v>
      </c>
      <c r="H55" s="99">
        <f>G55+'3'!H55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197377.67</v>
      </c>
      <c r="F56" s="145">
        <v>197401.57</v>
      </c>
      <c r="G56" s="112">
        <f t="shared" si="4"/>
        <v>23.899999999994179</v>
      </c>
      <c r="H56" s="99">
        <f>G56+'3'!H56</f>
        <v>6886.6199999999953</v>
      </c>
      <c r="I56" s="95"/>
      <c r="J56" s="175">
        <f>H56/DAY(B2)</f>
        <v>1721.6549999999988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85964.66</v>
      </c>
      <c r="F58" s="145">
        <v>86205.03</v>
      </c>
      <c r="G58" s="112">
        <f t="shared" si="4"/>
        <v>240.36999999999534</v>
      </c>
      <c r="H58" s="99">
        <f>G58+'3'!H58</f>
        <v>880.17999999999302</v>
      </c>
      <c r="I58" s="95"/>
      <c r="J58" s="175">
        <f>H58/DAY(B2)</f>
        <v>220.04499999999825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3549.1200000000304</v>
      </c>
      <c r="H59" s="99">
        <f>G59+'3'!H59</f>
        <v>20556.070000000087</v>
      </c>
      <c r="I59" s="95">
        <f>G7-G60</f>
        <v>1815.9400000000096</v>
      </c>
      <c r="J59" s="175">
        <f>H59/DAY(B2)</f>
        <v>5139.0175000000218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23358.340000000018</v>
      </c>
      <c r="H60" s="99">
        <f>G60+'3'!H60</f>
        <v>85799.480000000098</v>
      </c>
      <c r="I60" s="95">
        <f>G13-G60</f>
        <v>1107.6900000000096</v>
      </c>
      <c r="J60" s="175">
        <f>H60/DAY(B2)</f>
        <v>21449.870000000024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'3'!F62</f>
        <v>263817</v>
      </c>
      <c r="F62" s="122">
        <v>263935</v>
      </c>
      <c r="G62" s="112">
        <f t="shared" ref="G62:G63" si="5">F62-E62</f>
        <v>118</v>
      </c>
      <c r="H62" s="99">
        <f>G62+'3'!H62</f>
        <v>470</v>
      </c>
      <c r="I62" s="118"/>
      <c r="J62" s="175">
        <f>H62/DAY(B2)</f>
        <v>117.5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'3'!F63</f>
        <v>209678</v>
      </c>
      <c r="F63" s="122">
        <v>209761</v>
      </c>
      <c r="G63" s="112">
        <f t="shared" si="5"/>
        <v>83</v>
      </c>
      <c r="H63" s="99">
        <f>G63+'3'!H63</f>
        <v>386</v>
      </c>
      <c r="I63" s="118"/>
      <c r="J63" s="175">
        <f>H63/DAY(B2)</f>
        <v>96.5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122"/>
      <c r="F64" s="122"/>
      <c r="G64" s="112">
        <f>G62+G63</f>
        <v>201</v>
      </c>
      <c r="H64" s="99">
        <f>G64+'3'!H64</f>
        <v>856</v>
      </c>
      <c r="I64" s="118"/>
      <c r="J64" s="175">
        <f>H64/DAY(B2)</f>
        <v>214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'3'!F65</f>
        <v>429636</v>
      </c>
      <c r="F65" s="122">
        <v>429745</v>
      </c>
      <c r="G65" s="112">
        <f t="shared" ref="G65:G70" si="6">F65-E65</f>
        <v>109</v>
      </c>
      <c r="H65" s="99">
        <f>G65+'3'!H65</f>
        <v>382</v>
      </c>
      <c r="I65" s="118"/>
      <c r="J65" s="175">
        <f>H65/DAY(B2)</f>
        <v>95.5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'3'!F66</f>
        <v>106665</v>
      </c>
      <c r="F66" s="122">
        <v>106694</v>
      </c>
      <c r="G66" s="112">
        <f t="shared" si="6"/>
        <v>29</v>
      </c>
      <c r="H66" s="99">
        <f>G66+'3'!H66</f>
        <v>95</v>
      </c>
      <c r="I66" s="118"/>
      <c r="J66" s="175">
        <f>H66/DAY(B2)</f>
        <v>23.75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'3'!F67</f>
        <v>103094</v>
      </c>
      <c r="F67" s="122">
        <v>103126</v>
      </c>
      <c r="G67" s="112">
        <f t="shared" si="6"/>
        <v>32</v>
      </c>
      <c r="H67" s="99">
        <f>G67+'3'!H67</f>
        <v>115</v>
      </c>
      <c r="I67" s="118"/>
      <c r="J67" s="175">
        <f>H67/DAY(B2)</f>
        <v>28.75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'3'!F68</f>
        <v>155546</v>
      </c>
      <c r="F68" s="122">
        <v>155585</v>
      </c>
      <c r="G68" s="112">
        <f t="shared" si="6"/>
        <v>39</v>
      </c>
      <c r="H68" s="99">
        <f>G68+'3'!H68</f>
        <v>145</v>
      </c>
      <c r="I68" s="118"/>
      <c r="J68" s="175">
        <f>H68/DAY(B2)</f>
        <v>36.25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'3'!F69</f>
        <v>9890</v>
      </c>
      <c r="F69" s="164">
        <v>9902</v>
      </c>
      <c r="G69" s="112">
        <f t="shared" si="6"/>
        <v>12</v>
      </c>
      <c r="H69" s="99">
        <f>G69+'3'!H69</f>
        <v>59</v>
      </c>
      <c r="I69" s="118"/>
      <c r="J69" s="175">
        <f>H69/DAY(B2)</f>
        <v>14.75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'3'!F70</f>
        <v>7572</v>
      </c>
      <c r="F70" s="122">
        <v>7585</v>
      </c>
      <c r="G70" s="112">
        <f t="shared" si="6"/>
        <v>13</v>
      </c>
      <c r="H70" s="99">
        <f>G70+'3'!H70</f>
        <v>43</v>
      </c>
      <c r="I70" s="118"/>
      <c r="J70" s="175">
        <f>H70/DAY(B2)</f>
        <v>10.75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234</v>
      </c>
      <c r="H71" s="99">
        <f>G71+'3'!H71</f>
        <v>839</v>
      </c>
      <c r="I71" s="154"/>
      <c r="J71" s="175">
        <f>H71/DAY(B2)</f>
        <v>209.75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'3'!F74</f>
        <v>883183.93</v>
      </c>
      <c r="F74" s="117">
        <v>883481.16</v>
      </c>
      <c r="G74" s="112">
        <f t="shared" ref="G74:G78" si="7">F74-E74</f>
        <v>297.22999999998137</v>
      </c>
      <c r="H74" s="99">
        <f>G74+'3'!H74</f>
        <v>1228.1110000000335</v>
      </c>
      <c r="I74" s="154"/>
      <c r="J74" s="175">
        <f>H74/DAY(B2)</f>
        <v>307.02775000000838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'3'!F76</f>
        <v>163740.4</v>
      </c>
      <c r="F76" s="123">
        <v>163875.4</v>
      </c>
      <c r="G76" s="112">
        <f t="shared" si="7"/>
        <v>135</v>
      </c>
      <c r="H76" s="99">
        <f>G76+'3'!H76</f>
        <v>491.39999999999418</v>
      </c>
      <c r="I76" s="154"/>
      <c r="J76" s="175">
        <f>H76/DAY(B2)</f>
        <v>122.84999999999854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'3'!F77</f>
        <v>38950.5</v>
      </c>
      <c r="F77" s="123">
        <v>38999.199999999997</v>
      </c>
      <c r="G77" s="112">
        <f t="shared" si="7"/>
        <v>48.69999999999709</v>
      </c>
      <c r="H77" s="99">
        <f>G77+'3'!H77</f>
        <v>189.19999999999709</v>
      </c>
      <c r="I77" s="154"/>
      <c r="J77" s="175">
        <f>H77/DAY(B2)</f>
        <v>47.299999999999272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'3'!F78</f>
        <v>9419.2000000000007</v>
      </c>
      <c r="F78" s="123">
        <v>9421.7000000000007</v>
      </c>
      <c r="G78" s="112">
        <f t="shared" si="7"/>
        <v>2.5</v>
      </c>
      <c r="H78" s="99">
        <f>G78+'3'!H78</f>
        <v>9.7000000000007276</v>
      </c>
      <c r="I78" s="118"/>
      <c r="J78" s="175">
        <f>H78/DAY(B2)</f>
        <v>2.4250000000001819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'3'!F79</f>
        <v>0</v>
      </c>
      <c r="F79" s="117"/>
      <c r="G79" s="112">
        <f>G15-SUM(G74:G78)</f>
        <v>709.33000000003085</v>
      </c>
      <c r="H79" s="99">
        <f>G79+'3'!H79</f>
        <v>2586.7389999998813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1192.7600000000093</v>
      </c>
      <c r="H80" s="99">
        <f>G80+'3'!H80</f>
        <v>3431.1499999999069</v>
      </c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'3'!F84</f>
        <v>41638.269999999997</v>
      </c>
      <c r="F84" s="164">
        <v>41662.300000000003</v>
      </c>
      <c r="G84" s="236">
        <f t="shared" si="8"/>
        <v>24.030000000006112</v>
      </c>
      <c r="H84" s="99">
        <f>G84+'3'!H84</f>
        <v>33.740000000005239</v>
      </c>
      <c r="I84" s="118"/>
      <c r="J84" s="175">
        <f>H84/DAY(B2)</f>
        <v>8.4350000000013097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'3'!F85</f>
        <v>1540.27</v>
      </c>
      <c r="F85" s="164">
        <v>1549.4</v>
      </c>
      <c r="G85" s="236">
        <f t="shared" si="8"/>
        <v>9.1300000000001091</v>
      </c>
      <c r="H85" s="99">
        <f>G85+'3'!H85</f>
        <v>45.840000000000146</v>
      </c>
      <c r="I85" s="118">
        <f>G82+G83+G84+G85</f>
        <v>33.160000000006221</v>
      </c>
      <c r="J85" s="175">
        <f>H85/DAY(B2)</f>
        <v>11.460000000000036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'3'!F86</f>
        <v>42826.47</v>
      </c>
      <c r="F86" s="164">
        <v>42826.47</v>
      </c>
      <c r="G86" s="112">
        <f t="shared" si="8"/>
        <v>0</v>
      </c>
      <c r="H86" s="99">
        <f>G86+'3'!H86</f>
        <v>0.47000000000116415</v>
      </c>
      <c r="I86" s="118"/>
      <c r="J86" s="175">
        <f>H86/DAY(B2)</f>
        <v>0.11750000000029104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'3'!F87</f>
        <v>34454.29</v>
      </c>
      <c r="F87" s="164">
        <v>34454.29</v>
      </c>
      <c r="G87" s="112">
        <f t="shared" si="8"/>
        <v>0</v>
      </c>
      <c r="H87" s="99">
        <f>G87+'3'!H87</f>
        <v>33.889999999999418</v>
      </c>
      <c r="I87" s="118"/>
      <c r="J87" s="175">
        <f>H87/DAY(B2)</f>
        <v>8.4724999999998545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'3'!F88</f>
        <v>23961.48</v>
      </c>
      <c r="F88" s="164">
        <v>23971.74</v>
      </c>
      <c r="G88" s="112">
        <f t="shared" si="8"/>
        <v>10.260000000002037</v>
      </c>
      <c r="H88" s="99">
        <f>G88+'3'!H88</f>
        <v>19.25</v>
      </c>
      <c r="I88" s="118">
        <f>G86+G87+G88</f>
        <v>10.260000000002037</v>
      </c>
      <c r="J88" s="175">
        <f>H88/DAY(B2)</f>
        <v>4.8125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'3'!F89</f>
        <v>25448.87</v>
      </c>
      <c r="F89" s="164">
        <v>25448.82</v>
      </c>
      <c r="G89" s="112">
        <f t="shared" si="8"/>
        <v>-4.9999999999272404E-2</v>
      </c>
      <c r="H89" s="99">
        <f>G89+'3'!H89</f>
        <v>21.329999999998108</v>
      </c>
      <c r="I89" s="118"/>
      <c r="J89" s="175">
        <f>H89/DAY(B2)</f>
        <v>5.3324999999995271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'3'!F90</f>
        <v>70848.86</v>
      </c>
      <c r="F90" s="164">
        <v>70857.440000000002</v>
      </c>
      <c r="G90" s="112">
        <f t="shared" si="8"/>
        <v>8.5800000000017462</v>
      </c>
      <c r="H90" s="99">
        <f>G90+'3'!H90</f>
        <v>29.169999999998254</v>
      </c>
      <c r="I90" s="118">
        <f>G89+G90</f>
        <v>8.5300000000024738</v>
      </c>
      <c r="J90" s="175">
        <f>H90/DAY(B2)</f>
        <v>7.2924999999995634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'3'!F91</f>
        <v>3226.32</v>
      </c>
      <c r="F91" s="122">
        <v>3226.32</v>
      </c>
      <c r="G91" s="112">
        <f t="shared" si="8"/>
        <v>0</v>
      </c>
      <c r="H91" s="99">
        <f>G91+'3'!H91</f>
        <v>0.32000000000016371</v>
      </c>
      <c r="I91" s="165"/>
      <c r="J91" s="175">
        <f>H91/DAY(B2)</f>
        <v>8.0000000000040927E-2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'3'!F92</f>
        <v>5128.38</v>
      </c>
      <c r="F92" s="122">
        <v>5138.95</v>
      </c>
      <c r="G92" s="112">
        <f t="shared" si="8"/>
        <v>10.569999999999709</v>
      </c>
      <c r="H92" s="99">
        <f>G92+'3'!H92</f>
        <v>43.050000000000182</v>
      </c>
      <c r="I92" s="165"/>
      <c r="J92" s="175">
        <f>H92/DAY(B2)</f>
        <v>10.762500000000045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6988.2900000000081</v>
      </c>
      <c r="H94" s="99">
        <f>G94+'3'!H94</f>
        <v>25946.219999999827</v>
      </c>
      <c r="I94" s="118"/>
      <c r="J94" s="175">
        <f>H94/DAY(B2)</f>
        <v>6486.5549999999566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0.27759641983802519</v>
      </c>
      <c r="H95" s="99">
        <f>G95+'3'!H95</f>
        <v>1.1179273582855433</v>
      </c>
      <c r="I95" s="167"/>
      <c r="J95" s="175">
        <f>H95/DAY(B2)</f>
        <v>0.27948183957138584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6927.1499999999942</v>
      </c>
      <c r="H96" s="99">
        <f>G96+'3'!H96</f>
        <v>23164.930000000109</v>
      </c>
      <c r="I96" s="118"/>
      <c r="J96" s="175">
        <f>H96/DAY(B2)</f>
        <v>5791.2325000000274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0.27516775057717585</v>
      </c>
      <c r="H97" s="99">
        <f>G97+'3'!H97</f>
        <v>0.99307790496608495</v>
      </c>
      <c r="I97" s="167"/>
      <c r="J97" s="175">
        <f>H97/DAY(B2)</f>
        <v>0.24826947624152124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2998.7999999999884</v>
      </c>
      <c r="H98" s="99">
        <f>G98+'3'!H98</f>
        <v>11619.040000000037</v>
      </c>
      <c r="I98" s="168"/>
      <c r="J98" s="175">
        <f>H98/DAY(B2)</f>
        <v>2904.7600000000093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0.11912157964398525</v>
      </c>
      <c r="H99" s="99">
        <f>G99+'3'!H99</f>
        <v>0.50140415461578969</v>
      </c>
      <c r="I99" s="168"/>
      <c r="J99" s="175">
        <f>H99/DAY(B2)</f>
        <v>0.12535103865394742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2045.2200000000012</v>
      </c>
      <c r="H100" s="99">
        <f>G100+'3'!H100</f>
        <v>7856.2000000000116</v>
      </c>
      <c r="I100" s="118"/>
      <c r="J100" s="175">
        <f>H100/DAY(B2)</f>
        <v>1964.0500000000029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8.1242442683564287E-2</v>
      </c>
      <c r="H101" s="99">
        <f>G101+'3'!H101</f>
        <v>0.33889827611689571</v>
      </c>
      <c r="I101" s="168"/>
      <c r="J101" s="175">
        <f>H101/DAY(B2)</f>
        <v>8.4724569029223928E-2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2461.1600000000326</v>
      </c>
      <c r="H102" s="99">
        <f>G102+'3'!H102</f>
        <v>9629.7200000000885</v>
      </c>
      <c r="I102" s="168"/>
      <c r="J102" s="175">
        <f>H102/DAY(B2)</f>
        <v>2407.4300000000221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9.7764861596837324E-2</v>
      </c>
      <c r="H103" s="99">
        <f>G103+'3'!H103</f>
        <v>0.4161304703686704</v>
      </c>
      <c r="I103" s="118"/>
      <c r="J103" s="175">
        <f>H103/DAY(B2)</f>
        <v>0.1040326175921676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1690.6199999999953</v>
      </c>
      <c r="H104" s="99">
        <f>G104+'3'!H104</f>
        <v>6672.8000000000175</v>
      </c>
      <c r="I104" s="118"/>
      <c r="J104" s="175">
        <f>H104/DAY(B2)</f>
        <v>1668.2000000000044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6.7156637647630579E-2</v>
      </c>
      <c r="H105" s="99">
        <f>G105+'3'!H105</f>
        <v>0.28833800644308011</v>
      </c>
      <c r="I105" s="187"/>
      <c r="J105" s="188">
        <f>H105/DAY(B2)</f>
        <v>7.2084501610770027E-2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'3'!F112</f>
        <v>53591.8</v>
      </c>
      <c r="F112" s="237">
        <v>53672.12</v>
      </c>
      <c r="G112" s="112">
        <f t="shared" ref="G112:G123" si="9">F112-E112</f>
        <v>80.319999999999709</v>
      </c>
      <c r="H112" s="99">
        <f>G112+'3'!H112</f>
        <v>320.11000000000058</v>
      </c>
      <c r="I112" s="165"/>
      <c r="J112" s="330">
        <f>H112/DAY(B2)</f>
        <v>80.027500000000146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'3'!F113</f>
        <v>19250.32</v>
      </c>
      <c r="F113" s="237">
        <v>19712.669999999998</v>
      </c>
      <c r="G113" s="112">
        <f t="shared" si="9"/>
        <v>462.34999999999854</v>
      </c>
      <c r="H113" s="99">
        <f>G113+'3'!H113</f>
        <v>1756.1399999999994</v>
      </c>
      <c r="I113" s="165"/>
      <c r="J113" s="330">
        <f>H113/DAY(B2)</f>
        <v>439.03499999999985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'3'!F114</f>
        <v>14725.31</v>
      </c>
      <c r="F114" s="237">
        <v>15230.56</v>
      </c>
      <c r="G114" s="112">
        <f t="shared" si="9"/>
        <v>505.25</v>
      </c>
      <c r="H114" s="99">
        <f>G114+'3'!H114</f>
        <v>1303.4599999999991</v>
      </c>
      <c r="I114" s="165"/>
      <c r="J114" s="330">
        <f>H114/DAY(B2)</f>
        <v>325.86499999999978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'3'!F115</f>
        <v>8467.68</v>
      </c>
      <c r="F115" s="237">
        <v>8475.56</v>
      </c>
      <c r="G115" s="112">
        <f t="shared" si="9"/>
        <v>7.8799999999991996</v>
      </c>
      <c r="H115" s="99">
        <f>G115+'3'!H115</f>
        <v>51.8799999999992</v>
      </c>
      <c r="I115" s="165"/>
      <c r="J115" s="330">
        <f>H115/DAY(B2)</f>
        <v>12.9699999999998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'3'!F117</f>
        <v>2002.19</v>
      </c>
      <c r="F117" s="237">
        <v>2021.79</v>
      </c>
      <c r="G117" s="112">
        <f t="shared" si="9"/>
        <v>19.599999999999909</v>
      </c>
      <c r="H117" s="99">
        <f>G117+'3'!H117</f>
        <v>80.710000000000036</v>
      </c>
      <c r="I117" s="165"/>
      <c r="J117" s="330">
        <f>H117/DAY(B2)</f>
        <v>20.177500000000009</v>
      </c>
      <c r="Q117" s="839" t="s">
        <v>312</v>
      </c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'3'!F118</f>
        <v>231061.27</v>
      </c>
      <c r="F118" s="237">
        <v>231378.39</v>
      </c>
      <c r="G118" s="112">
        <f t="shared" si="9"/>
        <v>317.12000000002445</v>
      </c>
      <c r="H118" s="99">
        <f>G118+'3'!H118</f>
        <v>1540.6600000000035</v>
      </c>
      <c r="I118" s="165"/>
      <c r="J118" s="330">
        <f>H118/DAY(B2)</f>
        <v>385.16500000000087</v>
      </c>
      <c r="Q118" s="839" t="s">
        <v>311</v>
      </c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'3'!F119</f>
        <v>233058.81</v>
      </c>
      <c r="F119" s="237">
        <v>233521.59</v>
      </c>
      <c r="G119" s="112">
        <f t="shared" si="9"/>
        <v>462.77999999999884</v>
      </c>
      <c r="H119" s="99">
        <f>G119+'3'!H119</f>
        <v>1795.0599999999977</v>
      </c>
      <c r="I119" s="165"/>
      <c r="J119" s="330">
        <f>H119/DAY(B2)</f>
        <v>448.76499999999942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'3'!F120</f>
        <v>18457.23</v>
      </c>
      <c r="F120" s="237">
        <v>18884.05</v>
      </c>
      <c r="G120" s="112">
        <f t="shared" si="9"/>
        <v>426.81999999999971</v>
      </c>
      <c r="H120" s="99">
        <f>G120+'3'!H120</f>
        <v>1698.7299999999996</v>
      </c>
      <c r="I120" s="165"/>
      <c r="J120" s="330">
        <f>H120/DAY(B2)</f>
        <v>424.68249999999989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'3'!F121</f>
        <v>355113.43</v>
      </c>
      <c r="F121" s="237">
        <v>355869.23</v>
      </c>
      <c r="G121" s="112">
        <f t="shared" si="9"/>
        <v>755.79999999998836</v>
      </c>
      <c r="H121" s="99">
        <f>G121+'3'!H121</f>
        <v>2815</v>
      </c>
      <c r="I121" s="165"/>
      <c r="J121" s="330">
        <f>H121/DAY(B2)</f>
        <v>703.75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'3'!F122</f>
        <v>111950.298</v>
      </c>
      <c r="F122" s="237">
        <v>112290.09</v>
      </c>
      <c r="G122" s="112">
        <f t="shared" si="9"/>
        <v>339.79200000000128</v>
      </c>
      <c r="H122" s="99">
        <f>G122+'3'!H122</f>
        <v>1280.3000000000029</v>
      </c>
      <c r="I122" s="165"/>
      <c r="J122" s="330">
        <f>H122/DAY(B2)</f>
        <v>320.07500000000073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'3'!F123</f>
        <v>135269.32999999999</v>
      </c>
      <c r="F123" s="237">
        <v>135578.79999999999</v>
      </c>
      <c r="G123" s="112">
        <f t="shared" si="9"/>
        <v>309.47000000000116</v>
      </c>
      <c r="H123" s="99">
        <f>G123+'3'!H123</f>
        <v>1212.7999999999884</v>
      </c>
      <c r="I123" s="165"/>
      <c r="J123" s="330">
        <f>H123/DAY(B2)</f>
        <v>303.19999999999709</v>
      </c>
    </row>
    <row r="124" spans="1:18" ht="29.25" customHeight="1" x14ac:dyDescent="0.5">
      <c r="A124" s="864"/>
      <c r="B124" s="865"/>
      <c r="C124" s="866"/>
      <c r="D124" s="165"/>
      <c r="E124" s="165"/>
      <c r="F124" s="165"/>
      <c r="G124" s="329"/>
      <c r="H124" s="99">
        <f>G124+'3'!H124</f>
        <v>0</v>
      </c>
      <c r="I124" s="165"/>
      <c r="J124" s="329"/>
    </row>
    <row r="125" spans="1:18" ht="29.25" x14ac:dyDescent="0.5">
      <c r="A125" s="642" t="s">
        <v>196</v>
      </c>
      <c r="B125" s="643"/>
      <c r="C125" s="644"/>
      <c r="D125" s="307"/>
      <c r="E125" s="308"/>
      <c r="F125" s="308"/>
      <c r="G125" s="309">
        <f>SUM(G112:G124)</f>
        <v>3687.1820000000112</v>
      </c>
      <c r="H125" s="156"/>
      <c r="I125" s="329">
        <f>G125-(G39+G53)</f>
        <v>688.3820000000228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G127+'3'!H127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'3'!F128</f>
        <v>28552.15</v>
      </c>
      <c r="F128" s="165">
        <v>28862.03</v>
      </c>
      <c r="G128" s="112">
        <f t="shared" ref="G128:G134" si="10">F128-E128</f>
        <v>309.87999999999738</v>
      </c>
      <c r="H128" s="99">
        <f>G128+'3'!H128</f>
        <v>1257.6599999999999</v>
      </c>
      <c r="I128" s="165"/>
      <c r="J128" s="330">
        <f>H128/DAY(B2)</f>
        <v>314.41499999999996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'3'!F129</f>
        <v>13488.3</v>
      </c>
      <c r="F129" s="165">
        <v>13811.48</v>
      </c>
      <c r="G129" s="112">
        <f t="shared" si="10"/>
        <v>323.18000000000029</v>
      </c>
      <c r="H129" s="99">
        <f>G129+'3'!H129</f>
        <v>1063.8899999999994</v>
      </c>
      <c r="I129" s="165"/>
      <c r="J129" s="330">
        <f>H129/DAY(B2)</f>
        <v>265.97249999999985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'3'!F130</f>
        <v>2840.58</v>
      </c>
      <c r="F130" s="165">
        <v>3177.56</v>
      </c>
      <c r="G130" s="112">
        <f t="shared" si="10"/>
        <v>336.98</v>
      </c>
      <c r="H130" s="99">
        <f>G130+'3'!H130</f>
        <v>1120.4499999999998</v>
      </c>
      <c r="I130" s="165"/>
      <c r="J130" s="330">
        <f>H130/DAY(B2)</f>
        <v>280.11249999999995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'3'!F131</f>
        <v>9691.7199999999993</v>
      </c>
      <c r="F131" s="165">
        <v>9824.16</v>
      </c>
      <c r="G131" s="112">
        <f t="shared" si="10"/>
        <v>132.44000000000051</v>
      </c>
      <c r="H131" s="99">
        <f>G131+'3'!H131</f>
        <v>654.80999999999949</v>
      </c>
      <c r="I131" s="165"/>
      <c r="J131" s="330">
        <f>H131/DAY(B2)</f>
        <v>163.70249999999987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'3'!F132</f>
        <v>27628.1</v>
      </c>
      <c r="F132" s="165">
        <v>28039.29</v>
      </c>
      <c r="G132" s="112">
        <f t="shared" si="10"/>
        <v>411.19000000000233</v>
      </c>
      <c r="H132" s="99">
        <f>G132+'3'!H132</f>
        <v>1859.0499999999993</v>
      </c>
      <c r="I132" s="165"/>
      <c r="J132" s="330">
        <f>H132/DAY(B2)</f>
        <v>464.76249999999982</v>
      </c>
    </row>
    <row r="133" spans="1:15" ht="27.75" x14ac:dyDescent="0.5">
      <c r="A133" s="839" t="s">
        <v>323</v>
      </c>
      <c r="B133" s="840"/>
      <c r="C133" s="841"/>
      <c r="D133" s="151" t="s">
        <v>183</v>
      </c>
      <c r="E133" s="95">
        <f>'3'!F133</f>
        <v>65998.45</v>
      </c>
      <c r="F133" s="165">
        <v>66891.53</v>
      </c>
      <c r="G133" s="112">
        <f t="shared" si="10"/>
        <v>893.08000000000175</v>
      </c>
      <c r="H133" s="99">
        <f>G133+'3'!H133</f>
        <v>3417.1100000000006</v>
      </c>
      <c r="I133" s="165"/>
      <c r="J133" s="330">
        <f>H133/DAY(B2)</f>
        <v>854.27750000000015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'3'!F134</f>
        <v>653092</v>
      </c>
      <c r="F134" s="165">
        <v>653727</v>
      </c>
      <c r="G134" s="112">
        <f t="shared" si="10"/>
        <v>635</v>
      </c>
      <c r="H134" s="99">
        <f>G134+'3'!H134</f>
        <v>2468</v>
      </c>
      <c r="I134" s="165"/>
      <c r="J134" s="330">
        <f>H134/DAY(B2)</f>
        <v>617</v>
      </c>
    </row>
    <row r="135" spans="1:15" ht="29.25" x14ac:dyDescent="0.5">
      <c r="A135" s="806" t="s">
        <v>196</v>
      </c>
      <c r="B135" s="807"/>
      <c r="C135" s="808"/>
      <c r="D135" s="151"/>
      <c r="E135" s="95"/>
      <c r="F135" s="165"/>
      <c r="G135" s="112">
        <f>SUM(G128:G134)</f>
        <v>3041.7500000000023</v>
      </c>
      <c r="H135" s="99">
        <f>G135+'3'!H135</f>
        <v>11840.97</v>
      </c>
      <c r="I135" s="329">
        <f>G135-(G35+G49)</f>
        <v>-1080.0400000000059</v>
      </c>
      <c r="J135" s="330">
        <f>H135/DAY(B2)</f>
        <v>2960.2424999999998</v>
      </c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'3'!F138</f>
        <v>861429</v>
      </c>
      <c r="F138" s="147">
        <v>861472</v>
      </c>
      <c r="G138" s="112">
        <f t="shared" ref="G138:G152" si="11">F138-E138</f>
        <v>43</v>
      </c>
      <c r="H138" s="99">
        <f>G138+'3'!H138</f>
        <v>210</v>
      </c>
      <c r="I138" s="118"/>
      <c r="J138" s="330">
        <f>H138/DAY(B2)</f>
        <v>52.5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'3'!F139</f>
        <v>886225</v>
      </c>
      <c r="F139" s="148">
        <v>886242</v>
      </c>
      <c r="G139" s="112">
        <f t="shared" si="11"/>
        <v>17</v>
      </c>
      <c r="H139" s="99">
        <f>G139+'3'!H139</f>
        <v>43</v>
      </c>
      <c r="I139" s="118"/>
      <c r="J139" s="330">
        <f>H139/DAY(B2)</f>
        <v>10.75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'3'!F140</f>
        <v>88849</v>
      </c>
      <c r="F140" s="149">
        <v>88849</v>
      </c>
      <c r="G140" s="112">
        <f t="shared" si="11"/>
        <v>0</v>
      </c>
      <c r="H140" s="99">
        <f>G140+'3'!H140</f>
        <v>0</v>
      </c>
      <c r="I140" s="118"/>
      <c r="J140" s="330">
        <f>H140/DAY(B2)</f>
        <v>0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'3'!F141</f>
        <v>43721.14</v>
      </c>
      <c r="F141" s="149">
        <v>43920.27</v>
      </c>
      <c r="G141" s="112">
        <f t="shared" si="11"/>
        <v>199.12999999999738</v>
      </c>
      <c r="H141" s="99">
        <f>G141+'3'!H141</f>
        <v>793.5399999999936</v>
      </c>
      <c r="I141" s="118"/>
      <c r="J141" s="330">
        <f>H141/DAY(B2)</f>
        <v>198.3849999999984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'3'!F142</f>
        <v>17513.45</v>
      </c>
      <c r="F142" s="148">
        <v>17532.11</v>
      </c>
      <c r="G142" s="112">
        <f t="shared" si="11"/>
        <v>18.659999999999854</v>
      </c>
      <c r="H142" s="99">
        <f>G142+'3'!H142</f>
        <v>71.610000000000582</v>
      </c>
      <c r="I142" s="140"/>
      <c r="J142" s="330">
        <f>H142/DAY(B2)</f>
        <v>17.902500000000146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'3'!F143</f>
        <v>2292.42</v>
      </c>
      <c r="F143" s="149">
        <v>2317.16</v>
      </c>
      <c r="G143" s="112">
        <f t="shared" si="11"/>
        <v>24.739999999999782</v>
      </c>
      <c r="H143" s="99">
        <f>G143+'3'!H143</f>
        <v>115.75999999999976</v>
      </c>
      <c r="I143" s="140"/>
      <c r="J143" s="330">
        <f>H143/DAY(B2)</f>
        <v>28.939999999999941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'3'!F144</f>
        <v>863074</v>
      </c>
      <c r="F144" s="149">
        <v>863301</v>
      </c>
      <c r="G144" s="112">
        <f t="shared" si="11"/>
        <v>227</v>
      </c>
      <c r="H144" s="99">
        <f>G144+'3'!H144</f>
        <v>906</v>
      </c>
      <c r="I144" s="140"/>
      <c r="J144" s="330">
        <f>H144/DAY(B2)</f>
        <v>226.5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'3'!F145</f>
        <v>3552.84</v>
      </c>
      <c r="F145" s="149">
        <v>3597</v>
      </c>
      <c r="G145" s="112">
        <f t="shared" si="11"/>
        <v>44.159999999999854</v>
      </c>
      <c r="H145" s="99">
        <f>G145+'3'!H145</f>
        <v>178</v>
      </c>
      <c r="I145" s="140"/>
      <c r="J145" s="330">
        <f>H145/DAY(B2)</f>
        <v>44.5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'3'!F146</f>
        <v>711901</v>
      </c>
      <c r="F146" s="148">
        <v>712366</v>
      </c>
      <c r="G146" s="112">
        <f t="shared" si="11"/>
        <v>465</v>
      </c>
      <c r="H146" s="99">
        <f>G146+'3'!H146</f>
        <v>1481</v>
      </c>
      <c r="I146" s="140"/>
      <c r="J146" s="330">
        <f>H146/DAY(B2)</f>
        <v>370.25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'3'!F147</f>
        <v>603257.56000000006</v>
      </c>
      <c r="F147" s="148">
        <v>603732.92000000004</v>
      </c>
      <c r="G147" s="112">
        <f t="shared" si="11"/>
        <v>475.35999999998603</v>
      </c>
      <c r="H147" s="99">
        <f>G147+'3'!H147</f>
        <v>1747.8800000000047</v>
      </c>
      <c r="I147" s="140"/>
      <c r="J147" s="330">
        <f>H147/DAY(B2)</f>
        <v>436.97000000000116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'3'!F148</f>
        <v>674514.72</v>
      </c>
      <c r="F148" s="150">
        <v>674849.84</v>
      </c>
      <c r="G148" s="112">
        <f t="shared" si="11"/>
        <v>335.11999999999534</v>
      </c>
      <c r="H148" s="99">
        <f>G148+'3'!H148</f>
        <v>1060.1599999999162</v>
      </c>
      <c r="I148" s="124"/>
      <c r="J148" s="330">
        <f>H148/DAY(B2)</f>
        <v>265.03999999997905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'3'!F149</f>
        <v>96210</v>
      </c>
      <c r="F149" s="146">
        <v>96631</v>
      </c>
      <c r="G149" s="112">
        <f t="shared" si="11"/>
        <v>421</v>
      </c>
      <c r="H149" s="99">
        <f>G149+'3'!H149</f>
        <v>1609</v>
      </c>
      <c r="I149" s="119"/>
      <c r="J149" s="330">
        <f>H149/DAY(B2)</f>
        <v>402.25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'3'!F150</f>
        <v>7167232</v>
      </c>
      <c r="F150" s="233">
        <v>7167232</v>
      </c>
      <c r="G150" s="112">
        <f t="shared" si="11"/>
        <v>0</v>
      </c>
      <c r="H150" s="99">
        <f>G150+'3'!H150</f>
        <v>0</v>
      </c>
      <c r="I150" s="119"/>
      <c r="J150" s="330">
        <f>H150/DAY(B2)</f>
        <v>0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'3'!F151</f>
        <v>71472</v>
      </c>
      <c r="F151" s="233">
        <v>71756</v>
      </c>
      <c r="G151" s="112">
        <f t="shared" si="11"/>
        <v>284</v>
      </c>
      <c r="H151" s="99">
        <f>G151+'3'!H151</f>
        <v>1034</v>
      </c>
      <c r="I151" s="119"/>
      <c r="J151" s="330">
        <f>H151/DAY(B2)</f>
        <v>258.5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'3'!F152</f>
        <v>0</v>
      </c>
      <c r="F152" s="233"/>
      <c r="G152" s="112">
        <f t="shared" si="11"/>
        <v>0</v>
      </c>
      <c r="H152" s="99">
        <f>G152+'3'!H152</f>
        <v>0</v>
      </c>
      <c r="I152" s="119"/>
      <c r="J152" s="330">
        <f>H152/DAY(B2)</f>
        <v>0</v>
      </c>
    </row>
    <row r="153" spans="1:10" ht="29.25" x14ac:dyDescent="0.5">
      <c r="A153" s="806" t="s">
        <v>196</v>
      </c>
      <c r="B153" s="807"/>
      <c r="C153" s="808"/>
      <c r="D153" s="360"/>
      <c r="E153" s="362"/>
      <c r="F153" s="363"/>
      <c r="G153" s="364">
        <f>SUM(G138:G152)</f>
        <v>2554.1699999999782</v>
      </c>
      <c r="H153" s="365"/>
      <c r="I153" s="119">
        <f>G153-(G38+G52)</f>
        <v>508.94999999997708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'3'!F155</f>
        <v>77540</v>
      </c>
      <c r="F155" s="366">
        <v>77549</v>
      </c>
      <c r="G155" s="112">
        <f t="shared" ref="G155:G156" si="12">F155-E155</f>
        <v>9</v>
      </c>
      <c r="H155" s="99">
        <f>G155+'3'!H155</f>
        <v>25</v>
      </c>
      <c r="I155" s="366"/>
      <c r="J155" s="330">
        <f>H155/DAY(B2)</f>
        <v>6.25</v>
      </c>
    </row>
    <row r="156" spans="1:10" ht="27.75" x14ac:dyDescent="0.5">
      <c r="A156" s="838" t="s">
        <v>346</v>
      </c>
      <c r="B156" s="838"/>
      <c r="C156" s="838"/>
      <c r="D156" s="117" t="s">
        <v>130</v>
      </c>
      <c r="E156" s="95">
        <f>'3'!F156</f>
        <v>0</v>
      </c>
      <c r="F156" s="165"/>
      <c r="G156" s="112">
        <f t="shared" si="12"/>
        <v>0</v>
      </c>
      <c r="H156" s="99">
        <f>G156+'3'!H156</f>
        <v>0</v>
      </c>
      <c r="I156" s="165"/>
      <c r="J156" s="330">
        <f>H156/DAY(B2)</f>
        <v>0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/>
      <c r="F157" s="165"/>
      <c r="G157" s="112"/>
      <c r="H157" s="99"/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/>
      <c r="F158" s="165"/>
      <c r="G158" s="112"/>
      <c r="H158" s="99"/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471036.64</v>
      </c>
      <c r="F161" s="235">
        <v>471044.04</v>
      </c>
      <c r="G161" s="238">
        <f t="shared" ref="G161:G168" si="13">F161-E161</f>
        <v>7.3999999999650754</v>
      </c>
      <c r="H161" s="99">
        <f>G161+'3'!H161</f>
        <v>67.919999999983702</v>
      </c>
      <c r="I161" s="236"/>
      <c r="J161" s="239">
        <f>H161/DAY(B2)</f>
        <v>16.979999999995925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86758.9</v>
      </c>
      <c r="F162" s="235">
        <v>86794.8</v>
      </c>
      <c r="G162" s="238">
        <f t="shared" si="13"/>
        <v>35.900000000008731</v>
      </c>
      <c r="H162" s="99">
        <f>G162+'3'!H162</f>
        <v>193.10000000000582</v>
      </c>
      <c r="I162" s="236"/>
      <c r="J162" s="239">
        <f>H162/DAY(B2)</f>
        <v>48.275000000001455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75811.100000000006</v>
      </c>
      <c r="F163" s="235">
        <v>75857.7</v>
      </c>
      <c r="G163" s="238">
        <f t="shared" si="13"/>
        <v>46.599999999991269</v>
      </c>
      <c r="H163" s="99">
        <f>G163+'3'!H163</f>
        <v>397.89999999999418</v>
      </c>
      <c r="I163" s="236"/>
      <c r="J163" s="239">
        <f>H163/DAY(B2)</f>
        <v>99.474999999998545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4120.3999999999996</v>
      </c>
      <c r="F164" s="235">
        <v>4121.8</v>
      </c>
      <c r="G164" s="238">
        <f t="shared" si="13"/>
        <v>1.4000000000005457</v>
      </c>
      <c r="H164" s="99">
        <f>G164+'3'!H164</f>
        <v>23.900000000000546</v>
      </c>
      <c r="I164" s="236"/>
      <c r="J164" s="239">
        <f>H164/DAY(B2)</f>
        <v>5.9750000000001364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29459.31</v>
      </c>
      <c r="F165" s="235">
        <v>29464.15</v>
      </c>
      <c r="G165" s="238">
        <f t="shared" si="13"/>
        <v>4.8400000000001455</v>
      </c>
      <c r="H165" s="99">
        <f>G165+'3'!H165</f>
        <v>35.218800000002375</v>
      </c>
      <c r="I165" s="236"/>
      <c r="J165" s="239">
        <f>H165/DAY(B2)</f>
        <v>8.8047000000005937</v>
      </c>
    </row>
    <row r="166" spans="1:10" ht="29.25" x14ac:dyDescent="0.5">
      <c r="A166" s="870"/>
      <c r="B166" s="870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9"/>
    </row>
    <row r="167" spans="1:10" ht="29.25" x14ac:dyDescent="0.5">
      <c r="A167" s="870"/>
      <c r="B167" s="870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9"/>
    </row>
    <row r="168" spans="1:10" ht="29.25" x14ac:dyDescent="0.5">
      <c r="A168" s="870"/>
      <c r="B168" s="870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9"/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'3'!F173</f>
        <v>8107</v>
      </c>
      <c r="F173" s="155">
        <v>8107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'3'!F174</f>
        <v>37854</v>
      </c>
      <c r="F174" s="157">
        <v>37871</v>
      </c>
      <c r="G174" s="155">
        <f t="shared" ref="G174:G175" si="14">F174-E174</f>
        <v>17</v>
      </c>
      <c r="H174" s="99">
        <f>G174+'3'!H174</f>
        <v>63</v>
      </c>
      <c r="I174" s="155"/>
      <c r="J174" s="178">
        <f>H174/DAY(B2)</f>
        <v>15.75</v>
      </c>
    </row>
    <row r="175" spans="1:10" ht="25.5" customHeight="1" x14ac:dyDescent="0.5">
      <c r="A175" s="831" t="s">
        <v>76</v>
      </c>
      <c r="B175" s="833"/>
      <c r="C175" s="832"/>
      <c r="D175" s="228" t="s">
        <v>142</v>
      </c>
      <c r="E175" s="95">
        <f>'3'!F175</f>
        <v>21170</v>
      </c>
      <c r="F175" s="155">
        <v>21185</v>
      </c>
      <c r="G175" s="155">
        <f t="shared" si="14"/>
        <v>15</v>
      </c>
      <c r="H175" s="99">
        <f>G175+'3'!H175</f>
        <v>48</v>
      </c>
      <c r="I175" s="155"/>
      <c r="J175" s="178">
        <f>H175/DAY(B2)</f>
        <v>12</v>
      </c>
    </row>
    <row r="176" spans="1:10" ht="24.75" customHeight="1" x14ac:dyDescent="0.5">
      <c r="A176" s="806" t="s">
        <v>196</v>
      </c>
      <c r="B176" s="807"/>
      <c r="C176" s="808"/>
      <c r="D176" s="228"/>
      <c r="E176" s="95"/>
      <c r="F176" s="155"/>
      <c r="G176" s="155">
        <f>SUM(G173:G175)</f>
        <v>32</v>
      </c>
      <c r="H176" s="99">
        <f>G176+'3'!H176</f>
        <v>111</v>
      </c>
      <c r="I176" s="155"/>
      <c r="J176" s="178">
        <f>H176/DAY(B2)</f>
        <v>27.75</v>
      </c>
    </row>
    <row r="177" spans="1:10" ht="28.5" customHeight="1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831" t="s">
        <v>210</v>
      </c>
      <c r="B178" s="832"/>
      <c r="C178" s="335"/>
      <c r="D178" s="228" t="s">
        <v>142</v>
      </c>
      <c r="E178" s="95">
        <f>'3'!F178</f>
        <v>77564</v>
      </c>
      <c r="F178" s="157">
        <v>77671</v>
      </c>
      <c r="G178" s="155">
        <f>F178-E178</f>
        <v>107</v>
      </c>
      <c r="H178" s="99">
        <f>G178+'3'!H178</f>
        <v>319</v>
      </c>
      <c r="I178" s="155"/>
      <c r="J178" s="178">
        <f>H178/DAY(B2)</f>
        <v>79.75</v>
      </c>
    </row>
    <row r="179" spans="1:10" ht="24" customHeight="1" x14ac:dyDescent="0.5">
      <c r="A179" s="831" t="s">
        <v>211</v>
      </c>
      <c r="B179" s="832"/>
      <c r="C179" s="335"/>
      <c r="D179" s="228" t="s">
        <v>142</v>
      </c>
      <c r="E179" s="95">
        <f>'3'!F179</f>
        <v>33886</v>
      </c>
      <c r="F179" s="155">
        <v>33886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'3'!F180</f>
        <v>5286</v>
      </c>
      <c r="F180" s="155">
        <v>5288</v>
      </c>
      <c r="G180" s="155">
        <f t="shared" si="15"/>
        <v>2</v>
      </c>
      <c r="H180" s="99">
        <f>G180+'3'!H180</f>
        <v>15</v>
      </c>
      <c r="I180" s="155"/>
      <c r="J180" s="178">
        <f>H180/DAY(B2)</f>
        <v>3.75</v>
      </c>
    </row>
    <row r="181" spans="1:10" ht="21.95" customHeight="1" x14ac:dyDescent="0.5">
      <c r="A181" s="806" t="s">
        <v>196</v>
      </c>
      <c r="B181" s="807"/>
      <c r="C181" s="808"/>
      <c r="D181" s="228"/>
      <c r="E181" s="95"/>
      <c r="F181" s="155"/>
      <c r="G181" s="155">
        <f>SUM(G178:G180)</f>
        <v>109</v>
      </c>
      <c r="H181" s="99">
        <f>G181+'3'!H181</f>
        <v>334</v>
      </c>
      <c r="I181" s="155"/>
      <c r="J181" s="178">
        <f>H181/DAY(B2)</f>
        <v>83.5</v>
      </c>
    </row>
    <row r="182" spans="1:10" ht="21.95" customHeight="1" x14ac:dyDescent="0.5">
      <c r="A182" s="831" t="s">
        <v>213</v>
      </c>
      <c r="B182" s="832"/>
      <c r="C182" s="335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'3'!F183</f>
        <v>14553</v>
      </c>
      <c r="F183" s="157">
        <v>14565</v>
      </c>
      <c r="G183" s="157">
        <f>F183-E183</f>
        <v>12</v>
      </c>
      <c r="H183" s="99">
        <f>G183+'3'!H183</f>
        <v>69</v>
      </c>
      <c r="I183" s="155"/>
      <c r="J183" s="178">
        <f>H183/DAY(B2)</f>
        <v>17.25</v>
      </c>
    </row>
    <row r="184" spans="1:10" ht="27.75" x14ac:dyDescent="0.5">
      <c r="A184" s="831" t="s">
        <v>215</v>
      </c>
      <c r="B184" s="832"/>
      <c r="C184" s="336"/>
      <c r="D184" s="228" t="s">
        <v>142</v>
      </c>
      <c r="E184" s="95">
        <f>'3'!F184</f>
        <v>10057</v>
      </c>
      <c r="F184" s="157">
        <v>10067</v>
      </c>
      <c r="G184" s="157">
        <f t="shared" ref="G184:G185" si="16">F184-E184</f>
        <v>10</v>
      </c>
      <c r="H184" s="99">
        <f>G184+'3'!H184</f>
        <v>36</v>
      </c>
      <c r="I184" s="155"/>
      <c r="J184" s="178">
        <f>H184/DAY(B2)</f>
        <v>9</v>
      </c>
    </row>
    <row r="185" spans="1:10" ht="27.75" x14ac:dyDescent="0.5">
      <c r="A185" s="831" t="s">
        <v>216</v>
      </c>
      <c r="B185" s="832"/>
      <c r="C185" s="336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806" t="s">
        <v>196</v>
      </c>
      <c r="B186" s="807"/>
      <c r="C186" s="808"/>
      <c r="D186" s="229"/>
      <c r="E186" s="95"/>
      <c r="F186" s="157"/>
      <c r="G186" s="157">
        <f>SUM(G183:G185)</f>
        <v>22</v>
      </c>
      <c r="H186" s="99">
        <f>G186+'3'!H186</f>
        <v>105</v>
      </c>
      <c r="I186" s="157"/>
      <c r="J186" s="178">
        <f>H186/DAY(B2)</f>
        <v>26.25</v>
      </c>
    </row>
    <row r="187" spans="1:10" ht="25.5" customHeight="1" x14ac:dyDescent="0.5">
      <c r="A187" s="876" t="s">
        <v>217</v>
      </c>
      <c r="B187" s="877"/>
      <c r="C187" s="335"/>
      <c r="D187" s="230" t="s">
        <v>142</v>
      </c>
      <c r="E187" s="95"/>
      <c r="F187" s="99"/>
      <c r="G187" s="506">
        <f>G62+G19</f>
        <v>172</v>
      </c>
      <c r="H187" s="99">
        <f>G187+'3'!H187</f>
        <v>685</v>
      </c>
      <c r="I187" s="158"/>
      <c r="J187" s="179">
        <f>H187/DAY(B2)</f>
        <v>171.25</v>
      </c>
    </row>
    <row r="188" spans="1:10" ht="27.75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195</v>
      </c>
      <c r="H188" s="99">
        <f>G188+'3'!H188</f>
        <v>694</v>
      </c>
      <c r="I188" s="158"/>
      <c r="J188" s="179">
        <f>H188/DAY(B2)</f>
        <v>173.5</v>
      </c>
    </row>
    <row r="189" spans="1:10" ht="27.75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109</v>
      </c>
      <c r="H189" s="99">
        <f>G189+'3'!H189</f>
        <v>334</v>
      </c>
      <c r="I189" s="158"/>
      <c r="J189" s="179">
        <f>H189/DAY(B2)</f>
        <v>83.5</v>
      </c>
    </row>
    <row r="190" spans="1:10" ht="27.75" x14ac:dyDescent="0.5">
      <c r="A190" s="876"/>
      <c r="B190" s="877"/>
      <c r="C190" s="335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42" zoomScale="53" zoomScaleNormal="48" zoomScaleSheetLayoutView="53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360</v>
      </c>
      <c r="B2" s="262">
        <v>44535</v>
      </c>
      <c r="C2" s="350" t="s">
        <v>67</v>
      </c>
      <c r="D2" s="218">
        <v>0.55940000000000001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29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493706.51</v>
      </c>
      <c r="F7" s="95">
        <v>516899.63</v>
      </c>
      <c r="G7" s="112">
        <f>F7-E7</f>
        <v>23193.119999999995</v>
      </c>
      <c r="H7" s="99">
        <f>G7+'4'!H7</f>
        <v>116057.63</v>
      </c>
      <c r="I7" s="113">
        <f>'1'!I7</f>
        <v>12000</v>
      </c>
      <c r="J7" s="175">
        <f>H7/DAY(B2)</f>
        <v>23211.526000000002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531902.91</v>
      </c>
      <c r="F8" s="114">
        <v>555239.91</v>
      </c>
      <c r="G8" s="115">
        <f>F8-E8</f>
        <v>23337</v>
      </c>
      <c r="H8" s="99">
        <f>G8+'4'!H8</f>
        <v>116944.91000000003</v>
      </c>
      <c r="I8" s="116"/>
      <c r="J8" s="175">
        <f>H8/DAY(B2)</f>
        <v>23388.982000000007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1789522.3</v>
      </c>
      <c r="F9" s="117">
        <v>1807781.9</v>
      </c>
      <c r="G9" s="112">
        <f>F9-E9</f>
        <v>18259.59999999986</v>
      </c>
      <c r="H9" s="99">
        <f>G9+'4'!H9</f>
        <v>88684.199999999953</v>
      </c>
      <c r="I9" s="124">
        <f>I7-J7</f>
        <v>-11211.526000000002</v>
      </c>
      <c r="J9" s="175">
        <f>H9/DAY(B2)</f>
        <v>17736.839999999989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425935.23</v>
      </c>
      <c r="F10" s="117">
        <v>430214.83</v>
      </c>
      <c r="G10" s="112">
        <f t="shared" ref="G10:G12" si="0">F10-E10</f>
        <v>4279.6000000000349</v>
      </c>
      <c r="H10" s="99">
        <f>G10+'4'!H10</f>
        <v>24132.400000000023</v>
      </c>
      <c r="I10" s="282"/>
      <c r="J10" s="175">
        <f>H10/DAY(B2)</f>
        <v>4826.480000000005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22539.199999999895</v>
      </c>
      <c r="H13" s="99">
        <f>G13+'4'!H13</f>
        <v>90765.729999999923</v>
      </c>
      <c r="I13" s="120">
        <f>G7-G13</f>
        <v>653.92000000010012</v>
      </c>
      <c r="J13" s="175">
        <f>H13/DAY(B2)</f>
        <v>18153.145999999986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'4'!F15</f>
        <v>1847653.15</v>
      </c>
      <c r="F15" s="123">
        <v>1848845.44</v>
      </c>
      <c r="G15" s="112">
        <f>(F15-E15)</f>
        <v>1192.2900000000373</v>
      </c>
      <c r="H15" s="99">
        <f>G15+'4'!H15</f>
        <v>5697.4399999999441</v>
      </c>
      <c r="I15" s="113">
        <f>'1'!I15</f>
        <v>800</v>
      </c>
      <c r="J15" s="175">
        <f>H15/DAY(B2)</f>
        <v>1139.4879999999889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-339.48799999998892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'4'!F18</f>
        <v>20</v>
      </c>
      <c r="F18" s="122">
        <v>20</v>
      </c>
      <c r="G18" s="119">
        <f>F18*10</f>
        <v>200</v>
      </c>
      <c r="H18" s="99">
        <f>G18+'4'!H18</f>
        <v>990</v>
      </c>
      <c r="I18" s="113">
        <f>'1'!I18</f>
        <v>65</v>
      </c>
      <c r="J18" s="175">
        <f>H18/DAY(B2)</f>
        <v>198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'4'!F19</f>
        <v>150799</v>
      </c>
      <c r="F19" s="122">
        <v>150852</v>
      </c>
      <c r="G19" s="112">
        <f t="shared" ref="G19" si="1">F19-E19</f>
        <v>53</v>
      </c>
      <c r="H19" s="99">
        <f>G19+'4'!H19</f>
        <v>268</v>
      </c>
      <c r="I19" s="337"/>
      <c r="J19" s="175">
        <f>H19/DAY(B2)</f>
        <v>53.6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253</v>
      </c>
      <c r="H20" s="99">
        <f>G20+'4'!H20</f>
        <v>1258</v>
      </c>
      <c r="I20" s="338">
        <f>I18-J20</f>
        <v>-186.6</v>
      </c>
      <c r="J20" s="175">
        <f>H20/DAY(B2)</f>
        <v>251.6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'4'!F23</f>
        <v>2000</v>
      </c>
      <c r="F23" s="122">
        <v>2000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23337</v>
      </c>
      <c r="F27" s="136">
        <v>9</v>
      </c>
      <c r="G27" s="137">
        <f>E27*F27</f>
        <v>210033</v>
      </c>
      <c r="H27" s="99">
        <f>G27+'4'!H27</f>
        <v>1052504.1900000004</v>
      </c>
      <c r="I27" s="138"/>
      <c r="J27" s="175">
        <f>H27/DAY(B2)</f>
        <v>210500.83800000008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1192.2900000000373</v>
      </c>
      <c r="F28" s="136">
        <v>52</v>
      </c>
      <c r="G28" s="137">
        <f>E28*F28</f>
        <v>61999.080000001937</v>
      </c>
      <c r="H28" s="99">
        <f>G28+'4'!H28</f>
        <v>296266.87999999709</v>
      </c>
      <c r="I28" s="140"/>
      <c r="J28" s="175">
        <f>H28/DAY(B2)</f>
        <v>59253.375999999422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G30+'4'!H30</f>
        <v>39128</v>
      </c>
      <c r="I30" s="140"/>
      <c r="J30" s="175">
        <f>H30/DAY(B2)</f>
        <v>7825.6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G31+'4'!H31</f>
        <v>79200</v>
      </c>
      <c r="I31" s="140"/>
      <c r="J31" s="175">
        <f>H31/DAY(B2)</f>
        <v>15840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295770.08000000194</v>
      </c>
      <c r="H32" s="99">
        <f>G32+'4'!H32</f>
        <v>1467099.0699999975</v>
      </c>
      <c r="I32" s="144"/>
      <c r="J32" s="175">
        <f>H32/DAY(B2)</f>
        <v>293419.81399999949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101933.97</v>
      </c>
      <c r="F35" s="145">
        <v>104134.95</v>
      </c>
      <c r="G35" s="112">
        <f t="shared" ref="G35:G46" si="3">F35-E35</f>
        <v>2200.9799999999959</v>
      </c>
      <c r="H35" s="99">
        <f>G35+'4'!H35</f>
        <v>10600.319999999992</v>
      </c>
      <c r="I35" s="95"/>
      <c r="J35" s="175">
        <f>H35/DAY(B2)</f>
        <v>2120.0639999999985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83456.460000000006</v>
      </c>
      <c r="F36" s="145">
        <v>84320.5</v>
      </c>
      <c r="G36" s="112">
        <f t="shared" si="3"/>
        <v>864.0399999999936</v>
      </c>
      <c r="H36" s="99">
        <f>G36+'4'!H36</f>
        <v>4856.8000000000029</v>
      </c>
      <c r="I36" s="95"/>
      <c r="J36" s="175">
        <f>H36/DAY(B2)</f>
        <v>971.36000000000058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152179.54</v>
      </c>
      <c r="F37" s="145">
        <v>153825.78</v>
      </c>
      <c r="G37" s="112">
        <f t="shared" si="3"/>
        <v>1646.2399999999907</v>
      </c>
      <c r="H37" s="99">
        <f>G37+'4'!H37</f>
        <v>8319.0400000000081</v>
      </c>
      <c r="I37" s="95"/>
      <c r="J37" s="175">
        <f>H37/DAY(B2)</f>
        <v>1663.8080000000016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178860.25</v>
      </c>
      <c r="F38" s="108">
        <v>180844.67</v>
      </c>
      <c r="G38" s="112">
        <f t="shared" si="3"/>
        <v>1984.4200000000128</v>
      </c>
      <c r="H38" s="99">
        <f>G38+'4'!H38</f>
        <v>9840.6200000000244</v>
      </c>
      <c r="I38" s="95"/>
      <c r="J38" s="175">
        <f>H38/DAY(B2)</f>
        <v>1968.1240000000048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333282.33</v>
      </c>
      <c r="F39" s="145">
        <v>336072.91</v>
      </c>
      <c r="G39" s="112">
        <f t="shared" si="3"/>
        <v>2790.5799999999581</v>
      </c>
      <c r="H39" s="99">
        <f>G39+'4'!H39</f>
        <v>14409.619999999995</v>
      </c>
      <c r="I39" s="95"/>
      <c r="J39" s="175">
        <f>H39/DAY(B2)</f>
        <v>2881.9239999999991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114.88</v>
      </c>
      <c r="F40" s="145">
        <v>114.88</v>
      </c>
      <c r="G40" s="112">
        <f t="shared" si="3"/>
        <v>0</v>
      </c>
      <c r="H40" s="99">
        <f>G40+'4'!H40</f>
        <v>3.6599999999999966</v>
      </c>
      <c r="I40" s="95"/>
      <c r="J40" s="175">
        <f>H40/DAY(B2)</f>
        <v>0.73199999999999932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597384.55000000005</v>
      </c>
      <c r="F41" s="145">
        <v>599530.06999999995</v>
      </c>
      <c r="G41" s="112">
        <f t="shared" si="3"/>
        <v>2145.5199999999022</v>
      </c>
      <c r="H41" s="99">
        <f>G41+'4'!H41</f>
        <v>9016.359999999986</v>
      </c>
      <c r="I41" s="95"/>
      <c r="J41" s="175">
        <f>H41/DAY(B2)</f>
        <v>1803.2719999999972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325461.46000000002</v>
      </c>
      <c r="F42" s="145">
        <v>328066.96999999997</v>
      </c>
      <c r="G42" s="112">
        <f t="shared" si="3"/>
        <v>2605.5099999999511</v>
      </c>
      <c r="H42" s="99">
        <f>G42+'4'!H42</f>
        <v>12012.979999999981</v>
      </c>
      <c r="I42" s="95"/>
      <c r="J42" s="175">
        <f>H42/DAY(B2)</f>
        <v>2402.5959999999964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1539019.9</v>
      </c>
      <c r="F43" s="145">
        <v>1541749.3</v>
      </c>
      <c r="G43" s="112">
        <f t="shared" si="3"/>
        <v>2729.4000000001397</v>
      </c>
      <c r="H43" s="99">
        <f>G43+'4'!H43</f>
        <v>13150.699999999953</v>
      </c>
      <c r="I43" s="95"/>
      <c r="J43" s="175">
        <f>H43/DAY(B2)</f>
        <v>2630.1399999999908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16966.689999999944</v>
      </c>
      <c r="H47" s="99">
        <f>G47+'4'!H47</f>
        <v>82210.099999999948</v>
      </c>
      <c r="I47" s="95"/>
      <c r="J47" s="175">
        <f>H47/DAY(B2)</f>
        <v>16442.01999999999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227638.91</v>
      </c>
      <c r="F49" s="145">
        <v>229325.33</v>
      </c>
      <c r="G49" s="112">
        <f t="shared" ref="G49:G58" si="4">F49-E49</f>
        <v>1686.4199999999837</v>
      </c>
      <c r="H49" s="99">
        <f>G49+'4'!H49</f>
        <v>8812</v>
      </c>
      <c r="I49" s="95"/>
      <c r="J49" s="175">
        <f>H49/DAY(B2)</f>
        <v>1762.4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728860.15</v>
      </c>
      <c r="F50" s="145">
        <v>730095.83</v>
      </c>
      <c r="G50" s="112">
        <f t="shared" si="4"/>
        <v>1235.6799999999348</v>
      </c>
      <c r="H50" s="99">
        <f>G50+'4'!H50</f>
        <v>6872.640000000014</v>
      </c>
      <c r="I50" s="95"/>
      <c r="J50" s="175">
        <f>H50/DAY(B2)</f>
        <v>1374.5280000000027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3058.01</v>
      </c>
      <c r="F54" s="145">
        <v>3064.9</v>
      </c>
      <c r="G54" s="112">
        <f t="shared" si="4"/>
        <v>6.8899999999998727</v>
      </c>
      <c r="H54" s="99">
        <f>G54+'4'!H54</f>
        <v>33.619999999999891</v>
      </c>
      <c r="I54" s="95"/>
      <c r="J54" s="175">
        <f>H54/DAY(B2)</f>
        <v>6.723999999999978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0</v>
      </c>
      <c r="F55" s="145">
        <v>0</v>
      </c>
      <c r="G55" s="112">
        <f t="shared" si="4"/>
        <v>0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197401.57</v>
      </c>
      <c r="F56" s="145">
        <v>198682.21</v>
      </c>
      <c r="G56" s="112">
        <f t="shared" si="4"/>
        <v>1280.6399999999849</v>
      </c>
      <c r="H56" s="99">
        <f>G56+'4'!H56</f>
        <v>8167.2599999999802</v>
      </c>
      <c r="I56" s="95"/>
      <c r="J56" s="175">
        <f>H56/DAY(B2)</f>
        <v>1633.4519999999961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86205.03</v>
      </c>
      <c r="F58" s="145">
        <v>86443.7</v>
      </c>
      <c r="G58" s="112">
        <f t="shared" si="4"/>
        <v>238.66999999999825</v>
      </c>
      <c r="H58" s="99">
        <f>G58+'4'!H58</f>
        <v>1118.8499999999913</v>
      </c>
      <c r="I58" s="95"/>
      <c r="J58" s="175">
        <f>H58/DAY(B2)</f>
        <v>223.76999999999825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4448.299999999901</v>
      </c>
      <c r="H59" s="99">
        <f>G59+'4'!H59</f>
        <v>25004.369999999988</v>
      </c>
      <c r="I59" s="95">
        <f>G7-G60</f>
        <v>1778.1300000001502</v>
      </c>
      <c r="J59" s="175">
        <f>H59/DAY(B2)</f>
        <v>5000.873999999998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21414.989999999845</v>
      </c>
      <c r="H60" s="99">
        <f>G60+'4'!H60</f>
        <v>107214.46999999994</v>
      </c>
      <c r="I60" s="95">
        <f>G13-G60</f>
        <v>1124.2100000000501</v>
      </c>
      <c r="J60" s="175">
        <f>H60/DAY(B2)</f>
        <v>21442.893999999989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'4'!F62</f>
        <v>263935</v>
      </c>
      <c r="F62" s="122">
        <v>264068</v>
      </c>
      <c r="G62" s="112">
        <f t="shared" ref="G62:G63" si="5">F62-E62</f>
        <v>133</v>
      </c>
      <c r="H62" s="99">
        <f>G62+'4'!H62</f>
        <v>603</v>
      </c>
      <c r="I62" s="118"/>
      <c r="J62" s="175">
        <f>H62/DAY(B2)</f>
        <v>120.6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'4'!F63</f>
        <v>209761</v>
      </c>
      <c r="F63" s="122">
        <v>209898</v>
      </c>
      <c r="G63" s="112">
        <f t="shared" si="5"/>
        <v>137</v>
      </c>
      <c r="H63" s="99">
        <f>G63+'4'!H63</f>
        <v>523</v>
      </c>
      <c r="I63" s="118"/>
      <c r="J63" s="175">
        <f>H63/DAY(B2)</f>
        <v>104.6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'4'!F64</f>
        <v>0</v>
      </c>
      <c r="F64" s="122"/>
      <c r="G64" s="112">
        <f>G62+G63</f>
        <v>270</v>
      </c>
      <c r="H64" s="99">
        <f>G64+'4'!H64</f>
        <v>1126</v>
      </c>
      <c r="I64" s="118"/>
      <c r="J64" s="175">
        <f>H64/DAY(B2)</f>
        <v>225.2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'4'!F65</f>
        <v>429745</v>
      </c>
      <c r="F65" s="122">
        <v>429850</v>
      </c>
      <c r="G65" s="112">
        <f t="shared" ref="G65:G70" si="6">F65-E65</f>
        <v>105</v>
      </c>
      <c r="H65" s="99">
        <f>G65+'4'!H65</f>
        <v>487</v>
      </c>
      <c r="I65" s="118"/>
      <c r="J65" s="175">
        <f>H65/DAY(B2)</f>
        <v>97.4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'4'!F66</f>
        <v>106694</v>
      </c>
      <c r="F66" s="122">
        <v>106720</v>
      </c>
      <c r="G66" s="112">
        <f t="shared" si="6"/>
        <v>26</v>
      </c>
      <c r="H66" s="99">
        <f>G66+'4'!H66</f>
        <v>121</v>
      </c>
      <c r="I66" s="118"/>
      <c r="J66" s="175">
        <f>H66/DAY(B2)</f>
        <v>24.2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'4'!F67</f>
        <v>103126</v>
      </c>
      <c r="F67" s="122">
        <v>103157</v>
      </c>
      <c r="G67" s="112">
        <f t="shared" si="6"/>
        <v>31</v>
      </c>
      <c r="H67" s="99">
        <f>G67+'4'!H67</f>
        <v>146</v>
      </c>
      <c r="I67" s="118"/>
      <c r="J67" s="175">
        <f>H67/DAY(B2)</f>
        <v>29.2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'4'!F68</f>
        <v>155585</v>
      </c>
      <c r="F68" s="122">
        <v>155622</v>
      </c>
      <c r="G68" s="112">
        <f t="shared" si="6"/>
        <v>37</v>
      </c>
      <c r="H68" s="99">
        <f>G68+'4'!H68</f>
        <v>182</v>
      </c>
      <c r="I68" s="118"/>
      <c r="J68" s="175">
        <f>H68/DAY(B2)</f>
        <v>36.4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'4'!F69</f>
        <v>9902</v>
      </c>
      <c r="F69" s="122">
        <v>9909</v>
      </c>
      <c r="G69" s="112">
        <f t="shared" si="6"/>
        <v>7</v>
      </c>
      <c r="H69" s="99">
        <f>G69+'4'!H69</f>
        <v>66</v>
      </c>
      <c r="I69" s="118"/>
      <c r="J69" s="175">
        <f>H69/DAY(B2)</f>
        <v>13.2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'4'!F70</f>
        <v>7585</v>
      </c>
      <c r="F70" s="122">
        <v>7593</v>
      </c>
      <c r="G70" s="112">
        <f t="shared" si="6"/>
        <v>8</v>
      </c>
      <c r="H70" s="99">
        <f>G70+'4'!H70</f>
        <v>51</v>
      </c>
      <c r="I70" s="118"/>
      <c r="J70" s="175">
        <f>H70/DAY(B2)</f>
        <v>10.199999999999999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214</v>
      </c>
      <c r="H71" s="99">
        <f>G71+'4'!H71</f>
        <v>1053</v>
      </c>
      <c r="I71" s="154"/>
      <c r="J71" s="175">
        <f>H71/DAY(B2)</f>
        <v>210.6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'4'!F74</f>
        <v>883481.16</v>
      </c>
      <c r="F74" s="123">
        <v>883803.87</v>
      </c>
      <c r="G74" s="112">
        <f t="shared" ref="G74:G78" si="7">F74-E74</f>
        <v>322.70999999996275</v>
      </c>
      <c r="H74" s="99">
        <f>G74+'4'!H74</f>
        <v>1550.8209999999963</v>
      </c>
      <c r="I74" s="154"/>
      <c r="J74" s="175">
        <f>H74/DAY(B2)</f>
        <v>310.16419999999925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'4'!F76</f>
        <v>163875.4</v>
      </c>
      <c r="F76" s="123">
        <v>164005.22</v>
      </c>
      <c r="G76" s="112">
        <f t="shared" si="7"/>
        <v>129.82000000000698</v>
      </c>
      <c r="H76" s="99">
        <f>G76+'4'!H76</f>
        <v>621.22000000000116</v>
      </c>
      <c r="I76" s="154"/>
      <c r="J76" s="175">
        <f>H76/DAY(B2)</f>
        <v>124.24400000000023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'4'!F77</f>
        <v>38999.199999999997</v>
      </c>
      <c r="F77" s="123">
        <v>39038</v>
      </c>
      <c r="G77" s="112">
        <f t="shared" si="7"/>
        <v>38.80000000000291</v>
      </c>
      <c r="H77" s="99">
        <f>G77+'4'!H77</f>
        <v>228</v>
      </c>
      <c r="I77" s="154"/>
      <c r="J77" s="175">
        <f>H77/DAY(B2)</f>
        <v>45.6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'4'!F78</f>
        <v>9421.7000000000007</v>
      </c>
      <c r="F78" s="123">
        <v>9426.9</v>
      </c>
      <c r="G78" s="112">
        <f t="shared" si="7"/>
        <v>5.1999999999989086</v>
      </c>
      <c r="H78" s="99">
        <f>G78+'4'!H78</f>
        <v>14.899999999999636</v>
      </c>
      <c r="I78" s="118"/>
      <c r="J78" s="175">
        <f>H78/DAY(B2)</f>
        <v>2.9799999999999272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117"/>
      <c r="F79" s="117"/>
      <c r="G79" s="112">
        <f>G15-SUM(G74:G78)</f>
        <v>695.7600000000657</v>
      </c>
      <c r="H79" s="99">
        <f>G79+'4'!H79</f>
        <v>3282.498999999947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1192.2900000000373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'4'!F84</f>
        <v>41662.300000000003</v>
      </c>
      <c r="F84" s="164">
        <v>41673.300000000003</v>
      </c>
      <c r="G84" s="112">
        <f t="shared" si="8"/>
        <v>11</v>
      </c>
      <c r="H84" s="99">
        <f>G84+'4'!H84</f>
        <v>44.740000000005239</v>
      </c>
      <c r="I84" s="118"/>
      <c r="J84" s="175">
        <f>H84/DAY(B2)</f>
        <v>8.9480000000010484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'4'!F85</f>
        <v>1549.4</v>
      </c>
      <c r="F85" s="164">
        <v>1562.59</v>
      </c>
      <c r="G85" s="112">
        <f t="shared" si="8"/>
        <v>13.189999999999827</v>
      </c>
      <c r="H85" s="99">
        <f>G85+'4'!H85</f>
        <v>59.029999999999973</v>
      </c>
      <c r="I85" s="118">
        <f>G82+G83+G84+G85</f>
        <v>24.189999999999827</v>
      </c>
      <c r="J85" s="175">
        <f>H85/DAY(B2)</f>
        <v>11.805999999999994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'4'!F86</f>
        <v>42826.47</v>
      </c>
      <c r="F86" s="164">
        <v>42826.47</v>
      </c>
      <c r="G86" s="112">
        <f t="shared" si="8"/>
        <v>0</v>
      </c>
      <c r="H86" s="99">
        <f>G86+'4'!H86</f>
        <v>0.47000000000116415</v>
      </c>
      <c r="I86" s="118"/>
      <c r="J86" s="175">
        <f>H86/DAY(B2)</f>
        <v>9.4000000000232828E-2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'4'!F87</f>
        <v>34454.29</v>
      </c>
      <c r="F87" s="164">
        <v>34461.46</v>
      </c>
      <c r="G87" s="112">
        <f t="shared" si="8"/>
        <v>7.1699999999982538</v>
      </c>
      <c r="H87" s="99">
        <f>G87+'4'!H87</f>
        <v>41.059999999997672</v>
      </c>
      <c r="I87" s="118"/>
      <c r="J87" s="175">
        <f>H87/DAY(B2)</f>
        <v>8.2119999999995343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'4'!F88</f>
        <v>23971.74</v>
      </c>
      <c r="F88" s="164">
        <v>23983.7</v>
      </c>
      <c r="G88" s="112">
        <f t="shared" si="8"/>
        <v>11.959999999999127</v>
      </c>
      <c r="H88" s="99">
        <f>G88+'4'!H88</f>
        <v>31.209999999999127</v>
      </c>
      <c r="I88" s="118">
        <f>G86+G87+G88</f>
        <v>19.129999999997381</v>
      </c>
      <c r="J88" s="175">
        <f>H88/DAY(B2)</f>
        <v>6.241999999999825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'4'!F89</f>
        <v>25448.82</v>
      </c>
      <c r="F89" s="164">
        <v>25448.82</v>
      </c>
      <c r="G89" s="112">
        <f t="shared" si="8"/>
        <v>0</v>
      </c>
      <c r="H89" s="99">
        <f>G89+'4'!H89</f>
        <v>21.329999999998108</v>
      </c>
      <c r="I89" s="118"/>
      <c r="J89" s="175">
        <f>H89/DAY(B2)</f>
        <v>4.2659999999996217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'4'!F90</f>
        <v>70857.440000000002</v>
      </c>
      <c r="F90" s="164">
        <v>70864.33</v>
      </c>
      <c r="G90" s="112">
        <f t="shared" si="8"/>
        <v>6.8899999999994179</v>
      </c>
      <c r="H90" s="99">
        <f>G90+'4'!H90</f>
        <v>36.059999999997672</v>
      </c>
      <c r="I90" s="118">
        <f>G89+G90</f>
        <v>6.8899999999994179</v>
      </c>
      <c r="J90" s="175">
        <f>H90/DAY(B2)</f>
        <v>7.2119999999995343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'4'!F91</f>
        <v>3226.32</v>
      </c>
      <c r="F91" s="122">
        <v>3226.32</v>
      </c>
      <c r="G91" s="112">
        <f t="shared" si="8"/>
        <v>0</v>
      </c>
      <c r="H91" s="99">
        <f>G91+'4'!H91</f>
        <v>0.32000000000016371</v>
      </c>
      <c r="I91" s="165"/>
      <c r="J91" s="175">
        <f>H91/DAY(B2)</f>
        <v>6.4000000000032739E-2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'4'!F92</f>
        <v>5138.95</v>
      </c>
      <c r="F92" s="122">
        <v>5150.3599999999997</v>
      </c>
      <c r="G92" s="112">
        <f t="shared" si="8"/>
        <v>11.409999999999854</v>
      </c>
      <c r="H92" s="99">
        <f>G92+'4'!H92</f>
        <v>54.460000000000036</v>
      </c>
      <c r="I92" s="165"/>
      <c r="J92" s="175">
        <f>H92/DAY(B2)</f>
        <v>10.892000000000007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6616.8000000001193</v>
      </c>
      <c r="H94" s="99">
        <f>G94+'4'!H94</f>
        <v>32563.019999999946</v>
      </c>
      <c r="I94" s="118"/>
      <c r="J94" s="175">
        <f>H94/DAY(B2)</f>
        <v>6512.6039999999894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0.28529150023800681</v>
      </c>
      <c r="H95" s="99">
        <f>G95+'4'!H95</f>
        <v>1.4032188585235501</v>
      </c>
      <c r="I95" s="167"/>
      <c r="J95" s="175">
        <f>H95/DAY(B2)</f>
        <v>0.28064377170471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6031.6699999998382</v>
      </c>
      <c r="H96" s="99">
        <f>G96+'4'!H96</f>
        <v>29196.599999999948</v>
      </c>
      <c r="I96" s="118"/>
      <c r="J96" s="175">
        <f>H96/DAY(B2)</f>
        <v>5839.3199999999897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0.26006289796283721</v>
      </c>
      <c r="H97" s="99">
        <f>G97+'4'!H97</f>
        <v>1.2531408029289222</v>
      </c>
      <c r="I97" s="167"/>
      <c r="J97" s="175">
        <f>H97/DAY(B2)</f>
        <v>0.25062816058578441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2790.5799999999581</v>
      </c>
      <c r="H98" s="99">
        <f>G98+'4'!H98</f>
        <v>14409.619999999995</v>
      </c>
      <c r="I98" s="168"/>
      <c r="J98" s="175">
        <f>H98/DAY(B2)</f>
        <v>2881.9239999999991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0.12031930158598579</v>
      </c>
      <c r="H99" s="99">
        <f>G99+'4'!H99</f>
        <v>0.62172345620177549</v>
      </c>
      <c r="I99" s="168"/>
      <c r="J99" s="175">
        <f>H99/DAY(B2)</f>
        <v>0.1243446912403551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1984.4200000000128</v>
      </c>
      <c r="H100" s="99">
        <f>G100+'4'!H100</f>
        <v>9840.6200000000244</v>
      </c>
      <c r="I100" s="118"/>
      <c r="J100" s="175">
        <f>H100/DAY(B2)</f>
        <v>1968.1240000000048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8.5560718006029948E-2</v>
      </c>
      <c r="H101" s="99">
        <f>G101+'4'!H101</f>
        <v>0.42445899412292565</v>
      </c>
      <c r="I101" s="168"/>
      <c r="J101" s="175">
        <f>H101/DAY(B2)</f>
        <v>8.4891798824585127E-2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2099.7199999999284</v>
      </c>
      <c r="H102" s="99">
        <f>G102+'4'!H102</f>
        <v>11729.440000000017</v>
      </c>
      <c r="I102" s="168"/>
      <c r="J102" s="175">
        <f>H102/DAY(B2)</f>
        <v>2345.8880000000036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9.0532019840363381E-2</v>
      </c>
      <c r="H103" s="99">
        <f>G103+'4'!H103</f>
        <v>0.50666249020903376</v>
      </c>
      <c r="I103" s="118"/>
      <c r="J103" s="175">
        <f>H103/DAY(B2)</f>
        <v>0.10133249804180675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1646.2399999999907</v>
      </c>
      <c r="H104" s="99">
        <f>G104+'4'!H104</f>
        <v>8319.0400000000081</v>
      </c>
      <c r="I104" s="118"/>
      <c r="J104" s="175">
        <f>H104/DAY(B2)</f>
        <v>1663.8080000000016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7.0979669833122538E-2</v>
      </c>
      <c r="H105" s="99">
        <f>G105+'4'!H105</f>
        <v>0.35931767627620265</v>
      </c>
      <c r="I105" s="187"/>
      <c r="J105" s="188">
        <f>H105/DAY(B2)</f>
        <v>7.1863535255240529E-2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'4'!F112</f>
        <v>53672.12</v>
      </c>
      <c r="F112" s="237">
        <v>53753.11</v>
      </c>
      <c r="G112" s="112">
        <f t="shared" ref="G112:G123" si="9">F112-E112</f>
        <v>80.989999999997963</v>
      </c>
      <c r="H112" s="99">
        <f>G112+'4'!H112</f>
        <v>401.09999999999854</v>
      </c>
      <c r="I112" s="165"/>
      <c r="J112" s="330">
        <f>H112/DAY(B2)</f>
        <v>80.219999999999715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'4'!F113</f>
        <v>19712.669999999998</v>
      </c>
      <c r="F113" s="237">
        <v>20140.189999999999</v>
      </c>
      <c r="G113" s="112">
        <f t="shared" si="9"/>
        <v>427.52000000000044</v>
      </c>
      <c r="H113" s="99">
        <f>G113+'4'!H113</f>
        <v>2183.66</v>
      </c>
      <c r="I113" s="165"/>
      <c r="J113" s="330">
        <f>H113/DAY(B2)</f>
        <v>436.73199999999997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'4'!F114</f>
        <v>15230.56</v>
      </c>
      <c r="F114" s="237">
        <v>15499.36</v>
      </c>
      <c r="G114" s="112">
        <f t="shared" si="9"/>
        <v>268.80000000000109</v>
      </c>
      <c r="H114" s="99">
        <f>G114+'4'!H114</f>
        <v>1572.2600000000002</v>
      </c>
      <c r="I114" s="165"/>
      <c r="J114" s="330">
        <f>H114/DAY(B2)</f>
        <v>314.45200000000006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'4'!F115</f>
        <v>8475.56</v>
      </c>
      <c r="F115" s="237">
        <v>8486.69</v>
      </c>
      <c r="G115" s="112">
        <f t="shared" si="9"/>
        <v>11.130000000001019</v>
      </c>
      <c r="H115" s="99">
        <f>G115+'4'!H115</f>
        <v>63.010000000000218</v>
      </c>
      <c r="I115" s="165"/>
      <c r="J115" s="330">
        <f>H115/DAY(B2)</f>
        <v>12.602000000000043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30">
        <f>H116/DAY(B2)</f>
        <v>0</v>
      </c>
      <c r="Q116" s="892"/>
      <c r="R116" s="892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'4'!F117</f>
        <v>2021.79</v>
      </c>
      <c r="F117" s="237">
        <v>2041.78</v>
      </c>
      <c r="G117" s="112">
        <f t="shared" si="9"/>
        <v>19.990000000000009</v>
      </c>
      <c r="H117" s="99">
        <f>G117+'4'!H117</f>
        <v>100.70000000000005</v>
      </c>
      <c r="I117" s="165"/>
      <c r="J117" s="330">
        <f>H117/DAY(B2)</f>
        <v>20.140000000000008</v>
      </c>
      <c r="Q117" s="892"/>
      <c r="R117" s="892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'4'!F118</f>
        <v>231378.39</v>
      </c>
      <c r="F118" s="237">
        <v>231694.35</v>
      </c>
      <c r="G118" s="112">
        <f t="shared" si="9"/>
        <v>315.95999999999185</v>
      </c>
      <c r="H118" s="99">
        <f>G118+'4'!H118</f>
        <v>1856.6199999999953</v>
      </c>
      <c r="I118" s="165"/>
      <c r="J118" s="330">
        <f>H118/DAY(B2)</f>
        <v>371.32399999999905</v>
      </c>
      <c r="Q118" s="892"/>
      <c r="R118" s="892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'4'!F119</f>
        <v>233521.59</v>
      </c>
      <c r="F119" s="237">
        <v>233972.35</v>
      </c>
      <c r="G119" s="112">
        <f t="shared" si="9"/>
        <v>450.76000000000931</v>
      </c>
      <c r="H119" s="99">
        <f>G119+'4'!H119</f>
        <v>2245.820000000007</v>
      </c>
      <c r="I119" s="165"/>
      <c r="J119" s="330">
        <f>H119/DAY(B2)</f>
        <v>449.16400000000141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'4'!F120</f>
        <v>18884.05</v>
      </c>
      <c r="F120" s="658">
        <v>19327.650000000001</v>
      </c>
      <c r="G120" s="112">
        <f t="shared" si="9"/>
        <v>443.60000000000218</v>
      </c>
      <c r="H120" s="99">
        <f>G120+'4'!H120</f>
        <v>2142.3300000000017</v>
      </c>
      <c r="I120" s="165"/>
      <c r="J120" s="330">
        <f>H120/DAY(B2)</f>
        <v>428.46600000000035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'4'!F121</f>
        <v>355869.23</v>
      </c>
      <c r="F121" s="237">
        <v>356592.11</v>
      </c>
      <c r="G121" s="112">
        <f t="shared" si="9"/>
        <v>722.88000000000466</v>
      </c>
      <c r="H121" s="99">
        <f>G121+'4'!H121</f>
        <v>3537.8800000000047</v>
      </c>
      <c r="I121" s="165"/>
      <c r="J121" s="330">
        <f>H121/DAY(B2)</f>
        <v>707.57600000000093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'4'!F122</f>
        <v>112290.09</v>
      </c>
      <c r="F122" s="237">
        <v>112612.91</v>
      </c>
      <c r="G122" s="112">
        <f t="shared" si="9"/>
        <v>322.82000000000698</v>
      </c>
      <c r="H122" s="99">
        <f>G122+'4'!H122</f>
        <v>1603.1200000000099</v>
      </c>
      <c r="I122" s="165"/>
      <c r="J122" s="330">
        <f>H122/DAY(B2)</f>
        <v>320.62400000000196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'4'!F123</f>
        <v>135578.79999999999</v>
      </c>
      <c r="F123" s="237">
        <v>135891.63</v>
      </c>
      <c r="G123" s="112">
        <f t="shared" si="9"/>
        <v>312.8300000000163</v>
      </c>
      <c r="H123" s="99">
        <f>G123+'4'!H123</f>
        <v>1525.6300000000047</v>
      </c>
      <c r="I123" s="165"/>
      <c r="J123" s="330">
        <f>H123/DAY(B2)</f>
        <v>305.12600000000094</v>
      </c>
    </row>
    <row r="124" spans="1:18" ht="29.25" customHeight="1" x14ac:dyDescent="0.5">
      <c r="A124" s="864"/>
      <c r="B124" s="865"/>
      <c r="C124" s="866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90" t="s">
        <v>196</v>
      </c>
      <c r="B125" s="890"/>
      <c r="C125" s="245"/>
      <c r="D125" s="307"/>
      <c r="E125" s="308"/>
      <c r="F125" s="308"/>
      <c r="G125" s="309">
        <f>SUM(G112:G124)</f>
        <v>3377.2800000000316</v>
      </c>
      <c r="H125" s="156"/>
      <c r="I125" s="329">
        <f>G125-(G39+G53)</f>
        <v>586.70000000007349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515"/>
      <c r="G127" s="309"/>
      <c r="H127" s="99">
        <f>G127+'4'!H127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'4'!F128</f>
        <v>28862.03</v>
      </c>
      <c r="F128" s="516">
        <v>29194.33</v>
      </c>
      <c r="G128" s="112">
        <f t="shared" ref="G128:G134" si="10">F128-E128</f>
        <v>332.30000000000291</v>
      </c>
      <c r="H128" s="99">
        <f>G128+'4'!H128</f>
        <v>1589.9600000000028</v>
      </c>
      <c r="I128" s="165"/>
      <c r="J128" s="330">
        <f>H128/DAY(B2)</f>
        <v>317.99200000000053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'4'!F129</f>
        <v>13811.48</v>
      </c>
      <c r="F129" s="516">
        <v>14111.26</v>
      </c>
      <c r="G129" s="112">
        <f t="shared" si="10"/>
        <v>299.78000000000065</v>
      </c>
      <c r="H129" s="99">
        <f>G129+'4'!H129</f>
        <v>1363.67</v>
      </c>
      <c r="I129" s="165"/>
      <c r="J129" s="330">
        <f>H129/DAY(B2)</f>
        <v>272.73400000000004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'4'!F130</f>
        <v>3177.56</v>
      </c>
      <c r="F130" s="516">
        <v>3497.77</v>
      </c>
      <c r="G130" s="112">
        <f t="shared" si="10"/>
        <v>320.21000000000004</v>
      </c>
      <c r="H130" s="99">
        <f>G130+'4'!H130</f>
        <v>1440.6599999999999</v>
      </c>
      <c r="I130" s="165"/>
      <c r="J130" s="330">
        <f>H130/DAY(B2)</f>
        <v>288.13199999999995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'4'!F131</f>
        <v>9824.16</v>
      </c>
      <c r="F131" s="516">
        <v>9944.42</v>
      </c>
      <c r="G131" s="112">
        <f t="shared" si="10"/>
        <v>120.26000000000022</v>
      </c>
      <c r="H131" s="99">
        <f>G131+'4'!H131</f>
        <v>775.06999999999971</v>
      </c>
      <c r="I131" s="165"/>
      <c r="J131" s="330">
        <f>H131/DAY(B2)</f>
        <v>155.01399999999995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'4'!F132</f>
        <v>28039.29</v>
      </c>
      <c r="F132" s="516">
        <v>28448.69</v>
      </c>
      <c r="G132" s="112">
        <f t="shared" si="10"/>
        <v>409.39999999999782</v>
      </c>
      <c r="H132" s="99">
        <f>G132+'4'!H132</f>
        <v>2268.4499999999971</v>
      </c>
      <c r="I132" s="165"/>
      <c r="J132" s="330">
        <f>H132/DAY(B2)</f>
        <v>453.68999999999943</v>
      </c>
    </row>
    <row r="133" spans="1:15" ht="27.75" x14ac:dyDescent="0.5">
      <c r="A133" s="839" t="s">
        <v>323</v>
      </c>
      <c r="B133" s="840"/>
      <c r="C133" s="841"/>
      <c r="D133" s="151" t="s">
        <v>183</v>
      </c>
      <c r="E133" s="95">
        <f>'4'!F133</f>
        <v>66891.53</v>
      </c>
      <c r="F133" s="516">
        <v>67749.08</v>
      </c>
      <c r="G133" s="112">
        <f t="shared" si="10"/>
        <v>857.55000000000291</v>
      </c>
      <c r="H133" s="99">
        <f>G133+'4'!H133</f>
        <v>4274.6600000000035</v>
      </c>
      <c r="I133" s="165"/>
      <c r="J133" s="330">
        <f>H133/DAY(B2)</f>
        <v>854.9320000000007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'4'!F134</f>
        <v>653727</v>
      </c>
      <c r="F134" s="516">
        <v>654346</v>
      </c>
      <c r="G134" s="112">
        <f t="shared" si="10"/>
        <v>619</v>
      </c>
      <c r="H134" s="99">
        <f>G134+'4'!H134</f>
        <v>3087</v>
      </c>
      <c r="I134" s="165"/>
      <c r="J134" s="330">
        <f>H134/DAY(B2)</f>
        <v>617.4</v>
      </c>
    </row>
    <row r="135" spans="1:15" ht="27.75" x14ac:dyDescent="0.5">
      <c r="A135" s="890" t="s">
        <v>196</v>
      </c>
      <c r="B135" s="890"/>
      <c r="C135" s="333"/>
      <c r="D135" s="151"/>
      <c r="E135" s="95"/>
      <c r="F135" s="165"/>
      <c r="G135" s="112">
        <f>SUM(G128:G134)</f>
        <v>2958.5000000000045</v>
      </c>
      <c r="H135" s="99">
        <f>G135+'4'!H135</f>
        <v>14799.470000000005</v>
      </c>
      <c r="I135" s="329">
        <f>G135-(G35+G49)</f>
        <v>-928.89999999997508</v>
      </c>
      <c r="J135" s="330">
        <f>H135/DAY(B2)</f>
        <v>2959.8940000000011</v>
      </c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'4'!F138</f>
        <v>861472</v>
      </c>
      <c r="F138" s="147">
        <v>861514</v>
      </c>
      <c r="G138" s="112">
        <f t="shared" ref="G138:G152" si="11">F138-E138</f>
        <v>42</v>
      </c>
      <c r="H138" s="99">
        <f>G138+'4'!H138</f>
        <v>252</v>
      </c>
      <c r="I138" s="118"/>
      <c r="J138" s="330">
        <f>H138/DAY(B2)</f>
        <v>50.4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'4'!F139</f>
        <v>886242</v>
      </c>
      <c r="F139" s="148">
        <v>886250</v>
      </c>
      <c r="G139" s="112">
        <f t="shared" si="11"/>
        <v>8</v>
      </c>
      <c r="H139" s="99">
        <f>G139+'4'!H139</f>
        <v>51</v>
      </c>
      <c r="I139" s="118"/>
      <c r="J139" s="330">
        <f>H139/DAY(B2)</f>
        <v>10.199999999999999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'4'!F140</f>
        <v>88849</v>
      </c>
      <c r="F140" s="149">
        <v>88859.6</v>
      </c>
      <c r="G140" s="112">
        <f t="shared" si="11"/>
        <v>10.600000000005821</v>
      </c>
      <c r="H140" s="99">
        <f>G140+'4'!H140</f>
        <v>10.600000000005821</v>
      </c>
      <c r="I140" s="118"/>
      <c r="J140" s="330">
        <f>H140/DAY(B2)</f>
        <v>2.1200000000011641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'4'!F141</f>
        <v>43920.27</v>
      </c>
      <c r="F141" s="149">
        <v>44124.31</v>
      </c>
      <c r="G141" s="112">
        <f t="shared" si="11"/>
        <v>204.04000000000087</v>
      </c>
      <c r="H141" s="99">
        <f>G141+'4'!H141</f>
        <v>997.57999999999447</v>
      </c>
      <c r="I141" s="118"/>
      <c r="J141" s="330">
        <f>H141/DAY(B2)</f>
        <v>199.51599999999888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'4'!F142</f>
        <v>17532.11</v>
      </c>
      <c r="F142" s="148">
        <v>17549.580000000002</v>
      </c>
      <c r="G142" s="112">
        <f t="shared" si="11"/>
        <v>17.470000000001164</v>
      </c>
      <c r="H142" s="99">
        <f>G142+'4'!H142</f>
        <v>89.080000000001746</v>
      </c>
      <c r="I142" s="140"/>
      <c r="J142" s="330">
        <f>H142/DAY(B2)</f>
        <v>17.816000000000351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'4'!F143</f>
        <v>2317.16</v>
      </c>
      <c r="F143" s="149">
        <v>2346.35</v>
      </c>
      <c r="G143" s="112">
        <f t="shared" si="11"/>
        <v>29.190000000000055</v>
      </c>
      <c r="H143" s="99">
        <f>G143+'4'!H143</f>
        <v>144.94999999999982</v>
      </c>
      <c r="I143" s="140"/>
      <c r="J143" s="330">
        <f>H143/DAY(B2)</f>
        <v>28.989999999999963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'4'!F144</f>
        <v>863301</v>
      </c>
      <c r="F144" s="149">
        <v>863531</v>
      </c>
      <c r="G144" s="112">
        <f t="shared" si="11"/>
        <v>230</v>
      </c>
      <c r="H144" s="99">
        <f>G144+'4'!H144</f>
        <v>1136</v>
      </c>
      <c r="I144" s="140"/>
      <c r="J144" s="330">
        <f>H144/DAY(B2)</f>
        <v>227.2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'4'!F145</f>
        <v>3597</v>
      </c>
      <c r="F145" s="149">
        <v>3638.16</v>
      </c>
      <c r="G145" s="112">
        <f t="shared" si="11"/>
        <v>41.159999999999854</v>
      </c>
      <c r="H145" s="99">
        <f>G145+'4'!H145</f>
        <v>219.15999999999985</v>
      </c>
      <c r="I145" s="140"/>
      <c r="J145" s="330">
        <f>H145/DAY(B2)</f>
        <v>43.831999999999972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'4'!F146</f>
        <v>712366</v>
      </c>
      <c r="F146" s="148">
        <v>712776</v>
      </c>
      <c r="G146" s="112">
        <f t="shared" si="11"/>
        <v>410</v>
      </c>
      <c r="H146" s="99">
        <f>G146+'4'!H146</f>
        <v>1891</v>
      </c>
      <c r="I146" s="140"/>
      <c r="J146" s="330">
        <f>H146/DAY(B2)</f>
        <v>378.2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'4'!F147</f>
        <v>603732.92000000004</v>
      </c>
      <c r="F147" s="148">
        <v>604163.83999999997</v>
      </c>
      <c r="G147" s="112">
        <f t="shared" si="11"/>
        <v>430.91999999992549</v>
      </c>
      <c r="H147" s="99">
        <f>G147+'4'!H147</f>
        <v>2178.7999999999302</v>
      </c>
      <c r="I147" s="140"/>
      <c r="J147" s="330">
        <f>H147/DAY(B2)</f>
        <v>435.75999999998601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'4'!F148</f>
        <v>674849.84</v>
      </c>
      <c r="F148" s="150">
        <v>675152.4</v>
      </c>
      <c r="G148" s="112">
        <f t="shared" si="11"/>
        <v>302.56000000005588</v>
      </c>
      <c r="H148" s="99">
        <f>G148+'4'!H148</f>
        <v>1362.7199999999721</v>
      </c>
      <c r="I148" s="124"/>
      <c r="J148" s="330">
        <f>H148/DAY(B2)</f>
        <v>272.54399999999441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'4'!F149</f>
        <v>96631</v>
      </c>
      <c r="F149" s="146">
        <v>97051</v>
      </c>
      <c r="G149" s="112">
        <f t="shared" si="11"/>
        <v>420</v>
      </c>
      <c r="H149" s="99">
        <f>G149+'4'!H149</f>
        <v>2029</v>
      </c>
      <c r="I149" s="119"/>
      <c r="J149" s="330">
        <f>H149/DAY(B2)</f>
        <v>405.8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'4'!F150</f>
        <v>7167232</v>
      </c>
      <c r="F150" s="233">
        <v>7167232</v>
      </c>
      <c r="G150" s="112">
        <f t="shared" si="11"/>
        <v>0</v>
      </c>
      <c r="H150" s="99">
        <f>G150+'4'!H150</f>
        <v>0</v>
      </c>
      <c r="I150" s="119"/>
      <c r="J150" s="330">
        <f>H150/DAY(B2)</f>
        <v>0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'4'!F151</f>
        <v>71756</v>
      </c>
      <c r="F151" s="233">
        <v>72018</v>
      </c>
      <c r="G151" s="112">
        <f t="shared" si="11"/>
        <v>262</v>
      </c>
      <c r="H151" s="99">
        <f>G151+'4'!H151</f>
        <v>1296</v>
      </c>
      <c r="I151" s="119"/>
      <c r="J151" s="330">
        <f>H151/DAY(B2)</f>
        <v>259.2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'4'!F152</f>
        <v>0</v>
      </c>
      <c r="F152" s="233">
        <v>0</v>
      </c>
      <c r="G152" s="112">
        <f t="shared" si="11"/>
        <v>0</v>
      </c>
      <c r="H152" s="99">
        <f>G152+'4'!H152</f>
        <v>0</v>
      </c>
      <c r="I152" s="119"/>
      <c r="J152" s="330">
        <f>H152/DAY(B2)</f>
        <v>0</v>
      </c>
    </row>
    <row r="153" spans="1:10" ht="27.75" x14ac:dyDescent="0.5">
      <c r="A153" s="890" t="s">
        <v>196</v>
      </c>
      <c r="B153" s="890"/>
      <c r="C153" s="367"/>
      <c r="D153" s="360"/>
      <c r="E153" s="362"/>
      <c r="F153" s="363"/>
      <c r="G153" s="364">
        <f>SUM(G138:G152)</f>
        <v>2407.9399999999891</v>
      </c>
      <c r="H153" s="365"/>
      <c r="I153" s="119">
        <f>G153-(G38+G52)</f>
        <v>423.51999999997633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'4'!F155</f>
        <v>77549</v>
      </c>
      <c r="F155" s="517">
        <v>77557.5</v>
      </c>
      <c r="G155" s="112">
        <f t="shared" ref="G155:G156" si="12">F155-E155</f>
        <v>8.5</v>
      </c>
      <c r="H155" s="99">
        <f>G155+'4'!H155</f>
        <v>33.5</v>
      </c>
      <c r="I155" s="366"/>
      <c r="J155" s="330">
        <f>H155/DAY(B2)</f>
        <v>6.7</v>
      </c>
    </row>
    <row r="156" spans="1:10" ht="27.75" x14ac:dyDescent="0.5">
      <c r="A156" s="838" t="s">
        <v>346</v>
      </c>
      <c r="B156" s="838"/>
      <c r="C156" s="838"/>
      <c r="D156" s="117" t="s">
        <v>130</v>
      </c>
      <c r="E156" s="95">
        <f>'4'!F156</f>
        <v>0</v>
      </c>
      <c r="F156" s="165">
        <v>0</v>
      </c>
      <c r="G156" s="112">
        <f t="shared" si="12"/>
        <v>0</v>
      </c>
      <c r="H156" s="99">
        <f>G156+'4'!H156</f>
        <v>0</v>
      </c>
      <c r="I156" s="165"/>
      <c r="J156" s="330">
        <f>H156/DAY(B2)</f>
        <v>0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/>
      <c r="F157" s="165"/>
      <c r="G157" s="112"/>
      <c r="H157" s="99"/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/>
      <c r="F158" s="165"/>
      <c r="G158" s="112"/>
      <c r="H158" s="99"/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471044.04</v>
      </c>
      <c r="F161" s="235">
        <v>471051.32</v>
      </c>
      <c r="G161" s="238">
        <f t="shared" ref="G161:G165" si="13">F161-E161</f>
        <v>7.2800000000279397</v>
      </c>
      <c r="H161" s="99">
        <f>G161+'4'!H161</f>
        <v>75.200000000011642</v>
      </c>
      <c r="I161" s="236"/>
      <c r="J161" s="239">
        <f>H161/DAY(B2)</f>
        <v>15.040000000002328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86794.8</v>
      </c>
      <c r="F162" s="235">
        <v>86809.7</v>
      </c>
      <c r="G162" s="238">
        <f t="shared" si="13"/>
        <v>14.899999999994179</v>
      </c>
      <c r="H162" s="99">
        <f>G162+'4'!H162</f>
        <v>208</v>
      </c>
      <c r="I162" s="236"/>
      <c r="J162" s="239">
        <f>H162/DAY(B2)</f>
        <v>41.6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75857.7</v>
      </c>
      <c r="F163" s="235">
        <v>75895.8</v>
      </c>
      <c r="G163" s="238">
        <f t="shared" si="13"/>
        <v>38.100000000005821</v>
      </c>
      <c r="H163" s="99">
        <f>G163+'4'!H163</f>
        <v>436</v>
      </c>
      <c r="I163" s="236"/>
      <c r="J163" s="239">
        <f>H163/DAY(B2)</f>
        <v>87.2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4121.8</v>
      </c>
      <c r="F164" s="235">
        <v>4122.6000000000004</v>
      </c>
      <c r="G164" s="238">
        <f t="shared" si="13"/>
        <v>0.8000000000001819</v>
      </c>
      <c r="H164" s="99">
        <f>G164+'4'!H164</f>
        <v>24.700000000000728</v>
      </c>
      <c r="I164" s="236"/>
      <c r="J164" s="239">
        <f>H164/DAY(B2)</f>
        <v>4.9400000000001452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29464.15</v>
      </c>
      <c r="F165" s="235">
        <v>29464.97</v>
      </c>
      <c r="G165" s="238">
        <f t="shared" si="13"/>
        <v>0.81999999999970896</v>
      </c>
      <c r="H165" s="99">
        <f>G165+'4'!H165</f>
        <v>36.038800000002084</v>
      </c>
      <c r="I165" s="236"/>
      <c r="J165" s="239">
        <f>H165/DAY(B2)</f>
        <v>7.2077600000004169</v>
      </c>
    </row>
    <row r="166" spans="1:10" ht="29.25" x14ac:dyDescent="0.5">
      <c r="A166" s="870"/>
      <c r="B166" s="870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9"/>
    </row>
    <row r="167" spans="1:10" ht="29.25" x14ac:dyDescent="0.5">
      <c r="A167" s="870"/>
      <c r="B167" s="870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9"/>
    </row>
    <row r="168" spans="1:10" ht="29.25" x14ac:dyDescent="0.5">
      <c r="A168" s="870"/>
      <c r="B168" s="870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9"/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96"/>
      <c r="B172" s="896"/>
      <c r="C172" s="518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891" t="s">
        <v>209</v>
      </c>
      <c r="B173" s="891"/>
      <c r="C173" s="335"/>
      <c r="D173" s="155" t="s">
        <v>142</v>
      </c>
      <c r="E173" s="95">
        <f>'4'!F173</f>
        <v>8107</v>
      </c>
      <c r="F173" s="155">
        <v>8107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 x14ac:dyDescent="0.5">
      <c r="A174" s="891" t="s">
        <v>75</v>
      </c>
      <c r="B174" s="891"/>
      <c r="C174" s="335"/>
      <c r="D174" s="155" t="s">
        <v>142</v>
      </c>
      <c r="E174" s="95">
        <f>'4'!F174</f>
        <v>37871</v>
      </c>
      <c r="F174" s="157">
        <v>37889</v>
      </c>
      <c r="G174" s="155">
        <f t="shared" ref="G174:G175" si="14">F174-E174</f>
        <v>18</v>
      </c>
      <c r="H174" s="99">
        <f>G174+'4'!H174</f>
        <v>81</v>
      </c>
      <c r="I174" s="155"/>
      <c r="J174" s="156">
        <f>H174/DAY(B2)</f>
        <v>16.2</v>
      </c>
    </row>
    <row r="175" spans="1:10" ht="27.75" x14ac:dyDescent="0.5">
      <c r="A175" s="891" t="s">
        <v>76</v>
      </c>
      <c r="B175" s="891"/>
      <c r="C175" s="891"/>
      <c r="D175" s="155" t="s">
        <v>142</v>
      </c>
      <c r="E175" s="95">
        <f>'4'!F175</f>
        <v>21185</v>
      </c>
      <c r="F175" s="155">
        <v>21199</v>
      </c>
      <c r="G175" s="155">
        <f t="shared" si="14"/>
        <v>14</v>
      </c>
      <c r="H175" s="99">
        <f>G175+'4'!H175</f>
        <v>62</v>
      </c>
      <c r="I175" s="155"/>
      <c r="J175" s="156">
        <f>H175/DAY(B2)</f>
        <v>12.4</v>
      </c>
    </row>
    <row r="176" spans="1:10" ht="27.75" x14ac:dyDescent="0.5">
      <c r="A176" s="890" t="s">
        <v>196</v>
      </c>
      <c r="B176" s="890"/>
      <c r="C176" s="335"/>
      <c r="D176" s="155"/>
      <c r="E176" s="95">
        <f>'4'!F176</f>
        <v>0</v>
      </c>
      <c r="F176" s="155"/>
      <c r="G176" s="155">
        <f>SUM(G173:G175)</f>
        <v>32</v>
      </c>
      <c r="H176" s="99">
        <f>G176+'4'!H176</f>
        <v>143</v>
      </c>
      <c r="I176" s="155"/>
      <c r="J176" s="156">
        <f>H176/DAY(B2)</f>
        <v>28.6</v>
      </c>
    </row>
    <row r="177" spans="1:10" ht="27.75" x14ac:dyDescent="0.5">
      <c r="A177" s="891" t="s">
        <v>77</v>
      </c>
      <c r="B177" s="891"/>
      <c r="C177" s="335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891" t="s">
        <v>210</v>
      </c>
      <c r="B178" s="891"/>
      <c r="C178" s="335"/>
      <c r="D178" s="155" t="s">
        <v>142</v>
      </c>
      <c r="E178" s="95">
        <f>'4'!F178</f>
        <v>77671</v>
      </c>
      <c r="F178" s="155">
        <v>77736</v>
      </c>
      <c r="G178" s="155">
        <f>F178-E178</f>
        <v>65</v>
      </c>
      <c r="H178" s="99">
        <f>G178+'4'!H178</f>
        <v>384</v>
      </c>
      <c r="I178" s="155"/>
      <c r="J178" s="156">
        <f>H178/DAY(B2)</f>
        <v>76.8</v>
      </c>
    </row>
    <row r="179" spans="1:10" ht="27.75" x14ac:dyDescent="0.5">
      <c r="A179" s="891" t="s">
        <v>211</v>
      </c>
      <c r="B179" s="891"/>
      <c r="C179" s="335"/>
      <c r="D179" s="155" t="s">
        <v>142</v>
      </c>
      <c r="E179" s="95">
        <f>'4'!F179</f>
        <v>33886</v>
      </c>
      <c r="F179" s="155">
        <v>33886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7.75" x14ac:dyDescent="0.5">
      <c r="A180" s="891" t="s">
        <v>212</v>
      </c>
      <c r="B180" s="891"/>
      <c r="C180" s="335"/>
      <c r="D180" s="155" t="s">
        <v>142</v>
      </c>
      <c r="E180" s="95">
        <f>'4'!F180</f>
        <v>5288</v>
      </c>
      <c r="F180" s="155">
        <v>5291</v>
      </c>
      <c r="G180" s="155">
        <f t="shared" si="15"/>
        <v>3</v>
      </c>
      <c r="H180" s="99">
        <f>G180+'4'!H180</f>
        <v>18</v>
      </c>
      <c r="I180" s="155"/>
      <c r="J180" s="156">
        <f>H180/DAY(B2)</f>
        <v>3.6</v>
      </c>
    </row>
    <row r="181" spans="1:10" ht="27.75" x14ac:dyDescent="0.5">
      <c r="A181" s="895" t="s">
        <v>108</v>
      </c>
      <c r="B181" s="895"/>
      <c r="C181" s="335"/>
      <c r="D181" s="155"/>
      <c r="E181" s="95">
        <f>'4'!F181</f>
        <v>0</v>
      </c>
      <c r="F181" s="155"/>
      <c r="G181" s="155">
        <f>SUM(G178:G180)</f>
        <v>68</v>
      </c>
      <c r="H181" s="99">
        <f>G181+'4'!H181</f>
        <v>402</v>
      </c>
      <c r="I181" s="155"/>
      <c r="J181" s="156">
        <f>H181/DAY(B2)</f>
        <v>80.400000000000006</v>
      </c>
    </row>
    <row r="182" spans="1:10" ht="27.75" x14ac:dyDescent="0.5">
      <c r="A182" s="891" t="s">
        <v>213</v>
      </c>
      <c r="B182" s="891"/>
      <c r="C182" s="335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891" t="s">
        <v>214</v>
      </c>
      <c r="B183" s="891"/>
      <c r="C183" s="336"/>
      <c r="D183" s="155" t="s">
        <v>142</v>
      </c>
      <c r="E183" s="95">
        <f>'4'!F183</f>
        <v>14565</v>
      </c>
      <c r="F183" s="157">
        <v>14578</v>
      </c>
      <c r="G183" s="157">
        <f>F183-E183</f>
        <v>13</v>
      </c>
      <c r="H183" s="99">
        <f>G183+'4'!H183</f>
        <v>82</v>
      </c>
      <c r="I183" s="155"/>
      <c r="J183" s="156">
        <f>H183/DAY(B2)</f>
        <v>16.399999999999999</v>
      </c>
    </row>
    <row r="184" spans="1:10" ht="27.75" x14ac:dyDescent="0.5">
      <c r="A184" s="891" t="s">
        <v>215</v>
      </c>
      <c r="B184" s="891"/>
      <c r="C184" s="336"/>
      <c r="D184" s="155" t="s">
        <v>142</v>
      </c>
      <c r="E184" s="95">
        <f>'4'!F184</f>
        <v>10067</v>
      </c>
      <c r="F184" s="157">
        <v>10076</v>
      </c>
      <c r="G184" s="157">
        <f t="shared" ref="G184:G185" si="16">F184-E184</f>
        <v>9</v>
      </c>
      <c r="H184" s="99">
        <f>G184+'4'!H184</f>
        <v>45</v>
      </c>
      <c r="I184" s="155"/>
      <c r="J184" s="156">
        <f>H184/DAY(B2)</f>
        <v>9</v>
      </c>
    </row>
    <row r="185" spans="1:10" ht="29.25" customHeight="1" x14ac:dyDescent="0.5">
      <c r="A185" s="891" t="s">
        <v>216</v>
      </c>
      <c r="B185" s="891"/>
      <c r="C185" s="336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890" t="s">
        <v>196</v>
      </c>
      <c r="B186" s="890"/>
      <c r="C186" s="336"/>
      <c r="D186" s="507"/>
      <c r="E186" s="95"/>
      <c r="F186" s="157"/>
      <c r="G186" s="157">
        <f>SUM(G183:G185)</f>
        <v>22</v>
      </c>
      <c r="H186" s="99">
        <f>G186+'4'!H186</f>
        <v>127</v>
      </c>
      <c r="I186" s="157"/>
      <c r="J186" s="156">
        <f>H186/DAY(B2)</f>
        <v>25.4</v>
      </c>
    </row>
    <row r="187" spans="1:10" ht="27.75" x14ac:dyDescent="0.5">
      <c r="A187" s="894" t="s">
        <v>217</v>
      </c>
      <c r="B187" s="894"/>
      <c r="C187" s="335"/>
      <c r="D187" s="157" t="s">
        <v>142</v>
      </c>
      <c r="E187" s="95"/>
      <c r="F187" s="159"/>
      <c r="G187" s="506">
        <f>G62+G19</f>
        <v>186</v>
      </c>
      <c r="H187" s="99">
        <f>G187+'4'!H187</f>
        <v>871</v>
      </c>
      <c r="I187" s="158"/>
      <c r="J187" s="159">
        <f>H187/DAY(B2)</f>
        <v>174.2</v>
      </c>
    </row>
    <row r="188" spans="1:10" ht="27.75" x14ac:dyDescent="0.5">
      <c r="A188" s="894" t="s">
        <v>218</v>
      </c>
      <c r="B188" s="894"/>
      <c r="C188" s="335"/>
      <c r="D188" s="157" t="s">
        <v>142</v>
      </c>
      <c r="E188" s="95"/>
      <c r="F188" s="159"/>
      <c r="G188" s="506">
        <f>G65+G66+G67+G69+G70</f>
        <v>177</v>
      </c>
      <c r="H188" s="99">
        <f>G188+'4'!H188</f>
        <v>871</v>
      </c>
      <c r="I188" s="158"/>
      <c r="J188" s="159">
        <f>H188/DAY(B2)</f>
        <v>174.2</v>
      </c>
    </row>
    <row r="189" spans="1:10" ht="27.75" x14ac:dyDescent="0.5">
      <c r="A189" s="894" t="s">
        <v>219</v>
      </c>
      <c r="B189" s="894"/>
      <c r="C189" s="335"/>
      <c r="D189" s="157" t="s">
        <v>142</v>
      </c>
      <c r="E189" s="95"/>
      <c r="F189" s="157"/>
      <c r="G189" s="503">
        <f>G181</f>
        <v>68</v>
      </c>
      <c r="H189" s="99">
        <f>G189+'4'!H189</f>
        <v>402</v>
      </c>
      <c r="I189" s="158"/>
      <c r="J189" s="159">
        <f>H189/DAY(B2)</f>
        <v>80.400000000000006</v>
      </c>
    </row>
    <row r="190" spans="1:10" ht="27.75" x14ac:dyDescent="0.5">
      <c r="A190" s="893"/>
      <c r="B190" s="893"/>
      <c r="C190" s="519"/>
      <c r="D190" s="520"/>
      <c r="E190" s="521"/>
      <c r="F190" s="520"/>
      <c r="G190" s="520"/>
      <c r="H190" s="522"/>
      <c r="I190" s="520"/>
      <c r="J190" s="523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66" zoomScale="60" workbookViewId="0">
      <selection activeCell="F12" sqref="F1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360</v>
      </c>
      <c r="B2" s="262">
        <v>44536</v>
      </c>
      <c r="C2" s="350" t="s">
        <v>67</v>
      </c>
      <c r="D2" s="218">
        <v>0.56000000000000005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516899.63</v>
      </c>
      <c r="F7" s="95">
        <v>538911.55000000005</v>
      </c>
      <c r="G7" s="112">
        <f>F7-E7</f>
        <v>22011.920000000042</v>
      </c>
      <c r="H7" s="99">
        <f>G7+'5'!H7</f>
        <v>138069.55000000005</v>
      </c>
      <c r="I7" s="113">
        <f>'1'!I7</f>
        <v>12000</v>
      </c>
      <c r="J7" s="175">
        <f>H7/DAY(B2)</f>
        <v>23011.591666666674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555239.91</v>
      </c>
      <c r="F8" s="114">
        <v>577365.03</v>
      </c>
      <c r="G8" s="115">
        <f>F8-E8</f>
        <v>22125.119999999995</v>
      </c>
      <c r="H8" s="99">
        <f>G8+'5'!H8</f>
        <v>139070.03000000003</v>
      </c>
      <c r="I8" s="116"/>
      <c r="J8" s="175">
        <f>H8/DAY(B2)</f>
        <v>23178.338333333337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1807781.9</v>
      </c>
      <c r="F9" s="117">
        <v>1824182.3</v>
      </c>
      <c r="G9" s="112">
        <f>F9-E9</f>
        <v>16400.40000000014</v>
      </c>
      <c r="H9" s="99">
        <f>G9+'5'!H9</f>
        <v>105084.60000000009</v>
      </c>
      <c r="I9" s="124">
        <f>I7-J7</f>
        <v>-11011.591666666674</v>
      </c>
      <c r="J9" s="175">
        <f>H9/DAY(B2)</f>
        <v>17514.100000000017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430214.83</v>
      </c>
      <c r="F10" s="117">
        <v>435208.99</v>
      </c>
      <c r="G10" s="112">
        <f t="shared" ref="G10:G12" si="0">F10-E10</f>
        <v>4994.1599999999744</v>
      </c>
      <c r="H10" s="99">
        <f>G10+'5'!H10</f>
        <v>29126.559999999998</v>
      </c>
      <c r="I10" s="282"/>
      <c r="J10" s="175">
        <f>H10/DAY(B2)</f>
        <v>4854.4266666666663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21394.560000000114</v>
      </c>
      <c r="H13" s="99">
        <f>G13+'5'!H13</f>
        <v>112160.29000000004</v>
      </c>
      <c r="I13" s="120">
        <f>G7-G13</f>
        <v>617.35999999992782</v>
      </c>
      <c r="J13" s="175">
        <f>H13/DAY(B2)</f>
        <v>18693.381666666672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'5'!F15</f>
        <v>1848845.44</v>
      </c>
      <c r="F15" s="123">
        <v>1849968.46</v>
      </c>
      <c r="G15" s="112">
        <f>(F15-E15)</f>
        <v>1123.0200000000186</v>
      </c>
      <c r="H15" s="99">
        <f>G15+'5'!H15</f>
        <v>6820.4599999999627</v>
      </c>
      <c r="I15" s="113">
        <f>'1'!I15</f>
        <v>800</v>
      </c>
      <c r="J15" s="175">
        <f>H15/DAY(B2)</f>
        <v>1136.7433333333272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-336.7433333333272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'5'!F18</f>
        <v>20</v>
      </c>
      <c r="F18" s="122">
        <v>20</v>
      </c>
      <c r="G18" s="119">
        <f>F18*10</f>
        <v>200</v>
      </c>
      <c r="H18" s="99">
        <f>G18+'5'!H18</f>
        <v>1190</v>
      </c>
      <c r="I18" s="113">
        <f>'1'!I18</f>
        <v>65</v>
      </c>
      <c r="J18" s="175">
        <f>H18/DAY(B2)</f>
        <v>198.33333333333334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'5'!F19</f>
        <v>150852</v>
      </c>
      <c r="F19" s="122">
        <v>150905</v>
      </c>
      <c r="G19" s="112">
        <f t="shared" ref="G19" si="1">F19-E19</f>
        <v>53</v>
      </c>
      <c r="H19" s="99">
        <f>G19+'5'!H19</f>
        <v>321</v>
      </c>
      <c r="I19" s="337"/>
      <c r="J19" s="175">
        <f>H19/DAY(B2)</f>
        <v>53.5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253</v>
      </c>
      <c r="H20" s="99">
        <f>G20+'5'!H20</f>
        <v>1511</v>
      </c>
      <c r="I20" s="338">
        <f>I18-J20</f>
        <v>-186.83333333333334</v>
      </c>
      <c r="J20" s="175">
        <f>H20/DAY(B2)</f>
        <v>251.83333333333334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'5'!F23</f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22125.119999999995</v>
      </c>
      <c r="F27" s="136">
        <v>9</v>
      </c>
      <c r="G27" s="137">
        <f>E27*F27</f>
        <v>199126.07999999996</v>
      </c>
      <c r="H27" s="99">
        <f>G27+'5'!H27</f>
        <v>1251630.2700000005</v>
      </c>
      <c r="I27" s="138"/>
      <c r="J27" s="175">
        <f>H27/DAY(B2)</f>
        <v>208605.04500000007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1123.0200000000186</v>
      </c>
      <c r="F28" s="136">
        <v>52</v>
      </c>
      <c r="G28" s="137">
        <f>E28*F28</f>
        <v>58397.040000000969</v>
      </c>
      <c r="H28" s="99">
        <f>G28+'5'!H28</f>
        <v>354663.91999999806</v>
      </c>
      <c r="I28" s="140"/>
      <c r="J28" s="175">
        <f>H28/DAY(B2)</f>
        <v>59110.653333333008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G30+'5'!H30</f>
        <v>46866</v>
      </c>
      <c r="I30" s="140"/>
      <c r="J30" s="175">
        <f>H30/DAY(B2)</f>
        <v>7811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G31+'5'!H31</f>
        <v>95200</v>
      </c>
      <c r="I31" s="140"/>
      <c r="J31" s="175">
        <f>H31/DAY(B2)</f>
        <v>15866.666666666666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281261.12000000093</v>
      </c>
      <c r="H32" s="99">
        <f>G32+'5'!H32</f>
        <v>1748360.1899999985</v>
      </c>
      <c r="I32" s="144"/>
      <c r="J32" s="175">
        <f>H32/DAY(B2)</f>
        <v>291393.36499999976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104134.95</v>
      </c>
      <c r="F35" s="145">
        <v>106076.47</v>
      </c>
      <c r="G35" s="112">
        <f t="shared" ref="G35:G46" si="3">F35-E35</f>
        <v>1941.5200000000041</v>
      </c>
      <c r="H35" s="99">
        <f>G35+'5'!H35</f>
        <v>12541.839999999997</v>
      </c>
      <c r="I35" s="95"/>
      <c r="J35" s="175">
        <f>H35/DAY(B2)</f>
        <v>2090.3066666666659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84320.5</v>
      </c>
      <c r="F36" s="145">
        <v>85090.07</v>
      </c>
      <c r="G36" s="112">
        <f t="shared" si="3"/>
        <v>769.57000000000698</v>
      </c>
      <c r="H36" s="99">
        <f>G36+'5'!H36</f>
        <v>5626.3700000000099</v>
      </c>
      <c r="I36" s="95"/>
      <c r="J36" s="175">
        <f>H36/DAY(B2)</f>
        <v>937.72833333333494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153825.78</v>
      </c>
      <c r="F37" s="145">
        <v>155444.32999999999</v>
      </c>
      <c r="G37" s="112">
        <f t="shared" si="3"/>
        <v>1618.5499999999884</v>
      </c>
      <c r="H37" s="99">
        <f>G37+'5'!H37</f>
        <v>9937.5899999999965</v>
      </c>
      <c r="I37" s="95"/>
      <c r="J37" s="175">
        <f>H37/DAY(B2)</f>
        <v>1656.2649999999994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180844.67</v>
      </c>
      <c r="F38" s="108">
        <v>182744.37</v>
      </c>
      <c r="G38" s="112">
        <f t="shared" si="3"/>
        <v>1899.6999999999825</v>
      </c>
      <c r="H38" s="99">
        <f>G38+'5'!H38</f>
        <v>11740.320000000007</v>
      </c>
      <c r="I38" s="95"/>
      <c r="J38" s="175">
        <f>H38/DAY(B2)</f>
        <v>1956.7200000000012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336072.91</v>
      </c>
      <c r="F39" s="145">
        <v>338924.23</v>
      </c>
      <c r="G39" s="112">
        <f t="shared" si="3"/>
        <v>2851.320000000007</v>
      </c>
      <c r="H39" s="99">
        <f>G39+'5'!H39</f>
        <v>17260.940000000002</v>
      </c>
      <c r="I39" s="95"/>
      <c r="J39" s="175">
        <f>H39/DAY(B2)</f>
        <v>2876.8233333333337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114.88</v>
      </c>
      <c r="F40" s="145">
        <v>114.9</v>
      </c>
      <c r="G40" s="112">
        <f t="shared" si="3"/>
        <v>2.0000000000010232E-2</v>
      </c>
      <c r="H40" s="99">
        <f>G40+'5'!H40</f>
        <v>3.6800000000000068</v>
      </c>
      <c r="I40" s="95"/>
      <c r="J40" s="175">
        <f>H40/DAY(B2)</f>
        <v>0.61333333333333451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599530.06999999995</v>
      </c>
      <c r="F41" s="145">
        <v>599900.39</v>
      </c>
      <c r="G41" s="112">
        <f t="shared" si="3"/>
        <v>370.32000000006519</v>
      </c>
      <c r="H41" s="99">
        <f>G41+'5'!H41</f>
        <v>9386.6800000000512</v>
      </c>
      <c r="I41" s="95"/>
      <c r="J41" s="175">
        <f>H41/DAY(B2)</f>
        <v>1564.4466666666751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328066.96999999997</v>
      </c>
      <c r="F42" s="145">
        <v>331199.28999999998</v>
      </c>
      <c r="G42" s="112">
        <f t="shared" si="3"/>
        <v>3132.320000000007</v>
      </c>
      <c r="H42" s="99">
        <f>G42+'5'!H42</f>
        <v>15145.299999999988</v>
      </c>
      <c r="I42" s="95"/>
      <c r="J42" s="175">
        <f>H42/DAY(B2)</f>
        <v>2524.2166666666649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1541749.3</v>
      </c>
      <c r="F43" s="145">
        <v>1544178.4</v>
      </c>
      <c r="G43" s="112">
        <f t="shared" si="3"/>
        <v>2429.0999999998603</v>
      </c>
      <c r="H43" s="99">
        <f>G43+'5'!H43</f>
        <v>15579.799999999814</v>
      </c>
      <c r="I43" s="95"/>
      <c r="J43" s="175">
        <f>H43/DAY(B2)</f>
        <v>2596.6333333333023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15012.419999999922</v>
      </c>
      <c r="H47" s="99">
        <f>G47+'5'!H47</f>
        <v>97222.519999999873</v>
      </c>
      <c r="I47" s="95"/>
      <c r="J47" s="175">
        <f>H47/DAY(B2)</f>
        <v>16203.753333333312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229325.33</v>
      </c>
      <c r="F49" s="145">
        <v>230941.11</v>
      </c>
      <c r="G49" s="112">
        <f t="shared" ref="G49:G58" si="4">F49-E49</f>
        <v>1615.7799999999988</v>
      </c>
      <c r="H49" s="99">
        <f>G49+'5'!H49</f>
        <v>10427.779999999999</v>
      </c>
      <c r="I49" s="95"/>
      <c r="J49" s="175">
        <f>H49/DAY(B2)</f>
        <v>1737.9633333333331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730095.83</v>
      </c>
      <c r="F50" s="145">
        <v>731582.47</v>
      </c>
      <c r="G50" s="112">
        <f t="shared" si="4"/>
        <v>1486.640000000014</v>
      </c>
      <c r="H50" s="99">
        <f>G50+'5'!H50</f>
        <v>8359.2800000000279</v>
      </c>
      <c r="I50" s="95"/>
      <c r="J50" s="175">
        <f>H50/DAY(B2)</f>
        <v>1393.2133333333379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3064.9</v>
      </c>
      <c r="F54" s="145">
        <v>3071.68</v>
      </c>
      <c r="G54" s="112">
        <f t="shared" si="4"/>
        <v>6.7799999999997453</v>
      </c>
      <c r="H54" s="99">
        <f>G54+'5'!H54</f>
        <v>40.399999999999636</v>
      </c>
      <c r="I54" s="95"/>
      <c r="J54" s="175">
        <f>H54/DAY(B2)</f>
        <v>6.733333333333273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0</v>
      </c>
      <c r="F55" s="145">
        <v>0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198682.21</v>
      </c>
      <c r="F56" s="145">
        <v>200518.21</v>
      </c>
      <c r="G56" s="112">
        <f t="shared" si="4"/>
        <v>1836</v>
      </c>
      <c r="H56" s="99">
        <f>G56+'5'!H56</f>
        <v>10003.25999999998</v>
      </c>
      <c r="I56" s="95"/>
      <c r="J56" s="175">
        <f>H56/DAY(B2)</f>
        <v>1667.2099999999966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86443.7</v>
      </c>
      <c r="F58" s="145">
        <v>86651.75</v>
      </c>
      <c r="G58" s="112">
        <f t="shared" si="4"/>
        <v>208.05000000000291</v>
      </c>
      <c r="H58" s="99">
        <f>G58+'5'!H58</f>
        <v>1326.8999999999942</v>
      </c>
      <c r="I58" s="95"/>
      <c r="J58" s="175">
        <f>H58/DAY(B2)</f>
        <v>221.14999999999904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5153.2500000000155</v>
      </c>
      <c r="H59" s="99">
        <f>G59+'5'!H59</f>
        <v>30157.620000000003</v>
      </c>
      <c r="I59" s="95">
        <f>G7-G60</f>
        <v>1846.2500000001055</v>
      </c>
      <c r="J59" s="175">
        <f>H59/DAY(B2)</f>
        <v>5026.2700000000004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20165.669999999936</v>
      </c>
      <c r="H60" s="99">
        <f>G60+'5'!H60</f>
        <v>127380.13999999988</v>
      </c>
      <c r="I60" s="95">
        <f>G13-G60</f>
        <v>1228.8900000001777</v>
      </c>
      <c r="J60" s="175">
        <f>H60/DAY(B2)</f>
        <v>21230.023333333313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'5'!F62</f>
        <v>264068</v>
      </c>
      <c r="F62" s="122">
        <v>264175</v>
      </c>
      <c r="G62" s="112">
        <f t="shared" ref="G62:G63" si="5">F62-E62</f>
        <v>107</v>
      </c>
      <c r="H62" s="99">
        <f>G62+'5'!H62</f>
        <v>710</v>
      </c>
      <c r="I62" s="118"/>
      <c r="J62" s="175">
        <f>H62/DAY(B2)</f>
        <v>118.33333333333333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'5'!F63</f>
        <v>209898</v>
      </c>
      <c r="F63" s="122">
        <v>210018</v>
      </c>
      <c r="G63" s="112">
        <f t="shared" si="5"/>
        <v>120</v>
      </c>
      <c r="H63" s="99">
        <f>G63+'5'!H63</f>
        <v>643</v>
      </c>
      <c r="I63" s="118"/>
      <c r="J63" s="175">
        <f>H63/DAY(B2)</f>
        <v>107.16666666666667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'5'!F64</f>
        <v>0</v>
      </c>
      <c r="F64" s="122"/>
      <c r="G64" s="112">
        <f>G62+G63</f>
        <v>227</v>
      </c>
      <c r="H64" s="99">
        <f>G64+'5'!H64</f>
        <v>1353</v>
      </c>
      <c r="I64" s="118"/>
      <c r="J64" s="175">
        <f>H64/DAY(B2)</f>
        <v>225.5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'5'!F65</f>
        <v>429850</v>
      </c>
      <c r="F65" s="122">
        <v>429938</v>
      </c>
      <c r="G65" s="112">
        <f t="shared" ref="G65:G70" si="6">F65-E65</f>
        <v>88</v>
      </c>
      <c r="H65" s="99">
        <f>G65+'5'!H65</f>
        <v>575</v>
      </c>
      <c r="I65" s="118"/>
      <c r="J65" s="175">
        <f>H65/DAY(B2)</f>
        <v>95.833333333333329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'5'!F66</f>
        <v>106720</v>
      </c>
      <c r="F66" s="122">
        <v>106736</v>
      </c>
      <c r="G66" s="112">
        <f t="shared" si="6"/>
        <v>16</v>
      </c>
      <c r="H66" s="99">
        <f>G66+'5'!H66</f>
        <v>137</v>
      </c>
      <c r="I66" s="118"/>
      <c r="J66" s="175">
        <f>H66/DAY(B2)</f>
        <v>22.833333333333332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'5'!F67</f>
        <v>103157</v>
      </c>
      <c r="F67" s="122">
        <v>103182</v>
      </c>
      <c r="G67" s="112">
        <f t="shared" si="6"/>
        <v>25</v>
      </c>
      <c r="H67" s="99">
        <f>G67+'5'!H67</f>
        <v>171</v>
      </c>
      <c r="I67" s="118"/>
      <c r="J67" s="175">
        <f>H67/DAY(B2)</f>
        <v>28.5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'5'!F68</f>
        <v>155622</v>
      </c>
      <c r="F68" s="122">
        <v>155664</v>
      </c>
      <c r="G68" s="112">
        <f t="shared" si="6"/>
        <v>42</v>
      </c>
      <c r="H68" s="99">
        <f>G68+'5'!H68</f>
        <v>224</v>
      </c>
      <c r="I68" s="118"/>
      <c r="J68" s="175">
        <f>H68/DAY(B2)</f>
        <v>37.333333333333336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'5'!F69</f>
        <v>9909</v>
      </c>
      <c r="F69" s="122">
        <v>9923</v>
      </c>
      <c r="G69" s="112">
        <f t="shared" si="6"/>
        <v>14</v>
      </c>
      <c r="H69" s="99">
        <f>G69+'5'!H69</f>
        <v>80</v>
      </c>
      <c r="I69" s="118"/>
      <c r="J69" s="175">
        <f>H69/DAY(B2)</f>
        <v>13.333333333333334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'5'!F70</f>
        <v>7593</v>
      </c>
      <c r="F70" s="122">
        <v>7601</v>
      </c>
      <c r="G70" s="112">
        <f t="shared" si="6"/>
        <v>8</v>
      </c>
      <c r="H70" s="99">
        <f>G70+'5'!H70</f>
        <v>59</v>
      </c>
      <c r="I70" s="118"/>
      <c r="J70" s="175">
        <f>H70/DAY(B2)</f>
        <v>9.8333333333333339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193</v>
      </c>
      <c r="H71" s="99">
        <f>G71+'5'!H71</f>
        <v>1246</v>
      </c>
      <c r="I71" s="154"/>
      <c r="J71" s="175">
        <f>H71/DAY(B2)</f>
        <v>207.66666666666666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'5'!F74</f>
        <v>883803.87</v>
      </c>
      <c r="F74" s="123">
        <v>884116.36</v>
      </c>
      <c r="G74" s="112">
        <f t="shared" ref="G74:G78" si="7">F74-E74</f>
        <v>312.48999999999069</v>
      </c>
      <c r="H74" s="99">
        <f>G74+'5'!H74</f>
        <v>1863.310999999987</v>
      </c>
      <c r="I74" s="154"/>
      <c r="J74" s="175">
        <f>H74/DAY(B2)</f>
        <v>310.55183333333116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'5'!F76</f>
        <v>164005.22</v>
      </c>
      <c r="F76" s="123">
        <v>164125.79999999999</v>
      </c>
      <c r="G76" s="112">
        <f t="shared" si="7"/>
        <v>120.57999999998719</v>
      </c>
      <c r="H76" s="99">
        <f>G76+'5'!H76</f>
        <v>741.79999999998836</v>
      </c>
      <c r="I76" s="154"/>
      <c r="J76" s="175">
        <f>H76/DAY(B2)</f>
        <v>123.63333333333139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'5'!F77</f>
        <v>39038</v>
      </c>
      <c r="F77" s="123">
        <v>39079.9</v>
      </c>
      <c r="G77" s="112">
        <f t="shared" si="7"/>
        <v>41.900000000001455</v>
      </c>
      <c r="H77" s="99">
        <f>G77+'5'!H77</f>
        <v>269.90000000000146</v>
      </c>
      <c r="I77" s="154"/>
      <c r="J77" s="175">
        <f>H77/DAY(B2)</f>
        <v>44.983333333333576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'5'!F78</f>
        <v>9426.9</v>
      </c>
      <c r="F78" s="123">
        <v>9429</v>
      </c>
      <c r="G78" s="112">
        <f t="shared" si="7"/>
        <v>2.1000000000003638</v>
      </c>
      <c r="H78" s="99">
        <f>G78+'5'!H78</f>
        <v>17</v>
      </c>
      <c r="I78" s="118"/>
      <c r="J78" s="175">
        <f>H78/DAY(B2)</f>
        <v>2.8333333333333335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117"/>
      <c r="F79" s="117"/>
      <c r="G79" s="112">
        <f>G15-SUM(G74:G78)</f>
        <v>645.95000000003893</v>
      </c>
      <c r="H79" s="99">
        <f>G79+'5'!H79</f>
        <v>3928.448999999986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1123.0200000000186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'5'!F84</f>
        <v>41673.300000000003</v>
      </c>
      <c r="F84" s="164">
        <v>41675.26</v>
      </c>
      <c r="G84" s="112">
        <f t="shared" si="8"/>
        <v>1.9599999999991269</v>
      </c>
      <c r="H84" s="99">
        <f>G84+'5'!H84</f>
        <v>46.700000000004366</v>
      </c>
      <c r="I84" s="118"/>
      <c r="J84" s="175">
        <f>H84/DAY(B2)</f>
        <v>7.7833333333340606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'5'!F85</f>
        <v>1562.59</v>
      </c>
      <c r="F85" s="164">
        <v>1579.1</v>
      </c>
      <c r="G85" s="112">
        <f t="shared" si="8"/>
        <v>16.509999999999991</v>
      </c>
      <c r="H85" s="99">
        <f>G85+'5'!H85</f>
        <v>75.539999999999964</v>
      </c>
      <c r="I85" s="118">
        <f>G82+G83+G84+G85</f>
        <v>18.469999999999118</v>
      </c>
      <c r="J85" s="175">
        <f>H85/DAY(B2)</f>
        <v>12.589999999999995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'5'!F86</f>
        <v>42826.47</v>
      </c>
      <c r="F86" s="164">
        <v>42826.47</v>
      </c>
      <c r="G86" s="112">
        <f t="shared" si="8"/>
        <v>0</v>
      </c>
      <c r="H86" s="99">
        <f>G86+'5'!H86</f>
        <v>0.47000000000116415</v>
      </c>
      <c r="I86" s="118"/>
      <c r="J86" s="175">
        <f>H86/DAY(B2)</f>
        <v>7.8333333333527363E-2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'5'!F87</f>
        <v>34461.46</v>
      </c>
      <c r="F87" s="164">
        <v>34468.379999999997</v>
      </c>
      <c r="G87" s="112">
        <f t="shared" si="8"/>
        <v>6.9199999999982538</v>
      </c>
      <c r="H87" s="99">
        <f>G87+'5'!H87</f>
        <v>47.979999999995925</v>
      </c>
      <c r="I87" s="118"/>
      <c r="J87" s="175">
        <f>H87/DAY(B2)</f>
        <v>7.9966666666659876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'5'!F88</f>
        <v>23983.7</v>
      </c>
      <c r="F88" s="164">
        <v>23983.7</v>
      </c>
      <c r="G88" s="112">
        <f t="shared" si="8"/>
        <v>0</v>
      </c>
      <c r="H88" s="99">
        <f>G88+'5'!H88</f>
        <v>31.209999999999127</v>
      </c>
      <c r="I88" s="118">
        <f>G86+G87+G88</f>
        <v>6.9199999999982538</v>
      </c>
      <c r="J88" s="175">
        <f>H88/DAY(B2)</f>
        <v>5.2016666666665214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'5'!F89</f>
        <v>25448.82</v>
      </c>
      <c r="F89" s="164">
        <v>25459.11</v>
      </c>
      <c r="G89" s="112">
        <f t="shared" si="8"/>
        <v>10.290000000000873</v>
      </c>
      <c r="H89" s="99">
        <f>G89+'5'!H89</f>
        <v>31.619999999998981</v>
      </c>
      <c r="I89" s="118"/>
      <c r="J89" s="175">
        <f>H89/DAY(B2)</f>
        <v>5.2699999999998299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'5'!F90</f>
        <v>70864.33</v>
      </c>
      <c r="F90" s="164">
        <v>70873.02</v>
      </c>
      <c r="G90" s="112">
        <f t="shared" si="8"/>
        <v>8.6900000000023283</v>
      </c>
      <c r="H90" s="99">
        <f>G90+'5'!H90</f>
        <v>44.75</v>
      </c>
      <c r="I90" s="118">
        <f>G89+G90</f>
        <v>18.980000000003201</v>
      </c>
      <c r="J90" s="175">
        <f>H90/DAY(B2)</f>
        <v>7.458333333333333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'5'!F91</f>
        <v>3226.32</v>
      </c>
      <c r="F91" s="122">
        <v>3226.32</v>
      </c>
      <c r="G91" s="112">
        <f t="shared" si="8"/>
        <v>0</v>
      </c>
      <c r="H91" s="99">
        <f>G91+'5'!H91</f>
        <v>0.32000000000016371</v>
      </c>
      <c r="I91" s="165"/>
      <c r="J91" s="175">
        <f>H91/DAY(B2)</f>
        <v>5.333333333336062E-2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'5'!F92</f>
        <v>5150.3599999999997</v>
      </c>
      <c r="F92" s="122">
        <v>5161.2700000000004</v>
      </c>
      <c r="G92" s="112">
        <f t="shared" si="8"/>
        <v>10.910000000000764</v>
      </c>
      <c r="H92" s="99">
        <f>G92+'5'!H92</f>
        <v>65.3700000000008</v>
      </c>
      <c r="I92" s="165"/>
      <c r="J92" s="175">
        <f>H92/DAY(B2)</f>
        <v>10.895000000000133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5986.3999999998632</v>
      </c>
      <c r="H94" s="99">
        <f>G94+'5'!H94</f>
        <v>38549.419999999809</v>
      </c>
      <c r="I94" s="118"/>
      <c r="J94" s="175">
        <f>H94/DAY(B2)</f>
        <v>6424.9033333333018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0.27196173709516713</v>
      </c>
      <c r="H95" s="99">
        <f>G95+'5'!H95</f>
        <v>1.6751805956187171</v>
      </c>
      <c r="I95" s="167"/>
      <c r="J95" s="175">
        <f>H95/DAY(B2)</f>
        <v>0.27919676593645287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5338.6400000000722</v>
      </c>
      <c r="H96" s="99">
        <f>G96+'5'!H96</f>
        <v>34535.24000000002</v>
      </c>
      <c r="I96" s="118"/>
      <c r="J96" s="175">
        <f>H96/DAY(B2)</f>
        <v>5755.8733333333366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0.24253404519006347</v>
      </c>
      <c r="H97" s="99">
        <f>G97+'5'!H97</f>
        <v>1.4956748481189857</v>
      </c>
      <c r="I97" s="167"/>
      <c r="J97" s="175">
        <f>H97/DAY(B2)</f>
        <v>0.24927914135316429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2851.320000000007</v>
      </c>
      <c r="H98" s="99">
        <f>G98+'5'!H98</f>
        <v>17260.940000000002</v>
      </c>
      <c r="I98" s="168"/>
      <c r="J98" s="175">
        <f>H98/DAY(B2)</f>
        <v>2876.8233333333337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0.12953526998099218</v>
      </c>
      <c r="H99" s="99">
        <f>G99+'5'!H99</f>
        <v>0.75125872618276768</v>
      </c>
      <c r="I99" s="168"/>
      <c r="J99" s="175">
        <f>H99/DAY(B2)</f>
        <v>0.12520978769712796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1899.6999999999825</v>
      </c>
      <c r="H100" s="99">
        <f>G100+'5'!H100</f>
        <v>11740.320000000007</v>
      </c>
      <c r="I100" s="118"/>
      <c r="J100" s="175">
        <f>H100/DAY(B2)</f>
        <v>1956.7200000000012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8.6303239335777118E-2</v>
      </c>
      <c r="H101" s="99">
        <f>G101+'5'!H101</f>
        <v>0.51076223345870275</v>
      </c>
      <c r="I101" s="168"/>
      <c r="J101" s="175">
        <f>H101/DAY(B2)</f>
        <v>8.5127038909783792E-2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2256.210000000021</v>
      </c>
      <c r="H102" s="99">
        <f>G102+'5'!H102</f>
        <v>13985.650000000038</v>
      </c>
      <c r="I102" s="168"/>
      <c r="J102" s="175">
        <f>H102/DAY(B2)</f>
        <v>2330.941666666673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0.10249946392681859</v>
      </c>
      <c r="H103" s="99">
        <f>G103+'5'!H103</f>
        <v>0.60916195413585239</v>
      </c>
      <c r="I103" s="118"/>
      <c r="J103" s="175">
        <f>H103/DAY(B2)</f>
        <v>0.1015269923559754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1618.5499999999884</v>
      </c>
      <c r="H104" s="99">
        <f>G104+'5'!H104</f>
        <v>9937.5899999999965</v>
      </c>
      <c r="I104" s="118"/>
      <c r="J104" s="175">
        <f>H104/DAY(B2)</f>
        <v>1656.2649999999994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7.3530614321694124E-2</v>
      </c>
      <c r="H105" s="99">
        <f>G105+'5'!H105</f>
        <v>0.43284829059789676</v>
      </c>
      <c r="I105" s="187"/>
      <c r="J105" s="188">
        <f>H105/DAY(B2)</f>
        <v>7.2141381766316126E-2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'5'!F112</f>
        <v>53753.11</v>
      </c>
      <c r="F112" s="237">
        <v>53834</v>
      </c>
      <c r="G112" s="112">
        <f t="shared" ref="G112:G123" si="9">F112-E112</f>
        <v>80.889999999999418</v>
      </c>
      <c r="H112" s="99">
        <f>G112+'5'!H112</f>
        <v>481.98999999999796</v>
      </c>
      <c r="I112" s="165"/>
      <c r="J112" s="330">
        <f>H112/DAY(B2)</f>
        <v>80.331666666666322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'5'!F113</f>
        <v>20140.189999999999</v>
      </c>
      <c r="F113" s="237">
        <v>20578.099999999999</v>
      </c>
      <c r="G113" s="112">
        <f t="shared" si="9"/>
        <v>437.90999999999985</v>
      </c>
      <c r="H113" s="99">
        <f>G113+'5'!H113</f>
        <v>2621.5699999999997</v>
      </c>
      <c r="I113" s="165"/>
      <c r="J113" s="330">
        <f>H113/DAY(B2)</f>
        <v>436.92833333333328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'5'!F114</f>
        <v>15499.36</v>
      </c>
      <c r="F114" s="237">
        <v>15764.3</v>
      </c>
      <c r="G114" s="112">
        <f t="shared" si="9"/>
        <v>264.93999999999869</v>
      </c>
      <c r="H114" s="99">
        <f>G114+'5'!H114</f>
        <v>1837.1999999999989</v>
      </c>
      <c r="I114" s="165"/>
      <c r="J114" s="330">
        <f>H114/DAY(B2)</f>
        <v>306.19999999999982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'5'!F115</f>
        <v>8486.69</v>
      </c>
      <c r="F115" s="237">
        <v>8500.2900000000009</v>
      </c>
      <c r="G115" s="112">
        <f t="shared" si="9"/>
        <v>13.600000000000364</v>
      </c>
      <c r="H115" s="99">
        <f>G115+'5'!H115</f>
        <v>76.610000000000582</v>
      </c>
      <c r="I115" s="165"/>
      <c r="J115" s="330">
        <f>H115/DAY(B2)</f>
        <v>12.76833333333343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'5'!F117</f>
        <v>2041.78</v>
      </c>
      <c r="F117" s="237">
        <v>2061.58</v>
      </c>
      <c r="G117" s="112">
        <f t="shared" si="9"/>
        <v>19.799999999999955</v>
      </c>
      <c r="H117" s="99">
        <f>G117+'5'!H117</f>
        <v>120.5</v>
      </c>
      <c r="I117" s="165"/>
      <c r="J117" s="330">
        <f>H117/DAY(B2)</f>
        <v>20.083333333333332</v>
      </c>
      <c r="Q117" s="839" t="s">
        <v>312</v>
      </c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'5'!F118</f>
        <v>231694.35</v>
      </c>
      <c r="F118" s="237">
        <v>232093.21</v>
      </c>
      <c r="G118" s="112">
        <f t="shared" si="9"/>
        <v>398.85999999998603</v>
      </c>
      <c r="H118" s="99">
        <f>G118+'5'!H118</f>
        <v>2255.4799999999814</v>
      </c>
      <c r="I118" s="165"/>
      <c r="J118" s="330">
        <f>H118/DAY(B2)</f>
        <v>375.91333333333023</v>
      </c>
      <c r="Q118" s="839" t="s">
        <v>311</v>
      </c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'5'!F119</f>
        <v>233972.35</v>
      </c>
      <c r="F119" s="237">
        <v>234400.43</v>
      </c>
      <c r="G119" s="112">
        <f t="shared" si="9"/>
        <v>428.07999999998719</v>
      </c>
      <c r="H119" s="99">
        <f>G119+'5'!H119</f>
        <v>2673.8999999999942</v>
      </c>
      <c r="I119" s="165"/>
      <c r="J119" s="330">
        <f>H119/DAY(B2)</f>
        <v>445.64999999999901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'5'!F120</f>
        <v>19327.650000000001</v>
      </c>
      <c r="F120" s="237">
        <v>19749.14</v>
      </c>
      <c r="G120" s="112">
        <f t="shared" si="9"/>
        <v>421.48999999999796</v>
      </c>
      <c r="H120" s="99">
        <f>G120+'5'!H120</f>
        <v>2563.8199999999997</v>
      </c>
      <c r="I120" s="165"/>
      <c r="J120" s="330">
        <f>H120/DAY(B2)</f>
        <v>427.30333333333328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'5'!F121</f>
        <v>356592.11</v>
      </c>
      <c r="F121" s="237">
        <v>357331.35</v>
      </c>
      <c r="G121" s="112">
        <f t="shared" si="9"/>
        <v>739.23999999999069</v>
      </c>
      <c r="H121" s="99">
        <f>G121+'5'!H121</f>
        <v>4277.1199999999953</v>
      </c>
      <c r="I121" s="165"/>
      <c r="J121" s="330">
        <f>H121/DAY(B2)</f>
        <v>712.85333333333256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'5'!F122</f>
        <v>112612.91</v>
      </c>
      <c r="F122" s="237">
        <v>112933.6</v>
      </c>
      <c r="G122" s="112">
        <f t="shared" si="9"/>
        <v>320.69000000000233</v>
      </c>
      <c r="H122" s="99">
        <f>G122+'5'!H122</f>
        <v>1923.8100000000122</v>
      </c>
      <c r="I122" s="165"/>
      <c r="J122" s="330">
        <f>H122/DAY(B2)</f>
        <v>320.63500000000204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'5'!F123</f>
        <v>135891.63</v>
      </c>
      <c r="F123" s="237">
        <v>136207.71</v>
      </c>
      <c r="G123" s="112">
        <f t="shared" si="9"/>
        <v>316.07999999998719</v>
      </c>
      <c r="H123" s="99">
        <f>G123+'5'!H123</f>
        <v>1841.7099999999919</v>
      </c>
      <c r="I123" s="165"/>
      <c r="J123" s="330">
        <f>H123/DAY(B2)</f>
        <v>306.95166666666529</v>
      </c>
    </row>
    <row r="124" spans="1:18" ht="29.25" customHeight="1" x14ac:dyDescent="0.5">
      <c r="A124" s="864"/>
      <c r="B124" s="865"/>
      <c r="C124" s="866"/>
      <c r="D124" s="165"/>
      <c r="E124" s="95">
        <f>'5'!F124</f>
        <v>0</v>
      </c>
      <c r="F124" s="165"/>
      <c r="G124" s="329"/>
      <c r="H124" s="156"/>
      <c r="I124" s="165"/>
      <c r="J124" s="330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3441.5799999999499</v>
      </c>
      <c r="H125" s="156"/>
      <c r="I125" s="329">
        <f>G125-(G39+G53)</f>
        <v>590.25999999994292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G127+'5'!H127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'5'!F128</f>
        <v>29194.33</v>
      </c>
      <c r="F128" s="165">
        <v>29512.51</v>
      </c>
      <c r="G128" s="112">
        <f t="shared" ref="G128:G134" si="10">F128-E128</f>
        <v>318.17999999999665</v>
      </c>
      <c r="H128" s="99">
        <f>G128+'5'!H128</f>
        <v>1908.1399999999994</v>
      </c>
      <c r="I128" s="165"/>
      <c r="J128" s="330">
        <f>H128/DAY(B2)</f>
        <v>318.02333333333326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'5'!F129</f>
        <v>14111.26</v>
      </c>
      <c r="F129" s="165">
        <v>14375.62</v>
      </c>
      <c r="G129" s="112">
        <f t="shared" si="10"/>
        <v>264.36000000000058</v>
      </c>
      <c r="H129" s="99">
        <f>G129+'5'!H129</f>
        <v>1628.0300000000007</v>
      </c>
      <c r="I129" s="165"/>
      <c r="J129" s="330">
        <f>H129/DAY(B2)</f>
        <v>271.33833333333342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'5'!F130</f>
        <v>3497.77</v>
      </c>
      <c r="F130" s="165">
        <v>3723.48</v>
      </c>
      <c r="G130" s="112">
        <f t="shared" si="10"/>
        <v>225.71000000000004</v>
      </c>
      <c r="H130" s="99">
        <f>G130+'5'!H130</f>
        <v>1666.37</v>
      </c>
      <c r="I130" s="165"/>
      <c r="J130" s="330">
        <f>H130/DAY(B2)</f>
        <v>277.7283333333333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'5'!F131</f>
        <v>9944.42</v>
      </c>
      <c r="F131" s="165">
        <v>10121.629999999999</v>
      </c>
      <c r="G131" s="112">
        <f t="shared" si="10"/>
        <v>177.20999999999913</v>
      </c>
      <c r="H131" s="99">
        <f>G131+'5'!H131</f>
        <v>952.27999999999884</v>
      </c>
      <c r="I131" s="165"/>
      <c r="J131" s="330">
        <f>H131/DAY(B2)</f>
        <v>158.71333333333314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'5'!F132</f>
        <v>28448.69</v>
      </c>
      <c r="F132" s="165">
        <v>28805.200000000001</v>
      </c>
      <c r="G132" s="112">
        <f t="shared" si="10"/>
        <v>356.51000000000204</v>
      </c>
      <c r="H132" s="99">
        <f>G132+'5'!H132</f>
        <v>2624.9599999999991</v>
      </c>
      <c r="I132" s="165"/>
      <c r="J132" s="330">
        <f>H132/DAY(B2)</f>
        <v>437.49333333333317</v>
      </c>
    </row>
    <row r="133" spans="1:15" ht="27.75" x14ac:dyDescent="0.5">
      <c r="A133" s="839" t="s">
        <v>323</v>
      </c>
      <c r="B133" s="840"/>
      <c r="C133" s="841"/>
      <c r="D133" s="151" t="s">
        <v>183</v>
      </c>
      <c r="E133" s="95">
        <f>'5'!F133</f>
        <v>67749.08</v>
      </c>
      <c r="F133" s="165">
        <v>68591.75</v>
      </c>
      <c r="G133" s="112">
        <f t="shared" si="10"/>
        <v>842.66999999999825</v>
      </c>
      <c r="H133" s="99">
        <f>G133+'5'!H133</f>
        <v>5117.3300000000017</v>
      </c>
      <c r="I133" s="165"/>
      <c r="J133" s="330">
        <f>H133/DAY(B2)</f>
        <v>852.88833333333366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'5'!F134</f>
        <v>654346</v>
      </c>
      <c r="F134" s="165">
        <v>654963</v>
      </c>
      <c r="G134" s="112">
        <f t="shared" si="10"/>
        <v>617</v>
      </c>
      <c r="H134" s="99">
        <f>G134+'5'!H134</f>
        <v>3704</v>
      </c>
      <c r="I134" s="165"/>
      <c r="J134" s="330">
        <f>H134/DAY(B2)</f>
        <v>617.33333333333337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12"/>
      <c r="G135" s="112">
        <f>SUM(G128:G134)</f>
        <v>2801.6399999999967</v>
      </c>
      <c r="H135" s="99">
        <f>G135+'5'!H135</f>
        <v>17601.11</v>
      </c>
      <c r="I135" s="329">
        <f>G135-(G35+G49)</f>
        <v>-755.66000000000622</v>
      </c>
      <c r="J135" s="330">
        <f>H135/DAY(B2)</f>
        <v>2933.5183333333334</v>
      </c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'5'!F138</f>
        <v>861514</v>
      </c>
      <c r="F138" s="147">
        <v>861535</v>
      </c>
      <c r="G138" s="112">
        <f t="shared" ref="G138:G152" si="11">F138-E138</f>
        <v>21</v>
      </c>
      <c r="H138" s="99">
        <f>G138+'5'!H138</f>
        <v>273</v>
      </c>
      <c r="I138" s="118"/>
      <c r="J138" s="330">
        <f>H138/DAY(B2)</f>
        <v>45.5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'5'!F139</f>
        <v>886250</v>
      </c>
      <c r="F139" s="148">
        <v>886265</v>
      </c>
      <c r="G139" s="112">
        <f t="shared" si="11"/>
        <v>15</v>
      </c>
      <c r="H139" s="99">
        <f>G139+'5'!H139</f>
        <v>66</v>
      </c>
      <c r="I139" s="118"/>
      <c r="J139" s="330">
        <f>H139/DAY(B2)</f>
        <v>11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'5'!F140</f>
        <v>88859.6</v>
      </c>
      <c r="F140" s="149">
        <v>88860.800000000003</v>
      </c>
      <c r="G140" s="112">
        <f t="shared" si="11"/>
        <v>1.1999999999970896</v>
      </c>
      <c r="H140" s="99">
        <f>G140+'5'!H140</f>
        <v>11.80000000000291</v>
      </c>
      <c r="I140" s="118"/>
      <c r="J140" s="330">
        <f>H140/DAY(B2)</f>
        <v>1.9666666666671517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'5'!F141</f>
        <v>44124.31</v>
      </c>
      <c r="F141" s="149">
        <v>44301.45</v>
      </c>
      <c r="G141" s="112">
        <f t="shared" si="11"/>
        <v>177.13999999999942</v>
      </c>
      <c r="H141" s="99">
        <f>G141+'5'!H141</f>
        <v>1174.7199999999939</v>
      </c>
      <c r="I141" s="118"/>
      <c r="J141" s="330">
        <f>H141/DAY(B2)</f>
        <v>195.78666666666564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'5'!F142</f>
        <v>17549.580000000002</v>
      </c>
      <c r="F142" s="148">
        <v>17565.52</v>
      </c>
      <c r="G142" s="112">
        <f t="shared" si="11"/>
        <v>15.93999999999869</v>
      </c>
      <c r="H142" s="99">
        <f>G142+'5'!H142</f>
        <v>105.02000000000044</v>
      </c>
      <c r="I142" s="140"/>
      <c r="J142" s="330">
        <f>H142/DAY(B2)</f>
        <v>17.503333333333405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'5'!F143</f>
        <v>2346.35</v>
      </c>
      <c r="F143" s="149">
        <v>2375.5700000000002</v>
      </c>
      <c r="G143" s="112">
        <f t="shared" si="11"/>
        <v>29.220000000000255</v>
      </c>
      <c r="H143" s="99">
        <f>G143+'5'!H143</f>
        <v>174.17000000000007</v>
      </c>
      <c r="I143" s="140"/>
      <c r="J143" s="330">
        <f>H143/DAY(B2)</f>
        <v>29.028333333333347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'5'!F144</f>
        <v>863531</v>
      </c>
      <c r="F144" s="149">
        <v>863764</v>
      </c>
      <c r="G144" s="112">
        <f t="shared" si="11"/>
        <v>233</v>
      </c>
      <c r="H144" s="99">
        <f>G144+'5'!H144</f>
        <v>1369</v>
      </c>
      <c r="I144" s="140"/>
      <c r="J144" s="330">
        <f>H144/DAY(B2)</f>
        <v>228.16666666666666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'5'!F145</f>
        <v>3638.16</v>
      </c>
      <c r="F145" s="149">
        <v>3686.32</v>
      </c>
      <c r="G145" s="112">
        <f t="shared" si="11"/>
        <v>48.160000000000309</v>
      </c>
      <c r="H145" s="99">
        <f>G145+'5'!H145</f>
        <v>267.32000000000016</v>
      </c>
      <c r="I145" s="140"/>
      <c r="J145" s="330">
        <f>H145/DAY(B2)</f>
        <v>44.553333333333363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'5'!F146</f>
        <v>712776</v>
      </c>
      <c r="F146" s="148">
        <v>713191</v>
      </c>
      <c r="G146" s="112">
        <f t="shared" si="11"/>
        <v>415</v>
      </c>
      <c r="H146" s="99">
        <f>G146+'5'!H146</f>
        <v>2306</v>
      </c>
      <c r="I146" s="140"/>
      <c r="J146" s="330">
        <f>H146/DAY(B2)</f>
        <v>384.33333333333331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'5'!F147</f>
        <v>604163.83999999997</v>
      </c>
      <c r="F147" s="148">
        <v>604609.64</v>
      </c>
      <c r="G147" s="112">
        <f t="shared" si="11"/>
        <v>445.80000000004657</v>
      </c>
      <c r="H147" s="99">
        <f>G147+'5'!H147</f>
        <v>2624.5999999999767</v>
      </c>
      <c r="I147" s="140"/>
      <c r="J147" s="330">
        <f>H147/DAY(B2)</f>
        <v>437.43333333332947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'5'!F148</f>
        <v>675152.4</v>
      </c>
      <c r="F148" s="150">
        <v>675382.48</v>
      </c>
      <c r="G148" s="112">
        <f t="shared" si="11"/>
        <v>230.07999999995809</v>
      </c>
      <c r="H148" s="99">
        <f>G148+'5'!H148</f>
        <v>1592.7999999999302</v>
      </c>
      <c r="I148" s="124"/>
      <c r="J148" s="330">
        <f>H148/DAY(B2)</f>
        <v>265.46666666665504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'5'!F149</f>
        <v>97051</v>
      </c>
      <c r="F149" s="146">
        <v>97443</v>
      </c>
      <c r="G149" s="112">
        <f t="shared" si="11"/>
        <v>392</v>
      </c>
      <c r="H149" s="99">
        <f>G149+'5'!H149</f>
        <v>2421</v>
      </c>
      <c r="I149" s="119"/>
      <c r="J149" s="330">
        <f>H149/DAY(B2)</f>
        <v>403.5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'5'!F150</f>
        <v>7167232</v>
      </c>
      <c r="F150" s="233">
        <v>7167232</v>
      </c>
      <c r="G150" s="112">
        <f t="shared" si="11"/>
        <v>0</v>
      </c>
      <c r="H150" s="99">
        <f>G150+'5'!H150</f>
        <v>0</v>
      </c>
      <c r="I150" s="119"/>
      <c r="J150" s="330">
        <f>H150/DAY(B2)</f>
        <v>0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'5'!F151</f>
        <v>72018</v>
      </c>
      <c r="F151" s="233">
        <v>72297</v>
      </c>
      <c r="G151" s="112">
        <f t="shared" si="11"/>
        <v>279</v>
      </c>
      <c r="H151" s="99">
        <f>G151+'5'!H151</f>
        <v>1575</v>
      </c>
      <c r="I151" s="119"/>
      <c r="J151" s="330">
        <f>H151/DAY(B2)</f>
        <v>262.5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'5'!F152</f>
        <v>0</v>
      </c>
      <c r="F152" s="233">
        <v>0</v>
      </c>
      <c r="G152" s="112">
        <f t="shared" si="11"/>
        <v>0</v>
      </c>
      <c r="H152" s="99">
        <f>G152+'5'!H152</f>
        <v>0</v>
      </c>
      <c r="I152" s="119"/>
      <c r="J152" s="330">
        <f>H152/DAY(B2)</f>
        <v>0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2302.5400000000004</v>
      </c>
      <c r="H153" s="365"/>
      <c r="I153" s="119">
        <f>G153-(G38+G52)</f>
        <v>402.84000000001788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'5'!F155</f>
        <v>77557.5</v>
      </c>
      <c r="F155" s="376">
        <v>77565.8</v>
      </c>
      <c r="G155" s="112">
        <f t="shared" ref="G155:G156" si="12">F155-E155</f>
        <v>8.3000000000029104</v>
      </c>
      <c r="H155" s="99">
        <f>G155+'5'!H155</f>
        <v>41.80000000000291</v>
      </c>
      <c r="I155" s="366"/>
      <c r="J155" s="330">
        <f>H155/DAY(B2)</f>
        <v>6.9666666666671517</v>
      </c>
    </row>
    <row r="156" spans="1:10" ht="27.75" x14ac:dyDescent="0.5">
      <c r="A156" s="838" t="s">
        <v>346</v>
      </c>
      <c r="B156" s="838"/>
      <c r="C156" s="838"/>
      <c r="D156" s="117" t="s">
        <v>130</v>
      </c>
      <c r="E156" s="95">
        <f>'5'!F156</f>
        <v>0</v>
      </c>
      <c r="F156" s="155">
        <v>0</v>
      </c>
      <c r="G156" s="112">
        <f t="shared" si="12"/>
        <v>0</v>
      </c>
      <c r="H156" s="99">
        <f>G156+'5'!H156</f>
        <v>0</v>
      </c>
      <c r="I156" s="165"/>
      <c r="J156" s="330">
        <f>H156/DAY(B2)</f>
        <v>0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/>
      <c r="F157" s="155"/>
      <c r="G157" s="112"/>
      <c r="H157" s="99"/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/>
      <c r="F158" s="155"/>
      <c r="G158" s="112"/>
      <c r="H158" s="99"/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471051.32</v>
      </c>
      <c r="F161" s="235">
        <v>471064.2</v>
      </c>
      <c r="G161" s="238">
        <f t="shared" ref="G161:G165" si="13">F161-E161</f>
        <v>12.880000000004657</v>
      </c>
      <c r="H161" s="99">
        <f>G161+'5'!H161</f>
        <v>88.080000000016298</v>
      </c>
      <c r="I161" s="236"/>
      <c r="J161" s="239">
        <f>H161/DAY(B2)</f>
        <v>14.680000000002716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86809.7</v>
      </c>
      <c r="F162" s="235">
        <v>86844.5</v>
      </c>
      <c r="G162" s="238">
        <f t="shared" si="13"/>
        <v>34.80000000000291</v>
      </c>
      <c r="H162" s="99">
        <f>G162+'5'!H162</f>
        <v>242.80000000000291</v>
      </c>
      <c r="I162" s="236"/>
      <c r="J162" s="239">
        <f>H162/DAY(B2)</f>
        <v>40.466666666667152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75895.8</v>
      </c>
      <c r="F163" s="235">
        <v>75998.100000000006</v>
      </c>
      <c r="G163" s="238">
        <f t="shared" si="13"/>
        <v>102.30000000000291</v>
      </c>
      <c r="H163" s="99">
        <f>G163+'5'!H163</f>
        <v>538.30000000000291</v>
      </c>
      <c r="I163" s="236"/>
      <c r="J163" s="239">
        <f>H163/DAY(B2)</f>
        <v>89.716666666667152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4122.6000000000004</v>
      </c>
      <c r="F164" s="235">
        <v>4129.3</v>
      </c>
      <c r="G164" s="238">
        <f t="shared" si="13"/>
        <v>6.6999999999998181</v>
      </c>
      <c r="H164" s="99">
        <f>G164+'5'!H164</f>
        <v>31.400000000000546</v>
      </c>
      <c r="I164" s="236"/>
      <c r="J164" s="239">
        <f>H164/DAY(B2)</f>
        <v>5.233333333333424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29464.97</v>
      </c>
      <c r="F165" s="235">
        <v>29473.83</v>
      </c>
      <c r="G165" s="238">
        <f t="shared" si="13"/>
        <v>8.8600000000005821</v>
      </c>
      <c r="H165" s="99">
        <f>G165+'5'!H165</f>
        <v>44.898800000002666</v>
      </c>
      <c r="I165" s="236"/>
      <c r="J165" s="239">
        <f>H165/DAY(B2)</f>
        <v>7.4831333333337779</v>
      </c>
    </row>
    <row r="166" spans="1:10" ht="29.25" x14ac:dyDescent="0.5">
      <c r="A166" s="870"/>
      <c r="B166" s="870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'5'!F173</f>
        <v>8107</v>
      </c>
      <c r="F173" s="155">
        <v>8107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'5'!F174</f>
        <v>37889</v>
      </c>
      <c r="F174" s="157">
        <v>37902</v>
      </c>
      <c r="G174" s="155">
        <f t="shared" ref="G174:G175" si="14">F174-E174</f>
        <v>13</v>
      </c>
      <c r="H174" s="99">
        <f>G174+'5'!H174</f>
        <v>94</v>
      </c>
      <c r="I174" s="155"/>
      <c r="J174" s="178">
        <f>H174/DAY(B2)</f>
        <v>15.666666666666666</v>
      </c>
    </row>
    <row r="175" spans="1:10" ht="27.75" x14ac:dyDescent="0.5">
      <c r="A175" s="831" t="s">
        <v>76</v>
      </c>
      <c r="B175" s="833"/>
      <c r="C175" s="832"/>
      <c r="D175" s="228" t="s">
        <v>142</v>
      </c>
      <c r="E175" s="95">
        <f>'5'!F175</f>
        <v>21199</v>
      </c>
      <c r="F175" s="155">
        <v>21211</v>
      </c>
      <c r="G175" s="155">
        <f t="shared" si="14"/>
        <v>12</v>
      </c>
      <c r="H175" s="99">
        <f>G175+'5'!H175</f>
        <v>74</v>
      </c>
      <c r="I175" s="155"/>
      <c r="J175" s="178">
        <f>H175/DAY(B2)</f>
        <v>12.333333333333334</v>
      </c>
    </row>
    <row r="176" spans="1:10" ht="27.75" x14ac:dyDescent="0.5">
      <c r="A176" s="645" t="s">
        <v>196</v>
      </c>
      <c r="B176" s="646"/>
      <c r="C176" s="335"/>
      <c r="D176" s="228"/>
      <c r="E176" s="95">
        <f>'5'!F176</f>
        <v>0</v>
      </c>
      <c r="F176" s="155"/>
      <c r="G176" s="155">
        <f>SUM(G173:G175)</f>
        <v>25</v>
      </c>
      <c r="H176" s="99">
        <f>G176+'5'!H176</f>
        <v>168</v>
      </c>
      <c r="I176" s="155"/>
      <c r="J176" s="178">
        <f>H176/DAY(B2)</f>
        <v>28</v>
      </c>
    </row>
    <row r="177" spans="1:10" ht="27.75" x14ac:dyDescent="0.5">
      <c r="A177" s="831" t="s">
        <v>77</v>
      </c>
      <c r="B177" s="832"/>
      <c r="C177" s="335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831" t="s">
        <v>210</v>
      </c>
      <c r="B178" s="832"/>
      <c r="C178" s="335"/>
      <c r="D178" s="228" t="s">
        <v>142</v>
      </c>
      <c r="E178" s="95">
        <f>'5'!F178</f>
        <v>77736</v>
      </c>
      <c r="F178" s="155">
        <v>77794</v>
      </c>
      <c r="G178" s="155">
        <f>F178-E178</f>
        <v>58</v>
      </c>
      <c r="H178" s="99">
        <f>G178+'5'!H178</f>
        <v>442</v>
      </c>
      <c r="I178" s="155"/>
      <c r="J178" s="178">
        <f>H178/DAY(B2)</f>
        <v>73.666666666666671</v>
      </c>
    </row>
    <row r="179" spans="1:10" ht="27.75" x14ac:dyDescent="0.5">
      <c r="A179" s="831" t="s">
        <v>211</v>
      </c>
      <c r="B179" s="832"/>
      <c r="C179" s="335"/>
      <c r="D179" s="228" t="s">
        <v>142</v>
      </c>
      <c r="E179" s="95">
        <f>'5'!F179</f>
        <v>33886</v>
      </c>
      <c r="F179" s="155">
        <v>33886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'5'!F180</f>
        <v>5291</v>
      </c>
      <c r="F180" s="155">
        <v>5309</v>
      </c>
      <c r="G180" s="155">
        <f t="shared" si="15"/>
        <v>18</v>
      </c>
      <c r="H180" s="99">
        <f>G180+'5'!H180</f>
        <v>36</v>
      </c>
      <c r="I180" s="155"/>
      <c r="J180" s="178">
        <f>H180/DAY(B2)</f>
        <v>6</v>
      </c>
    </row>
    <row r="181" spans="1:10" ht="27.75" x14ac:dyDescent="0.5">
      <c r="A181" s="872" t="s">
        <v>108</v>
      </c>
      <c r="B181" s="873"/>
      <c r="C181" s="335"/>
      <c r="D181" s="228"/>
      <c r="E181" s="95">
        <f>'5'!F181</f>
        <v>0</v>
      </c>
      <c r="F181" s="155"/>
      <c r="G181" s="155">
        <f>SUM(G178:G180)</f>
        <v>76</v>
      </c>
      <c r="H181" s="99">
        <f>G181+'5'!H181</f>
        <v>478</v>
      </c>
      <c r="I181" s="155"/>
      <c r="J181" s="178">
        <f>H181/DAY(B2)</f>
        <v>79.666666666666671</v>
      </c>
    </row>
    <row r="182" spans="1:10" ht="27.75" x14ac:dyDescent="0.5">
      <c r="A182" s="831" t="s">
        <v>213</v>
      </c>
      <c r="B182" s="832"/>
      <c r="C182" s="335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'5'!F183</f>
        <v>14578</v>
      </c>
      <c r="F183" s="157">
        <v>14593</v>
      </c>
      <c r="G183" s="157">
        <f>F183-E183</f>
        <v>15</v>
      </c>
      <c r="H183" s="99">
        <f>G183+'5'!H183</f>
        <v>97</v>
      </c>
      <c r="I183" s="155"/>
      <c r="J183" s="178">
        <f>H183/DAY(B2)</f>
        <v>16.166666666666668</v>
      </c>
    </row>
    <row r="184" spans="1:10" ht="27.75" x14ac:dyDescent="0.5">
      <c r="A184" s="831" t="s">
        <v>215</v>
      </c>
      <c r="B184" s="832"/>
      <c r="C184" s="336"/>
      <c r="D184" s="228" t="s">
        <v>142</v>
      </c>
      <c r="E184" s="95">
        <f>'5'!F184</f>
        <v>10076</v>
      </c>
      <c r="F184" s="157">
        <v>10083</v>
      </c>
      <c r="G184" s="157">
        <f t="shared" ref="G184:G185" si="16">F184-E184</f>
        <v>7</v>
      </c>
      <c r="H184" s="99">
        <f>G184+'5'!H184</f>
        <v>52</v>
      </c>
      <c r="I184" s="155"/>
      <c r="J184" s="178">
        <f>H184/DAY(B2)</f>
        <v>8.6666666666666661</v>
      </c>
    </row>
    <row r="185" spans="1:10" ht="27.75" x14ac:dyDescent="0.5">
      <c r="A185" s="831" t="s">
        <v>216</v>
      </c>
      <c r="B185" s="832"/>
      <c r="C185" s="336"/>
      <c r="D185" s="228" t="s">
        <v>142</v>
      </c>
      <c r="E185" s="95">
        <f>'5'!F185</f>
        <v>0</v>
      </c>
      <c r="F185" s="157"/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867" t="s">
        <v>196</v>
      </c>
      <c r="B186" s="868"/>
      <c r="C186" s="336"/>
      <c r="D186" s="229"/>
      <c r="E186" s="95"/>
      <c r="F186" s="157"/>
      <c r="G186" s="157">
        <f>SUM(G183:G185)</f>
        <v>22</v>
      </c>
      <c r="H186" s="99">
        <f>G186+'5'!H186</f>
        <v>149</v>
      </c>
      <c r="I186" s="157"/>
      <c r="J186" s="178">
        <f>H186/DAY(B2)</f>
        <v>24.833333333333332</v>
      </c>
    </row>
    <row r="187" spans="1:10" ht="27.75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506">
        <f>G62+G19</f>
        <v>160</v>
      </c>
      <c r="H187" s="99">
        <f>G187+'5'!H187</f>
        <v>1031</v>
      </c>
      <c r="I187" s="158"/>
      <c r="J187" s="179">
        <f>H187/DAY(B2)</f>
        <v>171.83333333333334</v>
      </c>
    </row>
    <row r="188" spans="1:10" ht="27.75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151</v>
      </c>
      <c r="H188" s="99">
        <f>G188+'5'!H188</f>
        <v>1022</v>
      </c>
      <c r="I188" s="158"/>
      <c r="J188" s="179">
        <f>H188/DAY(B2)</f>
        <v>170.33333333333334</v>
      </c>
    </row>
    <row r="189" spans="1:10" ht="27.75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76</v>
      </c>
      <c r="H189" s="99">
        <f>G189+'5'!H189</f>
        <v>478</v>
      </c>
      <c r="I189" s="158"/>
      <c r="J189" s="179">
        <f>H189/DAY(B2)</f>
        <v>79.666666666666671</v>
      </c>
    </row>
    <row r="190" spans="1:10" ht="27.75" x14ac:dyDescent="0.5">
      <c r="A190" s="802"/>
      <c r="B190" s="803"/>
      <c r="C190" s="519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61" zoomScale="60" zoomScaleNormal="77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356</v>
      </c>
      <c r="B2" s="262">
        <v>44537</v>
      </c>
      <c r="C2" s="350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538911.55000000005</v>
      </c>
      <c r="F7" s="95">
        <v>563729.03</v>
      </c>
      <c r="G7" s="112">
        <f>F7-E7</f>
        <v>24817.479999999981</v>
      </c>
      <c r="H7" s="99">
        <f>G7+'6'!H7</f>
        <v>162887.03000000003</v>
      </c>
      <c r="I7" s="113">
        <f>'1'!I7</f>
        <v>12000</v>
      </c>
      <c r="J7" s="175">
        <f>H7/DAY(B2)</f>
        <v>23269.575714285718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577365.03</v>
      </c>
      <c r="F8" s="114">
        <v>602612.55000000005</v>
      </c>
      <c r="G8" s="115">
        <f>F8-E8</f>
        <v>25247.520000000019</v>
      </c>
      <c r="H8" s="99">
        <f>G8+'6'!H8</f>
        <v>164317.55000000005</v>
      </c>
      <c r="I8" s="116"/>
      <c r="J8" s="175">
        <f>H8/DAY(B2)</f>
        <v>23473.935714285722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1824182.3</v>
      </c>
      <c r="F9" s="117">
        <v>1840252.9</v>
      </c>
      <c r="G9" s="112">
        <f>F9-E9</f>
        <v>16070.59999999986</v>
      </c>
      <c r="H9" s="99">
        <f>G9+'6'!H9</f>
        <v>121155.19999999995</v>
      </c>
      <c r="I9" s="124">
        <f>I7-J7</f>
        <v>-11269.575714285718</v>
      </c>
      <c r="J9" s="175">
        <f>H9/DAY(B2)</f>
        <v>17307.885714285709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435208.99</v>
      </c>
      <c r="F10" s="117">
        <v>443323.75</v>
      </c>
      <c r="G10" s="112">
        <f t="shared" ref="G10:G12" si="0">F10-E10</f>
        <v>8114.7600000000093</v>
      </c>
      <c r="H10" s="99">
        <f>G10+'6'!H10</f>
        <v>37241.320000000007</v>
      </c>
      <c r="I10" s="282"/>
      <c r="J10" s="175">
        <f>H10/DAY(B2)</f>
        <v>5320.1885714285727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24185.35999999987</v>
      </c>
      <c r="H13" s="99">
        <f>G13+'6'!H13</f>
        <v>136345.64999999991</v>
      </c>
      <c r="I13" s="120">
        <f>G7-G13</f>
        <v>632.12000000011176</v>
      </c>
      <c r="J13" s="175">
        <f>H13/DAY(B2)</f>
        <v>19477.949999999986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'6'!F15</f>
        <v>1849968.46</v>
      </c>
      <c r="F15" s="123">
        <v>1851163.43</v>
      </c>
      <c r="G15" s="112">
        <f>(F15-E15)</f>
        <v>1194.9699999999721</v>
      </c>
      <c r="H15" s="99">
        <f>G15+'6'!H15</f>
        <v>8015.4299999999348</v>
      </c>
      <c r="I15" s="113">
        <f>'1'!I15</f>
        <v>800</v>
      </c>
      <c r="J15" s="175">
        <f>H15/DAY(B2)</f>
        <v>1145.0614285714194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-345.06142857141936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'6'!F18</f>
        <v>20</v>
      </c>
      <c r="F18" s="122">
        <v>18</v>
      </c>
      <c r="G18" s="119">
        <f>F18*10</f>
        <v>180</v>
      </c>
      <c r="H18" s="99">
        <f>G18+'6'!H18</f>
        <v>1370</v>
      </c>
      <c r="I18" s="113">
        <f>'1'!I18</f>
        <v>65</v>
      </c>
      <c r="J18" s="175">
        <f>H18/DAY(B2)</f>
        <v>195.71428571428572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'6'!F19</f>
        <v>150905</v>
      </c>
      <c r="F19" s="122">
        <v>150958</v>
      </c>
      <c r="G19" s="112">
        <f t="shared" ref="G19" si="1">F19-E19</f>
        <v>53</v>
      </c>
      <c r="H19" s="99">
        <f>G19+'6'!H19</f>
        <v>374</v>
      </c>
      <c r="I19" s="337"/>
      <c r="J19" s="175">
        <f>H19/DAY(B2)</f>
        <v>53.428571428571431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G20+'6'!H20</f>
        <v>1744</v>
      </c>
      <c r="I20" s="338">
        <f>I18-J20</f>
        <v>-184.14285714285714</v>
      </c>
      <c r="J20" s="175">
        <f>H20/DAY(B2)</f>
        <v>249.14285714285714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25247.520000000019</v>
      </c>
      <c r="F27" s="136">
        <v>9</v>
      </c>
      <c r="G27" s="137">
        <f>E27*F27</f>
        <v>227227.68000000017</v>
      </c>
      <c r="H27" s="99">
        <f>G27+'6'!H27</f>
        <v>1478857.9500000007</v>
      </c>
      <c r="I27" s="138"/>
      <c r="J27" s="175">
        <f>H27/DAY(B2)</f>
        <v>211265.42142857151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1194.9699999999721</v>
      </c>
      <c r="F28" s="136">
        <v>52</v>
      </c>
      <c r="G28" s="137">
        <f>E28*F28</f>
        <v>62138.439999998547</v>
      </c>
      <c r="H28" s="99">
        <f>G28+'6'!H28</f>
        <v>416802.35999999661</v>
      </c>
      <c r="I28" s="140"/>
      <c r="J28" s="175">
        <f>H28/DAY(B2)</f>
        <v>59543.194285713798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G30+'6'!H30</f>
        <v>54604</v>
      </c>
      <c r="I30" s="140"/>
      <c r="J30" s="175">
        <f>H30/DAY(B2)</f>
        <v>7800.5714285714284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G31+'6'!H31</f>
        <v>109600</v>
      </c>
      <c r="I31" s="140"/>
      <c r="J31" s="175">
        <f>H31/DAY(B2)</f>
        <v>15657.142857142857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311504.11999999871</v>
      </c>
      <c r="H32" s="99">
        <f>G32+'6'!H32</f>
        <v>2059864.3099999973</v>
      </c>
      <c r="I32" s="144"/>
      <c r="J32" s="175">
        <f>H32/DAY(B2)</f>
        <v>294266.32999999961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106076.47</v>
      </c>
      <c r="F35" s="145">
        <v>108127.63</v>
      </c>
      <c r="G35" s="112">
        <f t="shared" ref="G35:G46" si="3">F35-E35</f>
        <v>2051.1600000000035</v>
      </c>
      <c r="H35" s="99">
        <f>G35+'6'!H35</f>
        <v>14593</v>
      </c>
      <c r="I35" s="95"/>
      <c r="J35" s="175">
        <f>H35/DAY(B2)</f>
        <v>2084.7142857142858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85090.07</v>
      </c>
      <c r="F36" s="145">
        <v>86235.76</v>
      </c>
      <c r="G36" s="112">
        <f t="shared" si="3"/>
        <v>1145.6899999999878</v>
      </c>
      <c r="H36" s="99">
        <f>G36+'6'!H36</f>
        <v>6772.0599999999977</v>
      </c>
      <c r="I36" s="95"/>
      <c r="J36" s="175">
        <f>H36/DAY(B2)</f>
        <v>967.43714285714248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155444.32999999999</v>
      </c>
      <c r="F37" s="145">
        <v>157117.62</v>
      </c>
      <c r="G37" s="112">
        <f t="shared" si="3"/>
        <v>1673.2900000000081</v>
      </c>
      <c r="H37" s="99">
        <f>G37+'6'!H37</f>
        <v>11610.880000000005</v>
      </c>
      <c r="I37" s="95"/>
      <c r="J37" s="175">
        <f>H37/DAY(B2)</f>
        <v>1658.6971428571435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182744.37</v>
      </c>
      <c r="F38" s="108">
        <v>184692.57</v>
      </c>
      <c r="G38" s="112">
        <f t="shared" si="3"/>
        <v>1948.2000000000116</v>
      </c>
      <c r="H38" s="99">
        <f>G38+'6'!H38</f>
        <v>13688.520000000019</v>
      </c>
      <c r="I38" s="95"/>
      <c r="J38" s="175">
        <f>H38/DAY(B2)</f>
        <v>1955.5028571428597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338924.23</v>
      </c>
      <c r="F39" s="145">
        <v>341980.91</v>
      </c>
      <c r="G39" s="112">
        <f t="shared" si="3"/>
        <v>3056.679999999993</v>
      </c>
      <c r="H39" s="99">
        <f>G39+'6'!H39</f>
        <v>20317.619999999995</v>
      </c>
      <c r="I39" s="95"/>
      <c r="J39" s="175">
        <f>H39/DAY(B2)</f>
        <v>2902.5171428571421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114.9</v>
      </c>
      <c r="F40" s="145">
        <v>115.06</v>
      </c>
      <c r="G40" s="112">
        <f t="shared" si="3"/>
        <v>0.15999999999999659</v>
      </c>
      <c r="H40" s="99">
        <f>G40+'6'!H40</f>
        <v>3.8400000000000034</v>
      </c>
      <c r="I40" s="95"/>
      <c r="J40" s="175">
        <f>H40/DAY(B2)</f>
        <v>0.54857142857142904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599900.39</v>
      </c>
      <c r="F41" s="145">
        <v>599900.39</v>
      </c>
      <c r="G41" s="112">
        <f t="shared" si="3"/>
        <v>0</v>
      </c>
      <c r="H41" s="99">
        <f>G41+'6'!H41</f>
        <v>9386.6800000000512</v>
      </c>
      <c r="I41" s="95"/>
      <c r="J41" s="175">
        <f>H41/DAY(B2)</f>
        <v>1340.9542857142931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331199.28999999998</v>
      </c>
      <c r="F42" s="145">
        <v>332979.51</v>
      </c>
      <c r="G42" s="112">
        <f t="shared" si="3"/>
        <v>1780.2200000000303</v>
      </c>
      <c r="H42" s="99">
        <f>G42+'6'!H42</f>
        <v>16925.520000000019</v>
      </c>
      <c r="I42" s="95"/>
      <c r="J42" s="175">
        <f>H42/DAY(B2)</f>
        <v>2417.9314285714313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1544178.4</v>
      </c>
      <c r="F43" s="145">
        <v>1547120.6</v>
      </c>
      <c r="G43" s="112">
        <f t="shared" si="3"/>
        <v>2942.2000000001863</v>
      </c>
      <c r="H43" s="99">
        <f>G43+'6'!H43</f>
        <v>18522</v>
      </c>
      <c r="I43" s="95"/>
      <c r="J43" s="175">
        <f>H43/DAY(B2)</f>
        <v>2646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14597.60000000022</v>
      </c>
      <c r="H47" s="99">
        <f>G47+'6'!H47</f>
        <v>111820.1200000001</v>
      </c>
      <c r="I47" s="95"/>
      <c r="J47" s="175">
        <f>H47/DAY(B2)</f>
        <v>15974.302857142871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230941.11</v>
      </c>
      <c r="F49" s="145">
        <v>232633.93</v>
      </c>
      <c r="G49" s="112">
        <f t="shared" ref="G49:G58" si="4">F49-E49</f>
        <v>1692.820000000007</v>
      </c>
      <c r="H49" s="99">
        <f>G49+'6'!H49</f>
        <v>12120.600000000006</v>
      </c>
      <c r="I49" s="95"/>
      <c r="J49" s="175">
        <f>H49/DAY(B2)</f>
        <v>1731.5142857142866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731582.47</v>
      </c>
      <c r="F50" s="145">
        <v>733180.95</v>
      </c>
      <c r="G50" s="112">
        <f t="shared" si="4"/>
        <v>1598.4799999999814</v>
      </c>
      <c r="H50" s="99">
        <f>G50+'6'!H50</f>
        <v>9957.7600000000093</v>
      </c>
      <c r="I50" s="95"/>
      <c r="J50" s="175">
        <f>H50/DAY(B2)</f>
        <v>1422.5371428571441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3071.68</v>
      </c>
      <c r="F54" s="145">
        <v>3077.47</v>
      </c>
      <c r="G54" s="112">
        <f t="shared" si="4"/>
        <v>5.7899999999999636</v>
      </c>
      <c r="H54" s="99">
        <f>G54+'6'!H54</f>
        <v>46.1899999999996</v>
      </c>
      <c r="I54" s="95"/>
      <c r="J54" s="175">
        <f>H54/DAY(B2)</f>
        <v>6.598571428571371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0</v>
      </c>
      <c r="F55" s="145">
        <v>0</v>
      </c>
      <c r="G55" s="112">
        <f t="shared" si="4"/>
        <v>0</v>
      </c>
      <c r="H55" s="99">
        <f>G55+'6'!H55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200518.21</v>
      </c>
      <c r="F56" s="145">
        <v>205237.33</v>
      </c>
      <c r="G56" s="112">
        <f t="shared" si="4"/>
        <v>4719.1199999999953</v>
      </c>
      <c r="H56" s="99">
        <f>G56+'6'!H56</f>
        <v>14722.379999999976</v>
      </c>
      <c r="I56" s="95"/>
      <c r="J56" s="175">
        <f>H56/DAY(B2)</f>
        <v>2103.1971428571392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86651.75</v>
      </c>
      <c r="F58" s="145">
        <v>86872.59</v>
      </c>
      <c r="G58" s="112">
        <f t="shared" si="4"/>
        <v>220.83999999999651</v>
      </c>
      <c r="H58" s="99">
        <f>G58+'6'!H58</f>
        <v>1547.7399999999907</v>
      </c>
      <c r="I58" s="95"/>
      <c r="J58" s="175">
        <f>H58/DAY(B2)</f>
        <v>221.10571428571296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8237.0499999999811</v>
      </c>
      <c r="H59" s="99">
        <f>G59+'6'!H59</f>
        <v>38394.669999999984</v>
      </c>
      <c r="I59" s="95">
        <f>G7-G60</f>
        <v>1982.8299999997798</v>
      </c>
      <c r="J59" s="175">
        <f>H59/DAY(B2)</f>
        <v>5484.9528571428546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22834.650000000202</v>
      </c>
      <c r="H60" s="99">
        <f>G60+'6'!H60</f>
        <v>150214.7900000001</v>
      </c>
      <c r="I60" s="95">
        <f>G13-G60</f>
        <v>1350.7099999996681</v>
      </c>
      <c r="J60" s="175">
        <f>H60/DAY(B2)</f>
        <v>21459.255714285729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'6'!F62</f>
        <v>264175</v>
      </c>
      <c r="F62" s="122">
        <v>264278</v>
      </c>
      <c r="G62" s="112">
        <f t="shared" ref="G62:G63" si="5">F62-E62</f>
        <v>103</v>
      </c>
      <c r="H62" s="99">
        <f>G62+'6'!H62</f>
        <v>813</v>
      </c>
      <c r="I62" s="118"/>
      <c r="J62" s="175">
        <f>H62/DAY(B2)</f>
        <v>116.14285714285714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'6'!F63</f>
        <v>210018</v>
      </c>
      <c r="F63" s="122">
        <v>210141</v>
      </c>
      <c r="G63" s="112">
        <f t="shared" si="5"/>
        <v>123</v>
      </c>
      <c r="H63" s="99">
        <f>G63+'6'!H63</f>
        <v>766</v>
      </c>
      <c r="I63" s="118"/>
      <c r="J63" s="175">
        <f>H63/DAY(B2)</f>
        <v>109.42857142857143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'6'!F64</f>
        <v>0</v>
      </c>
      <c r="F64" s="122"/>
      <c r="G64" s="112">
        <f>G62+G63</f>
        <v>226</v>
      </c>
      <c r="H64" s="99">
        <f>G64+'6'!H64</f>
        <v>1579</v>
      </c>
      <c r="I64" s="118"/>
      <c r="J64" s="175">
        <f>H64/DAY(B2)</f>
        <v>225.57142857142858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'6'!F65</f>
        <v>429938</v>
      </c>
      <c r="F65" s="122">
        <v>430040</v>
      </c>
      <c r="G65" s="112">
        <f t="shared" ref="G65:G70" si="6">F65-E65</f>
        <v>102</v>
      </c>
      <c r="H65" s="99">
        <f>G65+'6'!H65</f>
        <v>677</v>
      </c>
      <c r="I65" s="118"/>
      <c r="J65" s="175">
        <f>H65/DAY(B2)</f>
        <v>96.714285714285708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'6'!F66</f>
        <v>106736</v>
      </c>
      <c r="F66" s="122">
        <v>106753</v>
      </c>
      <c r="G66" s="112">
        <f t="shared" si="6"/>
        <v>17</v>
      </c>
      <c r="H66" s="99">
        <f>G66+'6'!H66</f>
        <v>154</v>
      </c>
      <c r="I66" s="118"/>
      <c r="J66" s="175">
        <f>H66/DAY(B2)</f>
        <v>22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'6'!F67</f>
        <v>103182</v>
      </c>
      <c r="F67" s="150">
        <v>103213</v>
      </c>
      <c r="G67" s="112">
        <f t="shared" si="6"/>
        <v>31</v>
      </c>
      <c r="H67" s="99">
        <f>G67+'6'!H67</f>
        <v>202</v>
      </c>
      <c r="I67" s="118"/>
      <c r="J67" s="175">
        <f>H67/DAY(B2)</f>
        <v>28.857142857142858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'6'!F68</f>
        <v>155664</v>
      </c>
      <c r="F68" s="122">
        <v>155703</v>
      </c>
      <c r="G68" s="112">
        <f t="shared" si="6"/>
        <v>39</v>
      </c>
      <c r="H68" s="99">
        <f>G68+'6'!H68</f>
        <v>263</v>
      </c>
      <c r="I68" s="118"/>
      <c r="J68" s="175">
        <f>H68/DAY(B2)</f>
        <v>37.571428571428569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'6'!F69</f>
        <v>9923</v>
      </c>
      <c r="F69" s="122">
        <v>9933</v>
      </c>
      <c r="G69" s="112">
        <f t="shared" si="6"/>
        <v>10</v>
      </c>
      <c r="H69" s="99">
        <f>G69+'6'!H69</f>
        <v>90</v>
      </c>
      <c r="I69" s="118"/>
      <c r="J69" s="175">
        <f>H69/DAY(B2)</f>
        <v>12.857142857142858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'6'!F70</f>
        <v>7601</v>
      </c>
      <c r="F70" s="150">
        <v>7614</v>
      </c>
      <c r="G70" s="112">
        <f t="shared" si="6"/>
        <v>13</v>
      </c>
      <c r="H70" s="99">
        <f>G70+'6'!H70</f>
        <v>72</v>
      </c>
      <c r="I70" s="118"/>
      <c r="J70" s="175">
        <f>H70/DAY(B2)</f>
        <v>10.285714285714286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212</v>
      </c>
      <c r="H71" s="99">
        <f>G71+'6'!H71</f>
        <v>1458</v>
      </c>
      <c r="I71" s="154"/>
      <c r="J71" s="175">
        <f>H71/DAY(B2)</f>
        <v>208.28571428571428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'6'!F74</f>
        <v>884116.36</v>
      </c>
      <c r="F74" s="123">
        <v>884445.27</v>
      </c>
      <c r="G74" s="112">
        <f t="shared" ref="G74:G78" si="7">F74-E74</f>
        <v>328.9100000000326</v>
      </c>
      <c r="H74" s="99">
        <f>G74+'6'!H74</f>
        <v>2192.2210000000196</v>
      </c>
      <c r="I74" s="154"/>
      <c r="J74" s="175">
        <f>H74/DAY(B2)</f>
        <v>313.17442857143135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'6'!F76</f>
        <v>164125.79999999999</v>
      </c>
      <c r="F76" s="123">
        <v>164259.70000000001</v>
      </c>
      <c r="G76" s="112">
        <f t="shared" si="7"/>
        <v>133.90000000002328</v>
      </c>
      <c r="H76" s="99">
        <f>G76+'6'!H76</f>
        <v>875.70000000001164</v>
      </c>
      <c r="I76" s="154"/>
      <c r="J76" s="175">
        <f>H76/DAY(B2)</f>
        <v>125.10000000000166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'6'!F77</f>
        <v>39079.9</v>
      </c>
      <c r="F77" s="123">
        <v>39126.1</v>
      </c>
      <c r="G77" s="112">
        <f t="shared" si="7"/>
        <v>46.19999999999709</v>
      </c>
      <c r="H77" s="99">
        <f>G77+'6'!H77</f>
        <v>316.09999999999854</v>
      </c>
      <c r="I77" s="154"/>
      <c r="J77" s="175">
        <f>H77/DAY(B2)</f>
        <v>45.157142857142652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'6'!F78</f>
        <v>9429</v>
      </c>
      <c r="F78" s="123">
        <v>9433.7000000000007</v>
      </c>
      <c r="G78" s="112">
        <f t="shared" si="7"/>
        <v>4.7000000000007276</v>
      </c>
      <c r="H78" s="99">
        <f>G78+'6'!H78</f>
        <v>21.700000000000728</v>
      </c>
      <c r="I78" s="118"/>
      <c r="J78" s="175">
        <f>H78/DAY(B2)</f>
        <v>3.100000000000104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'6'!F79</f>
        <v>0</v>
      </c>
      <c r="F79" s="123"/>
      <c r="G79" s="112">
        <f>G15-SUM(G74:G78)</f>
        <v>681.25999999991836</v>
      </c>
      <c r="H79" s="99">
        <f>G79+'6'!H79</f>
        <v>4609.7089999999043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1194.9699999999721</v>
      </c>
      <c r="H80" s="99">
        <f>G80+'6'!H80</f>
        <v>1194.9699999999721</v>
      </c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'6'!F84</f>
        <v>41675.26</v>
      </c>
      <c r="F84" s="164">
        <v>41675.760000000002</v>
      </c>
      <c r="G84" s="112">
        <f t="shared" si="8"/>
        <v>0.5</v>
      </c>
      <c r="H84" s="99">
        <f>G84+'6'!H84</f>
        <v>47.200000000004366</v>
      </c>
      <c r="I84" s="118"/>
      <c r="J84" s="175">
        <f>H84/DAY(B2)</f>
        <v>6.7428571428577664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'6'!F85</f>
        <v>1579.1</v>
      </c>
      <c r="F85" s="164">
        <v>1588.51</v>
      </c>
      <c r="G85" s="112">
        <f t="shared" si="8"/>
        <v>9.4100000000000819</v>
      </c>
      <c r="H85" s="99">
        <f>G85+'6'!H85</f>
        <v>84.950000000000045</v>
      </c>
      <c r="I85" s="118">
        <f>G82+G83+G84+G85</f>
        <v>9.9100000000000819</v>
      </c>
      <c r="J85" s="175">
        <f>H85/DAY(B2)</f>
        <v>12.135714285714291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'6'!F86</f>
        <v>42826.47</v>
      </c>
      <c r="F86" s="164">
        <v>42826.47</v>
      </c>
      <c r="G86" s="112">
        <f t="shared" si="8"/>
        <v>0</v>
      </c>
      <c r="H86" s="99">
        <f>G86+'6'!H86</f>
        <v>0.47000000000116415</v>
      </c>
      <c r="I86" s="118"/>
      <c r="J86" s="175">
        <f>H86/DAY(B2)</f>
        <v>6.7142857143023454E-2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'6'!F87</f>
        <v>34468.379999999997</v>
      </c>
      <c r="F87" s="164">
        <v>34492.47</v>
      </c>
      <c r="G87" s="112">
        <f t="shared" si="8"/>
        <v>24.090000000003783</v>
      </c>
      <c r="H87" s="99">
        <f>G87+'6'!H87</f>
        <v>72.069999999999709</v>
      </c>
      <c r="I87" s="118"/>
      <c r="J87" s="175">
        <f>H87/DAY(B2)</f>
        <v>10.295714285714244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'6'!F88</f>
        <v>23983.7</v>
      </c>
      <c r="F88" s="164">
        <v>23994.15</v>
      </c>
      <c r="G88" s="112">
        <f t="shared" si="8"/>
        <v>10.450000000000728</v>
      </c>
      <c r="H88" s="99">
        <f>G88+'6'!H88</f>
        <v>41.659999999999854</v>
      </c>
      <c r="I88" s="118">
        <f>G86+G87+G88</f>
        <v>34.540000000004511</v>
      </c>
      <c r="J88" s="175">
        <f>H88/DAY(B2)</f>
        <v>5.9514285714285506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'6'!F89</f>
        <v>25459.11</v>
      </c>
      <c r="F89" s="164">
        <v>25459.11</v>
      </c>
      <c r="G89" s="112">
        <f t="shared" si="8"/>
        <v>0</v>
      </c>
      <c r="H89" s="99">
        <f>G89+'6'!H89</f>
        <v>31.619999999998981</v>
      </c>
      <c r="I89" s="118"/>
      <c r="J89" s="175">
        <f>H89/DAY(B2)</f>
        <v>4.5171428571427112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'6'!F90</f>
        <v>70873.02</v>
      </c>
      <c r="F90" s="164">
        <v>70880.14</v>
      </c>
      <c r="G90" s="112">
        <f t="shared" si="8"/>
        <v>7.1199999999953434</v>
      </c>
      <c r="H90" s="99">
        <f>G90+'6'!H90</f>
        <v>51.869999999995343</v>
      </c>
      <c r="I90" s="118">
        <f>G89+G90</f>
        <v>7.1199999999953434</v>
      </c>
      <c r="J90" s="175">
        <f>H90/DAY(B2)</f>
        <v>7.4099999999993349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'6'!F91</f>
        <v>3226.32</v>
      </c>
      <c r="F91" s="122">
        <v>3226.32</v>
      </c>
      <c r="G91" s="112">
        <f t="shared" si="8"/>
        <v>0</v>
      </c>
      <c r="H91" s="99">
        <f>G91+'6'!H91</f>
        <v>0.32000000000016371</v>
      </c>
      <c r="I91" s="165"/>
      <c r="J91" s="175">
        <f>H91/DAY(B2)</f>
        <v>4.5714285714309098E-2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'6'!F92</f>
        <v>5161.2700000000004</v>
      </c>
      <c r="F92" s="122">
        <v>5172.71</v>
      </c>
      <c r="G92" s="112">
        <f t="shared" si="8"/>
        <v>11.4399999999996</v>
      </c>
      <c r="H92" s="99">
        <f>G92+'6'!H92</f>
        <v>76.8100000000004</v>
      </c>
      <c r="I92" s="165"/>
      <c r="J92" s="175">
        <f>H92/DAY(B2)</f>
        <v>10.972857142857199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6686.1800000001967</v>
      </c>
      <c r="H94" s="99">
        <f>G94+'6'!H94</f>
        <v>45235.600000000006</v>
      </c>
      <c r="I94" s="118"/>
      <c r="J94" s="175">
        <f>H94/DAY(B2)</f>
        <v>6462.2285714285726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0.26941413874415138</v>
      </c>
      <c r="H95" s="99">
        <f>G95+'6'!H95</f>
        <v>1.9445947343628684</v>
      </c>
      <c r="I95" s="167"/>
      <c r="J95" s="175">
        <f>H95/DAY(B2)</f>
        <v>0.27779924776612408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6499.3400000000256</v>
      </c>
      <c r="H96" s="99">
        <f>G96+'6'!H96</f>
        <v>41034.580000000045</v>
      </c>
      <c r="I96" s="118"/>
      <c r="J96" s="175">
        <f>H96/DAY(B2)</f>
        <v>5862.0828571428638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0.26188557420012148</v>
      </c>
      <c r="H97" s="99">
        <f>G97+'6'!H97</f>
        <v>1.757560422319107</v>
      </c>
      <c r="I97" s="167"/>
      <c r="J97" s="175">
        <f>H97/DAY(B2)</f>
        <v>0.25108006033130098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3056.679999999993</v>
      </c>
      <c r="H98" s="99">
        <f>G98+'6'!H98</f>
        <v>20317.619999999995</v>
      </c>
      <c r="I98" s="168"/>
      <c r="J98" s="175">
        <f>H98/DAY(B2)</f>
        <v>2902.5171428571421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0.1231664133505898</v>
      </c>
      <c r="H99" s="99">
        <f>G99+'6'!H99</f>
        <v>0.87442513953335743</v>
      </c>
      <c r="I99" s="168"/>
      <c r="J99" s="175">
        <f>H99/DAY(B2)</f>
        <v>0.12491787707619392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1948.2000000000116</v>
      </c>
      <c r="H100" s="99">
        <f>G100+'6'!H100</f>
        <v>13688.520000000019</v>
      </c>
      <c r="I100" s="118"/>
      <c r="J100" s="175">
        <f>H100/DAY(B2)</f>
        <v>1955.5028571428597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7.8501120984081102E-2</v>
      </c>
      <c r="H101" s="99">
        <f>G101+'6'!H101</f>
        <v>0.58926335444278388</v>
      </c>
      <c r="I101" s="168"/>
      <c r="J101" s="175">
        <f>H101/DAY(B2)</f>
        <v>8.4180479206111977E-2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2744.1699999999691</v>
      </c>
      <c r="H102" s="99">
        <f>G102+'6'!H102</f>
        <v>16729.820000000007</v>
      </c>
      <c r="I102" s="168"/>
      <c r="J102" s="175">
        <f>H102/DAY(B2)</f>
        <v>2389.9742857142869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0.11057407923769742</v>
      </c>
      <c r="H103" s="99">
        <f>G103+'6'!H103</f>
        <v>0.71973603337354985</v>
      </c>
      <c r="I103" s="118"/>
      <c r="J103" s="175">
        <f>H103/DAY(B2)</f>
        <v>0.10281943333907854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1673.2900000000081</v>
      </c>
      <c r="H104" s="99">
        <f>G104+'6'!H104</f>
        <v>11610.880000000005</v>
      </c>
      <c r="I104" s="118"/>
      <c r="J104" s="175">
        <f>H104/DAY(B2)</f>
        <v>1658.6971428571435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6.7423848029695574E-2</v>
      </c>
      <c r="H105" s="99">
        <f>G105+'6'!H105</f>
        <v>0.50027213862759234</v>
      </c>
      <c r="I105" s="187"/>
      <c r="J105" s="188">
        <f>H105/DAY(B2)</f>
        <v>7.1467448375370335E-2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'6'!F112</f>
        <v>53834</v>
      </c>
      <c r="F112" s="237">
        <v>53916.81</v>
      </c>
      <c r="G112" s="112">
        <f t="shared" ref="G112:G123" si="9">F112-E112</f>
        <v>82.809999999997672</v>
      </c>
      <c r="H112" s="99">
        <f>G112+'6'!H112</f>
        <v>564.79999999999563</v>
      </c>
      <c r="I112" s="165"/>
      <c r="J112" s="330">
        <f>H112/DAY(B2)</f>
        <v>80.685714285713658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'6'!F113</f>
        <v>20578.099999999999</v>
      </c>
      <c r="F113" s="237">
        <v>21049</v>
      </c>
      <c r="G113" s="112">
        <f t="shared" si="9"/>
        <v>470.90000000000146</v>
      </c>
      <c r="H113" s="99">
        <f>G113+'6'!H113</f>
        <v>3092.4700000000012</v>
      </c>
      <c r="I113" s="165"/>
      <c r="J113" s="330">
        <f>H113/DAY(B2)</f>
        <v>441.78142857142876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'6'!F114</f>
        <v>15764.3</v>
      </c>
      <c r="F114" s="237">
        <v>16267.09</v>
      </c>
      <c r="G114" s="112">
        <f t="shared" si="9"/>
        <v>502.79000000000087</v>
      </c>
      <c r="H114" s="99">
        <f>G114+'6'!H114</f>
        <v>2339.9899999999998</v>
      </c>
      <c r="I114" s="165"/>
      <c r="J114" s="330">
        <f>H114/DAY(B2)</f>
        <v>334.28428571428566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'6'!F115</f>
        <v>8500.2900000000009</v>
      </c>
      <c r="F115" s="237">
        <v>8508.06</v>
      </c>
      <c r="G115" s="112">
        <f t="shared" si="9"/>
        <v>7.7699999999986176</v>
      </c>
      <c r="H115" s="99">
        <f>G115+'6'!H115</f>
        <v>84.3799999999992</v>
      </c>
      <c r="I115" s="165"/>
      <c r="J115" s="330">
        <f>H115/DAY(B2)</f>
        <v>12.0542857142856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'6'!F117</f>
        <v>2061.58</v>
      </c>
      <c r="F117" s="237">
        <v>2080.48</v>
      </c>
      <c r="G117" s="112">
        <f t="shared" si="9"/>
        <v>18.900000000000091</v>
      </c>
      <c r="H117" s="99">
        <f>G117+'6'!H117</f>
        <v>139.40000000000009</v>
      </c>
      <c r="I117" s="165"/>
      <c r="J117" s="330">
        <f>H117/DAY(B2)</f>
        <v>19.914285714285729</v>
      </c>
      <c r="Q117" s="839" t="s">
        <v>312</v>
      </c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'6'!F118</f>
        <v>232093.21</v>
      </c>
      <c r="F118" s="237">
        <v>232498.79</v>
      </c>
      <c r="G118" s="112">
        <f t="shared" si="9"/>
        <v>405.5800000000163</v>
      </c>
      <c r="H118" s="99">
        <f>G118+'6'!H118</f>
        <v>2661.0599999999977</v>
      </c>
      <c r="I118" s="165"/>
      <c r="J118" s="330">
        <f>H118/DAY(B2)</f>
        <v>380.15142857142826</v>
      </c>
      <c r="Q118" s="839" t="s">
        <v>311</v>
      </c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'6'!F119</f>
        <v>234400.43</v>
      </c>
      <c r="F119" s="237">
        <v>234839.91</v>
      </c>
      <c r="G119" s="112">
        <f t="shared" si="9"/>
        <v>439.48000000001048</v>
      </c>
      <c r="H119" s="99">
        <f>G119+'6'!H119</f>
        <v>3113.3800000000047</v>
      </c>
      <c r="I119" s="165"/>
      <c r="J119" s="330">
        <f>H119/DAY(B2)</f>
        <v>444.7685714285721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'6'!F120</f>
        <v>19749.14</v>
      </c>
      <c r="F120" s="237">
        <v>20181.29</v>
      </c>
      <c r="G120" s="112">
        <f t="shared" si="9"/>
        <v>432.15000000000146</v>
      </c>
      <c r="H120" s="99">
        <f>G120+'6'!H120</f>
        <v>2995.9700000000012</v>
      </c>
      <c r="I120" s="165"/>
      <c r="J120" s="330">
        <f>H120/DAY(B2)</f>
        <v>427.99571428571443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'6'!F121</f>
        <v>357331.35</v>
      </c>
      <c r="F121" s="237">
        <v>358075.55</v>
      </c>
      <c r="G121" s="112">
        <f t="shared" si="9"/>
        <v>744.20000000001164</v>
      </c>
      <c r="H121" s="99">
        <f>G121+'6'!H121</f>
        <v>5021.320000000007</v>
      </c>
      <c r="I121" s="165"/>
      <c r="J121" s="330">
        <f>H121/DAY(B2)</f>
        <v>717.33142857142957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'6'!F122</f>
        <v>112933.6</v>
      </c>
      <c r="F122" s="237">
        <v>113265.06</v>
      </c>
      <c r="G122" s="112">
        <f t="shared" si="9"/>
        <v>331.45999999999185</v>
      </c>
      <c r="H122" s="99">
        <f>G122+'6'!H122</f>
        <v>2255.2700000000041</v>
      </c>
      <c r="I122" s="165"/>
      <c r="J122" s="330">
        <f>H122/DAY(B2)</f>
        <v>322.18142857142914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'6'!F123</f>
        <v>136207.71</v>
      </c>
      <c r="F123" s="237">
        <v>136518.39000000001</v>
      </c>
      <c r="G123" s="112">
        <f t="shared" si="9"/>
        <v>310.68000000002212</v>
      </c>
      <c r="H123" s="99">
        <f>G123+'6'!H123</f>
        <v>2152.390000000014</v>
      </c>
      <c r="I123" s="165"/>
      <c r="J123" s="330">
        <f>H123/DAY(B2)</f>
        <v>307.48428571428769</v>
      </c>
    </row>
    <row r="124" spans="1:18" ht="29.25" customHeight="1" x14ac:dyDescent="0.5">
      <c r="A124" s="864"/>
      <c r="B124" s="865"/>
      <c r="C124" s="866"/>
      <c r="D124" s="165"/>
      <c r="E124" s="165"/>
      <c r="F124" s="165"/>
      <c r="G124" s="329"/>
      <c r="H124" s="156"/>
      <c r="I124" s="165"/>
      <c r="J124" s="330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3746.7200000000526</v>
      </c>
      <c r="H125" s="156"/>
      <c r="I125" s="329">
        <f>G125-(G39+G53)</f>
        <v>690.04000000005954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G127+'6'!H127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'6'!F128</f>
        <v>29512.51</v>
      </c>
      <c r="F128" s="165">
        <v>29834.57</v>
      </c>
      <c r="G128" s="112">
        <f t="shared" ref="G128:G134" si="10">F128-E128</f>
        <v>322.06000000000131</v>
      </c>
      <c r="H128" s="99">
        <f>G128+'6'!H128</f>
        <v>2230.2000000000007</v>
      </c>
      <c r="I128" s="165"/>
      <c r="J128" s="330">
        <f>H128/DAY(B2)</f>
        <v>318.60000000000008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'6'!F129</f>
        <v>14375.62</v>
      </c>
      <c r="F129" s="165">
        <v>14647.62</v>
      </c>
      <c r="G129" s="112">
        <f t="shared" si="10"/>
        <v>272</v>
      </c>
      <c r="H129" s="99">
        <f>G129+'6'!H129</f>
        <v>1900.0300000000007</v>
      </c>
      <c r="I129" s="165"/>
      <c r="J129" s="330">
        <f>H129/DAY(B2)</f>
        <v>271.43285714285724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'6'!F130</f>
        <v>3723.48</v>
      </c>
      <c r="F130" s="165">
        <v>3982.65</v>
      </c>
      <c r="G130" s="112">
        <f t="shared" si="10"/>
        <v>259.17000000000007</v>
      </c>
      <c r="H130" s="99">
        <f>G130+'6'!H130</f>
        <v>1925.54</v>
      </c>
      <c r="I130" s="165"/>
      <c r="J130" s="330">
        <f>H130/DAY(B2)</f>
        <v>275.07714285714286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'6'!F131</f>
        <v>10121.629999999999</v>
      </c>
      <c r="F131" s="165">
        <v>10278.99</v>
      </c>
      <c r="G131" s="112">
        <f t="shared" si="10"/>
        <v>157.36000000000058</v>
      </c>
      <c r="H131" s="99">
        <f>G131+'6'!H131</f>
        <v>1109.6399999999994</v>
      </c>
      <c r="I131" s="165"/>
      <c r="J131" s="330">
        <f>H131/DAY(B2)</f>
        <v>158.51999999999992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'6'!F132</f>
        <v>28805.200000000001</v>
      </c>
      <c r="F132" s="165">
        <v>29217.14</v>
      </c>
      <c r="G132" s="112">
        <f t="shared" si="10"/>
        <v>411.93999999999869</v>
      </c>
      <c r="H132" s="99">
        <f>G132+'6'!H132</f>
        <v>3036.8999999999978</v>
      </c>
      <c r="I132" s="165"/>
      <c r="J132" s="330">
        <f>H132/DAY(B2)</f>
        <v>433.84285714285681</v>
      </c>
    </row>
    <row r="133" spans="1:15" ht="27.75" x14ac:dyDescent="0.5">
      <c r="A133" s="839" t="s">
        <v>323</v>
      </c>
      <c r="B133" s="840"/>
      <c r="C133" s="841"/>
      <c r="D133" s="151" t="s">
        <v>183</v>
      </c>
      <c r="E133" s="95">
        <f>'6'!F133</f>
        <v>68591.75</v>
      </c>
      <c r="F133" s="165">
        <v>69428.62</v>
      </c>
      <c r="G133" s="112">
        <f t="shared" si="10"/>
        <v>836.86999999999534</v>
      </c>
      <c r="H133" s="99">
        <f>G133+'6'!H133</f>
        <v>5954.1999999999971</v>
      </c>
      <c r="I133" s="165"/>
      <c r="J133" s="330">
        <f>H133/DAY(B2)</f>
        <v>850.59999999999957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'6'!F134</f>
        <v>654963</v>
      </c>
      <c r="F134" s="165">
        <v>655644</v>
      </c>
      <c r="G134" s="112">
        <f t="shared" si="10"/>
        <v>681</v>
      </c>
      <c r="H134" s="99">
        <f>G134+'6'!H134</f>
        <v>4385</v>
      </c>
      <c r="I134" s="165"/>
      <c r="J134" s="330">
        <f>H134/DAY(B2)</f>
        <v>626.42857142857144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2940.399999999996</v>
      </c>
      <c r="H135" s="99">
        <f>G135+'6'!H135</f>
        <v>20541.509999999995</v>
      </c>
      <c r="I135" s="329">
        <f>G135-(G35+G49)</f>
        <v>-803.58000000001448</v>
      </c>
      <c r="J135" s="330" t="e">
        <f t="shared" ref="J135" si="11">H135/DAY(B54)</f>
        <v>#DIV/0!</v>
      </c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'6'!F138</f>
        <v>861535</v>
      </c>
      <c r="F138" s="147">
        <v>861580</v>
      </c>
      <c r="G138" s="112">
        <f t="shared" ref="G138:G152" si="12">F138-E138</f>
        <v>45</v>
      </c>
      <c r="H138" s="99">
        <f>G138+'6'!H138</f>
        <v>318</v>
      </c>
      <c r="I138" s="118"/>
      <c r="J138" s="330">
        <f>H138/DAY(B2)</f>
        <v>45.428571428571431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'6'!F139</f>
        <v>886265</v>
      </c>
      <c r="F139" s="148">
        <v>886277</v>
      </c>
      <c r="G139" s="112">
        <f t="shared" si="12"/>
        <v>12</v>
      </c>
      <c r="H139" s="99">
        <f>G139+'6'!H139</f>
        <v>78</v>
      </c>
      <c r="I139" s="118"/>
      <c r="J139" s="330">
        <f>H139/DAY(B2)</f>
        <v>11.142857142857142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'6'!F140</f>
        <v>88860.800000000003</v>
      </c>
      <c r="F140" s="149">
        <v>88862.2</v>
      </c>
      <c r="G140" s="112">
        <f t="shared" si="12"/>
        <v>1.3999999999941792</v>
      </c>
      <c r="H140" s="99">
        <f>G140+'6'!H140</f>
        <v>13.19999999999709</v>
      </c>
      <c r="I140" s="118"/>
      <c r="J140" s="330">
        <f>H140/DAY(B2)</f>
        <v>1.88571428571387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'6'!F141</f>
        <v>44301.45</v>
      </c>
      <c r="F141" s="149">
        <v>44503.31</v>
      </c>
      <c r="G141" s="112">
        <f t="shared" si="12"/>
        <v>201.86000000000058</v>
      </c>
      <c r="H141" s="99">
        <f>G141+'6'!H141</f>
        <v>1376.5799999999945</v>
      </c>
      <c r="I141" s="118"/>
      <c r="J141" s="330">
        <f>H141/DAY(B2)</f>
        <v>196.65428571428492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'6'!F142</f>
        <v>17565.52</v>
      </c>
      <c r="F142" s="148">
        <v>17582</v>
      </c>
      <c r="G142" s="112">
        <f t="shared" si="12"/>
        <v>16.479999999999563</v>
      </c>
      <c r="H142" s="99">
        <f>G142+'6'!H142</f>
        <v>121.5</v>
      </c>
      <c r="I142" s="140"/>
      <c r="J142" s="330">
        <f>H142/DAY(B2)</f>
        <v>17.357142857142858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'6'!F143</f>
        <v>2375.5700000000002</v>
      </c>
      <c r="F143" s="149">
        <v>2407.65</v>
      </c>
      <c r="G143" s="112">
        <f t="shared" si="12"/>
        <v>32.079999999999927</v>
      </c>
      <c r="H143" s="99">
        <f>G143+'6'!H143</f>
        <v>206.25</v>
      </c>
      <c r="I143" s="140"/>
      <c r="J143" s="330">
        <f>H143/DAY(B2)</f>
        <v>29.464285714285715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'6'!F144</f>
        <v>863764</v>
      </c>
      <c r="F144" s="149">
        <v>863993</v>
      </c>
      <c r="G144" s="112">
        <f t="shared" si="12"/>
        <v>229</v>
      </c>
      <c r="H144" s="99">
        <f>G144+'6'!H144</f>
        <v>1598</v>
      </c>
      <c r="I144" s="140"/>
      <c r="J144" s="330">
        <f>H144/DAY(B2)</f>
        <v>228.28571428571428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'6'!F145</f>
        <v>3686.32</v>
      </c>
      <c r="F145" s="149">
        <v>3729.56</v>
      </c>
      <c r="G145" s="112">
        <f t="shared" si="12"/>
        <v>43.239999999999782</v>
      </c>
      <c r="H145" s="99">
        <f>G145+'6'!H145</f>
        <v>310.55999999999995</v>
      </c>
      <c r="I145" s="140"/>
      <c r="J145" s="330">
        <f>H145/DAY(B2)</f>
        <v>44.365714285714276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'6'!F146</f>
        <v>713191</v>
      </c>
      <c r="F146" s="148">
        <v>713637</v>
      </c>
      <c r="G146" s="112">
        <f t="shared" si="12"/>
        <v>446</v>
      </c>
      <c r="H146" s="99">
        <f>G146+'6'!H146</f>
        <v>2752</v>
      </c>
      <c r="I146" s="140"/>
      <c r="J146" s="330">
        <f>H146/DAY(B2)</f>
        <v>393.14285714285717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'6'!F147</f>
        <v>604609.64</v>
      </c>
      <c r="F147" s="148">
        <v>605102.28</v>
      </c>
      <c r="G147" s="112">
        <f t="shared" si="12"/>
        <v>492.64000000001397</v>
      </c>
      <c r="H147" s="99">
        <f>G147+'6'!H147</f>
        <v>3117.2399999999907</v>
      </c>
      <c r="I147" s="140"/>
      <c r="J147" s="330">
        <f>H147/DAY(B2)</f>
        <v>445.31999999999869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'6'!F148</f>
        <v>675382.48</v>
      </c>
      <c r="F148" s="150">
        <v>675744.08</v>
      </c>
      <c r="G148" s="112">
        <f t="shared" si="12"/>
        <v>361.59999999997672</v>
      </c>
      <c r="H148" s="99">
        <f>G148+'6'!H148</f>
        <v>1954.3999999999069</v>
      </c>
      <c r="I148" s="124"/>
      <c r="J148" s="330">
        <f>H148/DAY(B2)</f>
        <v>279.19999999998669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'6'!F149</f>
        <v>97443</v>
      </c>
      <c r="F149" s="146">
        <v>97827</v>
      </c>
      <c r="G149" s="112">
        <f t="shared" si="12"/>
        <v>384</v>
      </c>
      <c r="H149" s="99">
        <f>G149+'6'!H149</f>
        <v>2805</v>
      </c>
      <c r="I149" s="119"/>
      <c r="J149" s="330">
        <f>H149/DAY(B2)</f>
        <v>400.71428571428572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'6'!F150</f>
        <v>7167232</v>
      </c>
      <c r="F150" s="233">
        <v>7167232</v>
      </c>
      <c r="G150" s="112">
        <f t="shared" si="12"/>
        <v>0</v>
      </c>
      <c r="H150" s="99">
        <f>G150+'6'!H150</f>
        <v>0</v>
      </c>
      <c r="I150" s="119"/>
      <c r="J150" s="330">
        <f>H150/DAY(B2)</f>
        <v>0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'6'!F151</f>
        <v>72297</v>
      </c>
      <c r="F151" s="233">
        <v>72539</v>
      </c>
      <c r="G151" s="112">
        <f t="shared" si="12"/>
        <v>242</v>
      </c>
      <c r="H151" s="99">
        <f>G151+'6'!H151</f>
        <v>1817</v>
      </c>
      <c r="I151" s="119"/>
      <c r="J151" s="330">
        <f>H151/DAY(B2)</f>
        <v>259.57142857142856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'6'!F152</f>
        <v>0</v>
      </c>
      <c r="F152" s="233">
        <v>0</v>
      </c>
      <c r="G152" s="112">
        <f t="shared" si="12"/>
        <v>0</v>
      </c>
      <c r="H152" s="99">
        <f>G152+'6'!H152</f>
        <v>0</v>
      </c>
      <c r="I152" s="119"/>
      <c r="J152" s="330">
        <f>H152/DAY(B2)</f>
        <v>0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2507.2999999999847</v>
      </c>
      <c r="H153" s="365"/>
      <c r="I153" s="119" t="s">
        <v>207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'6'!F155</f>
        <v>77565.8</v>
      </c>
      <c r="F155" s="376">
        <v>77574.399999999994</v>
      </c>
      <c r="G155" s="112">
        <f t="shared" ref="G155:G156" si="13">F155-E155</f>
        <v>8.5999999999912689</v>
      </c>
      <c r="H155" s="99">
        <f>G155+'6'!H155</f>
        <v>50.399999999994179</v>
      </c>
      <c r="I155" s="366"/>
      <c r="J155" s="330">
        <f>H155/DAY(B2)</f>
        <v>7.1999999999991688</v>
      </c>
    </row>
    <row r="156" spans="1:10" ht="27.75" x14ac:dyDescent="0.5">
      <c r="A156" s="838" t="s">
        <v>346</v>
      </c>
      <c r="B156" s="838"/>
      <c r="C156" s="838"/>
      <c r="D156" s="117" t="s">
        <v>130</v>
      </c>
      <c r="E156" s="95">
        <f>'6'!F156</f>
        <v>0</v>
      </c>
      <c r="F156" s="165">
        <v>0</v>
      </c>
      <c r="G156" s="112">
        <f t="shared" si="13"/>
        <v>0</v>
      </c>
      <c r="H156" s="99">
        <f>G156+'6'!H156</f>
        <v>0</v>
      </c>
      <c r="I156" s="165"/>
      <c r="J156" s="330">
        <f>H156/DAY(B2)</f>
        <v>0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/>
      <c r="F157" s="165"/>
      <c r="G157" s="112"/>
      <c r="H157" s="99"/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/>
      <c r="F158" s="165"/>
      <c r="G158" s="112"/>
      <c r="H158" s="99"/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471064.2</v>
      </c>
      <c r="F161" s="235">
        <v>471087.72</v>
      </c>
      <c r="G161" s="238">
        <f t="shared" ref="G161:G165" si="14">F161-E161</f>
        <v>23.519999999960419</v>
      </c>
      <c r="H161" s="99">
        <f>G161+'6'!H161</f>
        <v>111.59999999997672</v>
      </c>
      <c r="I161" s="236"/>
      <c r="J161" s="239">
        <f>H161/DAY(B2)</f>
        <v>15.942857142853816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86844.5</v>
      </c>
      <c r="F162" s="235">
        <v>86880.7</v>
      </c>
      <c r="G162" s="238">
        <f t="shared" si="14"/>
        <v>36.19999999999709</v>
      </c>
      <c r="H162" s="99">
        <f>G162+'6'!H162</f>
        <v>279</v>
      </c>
      <c r="I162" s="236"/>
      <c r="J162" s="239">
        <f>H162/DAY(B2)</f>
        <v>39.857142857142854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75998.100000000006</v>
      </c>
      <c r="F163" s="235">
        <v>76104</v>
      </c>
      <c r="G163" s="238">
        <f t="shared" si="14"/>
        <v>105.89999999999418</v>
      </c>
      <c r="H163" s="99">
        <f>G163+'6'!H163</f>
        <v>644.19999999999709</v>
      </c>
      <c r="I163" s="236"/>
      <c r="J163" s="239">
        <f>H163/DAY(B2)</f>
        <v>92.028571428571013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4129.3</v>
      </c>
      <c r="F164" s="235">
        <v>4135</v>
      </c>
      <c r="G164" s="238">
        <f t="shared" si="14"/>
        <v>5.6999999999998181</v>
      </c>
      <c r="H164" s="99">
        <f>G164+'6'!H164</f>
        <v>37.100000000000364</v>
      </c>
      <c r="I164" s="236"/>
      <c r="J164" s="239">
        <f>H164/DAY(B2)</f>
        <v>5.3000000000000522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29473.83</v>
      </c>
      <c r="F165" s="235">
        <v>29482.51</v>
      </c>
      <c r="G165" s="238">
        <f t="shared" si="14"/>
        <v>8.6799999999966531</v>
      </c>
      <c r="H165" s="99">
        <f>G165+'6'!H165</f>
        <v>53.578799999999319</v>
      </c>
      <c r="I165" s="236"/>
      <c r="J165" s="239">
        <f>H165/DAY(B2)</f>
        <v>7.6541142857141882</v>
      </c>
    </row>
    <row r="166" spans="1:10" ht="25.5" customHeight="1" x14ac:dyDescent="0.5">
      <c r="A166" s="870"/>
      <c r="B166" s="870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'6'!F173</f>
        <v>8107</v>
      </c>
      <c r="F173" s="155">
        <v>8107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'6'!F174</f>
        <v>37902</v>
      </c>
      <c r="F174" s="157">
        <v>37918</v>
      </c>
      <c r="G174" s="155">
        <f t="shared" ref="G174:G175" si="15">F174-E174</f>
        <v>16</v>
      </c>
      <c r="H174" s="99">
        <f>G174+'6'!H174</f>
        <v>110</v>
      </c>
      <c r="I174" s="155"/>
      <c r="J174" s="178">
        <f>H174/DAY(B2)</f>
        <v>15.714285714285714</v>
      </c>
    </row>
    <row r="175" spans="1:10" ht="27.75" x14ac:dyDescent="0.5">
      <c r="A175" s="831" t="s">
        <v>76</v>
      </c>
      <c r="B175" s="833"/>
      <c r="C175" s="832"/>
      <c r="D175" s="228" t="s">
        <v>142</v>
      </c>
      <c r="E175" s="95">
        <f>'6'!F175</f>
        <v>21211</v>
      </c>
      <c r="F175" s="155">
        <v>21223</v>
      </c>
      <c r="G175" s="155">
        <f t="shared" si="15"/>
        <v>12</v>
      </c>
      <c r="H175" s="99">
        <f>G175+'6'!H175</f>
        <v>86</v>
      </c>
      <c r="I175" s="155"/>
      <c r="J175" s="178">
        <f>H175/DAY(B2)</f>
        <v>12.285714285714286</v>
      </c>
    </row>
    <row r="176" spans="1:10" ht="27.75" x14ac:dyDescent="0.5">
      <c r="A176" s="645" t="s">
        <v>196</v>
      </c>
      <c r="B176" s="646"/>
      <c r="C176" s="335"/>
      <c r="D176" s="228" t="s">
        <v>142</v>
      </c>
      <c r="E176" s="95"/>
      <c r="F176" s="155"/>
      <c r="G176" s="155">
        <f>SUM(G173:G175)</f>
        <v>28</v>
      </c>
      <c r="H176" s="99">
        <f>G176+'6'!H176</f>
        <v>196</v>
      </c>
      <c r="I176" s="155"/>
      <c r="J176" s="178">
        <f>H176/DAY(B2)</f>
        <v>28</v>
      </c>
    </row>
    <row r="177" spans="1:10" ht="27.75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831" t="s">
        <v>210</v>
      </c>
      <c r="B178" s="832"/>
      <c r="C178" s="335"/>
      <c r="D178" s="228" t="s">
        <v>142</v>
      </c>
      <c r="E178" s="95">
        <f>'6'!F178</f>
        <v>77794</v>
      </c>
      <c r="F178" s="155">
        <v>77868</v>
      </c>
      <c r="G178" s="155">
        <f>F178-E178</f>
        <v>74</v>
      </c>
      <c r="H178" s="99">
        <f>G178+'6'!H178</f>
        <v>516</v>
      </c>
      <c r="I178" s="155"/>
      <c r="J178" s="178">
        <f>H178/DAY(B2)</f>
        <v>73.714285714285708</v>
      </c>
    </row>
    <row r="179" spans="1:10" ht="27.75" x14ac:dyDescent="0.5">
      <c r="A179" s="831" t="s">
        <v>211</v>
      </c>
      <c r="B179" s="832"/>
      <c r="C179" s="335"/>
      <c r="D179" s="228" t="s">
        <v>142</v>
      </c>
      <c r="E179" s="95">
        <f>'6'!F179</f>
        <v>33886</v>
      </c>
      <c r="F179" s="155">
        <v>33886</v>
      </c>
      <c r="G179" s="155">
        <f t="shared" ref="G179:G180" si="16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'6'!F180</f>
        <v>5309</v>
      </c>
      <c r="F180" s="155">
        <v>5313</v>
      </c>
      <c r="G180" s="155">
        <f t="shared" si="16"/>
        <v>4</v>
      </c>
      <c r="H180" s="99">
        <f>G180+'6'!H180</f>
        <v>40</v>
      </c>
      <c r="I180" s="155"/>
      <c r="J180" s="178">
        <f>H180/DAY(B2)</f>
        <v>5.7142857142857144</v>
      </c>
    </row>
    <row r="181" spans="1:10" ht="27.75" x14ac:dyDescent="0.5">
      <c r="A181" s="872" t="s">
        <v>108</v>
      </c>
      <c r="B181" s="873"/>
      <c r="C181" s="335"/>
      <c r="D181" s="228" t="s">
        <v>142</v>
      </c>
      <c r="E181" s="95"/>
      <c r="F181" s="155"/>
      <c r="G181" s="155">
        <f>SUM(G178:G180)</f>
        <v>78</v>
      </c>
      <c r="H181" s="99">
        <f>G181+'6'!H181</f>
        <v>556</v>
      </c>
      <c r="I181" s="155"/>
      <c r="J181" s="178">
        <f>H181/DAY(B2)</f>
        <v>79.428571428571431</v>
      </c>
    </row>
    <row r="182" spans="1:10" ht="27.75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'6'!F183</f>
        <v>14593</v>
      </c>
      <c r="F183" s="157">
        <v>14605</v>
      </c>
      <c r="G183" s="157">
        <f>F183-E183</f>
        <v>12</v>
      </c>
      <c r="H183" s="99">
        <f>G183+'6'!H183</f>
        <v>109</v>
      </c>
      <c r="I183" s="155"/>
      <c r="J183" s="178">
        <f>H183/DAY(B2)</f>
        <v>15.571428571428571</v>
      </c>
    </row>
    <row r="184" spans="1:10" ht="27.75" x14ac:dyDescent="0.5">
      <c r="A184" s="831" t="s">
        <v>215</v>
      </c>
      <c r="B184" s="832"/>
      <c r="C184" s="336"/>
      <c r="D184" s="228" t="s">
        <v>142</v>
      </c>
      <c r="E184" s="95">
        <f>'6'!F184</f>
        <v>10083</v>
      </c>
      <c r="F184" s="157">
        <v>10089</v>
      </c>
      <c r="G184" s="157">
        <f t="shared" ref="G184:G185" si="17">F184-E184</f>
        <v>6</v>
      </c>
      <c r="H184" s="99">
        <f>G184+'6'!H184</f>
        <v>58</v>
      </c>
      <c r="I184" s="155"/>
      <c r="J184" s="178">
        <f>H184/DAY(B2)</f>
        <v>8.2857142857142865</v>
      </c>
    </row>
    <row r="185" spans="1:10" ht="27.75" x14ac:dyDescent="0.5">
      <c r="A185" s="831" t="s">
        <v>216</v>
      </c>
      <c r="B185" s="832"/>
      <c r="C185" s="336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867" t="s">
        <v>196</v>
      </c>
      <c r="B186" s="868"/>
      <c r="C186" s="336"/>
      <c r="D186" s="228" t="s">
        <v>142</v>
      </c>
      <c r="E186" s="95"/>
      <c r="F186" s="157"/>
      <c r="G186" s="157">
        <f>SUM(G183:G185)</f>
        <v>18</v>
      </c>
      <c r="H186" s="99">
        <f>G186+'6'!H186</f>
        <v>167</v>
      </c>
      <c r="I186" s="157"/>
      <c r="J186" s="178">
        <f>H186/DAY(B2)</f>
        <v>23.857142857142858</v>
      </c>
    </row>
    <row r="187" spans="1:10" ht="27.75" x14ac:dyDescent="0.5">
      <c r="A187" s="876" t="s">
        <v>217</v>
      </c>
      <c r="B187" s="877"/>
      <c r="C187" s="335"/>
      <c r="D187" s="228" t="s">
        <v>142</v>
      </c>
      <c r="E187" s="95"/>
      <c r="F187" s="159"/>
      <c r="G187" s="506">
        <f>G62+G19</f>
        <v>156</v>
      </c>
      <c r="H187" s="99">
        <f>G187+'6'!H187</f>
        <v>1187</v>
      </c>
      <c r="I187" s="158"/>
      <c r="J187" s="179">
        <f>H187/DAY(B2)</f>
        <v>169.57142857142858</v>
      </c>
    </row>
    <row r="188" spans="1:10" ht="27.75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173</v>
      </c>
      <c r="H188" s="99">
        <f>G188+'6'!H188</f>
        <v>1195</v>
      </c>
      <c r="I188" s="158"/>
      <c r="J188" s="179">
        <f>H188/DAY(B2)</f>
        <v>170.71428571428572</v>
      </c>
    </row>
    <row r="189" spans="1:10" ht="27.75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78</v>
      </c>
      <c r="H189" s="99">
        <f>G189+'6'!H189</f>
        <v>556</v>
      </c>
      <c r="I189" s="158"/>
      <c r="J189" s="179">
        <f>H189/DAY(B2)</f>
        <v>79.428571428571431</v>
      </c>
    </row>
    <row r="190" spans="1:10" ht="27.75" x14ac:dyDescent="0.5">
      <c r="A190" s="802"/>
      <c r="B190" s="803"/>
      <c r="C190" s="519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58" zoomScale="55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356</v>
      </c>
      <c r="B2" s="262">
        <v>44538</v>
      </c>
      <c r="C2" s="350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563729.03</v>
      </c>
      <c r="F7" s="95">
        <v>587875.67000000004</v>
      </c>
      <c r="G7" s="112">
        <f>F7-E7</f>
        <v>24146.640000000014</v>
      </c>
      <c r="H7" s="99">
        <f>G7+'7'!H7</f>
        <v>187033.67000000004</v>
      </c>
      <c r="I7" s="113">
        <f>'1'!I7</f>
        <v>12000</v>
      </c>
      <c r="J7" s="175">
        <f>H7/DAY(B2)</f>
        <v>23379.208750000005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602612.55000000005</v>
      </c>
      <c r="F8" s="114">
        <v>627354.87</v>
      </c>
      <c r="G8" s="115">
        <f>F8-E8</f>
        <v>24742.319999999949</v>
      </c>
      <c r="H8" s="99">
        <f>G8+'7'!H8</f>
        <v>189059.87</v>
      </c>
      <c r="I8" s="116"/>
      <c r="J8" s="175">
        <f>H8/DAY(B2)</f>
        <v>23632.483749999999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1840252.9</v>
      </c>
      <c r="F9" s="117">
        <v>1856028.1</v>
      </c>
      <c r="G9" s="112">
        <f>F9-E9</f>
        <v>15775.200000000186</v>
      </c>
      <c r="H9" s="99">
        <f>G9+'7'!H9</f>
        <v>136930.40000000014</v>
      </c>
      <c r="I9" s="124">
        <f>I7-J7</f>
        <v>-11379.208750000005</v>
      </c>
      <c r="J9" s="175">
        <f>H9/DAY(B2)</f>
        <v>17116.300000000017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443323.75</v>
      </c>
      <c r="F10" s="117">
        <v>451045.71</v>
      </c>
      <c r="G10" s="112">
        <f t="shared" ref="G10:G12" si="0">F10-E10</f>
        <v>7721.960000000021</v>
      </c>
      <c r="H10" s="99">
        <f>G10+'7'!H10</f>
        <v>44963.280000000028</v>
      </c>
      <c r="I10" s="282"/>
      <c r="J10" s="175">
        <f>H10/DAY(B2)</f>
        <v>5620.4100000000035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23497.160000000207</v>
      </c>
      <c r="H13" s="99">
        <f>G13+'7'!H13</f>
        <v>159842.81000000011</v>
      </c>
      <c r="I13" s="120">
        <f>G7-G13</f>
        <v>649.47999999980675</v>
      </c>
      <c r="J13" s="175">
        <f>H13/DAY(B2)</f>
        <v>19980.351250000014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'7'!F15</f>
        <v>1851163.43</v>
      </c>
      <c r="F15" s="123">
        <v>1852410.8</v>
      </c>
      <c r="G15" s="112">
        <f>(F15-E15)</f>
        <v>1247.3700000001118</v>
      </c>
      <c r="H15" s="99">
        <f>G15+'7'!H15</f>
        <v>9262.8000000000466</v>
      </c>
      <c r="I15" s="113">
        <f>'1'!I15</f>
        <v>800</v>
      </c>
      <c r="J15" s="175">
        <f>H15/DAY(B2)</f>
        <v>1157.8500000000058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-357.85000000000582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'7'!F18</f>
        <v>18</v>
      </c>
      <c r="F18" s="122">
        <v>22</v>
      </c>
      <c r="G18" s="119">
        <f>F18*10</f>
        <v>220</v>
      </c>
      <c r="H18" s="99">
        <f>G18+'7'!H18</f>
        <v>1590</v>
      </c>
      <c r="I18" s="113">
        <f>'1'!I18</f>
        <v>65</v>
      </c>
      <c r="J18" s="175">
        <f>H18/DAY(B2)</f>
        <v>198.75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'7'!F19</f>
        <v>150958</v>
      </c>
      <c r="F19" s="122">
        <v>151011</v>
      </c>
      <c r="G19" s="112">
        <f t="shared" ref="G19" si="1">F19-E19</f>
        <v>53</v>
      </c>
      <c r="H19" s="99">
        <f>G19+'7'!H19</f>
        <v>427</v>
      </c>
      <c r="I19" s="337"/>
      <c r="J19" s="175">
        <f>H19/DAY(B2)</f>
        <v>53.375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273</v>
      </c>
      <c r="H20" s="99">
        <f>G20+'7'!H20</f>
        <v>2017</v>
      </c>
      <c r="I20" s="338">
        <f>I18-J20</f>
        <v>-187.125</v>
      </c>
      <c r="J20" s="175">
        <f>H20/DAY(B2)</f>
        <v>252.125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24742.319999999949</v>
      </c>
      <c r="F27" s="136">
        <v>9</v>
      </c>
      <c r="G27" s="137">
        <f>E27*F27</f>
        <v>222680.87999999954</v>
      </c>
      <c r="H27" s="99">
        <f>G27+'7'!H27</f>
        <v>1701538.83</v>
      </c>
      <c r="I27" s="138"/>
      <c r="J27" s="175">
        <f>H27/DAY(B2)</f>
        <v>212692.35375000001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1247.3700000001118</v>
      </c>
      <c r="F28" s="136">
        <v>52</v>
      </c>
      <c r="G28" s="137">
        <f>E28*F28</f>
        <v>64863.240000005811</v>
      </c>
      <c r="H28" s="99">
        <f>G28+'7'!H28</f>
        <v>481665.60000000242</v>
      </c>
      <c r="I28" s="140"/>
      <c r="J28" s="175">
        <f>H28/DAY(B2)</f>
        <v>60208.200000000303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G30+'7'!H30</f>
        <v>62342</v>
      </c>
      <c r="I30" s="140"/>
      <c r="J30" s="175">
        <f>H30/DAY(B2)</f>
        <v>7792.75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G31+'7'!H31</f>
        <v>127200</v>
      </c>
      <c r="I31" s="140"/>
      <c r="J31" s="175">
        <f>H31/DAY(B2)</f>
        <v>15900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312882.12000000535</v>
      </c>
      <c r="H32" s="99">
        <f>G32+'7'!H32</f>
        <v>2372746.4300000025</v>
      </c>
      <c r="I32" s="144"/>
      <c r="J32" s="175">
        <f>H32/DAY(B2)</f>
        <v>296593.30375000031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108127.63</v>
      </c>
      <c r="F35" s="145">
        <v>110309.3</v>
      </c>
      <c r="G35" s="112">
        <f t="shared" ref="G35:G46" si="3">F35-E35</f>
        <v>2181.6699999999983</v>
      </c>
      <c r="H35" s="99">
        <f>G35+'7'!H35</f>
        <v>16774.669999999998</v>
      </c>
      <c r="I35" s="95"/>
      <c r="J35" s="175">
        <f>H35/DAY(B2)</f>
        <v>2096.8337499999998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86235.76</v>
      </c>
      <c r="F36" s="145">
        <v>87490.32</v>
      </c>
      <c r="G36" s="112">
        <f t="shared" si="3"/>
        <v>1254.5600000000122</v>
      </c>
      <c r="H36" s="99">
        <f>G36+'7'!H36</f>
        <v>8026.6200000000099</v>
      </c>
      <c r="I36" s="95"/>
      <c r="J36" s="175">
        <f>H36/DAY(B2)</f>
        <v>1003.3275000000012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157117.62</v>
      </c>
      <c r="F37" s="145">
        <v>158769.92000000001</v>
      </c>
      <c r="G37" s="112">
        <f t="shared" si="3"/>
        <v>1652.3000000000175</v>
      </c>
      <c r="H37" s="99">
        <f>G37+'7'!H37</f>
        <v>13263.180000000022</v>
      </c>
      <c r="I37" s="95"/>
      <c r="J37" s="175">
        <f>H37/DAY(B2)</f>
        <v>1657.8975000000028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184692.57</v>
      </c>
      <c r="F38" s="108">
        <v>186634.77</v>
      </c>
      <c r="G38" s="112">
        <f t="shared" si="3"/>
        <v>1942.1999999999825</v>
      </c>
      <c r="H38" s="99">
        <f>G38+'7'!H38</f>
        <v>15630.720000000001</v>
      </c>
      <c r="I38" s="95"/>
      <c r="J38" s="175">
        <f>H38/DAY(B2)</f>
        <v>1953.8400000000001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341980.91</v>
      </c>
      <c r="F39" s="145">
        <v>344835.23</v>
      </c>
      <c r="G39" s="112">
        <f t="shared" si="3"/>
        <v>2854.320000000007</v>
      </c>
      <c r="H39" s="99">
        <f>G39+'7'!H39</f>
        <v>23171.940000000002</v>
      </c>
      <c r="I39" s="95"/>
      <c r="J39" s="175">
        <f>H39/DAY(B2)</f>
        <v>2896.4925000000003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115.06</v>
      </c>
      <c r="F40" s="145">
        <v>116.03</v>
      </c>
      <c r="G40" s="112">
        <f t="shared" si="3"/>
        <v>0.96999999999999886</v>
      </c>
      <c r="H40" s="99">
        <f>G40+'7'!H40</f>
        <v>4.8100000000000023</v>
      </c>
      <c r="I40" s="95"/>
      <c r="J40" s="175">
        <f>H40/DAY(B2)</f>
        <v>0.60125000000000028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599900.39</v>
      </c>
      <c r="F41" s="145">
        <v>599900.39</v>
      </c>
      <c r="G41" s="112">
        <f t="shared" si="3"/>
        <v>0</v>
      </c>
      <c r="H41" s="99">
        <f>G41+'7'!H41</f>
        <v>9386.6800000000512</v>
      </c>
      <c r="I41" s="95"/>
      <c r="J41" s="175">
        <f>H41/DAY(B2)</f>
        <v>1173.3350000000064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332979.51</v>
      </c>
      <c r="F42" s="145">
        <v>334487.69</v>
      </c>
      <c r="G42" s="112">
        <f t="shared" si="3"/>
        <v>1508.179999999993</v>
      </c>
      <c r="H42" s="99">
        <f>G42+'7'!H42</f>
        <v>18433.700000000012</v>
      </c>
      <c r="I42" s="95"/>
      <c r="J42" s="175">
        <f>H42/DAY(B2)</f>
        <v>2304.2125000000015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1547120.6</v>
      </c>
      <c r="F43" s="145">
        <v>1550111.5</v>
      </c>
      <c r="G43" s="112">
        <f t="shared" si="3"/>
        <v>2990.8999999999069</v>
      </c>
      <c r="H43" s="99">
        <f>G43+'7'!H43</f>
        <v>21512.899999999907</v>
      </c>
      <c r="I43" s="95"/>
      <c r="J43" s="175">
        <f>H43/DAY(B2)</f>
        <v>2689.1124999999884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14385.099999999917</v>
      </c>
      <c r="H47" s="99">
        <f>G47+'7'!H47</f>
        <v>126205.22000000002</v>
      </c>
      <c r="I47" s="95"/>
      <c r="J47" s="175">
        <f>H47/DAY(B2)</f>
        <v>15775.652500000002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232633.93</v>
      </c>
      <c r="F49" s="145">
        <v>234401.13</v>
      </c>
      <c r="G49" s="112">
        <f t="shared" ref="G49:G58" si="4">F49-E49</f>
        <v>1767.2000000000116</v>
      </c>
      <c r="H49" s="99">
        <f>G49+'7'!H49</f>
        <v>13887.800000000017</v>
      </c>
      <c r="I49" s="95"/>
      <c r="J49" s="175">
        <f>H49/DAY(B2)</f>
        <v>1735.9750000000022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733180.95</v>
      </c>
      <c r="F50" s="145">
        <v>734501.59</v>
      </c>
      <c r="G50" s="112">
        <f t="shared" si="4"/>
        <v>1320.640000000014</v>
      </c>
      <c r="H50" s="99">
        <f>G50+'7'!H50</f>
        <v>11278.400000000023</v>
      </c>
      <c r="I50" s="95"/>
      <c r="J50" s="175">
        <f>H50/DAY(B2)</f>
        <v>1409.8000000000029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3077.47</v>
      </c>
      <c r="F54" s="145">
        <v>3081.94</v>
      </c>
      <c r="G54" s="112">
        <f t="shared" si="4"/>
        <v>4.4700000000002547</v>
      </c>
      <c r="H54" s="99">
        <f>G54+'7'!H54</f>
        <v>50.659999999999854</v>
      </c>
      <c r="I54" s="95"/>
      <c r="J54" s="175">
        <f>H54/DAY(B2)</f>
        <v>6.3324999999999818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0</v>
      </c>
      <c r="F55" s="145">
        <v>0</v>
      </c>
      <c r="G55" s="112">
        <f t="shared" si="4"/>
        <v>0</v>
      </c>
      <c r="H55" s="99">
        <f>G55+'7'!H55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205237.33</v>
      </c>
      <c r="F56" s="145">
        <v>209760.13</v>
      </c>
      <c r="G56" s="112">
        <f t="shared" si="4"/>
        <v>4522.8000000000175</v>
      </c>
      <c r="H56" s="99">
        <f>G56+'7'!H56</f>
        <v>19245.179999999993</v>
      </c>
      <c r="I56" s="95"/>
      <c r="J56" s="175">
        <f>H56/DAY(B2)</f>
        <v>2405.6474999999991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86872.59</v>
      </c>
      <c r="F58" s="145">
        <v>87117.13</v>
      </c>
      <c r="G58" s="112">
        <f t="shared" si="4"/>
        <v>244.54000000000815</v>
      </c>
      <c r="H58" s="99">
        <f>G58+'7'!H58</f>
        <v>1792.2799999999988</v>
      </c>
      <c r="I58" s="95"/>
      <c r="J58" s="175">
        <f>H58/DAY(B2)</f>
        <v>224.03499999999985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7859.6500000000515</v>
      </c>
      <c r="H59" s="99">
        <f>G59+'7'!H59</f>
        <v>46254.320000000036</v>
      </c>
      <c r="I59" s="95">
        <f>G7-G60</f>
        <v>1901.8900000000467</v>
      </c>
      <c r="J59" s="175">
        <f>H59/DAY(B2)</f>
        <v>5781.7900000000045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22244.749999999967</v>
      </c>
      <c r="H60" s="99">
        <f>G60+'7'!H60</f>
        <v>172459.54000000007</v>
      </c>
      <c r="I60" s="95">
        <f>G13-G60</f>
        <v>1252.41000000024</v>
      </c>
      <c r="J60" s="175">
        <f>H60/DAY(B2)</f>
        <v>21557.442500000008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'7'!F62</f>
        <v>264278</v>
      </c>
      <c r="F62" s="122">
        <v>264411</v>
      </c>
      <c r="G62" s="112">
        <f t="shared" ref="G62:G63" si="5">F62-E62</f>
        <v>133</v>
      </c>
      <c r="H62" s="99">
        <f>G62+'7'!H62</f>
        <v>946</v>
      </c>
      <c r="I62" s="118"/>
      <c r="J62" s="175">
        <f>H62/DAY(B2)</f>
        <v>118.25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'7'!F63</f>
        <v>210141</v>
      </c>
      <c r="F63" s="122">
        <v>210251</v>
      </c>
      <c r="G63" s="112">
        <f t="shared" si="5"/>
        <v>110</v>
      </c>
      <c r="H63" s="99">
        <f>G63+'7'!H63</f>
        <v>876</v>
      </c>
      <c r="I63" s="118"/>
      <c r="J63" s="175">
        <f>H63/DAY(B2)</f>
        <v>109.5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'7'!F64</f>
        <v>0</v>
      </c>
      <c r="F64" s="122"/>
      <c r="G64" s="112">
        <f>G62+G63</f>
        <v>243</v>
      </c>
      <c r="H64" s="99">
        <f>G64+'7'!H64</f>
        <v>1822</v>
      </c>
      <c r="I64" s="118"/>
      <c r="J64" s="175">
        <f>H64/DAY(B2)</f>
        <v>227.75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'7'!F65</f>
        <v>430040</v>
      </c>
      <c r="F65" s="122">
        <v>430153</v>
      </c>
      <c r="G65" s="112">
        <f t="shared" ref="G65:G70" si="6">F65-E65</f>
        <v>113</v>
      </c>
      <c r="H65" s="99">
        <f>G65+'7'!H65</f>
        <v>790</v>
      </c>
      <c r="I65" s="118"/>
      <c r="J65" s="175">
        <f>H65/DAY(B2)</f>
        <v>98.75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'7'!F66</f>
        <v>106753</v>
      </c>
      <c r="F66" s="122">
        <v>106772</v>
      </c>
      <c r="G66" s="112">
        <f t="shared" si="6"/>
        <v>19</v>
      </c>
      <c r="H66" s="99">
        <f>G66+'7'!H66</f>
        <v>173</v>
      </c>
      <c r="I66" s="118"/>
      <c r="J66" s="175">
        <f>H66/DAY(B2)</f>
        <v>21.625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'7'!F67</f>
        <v>103213</v>
      </c>
      <c r="F67" s="122">
        <v>103242</v>
      </c>
      <c r="G67" s="112">
        <f t="shared" si="6"/>
        <v>29</v>
      </c>
      <c r="H67" s="99">
        <f>G67+'7'!H67</f>
        <v>231</v>
      </c>
      <c r="I67" s="118"/>
      <c r="J67" s="175">
        <f>H67/DAY(B2)</f>
        <v>28.875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'7'!F68</f>
        <v>155703</v>
      </c>
      <c r="F68" s="122">
        <v>155740</v>
      </c>
      <c r="G68" s="112">
        <f t="shared" si="6"/>
        <v>37</v>
      </c>
      <c r="H68" s="99">
        <f>G68+'7'!H68</f>
        <v>300</v>
      </c>
      <c r="I68" s="118"/>
      <c r="J68" s="175">
        <f>H68/DAY(B2)</f>
        <v>37.5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'7'!F69</f>
        <v>9933</v>
      </c>
      <c r="F69" s="122">
        <v>9942</v>
      </c>
      <c r="G69" s="112">
        <f t="shared" si="6"/>
        <v>9</v>
      </c>
      <c r="H69" s="99">
        <f>G69+'7'!H69</f>
        <v>99</v>
      </c>
      <c r="I69" s="118"/>
      <c r="J69" s="175">
        <f>H69/DAY(B2)</f>
        <v>12.375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'7'!F70</f>
        <v>7614</v>
      </c>
      <c r="F70" s="122">
        <v>7623</v>
      </c>
      <c r="G70" s="112">
        <f t="shared" si="6"/>
        <v>9</v>
      </c>
      <c r="H70" s="99">
        <f>G70+'7'!H70</f>
        <v>81</v>
      </c>
      <c r="I70" s="118"/>
      <c r="J70" s="175">
        <f>H70/DAY(B2)</f>
        <v>10.125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216</v>
      </c>
      <c r="H71" s="99">
        <f>G71+'7'!H71</f>
        <v>1674</v>
      </c>
      <c r="I71" s="154"/>
      <c r="J71" s="175">
        <f>H71/DAY(B2)</f>
        <v>209.25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'7'!F74</f>
        <v>884445.27</v>
      </c>
      <c r="F74" s="123">
        <v>884770.35</v>
      </c>
      <c r="G74" s="112">
        <f t="shared" ref="G74:G78" si="7">F74-E74</f>
        <v>325.07999999995809</v>
      </c>
      <c r="H74" s="99">
        <f>G74+'7'!H74</f>
        <v>2517.3009999999776</v>
      </c>
      <c r="I74" s="154"/>
      <c r="J74" s="175">
        <f>H74/DAY(B2)</f>
        <v>314.66262499999721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'7'!F75</f>
        <v>73586.8</v>
      </c>
      <c r="F75" s="123">
        <v>73830.69</v>
      </c>
      <c r="G75" s="112">
        <f t="shared" si="7"/>
        <v>243.88999999999942</v>
      </c>
      <c r="H75" s="99">
        <f>G75+'7'!H75</f>
        <v>243.88999999999942</v>
      </c>
      <c r="I75" s="154"/>
      <c r="J75" s="175">
        <f>H75/DAY(B2)</f>
        <v>30.486249999999927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'7'!F76</f>
        <v>164259.70000000001</v>
      </c>
      <c r="F76" s="123">
        <v>164413.20000000001</v>
      </c>
      <c r="G76" s="112">
        <f t="shared" si="7"/>
        <v>153.5</v>
      </c>
      <c r="H76" s="99">
        <f>G76+'7'!H76</f>
        <v>1029.2000000000116</v>
      </c>
      <c r="I76" s="154"/>
      <c r="J76" s="175">
        <f>H76/DAY(B2)</f>
        <v>128.65000000000146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'7'!F77</f>
        <v>39126.1</v>
      </c>
      <c r="F77" s="123">
        <v>39182</v>
      </c>
      <c r="G77" s="112">
        <f t="shared" si="7"/>
        <v>55.900000000001455</v>
      </c>
      <c r="H77" s="99">
        <f>G77+'7'!H77</f>
        <v>372</v>
      </c>
      <c r="I77" s="154"/>
      <c r="J77" s="175">
        <f>H77/DAY(B2)</f>
        <v>46.5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'7'!F78</f>
        <v>9433.7000000000007</v>
      </c>
      <c r="F78" s="123">
        <v>9439</v>
      </c>
      <c r="G78" s="112">
        <f t="shared" si="7"/>
        <v>5.2999999999992724</v>
      </c>
      <c r="H78" s="99">
        <f>G78+'7'!H78</f>
        <v>27</v>
      </c>
      <c r="I78" s="118"/>
      <c r="J78" s="175">
        <f>H78/DAY(B2)</f>
        <v>3.375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'7'!F79</f>
        <v>0</v>
      </c>
      <c r="F79" s="117"/>
      <c r="G79" s="112">
        <f>G15-SUM(G74:G78)</f>
        <v>463.70000000015352</v>
      </c>
      <c r="H79" s="99">
        <f>G79+'7'!H79</f>
        <v>5073.4090000000579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1247.3700000001118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'7'!F84</f>
        <v>41675.760000000002</v>
      </c>
      <c r="F84" s="164">
        <v>41675.760000000002</v>
      </c>
      <c r="G84" s="112">
        <f t="shared" si="8"/>
        <v>0</v>
      </c>
      <c r="H84" s="99">
        <f>G84+'7'!H84</f>
        <v>47.200000000004366</v>
      </c>
      <c r="I84" s="118"/>
      <c r="J84" s="175">
        <f>H84/DAY(B2)</f>
        <v>5.9000000000005457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'7'!F85</f>
        <v>1588.51</v>
      </c>
      <c r="F85" s="164">
        <v>1597.22</v>
      </c>
      <c r="G85" s="112">
        <f t="shared" si="8"/>
        <v>8.7100000000000364</v>
      </c>
      <c r="H85" s="99">
        <f>G85+'7'!H85</f>
        <v>93.660000000000082</v>
      </c>
      <c r="I85" s="118">
        <f>G82+G83+G84+G85</f>
        <v>8.7100000000000364</v>
      </c>
      <c r="J85" s="175">
        <f>H85/DAY(B2)</f>
        <v>11.70750000000001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'7'!F86</f>
        <v>42826.47</v>
      </c>
      <c r="F86" s="164">
        <v>42826.47</v>
      </c>
      <c r="G86" s="112">
        <f t="shared" si="8"/>
        <v>0</v>
      </c>
      <c r="H86" s="99">
        <f>G86+'7'!H86</f>
        <v>0.47000000000116415</v>
      </c>
      <c r="I86" s="118"/>
      <c r="J86" s="175">
        <f>H86/DAY(B2)</f>
        <v>5.8750000000145519E-2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'7'!F87</f>
        <v>34492.47</v>
      </c>
      <c r="F87" s="164">
        <v>34517.129999999997</v>
      </c>
      <c r="G87" s="112">
        <f t="shared" si="8"/>
        <v>24.659999999996217</v>
      </c>
      <c r="H87" s="99">
        <f>G87+'7'!H87</f>
        <v>96.729999999995925</v>
      </c>
      <c r="I87" s="118"/>
      <c r="J87" s="175">
        <f>H87/DAY(B2)</f>
        <v>12.091249999999491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'7'!F88</f>
        <v>23994.15</v>
      </c>
      <c r="F88" s="164">
        <v>23994.15</v>
      </c>
      <c r="G88" s="112">
        <f t="shared" si="8"/>
        <v>0</v>
      </c>
      <c r="H88" s="99">
        <f>G88+'7'!H88</f>
        <v>41.659999999999854</v>
      </c>
      <c r="I88" s="118">
        <f>G86+G87+G88</f>
        <v>24.659999999996217</v>
      </c>
      <c r="J88" s="175">
        <f>H88/DAY(B2)</f>
        <v>5.2074999999999818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'7'!F89</f>
        <v>25459.11</v>
      </c>
      <c r="F89" s="164">
        <v>25470.19</v>
      </c>
      <c r="G89" s="112">
        <f t="shared" si="8"/>
        <v>11.079999999998108</v>
      </c>
      <c r="H89" s="99">
        <f>G89+'7'!H89</f>
        <v>42.69999999999709</v>
      </c>
      <c r="I89" s="118"/>
      <c r="J89" s="175">
        <f>H89/DAY(B2)</f>
        <v>5.3374999999996362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'7'!F90</f>
        <v>70880.14</v>
      </c>
      <c r="F90" s="164">
        <v>70889.23</v>
      </c>
      <c r="G90" s="112">
        <f t="shared" si="8"/>
        <v>9.0899999999965075</v>
      </c>
      <c r="H90" s="99">
        <f>G90+'7'!H90</f>
        <v>60.959999999991851</v>
      </c>
      <c r="I90" s="118">
        <f>G89+G90</f>
        <v>20.169999999994616</v>
      </c>
      <c r="J90" s="175">
        <f>H90/DAY(B2)</f>
        <v>7.6199999999989814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'7'!F91</f>
        <v>3226.32</v>
      </c>
      <c r="F91" s="122">
        <v>3226.32</v>
      </c>
      <c r="G91" s="112">
        <f t="shared" si="8"/>
        <v>0</v>
      </c>
      <c r="H91" s="99">
        <f>G91+'7'!H91</f>
        <v>0.32000000000016371</v>
      </c>
      <c r="I91" s="165"/>
      <c r="J91" s="175">
        <f>H91/DAY(B2)</f>
        <v>4.0000000000020464E-2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'7'!F92</f>
        <v>5172.71</v>
      </c>
      <c r="F92" s="122">
        <v>5184.1899999999996</v>
      </c>
      <c r="G92" s="112">
        <f t="shared" si="8"/>
        <v>11.479999999999563</v>
      </c>
      <c r="H92" s="99">
        <f>G92+'7'!H92</f>
        <v>88.289999999999964</v>
      </c>
      <c r="I92" s="165"/>
      <c r="J92" s="175">
        <f>H92/DAY(B2)</f>
        <v>11.036249999999995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6939.7699999999168</v>
      </c>
      <c r="H94" s="99">
        <f>G94+'7'!H94</f>
        <v>52175.369999999923</v>
      </c>
      <c r="I94" s="118"/>
      <c r="J94" s="175">
        <f>H94/DAY(B2)</f>
        <v>6521.9212499999903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0.28740106283938111</v>
      </c>
      <c r="H95" s="99">
        <f>G95+'7'!H95</f>
        <v>2.2319957972022495</v>
      </c>
      <c r="I95" s="167"/>
      <c r="J95" s="175">
        <f>H95/DAY(B2)</f>
        <v>0.27899947465028119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6030.9800000000105</v>
      </c>
      <c r="H96" s="99">
        <f>G96+'7'!H96</f>
        <v>47065.560000000056</v>
      </c>
      <c r="I96" s="118"/>
      <c r="J96" s="175">
        <f>H96/DAY(B2)</f>
        <v>5883.195000000007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0.24976477058505892</v>
      </c>
      <c r="H97" s="99">
        <f>G97+'7'!H97</f>
        <v>2.0073251929041658</v>
      </c>
      <c r="I97" s="167"/>
      <c r="J97" s="175">
        <f>H97/DAY(B2)</f>
        <v>0.25091564911302072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2854.320000000007</v>
      </c>
      <c r="H98" s="99">
        <f>G98+'7'!H98</f>
        <v>23171.940000000002</v>
      </c>
      <c r="I98" s="168"/>
      <c r="J98" s="175">
        <f>H98/DAY(B2)</f>
        <v>2896.4925000000003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0.11820775064356802</v>
      </c>
      <c r="H99" s="99">
        <f>G99+'7'!H99</f>
        <v>0.99263289017692546</v>
      </c>
      <c r="I99" s="168"/>
      <c r="J99" s="175">
        <f>H99/DAY(B2)</f>
        <v>0.12407911127211568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1942.1999999999825</v>
      </c>
      <c r="H100" s="99">
        <f>G100+'7'!H100</f>
        <v>15630.720000000001</v>
      </c>
      <c r="I100" s="118"/>
      <c r="J100" s="175">
        <f>H100/DAY(B2)</f>
        <v>1953.8400000000001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8.0433551003368645E-2</v>
      </c>
      <c r="H101" s="99">
        <f>G101+'7'!H101</f>
        <v>0.66969690544615257</v>
      </c>
      <c r="I101" s="168"/>
      <c r="J101" s="175">
        <f>H101/DAY(B2)</f>
        <v>8.3712113180769071E-2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2575.2000000000262</v>
      </c>
      <c r="H102" s="99">
        <f>G102+'7'!H102</f>
        <v>19305.020000000033</v>
      </c>
      <c r="I102" s="168"/>
      <c r="J102" s="175">
        <f>H102/DAY(B2)</f>
        <v>2413.1275000000041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0.10664837840792858</v>
      </c>
      <c r="H103" s="99">
        <f>G103+'7'!H103</f>
        <v>0.82638441178147848</v>
      </c>
      <c r="I103" s="118"/>
      <c r="J103" s="175">
        <f>H103/DAY(B2)</f>
        <v>0.10329805147268481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1652.3000000000175</v>
      </c>
      <c r="H104" s="99">
        <f>G104+'7'!H104</f>
        <v>13263.180000000022</v>
      </c>
      <c r="I104" s="118"/>
      <c r="J104" s="175">
        <f>H104/DAY(B2)</f>
        <v>1657.8975000000028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6.8427739842893937E-2</v>
      </c>
      <c r="H105" s="99">
        <f>G105+'7'!H105</f>
        <v>0.56869987847048631</v>
      </c>
      <c r="I105" s="187"/>
      <c r="J105" s="188">
        <f>H105/DAY(B2)</f>
        <v>7.1087484808810789E-2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'7'!F112</f>
        <v>53916.81</v>
      </c>
      <c r="F112" s="237">
        <v>53999.03</v>
      </c>
      <c r="G112" s="112">
        <f t="shared" ref="G112:G123" si="9">F112-E112</f>
        <v>82.220000000001164</v>
      </c>
      <c r="H112" s="99">
        <f>G112+'7'!H112</f>
        <v>647.0199999999968</v>
      </c>
      <c r="I112" s="165"/>
      <c r="J112" s="330">
        <f>H112/DAY(B2)</f>
        <v>80.8774999999996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'7'!F113</f>
        <v>21049</v>
      </c>
      <c r="F113" s="237">
        <v>21504.47</v>
      </c>
      <c r="G113" s="112">
        <f t="shared" si="9"/>
        <v>455.47000000000116</v>
      </c>
      <c r="H113" s="99">
        <f>G113+'7'!H113</f>
        <v>3547.9400000000023</v>
      </c>
      <c r="I113" s="165"/>
      <c r="J113" s="330">
        <f>H113/DAY(B2)</f>
        <v>443.49250000000029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'7'!F114</f>
        <v>16267.09</v>
      </c>
      <c r="F114" s="237">
        <v>16533.490000000002</v>
      </c>
      <c r="G114" s="112">
        <f t="shared" si="9"/>
        <v>266.40000000000146</v>
      </c>
      <c r="H114" s="99">
        <f>G114+'7'!H114</f>
        <v>2606.3900000000012</v>
      </c>
      <c r="I114" s="165"/>
      <c r="J114" s="330">
        <f>H114/DAY(B2)</f>
        <v>325.79875000000015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'7'!F115</f>
        <v>8508.06</v>
      </c>
      <c r="F115" s="237">
        <v>8517.1200000000008</v>
      </c>
      <c r="G115" s="112">
        <f t="shared" si="9"/>
        <v>9.0600000000013097</v>
      </c>
      <c r="H115" s="99">
        <f>G115+'7'!H115</f>
        <v>93.440000000000509</v>
      </c>
      <c r="I115" s="165"/>
      <c r="J115" s="330">
        <f>H115/DAY(B2)</f>
        <v>11.680000000000064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'7'!F117</f>
        <v>2080.48</v>
      </c>
      <c r="F117" s="237">
        <v>2099.34</v>
      </c>
      <c r="G117" s="112">
        <f t="shared" si="9"/>
        <v>18.860000000000127</v>
      </c>
      <c r="H117" s="99">
        <f>G117+'7'!H117</f>
        <v>158.26000000000022</v>
      </c>
      <c r="I117" s="165"/>
      <c r="J117" s="330">
        <f>H117/DAY(B2)</f>
        <v>19.782500000000027</v>
      </c>
      <c r="Q117" s="839" t="s">
        <v>312</v>
      </c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'7'!F118</f>
        <v>232498.79</v>
      </c>
      <c r="F118" s="237">
        <v>232864.75</v>
      </c>
      <c r="G118" s="112">
        <f t="shared" si="9"/>
        <v>365.95999999999185</v>
      </c>
      <c r="H118" s="99">
        <f>G118+'7'!H118</f>
        <v>3027.0199999999895</v>
      </c>
      <c r="I118" s="165"/>
      <c r="J118" s="330">
        <f>H118/DAY(B2)</f>
        <v>378.37749999999869</v>
      </c>
      <c r="Q118" s="839" t="s">
        <v>311</v>
      </c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'7'!F119</f>
        <v>234839.91</v>
      </c>
      <c r="F119" s="237">
        <v>235274.83</v>
      </c>
      <c r="G119" s="112">
        <f t="shared" si="9"/>
        <v>434.9199999999837</v>
      </c>
      <c r="H119" s="99">
        <f>G119+'7'!H119</f>
        <v>3548.2999999999884</v>
      </c>
      <c r="I119" s="165"/>
      <c r="J119" s="330">
        <f>H119/DAY(B2)</f>
        <v>443.53749999999854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'7'!F120</f>
        <v>20181.29</v>
      </c>
      <c r="F120" s="237">
        <v>20591.14</v>
      </c>
      <c r="G120" s="112">
        <f t="shared" si="9"/>
        <v>409.84999999999854</v>
      </c>
      <c r="H120" s="99">
        <f>G120+'7'!H120</f>
        <v>3405.8199999999997</v>
      </c>
      <c r="I120" s="165"/>
      <c r="J120" s="330">
        <f>H120/DAY(B2)</f>
        <v>425.72749999999996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'7'!F121</f>
        <v>358075.55</v>
      </c>
      <c r="F121" s="237">
        <v>358808.91</v>
      </c>
      <c r="G121" s="112">
        <f t="shared" si="9"/>
        <v>733.35999999998603</v>
      </c>
      <c r="H121" s="99">
        <f>G121+'7'!H121</f>
        <v>5754.679999999993</v>
      </c>
      <c r="I121" s="165"/>
      <c r="J121" s="330">
        <f>H121/DAY(B2)</f>
        <v>719.33499999999913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'7'!F122</f>
        <v>113265.06</v>
      </c>
      <c r="F122" s="237">
        <v>113627.3</v>
      </c>
      <c r="G122" s="112">
        <f t="shared" si="9"/>
        <v>362.24000000000524</v>
      </c>
      <c r="H122" s="99">
        <f>G122+'7'!H122</f>
        <v>2617.5100000000093</v>
      </c>
      <c r="I122" s="165"/>
      <c r="J122" s="330">
        <f>H122/DAY(B2)</f>
        <v>327.18875000000116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'7'!F123</f>
        <v>136518.39000000001</v>
      </c>
      <c r="F123" s="237">
        <v>136836.69</v>
      </c>
      <c r="G123" s="112">
        <f t="shared" si="9"/>
        <v>318.29999999998836</v>
      </c>
      <c r="H123" s="99">
        <f>G123+'7'!H123</f>
        <v>2470.6900000000023</v>
      </c>
      <c r="I123" s="165"/>
      <c r="J123" s="330">
        <f>H123/DAY(B2)</f>
        <v>308.83625000000029</v>
      </c>
    </row>
    <row r="124" spans="1:18" ht="29.25" customHeight="1" x14ac:dyDescent="0.5">
      <c r="A124" s="864"/>
      <c r="B124" s="865"/>
      <c r="C124" s="866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3456.6399999999589</v>
      </c>
      <c r="H125" s="156"/>
      <c r="I125" s="329">
        <f>G125-(G39+G53)</f>
        <v>602.31999999995196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G127+'7'!H127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'7'!F128</f>
        <v>29834.57</v>
      </c>
      <c r="F128" s="165">
        <v>30184.17</v>
      </c>
      <c r="G128" s="112">
        <f t="shared" ref="G128:G134" si="10">F128-E128</f>
        <v>349.59999999999854</v>
      </c>
      <c r="H128" s="99">
        <f>G128+'7'!H128</f>
        <v>2579.7999999999993</v>
      </c>
      <c r="I128" s="165"/>
      <c r="J128" s="330">
        <f>H128/DAY(B2)</f>
        <v>322.47499999999991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'7'!F129</f>
        <v>14647.62</v>
      </c>
      <c r="F129" s="165">
        <v>14908.33</v>
      </c>
      <c r="G129" s="112">
        <f t="shared" si="10"/>
        <v>260.70999999999913</v>
      </c>
      <c r="H129" s="99">
        <f>G129+'7'!H129</f>
        <v>2160.7399999999998</v>
      </c>
      <c r="I129" s="165"/>
      <c r="J129" s="330">
        <f>H129/DAY(B2)</f>
        <v>270.09249999999997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'7'!F130</f>
        <v>3982.65</v>
      </c>
      <c r="F130" s="165">
        <v>4272.82</v>
      </c>
      <c r="G130" s="112">
        <f t="shared" si="10"/>
        <v>290.16999999999962</v>
      </c>
      <c r="H130" s="99">
        <f>G130+'7'!H130</f>
        <v>2215.7099999999996</v>
      </c>
      <c r="I130" s="165"/>
      <c r="J130" s="330">
        <f>H130/DAY(B2)</f>
        <v>276.96374999999995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'7'!F131</f>
        <v>10278.99</v>
      </c>
      <c r="F131" s="165">
        <v>10435.31</v>
      </c>
      <c r="G131" s="112">
        <f t="shared" si="10"/>
        <v>156.31999999999971</v>
      </c>
      <c r="H131" s="99">
        <f>G131+'7'!H131</f>
        <v>1265.9599999999991</v>
      </c>
      <c r="I131" s="165"/>
      <c r="J131" s="330">
        <f>H131/DAY(B2)</f>
        <v>158.24499999999989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'7'!F132</f>
        <v>29217.14</v>
      </c>
      <c r="F132" s="165">
        <v>29708.23</v>
      </c>
      <c r="G132" s="112">
        <f t="shared" si="10"/>
        <v>491.09000000000015</v>
      </c>
      <c r="H132" s="99">
        <f>G132+'7'!H132</f>
        <v>3527.989999999998</v>
      </c>
      <c r="I132" s="165"/>
      <c r="J132" s="330">
        <f>H132/DAY(B2)</f>
        <v>440.99874999999975</v>
      </c>
    </row>
    <row r="133" spans="1:15" ht="27.75" x14ac:dyDescent="0.5">
      <c r="A133" s="839" t="s">
        <v>323</v>
      </c>
      <c r="B133" s="840"/>
      <c r="C133" s="841"/>
      <c r="D133" s="151" t="s">
        <v>183</v>
      </c>
      <c r="E133" s="95">
        <f>'7'!F133</f>
        <v>69428.62</v>
      </c>
      <c r="F133" s="165">
        <v>70267.509999999995</v>
      </c>
      <c r="G133" s="112">
        <f t="shared" si="10"/>
        <v>838.88999999999942</v>
      </c>
      <c r="H133" s="99">
        <f>G133+'7'!H133</f>
        <v>6793.0899999999965</v>
      </c>
      <c r="I133" s="165"/>
      <c r="J133" s="330">
        <f>H133/DAY(B2)</f>
        <v>849.13624999999956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'7'!F134</f>
        <v>655644</v>
      </c>
      <c r="F134" s="165">
        <v>656265</v>
      </c>
      <c r="G134" s="112">
        <f t="shared" si="10"/>
        <v>621</v>
      </c>
      <c r="H134" s="99">
        <f>G134+'7'!H134</f>
        <v>5006</v>
      </c>
      <c r="I134" s="165"/>
      <c r="J134" s="330">
        <f>H134/DAY(B2)</f>
        <v>625.75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3007.7799999999966</v>
      </c>
      <c r="H135" s="99">
        <f>G135+'7'!H135</f>
        <v>23549.28999999999</v>
      </c>
      <c r="I135" s="329">
        <f>G135-(G35+G49)</f>
        <v>-941.09000000001333</v>
      </c>
      <c r="J135" s="330" t="e">
        <f t="shared" ref="J135" si="11">H135/DAY(B54)</f>
        <v>#DIV/0!</v>
      </c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'7'!F138</f>
        <v>861580</v>
      </c>
      <c r="F138" s="147">
        <v>861616</v>
      </c>
      <c r="G138" s="112">
        <f t="shared" ref="G138:G152" si="12">F138-E138</f>
        <v>36</v>
      </c>
      <c r="H138" s="99">
        <f>G138+'7'!H138</f>
        <v>354</v>
      </c>
      <c r="I138" s="118"/>
      <c r="J138" s="330">
        <f>H138/DAY(B2)</f>
        <v>44.25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'7'!F139</f>
        <v>886277</v>
      </c>
      <c r="F139" s="148">
        <v>886284</v>
      </c>
      <c r="G139" s="112">
        <f t="shared" si="12"/>
        <v>7</v>
      </c>
      <c r="H139" s="99">
        <f>G139+'7'!H139</f>
        <v>85</v>
      </c>
      <c r="I139" s="118"/>
      <c r="J139" s="330">
        <f>H139/DAY(B2)</f>
        <v>10.625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'7'!F140</f>
        <v>88862.2</v>
      </c>
      <c r="F140" s="149">
        <v>88863.23</v>
      </c>
      <c r="G140" s="112">
        <f t="shared" si="12"/>
        <v>1.0299999999988358</v>
      </c>
      <c r="H140" s="99">
        <f>G140+'7'!H140</f>
        <v>14.229999999995925</v>
      </c>
      <c r="I140" s="118"/>
      <c r="J140" s="330">
        <f>H140/DAY(B2)</f>
        <v>1.7787499999994907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'7'!F141</f>
        <v>44503.31</v>
      </c>
      <c r="F141" s="149">
        <v>44708.73</v>
      </c>
      <c r="G141" s="112">
        <f t="shared" si="12"/>
        <v>205.42000000000553</v>
      </c>
      <c r="H141" s="99">
        <f>G141+'7'!H141</f>
        <v>1582</v>
      </c>
      <c r="I141" s="118"/>
      <c r="J141" s="330">
        <f>H141/DAY(B2)</f>
        <v>197.75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'7'!F142</f>
        <v>17582</v>
      </c>
      <c r="F142" s="148">
        <v>17599.07</v>
      </c>
      <c r="G142" s="112">
        <f t="shared" si="12"/>
        <v>17.069999999999709</v>
      </c>
      <c r="H142" s="99">
        <f>G142+'7'!H142</f>
        <v>138.56999999999971</v>
      </c>
      <c r="I142" s="140"/>
      <c r="J142" s="330">
        <f>H142/DAY(B2)</f>
        <v>17.321249999999964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'7'!F143</f>
        <v>2407.65</v>
      </c>
      <c r="F143" s="149">
        <v>2440.96</v>
      </c>
      <c r="G143" s="112">
        <f t="shared" si="12"/>
        <v>33.309999999999945</v>
      </c>
      <c r="H143" s="99">
        <f>G143+'7'!H143</f>
        <v>239.55999999999995</v>
      </c>
      <c r="I143" s="140"/>
      <c r="J143" s="330">
        <f>H143/DAY(B2)</f>
        <v>29.944999999999993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'7'!F144</f>
        <v>863993</v>
      </c>
      <c r="F144" s="149">
        <v>864227</v>
      </c>
      <c r="G144" s="112">
        <f t="shared" si="12"/>
        <v>234</v>
      </c>
      <c r="H144" s="99">
        <f>G144+'7'!H144</f>
        <v>1832</v>
      </c>
      <c r="I144" s="140"/>
      <c r="J144" s="330">
        <f>H144/DAY(B2)</f>
        <v>229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'7'!F145</f>
        <v>3729.56</v>
      </c>
      <c r="F145" s="149">
        <v>3773.28</v>
      </c>
      <c r="G145" s="112">
        <f t="shared" si="12"/>
        <v>43.720000000000255</v>
      </c>
      <c r="H145" s="99">
        <f>G145+'7'!H145</f>
        <v>354.2800000000002</v>
      </c>
      <c r="I145" s="140"/>
      <c r="J145" s="330">
        <f>H145/DAY(B2)</f>
        <v>44.285000000000025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'7'!F146</f>
        <v>713637</v>
      </c>
      <c r="F146" s="148">
        <v>714055</v>
      </c>
      <c r="G146" s="112">
        <f t="shared" si="12"/>
        <v>418</v>
      </c>
      <c r="H146" s="99">
        <f>G146+'7'!H146</f>
        <v>3170</v>
      </c>
      <c r="I146" s="140"/>
      <c r="J146" s="330">
        <f>H146/DAY(B2)</f>
        <v>396.25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'7'!F147</f>
        <v>605102.28</v>
      </c>
      <c r="F147" s="148">
        <v>605533.56000000006</v>
      </c>
      <c r="G147" s="112">
        <f t="shared" si="12"/>
        <v>431.28000000002794</v>
      </c>
      <c r="H147" s="99">
        <f>G147+'7'!H147</f>
        <v>3548.5200000000186</v>
      </c>
      <c r="I147" s="140"/>
      <c r="J147" s="330">
        <f>H147/DAY(B2)</f>
        <v>443.56500000000233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'7'!F148</f>
        <v>675744.08</v>
      </c>
      <c r="F148" s="150">
        <v>676070</v>
      </c>
      <c r="G148" s="112">
        <f t="shared" si="12"/>
        <v>325.92000000004191</v>
      </c>
      <c r="H148" s="99">
        <f>G148+'7'!H148</f>
        <v>2280.3199999999488</v>
      </c>
      <c r="I148" s="124"/>
      <c r="J148" s="330">
        <f>H148/DAY(B2)</f>
        <v>285.0399999999936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'7'!F149</f>
        <v>97827</v>
      </c>
      <c r="F149" s="146">
        <v>98232</v>
      </c>
      <c r="G149" s="112">
        <f t="shared" si="12"/>
        <v>405</v>
      </c>
      <c r="H149" s="99">
        <f>G149+'7'!H149</f>
        <v>3210</v>
      </c>
      <c r="I149" s="119"/>
      <c r="J149" s="330">
        <f>H149/DAY(B2)</f>
        <v>401.25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'7'!F150</f>
        <v>7167232</v>
      </c>
      <c r="F150" s="233">
        <v>7167232</v>
      </c>
      <c r="G150" s="112">
        <f t="shared" si="12"/>
        <v>0</v>
      </c>
      <c r="H150" s="99">
        <f>G150+'7'!H150</f>
        <v>0</v>
      </c>
      <c r="I150" s="119"/>
      <c r="J150" s="330">
        <f>H150/DAY(B2)</f>
        <v>0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'7'!F151</f>
        <v>72539</v>
      </c>
      <c r="F151" s="233">
        <v>72787</v>
      </c>
      <c r="G151" s="112">
        <f t="shared" si="12"/>
        <v>248</v>
      </c>
      <c r="H151" s="99">
        <f>G151+'7'!H151</f>
        <v>2065</v>
      </c>
      <c r="I151" s="119"/>
      <c r="J151" s="330">
        <f>H151/DAY(B2)</f>
        <v>258.125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'7'!F152</f>
        <v>0</v>
      </c>
      <c r="F152" s="233">
        <v>0</v>
      </c>
      <c r="G152" s="112">
        <f t="shared" si="12"/>
        <v>0</v>
      </c>
      <c r="H152" s="99">
        <f>G152+'7'!H152</f>
        <v>0</v>
      </c>
      <c r="I152" s="119"/>
      <c r="J152" s="330">
        <f>H152/DAY(B2)</f>
        <v>0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2405.7500000000741</v>
      </c>
      <c r="H153" s="365"/>
      <c r="I153" s="119">
        <f>G153-(G38+G52)</f>
        <v>463.55000000009159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'7'!F155</f>
        <v>77574.399999999994</v>
      </c>
      <c r="F155" s="376">
        <v>77583.100000000006</v>
      </c>
      <c r="G155" s="112">
        <f t="shared" ref="G155:G156" si="13">F155-E155</f>
        <v>8.7000000000116415</v>
      </c>
      <c r="H155" s="99">
        <f>G155+'7'!H155</f>
        <v>59.100000000005821</v>
      </c>
      <c r="I155" s="366"/>
      <c r="J155" s="330">
        <f>H155/DAY(B2)</f>
        <v>7.3875000000007276</v>
      </c>
    </row>
    <row r="156" spans="1:10" ht="27.75" x14ac:dyDescent="0.5">
      <c r="A156" s="838" t="s">
        <v>346</v>
      </c>
      <c r="B156" s="838"/>
      <c r="C156" s="838"/>
      <c r="D156" s="117" t="s">
        <v>130</v>
      </c>
      <c r="E156" s="95">
        <f>'7'!F156</f>
        <v>0</v>
      </c>
      <c r="F156" s="155">
        <v>0</v>
      </c>
      <c r="G156" s="112">
        <f t="shared" si="13"/>
        <v>0</v>
      </c>
      <c r="H156" s="99">
        <f>G156+'7'!H156</f>
        <v>0</v>
      </c>
      <c r="I156" s="165"/>
      <c r="J156" s="330">
        <f>H156/DAY(B2)</f>
        <v>0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/>
      <c r="F157" s="155"/>
      <c r="G157" s="112"/>
      <c r="H157" s="99"/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/>
      <c r="F158" s="155"/>
      <c r="G158" s="112"/>
      <c r="H158" s="99"/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471087.72</v>
      </c>
      <c r="F161" s="235">
        <v>471104.12</v>
      </c>
      <c r="G161" s="238">
        <f t="shared" ref="G161:G165" si="14">F161-E161</f>
        <v>16.400000000023283</v>
      </c>
      <c r="H161" s="99">
        <f>G161+'7'!H161</f>
        <v>128</v>
      </c>
      <c r="I161" s="236"/>
      <c r="J161" s="239">
        <f>H161/DAY(B2)</f>
        <v>16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86880.7</v>
      </c>
      <c r="F162" s="235">
        <v>86913</v>
      </c>
      <c r="G162" s="238">
        <f t="shared" si="14"/>
        <v>32.30000000000291</v>
      </c>
      <c r="H162" s="99">
        <f>G162+'7'!H162</f>
        <v>311.30000000000291</v>
      </c>
      <c r="I162" s="236"/>
      <c r="J162" s="239">
        <f>H162/DAY(B2)</f>
        <v>38.912500000000364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76104</v>
      </c>
      <c r="F163" s="235">
        <v>76180.73</v>
      </c>
      <c r="G163" s="238">
        <f t="shared" si="14"/>
        <v>76.729999999995925</v>
      </c>
      <c r="H163" s="99">
        <f>G163+'7'!H163</f>
        <v>720.92999999999302</v>
      </c>
      <c r="I163" s="236"/>
      <c r="J163" s="239">
        <f>H163/DAY(B2)</f>
        <v>90.116249999999127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4135</v>
      </c>
      <c r="F164" s="235">
        <v>4139.6000000000004</v>
      </c>
      <c r="G164" s="238">
        <f t="shared" si="14"/>
        <v>4.6000000000003638</v>
      </c>
      <c r="H164" s="99">
        <f>G164+'7'!H164</f>
        <v>41.700000000000728</v>
      </c>
      <c r="I164" s="236"/>
      <c r="J164" s="239">
        <f>H164/DAY(B2)</f>
        <v>5.2125000000000909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29482.51</v>
      </c>
      <c r="F165" s="235">
        <v>29490.5</v>
      </c>
      <c r="G165" s="238">
        <f t="shared" si="14"/>
        <v>7.9900000000016007</v>
      </c>
      <c r="H165" s="99">
        <f>G165+'7'!H165</f>
        <v>61.56880000000092</v>
      </c>
      <c r="I165" s="236"/>
      <c r="J165" s="239">
        <f>H165/DAY(B2)</f>
        <v>7.696100000000115</v>
      </c>
    </row>
    <row r="166" spans="1:10" ht="29.25" x14ac:dyDescent="0.5">
      <c r="A166" s="870"/>
      <c r="B166" s="870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'7'!F173</f>
        <v>8107</v>
      </c>
      <c r="F173" s="155">
        <v>8107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'7'!F174</f>
        <v>37918</v>
      </c>
      <c r="F174" s="157">
        <v>37936</v>
      </c>
      <c r="G174" s="155">
        <f t="shared" ref="G174:G175" si="15">F174-E174</f>
        <v>18</v>
      </c>
      <c r="H174" s="99">
        <f>G174+'7'!H174</f>
        <v>128</v>
      </c>
      <c r="I174" s="155"/>
      <c r="J174" s="178">
        <f>H174/DAY(B2)</f>
        <v>16</v>
      </c>
    </row>
    <row r="175" spans="1:10" ht="27.75" x14ac:dyDescent="0.5">
      <c r="A175" s="831" t="s">
        <v>76</v>
      </c>
      <c r="B175" s="833"/>
      <c r="C175" s="832"/>
      <c r="D175" s="228" t="s">
        <v>142</v>
      </c>
      <c r="E175" s="95">
        <f>'7'!F175</f>
        <v>21223</v>
      </c>
      <c r="F175" s="155">
        <v>21237</v>
      </c>
      <c r="G175" s="155">
        <f t="shared" si="15"/>
        <v>14</v>
      </c>
      <c r="H175" s="99">
        <f>G175+'7'!H175</f>
        <v>100</v>
      </c>
      <c r="I175" s="155"/>
      <c r="J175" s="178">
        <f>H175/DAY(B2)</f>
        <v>12.5</v>
      </c>
    </row>
    <row r="176" spans="1:10" ht="27.75" x14ac:dyDescent="0.5">
      <c r="A176" s="867" t="s">
        <v>196</v>
      </c>
      <c r="B176" s="868"/>
      <c r="C176" s="335"/>
      <c r="D176" s="228" t="s">
        <v>142</v>
      </c>
      <c r="E176" s="95"/>
      <c r="F176" s="155"/>
      <c r="G176" s="155">
        <f>SUM(G173:G175)</f>
        <v>32</v>
      </c>
      <c r="H176" s="99">
        <f>G176+'7'!H176</f>
        <v>228</v>
      </c>
      <c r="I176" s="155"/>
      <c r="J176" s="178">
        <f>H176/DAY(B2)</f>
        <v>28.5</v>
      </c>
    </row>
    <row r="177" spans="1:10" ht="27.75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831" t="s">
        <v>210</v>
      </c>
      <c r="B178" s="832"/>
      <c r="C178" s="335"/>
      <c r="D178" s="228" t="s">
        <v>142</v>
      </c>
      <c r="E178" s="95">
        <f>'7'!F178</f>
        <v>77868</v>
      </c>
      <c r="F178" s="155">
        <v>77942</v>
      </c>
      <c r="G178" s="155">
        <f>F178-E178</f>
        <v>74</v>
      </c>
      <c r="H178" s="99">
        <f>G178+'7'!H178</f>
        <v>590</v>
      </c>
      <c r="I178" s="155"/>
      <c r="J178" s="178">
        <f>H178/DAY(B2)</f>
        <v>73.75</v>
      </c>
    </row>
    <row r="179" spans="1:10" ht="27.75" x14ac:dyDescent="0.5">
      <c r="A179" s="831" t="s">
        <v>211</v>
      </c>
      <c r="B179" s="832"/>
      <c r="C179" s="335"/>
      <c r="D179" s="228" t="s">
        <v>142</v>
      </c>
      <c r="E179" s="95">
        <f>'7'!F179</f>
        <v>33886</v>
      </c>
      <c r="F179" s="155">
        <v>33886</v>
      </c>
      <c r="G179" s="155">
        <f t="shared" ref="G179:G180" si="16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'7'!F180</f>
        <v>5313</v>
      </c>
      <c r="F180" s="155">
        <v>5330</v>
      </c>
      <c r="G180" s="155">
        <f t="shared" si="16"/>
        <v>17</v>
      </c>
      <c r="H180" s="99">
        <f>G180+'7'!H180</f>
        <v>57</v>
      </c>
      <c r="I180" s="155"/>
      <c r="J180" s="178">
        <f>H180/DAY(B2)</f>
        <v>7.125</v>
      </c>
    </row>
    <row r="181" spans="1:10" ht="27.75" x14ac:dyDescent="0.5">
      <c r="A181" s="872" t="s">
        <v>108</v>
      </c>
      <c r="B181" s="873"/>
      <c r="C181" s="335"/>
      <c r="D181" s="228" t="s">
        <v>142</v>
      </c>
      <c r="E181" s="95"/>
      <c r="F181" s="155"/>
      <c r="G181" s="155">
        <f>SUM(G178:G180)</f>
        <v>91</v>
      </c>
      <c r="H181" s="99">
        <f>G181+'7'!H181</f>
        <v>647</v>
      </c>
      <c r="I181" s="155"/>
      <c r="J181" s="178">
        <f>H181/DAY(B2)</f>
        <v>80.875</v>
      </c>
    </row>
    <row r="182" spans="1:10" ht="27.75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'7'!F183</f>
        <v>14605</v>
      </c>
      <c r="F183" s="157">
        <v>14616</v>
      </c>
      <c r="G183" s="157">
        <f>F183-E183</f>
        <v>11</v>
      </c>
      <c r="H183" s="99">
        <f>G183+'7'!H183</f>
        <v>120</v>
      </c>
      <c r="I183" s="155"/>
      <c r="J183" s="178">
        <f>H183/DAY(B2)</f>
        <v>15</v>
      </c>
    </row>
    <row r="184" spans="1:10" ht="27.75" x14ac:dyDescent="0.5">
      <c r="A184" s="831" t="s">
        <v>215</v>
      </c>
      <c r="B184" s="832"/>
      <c r="C184" s="336"/>
      <c r="D184" s="228" t="s">
        <v>142</v>
      </c>
      <c r="E184" s="95">
        <f>'7'!F184</f>
        <v>10089</v>
      </c>
      <c r="F184" s="157">
        <v>10102</v>
      </c>
      <c r="G184" s="157">
        <f t="shared" ref="G184:G185" si="17">F184-E184</f>
        <v>13</v>
      </c>
      <c r="H184" s="99">
        <f>G184+'7'!H184</f>
        <v>71</v>
      </c>
      <c r="I184" s="155"/>
      <c r="J184" s="178">
        <f>H184/DAY(B2)</f>
        <v>8.875</v>
      </c>
    </row>
    <row r="185" spans="1:10" ht="27.75" x14ac:dyDescent="0.5">
      <c r="A185" s="831" t="s">
        <v>216</v>
      </c>
      <c r="B185" s="832"/>
      <c r="C185" s="336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867" t="s">
        <v>196</v>
      </c>
      <c r="B186" s="868"/>
      <c r="C186" s="336"/>
      <c r="D186" s="228" t="s">
        <v>142</v>
      </c>
      <c r="E186" s="95"/>
      <c r="F186" s="157"/>
      <c r="G186" s="157">
        <f>SUM(G183:G185)</f>
        <v>24</v>
      </c>
      <c r="H186" s="99">
        <f>G186+'7'!H186</f>
        <v>191</v>
      </c>
      <c r="I186" s="157"/>
      <c r="J186" s="178">
        <f>H186/DAY(B2)</f>
        <v>23.875</v>
      </c>
    </row>
    <row r="187" spans="1:10" ht="27.75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506">
        <f>G62+G19</f>
        <v>186</v>
      </c>
      <c r="H187" s="99">
        <f>G187+'7'!H187</f>
        <v>1373</v>
      </c>
      <c r="I187" s="158"/>
      <c r="J187" s="179">
        <f>H187/DAY(B2)</f>
        <v>171.625</v>
      </c>
    </row>
    <row r="188" spans="1:10" ht="27.75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179</v>
      </c>
      <c r="H188" s="99">
        <f>G188+'7'!H188</f>
        <v>1374</v>
      </c>
      <c r="I188" s="158"/>
      <c r="J188" s="179">
        <f>H188/DAY(B2)</f>
        <v>171.75</v>
      </c>
    </row>
    <row r="189" spans="1:10" ht="27.75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91</v>
      </c>
      <c r="H189" s="99">
        <f>G189+'7'!H189</f>
        <v>647</v>
      </c>
      <c r="I189" s="158"/>
      <c r="J189" s="179">
        <f>H189/DAY(B2)</f>
        <v>80.875</v>
      </c>
    </row>
    <row r="190" spans="1:10" ht="27.75" x14ac:dyDescent="0.5">
      <c r="A190" s="802"/>
      <c r="B190" s="803"/>
      <c r="C190" s="519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zoomScale="55" zoomScaleNormal="80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362</v>
      </c>
      <c r="B2" s="262">
        <v>44539</v>
      </c>
      <c r="C2" s="350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24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587875.67000000004</v>
      </c>
      <c r="F7" s="95">
        <v>612837</v>
      </c>
      <c r="G7" s="112">
        <f>F7-E7</f>
        <v>24961.329999999958</v>
      </c>
      <c r="H7" s="99">
        <f>G7+'8'!H7</f>
        <v>211995</v>
      </c>
      <c r="I7" s="113">
        <f>'1'!I7</f>
        <v>12000</v>
      </c>
      <c r="J7" s="175">
        <f>H7/DAY(B2)</f>
        <v>23555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627354.87</v>
      </c>
      <c r="F8" s="95">
        <v>652782</v>
      </c>
      <c r="G8" s="115">
        <f>F8-E8</f>
        <v>25427.130000000005</v>
      </c>
      <c r="H8" s="99">
        <f>G8+'8'!H8</f>
        <v>214487</v>
      </c>
      <c r="I8" s="116"/>
      <c r="J8" s="175">
        <f>H8/DAY(B2)</f>
        <v>23831.888888888891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1856028.1</v>
      </c>
      <c r="F9" s="355">
        <v>1874985</v>
      </c>
      <c r="G9" s="112">
        <f>F9-E9</f>
        <v>18956.899999999907</v>
      </c>
      <c r="H9" s="99">
        <f>G9+'8'!H9</f>
        <v>155887.30000000005</v>
      </c>
      <c r="I9" s="124">
        <f>I7-J7</f>
        <v>-11555</v>
      </c>
      <c r="J9" s="175">
        <f>H9/DAY(B2)</f>
        <v>17320.811111111117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451045.71</v>
      </c>
      <c r="F10" s="117">
        <v>456360</v>
      </c>
      <c r="G10" s="112">
        <f t="shared" ref="G10:G12" si="0">F10-E10</f>
        <v>5314.289999999979</v>
      </c>
      <c r="H10" s="99">
        <f>G10+'8'!H10</f>
        <v>50277.570000000007</v>
      </c>
      <c r="I10" s="282"/>
      <c r="J10" s="175">
        <f>H10/DAY(B2)</f>
        <v>5586.3966666666674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24271.189999999886</v>
      </c>
      <c r="H13" s="99">
        <f>G13+'8'!H13</f>
        <v>184114</v>
      </c>
      <c r="I13" s="120">
        <f>G7-G13</f>
        <v>690.14000000007218</v>
      </c>
      <c r="J13" s="175">
        <f>H13/DAY(B2)</f>
        <v>20457.111111111109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'8'!F15</f>
        <v>1852410.8</v>
      </c>
      <c r="F15" s="659">
        <v>1853606</v>
      </c>
      <c r="G15" s="112">
        <f>(F15-E15)</f>
        <v>1195.1999999999534</v>
      </c>
      <c r="H15" s="99">
        <f>G15+'8'!H15</f>
        <v>10458</v>
      </c>
      <c r="I15" s="113">
        <f>'1'!I15</f>
        <v>800</v>
      </c>
      <c r="J15" s="175">
        <f>H15/DAY(B2)</f>
        <v>1162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-362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'8'!F18</f>
        <v>22</v>
      </c>
      <c r="F18" s="122">
        <v>24</v>
      </c>
      <c r="G18" s="119">
        <f>F18*10</f>
        <v>240</v>
      </c>
      <c r="H18" s="99">
        <f>G18+'8'!H18</f>
        <v>1830</v>
      </c>
      <c r="I18" s="113">
        <f>'1'!I18</f>
        <v>65</v>
      </c>
      <c r="J18" s="175">
        <f>H18/DAY(B2)</f>
        <v>203.33333333333334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'8'!F19</f>
        <v>151011</v>
      </c>
      <c r="F19" s="122">
        <v>151066</v>
      </c>
      <c r="G19" s="112">
        <f t="shared" ref="G19" si="1">F19-E19</f>
        <v>55</v>
      </c>
      <c r="H19" s="99">
        <f>G19+'8'!H19</f>
        <v>482</v>
      </c>
      <c r="I19" s="337"/>
      <c r="J19" s="175">
        <f>H19/DAY(B2)</f>
        <v>53.555555555555557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295</v>
      </c>
      <c r="H20" s="99">
        <f>G20+'8'!H20</f>
        <v>2312</v>
      </c>
      <c r="I20" s="338">
        <f>I18-J20</f>
        <v>-191.88888888888891</v>
      </c>
      <c r="J20" s="175">
        <f>H20/DAY(B2)</f>
        <v>256.88888888888891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25427.130000000005</v>
      </c>
      <c r="F27" s="136">
        <v>9</v>
      </c>
      <c r="G27" s="137">
        <f>E27*F27</f>
        <v>228844.17000000004</v>
      </c>
      <c r="H27" s="99">
        <f>G27+'8'!H27</f>
        <v>1930383</v>
      </c>
      <c r="I27" s="138"/>
      <c r="J27" s="175">
        <f>H27/DAY(B2)</f>
        <v>214487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1195.1999999999534</v>
      </c>
      <c r="F28" s="136">
        <v>52</v>
      </c>
      <c r="G28" s="137">
        <f>E28*F28</f>
        <v>62150.399999997579</v>
      </c>
      <c r="H28" s="99">
        <f>G28+'8'!H28</f>
        <v>543816</v>
      </c>
      <c r="I28" s="140"/>
      <c r="J28" s="175">
        <f>H28/DAY(B2)</f>
        <v>60424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G30+'8'!H30</f>
        <v>70372</v>
      </c>
      <c r="I30" s="140"/>
      <c r="J30" s="175">
        <f>H30/DAY(B2)</f>
        <v>7819.1111111111113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G31+'8'!H31</f>
        <v>146400</v>
      </c>
      <c r="I31" s="140"/>
      <c r="J31" s="175">
        <f>H31/DAY(B2)</f>
        <v>16266.666666666666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318224.56999999762</v>
      </c>
      <c r="H32" s="99">
        <f>G32+'8'!H32</f>
        <v>2690971</v>
      </c>
      <c r="I32" s="144"/>
      <c r="J32" s="175">
        <f>H32/DAY(B2)</f>
        <v>298996.77777777775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'8'!F35</f>
        <v>110309.3</v>
      </c>
      <c r="F35" s="145">
        <v>112386</v>
      </c>
      <c r="G35" s="112">
        <f t="shared" ref="G35:G46" si="3">F35-E35</f>
        <v>2076.6999999999971</v>
      </c>
      <c r="H35" s="99">
        <f>G35+'8'!H35</f>
        <v>18851.369999999995</v>
      </c>
      <c r="I35" s="95"/>
      <c r="J35" s="175">
        <f>H35/DAY(B2)</f>
        <v>2094.5966666666664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'8'!F36</f>
        <v>87490.32</v>
      </c>
      <c r="F36" s="145">
        <v>88777</v>
      </c>
      <c r="G36" s="112">
        <f t="shared" si="3"/>
        <v>1286.679999999993</v>
      </c>
      <c r="H36" s="99">
        <f>G36+'8'!H36</f>
        <v>9313.3000000000029</v>
      </c>
      <c r="I36" s="95"/>
      <c r="J36" s="175">
        <f>H36/DAY(B2)</f>
        <v>1034.8111111111114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'8'!F37</f>
        <v>158769.92000000001</v>
      </c>
      <c r="F37" s="145">
        <v>160437</v>
      </c>
      <c r="G37" s="112">
        <f t="shared" si="3"/>
        <v>1667.0799999999872</v>
      </c>
      <c r="H37" s="99">
        <f>G37+'8'!H37</f>
        <v>14930.260000000009</v>
      </c>
      <c r="I37" s="95"/>
      <c r="J37" s="175">
        <f>H37/DAY(B2)</f>
        <v>1658.9177777777788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'8'!F38</f>
        <v>186634.77</v>
      </c>
      <c r="F38" s="108">
        <v>188689</v>
      </c>
      <c r="G38" s="112">
        <f t="shared" si="3"/>
        <v>2054.2300000000105</v>
      </c>
      <c r="H38" s="99">
        <f>G38+'8'!H38</f>
        <v>17684.950000000012</v>
      </c>
      <c r="I38" s="95"/>
      <c r="J38" s="175">
        <f>H38/DAY(B2)</f>
        <v>1964.9944444444457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'8'!F39</f>
        <v>344835.23</v>
      </c>
      <c r="F39" s="145">
        <v>347776</v>
      </c>
      <c r="G39" s="112">
        <f t="shared" si="3"/>
        <v>2940.7700000000186</v>
      </c>
      <c r="H39" s="99">
        <f>G39+'8'!H39</f>
        <v>26112.710000000021</v>
      </c>
      <c r="I39" s="95"/>
      <c r="J39" s="175">
        <f>H39/DAY(B2)</f>
        <v>2901.4122222222245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'8'!F40</f>
        <v>116.03</v>
      </c>
      <c r="F40" s="145">
        <v>116</v>
      </c>
      <c r="G40" s="112">
        <f t="shared" si="3"/>
        <v>-3.0000000000001137E-2</v>
      </c>
      <c r="H40" s="99">
        <f>G40+'8'!H40</f>
        <v>4.7800000000000011</v>
      </c>
      <c r="I40" s="95"/>
      <c r="J40" s="175">
        <f>H40/DAY(B2)</f>
        <v>0.5311111111111112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'8'!F41</f>
        <v>599900.39</v>
      </c>
      <c r="F41" s="145">
        <v>599900</v>
      </c>
      <c r="G41" s="112">
        <f t="shared" si="3"/>
        <v>-0.39000000001396984</v>
      </c>
      <c r="H41" s="99">
        <f>G41+'8'!H41</f>
        <v>9386.2900000000373</v>
      </c>
      <c r="I41" s="95"/>
      <c r="J41" s="175">
        <f>H41/DAY(B2)</f>
        <v>1042.9211111111154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'8'!F42</f>
        <v>334487.69</v>
      </c>
      <c r="F42" s="145">
        <v>339210</v>
      </c>
      <c r="G42" s="112">
        <f t="shared" si="3"/>
        <v>4722.3099999999977</v>
      </c>
      <c r="H42" s="99">
        <f>G42+'8'!H42</f>
        <v>23156.010000000009</v>
      </c>
      <c r="I42" s="95"/>
      <c r="J42" s="175">
        <f>H42/DAY(B2)</f>
        <v>2572.8900000000012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'8'!F43</f>
        <v>1550111.5</v>
      </c>
      <c r="F43" s="145">
        <v>1552829</v>
      </c>
      <c r="G43" s="112">
        <f t="shared" si="3"/>
        <v>2717.5</v>
      </c>
      <c r="H43" s="99">
        <f>G43+'8'!H43</f>
        <v>24230.399999999907</v>
      </c>
      <c r="I43" s="95"/>
      <c r="J43" s="175">
        <f>H43/DAY(B2)</f>
        <v>2692.2666666666564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17464.849999999991</v>
      </c>
      <c r="H47" s="99">
        <f>G47+'8'!H47</f>
        <v>143670.07</v>
      </c>
      <c r="I47" s="95"/>
      <c r="J47" s="175">
        <f>H47/DAY(B2)</f>
        <v>15963.341111111113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'8'!F49</f>
        <v>234401.13</v>
      </c>
      <c r="F49" s="145">
        <v>236167</v>
      </c>
      <c r="G49" s="112">
        <f t="shared" ref="G49:G58" si="4">F49-E49</f>
        <v>1765.8699999999953</v>
      </c>
      <c r="H49" s="99">
        <f>G49+'8'!H49</f>
        <v>15653.670000000013</v>
      </c>
      <c r="I49" s="95"/>
      <c r="J49" s="175">
        <f>H49/DAY(B2)</f>
        <v>1739.296666666668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'8'!F50</f>
        <v>734501.59</v>
      </c>
      <c r="F50" s="145">
        <v>736225</v>
      </c>
      <c r="G50" s="112">
        <f t="shared" si="4"/>
        <v>1723.4100000000326</v>
      </c>
      <c r="H50" s="99">
        <f>G50+'8'!H50</f>
        <v>13001.810000000056</v>
      </c>
      <c r="I50" s="95"/>
      <c r="J50" s="175">
        <f>H50/DAY(B2)</f>
        <v>1444.6455555555617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'8'!F54</f>
        <v>3081.94</v>
      </c>
      <c r="F54" s="145">
        <v>3086</v>
      </c>
      <c r="G54" s="112">
        <f t="shared" si="4"/>
        <v>4.0599999999999454</v>
      </c>
      <c r="H54" s="99">
        <f>G54+'8'!H54</f>
        <v>54.7199999999998</v>
      </c>
      <c r="I54" s="95"/>
      <c r="J54" s="175">
        <f>H54/DAY(B2)</f>
        <v>6.0799999999999779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'8'!F55</f>
        <v>0</v>
      </c>
      <c r="F55" s="145">
        <v>0</v>
      </c>
      <c r="G55" s="112">
        <f t="shared" si="4"/>
        <v>0</v>
      </c>
      <c r="H55" s="99">
        <f>G55+'8'!H55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'8'!F56</f>
        <v>209760.13</v>
      </c>
      <c r="F56" s="145">
        <v>211496</v>
      </c>
      <c r="G56" s="112">
        <f t="shared" si="4"/>
        <v>1735.8699999999953</v>
      </c>
      <c r="H56" s="99">
        <f>G56+'8'!H56</f>
        <v>20981.049999999988</v>
      </c>
      <c r="I56" s="95"/>
      <c r="J56" s="175">
        <f>H56/DAY(B2)</f>
        <v>2331.2277777777763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'8'!F58</f>
        <v>87117.13</v>
      </c>
      <c r="F58" s="145">
        <v>87348</v>
      </c>
      <c r="G58" s="112">
        <f t="shared" si="4"/>
        <v>230.86999999999534</v>
      </c>
      <c r="H58" s="99">
        <f>G58+'8'!H58</f>
        <v>2023.1499999999942</v>
      </c>
      <c r="I58" s="95"/>
      <c r="J58" s="175">
        <f>H58/DAY(B2)</f>
        <v>224.7944444444438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5460.0800000000181</v>
      </c>
      <c r="H59" s="99">
        <f>G59+'8'!H59</f>
        <v>51714.400000000052</v>
      </c>
      <c r="I59" s="95">
        <f>G7-G60</f>
        <v>2036.3999999999505</v>
      </c>
      <c r="J59" s="175">
        <f>H59/DAY(B2)</f>
        <v>5746.0444444444502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22924.930000000008</v>
      </c>
      <c r="H60" s="99">
        <f>G60+'8'!H60</f>
        <v>195384.47000000009</v>
      </c>
      <c r="I60" s="95">
        <f>G13-G60</f>
        <v>1346.2599999998783</v>
      </c>
      <c r="J60" s="175">
        <f>H60/DAY(B2)</f>
        <v>21709.385555555564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'8'!F62</f>
        <v>264411</v>
      </c>
      <c r="F62" s="122">
        <v>264552</v>
      </c>
      <c r="G62" s="112">
        <f t="shared" ref="G62:G63" si="5">F62-E62</f>
        <v>141</v>
      </c>
      <c r="H62" s="99">
        <f>G62+'8'!H62</f>
        <v>1087</v>
      </c>
      <c r="I62" s="118"/>
      <c r="J62" s="175">
        <f>H62/DAY(B2)</f>
        <v>120.77777777777777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'8'!F63</f>
        <v>210251</v>
      </c>
      <c r="F63" s="122">
        <v>210331</v>
      </c>
      <c r="G63" s="112">
        <f t="shared" si="5"/>
        <v>80</v>
      </c>
      <c r="H63" s="99">
        <f>G63+'8'!H63</f>
        <v>956</v>
      </c>
      <c r="I63" s="118"/>
      <c r="J63" s="175">
        <f>H63/DAY(B2)</f>
        <v>106.22222222222223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'8'!F64</f>
        <v>0</v>
      </c>
      <c r="F64" s="122"/>
      <c r="G64" s="112">
        <f>G62+G63</f>
        <v>221</v>
      </c>
      <c r="H64" s="99">
        <f>G64+'8'!H64</f>
        <v>2043</v>
      </c>
      <c r="I64" s="118"/>
      <c r="J64" s="175">
        <f>H64/DAY(B2)</f>
        <v>227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'8'!F65</f>
        <v>430153</v>
      </c>
      <c r="F65" s="122">
        <v>430285</v>
      </c>
      <c r="G65" s="112">
        <f t="shared" ref="G65:G70" si="6">F65-E65</f>
        <v>132</v>
      </c>
      <c r="H65" s="99">
        <f>G65+'8'!H65</f>
        <v>922</v>
      </c>
      <c r="I65" s="118"/>
      <c r="J65" s="175">
        <f>H65/DAY(B2)</f>
        <v>102.44444444444444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'8'!F66</f>
        <v>106772</v>
      </c>
      <c r="F66" s="122">
        <v>106786</v>
      </c>
      <c r="G66" s="112">
        <f t="shared" si="6"/>
        <v>14</v>
      </c>
      <c r="H66" s="99">
        <f>G66+'8'!H66</f>
        <v>187</v>
      </c>
      <c r="I66" s="118"/>
      <c r="J66" s="175">
        <f>H66/DAY(B2)</f>
        <v>20.777777777777779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'8'!F67</f>
        <v>103242</v>
      </c>
      <c r="F67" s="122">
        <v>103276</v>
      </c>
      <c r="G67" s="112">
        <f t="shared" si="6"/>
        <v>34</v>
      </c>
      <c r="H67" s="99">
        <f>G67+'8'!H67</f>
        <v>265</v>
      </c>
      <c r="I67" s="118"/>
      <c r="J67" s="175">
        <f>H67/DAY(B2)</f>
        <v>29.444444444444443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'8'!F68</f>
        <v>155740</v>
      </c>
      <c r="F68" s="122">
        <v>155796</v>
      </c>
      <c r="G68" s="112">
        <f t="shared" si="6"/>
        <v>56</v>
      </c>
      <c r="H68" s="99">
        <f>G68+'8'!H68</f>
        <v>356</v>
      </c>
      <c r="I68" s="118"/>
      <c r="J68" s="175">
        <f>H68/DAY(B2)</f>
        <v>39.555555555555557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'8'!F69</f>
        <v>9942</v>
      </c>
      <c r="F69" s="122">
        <v>9957</v>
      </c>
      <c r="G69" s="112">
        <f t="shared" si="6"/>
        <v>15</v>
      </c>
      <c r="H69" s="99">
        <f>G69+'8'!H69</f>
        <v>114</v>
      </c>
      <c r="I69" s="118"/>
      <c r="J69" s="175">
        <f>H69/DAY(B2)</f>
        <v>12.666666666666666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'8'!F70</f>
        <v>7623</v>
      </c>
      <c r="F70" s="122">
        <v>7633</v>
      </c>
      <c r="G70" s="112">
        <f t="shared" si="6"/>
        <v>10</v>
      </c>
      <c r="H70" s="99">
        <f>G70+'8'!H70</f>
        <v>91</v>
      </c>
      <c r="I70" s="118"/>
      <c r="J70" s="175">
        <f>H70/DAY(B2)</f>
        <v>10.111111111111111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261</v>
      </c>
      <c r="H71" s="99">
        <f>G71+'8'!H71</f>
        <v>1935</v>
      </c>
      <c r="I71" s="154"/>
      <c r="J71" s="175">
        <f>H71/DAY(B2)</f>
        <v>215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'8'!F74</f>
        <v>884770.35</v>
      </c>
      <c r="F74" s="117">
        <v>885086</v>
      </c>
      <c r="G74" s="112">
        <f t="shared" ref="G74:G78" si="7">F74-E74</f>
        <v>315.65000000002328</v>
      </c>
      <c r="H74" s="99">
        <f>G74+'8'!H74</f>
        <v>2832.9510000000009</v>
      </c>
      <c r="I74" s="154"/>
      <c r="J74" s="175">
        <f>H74/DAY(B2)</f>
        <v>314.77233333333345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'8'!F75</f>
        <v>73830.69</v>
      </c>
      <c r="F75" s="123">
        <v>73830.69</v>
      </c>
      <c r="G75" s="112">
        <f t="shared" si="7"/>
        <v>0</v>
      </c>
      <c r="H75" s="99">
        <f>G75+'8'!H75</f>
        <v>243.88999999999942</v>
      </c>
      <c r="I75" s="154"/>
      <c r="J75" s="175">
        <f>H75/DAY(B2)</f>
        <v>27.098888888888823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'8'!F76</f>
        <v>164413.20000000001</v>
      </c>
      <c r="F76" s="123">
        <v>164533</v>
      </c>
      <c r="G76" s="112">
        <f t="shared" si="7"/>
        <v>119.79999999998836</v>
      </c>
      <c r="H76" s="99">
        <f>G76+'8'!H76</f>
        <v>1149</v>
      </c>
      <c r="I76" s="154"/>
      <c r="J76" s="175">
        <f>H76/DAY(B2)</f>
        <v>127.66666666666667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'8'!F77</f>
        <v>39182</v>
      </c>
      <c r="F77" s="123">
        <v>39234</v>
      </c>
      <c r="G77" s="112">
        <f t="shared" si="7"/>
        <v>52</v>
      </c>
      <c r="H77" s="99">
        <f>G77+'8'!H77</f>
        <v>424</v>
      </c>
      <c r="I77" s="154"/>
      <c r="J77" s="175">
        <f>H77/DAY(B2)</f>
        <v>47.111111111111114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'8'!F78</f>
        <v>9439</v>
      </c>
      <c r="F78" s="123">
        <v>9443</v>
      </c>
      <c r="G78" s="112">
        <f t="shared" si="7"/>
        <v>4</v>
      </c>
      <c r="H78" s="99">
        <f>G78+'8'!H78</f>
        <v>31</v>
      </c>
      <c r="I78" s="118"/>
      <c r="J78" s="175">
        <f>H78/DAY(B2)</f>
        <v>3.4444444444444446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'8'!F79</f>
        <v>0</v>
      </c>
      <c r="F79" s="117"/>
      <c r="G79" s="112">
        <f>G15-SUM(G74:G78)</f>
        <v>703.74999999994179</v>
      </c>
      <c r="H79" s="99">
        <f>G79+'8'!H79</f>
        <v>5777.1589999999997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1195.1999999999534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'8'!F84</f>
        <v>41675.760000000002</v>
      </c>
      <c r="F84" s="164">
        <v>41675.760000000002</v>
      </c>
      <c r="G84" s="112">
        <f t="shared" si="8"/>
        <v>0</v>
      </c>
      <c r="H84" s="99">
        <f>G84+'8'!H84</f>
        <v>47.200000000004366</v>
      </c>
      <c r="I84" s="118"/>
      <c r="J84" s="175">
        <f>H84/DAY(B2)</f>
        <v>5.2444444444449294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'8'!F85</f>
        <v>1597.22</v>
      </c>
      <c r="F85" s="164">
        <v>1621</v>
      </c>
      <c r="G85" s="112">
        <f t="shared" si="8"/>
        <v>23.779999999999973</v>
      </c>
      <c r="H85" s="99">
        <f>G85+'8'!H85</f>
        <v>117.44000000000005</v>
      </c>
      <c r="I85" s="118">
        <f>G82+G83+G84+G85</f>
        <v>23.779999999999973</v>
      </c>
      <c r="J85" s="175">
        <f>H85/DAY(B2)</f>
        <v>13.048888888888895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'8'!F86</f>
        <v>42826.47</v>
      </c>
      <c r="F86" s="164">
        <v>42826.47</v>
      </c>
      <c r="G86" s="112">
        <f t="shared" si="8"/>
        <v>0</v>
      </c>
      <c r="H86" s="99">
        <f>G86+'8'!H86</f>
        <v>0.47000000000116415</v>
      </c>
      <c r="I86" s="118"/>
      <c r="J86" s="175">
        <f>H86/DAY(B2)</f>
        <v>5.2222222222351573E-2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'8'!F87</f>
        <v>34517.129999999997</v>
      </c>
      <c r="F87" s="164">
        <v>34525.550000000003</v>
      </c>
      <c r="G87" s="112">
        <f t="shared" si="8"/>
        <v>8.4200000000055297</v>
      </c>
      <c r="H87" s="99">
        <f>G87+'8'!H87</f>
        <v>105.15000000000146</v>
      </c>
      <c r="I87" s="118"/>
      <c r="J87" s="175">
        <f>H87/DAY(B2)</f>
        <v>11.683333333333495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'8'!F88</f>
        <v>23994.15</v>
      </c>
      <c r="F88" s="164">
        <v>23994</v>
      </c>
      <c r="G88" s="112">
        <f t="shared" si="8"/>
        <v>-0.15000000000145519</v>
      </c>
      <c r="H88" s="99">
        <f>G88+'8'!H88</f>
        <v>41.509999999998399</v>
      </c>
      <c r="I88" s="118">
        <f>G86+G87+G88</f>
        <v>8.2700000000040745</v>
      </c>
      <c r="J88" s="175">
        <f>H88/DAY(B2)</f>
        <v>4.6122222222220444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'8'!F89</f>
        <v>25470.19</v>
      </c>
      <c r="F89" s="164">
        <v>25482</v>
      </c>
      <c r="G89" s="112">
        <f t="shared" si="8"/>
        <v>11.81000000000131</v>
      </c>
      <c r="H89" s="99">
        <f>G89+'8'!H89</f>
        <v>54.509999999998399</v>
      </c>
      <c r="I89" s="118"/>
      <c r="J89" s="175">
        <f>H89/DAY(B2)</f>
        <v>6.056666666666489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'8'!F90</f>
        <v>70889.23</v>
      </c>
      <c r="F90" s="164">
        <v>70895.960000000006</v>
      </c>
      <c r="G90" s="112">
        <f t="shared" si="8"/>
        <v>6.7300000000104774</v>
      </c>
      <c r="H90" s="99">
        <f>G90+'8'!H90</f>
        <v>67.690000000002328</v>
      </c>
      <c r="I90" s="118">
        <f>G89+G90</f>
        <v>18.540000000011787</v>
      </c>
      <c r="J90" s="175">
        <f>H90/DAY(B2)</f>
        <v>7.5211111111113702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0.32000000000016371</v>
      </c>
      <c r="I91" s="165"/>
      <c r="J91" s="175">
        <f>H91/DAY(B2)</f>
        <v>3.5555555555573742E-2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'8'!F92</f>
        <v>5184.1899999999996</v>
      </c>
      <c r="F92" s="122">
        <v>5195</v>
      </c>
      <c r="G92" s="112">
        <f t="shared" si="8"/>
        <v>10.8100000000004</v>
      </c>
      <c r="H92" s="99">
        <f>G92+'8'!H92</f>
        <v>99.100000000000364</v>
      </c>
      <c r="I92" s="165"/>
      <c r="J92" s="175">
        <f>H92/DAY(B2)</f>
        <v>11.011111111111152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6560.0699999999924</v>
      </c>
      <c r="H94" s="99">
        <f>G94+'8'!H94</f>
        <v>58735.439999999915</v>
      </c>
      <c r="I94" s="118"/>
      <c r="J94" s="175">
        <f>H94/DAY(B2)</f>
        <v>6526.1599999999908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0.26280931344603847</v>
      </c>
      <c r="H95" s="99">
        <f>G95+'8'!H95</f>
        <v>2.4948051106482878</v>
      </c>
      <c r="I95" s="167"/>
      <c r="J95" s="175">
        <f>H95/DAY(B2)</f>
        <v>0.27720056784980973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6457.789999999979</v>
      </c>
      <c r="H96" s="99">
        <f>G96+'8'!H96</f>
        <v>53523.350000000035</v>
      </c>
      <c r="I96" s="118"/>
      <c r="J96" s="175">
        <f>H96/DAY(B2)</f>
        <v>5947.0388888888929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0.2587117753741483</v>
      </c>
      <c r="H97" s="99">
        <f>G97+'8'!H97</f>
        <v>2.2660369682783141</v>
      </c>
      <c r="I97" s="167"/>
      <c r="J97" s="175">
        <f>H97/DAY(B2)</f>
        <v>0.25178188536425711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2940.7700000000186</v>
      </c>
      <c r="H98" s="99">
        <f>G98+'8'!H98</f>
        <v>26112.710000000021</v>
      </c>
      <c r="I98" s="168"/>
      <c r="J98" s="175">
        <f>H98/DAY(B2)</f>
        <v>2901.4122222222245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0.11781303319975432</v>
      </c>
      <c r="H99" s="99">
        <f>G99+'8'!H99</f>
        <v>1.1104459233766797</v>
      </c>
      <c r="I99" s="168"/>
      <c r="J99" s="175">
        <f>H99/DAY(B2)</f>
        <v>0.12338288037518663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2054.2300000000105</v>
      </c>
      <c r="H100" s="99">
        <f>G100+'8'!H100</f>
        <v>17684.950000000012</v>
      </c>
      <c r="I100" s="118"/>
      <c r="J100" s="175">
        <f>H100/DAY(B2)</f>
        <v>1964.9944444444457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8.2296496220354204E-2</v>
      </c>
      <c r="H101" s="99">
        <f>G101+'8'!H101</f>
        <v>0.75199340166650674</v>
      </c>
      <c r="I101" s="168"/>
      <c r="J101" s="175">
        <f>H101/DAY(B2)</f>
        <v>8.3554822407389637E-2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3010.0900000000256</v>
      </c>
      <c r="H102" s="99">
        <f>G102+'8'!H102</f>
        <v>22315.110000000059</v>
      </c>
      <c r="I102" s="168"/>
      <c r="J102" s="175">
        <f>H102/DAY(B2)</f>
        <v>2479.4566666666733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0.12059012881124646</v>
      </c>
      <c r="H103" s="99">
        <f>G103+'8'!H103</f>
        <v>0.9469745405927249</v>
      </c>
      <c r="I103" s="118"/>
      <c r="J103" s="175">
        <f>H103/DAY(B2)</f>
        <v>0.10521939339919166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1667.0799999999872</v>
      </c>
      <c r="H104" s="99">
        <f>G104+'8'!H104</f>
        <v>14930.260000000009</v>
      </c>
      <c r="I104" s="118"/>
      <c r="J104" s="175">
        <f>H104/DAY(B2)</f>
        <v>1658.9177777777788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6.6786505366500507E-2</v>
      </c>
      <c r="H105" s="99">
        <f>G105+'8'!H105</f>
        <v>0.63548638383698686</v>
      </c>
      <c r="I105" s="187"/>
      <c r="J105" s="188">
        <f>H105/DAY(B2)</f>
        <v>7.0609598204109655E-2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'8'!F112</f>
        <v>53999.03</v>
      </c>
      <c r="F112" s="237">
        <v>54082</v>
      </c>
      <c r="G112" s="112">
        <f t="shared" ref="G112:G123" si="9">F112-E112</f>
        <v>82.970000000001164</v>
      </c>
      <c r="H112" s="99">
        <f>G112+'8'!H112</f>
        <v>729.98999999999796</v>
      </c>
      <c r="I112" s="165"/>
      <c r="J112" s="330">
        <f>H112/DAY(B2)</f>
        <v>81.109999999999772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'8'!F113</f>
        <v>21504.47</v>
      </c>
      <c r="F113" s="237">
        <v>21988</v>
      </c>
      <c r="G113" s="112">
        <f t="shared" si="9"/>
        <v>483.52999999999884</v>
      </c>
      <c r="H113" s="99">
        <f>G113+'8'!H113</f>
        <v>4031.4700000000012</v>
      </c>
      <c r="I113" s="165"/>
      <c r="J113" s="330">
        <f>H113/DAY(B2)</f>
        <v>447.94111111111124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'8'!F114</f>
        <v>16533.490000000002</v>
      </c>
      <c r="F114" s="237">
        <v>16982</v>
      </c>
      <c r="G114" s="112">
        <f t="shared" si="9"/>
        <v>448.5099999999984</v>
      </c>
      <c r="H114" s="99">
        <f>G114+'8'!H114</f>
        <v>3054.8999999999996</v>
      </c>
      <c r="I114" s="165"/>
      <c r="J114" s="330">
        <f>H114/DAY(B2)</f>
        <v>339.43333333333328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'8'!F115</f>
        <v>8517.1200000000008</v>
      </c>
      <c r="F115" s="237">
        <v>8531</v>
      </c>
      <c r="G115" s="112">
        <f t="shared" si="9"/>
        <v>13.8799999999992</v>
      </c>
      <c r="H115" s="99">
        <f>G115+'8'!H115</f>
        <v>107.31999999999971</v>
      </c>
      <c r="I115" s="165"/>
      <c r="J115" s="330">
        <f>H115/DAY(B2)</f>
        <v>11.924444444444411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30">
        <f>H116/DAY(B2)</f>
        <v>0</v>
      </c>
      <c r="Q116" s="839"/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'8'!F117</f>
        <v>2099.34</v>
      </c>
      <c r="F117" s="237">
        <v>2118</v>
      </c>
      <c r="G117" s="112">
        <f t="shared" si="9"/>
        <v>18.659999999999854</v>
      </c>
      <c r="H117" s="99">
        <f>G117+'8'!H117</f>
        <v>176.92000000000007</v>
      </c>
      <c r="I117" s="165"/>
      <c r="J117" s="330">
        <f>H117/DAY(B2)</f>
        <v>19.657777777777785</v>
      </c>
      <c r="Q117" s="839"/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'8'!F118</f>
        <v>232864.75</v>
      </c>
      <c r="F118" s="237">
        <v>233218</v>
      </c>
      <c r="G118" s="112">
        <f t="shared" si="9"/>
        <v>353.25</v>
      </c>
      <c r="H118" s="99">
        <f>G118+'8'!H118</f>
        <v>3380.2699999999895</v>
      </c>
      <c r="I118" s="165"/>
      <c r="J118" s="330">
        <f>H118/DAY(B2)</f>
        <v>375.58555555555438</v>
      </c>
      <c r="Q118" s="839"/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'8'!F119</f>
        <v>235274.83</v>
      </c>
      <c r="F119" s="237">
        <v>235689</v>
      </c>
      <c r="G119" s="112">
        <f t="shared" si="9"/>
        <v>414.17000000001281</v>
      </c>
      <c r="H119" s="99">
        <f>G119+'8'!H119</f>
        <v>3962.4700000000012</v>
      </c>
      <c r="I119" s="165"/>
      <c r="J119" s="330">
        <f>H119/DAY(B2)</f>
        <v>440.27444444444455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'8'!F120</f>
        <v>20591.14</v>
      </c>
      <c r="F120" s="237">
        <v>21010</v>
      </c>
      <c r="G120" s="112">
        <f t="shared" si="9"/>
        <v>418.86000000000058</v>
      </c>
      <c r="H120" s="99">
        <f>G120+'8'!H120</f>
        <v>3824.6800000000003</v>
      </c>
      <c r="I120" s="165"/>
      <c r="J120" s="330">
        <f>H120/DAY(B2)</f>
        <v>424.9644444444445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'8'!F121</f>
        <v>358808.91</v>
      </c>
      <c r="F121" s="237">
        <v>359545</v>
      </c>
      <c r="G121" s="112">
        <f t="shared" si="9"/>
        <v>736.09000000002561</v>
      </c>
      <c r="H121" s="99">
        <f>G121+'8'!H121</f>
        <v>6490.7700000000186</v>
      </c>
      <c r="I121" s="165"/>
      <c r="J121" s="330">
        <f>H121/DAY(B2)</f>
        <v>721.19666666666876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'8'!F122</f>
        <v>113627.3</v>
      </c>
      <c r="F122" s="237">
        <v>113945</v>
      </c>
      <c r="G122" s="112">
        <f t="shared" si="9"/>
        <v>317.69999999999709</v>
      </c>
      <c r="H122" s="99">
        <f>G122+'8'!H122</f>
        <v>2935.2100000000064</v>
      </c>
      <c r="I122" s="165"/>
      <c r="J122" s="330">
        <f>H122/DAY(B2)</f>
        <v>326.13444444444514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'8'!F123</f>
        <v>136836.69</v>
      </c>
      <c r="F123" s="237">
        <v>137174.71</v>
      </c>
      <c r="G123" s="112">
        <f t="shared" si="9"/>
        <v>338.01999999998952</v>
      </c>
      <c r="H123" s="99">
        <f>G123+'8'!H123</f>
        <v>2808.7099999999919</v>
      </c>
      <c r="I123" s="165"/>
      <c r="J123" s="330">
        <f>H123/DAY(B2)</f>
        <v>312.078888888888</v>
      </c>
    </row>
    <row r="124" spans="1:18" ht="29.25" customHeight="1" x14ac:dyDescent="0.5">
      <c r="A124" s="864"/>
      <c r="B124" s="865"/>
      <c r="C124" s="866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3625.6400000000231</v>
      </c>
      <c r="H125" s="156"/>
      <c r="I125" s="329">
        <f>G125-(G39+G53)</f>
        <v>684.87000000000444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G127+'8'!H127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'8'!F128</f>
        <v>30184.17</v>
      </c>
      <c r="F128" s="155">
        <v>30519</v>
      </c>
      <c r="G128" s="112">
        <f t="shared" ref="G128:G134" si="10">F128-E128</f>
        <v>334.83000000000175</v>
      </c>
      <c r="H128" s="99">
        <f>G128+'8'!H128</f>
        <v>2914.630000000001</v>
      </c>
      <c r="I128" s="165"/>
      <c r="J128" s="330">
        <f>H128/DAY(B2)</f>
        <v>323.84777777777788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'8'!F129</f>
        <v>14908.33</v>
      </c>
      <c r="F129" s="155">
        <v>15176</v>
      </c>
      <c r="G129" s="112">
        <f t="shared" si="10"/>
        <v>267.67000000000007</v>
      </c>
      <c r="H129" s="99">
        <f>G129+'8'!H129</f>
        <v>2428.41</v>
      </c>
      <c r="I129" s="165"/>
      <c r="J129" s="330">
        <f>H129/DAY(B2)</f>
        <v>269.82333333333332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'8'!F130</f>
        <v>4272.82</v>
      </c>
      <c r="F130" s="155">
        <v>4533</v>
      </c>
      <c r="G130" s="112">
        <f t="shared" si="10"/>
        <v>260.18000000000029</v>
      </c>
      <c r="H130" s="99">
        <f>G130+'8'!H130</f>
        <v>2475.89</v>
      </c>
      <c r="I130" s="165"/>
      <c r="J130" s="330">
        <f>H130/DAY(B2)</f>
        <v>275.09888888888889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'8'!F131</f>
        <v>10435.31</v>
      </c>
      <c r="F131" s="155">
        <v>10604</v>
      </c>
      <c r="G131" s="112">
        <f t="shared" si="10"/>
        <v>168.69000000000051</v>
      </c>
      <c r="H131" s="99">
        <f>G131+'8'!H131</f>
        <v>1434.6499999999996</v>
      </c>
      <c r="I131" s="165"/>
      <c r="J131" s="330">
        <f>H131/DAY(B2)</f>
        <v>159.40555555555551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'8'!F132</f>
        <v>29708.23</v>
      </c>
      <c r="F132" s="155">
        <v>30194</v>
      </c>
      <c r="G132" s="112">
        <f t="shared" si="10"/>
        <v>485.77000000000044</v>
      </c>
      <c r="H132" s="99">
        <f>G132+'8'!H132</f>
        <v>4013.7599999999984</v>
      </c>
      <c r="I132" s="165"/>
      <c r="J132" s="330">
        <f>H132/DAY(B2)</f>
        <v>445.97333333333313</v>
      </c>
    </row>
    <row r="133" spans="1:15" ht="27.75" x14ac:dyDescent="0.5">
      <c r="A133" s="839" t="s">
        <v>323</v>
      </c>
      <c r="B133" s="840"/>
      <c r="C133" s="841"/>
      <c r="D133" s="151" t="s">
        <v>183</v>
      </c>
      <c r="E133" s="95">
        <f>'8'!F133</f>
        <v>70267.509999999995</v>
      </c>
      <c r="F133" s="155">
        <v>71098</v>
      </c>
      <c r="G133" s="112">
        <f t="shared" si="10"/>
        <v>830.49000000000524</v>
      </c>
      <c r="H133" s="99">
        <f>G133+'8'!H133</f>
        <v>7623.5800000000017</v>
      </c>
      <c r="I133" s="165"/>
      <c r="J133" s="330">
        <f>H133/DAY(B2)</f>
        <v>847.06444444444469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'8'!F134</f>
        <v>656265</v>
      </c>
      <c r="F134" s="155">
        <v>656891</v>
      </c>
      <c r="G134" s="112">
        <f t="shared" si="10"/>
        <v>626</v>
      </c>
      <c r="H134" s="99">
        <f>G134+'8'!H134</f>
        <v>5632</v>
      </c>
      <c r="I134" s="165"/>
      <c r="J134" s="330">
        <f>H134/DAY(B2)</f>
        <v>625.77777777777783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2973.6300000000083</v>
      </c>
      <c r="H135" s="99">
        <f>G135+'8'!H135</f>
        <v>26522.92</v>
      </c>
      <c r="I135" s="329">
        <f>G135-(G35+G49)</f>
        <v>-868.93999999998414</v>
      </c>
      <c r="J135" s="330">
        <f>H135/DAY(B2)</f>
        <v>2946.991111111111</v>
      </c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'8'!F138</f>
        <v>861616</v>
      </c>
      <c r="F138" s="147">
        <v>861654</v>
      </c>
      <c r="G138" s="112">
        <f t="shared" ref="G138:G152" si="11">F138-E138</f>
        <v>38</v>
      </c>
      <c r="H138" s="99">
        <f>G138+'8'!H138</f>
        <v>392</v>
      </c>
      <c r="I138" s="118"/>
      <c r="J138" s="330">
        <f>H138/DAY(B2)</f>
        <v>43.555555555555557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'8'!F139</f>
        <v>886284</v>
      </c>
      <c r="F139" s="148">
        <v>886292</v>
      </c>
      <c r="G139" s="112">
        <f t="shared" si="11"/>
        <v>8</v>
      </c>
      <c r="H139" s="99">
        <f>G139+'8'!H139</f>
        <v>93</v>
      </c>
      <c r="I139" s="118"/>
      <c r="J139" s="330">
        <f>H139/DAY(B2)</f>
        <v>10.333333333333334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'8'!F140</f>
        <v>88863.23</v>
      </c>
      <c r="F140" s="149">
        <v>88863.23</v>
      </c>
      <c r="G140" s="112">
        <f t="shared" si="11"/>
        <v>0</v>
      </c>
      <c r="H140" s="99">
        <f>G140+'8'!H140</f>
        <v>14.229999999995925</v>
      </c>
      <c r="I140" s="118"/>
      <c r="J140" s="330">
        <f>H140/DAY(B2)</f>
        <v>1.5811111111106584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'8'!F141</f>
        <v>44708.73</v>
      </c>
      <c r="F141" s="149">
        <v>44907</v>
      </c>
      <c r="G141" s="112">
        <f t="shared" si="11"/>
        <v>198.2699999999968</v>
      </c>
      <c r="H141" s="99">
        <f>G141+'8'!H141</f>
        <v>1780.2699999999968</v>
      </c>
      <c r="I141" s="118"/>
      <c r="J141" s="330">
        <f>H141/DAY(B2)</f>
        <v>197.80777777777743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'8'!F142</f>
        <v>17599.07</v>
      </c>
      <c r="F142" s="148">
        <v>17618</v>
      </c>
      <c r="G142" s="112">
        <f t="shared" si="11"/>
        <v>18.930000000000291</v>
      </c>
      <c r="H142" s="99">
        <f>G142+'8'!H142</f>
        <v>157.5</v>
      </c>
      <c r="I142" s="140"/>
      <c r="J142" s="330">
        <f>H142/DAY(B2)</f>
        <v>17.5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'8'!F143</f>
        <v>2440.96</v>
      </c>
      <c r="F143" s="149">
        <v>2475</v>
      </c>
      <c r="G143" s="112">
        <f t="shared" si="11"/>
        <v>34.039999999999964</v>
      </c>
      <c r="H143" s="99">
        <f>G143+'8'!H143</f>
        <v>273.59999999999991</v>
      </c>
      <c r="I143" s="140"/>
      <c r="J143" s="330">
        <f>H143/DAY(B2)</f>
        <v>30.399999999999991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'8'!F144</f>
        <v>864227</v>
      </c>
      <c r="F144" s="149">
        <v>864456</v>
      </c>
      <c r="G144" s="112">
        <f t="shared" si="11"/>
        <v>229</v>
      </c>
      <c r="H144" s="99">
        <f>G144+'8'!H144</f>
        <v>2061</v>
      </c>
      <c r="I144" s="140"/>
      <c r="J144" s="330">
        <f>H144/DAY(B2)</f>
        <v>229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'8'!F145</f>
        <v>3773.28</v>
      </c>
      <c r="F145" s="149">
        <v>3818</v>
      </c>
      <c r="G145" s="112">
        <f t="shared" si="11"/>
        <v>44.7199999999998</v>
      </c>
      <c r="H145" s="99">
        <f>G145+'8'!H145</f>
        <v>399</v>
      </c>
      <c r="I145" s="140"/>
      <c r="J145" s="330">
        <f>H145/DAY(B2)</f>
        <v>44.333333333333336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'8'!F146</f>
        <v>714055</v>
      </c>
      <c r="F146" s="148">
        <v>714481</v>
      </c>
      <c r="G146" s="112">
        <f t="shared" si="11"/>
        <v>426</v>
      </c>
      <c r="H146" s="99">
        <f>G146+'8'!H146</f>
        <v>3596</v>
      </c>
      <c r="I146" s="140"/>
      <c r="J146" s="330">
        <f>H146/DAY(B2)</f>
        <v>399.55555555555554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'8'!F147</f>
        <v>605533.56000000006</v>
      </c>
      <c r="F147" s="148">
        <v>605961</v>
      </c>
      <c r="G147" s="112">
        <f t="shared" si="11"/>
        <v>427.43999999994412</v>
      </c>
      <c r="H147" s="99">
        <f>G147+'8'!H147</f>
        <v>3975.9599999999627</v>
      </c>
      <c r="I147" s="140"/>
      <c r="J147" s="330">
        <f>H147/DAY(B2)</f>
        <v>441.77333333332922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'8'!F148</f>
        <v>676070</v>
      </c>
      <c r="F148" s="532">
        <v>676401</v>
      </c>
      <c r="G148" s="112">
        <f t="shared" si="11"/>
        <v>331</v>
      </c>
      <c r="H148" s="99">
        <f>G148+'8'!H148</f>
        <v>2611.3199999999488</v>
      </c>
      <c r="I148" s="124"/>
      <c r="J148" s="330">
        <f>H148/DAY(B2)</f>
        <v>290.14666666666096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'8'!F149</f>
        <v>98232</v>
      </c>
      <c r="F149" s="146">
        <v>98656</v>
      </c>
      <c r="G149" s="112">
        <f t="shared" si="11"/>
        <v>424</v>
      </c>
      <c r="H149" s="99">
        <f>G149+'8'!H149</f>
        <v>3634</v>
      </c>
      <c r="I149" s="119"/>
      <c r="J149" s="330">
        <f>H149/DAY(B2)</f>
        <v>403.77777777777777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'8'!F150</f>
        <v>7167232</v>
      </c>
      <c r="F150" s="233">
        <v>7167232</v>
      </c>
      <c r="G150" s="112">
        <f t="shared" si="11"/>
        <v>0</v>
      </c>
      <c r="H150" s="99">
        <f>G150+'8'!H150</f>
        <v>0</v>
      </c>
      <c r="I150" s="119"/>
      <c r="J150" s="330">
        <f>H150/DAY(B2)</f>
        <v>0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'8'!F151</f>
        <v>72787</v>
      </c>
      <c r="F151" s="233">
        <v>73012</v>
      </c>
      <c r="G151" s="112">
        <f t="shared" si="11"/>
        <v>225</v>
      </c>
      <c r="H151" s="99">
        <f>G151+'8'!H151</f>
        <v>2290</v>
      </c>
      <c r="I151" s="119"/>
      <c r="J151" s="330">
        <f>H151/DAY(B2)</f>
        <v>254.44444444444446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'8'!F152</f>
        <v>0</v>
      </c>
      <c r="F152" s="233">
        <v>0</v>
      </c>
      <c r="G152" s="112">
        <f t="shared" si="11"/>
        <v>0</v>
      </c>
      <c r="H152" s="99">
        <f>G152+'8'!H152</f>
        <v>0</v>
      </c>
      <c r="I152" s="119"/>
      <c r="J152" s="330">
        <f>H152/DAY(B2)</f>
        <v>0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2404.399999999941</v>
      </c>
      <c r="H153" s="365"/>
      <c r="I153" s="119">
        <f>G153-(G38+G52)</f>
        <v>350.1699999999305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'8'!F155</f>
        <v>77583.100000000006</v>
      </c>
      <c r="F155" s="376">
        <v>77591</v>
      </c>
      <c r="G155" s="112">
        <f t="shared" ref="G155:G156" si="12">F155-E155</f>
        <v>7.8999999999941792</v>
      </c>
      <c r="H155" s="99">
        <f>G155+'8'!H155</f>
        <v>67</v>
      </c>
      <c r="I155" s="366"/>
      <c r="J155" s="330">
        <f>H155/DAY(B2)</f>
        <v>7.4444444444444446</v>
      </c>
    </row>
    <row r="156" spans="1:10" ht="27.75" x14ac:dyDescent="0.5">
      <c r="A156" s="838" t="s">
        <v>346</v>
      </c>
      <c r="B156" s="838"/>
      <c r="C156" s="838"/>
      <c r="D156" s="117" t="s">
        <v>130</v>
      </c>
      <c r="E156" s="95">
        <f>'8'!F156</f>
        <v>0</v>
      </c>
      <c r="F156" s="155">
        <v>0</v>
      </c>
      <c r="G156" s="112">
        <f t="shared" si="12"/>
        <v>0</v>
      </c>
      <c r="H156" s="99">
        <f>G156+'8'!H156</f>
        <v>0</v>
      </c>
      <c r="I156" s="165"/>
      <c r="J156" s="330">
        <f>H156/DAY(B2)</f>
        <v>0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/>
      <c r="F157" s="155"/>
      <c r="G157" s="112"/>
      <c r="H157" s="99"/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/>
      <c r="F158" s="155"/>
      <c r="G158" s="112"/>
      <c r="H158" s="99"/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471104.12</v>
      </c>
      <c r="F161" s="547">
        <v>471116</v>
      </c>
      <c r="G161" s="238">
        <f t="shared" ref="G161:G166" si="13">F161-E161</f>
        <v>11.880000000004657</v>
      </c>
      <c r="H161" s="99">
        <f>G161+'8'!H161</f>
        <v>139.88000000000466</v>
      </c>
      <c r="I161" s="236"/>
      <c r="J161" s="239">
        <f>H161/DAY(B2)</f>
        <v>15.54222222222274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86913</v>
      </c>
      <c r="F162" s="235">
        <v>86942</v>
      </c>
      <c r="G162" s="238">
        <f t="shared" si="13"/>
        <v>29</v>
      </c>
      <c r="H162" s="99">
        <f>G162+'8'!H162</f>
        <v>340.30000000000291</v>
      </c>
      <c r="I162" s="236"/>
      <c r="J162" s="239">
        <f>H162/DAY(B2)</f>
        <v>37.811111111111437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76180.73</v>
      </c>
      <c r="F163" s="235">
        <v>76237</v>
      </c>
      <c r="G163" s="238">
        <f t="shared" si="13"/>
        <v>56.270000000004075</v>
      </c>
      <c r="H163" s="99">
        <f>G163+'8'!H163</f>
        <v>777.19999999999709</v>
      </c>
      <c r="I163" s="236"/>
      <c r="J163" s="239">
        <f>H163/DAY(B2)</f>
        <v>86.355555555555227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4139.6000000000004</v>
      </c>
      <c r="F164" s="235">
        <v>4145</v>
      </c>
      <c r="G164" s="238">
        <f t="shared" si="13"/>
        <v>5.3999999999996362</v>
      </c>
      <c r="H164" s="99">
        <f>G164+'8'!H164</f>
        <v>47.100000000000364</v>
      </c>
      <c r="I164" s="236"/>
      <c r="J164" s="239">
        <f>H164/DAY(B2)</f>
        <v>5.2333333333333734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29490.5</v>
      </c>
      <c r="F165" s="235">
        <v>29499</v>
      </c>
      <c r="G165" s="238">
        <f t="shared" si="13"/>
        <v>8.5</v>
      </c>
      <c r="H165" s="99">
        <f>G165+'8'!H165</f>
        <v>70.06880000000092</v>
      </c>
      <c r="I165" s="236"/>
      <c r="J165" s="239">
        <f>H165/DAY(B2)</f>
        <v>7.7854222222223246</v>
      </c>
    </row>
    <row r="166" spans="1:10" ht="29.25" x14ac:dyDescent="0.5">
      <c r="A166" s="870"/>
      <c r="B166" s="870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'8'!F173</f>
        <v>8107</v>
      </c>
      <c r="F173" s="155">
        <v>8107</v>
      </c>
      <c r="G173" s="155">
        <f>F173-E173</f>
        <v>0</v>
      </c>
      <c r="H173" s="99">
        <f>G173+'8'!H173</f>
        <v>0</v>
      </c>
      <c r="I173" s="155"/>
      <c r="J173" s="178">
        <f>H173/DAY(B2)</f>
        <v>0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'8'!F174</f>
        <v>37936</v>
      </c>
      <c r="F174" s="157">
        <v>37951</v>
      </c>
      <c r="G174" s="155">
        <f t="shared" ref="G174:G175" si="14">F174-E174</f>
        <v>15</v>
      </c>
      <c r="H174" s="99">
        <f>G174+'8'!H174</f>
        <v>143</v>
      </c>
      <c r="I174" s="155"/>
      <c r="J174" s="178">
        <f>H174/DAY(B2)</f>
        <v>15.888888888888889</v>
      </c>
    </row>
    <row r="175" spans="1:10" ht="27.75" x14ac:dyDescent="0.5">
      <c r="A175" s="831" t="s">
        <v>76</v>
      </c>
      <c r="B175" s="833"/>
      <c r="C175" s="832"/>
      <c r="D175" s="228" t="s">
        <v>142</v>
      </c>
      <c r="E175" s="95">
        <f>'8'!F175</f>
        <v>21237</v>
      </c>
      <c r="F175" s="155">
        <v>21251</v>
      </c>
      <c r="G175" s="155">
        <f t="shared" si="14"/>
        <v>14</v>
      </c>
      <c r="H175" s="99">
        <f>G175+'8'!H175</f>
        <v>114</v>
      </c>
      <c r="I175" s="155"/>
      <c r="J175" s="178">
        <f>H175/DAY(B2)</f>
        <v>12.666666666666666</v>
      </c>
    </row>
    <row r="176" spans="1:10" ht="27.75" x14ac:dyDescent="0.5">
      <c r="A176" s="867" t="s">
        <v>196</v>
      </c>
      <c r="B176" s="868"/>
      <c r="C176" s="335"/>
      <c r="D176" s="228" t="s">
        <v>142</v>
      </c>
      <c r="E176" s="95"/>
      <c r="F176" s="155"/>
      <c r="G176" s="155">
        <f>SUM(G173:G175)</f>
        <v>29</v>
      </c>
      <c r="H176" s="99">
        <f>G176+'8'!H176</f>
        <v>257</v>
      </c>
      <c r="I176" s="155"/>
      <c r="J176" s="178">
        <f>H176/DAY(B2)</f>
        <v>28.555555555555557</v>
      </c>
    </row>
    <row r="177" spans="1:10" ht="27.75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831" t="s">
        <v>210</v>
      </c>
      <c r="B178" s="832"/>
      <c r="C178" s="335"/>
      <c r="D178" s="228" t="s">
        <v>142</v>
      </c>
      <c r="E178" s="95">
        <f>'8'!F178</f>
        <v>77942</v>
      </c>
      <c r="F178" s="155">
        <v>78012</v>
      </c>
      <c r="G178" s="155">
        <f>F178-E178</f>
        <v>70</v>
      </c>
      <c r="H178" s="99">
        <f>G178+'8'!H178</f>
        <v>660</v>
      </c>
      <c r="I178" s="155"/>
      <c r="J178" s="178">
        <f>H178/DAY(B2)</f>
        <v>73.333333333333329</v>
      </c>
    </row>
    <row r="179" spans="1:10" ht="27.75" x14ac:dyDescent="0.5">
      <c r="A179" s="831" t="s">
        <v>211</v>
      </c>
      <c r="B179" s="832"/>
      <c r="C179" s="335"/>
      <c r="D179" s="228" t="s">
        <v>142</v>
      </c>
      <c r="E179" s="95">
        <f>'8'!F179</f>
        <v>33886</v>
      </c>
      <c r="F179" s="155">
        <v>33888</v>
      </c>
      <c r="G179" s="155">
        <f t="shared" ref="G179:G180" si="15">F179-E179</f>
        <v>2</v>
      </c>
      <c r="H179" s="99">
        <f>G179+'8'!H179</f>
        <v>2</v>
      </c>
      <c r="I179" s="155"/>
      <c r="J179" s="178">
        <f>H179/DAY(B2)</f>
        <v>0.22222222222222221</v>
      </c>
    </row>
    <row r="180" spans="1:10" ht="31.5" customHeight="1" x14ac:dyDescent="0.5">
      <c r="A180" s="831" t="s">
        <v>212</v>
      </c>
      <c r="B180" s="832"/>
      <c r="C180" s="335"/>
      <c r="D180" s="228" t="s">
        <v>142</v>
      </c>
      <c r="E180" s="95">
        <f>'8'!F180</f>
        <v>5330</v>
      </c>
      <c r="F180" s="155">
        <v>5333</v>
      </c>
      <c r="G180" s="155">
        <f t="shared" si="15"/>
        <v>3</v>
      </c>
      <c r="H180" s="99">
        <f>G180+'8'!H180</f>
        <v>60</v>
      </c>
      <c r="I180" s="155"/>
      <c r="J180" s="178">
        <f>H180/DAY(B2)</f>
        <v>6.666666666666667</v>
      </c>
    </row>
    <row r="181" spans="1:10" ht="27.75" x14ac:dyDescent="0.5">
      <c r="A181" s="872" t="s">
        <v>108</v>
      </c>
      <c r="B181" s="873"/>
      <c r="C181" s="335"/>
      <c r="D181" s="228" t="s">
        <v>142</v>
      </c>
      <c r="E181" s="95"/>
      <c r="F181" s="155"/>
      <c r="G181" s="155">
        <f>SUM(G178:G180)</f>
        <v>75</v>
      </c>
      <c r="H181" s="99">
        <f>G181+'8'!H181</f>
        <v>722</v>
      </c>
      <c r="I181" s="155"/>
      <c r="J181" s="178">
        <f>H181/DAY(B2)</f>
        <v>80.222222222222229</v>
      </c>
    </row>
    <row r="182" spans="1:10" ht="27.75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'8'!F183</f>
        <v>14616</v>
      </c>
      <c r="F183" s="157">
        <v>14635</v>
      </c>
      <c r="G183" s="157">
        <f>F183-E183</f>
        <v>19</v>
      </c>
      <c r="H183" s="99">
        <f>G183+'8'!H183</f>
        <v>139</v>
      </c>
      <c r="I183" s="155"/>
      <c r="J183" s="178">
        <f>H183/DAY(B2)</f>
        <v>15.444444444444445</v>
      </c>
    </row>
    <row r="184" spans="1:10" ht="27.75" x14ac:dyDescent="0.5">
      <c r="A184" s="831" t="s">
        <v>215</v>
      </c>
      <c r="B184" s="832"/>
      <c r="C184" s="336"/>
      <c r="D184" s="228" t="s">
        <v>142</v>
      </c>
      <c r="E184" s="95">
        <f>'8'!F184</f>
        <v>10102</v>
      </c>
      <c r="F184" s="157">
        <v>10111</v>
      </c>
      <c r="G184" s="157">
        <f t="shared" ref="G184:G185" si="16">F184-E184</f>
        <v>9</v>
      </c>
      <c r="H184" s="99">
        <f>G184+'8'!H184</f>
        <v>80</v>
      </c>
      <c r="I184" s="155"/>
      <c r="J184" s="178">
        <f>H184/DAY(B2)</f>
        <v>8.8888888888888893</v>
      </c>
    </row>
    <row r="185" spans="1:10" ht="35.25" customHeight="1" x14ac:dyDescent="0.5">
      <c r="A185" s="831" t="s">
        <v>216</v>
      </c>
      <c r="B185" s="832"/>
      <c r="C185" s="336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867" t="s">
        <v>196</v>
      </c>
      <c r="B186" s="868"/>
      <c r="C186" s="336"/>
      <c r="D186" s="228" t="s">
        <v>142</v>
      </c>
      <c r="E186" s="95"/>
      <c r="F186" s="157"/>
      <c r="G186" s="157">
        <f>SUM(G183:G185)</f>
        <v>28</v>
      </c>
      <c r="H186" s="99">
        <f>G186+'8'!H186</f>
        <v>219</v>
      </c>
      <c r="I186" s="157"/>
      <c r="J186" s="178">
        <f>H186/DAY(B2)</f>
        <v>24.333333333333332</v>
      </c>
    </row>
    <row r="187" spans="1:10" ht="27.75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506">
        <f>G62+G19</f>
        <v>196</v>
      </c>
      <c r="H187" s="99">
        <f>G187+'8'!H187</f>
        <v>1569</v>
      </c>
      <c r="I187" s="158"/>
      <c r="J187" s="179">
        <f>H187/DAY(B2)</f>
        <v>174.33333333333334</v>
      </c>
    </row>
    <row r="188" spans="1:10" ht="27.75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205</v>
      </c>
      <c r="H188" s="99">
        <f>G188+'8'!H188</f>
        <v>1579</v>
      </c>
      <c r="I188" s="158"/>
      <c r="J188" s="179">
        <f>H188/DAY(B2)</f>
        <v>175.44444444444446</v>
      </c>
    </row>
    <row r="189" spans="1:10" ht="27.75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75</v>
      </c>
      <c r="H189" s="99">
        <f>G189+'8'!H189</f>
        <v>722</v>
      </c>
      <c r="I189" s="158"/>
      <c r="J189" s="179">
        <f>H189/DAY(B2)</f>
        <v>80.222222222222229</v>
      </c>
    </row>
    <row r="190" spans="1:10" ht="29.25" customHeight="1" x14ac:dyDescent="0.5">
      <c r="A190" s="802"/>
      <c r="B190" s="803"/>
      <c r="C190" s="519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97" zoomScale="50" zoomScaleNormal="55" zoomScaleSheetLayoutView="50" workbookViewId="0">
      <selection activeCell="F174" sqref="F17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357</v>
      </c>
      <c r="B2" s="262">
        <v>44540</v>
      </c>
      <c r="C2" s="350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26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612837</v>
      </c>
      <c r="F7" s="95">
        <v>636776</v>
      </c>
      <c r="G7" s="112">
        <f>F7-E7</f>
        <v>23939</v>
      </c>
      <c r="H7" s="99">
        <f>G7+'9'!H7</f>
        <v>235934</v>
      </c>
      <c r="I7" s="113">
        <f>'1'!I7</f>
        <v>12000</v>
      </c>
      <c r="J7" s="175">
        <f>H7/DAY(B2)</f>
        <v>23593.4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652782</v>
      </c>
      <c r="F8" s="95">
        <v>677162</v>
      </c>
      <c r="G8" s="115">
        <f>F8-E8</f>
        <v>24380</v>
      </c>
      <c r="H8" s="99">
        <f>G8+'9'!H8</f>
        <v>238867</v>
      </c>
      <c r="I8" s="116"/>
      <c r="J8" s="175">
        <f>H8/DAY(B2)</f>
        <v>23886.7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1874985</v>
      </c>
      <c r="F9" s="659">
        <v>1893608</v>
      </c>
      <c r="G9" s="112">
        <f>F9-E9</f>
        <v>18623</v>
      </c>
      <c r="H9" s="99">
        <f>G9+'9'!H9</f>
        <v>174510.30000000005</v>
      </c>
      <c r="I9" s="124">
        <f>I7-J7</f>
        <v>-11593.400000000001</v>
      </c>
      <c r="J9" s="175">
        <f>H9/DAY(B2)</f>
        <v>17451.030000000006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456360</v>
      </c>
      <c r="F10" s="117">
        <v>461022</v>
      </c>
      <c r="G10" s="112">
        <f t="shared" ref="G10:G12" si="0">F10-E10</f>
        <v>4662</v>
      </c>
      <c r="H10" s="99">
        <f>G10+'9'!H10</f>
        <v>54939.570000000007</v>
      </c>
      <c r="I10" s="282"/>
      <c r="J10" s="175">
        <f>H10/DAY(B2)</f>
        <v>5493.9570000000003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23285</v>
      </c>
      <c r="H13" s="99">
        <f>G13+'9'!H13</f>
        <v>207399</v>
      </c>
      <c r="I13" s="120">
        <f>G7-G13</f>
        <v>654</v>
      </c>
      <c r="J13" s="175">
        <f>H13/DAY(B2)</f>
        <v>20739.900000000001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'9'!F15</f>
        <v>1853606</v>
      </c>
      <c r="F15" s="232">
        <v>1854799</v>
      </c>
      <c r="G15" s="112">
        <f>(F15-E15)</f>
        <v>1193</v>
      </c>
      <c r="H15" s="99">
        <f>G15+'9'!H15</f>
        <v>11651</v>
      </c>
      <c r="I15" s="113">
        <f>'1'!I15</f>
        <v>800</v>
      </c>
      <c r="J15" s="175">
        <f>H15/DAY(B2)</f>
        <v>1165.0999999999999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-365.09999999999991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'9'!F18</f>
        <v>24</v>
      </c>
      <c r="F18" s="122">
        <v>22</v>
      </c>
      <c r="G18" s="119">
        <f>F18*10</f>
        <v>220</v>
      </c>
      <c r="H18" s="99">
        <f>G18+'9'!H18</f>
        <v>2050</v>
      </c>
      <c r="I18" s="113">
        <f>'1'!I18</f>
        <v>65</v>
      </c>
      <c r="J18" s="175">
        <f>H18/DAY(B2)</f>
        <v>205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'9'!F19</f>
        <v>151066</v>
      </c>
      <c r="F19" s="122">
        <v>151117</v>
      </c>
      <c r="G19" s="112">
        <f t="shared" ref="G19" si="1">F19-E19</f>
        <v>51</v>
      </c>
      <c r="H19" s="99">
        <f>G19+'9'!H19</f>
        <v>533</v>
      </c>
      <c r="I19" s="337"/>
      <c r="J19" s="175">
        <f>H19/DAY(B2)</f>
        <v>53.3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G20+'9'!H20</f>
        <v>2583</v>
      </c>
      <c r="I20" s="338">
        <f>I18-J20</f>
        <v>-193.3</v>
      </c>
      <c r="J20" s="175">
        <f>H20/DAY(B2)</f>
        <v>258.3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24380</v>
      </c>
      <c r="F27" s="136">
        <v>9</v>
      </c>
      <c r="G27" s="137">
        <f>E27*F27</f>
        <v>219420</v>
      </c>
      <c r="H27" s="99">
        <f>G27+'9'!H27</f>
        <v>2149803</v>
      </c>
      <c r="I27" s="138"/>
      <c r="J27" s="175">
        <f>H27/DAY(B2)</f>
        <v>214980.3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1193</v>
      </c>
      <c r="F28" s="136">
        <v>52</v>
      </c>
      <c r="G28" s="137">
        <f>E28*F28</f>
        <v>62036</v>
      </c>
      <c r="H28" s="99">
        <f>G28+'9'!H28</f>
        <v>605852</v>
      </c>
      <c r="I28" s="140"/>
      <c r="J28" s="175">
        <f>H28/DAY(B2)</f>
        <v>60585.2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G30+'9'!H30</f>
        <v>77818</v>
      </c>
      <c r="I30" s="140"/>
      <c r="J30" s="175">
        <f>H30/DAY(B2)</f>
        <v>7781.8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G31+'9'!H31</f>
        <v>164000</v>
      </c>
      <c r="I31" s="140"/>
      <c r="J31" s="175">
        <f>H31/DAY(B2)</f>
        <v>16400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306502</v>
      </c>
      <c r="H32" s="99">
        <f>G32+'9'!H32</f>
        <v>2997473</v>
      </c>
      <c r="I32" s="144"/>
      <c r="J32" s="175">
        <f>H32/DAY(B2)</f>
        <v>299747.3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112386</v>
      </c>
      <c r="F35" s="145">
        <v>114587</v>
      </c>
      <c r="G35" s="112">
        <f t="shared" ref="G35:G46" si="3">F35-E35</f>
        <v>2201</v>
      </c>
      <c r="H35" s="99">
        <f>G35+'9'!H35</f>
        <v>21052.369999999995</v>
      </c>
      <c r="I35" s="95"/>
      <c r="J35" s="175">
        <f>H35/DAY(B2)</f>
        <v>2105.2369999999996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88777</v>
      </c>
      <c r="F36" s="145">
        <v>89730</v>
      </c>
      <c r="G36" s="112">
        <f t="shared" si="3"/>
        <v>953</v>
      </c>
      <c r="H36" s="99">
        <f>G36+'9'!H36</f>
        <v>10266.300000000003</v>
      </c>
      <c r="I36" s="95"/>
      <c r="J36" s="175">
        <f>H36/DAY(B2)</f>
        <v>1026.6300000000003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160437</v>
      </c>
      <c r="F37" s="145">
        <v>162088</v>
      </c>
      <c r="G37" s="112">
        <f t="shared" si="3"/>
        <v>1651</v>
      </c>
      <c r="H37" s="99">
        <f>G37+'9'!H37</f>
        <v>16581.260000000009</v>
      </c>
      <c r="I37" s="95"/>
      <c r="J37" s="175">
        <f>H37/DAY(B2)</f>
        <v>1658.1260000000009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188689</v>
      </c>
      <c r="F38" s="108">
        <v>190700</v>
      </c>
      <c r="G38" s="112">
        <f t="shared" si="3"/>
        <v>2011</v>
      </c>
      <c r="H38" s="99">
        <f>G38+'9'!H38</f>
        <v>19695.950000000012</v>
      </c>
      <c r="I38" s="95"/>
      <c r="J38" s="175">
        <f>H38/DAY(B2)</f>
        <v>1969.5950000000012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347776</v>
      </c>
      <c r="F39" s="145">
        <v>350694</v>
      </c>
      <c r="G39" s="112">
        <f t="shared" si="3"/>
        <v>2918</v>
      </c>
      <c r="H39" s="99">
        <f>G39+'9'!H39</f>
        <v>29030.710000000021</v>
      </c>
      <c r="I39" s="95"/>
      <c r="J39" s="175">
        <f>H39/DAY(B2)</f>
        <v>2903.0710000000022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116</v>
      </c>
      <c r="F40" s="145">
        <v>116</v>
      </c>
      <c r="G40" s="112">
        <f t="shared" si="3"/>
        <v>0</v>
      </c>
      <c r="H40" s="99">
        <f>G40+'9'!H40</f>
        <v>4.7800000000000011</v>
      </c>
      <c r="I40" s="95"/>
      <c r="J40" s="175">
        <f>H40/DAY(B2)</f>
        <v>0.47800000000000009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599900</v>
      </c>
      <c r="F41" s="145">
        <v>599900</v>
      </c>
      <c r="G41" s="112">
        <f t="shared" si="3"/>
        <v>0</v>
      </c>
      <c r="H41" s="99">
        <f>G41+'9'!H41</f>
        <v>9386.2900000000373</v>
      </c>
      <c r="I41" s="95"/>
      <c r="J41" s="175">
        <f>H41/DAY(B2)</f>
        <v>938.62900000000377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339210</v>
      </c>
      <c r="F42" s="145">
        <v>343994</v>
      </c>
      <c r="G42" s="112">
        <f t="shared" si="3"/>
        <v>4784</v>
      </c>
      <c r="H42" s="99">
        <f>G42+'9'!H42</f>
        <v>27940.010000000009</v>
      </c>
      <c r="I42" s="95"/>
      <c r="J42" s="175">
        <f>H42/DAY(B2)</f>
        <v>2794.0010000000011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1552829</v>
      </c>
      <c r="F43" s="145">
        <v>1555563</v>
      </c>
      <c r="G43" s="112">
        <f t="shared" si="3"/>
        <v>2734</v>
      </c>
      <c r="H43" s="99">
        <f>G43+'9'!H43</f>
        <v>26964.399999999907</v>
      </c>
      <c r="I43" s="95"/>
      <c r="J43" s="175">
        <f>H43/DAY(B2)</f>
        <v>2696.4399999999905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17252</v>
      </c>
      <c r="H47" s="99">
        <f>G47+'9'!H47</f>
        <v>160922.07</v>
      </c>
      <c r="I47" s="95"/>
      <c r="J47" s="175">
        <f>H47/DAY(B2)</f>
        <v>16092.207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236167</v>
      </c>
      <c r="F49" s="145">
        <v>237955</v>
      </c>
      <c r="G49" s="112">
        <f t="shared" ref="G49:G58" si="4">F49-E49</f>
        <v>1788</v>
      </c>
      <c r="H49" s="99">
        <f>G49+'9'!H49</f>
        <v>17441.670000000013</v>
      </c>
      <c r="I49" s="95"/>
      <c r="J49" s="175">
        <f>H49/DAY(B2)</f>
        <v>1744.1670000000013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736225</v>
      </c>
      <c r="F50" s="145">
        <v>737558</v>
      </c>
      <c r="G50" s="112">
        <f t="shared" si="4"/>
        <v>1333</v>
      </c>
      <c r="H50" s="99">
        <f>G50+'9'!H50</f>
        <v>14334.810000000056</v>
      </c>
      <c r="I50" s="95"/>
      <c r="J50" s="175">
        <f>H50/DAY(B2)</f>
        <v>1433.4810000000057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3086</v>
      </c>
      <c r="F54" s="145">
        <v>3090</v>
      </c>
      <c r="G54" s="112">
        <f t="shared" si="4"/>
        <v>4</v>
      </c>
      <c r="H54" s="99">
        <f>G54+'9'!H54</f>
        <v>58.7199999999998</v>
      </c>
      <c r="I54" s="95"/>
      <c r="J54" s="175">
        <f>H54/DAY(B2)</f>
        <v>5.8719999999999803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0</v>
      </c>
      <c r="F55" s="145">
        <v>0</v>
      </c>
      <c r="G55" s="112">
        <f t="shared" si="4"/>
        <v>0</v>
      </c>
      <c r="H55" s="99">
        <f>G55+'9'!H55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211496</v>
      </c>
      <c r="F56" s="378">
        <v>213018</v>
      </c>
      <c r="G56" s="112">
        <f t="shared" si="4"/>
        <v>1522</v>
      </c>
      <c r="H56" s="99">
        <f>G56+'9'!H56</f>
        <v>22503.049999999988</v>
      </c>
      <c r="I56" s="95"/>
      <c r="J56" s="175">
        <f>H56/DAY(B2)</f>
        <v>2250.3049999999989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87348</v>
      </c>
      <c r="F58" s="378">
        <v>87614</v>
      </c>
      <c r="G58" s="112">
        <f t="shared" si="4"/>
        <v>266</v>
      </c>
      <c r="H58" s="99">
        <f>G58+'9'!H58</f>
        <v>2289.1499999999942</v>
      </c>
      <c r="I58" s="95"/>
      <c r="J58" s="175">
        <f>H58/DAY(B2)</f>
        <v>228.91499999999942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4913</v>
      </c>
      <c r="H59" s="99">
        <f>G59+'9'!H59</f>
        <v>56627.400000000052</v>
      </c>
      <c r="I59" s="95">
        <f>G7-G60</f>
        <v>1774</v>
      </c>
      <c r="J59" s="175">
        <f>H59/DAY(B2)</f>
        <v>5662.7400000000052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22165</v>
      </c>
      <c r="H60" s="99">
        <f>G60+'9'!H60</f>
        <v>217549.47000000009</v>
      </c>
      <c r="I60" s="95">
        <f>G13-G60</f>
        <v>1120</v>
      </c>
      <c r="J60" s="175">
        <f>H60/DAY(B2)</f>
        <v>21754.947000000007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'9'!F62</f>
        <v>264552</v>
      </c>
      <c r="F62" s="122">
        <v>264681</v>
      </c>
      <c r="G62" s="112">
        <f t="shared" ref="G62:G63" si="5">F62-E62</f>
        <v>129</v>
      </c>
      <c r="H62" s="99">
        <f>G62+'9'!H62</f>
        <v>1216</v>
      </c>
      <c r="I62" s="118"/>
      <c r="J62" s="175">
        <f>H62/DAY(B2)</f>
        <v>121.6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'9'!F63</f>
        <v>210331</v>
      </c>
      <c r="F63" s="122">
        <v>210431</v>
      </c>
      <c r="G63" s="112">
        <f t="shared" si="5"/>
        <v>100</v>
      </c>
      <c r="H63" s="99">
        <f>G63+'9'!H63</f>
        <v>1056</v>
      </c>
      <c r="I63" s="118"/>
      <c r="J63" s="175">
        <f>H63/DAY(B2)</f>
        <v>105.6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'9'!F64</f>
        <v>0</v>
      </c>
      <c r="F64" s="122"/>
      <c r="G64" s="112">
        <f>G62+G63</f>
        <v>229</v>
      </c>
      <c r="H64" s="99">
        <f>G64+'9'!H64</f>
        <v>2272</v>
      </c>
      <c r="I64" s="118"/>
      <c r="J64" s="175">
        <f>H64/DAY(B2)</f>
        <v>227.2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'9'!F65</f>
        <v>430285</v>
      </c>
      <c r="F65" s="122">
        <v>430391</v>
      </c>
      <c r="G65" s="112">
        <f t="shared" ref="G65:G70" si="6">F65-E65</f>
        <v>106</v>
      </c>
      <c r="H65" s="99">
        <f>G65+'9'!H65</f>
        <v>1028</v>
      </c>
      <c r="I65" s="118"/>
      <c r="J65" s="175">
        <f>H65/DAY(B2)</f>
        <v>102.8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'9'!F66</f>
        <v>106786</v>
      </c>
      <c r="F66" s="122">
        <v>106800</v>
      </c>
      <c r="G66" s="112">
        <f t="shared" si="6"/>
        <v>14</v>
      </c>
      <c r="H66" s="99">
        <f>G66+'9'!H66</f>
        <v>201</v>
      </c>
      <c r="I66" s="118"/>
      <c r="J66" s="175">
        <f>H66/DAY(B2)</f>
        <v>20.100000000000001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'9'!F67</f>
        <v>103276</v>
      </c>
      <c r="F67" s="122">
        <v>103305</v>
      </c>
      <c r="G67" s="112">
        <f t="shared" si="6"/>
        <v>29</v>
      </c>
      <c r="H67" s="99">
        <f>G67+'9'!H67</f>
        <v>294</v>
      </c>
      <c r="I67" s="118"/>
      <c r="J67" s="175">
        <f>H67/DAY(B2)</f>
        <v>29.4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'9'!F68</f>
        <v>155796</v>
      </c>
      <c r="F68" s="122">
        <v>155839</v>
      </c>
      <c r="G68" s="112">
        <f t="shared" si="6"/>
        <v>43</v>
      </c>
      <c r="H68" s="99">
        <f>G68+'9'!H68</f>
        <v>399</v>
      </c>
      <c r="I68" s="118"/>
      <c r="J68" s="175">
        <f>H68/DAY(B2)</f>
        <v>39.9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'9'!F69</f>
        <v>9957</v>
      </c>
      <c r="F69" s="122">
        <v>9969</v>
      </c>
      <c r="G69" s="112">
        <f t="shared" si="6"/>
        <v>12</v>
      </c>
      <c r="H69" s="99">
        <f>G69+'9'!H69</f>
        <v>126</v>
      </c>
      <c r="I69" s="118"/>
      <c r="J69" s="175">
        <f>H69/DAY(B2)</f>
        <v>12.6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'9'!F70</f>
        <v>7633</v>
      </c>
      <c r="F70" s="122">
        <v>7648</v>
      </c>
      <c r="G70" s="112">
        <f t="shared" si="6"/>
        <v>15</v>
      </c>
      <c r="H70" s="99">
        <f>G70+'9'!H70</f>
        <v>106</v>
      </c>
      <c r="I70" s="118"/>
      <c r="J70" s="175">
        <f>H70/DAY(B2)</f>
        <v>10.6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219</v>
      </c>
      <c r="H71" s="99">
        <f>G71+'9'!H71</f>
        <v>2154</v>
      </c>
      <c r="I71" s="154"/>
      <c r="J71" s="175">
        <f>H71/DAY(B2)</f>
        <v>215.4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'9'!F74</f>
        <v>885086</v>
      </c>
      <c r="F74" s="117">
        <v>885408</v>
      </c>
      <c r="G74" s="112">
        <f t="shared" ref="G74:G78" si="7">F74-E74</f>
        <v>322</v>
      </c>
      <c r="H74" s="99">
        <f>G74+'9'!H74</f>
        <v>3154.9510000000009</v>
      </c>
      <c r="I74" s="154"/>
      <c r="J74" s="175">
        <f>H74/DAY(B2)</f>
        <v>315.49510000000009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'9'!F75</f>
        <v>73830.69</v>
      </c>
      <c r="F75" s="123">
        <v>73830.69</v>
      </c>
      <c r="G75" s="112">
        <f t="shared" si="7"/>
        <v>0</v>
      </c>
      <c r="H75" s="99">
        <f>G75+'9'!H75</f>
        <v>243.88999999999942</v>
      </c>
      <c r="I75" s="154"/>
      <c r="J75" s="175">
        <f>H75/DAY(B2)</f>
        <v>24.388999999999943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'9'!F76</f>
        <v>164533</v>
      </c>
      <c r="F76" s="123">
        <v>164670</v>
      </c>
      <c r="G76" s="112">
        <f t="shared" si="7"/>
        <v>137</v>
      </c>
      <c r="H76" s="99">
        <f>G76+'9'!H76</f>
        <v>1286</v>
      </c>
      <c r="I76" s="154"/>
      <c r="J76" s="175">
        <f>H76/DAY(B2)</f>
        <v>128.6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'9'!F77</f>
        <v>39234</v>
      </c>
      <c r="F77" s="123">
        <v>39286</v>
      </c>
      <c r="G77" s="112">
        <f t="shared" si="7"/>
        <v>52</v>
      </c>
      <c r="H77" s="99">
        <f>G77+'9'!H77</f>
        <v>476</v>
      </c>
      <c r="I77" s="154"/>
      <c r="J77" s="175">
        <f>H77/DAY(B2)</f>
        <v>47.6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'9'!F78</f>
        <v>9443</v>
      </c>
      <c r="F78" s="123">
        <v>9444</v>
      </c>
      <c r="G78" s="112">
        <f t="shared" si="7"/>
        <v>1</v>
      </c>
      <c r="H78" s="99">
        <f>G78+'9'!H78</f>
        <v>32</v>
      </c>
      <c r="I78" s="118"/>
      <c r="J78" s="175">
        <f>H78/DAY(B2)</f>
        <v>3.2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'9'!F79</f>
        <v>0</v>
      </c>
      <c r="F79" s="117"/>
      <c r="G79" s="112">
        <f>G15-SUM(G74:G78)</f>
        <v>681</v>
      </c>
      <c r="H79" s="99">
        <f>G79+'9'!H79</f>
        <v>6458.1589999999997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1193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'9'!F84</f>
        <v>41675.760000000002</v>
      </c>
      <c r="F84" s="164">
        <v>41675.760000000002</v>
      </c>
      <c r="G84" s="112">
        <f t="shared" si="8"/>
        <v>0</v>
      </c>
      <c r="H84" s="99">
        <f>G84+'9'!H84</f>
        <v>47.200000000004366</v>
      </c>
      <c r="I84" s="118"/>
      <c r="J84" s="175">
        <f>H84/DAY(B2)</f>
        <v>4.7200000000004367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'9'!F85</f>
        <v>1621</v>
      </c>
      <c r="F85" s="164">
        <v>1645</v>
      </c>
      <c r="G85" s="112">
        <f t="shared" si="8"/>
        <v>24</v>
      </c>
      <c r="H85" s="99">
        <f>G85+'9'!H85</f>
        <v>141.44000000000005</v>
      </c>
      <c r="I85" s="118">
        <f>G82+G83+G84+G85</f>
        <v>24</v>
      </c>
      <c r="J85" s="175">
        <f>H85/DAY(B2)</f>
        <v>14.144000000000005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'9'!F86</f>
        <v>42826.47</v>
      </c>
      <c r="F86" s="164">
        <v>42826.47</v>
      </c>
      <c r="G86" s="112">
        <f t="shared" si="8"/>
        <v>0</v>
      </c>
      <c r="H86" s="99">
        <f>G86+'9'!H86</f>
        <v>0.47000000000116415</v>
      </c>
      <c r="I86" s="118"/>
      <c r="J86" s="175">
        <f>H86/DAY(B2)</f>
        <v>4.7000000000116414E-2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'9'!F87</f>
        <v>34525.550000000003</v>
      </c>
      <c r="F87" s="164">
        <v>34533</v>
      </c>
      <c r="G87" s="112">
        <f t="shared" si="8"/>
        <v>7.4499999999970896</v>
      </c>
      <c r="H87" s="99">
        <f>G87+'9'!H87</f>
        <v>112.59999999999854</v>
      </c>
      <c r="I87" s="118"/>
      <c r="J87" s="175">
        <f>H87/DAY(B2)</f>
        <v>11.259999999999854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'9'!F88</f>
        <v>23994</v>
      </c>
      <c r="F88" s="164">
        <v>23994</v>
      </c>
      <c r="G88" s="112">
        <f t="shared" si="8"/>
        <v>0</v>
      </c>
      <c r="H88" s="99">
        <f>G88+'9'!H88</f>
        <v>41.509999999998399</v>
      </c>
      <c r="I88" s="118">
        <f>G86+G87+G88</f>
        <v>7.4499999999970896</v>
      </c>
      <c r="J88" s="175">
        <f>H88/DAY(B2)</f>
        <v>4.1509999999998399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'9'!F89</f>
        <v>25482</v>
      </c>
      <c r="F89" s="164">
        <v>25494</v>
      </c>
      <c r="G89" s="112">
        <f t="shared" si="8"/>
        <v>12</v>
      </c>
      <c r="H89" s="99">
        <f>G89+'9'!H89</f>
        <v>66.509999999998399</v>
      </c>
      <c r="I89" s="118"/>
      <c r="J89" s="175">
        <f>H89/DAY(B2)</f>
        <v>6.6509999999998399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'9'!F90</f>
        <v>70895.960000000006</v>
      </c>
      <c r="F90" s="164">
        <v>70901</v>
      </c>
      <c r="G90" s="112">
        <f t="shared" si="8"/>
        <v>5.0399999999935972</v>
      </c>
      <c r="H90" s="99">
        <f>G90+'9'!H90</f>
        <v>72.729999999995925</v>
      </c>
      <c r="I90" s="118">
        <f>G89+G90</f>
        <v>17.039999999993597</v>
      </c>
      <c r="J90" s="175">
        <f>H90/DAY(B2)</f>
        <v>7.2729999999995929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0.32000000000016371</v>
      </c>
      <c r="I91" s="165"/>
      <c r="J91" s="175">
        <f>H91/DAY(B2)</f>
        <v>3.200000000001637E-2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'9'!F92</f>
        <v>5195</v>
      </c>
      <c r="F92" s="122">
        <v>5206.5</v>
      </c>
      <c r="G92" s="112">
        <f t="shared" si="8"/>
        <v>11.5</v>
      </c>
      <c r="H92" s="99">
        <f>G92+'9'!H92</f>
        <v>110.60000000000036</v>
      </c>
      <c r="I92" s="165"/>
      <c r="J92" s="175">
        <f>H92/DAY(B2)</f>
        <v>11.060000000000036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6723</v>
      </c>
      <c r="H94" s="99">
        <f>G94+'9'!H94</f>
        <v>65458.439999999915</v>
      </c>
      <c r="I94" s="118"/>
      <c r="J94" s="175">
        <f>H94/DAY(B2)</f>
        <v>6545.8439999999919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0.28083879861314176</v>
      </c>
      <c r="H95" s="99">
        <f>G95+'9'!H95</f>
        <v>2.7756439092614293</v>
      </c>
      <c r="I95" s="167"/>
      <c r="J95" s="175">
        <f>H95/DAY(B2)</f>
        <v>0.27756439092614293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6306</v>
      </c>
      <c r="H96" s="99">
        <f>G96+'9'!H96</f>
        <v>59829.350000000035</v>
      </c>
      <c r="I96" s="118"/>
      <c r="J96" s="175">
        <f>H96/DAY(B2)</f>
        <v>5982.9350000000031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0.26341952462508877</v>
      </c>
      <c r="H97" s="99">
        <f>G97+'9'!H97</f>
        <v>2.5294564929034031</v>
      </c>
      <c r="I97" s="167"/>
      <c r="J97" s="175">
        <f>H97/DAY(B2)</f>
        <v>0.2529456492903403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2918</v>
      </c>
      <c r="H98" s="99">
        <f>G98+'9'!H98</f>
        <v>29030.710000000021</v>
      </c>
      <c r="I98" s="168"/>
      <c r="J98" s="175">
        <f>H98/DAY(B2)</f>
        <v>2903.0710000000022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0.12189314507707089</v>
      </c>
      <c r="H99" s="99">
        <f>G99+'9'!H99</f>
        <v>1.2323390684537505</v>
      </c>
      <c r="I99" s="168"/>
      <c r="J99" s="175">
        <f>H99/DAY(B2)</f>
        <v>0.12323390684537505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2011</v>
      </c>
      <c r="H100" s="99">
        <f>G100+'9'!H100</f>
        <v>19695.950000000012</v>
      </c>
      <c r="I100" s="118"/>
      <c r="J100" s="175">
        <f>H100/DAY(B2)</f>
        <v>1969.5950000000012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8.4005179832073187E-2</v>
      </c>
      <c r="H101" s="99">
        <f>G101+'9'!H101</f>
        <v>0.83599858149857997</v>
      </c>
      <c r="I101" s="168"/>
      <c r="J101" s="175">
        <f>H101/DAY(B2)</f>
        <v>8.3599858149858E-2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2286</v>
      </c>
      <c r="H102" s="99">
        <f>G102+'9'!H102</f>
        <v>24601.110000000059</v>
      </c>
      <c r="I102" s="168"/>
      <c r="J102" s="175">
        <f>H102/DAY(B2)</f>
        <v>2460.1110000000058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9.5492710639542164E-2</v>
      </c>
      <c r="H103" s="99">
        <f>G103+'9'!H103</f>
        <v>1.042467251232267</v>
      </c>
      <c r="I103" s="118"/>
      <c r="J103" s="175">
        <f>H103/DAY(B2)</f>
        <v>0.10424672512322671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1651</v>
      </c>
      <c r="H104" s="99">
        <f>G104+'9'!H104</f>
        <v>16581.260000000009</v>
      </c>
      <c r="I104" s="118"/>
      <c r="J104" s="175">
        <f>H104/DAY(B2)</f>
        <v>1658.1260000000009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6.8966957684113789E-2</v>
      </c>
      <c r="H105" s="99">
        <f>G105+'9'!H105</f>
        <v>0.70445334152110062</v>
      </c>
      <c r="I105" s="187"/>
      <c r="J105" s="188">
        <f>H105/DAY(B2)</f>
        <v>7.0445334152110059E-2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'9'!F112</f>
        <v>54082</v>
      </c>
      <c r="F112" s="237">
        <v>54164</v>
      </c>
      <c r="G112" s="112">
        <f t="shared" ref="G112:G123" si="9">F112-E112</f>
        <v>82</v>
      </c>
      <c r="H112" s="99">
        <f>G112+'9'!H112</f>
        <v>811.98999999999796</v>
      </c>
      <c r="I112" s="165"/>
      <c r="J112" s="330">
        <f>H112/DAY(B2)</f>
        <v>81.198999999999799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'9'!F113</f>
        <v>21988</v>
      </c>
      <c r="F113" s="237">
        <v>22469</v>
      </c>
      <c r="G113" s="112">
        <f t="shared" si="9"/>
        <v>481</v>
      </c>
      <c r="H113" s="99">
        <f>G113+'9'!H113</f>
        <v>4512.4700000000012</v>
      </c>
      <c r="I113" s="165"/>
      <c r="J113" s="330">
        <f>H113/DAY(B2)</f>
        <v>451.24700000000013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'9'!F114</f>
        <v>16982</v>
      </c>
      <c r="F114" s="237">
        <v>17343</v>
      </c>
      <c r="G114" s="112">
        <f t="shared" si="9"/>
        <v>361</v>
      </c>
      <c r="H114" s="99">
        <f>G114+'9'!H114</f>
        <v>3415.8999999999996</v>
      </c>
      <c r="I114" s="165"/>
      <c r="J114" s="330">
        <f>H114/DAY(B2)</f>
        <v>341.59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'9'!F115</f>
        <v>8531</v>
      </c>
      <c r="F115" s="237">
        <v>8542</v>
      </c>
      <c r="G115" s="112">
        <f t="shared" si="9"/>
        <v>11</v>
      </c>
      <c r="H115" s="99">
        <f>G115+'9'!H115</f>
        <v>118.31999999999971</v>
      </c>
      <c r="I115" s="165"/>
      <c r="J115" s="330">
        <f>H115/DAY(B2)</f>
        <v>11.831999999999971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'9'!F117</f>
        <v>2118</v>
      </c>
      <c r="F117" s="237">
        <v>2140</v>
      </c>
      <c r="G117" s="112">
        <f t="shared" si="9"/>
        <v>22</v>
      </c>
      <c r="H117" s="99">
        <f>G117+'9'!H117</f>
        <v>198.92000000000007</v>
      </c>
      <c r="I117" s="165"/>
      <c r="J117" s="330">
        <f>H117/DAY(B2)</f>
        <v>19.892000000000007</v>
      </c>
      <c r="Q117" s="839" t="s">
        <v>312</v>
      </c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'9'!F118</f>
        <v>233218</v>
      </c>
      <c r="F118" s="237">
        <v>233568</v>
      </c>
      <c r="G118" s="112">
        <f t="shared" si="9"/>
        <v>350</v>
      </c>
      <c r="H118" s="99">
        <f>G118+'9'!H118</f>
        <v>3730.2699999999895</v>
      </c>
      <c r="I118" s="165"/>
      <c r="J118" s="330">
        <f>H118/DAY(B2)</f>
        <v>373.02699999999896</v>
      </c>
      <c r="Q118" s="839" t="s">
        <v>311</v>
      </c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'9'!F119</f>
        <v>235689</v>
      </c>
      <c r="F119" s="237">
        <v>236097</v>
      </c>
      <c r="G119" s="112">
        <f t="shared" si="9"/>
        <v>408</v>
      </c>
      <c r="H119" s="99">
        <f>G119+'9'!H119</f>
        <v>4370.4700000000012</v>
      </c>
      <c r="I119" s="165"/>
      <c r="J119" s="330">
        <f>H119/DAY(B2)</f>
        <v>437.04700000000014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'9'!F120</f>
        <v>21010</v>
      </c>
      <c r="F120" s="237">
        <v>21425</v>
      </c>
      <c r="G120" s="112">
        <f t="shared" si="9"/>
        <v>415</v>
      </c>
      <c r="H120" s="99">
        <f>G120+'9'!H120</f>
        <v>4239.68</v>
      </c>
      <c r="I120" s="165"/>
      <c r="J120" s="330">
        <f>H120/DAY(B2)</f>
        <v>423.96800000000002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'9'!F121</f>
        <v>359545</v>
      </c>
      <c r="F121" s="237">
        <v>360302</v>
      </c>
      <c r="G121" s="112">
        <f t="shared" si="9"/>
        <v>757</v>
      </c>
      <c r="H121" s="99">
        <f>G121+'9'!H121</f>
        <v>7247.7700000000186</v>
      </c>
      <c r="I121" s="165"/>
      <c r="J121" s="330">
        <f>H121/DAY(B2)</f>
        <v>724.77700000000186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'9'!F122</f>
        <v>113945</v>
      </c>
      <c r="F122" s="237">
        <v>114226</v>
      </c>
      <c r="G122" s="112">
        <f t="shared" si="9"/>
        <v>281</v>
      </c>
      <c r="H122" s="99">
        <f>G122+'9'!H122</f>
        <v>3216.2100000000064</v>
      </c>
      <c r="I122" s="165"/>
      <c r="J122" s="330">
        <f>H122/DAY(B2)</f>
        <v>321.62100000000066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'9'!F123</f>
        <v>137174.71</v>
      </c>
      <c r="F123" s="237">
        <v>137519</v>
      </c>
      <c r="G123" s="112">
        <f t="shared" si="9"/>
        <v>344.29000000000815</v>
      </c>
      <c r="H123" s="99">
        <f>G123+'9'!H123</f>
        <v>3153</v>
      </c>
      <c r="I123" s="165"/>
      <c r="J123" s="330">
        <f>H123/DAY(B2)</f>
        <v>315.3</v>
      </c>
    </row>
    <row r="124" spans="1:18" ht="29.25" customHeight="1" x14ac:dyDescent="0.5">
      <c r="A124" s="864"/>
      <c r="B124" s="865"/>
      <c r="C124" s="866"/>
      <c r="D124" s="165"/>
      <c r="E124" s="95">
        <f>'9'!F124</f>
        <v>0</v>
      </c>
      <c r="F124" s="165"/>
      <c r="G124" s="329"/>
      <c r="H124" s="99">
        <f>G124+'9'!H124</f>
        <v>0</v>
      </c>
      <c r="I124" s="165"/>
      <c r="J124" s="329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3512.2900000000081</v>
      </c>
      <c r="H125" s="156"/>
      <c r="I125" s="329">
        <f>G125-(G39+G53)</f>
        <v>594.29000000000815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G127+'9'!H127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'9'!F128</f>
        <v>30519</v>
      </c>
      <c r="F128" s="155">
        <v>30863</v>
      </c>
      <c r="G128" s="112">
        <f t="shared" ref="G128:G134" si="10">F128-E128</f>
        <v>344</v>
      </c>
      <c r="H128" s="99">
        <f>G128+'9'!H128</f>
        <v>3258.630000000001</v>
      </c>
      <c r="I128" s="165"/>
      <c r="J128" s="330">
        <f>H128/DAY(B2)</f>
        <v>325.86300000000011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'9'!F129</f>
        <v>15176</v>
      </c>
      <c r="F129" s="155">
        <v>15448</v>
      </c>
      <c r="G129" s="112">
        <f t="shared" si="10"/>
        <v>272</v>
      </c>
      <c r="H129" s="99">
        <f>G129+'9'!H129</f>
        <v>2700.41</v>
      </c>
      <c r="I129" s="165"/>
      <c r="J129" s="330">
        <f>H129/DAY(B2)</f>
        <v>270.041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'9'!F130</f>
        <v>4533</v>
      </c>
      <c r="F130" s="155">
        <v>4830</v>
      </c>
      <c r="G130" s="112">
        <f t="shared" si="10"/>
        <v>297</v>
      </c>
      <c r="H130" s="99">
        <f>G130+'9'!H130</f>
        <v>2772.89</v>
      </c>
      <c r="I130" s="165"/>
      <c r="J130" s="330">
        <f>H130/DAY(B2)</f>
        <v>277.28899999999999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'9'!F131</f>
        <v>10604</v>
      </c>
      <c r="F131" s="155">
        <v>10754</v>
      </c>
      <c r="G131" s="112">
        <f t="shared" si="10"/>
        <v>150</v>
      </c>
      <c r="H131" s="99">
        <f>G131+'9'!H131</f>
        <v>1584.6499999999996</v>
      </c>
      <c r="I131" s="165"/>
      <c r="J131" s="330">
        <f>H131/DAY(B2)</f>
        <v>158.46499999999997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'9'!F132</f>
        <v>30194</v>
      </c>
      <c r="F132" s="155">
        <v>30676</v>
      </c>
      <c r="G132" s="112">
        <f t="shared" si="10"/>
        <v>482</v>
      </c>
      <c r="H132" s="99">
        <f>G132+'9'!H132</f>
        <v>4495.7599999999984</v>
      </c>
      <c r="I132" s="165"/>
      <c r="J132" s="330">
        <f>H132/DAY(B2)</f>
        <v>449.57599999999985</v>
      </c>
    </row>
    <row r="133" spans="1:15" ht="27.75" x14ac:dyDescent="0.5">
      <c r="A133" s="839" t="s">
        <v>323</v>
      </c>
      <c r="B133" s="840"/>
      <c r="C133" s="841"/>
      <c r="D133" s="151" t="s">
        <v>183</v>
      </c>
      <c r="E133" s="95">
        <f>'9'!F133</f>
        <v>71098</v>
      </c>
      <c r="F133" s="155">
        <v>71940</v>
      </c>
      <c r="G133" s="112">
        <f t="shared" si="10"/>
        <v>842</v>
      </c>
      <c r="H133" s="99">
        <f>G133+'9'!H133</f>
        <v>8465.5800000000017</v>
      </c>
      <c r="I133" s="165"/>
      <c r="J133" s="330">
        <f>H133/DAY(B2)</f>
        <v>846.55800000000022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v>637922</v>
      </c>
      <c r="F134" s="606">
        <v>638544</v>
      </c>
      <c r="G134" s="112">
        <f t="shared" si="10"/>
        <v>622</v>
      </c>
      <c r="H134" s="99">
        <f>G134+'9'!H134</f>
        <v>6254</v>
      </c>
      <c r="I134" s="165"/>
      <c r="J134" s="330">
        <f>H134/DAY(B2)</f>
        <v>625.4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3009</v>
      </c>
      <c r="H135" s="99">
        <f>G135+'9'!H135</f>
        <v>29531.919999999998</v>
      </c>
      <c r="I135" s="329">
        <f>G135-(G35+G49)</f>
        <v>-980</v>
      </c>
      <c r="J135" s="330">
        <f>H135/DAY(B2)</f>
        <v>2953.192</v>
      </c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'9'!F138</f>
        <v>861654</v>
      </c>
      <c r="F138" s="147">
        <v>861781</v>
      </c>
      <c r="G138" s="112">
        <f t="shared" ref="G138:G152" si="11">F138-E138</f>
        <v>127</v>
      </c>
      <c r="H138" s="99">
        <f>G138+'9'!H138</f>
        <v>519</v>
      </c>
      <c r="I138" s="118"/>
      <c r="J138" s="330">
        <f>H138/DAY(B2)</f>
        <v>51.9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'9'!F139</f>
        <v>886292</v>
      </c>
      <c r="F139" s="148">
        <v>886312</v>
      </c>
      <c r="G139" s="112">
        <f t="shared" si="11"/>
        <v>20</v>
      </c>
      <c r="H139" s="99">
        <f>G139+'9'!H139</f>
        <v>113</v>
      </c>
      <c r="I139" s="118"/>
      <c r="J139" s="330">
        <f>H139/DAY(B2)</f>
        <v>11.3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'9'!F140</f>
        <v>88863.23</v>
      </c>
      <c r="F140" s="149">
        <v>88863</v>
      </c>
      <c r="G140" s="112">
        <f t="shared" si="11"/>
        <v>-0.22999999999592546</v>
      </c>
      <c r="H140" s="99">
        <f>G140+'9'!H140</f>
        <v>14</v>
      </c>
      <c r="I140" s="118"/>
      <c r="J140" s="330">
        <f>H140/DAY(B2)</f>
        <v>1.4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'9'!F141</f>
        <v>44907</v>
      </c>
      <c r="F141" s="149">
        <v>45111</v>
      </c>
      <c r="G141" s="112">
        <f t="shared" si="11"/>
        <v>204</v>
      </c>
      <c r="H141" s="99">
        <f>G141+'9'!H141</f>
        <v>1984.2699999999968</v>
      </c>
      <c r="I141" s="118"/>
      <c r="J141" s="330">
        <f>H141/DAY(B2)</f>
        <v>198.42699999999968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'9'!F142</f>
        <v>17618</v>
      </c>
      <c r="F142" s="148">
        <v>17635</v>
      </c>
      <c r="G142" s="112">
        <f t="shared" si="11"/>
        <v>17</v>
      </c>
      <c r="H142" s="99">
        <f>G142+'9'!H142</f>
        <v>174.5</v>
      </c>
      <c r="I142" s="140"/>
      <c r="J142" s="330">
        <f>H142/DAY(B2)</f>
        <v>17.45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'9'!F143</f>
        <v>2475</v>
      </c>
      <c r="F143" s="149">
        <v>2498</v>
      </c>
      <c r="G143" s="112">
        <f t="shared" si="11"/>
        <v>23</v>
      </c>
      <c r="H143" s="99">
        <f>G143+'9'!H143</f>
        <v>296.59999999999991</v>
      </c>
      <c r="I143" s="140"/>
      <c r="J143" s="330">
        <f>H143/DAY(B2)</f>
        <v>29.659999999999989</v>
      </c>
      <c r="O143" s="148">
        <v>582206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'9'!F144</f>
        <v>864456</v>
      </c>
      <c r="F144" s="149">
        <v>864690</v>
      </c>
      <c r="G144" s="112">
        <f t="shared" si="11"/>
        <v>234</v>
      </c>
      <c r="H144" s="99">
        <f>G144+'9'!H144</f>
        <v>2295</v>
      </c>
      <c r="I144" s="140"/>
      <c r="J144" s="330">
        <f>H144/DAY(B2)</f>
        <v>229.5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'9'!F145</f>
        <v>3818</v>
      </c>
      <c r="F145" s="149">
        <v>3863</v>
      </c>
      <c r="G145" s="112">
        <f t="shared" si="11"/>
        <v>45</v>
      </c>
      <c r="H145" s="99">
        <f>G145+'9'!H145</f>
        <v>444</v>
      </c>
      <c r="I145" s="140"/>
      <c r="J145" s="330">
        <f>H145/DAY(B2)</f>
        <v>44.4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'9'!F146</f>
        <v>714481</v>
      </c>
      <c r="F146" s="148">
        <v>714936</v>
      </c>
      <c r="G146" s="112">
        <f t="shared" si="11"/>
        <v>455</v>
      </c>
      <c r="H146" s="99">
        <f>G146+'9'!H146</f>
        <v>4051</v>
      </c>
      <c r="I146" s="140"/>
      <c r="J146" s="330">
        <f>H146/DAY(B2)</f>
        <v>405.1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'9'!F147</f>
        <v>605961</v>
      </c>
      <c r="F147" s="148">
        <v>606428</v>
      </c>
      <c r="G147" s="112">
        <f t="shared" si="11"/>
        <v>467</v>
      </c>
      <c r="H147" s="99">
        <f>G147+'9'!H147</f>
        <v>4442.9599999999627</v>
      </c>
      <c r="I147" s="140"/>
      <c r="J147" s="330">
        <f>H147/DAY(B2)</f>
        <v>444.2959999999963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'9'!F148</f>
        <v>676401</v>
      </c>
      <c r="F148" s="150">
        <v>676653</v>
      </c>
      <c r="G148" s="112">
        <f t="shared" si="11"/>
        <v>252</v>
      </c>
      <c r="H148" s="99">
        <f>G148+'9'!H148</f>
        <v>2863.3199999999488</v>
      </c>
      <c r="I148" s="124"/>
      <c r="J148" s="330">
        <f>H148/DAY(B2)</f>
        <v>286.33199999999488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'9'!F149</f>
        <v>98656</v>
      </c>
      <c r="F149" s="146">
        <v>99032</v>
      </c>
      <c r="G149" s="112">
        <f t="shared" si="11"/>
        <v>376</v>
      </c>
      <c r="H149" s="99">
        <f>G149+'9'!H149</f>
        <v>4010</v>
      </c>
      <c r="I149" s="119"/>
      <c r="J149" s="330">
        <f>H149/DAY(B2)</f>
        <v>401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'9'!F150</f>
        <v>7167232</v>
      </c>
      <c r="F150" s="233">
        <v>7167232</v>
      </c>
      <c r="G150" s="112">
        <f t="shared" si="11"/>
        <v>0</v>
      </c>
      <c r="H150" s="99">
        <f>G150+'9'!H150</f>
        <v>0</v>
      </c>
      <c r="I150" s="119"/>
      <c r="J150" s="330">
        <f>H150/DAY(B2)</f>
        <v>0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'9'!F151</f>
        <v>73012</v>
      </c>
      <c r="F151" s="233">
        <v>73241</v>
      </c>
      <c r="G151" s="112">
        <f t="shared" si="11"/>
        <v>229</v>
      </c>
      <c r="H151" s="99">
        <f>G151+'9'!H151</f>
        <v>2519</v>
      </c>
      <c r="I151" s="119"/>
      <c r="J151" s="330">
        <f>H151/DAY(B2)</f>
        <v>251.9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'9'!F152</f>
        <v>0</v>
      </c>
      <c r="F152" s="233">
        <v>0</v>
      </c>
      <c r="G152" s="112">
        <f t="shared" si="11"/>
        <v>0</v>
      </c>
      <c r="H152" s="99">
        <f>G152+'9'!H152</f>
        <v>0</v>
      </c>
      <c r="I152" s="119"/>
      <c r="J152" s="330">
        <f>H152/DAY(B2)</f>
        <v>0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2448.7700000000041</v>
      </c>
      <c r="H153" s="365"/>
      <c r="I153" s="119">
        <f>G153-(G38+G52)</f>
        <v>437.77000000000407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'9'!F155</f>
        <v>77591</v>
      </c>
      <c r="F155" s="376">
        <v>77600</v>
      </c>
      <c r="G155" s="112">
        <f t="shared" ref="G155:G156" si="12">F155-E155</f>
        <v>9</v>
      </c>
      <c r="H155" s="99">
        <f>G155+'9'!H155</f>
        <v>76</v>
      </c>
      <c r="I155" s="366"/>
      <c r="J155" s="330">
        <f>H155/DAY(B2)</f>
        <v>7.6</v>
      </c>
    </row>
    <row r="156" spans="1:10" ht="27.75" x14ac:dyDescent="0.5">
      <c r="A156" s="838" t="s">
        <v>346</v>
      </c>
      <c r="B156" s="838"/>
      <c r="C156" s="838"/>
      <c r="D156" s="117" t="s">
        <v>130</v>
      </c>
      <c r="E156" s="95">
        <f>'9'!F156</f>
        <v>0</v>
      </c>
      <c r="F156" s="155">
        <v>0</v>
      </c>
      <c r="G156" s="112">
        <f t="shared" si="12"/>
        <v>0</v>
      </c>
      <c r="H156" s="99">
        <f>G156+'9'!H156</f>
        <v>0</v>
      </c>
      <c r="I156" s="165"/>
      <c r="J156" s="330">
        <f>H156/DAY(B2)</f>
        <v>0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/>
      <c r="F157" s="155"/>
      <c r="G157" s="112"/>
      <c r="H157" s="99"/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/>
      <c r="F158" s="155"/>
      <c r="G158" s="112"/>
      <c r="H158" s="99"/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471116</v>
      </c>
      <c r="F161" s="235">
        <v>471120</v>
      </c>
      <c r="G161" s="238">
        <f t="shared" ref="G161:G165" si="13">F161-E161</f>
        <v>4</v>
      </c>
      <c r="H161" s="99">
        <f>G161+'9'!H161</f>
        <v>143.88000000000466</v>
      </c>
      <c r="I161" s="236"/>
      <c r="J161" s="239">
        <f>H161/DAY(B2)</f>
        <v>14.388000000000465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86942</v>
      </c>
      <c r="F162" s="235">
        <v>86974</v>
      </c>
      <c r="G162" s="238">
        <f t="shared" si="13"/>
        <v>32</v>
      </c>
      <c r="H162" s="99">
        <f>G162+'9'!H162</f>
        <v>372.30000000000291</v>
      </c>
      <c r="I162" s="236"/>
      <c r="J162" s="239">
        <f>H162/DAY(B2)</f>
        <v>37.230000000000288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76237</v>
      </c>
      <c r="F163" s="235">
        <v>76335</v>
      </c>
      <c r="G163" s="238">
        <f t="shared" si="13"/>
        <v>98</v>
      </c>
      <c r="H163" s="99">
        <f>G163+'9'!H163</f>
        <v>875.19999999999709</v>
      </c>
      <c r="I163" s="236"/>
      <c r="J163" s="239">
        <f>H163/DAY(B2)</f>
        <v>87.519999999999712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4145</v>
      </c>
      <c r="F164" s="235">
        <v>4150</v>
      </c>
      <c r="G164" s="238">
        <f t="shared" si="13"/>
        <v>5</v>
      </c>
      <c r="H164" s="99">
        <f>G164+'9'!H164</f>
        <v>52.100000000000364</v>
      </c>
      <c r="I164" s="236"/>
      <c r="J164" s="239">
        <f>H164/DAY(B2)</f>
        <v>5.2100000000000364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29499</v>
      </c>
      <c r="F165" s="235">
        <v>29506</v>
      </c>
      <c r="G165" s="238">
        <f t="shared" si="13"/>
        <v>7</v>
      </c>
      <c r="H165" s="99">
        <f>G165+'9'!H165</f>
        <v>77.06880000000092</v>
      </c>
      <c r="I165" s="236"/>
      <c r="J165" s="239">
        <f>H165/DAY(B2)</f>
        <v>7.7068800000000923</v>
      </c>
    </row>
    <row r="166" spans="1:10" ht="29.25" x14ac:dyDescent="0.5">
      <c r="A166" s="870"/>
      <c r="B166" s="870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'9'!F173</f>
        <v>8107</v>
      </c>
      <c r="F173" s="155">
        <v>8107</v>
      </c>
      <c r="G173" s="155">
        <f>F173-E173</f>
        <v>0</v>
      </c>
      <c r="H173" s="99">
        <f>G173+'9'!H173</f>
        <v>0</v>
      </c>
      <c r="I173" s="155"/>
      <c r="J173" s="178">
        <f>H173/DAY(B2)</f>
        <v>0</v>
      </c>
    </row>
    <row r="174" spans="1:10" ht="34.5" customHeight="1" x14ac:dyDescent="0.5">
      <c r="A174" s="831" t="s">
        <v>75</v>
      </c>
      <c r="B174" s="832"/>
      <c r="C174" s="335"/>
      <c r="D174" s="228" t="s">
        <v>142</v>
      </c>
      <c r="E174" s="95">
        <f>'9'!F174</f>
        <v>37951</v>
      </c>
      <c r="F174" s="157">
        <v>37969</v>
      </c>
      <c r="G174" s="155">
        <f t="shared" ref="G174:G175" si="14">F174-E174</f>
        <v>18</v>
      </c>
      <c r="H174" s="99">
        <f>G174+'9'!H174</f>
        <v>161</v>
      </c>
      <c r="I174" s="155"/>
      <c r="J174" s="178">
        <f>H174/DAY(B2)</f>
        <v>16.100000000000001</v>
      </c>
    </row>
    <row r="175" spans="1:10" ht="31.5" customHeight="1" x14ac:dyDescent="0.5">
      <c r="A175" s="831" t="s">
        <v>76</v>
      </c>
      <c r="B175" s="833"/>
      <c r="C175" s="832"/>
      <c r="D175" s="228" t="s">
        <v>142</v>
      </c>
      <c r="E175" s="95">
        <f>'9'!F175</f>
        <v>21251</v>
      </c>
      <c r="F175" s="155">
        <v>21265</v>
      </c>
      <c r="G175" s="155">
        <f t="shared" si="14"/>
        <v>14</v>
      </c>
      <c r="H175" s="99">
        <f>G175+'9'!H175</f>
        <v>128</v>
      </c>
      <c r="I175" s="155"/>
      <c r="J175" s="178">
        <f>H175/DAY(B2)</f>
        <v>12.8</v>
      </c>
    </row>
    <row r="176" spans="1:10" ht="21.75" customHeight="1" x14ac:dyDescent="0.5">
      <c r="A176" s="867" t="s">
        <v>196</v>
      </c>
      <c r="B176" s="868"/>
      <c r="C176" s="335"/>
      <c r="D176" s="228"/>
      <c r="E176" s="95"/>
      <c r="F176" s="155"/>
      <c r="G176" s="155">
        <f>SUM(G173:G175)</f>
        <v>32</v>
      </c>
      <c r="H176" s="99">
        <f>G176+'9'!H176</f>
        <v>289</v>
      </c>
      <c r="I176" s="155"/>
      <c r="J176" s="178">
        <f>H176/DAY(B2)</f>
        <v>28.9</v>
      </c>
    </row>
    <row r="177" spans="1:10" ht="27.75" customHeight="1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831" t="s">
        <v>210</v>
      </c>
      <c r="B178" s="832"/>
      <c r="C178" s="335"/>
      <c r="D178" s="228" t="s">
        <v>142</v>
      </c>
      <c r="E178" s="95">
        <f>'9'!F178</f>
        <v>78012</v>
      </c>
      <c r="F178" s="155">
        <v>78098</v>
      </c>
      <c r="G178" s="155">
        <f>F178-E178</f>
        <v>86</v>
      </c>
      <c r="H178" s="99">
        <f>G178+'9'!H178</f>
        <v>746</v>
      </c>
      <c r="I178" s="155"/>
      <c r="J178" s="178">
        <f>H178/DAY(B2)</f>
        <v>74.599999999999994</v>
      </c>
    </row>
    <row r="179" spans="1:10" ht="27.75" customHeight="1" x14ac:dyDescent="0.5">
      <c r="A179" s="831" t="s">
        <v>211</v>
      </c>
      <c r="B179" s="832"/>
      <c r="C179" s="335"/>
      <c r="D179" s="228" t="s">
        <v>142</v>
      </c>
      <c r="E179" s="95">
        <f>'9'!F179</f>
        <v>33888</v>
      </c>
      <c r="F179" s="155">
        <v>33888</v>
      </c>
      <c r="G179" s="155">
        <f t="shared" ref="G179:G180" si="15">F179-E179</f>
        <v>0</v>
      </c>
      <c r="H179" s="99">
        <f>G179+'9'!H179</f>
        <v>2</v>
      </c>
      <c r="I179" s="155"/>
      <c r="J179" s="178">
        <f>H179/DAY(B2)</f>
        <v>0.2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'9'!F180</f>
        <v>5333</v>
      </c>
      <c r="F180" s="155">
        <v>5335</v>
      </c>
      <c r="G180" s="155">
        <f t="shared" si="15"/>
        <v>2</v>
      </c>
      <c r="H180" s="99">
        <f>G180+'9'!H180</f>
        <v>62</v>
      </c>
      <c r="I180" s="155"/>
      <c r="J180" s="178">
        <f>H180/DAY(B2)</f>
        <v>6.2</v>
      </c>
    </row>
    <row r="181" spans="1:10" ht="27.75" x14ac:dyDescent="0.5">
      <c r="A181" s="872" t="s">
        <v>108</v>
      </c>
      <c r="B181" s="873"/>
      <c r="C181" s="335"/>
      <c r="D181" s="228"/>
      <c r="E181" s="95"/>
      <c r="F181" s="155"/>
      <c r="G181" s="155">
        <f>SUM(G178:G180)</f>
        <v>88</v>
      </c>
      <c r="H181" s="99">
        <f>G181+'9'!H181</f>
        <v>810</v>
      </c>
      <c r="I181" s="155"/>
      <c r="J181" s="178">
        <f>H181/DAY(B2)</f>
        <v>81</v>
      </c>
    </row>
    <row r="182" spans="1:10" ht="27.75" x14ac:dyDescent="0.5">
      <c r="A182" s="831" t="s">
        <v>213</v>
      </c>
      <c r="B182" s="832"/>
      <c r="C182" s="335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'9'!F183</f>
        <v>14635</v>
      </c>
      <c r="F183" s="157">
        <v>14649</v>
      </c>
      <c r="G183" s="157">
        <f>F183-E183</f>
        <v>14</v>
      </c>
      <c r="H183" s="99">
        <f>G183+'9'!H183</f>
        <v>153</v>
      </c>
      <c r="I183" s="155"/>
      <c r="J183" s="178">
        <f>H183/DAY(B2)</f>
        <v>15.3</v>
      </c>
    </row>
    <row r="184" spans="1:10" ht="27.75" x14ac:dyDescent="0.5">
      <c r="A184" s="831" t="s">
        <v>215</v>
      </c>
      <c r="B184" s="832"/>
      <c r="C184" s="336"/>
      <c r="D184" s="228" t="s">
        <v>142</v>
      </c>
      <c r="E184" s="95">
        <f>'9'!F184</f>
        <v>10111</v>
      </c>
      <c r="F184" s="157">
        <v>10119</v>
      </c>
      <c r="G184" s="157">
        <f t="shared" ref="G184:G185" si="16">F184-E184</f>
        <v>8</v>
      </c>
      <c r="H184" s="99">
        <f>G184+'9'!H184</f>
        <v>88</v>
      </c>
      <c r="I184" s="155"/>
      <c r="J184" s="178">
        <f>H184/DAY(B2)</f>
        <v>8.8000000000000007</v>
      </c>
    </row>
    <row r="185" spans="1:10" ht="37.5" customHeight="1" x14ac:dyDescent="0.5">
      <c r="A185" s="831" t="s">
        <v>216</v>
      </c>
      <c r="B185" s="832"/>
      <c r="C185" s="336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867" t="s">
        <v>196</v>
      </c>
      <c r="B186" s="868"/>
      <c r="C186" s="336"/>
      <c r="D186" s="229"/>
      <c r="E186" s="95"/>
      <c r="F186" s="157"/>
      <c r="G186" s="157">
        <f>SUM(G183:G185)</f>
        <v>22</v>
      </c>
      <c r="H186" s="99">
        <f>G186+'9'!H186</f>
        <v>241</v>
      </c>
      <c r="I186" s="157"/>
      <c r="J186" s="178">
        <f>H186/DAY(B2)</f>
        <v>24.1</v>
      </c>
    </row>
    <row r="187" spans="1:10" ht="21.75" customHeight="1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605">
        <f>G62+G19</f>
        <v>180</v>
      </c>
      <c r="H187" s="99">
        <f>G187+'9'!H187</f>
        <v>1749</v>
      </c>
      <c r="I187" s="158"/>
      <c r="J187" s="179">
        <f>H187/DAY(B2)</f>
        <v>174.9</v>
      </c>
    </row>
    <row r="188" spans="1:10" ht="21.75" customHeight="1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605">
        <f>G65+G66+G67+G69+G70</f>
        <v>176</v>
      </c>
      <c r="H188" s="99">
        <f>G188+'9'!H188</f>
        <v>1755</v>
      </c>
      <c r="I188" s="158"/>
      <c r="J188" s="179">
        <f>H188/DAY(B2)</f>
        <v>175.5</v>
      </c>
    </row>
    <row r="189" spans="1:10" ht="21.75" customHeight="1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82">
        <f>G181</f>
        <v>88</v>
      </c>
      <c r="H189" s="99">
        <f>G189+'9'!H189</f>
        <v>810</v>
      </c>
      <c r="I189" s="158"/>
      <c r="J189" s="179">
        <f>H189/DAY(B2)</f>
        <v>81</v>
      </c>
    </row>
    <row r="190" spans="1:10" ht="27" customHeight="1" x14ac:dyDescent="0.5">
      <c r="A190" s="802"/>
      <c r="B190" s="803"/>
      <c r="C190" s="519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64" zoomScale="55" zoomScaleNormal="55" workbookViewId="0">
      <selection activeCell="F115" sqref="F115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30.75" customHeight="1" x14ac:dyDescent="0.5">
      <c r="A2" s="191" t="s">
        <v>357</v>
      </c>
      <c r="B2" s="262">
        <v>44541</v>
      </c>
      <c r="C2" s="350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50" t="s">
        <v>118</v>
      </c>
      <c r="D3" s="219">
        <v>27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636776</v>
      </c>
      <c r="F7" s="95">
        <v>660740</v>
      </c>
      <c r="G7" s="112">
        <f>F7-E7</f>
        <v>23964</v>
      </c>
      <c r="H7" s="99">
        <f>G7+'10'!H7</f>
        <v>259898</v>
      </c>
      <c r="I7" s="113">
        <f>'1'!I7</f>
        <v>12000</v>
      </c>
      <c r="J7" s="175">
        <f>H7/DAY(B2)</f>
        <v>23627.090909090908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677162</v>
      </c>
      <c r="F8" s="95">
        <v>701603</v>
      </c>
      <c r="G8" s="115">
        <f>F8-E8</f>
        <v>24441</v>
      </c>
      <c r="H8" s="99">
        <f>G8+'10'!H8</f>
        <v>263308</v>
      </c>
      <c r="I8" s="116"/>
      <c r="J8" s="175">
        <f>H8/DAY(B2)</f>
        <v>23937.090909090908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1893608</v>
      </c>
      <c r="F9" s="659">
        <v>1912045</v>
      </c>
      <c r="G9" s="112">
        <f>F9-E9</f>
        <v>18437</v>
      </c>
      <c r="H9" s="99">
        <f>G9+'10'!H9</f>
        <v>192947.30000000005</v>
      </c>
      <c r="I9" s="124">
        <f>I7-J7</f>
        <v>-11627.090909090908</v>
      </c>
      <c r="J9" s="175">
        <f>H9/DAY(B2)</f>
        <v>17540.663636363639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461022</v>
      </c>
      <c r="F10" s="355">
        <v>465892</v>
      </c>
      <c r="G10" s="112">
        <f t="shared" ref="G10:G12" si="0">F10-E10</f>
        <v>4870</v>
      </c>
      <c r="H10" s="99">
        <f>G10+'10'!H10</f>
        <v>59809.570000000007</v>
      </c>
      <c r="I10" s="282"/>
      <c r="J10" s="175">
        <f>H10/DAY(B2)</f>
        <v>5437.2336363636368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23307</v>
      </c>
      <c r="H13" s="99">
        <f>G13+'10'!H13</f>
        <v>230706</v>
      </c>
      <c r="I13" s="120">
        <f>G7-G13</f>
        <v>657</v>
      </c>
      <c r="J13" s="175">
        <f>H13/DAY(B2)</f>
        <v>20973.272727272728</v>
      </c>
      <c r="K13" s="79"/>
      <c r="L13" s="66"/>
      <c r="N13" s="87"/>
      <c r="O13" s="71"/>
    </row>
    <row r="14" spans="1:15" ht="30.75" customHeight="1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7" t="s">
        <v>138</v>
      </c>
      <c r="B15" s="205"/>
      <c r="C15" s="205"/>
      <c r="D15" s="151" t="s">
        <v>139</v>
      </c>
      <c r="E15" s="95">
        <f>'10'!F15</f>
        <v>1854799</v>
      </c>
      <c r="F15" s="659">
        <v>1855963</v>
      </c>
      <c r="G15" s="112">
        <f>(F15-E15)</f>
        <v>1164</v>
      </c>
      <c r="H15" s="99">
        <f>G15+'10'!H15</f>
        <v>12815</v>
      </c>
      <c r="I15" s="113">
        <f>'1'!I15</f>
        <v>800</v>
      </c>
      <c r="J15" s="175">
        <f>H15/DAY(B2)</f>
        <v>1165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-365</v>
      </c>
      <c r="J16" s="176"/>
      <c r="K16" s="79"/>
      <c r="L16" s="66"/>
      <c r="N16" s="87"/>
      <c r="O16" s="71"/>
    </row>
    <row r="17" spans="1:15" ht="30.75" customHeight="1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09" t="s">
        <v>141</v>
      </c>
      <c r="B18" s="810"/>
      <c r="C18" s="811"/>
      <c r="D18" s="151" t="s">
        <v>142</v>
      </c>
      <c r="E18" s="95">
        <f>'10'!F18</f>
        <v>22</v>
      </c>
      <c r="F18" s="122">
        <v>22</v>
      </c>
      <c r="G18" s="119">
        <f>F18*10</f>
        <v>220</v>
      </c>
      <c r="H18" s="99">
        <f>G18+'10'!H18</f>
        <v>2270</v>
      </c>
      <c r="I18" s="113">
        <f>'1'!I18</f>
        <v>65</v>
      </c>
      <c r="J18" s="175">
        <f>H18/DAY(B2)</f>
        <v>206.36363636363637</v>
      </c>
      <c r="K18" s="79"/>
      <c r="L18" s="66"/>
      <c r="N18" s="87"/>
      <c r="O18" s="71"/>
    </row>
    <row r="19" spans="1:15" ht="30.75" customHeight="1" x14ac:dyDescent="0.5">
      <c r="A19" s="809" t="s">
        <v>69</v>
      </c>
      <c r="B19" s="810"/>
      <c r="C19" s="811"/>
      <c r="D19" s="151" t="s">
        <v>142</v>
      </c>
      <c r="E19" s="95">
        <f>'10'!F19</f>
        <v>151117</v>
      </c>
      <c r="F19" s="122">
        <v>151171</v>
      </c>
      <c r="G19" s="112">
        <f t="shared" ref="G19" si="1">F19-E19</f>
        <v>54</v>
      </c>
      <c r="H19" s="99">
        <f>G19+'10'!H19</f>
        <v>587</v>
      </c>
      <c r="I19" s="337"/>
      <c r="J19" s="175">
        <f>H19/DAY(B2)</f>
        <v>53.363636363636367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274</v>
      </c>
      <c r="H20" s="99">
        <f>G20+'10'!H20</f>
        <v>2857</v>
      </c>
      <c r="I20" s="338">
        <f>I18-J20</f>
        <v>-194.72727272727275</v>
      </c>
      <c r="J20" s="175">
        <f>H20/DAY(B2)</f>
        <v>259.72727272727275</v>
      </c>
      <c r="K20" s="79"/>
      <c r="L20" s="66"/>
      <c r="N20" s="87"/>
      <c r="O20" s="71"/>
    </row>
    <row r="21" spans="1:15" ht="30.75" customHeight="1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7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7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24441</v>
      </c>
      <c r="F27" s="136">
        <v>9</v>
      </c>
      <c r="G27" s="137">
        <f>E27*F27</f>
        <v>219969</v>
      </c>
      <c r="H27" s="99">
        <f>G27+'10'!H27</f>
        <v>2369772</v>
      </c>
      <c r="I27" s="138"/>
      <c r="J27" s="175">
        <f>H27/DAY(B2)</f>
        <v>215433.81818181818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1164</v>
      </c>
      <c r="F28" s="136">
        <v>52</v>
      </c>
      <c r="G28" s="137">
        <f>E28*F28</f>
        <v>60528</v>
      </c>
      <c r="H28" s="99">
        <f>G28+'10'!H28</f>
        <v>666380</v>
      </c>
      <c r="I28" s="140"/>
      <c r="J28" s="175">
        <f>H28/DAY(B2)</f>
        <v>60580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G30+'10'!H30</f>
        <v>85702</v>
      </c>
      <c r="I30" s="140"/>
      <c r="J30" s="175">
        <f>H30/DAY(B2)</f>
        <v>7791.090909090909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G31+'10'!H31</f>
        <v>181600</v>
      </c>
      <c r="I31" s="140"/>
      <c r="J31" s="175">
        <f>H31/DAY(B2)</f>
        <v>16509.090909090908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305981</v>
      </c>
      <c r="H32" s="99">
        <f>G32+'10'!H32</f>
        <v>3303454</v>
      </c>
      <c r="I32" s="144"/>
      <c r="J32" s="175">
        <f>H32/DAY(B2)</f>
        <v>300314</v>
      </c>
      <c r="K32" s="63"/>
      <c r="L32" s="89"/>
      <c r="N32" s="87"/>
      <c r="O32" s="71"/>
    </row>
    <row r="33" spans="1:15" ht="30.7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114587</v>
      </c>
      <c r="F35" s="145">
        <v>116723</v>
      </c>
      <c r="G35" s="112">
        <f t="shared" ref="G35:G46" si="3">F35-E35</f>
        <v>2136</v>
      </c>
      <c r="H35" s="99">
        <f>G35+'10'!H35</f>
        <v>23188.369999999995</v>
      </c>
      <c r="I35" s="95"/>
      <c r="J35" s="175">
        <f>H35/DAY(B2)</f>
        <v>2108.0336363636361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v>0</v>
      </c>
      <c r="F36" s="145">
        <v>806</v>
      </c>
      <c r="G36" s="112">
        <f t="shared" si="3"/>
        <v>806</v>
      </c>
      <c r="H36" s="99">
        <f>G36+'10'!H36</f>
        <v>11072.300000000003</v>
      </c>
      <c r="I36" s="95"/>
      <c r="J36" s="175">
        <f>H36/DAY(B2)</f>
        <v>1006.5727272727275</v>
      </c>
      <c r="K36" s="79"/>
      <c r="L36" s="66"/>
      <c r="N36" s="87"/>
      <c r="O36" s="346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162088</v>
      </c>
      <c r="F37" s="145">
        <v>163693</v>
      </c>
      <c r="G37" s="112">
        <f t="shared" si="3"/>
        <v>1605</v>
      </c>
      <c r="H37" s="99">
        <f>G37+'10'!H37</f>
        <v>18186.260000000009</v>
      </c>
      <c r="I37" s="95"/>
      <c r="J37" s="175">
        <f>H37/DAY(B2)</f>
        <v>1653.2963636363645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190700</v>
      </c>
      <c r="F38" s="108">
        <v>192862</v>
      </c>
      <c r="G38" s="112">
        <f t="shared" si="3"/>
        <v>2162</v>
      </c>
      <c r="H38" s="99">
        <f>G38+'10'!H38</f>
        <v>21857.950000000012</v>
      </c>
      <c r="I38" s="95"/>
      <c r="J38" s="175">
        <f>H38/DAY(B2)</f>
        <v>1987.0863636363647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350694</v>
      </c>
      <c r="F39" s="145">
        <v>353654</v>
      </c>
      <c r="G39" s="112">
        <f t="shared" si="3"/>
        <v>2960</v>
      </c>
      <c r="H39" s="99">
        <f>G39+'10'!H39</f>
        <v>31990.710000000021</v>
      </c>
      <c r="I39" s="95"/>
      <c r="J39" s="175">
        <f>H39/DAY(B2)</f>
        <v>2908.2463636363655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116</v>
      </c>
      <c r="F40" s="145">
        <v>116</v>
      </c>
      <c r="G40" s="112">
        <f t="shared" si="3"/>
        <v>0</v>
      </c>
      <c r="H40" s="99">
        <f>G40+'10'!H40</f>
        <v>4.7800000000000011</v>
      </c>
      <c r="I40" s="95"/>
      <c r="J40" s="175">
        <f>H40/DAY(B2)</f>
        <v>0.43454545454545462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v>0</v>
      </c>
      <c r="F41" s="145">
        <v>0</v>
      </c>
      <c r="G41" s="112">
        <f t="shared" si="3"/>
        <v>0</v>
      </c>
      <c r="H41" s="99">
        <f>G41+'10'!H41</f>
        <v>9386.2900000000373</v>
      </c>
      <c r="I41" s="95"/>
      <c r="J41" s="175">
        <f>H41/DAY(B2)</f>
        <v>853.29909090909428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343994</v>
      </c>
      <c r="F42" s="145">
        <v>348499</v>
      </c>
      <c r="G42" s="112">
        <f t="shared" si="3"/>
        <v>4505</v>
      </c>
      <c r="H42" s="99">
        <f>G42+'10'!H42</f>
        <v>32445.010000000009</v>
      </c>
      <c r="I42" s="95"/>
      <c r="J42" s="175">
        <f>H42/DAY(B2)</f>
        <v>2949.5463636363643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v>0</v>
      </c>
      <c r="F43" s="378">
        <v>2753</v>
      </c>
      <c r="G43" s="112">
        <f t="shared" si="3"/>
        <v>2753</v>
      </c>
      <c r="H43" s="99">
        <f>G43+'10'!H43</f>
        <v>29717.399999999907</v>
      </c>
      <c r="I43" s="95"/>
      <c r="J43" s="175">
        <f>H43/DAY(B2)</f>
        <v>2701.5818181818099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16927</v>
      </c>
      <c r="H47" s="99">
        <f>G47+'10'!H47</f>
        <v>177849.07</v>
      </c>
      <c r="I47" s="95"/>
      <c r="J47" s="175">
        <f>H47/DAY(B2)</f>
        <v>16168.097272727273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237955</v>
      </c>
      <c r="F49" s="145">
        <v>239685</v>
      </c>
      <c r="G49" s="112">
        <f t="shared" ref="G49:G58" si="4">F49-E49</f>
        <v>1730</v>
      </c>
      <c r="H49" s="99">
        <f>G49+'10'!H49</f>
        <v>19171.670000000013</v>
      </c>
      <c r="I49" s="95"/>
      <c r="J49" s="175">
        <f>H49/DAY(B2)</f>
        <v>1742.8790909090922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v>0</v>
      </c>
      <c r="F50" s="145">
        <v>1517</v>
      </c>
      <c r="G50" s="112">
        <f t="shared" si="4"/>
        <v>1517</v>
      </c>
      <c r="H50" s="99">
        <f>G50+'10'!H50</f>
        <v>15851.810000000056</v>
      </c>
      <c r="I50" s="95"/>
      <c r="J50" s="175">
        <f>H50/DAY(B2)</f>
        <v>1441.0736363636415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3090</v>
      </c>
      <c r="F54" s="145">
        <v>3095</v>
      </c>
      <c r="G54" s="112">
        <f t="shared" si="4"/>
        <v>5</v>
      </c>
      <c r="H54" s="99">
        <f>G54+'10'!H54</f>
        <v>63.7199999999998</v>
      </c>
      <c r="I54" s="95"/>
      <c r="J54" s="175">
        <f>H54/DAY(B2)</f>
        <v>5.7927272727272543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0</v>
      </c>
      <c r="F55" s="145">
        <v>0</v>
      </c>
      <c r="G55" s="112">
        <f t="shared" si="4"/>
        <v>0</v>
      </c>
      <c r="H55" s="99">
        <f>G55+'10'!H55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953</v>
      </c>
      <c r="F56" s="378">
        <v>1915</v>
      </c>
      <c r="G56" s="112">
        <f t="shared" si="4"/>
        <v>962</v>
      </c>
      <c r="H56" s="99">
        <f>G56+'10'!H56</f>
        <v>23465.049999999988</v>
      </c>
      <c r="I56" s="95"/>
      <c r="J56" s="175">
        <f>H56/DAY(B2)</f>
        <v>2133.1863636363628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87614</v>
      </c>
      <c r="F58" s="145">
        <v>87874</v>
      </c>
      <c r="G58" s="112">
        <f t="shared" si="4"/>
        <v>260</v>
      </c>
      <c r="H58" s="99">
        <f>G58+'10'!H58</f>
        <v>2549.1499999999942</v>
      </c>
      <c r="I58" s="95"/>
      <c r="J58" s="175">
        <f>H58/DAY(B2)</f>
        <v>231.74090909090856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4474</v>
      </c>
      <c r="H59" s="99">
        <f>G59+'10'!H59</f>
        <v>61101.400000000052</v>
      </c>
      <c r="I59" s="95">
        <f>G7-G60</f>
        <v>2563</v>
      </c>
      <c r="J59" s="175">
        <f>H59/DAY(B2)</f>
        <v>5554.6727272727321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21401</v>
      </c>
      <c r="H60" s="99">
        <f>G60+'10'!H60</f>
        <v>238950.47000000009</v>
      </c>
      <c r="I60" s="95">
        <f>G13-G60</f>
        <v>1906</v>
      </c>
      <c r="J60" s="175">
        <f>H60/DAY(B2)</f>
        <v>21722.770000000008</v>
      </c>
      <c r="K60" s="79"/>
      <c r="L60" s="66"/>
      <c r="N60" s="87"/>
      <c r="O60" s="71"/>
    </row>
    <row r="61" spans="1:15" s="68" customFormat="1" ht="30.75" customHeight="1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30.75" customHeight="1" x14ac:dyDescent="0.5">
      <c r="A62" s="809" t="s">
        <v>198</v>
      </c>
      <c r="B62" s="810"/>
      <c r="C62" s="811"/>
      <c r="D62" s="151" t="s">
        <v>142</v>
      </c>
      <c r="E62" s="95">
        <f>'10'!F62</f>
        <v>264681</v>
      </c>
      <c r="F62" s="122">
        <v>264797</v>
      </c>
      <c r="G62" s="112">
        <f t="shared" ref="G62:G63" si="5">F62-E62</f>
        <v>116</v>
      </c>
      <c r="H62" s="99">
        <f>G62+'10'!H62</f>
        <v>1332</v>
      </c>
      <c r="I62" s="118"/>
      <c r="J62" s="175">
        <f>H62/DAY(B2)</f>
        <v>121.09090909090909</v>
      </c>
      <c r="K62" s="80"/>
      <c r="L62" s="66"/>
      <c r="N62" s="87"/>
      <c r="O62" s="71"/>
    </row>
    <row r="63" spans="1:15" ht="30.75" customHeight="1" x14ac:dyDescent="0.5">
      <c r="A63" s="809" t="s">
        <v>199</v>
      </c>
      <c r="B63" s="810"/>
      <c r="C63" s="811"/>
      <c r="D63" s="151" t="s">
        <v>142</v>
      </c>
      <c r="E63" s="95">
        <f>'10'!F63</f>
        <v>210431</v>
      </c>
      <c r="F63" s="150">
        <v>210557</v>
      </c>
      <c r="G63" s="112">
        <f t="shared" si="5"/>
        <v>126</v>
      </c>
      <c r="H63" s="99">
        <f>G63+'10'!H63</f>
        <v>1182</v>
      </c>
      <c r="I63" s="118"/>
      <c r="J63" s="175">
        <f>H63/DAY(B2)</f>
        <v>107.45454545454545</v>
      </c>
      <c r="K63" s="69"/>
      <c r="L63" s="66"/>
      <c r="N63" s="87"/>
      <c r="O63" s="71"/>
    </row>
    <row r="64" spans="1:15" ht="30.75" customHeight="1" x14ac:dyDescent="0.5">
      <c r="A64" s="806" t="s">
        <v>200</v>
      </c>
      <c r="B64" s="807"/>
      <c r="C64" s="808"/>
      <c r="D64" s="151"/>
      <c r="E64" s="95">
        <f>'10'!F64</f>
        <v>0</v>
      </c>
      <c r="F64" s="122"/>
      <c r="G64" s="112">
        <f>G62+G63</f>
        <v>242</v>
      </c>
      <c r="H64" s="99">
        <f>G64+'10'!H64</f>
        <v>2514</v>
      </c>
      <c r="I64" s="118"/>
      <c r="J64" s="175">
        <f>H64/DAY(B2)</f>
        <v>228.54545454545453</v>
      </c>
      <c r="K64" s="69"/>
      <c r="L64" s="66"/>
      <c r="N64" s="87"/>
      <c r="O64" s="71"/>
    </row>
    <row r="65" spans="1:15" ht="30.75" customHeight="1" x14ac:dyDescent="0.5">
      <c r="A65" s="809" t="s">
        <v>201</v>
      </c>
      <c r="B65" s="810"/>
      <c r="C65" s="811"/>
      <c r="D65" s="151" t="s">
        <v>142</v>
      </c>
      <c r="E65" s="95">
        <f>'10'!F65</f>
        <v>430391</v>
      </c>
      <c r="F65" s="122">
        <v>430495</v>
      </c>
      <c r="G65" s="112">
        <f t="shared" ref="G65:G70" si="6">F65-E65</f>
        <v>104</v>
      </c>
      <c r="H65" s="99">
        <f>G65+'10'!H65</f>
        <v>1132</v>
      </c>
      <c r="I65" s="118"/>
      <c r="J65" s="175">
        <f>H65/DAY(B2)</f>
        <v>102.90909090909091</v>
      </c>
      <c r="K65" s="69"/>
      <c r="L65" s="66"/>
      <c r="N65" s="87"/>
      <c r="O65" s="71"/>
    </row>
    <row r="66" spans="1:15" ht="30.75" customHeight="1" x14ac:dyDescent="0.5">
      <c r="A66" s="347" t="s">
        <v>202</v>
      </c>
      <c r="B66" s="348"/>
      <c r="C66" s="348"/>
      <c r="D66" s="151" t="s">
        <v>142</v>
      </c>
      <c r="E66" s="95">
        <f>'10'!F66</f>
        <v>106800</v>
      </c>
      <c r="F66" s="122">
        <v>106820</v>
      </c>
      <c r="G66" s="112">
        <f t="shared" si="6"/>
        <v>20</v>
      </c>
      <c r="H66" s="99">
        <f>G66+'10'!H66</f>
        <v>221</v>
      </c>
      <c r="I66" s="118"/>
      <c r="J66" s="175">
        <f>H66/DAY(B2)</f>
        <v>20.09090909090909</v>
      </c>
      <c r="K66" s="78"/>
      <c r="L66" s="66"/>
      <c r="N66" s="87"/>
      <c r="O66" s="71"/>
    </row>
    <row r="67" spans="1:15" ht="30.75" customHeight="1" x14ac:dyDescent="0.5">
      <c r="A67" s="347" t="s">
        <v>203</v>
      </c>
      <c r="B67" s="348"/>
      <c r="C67" s="348"/>
      <c r="D67" s="151" t="s">
        <v>142</v>
      </c>
      <c r="E67" s="95">
        <f>'10'!F67</f>
        <v>103305</v>
      </c>
      <c r="F67" s="122">
        <v>103339</v>
      </c>
      <c r="G67" s="112">
        <f t="shared" si="6"/>
        <v>34</v>
      </c>
      <c r="H67" s="99">
        <f>G67+'10'!H67</f>
        <v>328</v>
      </c>
      <c r="I67" s="118"/>
      <c r="J67" s="175">
        <f>H67/DAY(B2)</f>
        <v>29.818181818181817</v>
      </c>
      <c r="K67" s="81"/>
      <c r="L67" s="66"/>
      <c r="N67" s="87"/>
      <c r="O67" s="71"/>
    </row>
    <row r="68" spans="1:15" ht="30.75" customHeight="1" x14ac:dyDescent="0.5">
      <c r="A68" s="347" t="s">
        <v>204</v>
      </c>
      <c r="B68" s="348"/>
      <c r="C68" s="348"/>
      <c r="D68" s="151" t="s">
        <v>142</v>
      </c>
      <c r="E68" s="95">
        <f>'10'!F68</f>
        <v>155839</v>
      </c>
      <c r="F68" s="122">
        <v>155878</v>
      </c>
      <c r="G68" s="112">
        <f t="shared" si="6"/>
        <v>39</v>
      </c>
      <c r="H68" s="99">
        <f>G68+'10'!H68</f>
        <v>438</v>
      </c>
      <c r="I68" s="118"/>
      <c r="J68" s="175">
        <f>H68/DAY(B2)</f>
        <v>39.81818181818182</v>
      </c>
      <c r="K68" s="69"/>
      <c r="L68" s="66"/>
      <c r="N68" s="87"/>
      <c r="O68" s="71"/>
    </row>
    <row r="69" spans="1:15" ht="30.75" customHeight="1" x14ac:dyDescent="0.5">
      <c r="A69" s="347" t="s">
        <v>205</v>
      </c>
      <c r="B69" s="348"/>
      <c r="C69" s="348"/>
      <c r="D69" s="151" t="s">
        <v>142</v>
      </c>
      <c r="E69" s="95">
        <f>'10'!F69</f>
        <v>9969</v>
      </c>
      <c r="F69" s="122">
        <v>9977</v>
      </c>
      <c r="G69" s="112">
        <f t="shared" si="6"/>
        <v>8</v>
      </c>
      <c r="H69" s="99">
        <f>G69+'10'!H69</f>
        <v>134</v>
      </c>
      <c r="I69" s="118"/>
      <c r="J69" s="175">
        <f>H69/DAY(B2)</f>
        <v>12.181818181818182</v>
      </c>
      <c r="K69" s="69"/>
      <c r="L69" s="66"/>
      <c r="N69" s="87"/>
      <c r="O69" s="71"/>
    </row>
    <row r="70" spans="1:15" ht="30.75" customHeight="1" x14ac:dyDescent="0.5">
      <c r="A70" s="347" t="s">
        <v>206</v>
      </c>
      <c r="B70" s="348"/>
      <c r="C70" s="348"/>
      <c r="D70" s="151" t="s">
        <v>142</v>
      </c>
      <c r="E70" s="95">
        <f>'10'!F70</f>
        <v>7648</v>
      </c>
      <c r="F70" s="122">
        <v>7659</v>
      </c>
      <c r="G70" s="112">
        <f t="shared" si="6"/>
        <v>11</v>
      </c>
      <c r="H70" s="99">
        <f>G70+'10'!H70</f>
        <v>117</v>
      </c>
      <c r="I70" s="118"/>
      <c r="J70" s="175">
        <f>H70/DAY(B2)</f>
        <v>10.636363636363637</v>
      </c>
      <c r="K70" s="69"/>
      <c r="L70" s="66"/>
      <c r="N70" s="87"/>
      <c r="O70" s="71"/>
    </row>
    <row r="71" spans="1:15" ht="30.75" customHeight="1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216</v>
      </c>
      <c r="H71" s="99">
        <f>G71+'10'!H71</f>
        <v>2370</v>
      </c>
      <c r="I71" s="154"/>
      <c r="J71" s="175">
        <f>H71/DAY(B2)</f>
        <v>215.45454545454547</v>
      </c>
      <c r="K71" s="69"/>
      <c r="L71" s="66"/>
      <c r="N71" s="87"/>
      <c r="O71" s="71"/>
    </row>
    <row r="72" spans="1:15" s="88" customFormat="1" ht="30.75" customHeight="1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30.75" customHeight="1" x14ac:dyDescent="0.5">
      <c r="A74" s="809" t="s">
        <v>220</v>
      </c>
      <c r="B74" s="810"/>
      <c r="C74" s="811"/>
      <c r="D74" s="151" t="s">
        <v>139</v>
      </c>
      <c r="E74" s="95">
        <f>'10'!F74</f>
        <v>885408</v>
      </c>
      <c r="F74" s="117">
        <v>885717</v>
      </c>
      <c r="G74" s="112">
        <f t="shared" ref="G74:G78" si="7">F74-E74</f>
        <v>309</v>
      </c>
      <c r="H74" s="99">
        <f>G74+'10'!H74</f>
        <v>3463.9510000000009</v>
      </c>
      <c r="I74" s="154"/>
      <c r="J74" s="175">
        <f>H74/DAY(B2)</f>
        <v>314.90463636363643</v>
      </c>
      <c r="K74" s="69"/>
      <c r="L74" s="66"/>
      <c r="N74" s="87"/>
      <c r="O74" s="71"/>
    </row>
    <row r="75" spans="1:15" ht="30.75" customHeight="1" x14ac:dyDescent="0.5">
      <c r="A75" s="809" t="s">
        <v>221</v>
      </c>
      <c r="B75" s="810"/>
      <c r="C75" s="811"/>
      <c r="D75" s="151" t="s">
        <v>139</v>
      </c>
      <c r="E75" s="95">
        <f>'10'!F75</f>
        <v>73830.69</v>
      </c>
      <c r="F75" s="123">
        <v>73830.69</v>
      </c>
      <c r="G75" s="112">
        <f t="shared" si="7"/>
        <v>0</v>
      </c>
      <c r="H75" s="99">
        <f>G75+'10'!H75</f>
        <v>243.88999999999942</v>
      </c>
      <c r="I75" s="154"/>
      <c r="J75" s="175">
        <f>H75/DAY(B2)</f>
        <v>22.171818181818129</v>
      </c>
      <c r="K75" s="69"/>
      <c r="L75" s="66"/>
      <c r="N75" s="87"/>
      <c r="O75" s="71"/>
    </row>
    <row r="76" spans="1:15" ht="30.75" customHeight="1" x14ac:dyDescent="0.5">
      <c r="A76" s="850" t="s">
        <v>222</v>
      </c>
      <c r="B76" s="836"/>
      <c r="C76" s="837"/>
      <c r="D76" s="151" t="s">
        <v>139</v>
      </c>
      <c r="E76" s="95">
        <f>'10'!F76</f>
        <v>164670</v>
      </c>
      <c r="F76" s="123">
        <v>164811</v>
      </c>
      <c r="G76" s="112">
        <f t="shared" si="7"/>
        <v>141</v>
      </c>
      <c r="H76" s="99">
        <f>G76+'10'!H76</f>
        <v>1427</v>
      </c>
      <c r="I76" s="154"/>
      <c r="J76" s="175">
        <f>H76/DAY(B2)</f>
        <v>129.72727272727272</v>
      </c>
      <c r="K76" s="69"/>
      <c r="L76" s="66"/>
      <c r="N76" s="87"/>
      <c r="O76" s="71"/>
    </row>
    <row r="77" spans="1:15" ht="30.75" customHeight="1" x14ac:dyDescent="0.5">
      <c r="A77" s="850" t="s">
        <v>223</v>
      </c>
      <c r="B77" s="836"/>
      <c r="C77" s="837"/>
      <c r="D77" s="151" t="s">
        <v>139</v>
      </c>
      <c r="E77" s="95">
        <f>'10'!F77</f>
        <v>39286</v>
      </c>
      <c r="F77" s="123">
        <v>39330</v>
      </c>
      <c r="G77" s="112">
        <f t="shared" si="7"/>
        <v>44</v>
      </c>
      <c r="H77" s="99">
        <f>G77+'10'!H77</f>
        <v>520</v>
      </c>
      <c r="I77" s="154"/>
      <c r="J77" s="175">
        <f>H77/DAY(B2)</f>
        <v>47.272727272727273</v>
      </c>
      <c r="K77" s="69"/>
      <c r="L77" s="66"/>
      <c r="N77" s="87"/>
      <c r="O77" s="71"/>
    </row>
    <row r="78" spans="1:15" ht="30.75" customHeight="1" x14ac:dyDescent="0.5">
      <c r="A78" s="850" t="s">
        <v>224</v>
      </c>
      <c r="B78" s="836"/>
      <c r="C78" s="837"/>
      <c r="D78" s="151" t="s">
        <v>139</v>
      </c>
      <c r="E78" s="95">
        <f>'10'!F78</f>
        <v>9444</v>
      </c>
      <c r="F78" s="123">
        <v>9447</v>
      </c>
      <c r="G78" s="112">
        <f t="shared" si="7"/>
        <v>3</v>
      </c>
      <c r="H78" s="99">
        <f>G78+'10'!H78</f>
        <v>35</v>
      </c>
      <c r="I78" s="118"/>
      <c r="J78" s="175">
        <f>H78/DAY(B2)</f>
        <v>3.1818181818181817</v>
      </c>
      <c r="K78" s="69"/>
      <c r="L78" s="66"/>
      <c r="N78" s="87"/>
      <c r="O78" s="71"/>
    </row>
    <row r="79" spans="1:15" s="57" customFormat="1" ht="30.75" customHeight="1" x14ac:dyDescent="0.5">
      <c r="A79" s="850" t="s">
        <v>225</v>
      </c>
      <c r="B79" s="836"/>
      <c r="C79" s="837"/>
      <c r="D79" s="151"/>
      <c r="E79" s="95">
        <f>'10'!F79</f>
        <v>0</v>
      </c>
      <c r="F79" s="117"/>
      <c r="G79" s="112">
        <f>G15-SUM(G74:G78)</f>
        <v>667</v>
      </c>
      <c r="H79" s="99">
        <f>G79+'10'!H79</f>
        <v>7125.1589999999997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1164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7" t="s">
        <v>227</v>
      </c>
      <c r="B82" s="348"/>
      <c r="C82" s="348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7" t="s">
        <v>229</v>
      </c>
      <c r="B83" s="348"/>
      <c r="C83" s="348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7" t="s">
        <v>230</v>
      </c>
      <c r="B84" s="348"/>
      <c r="C84" s="348"/>
      <c r="D84" s="151" t="s">
        <v>228</v>
      </c>
      <c r="E84" s="95">
        <f>'10'!F84</f>
        <v>41675.760000000002</v>
      </c>
      <c r="F84" s="164">
        <v>41675.760000000002</v>
      </c>
      <c r="G84" s="112">
        <f t="shared" si="8"/>
        <v>0</v>
      </c>
      <c r="H84" s="99">
        <f>G84+'10'!H84</f>
        <v>47.200000000004366</v>
      </c>
      <c r="I84" s="118"/>
      <c r="J84" s="175">
        <f>H84/DAY(B2)</f>
        <v>4.290909090909488</v>
      </c>
      <c r="O84" s="71"/>
    </row>
    <row r="85" spans="1:15" ht="30.75" customHeight="1" x14ac:dyDescent="0.5">
      <c r="A85" s="347" t="s">
        <v>231</v>
      </c>
      <c r="B85" s="348"/>
      <c r="C85" s="348"/>
      <c r="D85" s="151" t="s">
        <v>228</v>
      </c>
      <c r="E85" s="95">
        <f>'10'!F85</f>
        <v>1645</v>
      </c>
      <c r="F85" s="164">
        <v>1669</v>
      </c>
      <c r="G85" s="112">
        <f t="shared" si="8"/>
        <v>24</v>
      </c>
      <c r="H85" s="99">
        <f>G85+'10'!H85</f>
        <v>165.44000000000005</v>
      </c>
      <c r="I85" s="118">
        <f>G82+G83+G84+G85</f>
        <v>24</v>
      </c>
      <c r="J85" s="175">
        <f>H85/DAY(B2)</f>
        <v>15.040000000000004</v>
      </c>
      <c r="O85" s="71"/>
    </row>
    <row r="86" spans="1:15" ht="30.75" customHeight="1" x14ac:dyDescent="0.5">
      <c r="A86" s="347" t="s">
        <v>232</v>
      </c>
      <c r="B86" s="348"/>
      <c r="C86" s="348"/>
      <c r="D86" s="151" t="s">
        <v>228</v>
      </c>
      <c r="E86" s="95">
        <f>'10'!F86</f>
        <v>42826.47</v>
      </c>
      <c r="F86" s="164">
        <v>42826.47</v>
      </c>
      <c r="G86" s="112">
        <f t="shared" si="8"/>
        <v>0</v>
      </c>
      <c r="H86" s="99">
        <f>G86+'10'!H86</f>
        <v>0.47000000000116415</v>
      </c>
      <c r="I86" s="118"/>
      <c r="J86" s="175">
        <f>H86/DAY(B2)</f>
        <v>4.2727272727378557E-2</v>
      </c>
      <c r="O86" s="71"/>
    </row>
    <row r="87" spans="1:15" ht="30.75" customHeight="1" x14ac:dyDescent="0.5">
      <c r="A87" s="347" t="s">
        <v>233</v>
      </c>
      <c r="B87" s="348"/>
      <c r="C87" s="348"/>
      <c r="D87" s="151" t="s">
        <v>228</v>
      </c>
      <c r="E87" s="95">
        <f>'10'!F87</f>
        <v>34533</v>
      </c>
      <c r="F87" s="164">
        <v>34541.519999999997</v>
      </c>
      <c r="G87" s="112">
        <f t="shared" si="8"/>
        <v>8.5199999999967986</v>
      </c>
      <c r="H87" s="99">
        <f>G87+'10'!H87</f>
        <v>121.11999999999534</v>
      </c>
      <c r="I87" s="118"/>
      <c r="J87" s="175">
        <f>H87/DAY(B2)</f>
        <v>11.010909090908667</v>
      </c>
      <c r="O87" s="71"/>
    </row>
    <row r="88" spans="1:15" ht="30.75" customHeight="1" x14ac:dyDescent="0.5">
      <c r="A88" s="347" t="s">
        <v>234</v>
      </c>
      <c r="B88" s="348"/>
      <c r="C88" s="348"/>
      <c r="D88" s="151" t="s">
        <v>228</v>
      </c>
      <c r="E88" s="95">
        <f>'10'!F88</f>
        <v>23994</v>
      </c>
      <c r="F88" s="164">
        <v>23994</v>
      </c>
      <c r="G88" s="112">
        <f t="shared" si="8"/>
        <v>0</v>
      </c>
      <c r="H88" s="99">
        <f>G88+'10'!H88</f>
        <v>41.509999999998399</v>
      </c>
      <c r="I88" s="118">
        <f>G86+G87+G88</f>
        <v>8.5199999999967986</v>
      </c>
      <c r="J88" s="175">
        <f>H88/DAY(B2)</f>
        <v>3.7736363636362182</v>
      </c>
      <c r="O88" s="71"/>
    </row>
    <row r="89" spans="1:15" ht="30.75" customHeight="1" x14ac:dyDescent="0.5">
      <c r="A89" s="347" t="s">
        <v>235</v>
      </c>
      <c r="B89" s="348"/>
      <c r="C89" s="348"/>
      <c r="D89" s="151" t="s">
        <v>228</v>
      </c>
      <c r="E89" s="95">
        <f>'10'!F89</f>
        <v>25494</v>
      </c>
      <c r="F89" s="164">
        <v>25507</v>
      </c>
      <c r="G89" s="112">
        <f t="shared" si="8"/>
        <v>13</v>
      </c>
      <c r="H89" s="99">
        <f>G89+'10'!H89</f>
        <v>79.509999999998399</v>
      </c>
      <c r="I89" s="118"/>
      <c r="J89" s="175">
        <f>H89/DAY(B2)</f>
        <v>7.2281818181816728</v>
      </c>
      <c r="O89" s="71"/>
    </row>
    <row r="90" spans="1:15" ht="30.75" customHeight="1" x14ac:dyDescent="0.5">
      <c r="A90" s="347" t="s">
        <v>236</v>
      </c>
      <c r="B90" s="348"/>
      <c r="C90" s="348"/>
      <c r="D90" s="151" t="s">
        <v>228</v>
      </c>
      <c r="E90" s="95">
        <f>'10'!F90</f>
        <v>70901</v>
      </c>
      <c r="F90" s="164">
        <v>70906</v>
      </c>
      <c r="G90" s="112">
        <f t="shared" si="8"/>
        <v>5</v>
      </c>
      <c r="H90" s="99">
        <f>G90+'10'!H90</f>
        <v>77.729999999995925</v>
      </c>
      <c r="I90" s="118">
        <f>G89+G90</f>
        <v>18</v>
      </c>
      <c r="J90" s="175">
        <f>H90/DAY(B2)</f>
        <v>7.066363636363266</v>
      </c>
      <c r="O90" s="71"/>
    </row>
    <row r="91" spans="1:15" ht="30.75" customHeight="1" x14ac:dyDescent="0.5">
      <c r="A91" s="347" t="s">
        <v>237</v>
      </c>
      <c r="B91" s="348"/>
      <c r="C91" s="348"/>
      <c r="D91" s="151" t="s">
        <v>228</v>
      </c>
      <c r="E91" s="95">
        <f>'10'!F91</f>
        <v>3226.32</v>
      </c>
      <c r="F91" s="122">
        <v>3226.32</v>
      </c>
      <c r="G91" s="112">
        <f t="shared" si="8"/>
        <v>0</v>
      </c>
      <c r="H91" s="99">
        <f>G91+'10'!H91</f>
        <v>0.32000000000016371</v>
      </c>
      <c r="I91" s="165"/>
      <c r="J91" s="175">
        <f>H91/DAY(B2)</f>
        <v>2.9090909090923975E-2</v>
      </c>
      <c r="O91" s="71"/>
    </row>
    <row r="92" spans="1:15" ht="30.75" customHeight="1" x14ac:dyDescent="0.5">
      <c r="A92" s="347" t="s">
        <v>238</v>
      </c>
      <c r="B92" s="348"/>
      <c r="C92" s="348"/>
      <c r="D92" s="151" t="s">
        <v>228</v>
      </c>
      <c r="E92" s="95">
        <f>'10'!F92</f>
        <v>5206.5</v>
      </c>
      <c r="F92" s="122">
        <v>5217</v>
      </c>
      <c r="G92" s="112">
        <f t="shared" si="8"/>
        <v>10.5</v>
      </c>
      <c r="H92" s="99">
        <f>G92+'10'!H92</f>
        <v>121.10000000000036</v>
      </c>
      <c r="I92" s="165"/>
      <c r="J92" s="175">
        <f>H92/DAY(B2)</f>
        <v>11.009090909090942</v>
      </c>
      <c r="O92" s="71"/>
    </row>
    <row r="93" spans="1:15" ht="30.75" customHeight="1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6619</v>
      </c>
      <c r="H94" s="99">
        <f>G94+'10'!H94</f>
        <v>72077.439999999915</v>
      </c>
      <c r="I94" s="118"/>
      <c r="J94" s="175">
        <f>H94/DAY(B2)</f>
        <v>6552.4945454545377</v>
      </c>
      <c r="K94" s="69"/>
      <c r="L94" s="66"/>
      <c r="O94" s="71"/>
    </row>
    <row r="95" spans="1:15" ht="30.75" customHeight="1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0.27620597563011184</v>
      </c>
      <c r="H95" s="99">
        <f>G95+'10'!H95</f>
        <v>3.0518498848915412</v>
      </c>
      <c r="I95" s="167"/>
      <c r="J95" s="175">
        <f>H95/DAY(B2)</f>
        <v>0.27744089862650373</v>
      </c>
      <c r="K95" s="69"/>
      <c r="L95" s="66"/>
      <c r="O95" s="71"/>
    </row>
    <row r="96" spans="1:15" ht="30.75" customHeight="1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5467</v>
      </c>
      <c r="H96" s="99">
        <f>G96+'10'!H96</f>
        <v>65296.350000000035</v>
      </c>
      <c r="I96" s="118"/>
      <c r="J96" s="175">
        <f>H96/DAY(B2)</f>
        <v>5936.0318181818211</v>
      </c>
      <c r="K96" s="69"/>
      <c r="L96" s="66"/>
      <c r="O96" s="71"/>
    </row>
    <row r="97" spans="1:15" ht="30.75" customHeight="1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0.22813386746786846</v>
      </c>
      <c r="H97" s="99">
        <f>G97+'10'!H97</f>
        <v>2.7575903603712715</v>
      </c>
      <c r="I97" s="167"/>
      <c r="J97" s="175">
        <f>H97/DAY(B2)</f>
        <v>0.25069003276102469</v>
      </c>
      <c r="K97" s="69"/>
      <c r="L97" s="66"/>
      <c r="O97" s="71"/>
    </row>
    <row r="98" spans="1:15" ht="30.75" customHeight="1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2960</v>
      </c>
      <c r="H98" s="99">
        <f>G98+'10'!H98</f>
        <v>31990.710000000021</v>
      </c>
      <c r="I98" s="168"/>
      <c r="J98" s="175">
        <f>H98/DAY(B2)</f>
        <v>2908.2463636363655</v>
      </c>
      <c r="K98" s="69"/>
      <c r="L98" s="66"/>
      <c r="O98" s="71"/>
    </row>
    <row r="99" spans="1:15" ht="30.75" customHeight="1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0.12351861125020865</v>
      </c>
      <c r="H99" s="99">
        <f>G99+'10'!H99</f>
        <v>1.3558576797039592</v>
      </c>
      <c r="I99" s="168"/>
      <c r="J99" s="175">
        <f>H99/DAY(B2)</f>
        <v>0.12325978906399629</v>
      </c>
      <c r="O99" s="71"/>
    </row>
    <row r="100" spans="1:15" ht="30.75" customHeight="1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2162</v>
      </c>
      <c r="H100" s="99">
        <f>G100+'10'!H100</f>
        <v>21857.950000000012</v>
      </c>
      <c r="I100" s="118"/>
      <c r="J100" s="175">
        <f>H100/DAY(B2)</f>
        <v>1987.0863636363647</v>
      </c>
      <c r="K100" s="70"/>
      <c r="O100" s="71"/>
    </row>
    <row r="101" spans="1:15" ht="30.75" customHeight="1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9.0218661325321317E-2</v>
      </c>
      <c r="H101" s="99">
        <f>G101+'10'!H101</f>
        <v>0.92621724282390128</v>
      </c>
      <c r="I101" s="168"/>
      <c r="J101" s="175">
        <f>H101/DAY(B2)</f>
        <v>8.4201567529445576E-2</v>
      </c>
      <c r="O101" s="71"/>
    </row>
    <row r="102" spans="1:15" ht="30.75" customHeight="1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2323</v>
      </c>
      <c r="H102" s="99">
        <f>G102+'10'!H102</f>
        <v>26924.110000000059</v>
      </c>
      <c r="I102" s="168"/>
      <c r="J102" s="175">
        <f>H102/DAY(B2)</f>
        <v>2447.6463636363692</v>
      </c>
      <c r="O102" s="71"/>
    </row>
    <row r="103" spans="1:15" ht="30.75" customHeight="1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9.6937072275079292E-2</v>
      </c>
      <c r="H103" s="99">
        <f>G103+'10'!H103</f>
        <v>1.1394043235073463</v>
      </c>
      <c r="I103" s="118"/>
      <c r="J103" s="175">
        <f>H103/DAY(B2)</f>
        <v>0.10358221122794058</v>
      </c>
      <c r="O103" s="71"/>
    </row>
    <row r="104" spans="1:15" ht="30.75" customHeight="1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1605</v>
      </c>
      <c r="H104" s="99">
        <f>G104+'10'!H104</f>
        <v>18186.260000000009</v>
      </c>
      <c r="I104" s="118"/>
      <c r="J104" s="175">
        <f>H104/DAY(B2)</f>
        <v>1653.2963636363645</v>
      </c>
      <c r="O104" s="71"/>
    </row>
    <row r="105" spans="1:15" ht="30.75" customHeight="1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6.6975463194792181E-2</v>
      </c>
      <c r="H105" s="99">
        <f>G105+'10'!H105</f>
        <v>0.77142880471589281</v>
      </c>
      <c r="I105" s="187"/>
      <c r="J105" s="188">
        <f>H105/DAY(B2)</f>
        <v>7.0129891337808434E-2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30.75" customHeight="1" x14ac:dyDescent="0.5">
      <c r="A109" s="845"/>
      <c r="B109" s="845"/>
    </row>
    <row r="110" spans="1:15" ht="30.75" customHeight="1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30.75" customHeight="1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30.75" customHeight="1" x14ac:dyDescent="0.5">
      <c r="A112" s="839" t="s">
        <v>252</v>
      </c>
      <c r="B112" s="840"/>
      <c r="C112" s="841"/>
      <c r="D112" s="146" t="s">
        <v>183</v>
      </c>
      <c r="E112" s="95">
        <f>'10'!F112</f>
        <v>54164</v>
      </c>
      <c r="F112" s="237">
        <v>54245</v>
      </c>
      <c r="G112" s="112">
        <f t="shared" ref="G112:G123" si="9">F112-E112</f>
        <v>81</v>
      </c>
      <c r="H112" s="99">
        <f>G112+'10'!H112</f>
        <v>892.98999999999796</v>
      </c>
      <c r="I112" s="165"/>
      <c r="J112" s="330">
        <f>H112/DAY(B2)</f>
        <v>81.180909090908912</v>
      </c>
    </row>
    <row r="113" spans="1:18" ht="30.75" customHeight="1" x14ac:dyDescent="0.5">
      <c r="A113" s="839" t="s">
        <v>253</v>
      </c>
      <c r="B113" s="840"/>
      <c r="C113" s="841"/>
      <c r="D113" s="146" t="s">
        <v>183</v>
      </c>
      <c r="E113" s="95">
        <f>'10'!F113</f>
        <v>22469</v>
      </c>
      <c r="F113" s="237">
        <v>22946</v>
      </c>
      <c r="G113" s="112">
        <f t="shared" si="9"/>
        <v>477</v>
      </c>
      <c r="H113" s="99">
        <f>G113+'10'!H113</f>
        <v>4989.4700000000012</v>
      </c>
      <c r="I113" s="165"/>
      <c r="J113" s="330">
        <f>H113/DAY(B2)</f>
        <v>453.58818181818191</v>
      </c>
    </row>
    <row r="114" spans="1:18" ht="30.75" customHeight="1" x14ac:dyDescent="0.5">
      <c r="A114" s="839" t="s">
        <v>254</v>
      </c>
      <c r="B114" s="840"/>
      <c r="C114" s="841"/>
      <c r="D114" s="146" t="s">
        <v>183</v>
      </c>
      <c r="E114" s="95">
        <f>'10'!F114</f>
        <v>17343</v>
      </c>
      <c r="F114" s="237">
        <v>17816</v>
      </c>
      <c r="G114" s="112">
        <f t="shared" si="9"/>
        <v>473</v>
      </c>
      <c r="H114" s="99">
        <f>G114+'10'!H114</f>
        <v>3888.8999999999996</v>
      </c>
      <c r="I114" s="165"/>
      <c r="J114" s="330">
        <f>H114/DAY(B2)</f>
        <v>353.5363636363636</v>
      </c>
    </row>
    <row r="115" spans="1:18" ht="30.75" customHeight="1" x14ac:dyDescent="0.5">
      <c r="A115" s="839" t="s">
        <v>255</v>
      </c>
      <c r="B115" s="840"/>
      <c r="C115" s="841"/>
      <c r="D115" s="146" t="s">
        <v>183</v>
      </c>
      <c r="E115" s="95">
        <f>'10'!F115</f>
        <v>8542</v>
      </c>
      <c r="F115" s="237">
        <v>8551</v>
      </c>
      <c r="G115" s="112">
        <f t="shared" si="9"/>
        <v>9</v>
      </c>
      <c r="H115" s="99">
        <f>G115+'10'!H115</f>
        <v>127.31999999999971</v>
      </c>
      <c r="I115" s="165"/>
      <c r="J115" s="330">
        <f>H115/DAY(B2)</f>
        <v>11.574545454545428</v>
      </c>
    </row>
    <row r="116" spans="1:18" ht="30.75" customHeight="1" x14ac:dyDescent="0.5">
      <c r="A116" s="857" t="s">
        <v>96</v>
      </c>
      <c r="B116" s="858"/>
      <c r="C116" s="859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30.75" customHeight="1" x14ac:dyDescent="0.5">
      <c r="A117" s="857" t="s">
        <v>184</v>
      </c>
      <c r="B117" s="858"/>
      <c r="C117" s="859"/>
      <c r="D117" s="146" t="s">
        <v>183</v>
      </c>
      <c r="E117" s="95">
        <f>'10'!F117</f>
        <v>2140</v>
      </c>
      <c r="F117" s="237">
        <v>2161</v>
      </c>
      <c r="G117" s="112">
        <f t="shared" si="9"/>
        <v>21</v>
      </c>
      <c r="H117" s="99">
        <f>G117+'10'!H117</f>
        <v>219.92000000000007</v>
      </c>
      <c r="I117" s="165"/>
      <c r="J117" s="330">
        <f>H117/DAY(B2)</f>
        <v>19.992727272727279</v>
      </c>
      <c r="Q117" s="839" t="s">
        <v>312</v>
      </c>
      <c r="R117" s="841"/>
    </row>
    <row r="118" spans="1:18" ht="30.75" customHeight="1" x14ac:dyDescent="0.5">
      <c r="A118" s="834" t="s">
        <v>97</v>
      </c>
      <c r="B118" s="834"/>
      <c r="C118" s="834"/>
      <c r="D118" s="151" t="s">
        <v>183</v>
      </c>
      <c r="E118" s="95">
        <f>'10'!F118</f>
        <v>233568</v>
      </c>
      <c r="F118" s="237">
        <v>233880</v>
      </c>
      <c r="G118" s="112">
        <f t="shared" si="9"/>
        <v>312</v>
      </c>
      <c r="H118" s="99">
        <f>G118+'10'!H118</f>
        <v>4042.2699999999895</v>
      </c>
      <c r="I118" s="165"/>
      <c r="J118" s="330">
        <f>H118/DAY(B2)</f>
        <v>367.47909090908996</v>
      </c>
      <c r="Q118" s="839" t="s">
        <v>311</v>
      </c>
      <c r="R118" s="841"/>
    </row>
    <row r="119" spans="1:18" ht="30.75" customHeight="1" x14ac:dyDescent="0.5">
      <c r="A119" s="834" t="s">
        <v>98</v>
      </c>
      <c r="B119" s="834"/>
      <c r="C119" s="834"/>
      <c r="D119" s="151" t="s">
        <v>183</v>
      </c>
      <c r="E119" s="95">
        <f>'10'!F119</f>
        <v>236097</v>
      </c>
      <c r="F119" s="237">
        <v>236534</v>
      </c>
      <c r="G119" s="112">
        <f t="shared" si="9"/>
        <v>437</v>
      </c>
      <c r="H119" s="99">
        <f>G119+'10'!H119</f>
        <v>4807.4700000000012</v>
      </c>
      <c r="I119" s="165"/>
      <c r="J119" s="330">
        <f>H119/DAY(B2)</f>
        <v>437.0427272727274</v>
      </c>
    </row>
    <row r="120" spans="1:18" ht="30.75" customHeight="1" x14ac:dyDescent="0.5">
      <c r="A120" s="834" t="s">
        <v>99</v>
      </c>
      <c r="B120" s="834"/>
      <c r="C120" s="834"/>
      <c r="D120" s="151" t="s">
        <v>183</v>
      </c>
      <c r="E120" s="95">
        <f>'10'!F120</f>
        <v>21425</v>
      </c>
      <c r="F120" s="237">
        <v>21845</v>
      </c>
      <c r="G120" s="112">
        <f t="shared" si="9"/>
        <v>420</v>
      </c>
      <c r="H120" s="99">
        <f>G120+'10'!H120</f>
        <v>4659.68</v>
      </c>
      <c r="I120" s="165"/>
      <c r="J120" s="330">
        <f>H120/DAY(B2)</f>
        <v>423.60727272727274</v>
      </c>
    </row>
    <row r="121" spans="1:18" ht="30.75" customHeight="1" x14ac:dyDescent="0.5">
      <c r="A121" s="834" t="s">
        <v>100</v>
      </c>
      <c r="B121" s="834"/>
      <c r="C121" s="834"/>
      <c r="D121" s="151" t="s">
        <v>183</v>
      </c>
      <c r="E121" s="95">
        <f>'10'!F121</f>
        <v>360302</v>
      </c>
      <c r="F121" s="237">
        <v>361070</v>
      </c>
      <c r="G121" s="112">
        <f t="shared" si="9"/>
        <v>768</v>
      </c>
      <c r="H121" s="99">
        <f>G121+'10'!H121</f>
        <v>8015.7700000000186</v>
      </c>
      <c r="I121" s="165"/>
      <c r="J121" s="330">
        <f>H121/DAY(B2)</f>
        <v>728.70636363636538</v>
      </c>
    </row>
    <row r="122" spans="1:18" ht="30.75" customHeight="1" x14ac:dyDescent="0.5">
      <c r="A122" s="834" t="s">
        <v>101</v>
      </c>
      <c r="B122" s="834"/>
      <c r="C122" s="834"/>
      <c r="D122" s="151" t="s">
        <v>183</v>
      </c>
      <c r="E122" s="95">
        <f>'10'!F122</f>
        <v>114226</v>
      </c>
      <c r="F122" s="237">
        <v>114524</v>
      </c>
      <c r="G122" s="112">
        <f t="shared" si="9"/>
        <v>298</v>
      </c>
      <c r="H122" s="99">
        <f>G122+'10'!H122</f>
        <v>3514.2100000000064</v>
      </c>
      <c r="I122" s="165"/>
      <c r="J122" s="330">
        <f>H122/DAY(B2)</f>
        <v>319.47363636363696</v>
      </c>
    </row>
    <row r="123" spans="1:18" ht="30.75" customHeight="1" x14ac:dyDescent="0.5">
      <c r="A123" s="834" t="s">
        <v>102</v>
      </c>
      <c r="B123" s="834"/>
      <c r="C123" s="834"/>
      <c r="D123" s="151" t="s">
        <v>183</v>
      </c>
      <c r="E123" s="95">
        <f>'10'!F123</f>
        <v>137519</v>
      </c>
      <c r="F123" s="237">
        <v>137858</v>
      </c>
      <c r="G123" s="112">
        <f t="shared" si="9"/>
        <v>339</v>
      </c>
      <c r="H123" s="99">
        <f>G123+'10'!H123</f>
        <v>3492</v>
      </c>
      <c r="I123" s="165"/>
      <c r="J123" s="330">
        <f>H123/DAY(B2)</f>
        <v>317.45454545454544</v>
      </c>
    </row>
    <row r="124" spans="1:18" ht="30.75" customHeight="1" x14ac:dyDescent="0.5">
      <c r="A124" s="864"/>
      <c r="B124" s="865"/>
      <c r="C124" s="866"/>
      <c r="D124" s="165"/>
      <c r="E124" s="165"/>
      <c r="F124" s="165"/>
      <c r="G124" s="329"/>
      <c r="H124" s="156"/>
      <c r="I124" s="165"/>
      <c r="J124" s="329"/>
    </row>
    <row r="125" spans="1:18" ht="30.75" customHeight="1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3635</v>
      </c>
      <c r="H125" s="156"/>
      <c r="I125" s="329">
        <f>G125-(G39+G53)</f>
        <v>675</v>
      </c>
      <c r="J125" s="329"/>
    </row>
    <row r="126" spans="1:18" ht="30.75" customHeight="1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30.75" customHeight="1" x14ac:dyDescent="0.5">
      <c r="A127" s="870"/>
      <c r="B127" s="870"/>
      <c r="C127" s="245"/>
      <c r="D127" s="307"/>
      <c r="E127" s="308"/>
      <c r="F127" s="308"/>
      <c r="G127" s="309"/>
      <c r="H127" s="99">
        <f>G127+'10'!H127</f>
        <v>0</v>
      </c>
      <c r="I127" s="165"/>
      <c r="J127" s="330">
        <f>H127/DAY(B2)</f>
        <v>0</v>
      </c>
    </row>
    <row r="128" spans="1:18" ht="30.75" customHeight="1" x14ac:dyDescent="0.5">
      <c r="A128" s="839" t="s">
        <v>318</v>
      </c>
      <c r="B128" s="840"/>
      <c r="C128" s="841"/>
      <c r="D128" s="151" t="s">
        <v>183</v>
      </c>
      <c r="E128" s="95">
        <f>'10'!F128</f>
        <v>30863</v>
      </c>
      <c r="F128" s="155">
        <v>31198</v>
      </c>
      <c r="G128" s="112">
        <f t="shared" ref="G128:G134" si="10">F128-E128</f>
        <v>335</v>
      </c>
      <c r="H128" s="99">
        <f>G128+'10'!H128</f>
        <v>3593.630000000001</v>
      </c>
      <c r="I128" s="165"/>
      <c r="J128" s="330">
        <f>H128/DAY(B2)</f>
        <v>326.69363636363647</v>
      </c>
    </row>
    <row r="129" spans="1:15" ht="30.75" customHeight="1" x14ac:dyDescent="0.5">
      <c r="A129" s="331" t="s">
        <v>319</v>
      </c>
      <c r="B129" s="332"/>
      <c r="C129" s="333"/>
      <c r="D129" s="151" t="s">
        <v>183</v>
      </c>
      <c r="E129" s="95">
        <f>'10'!F129</f>
        <v>15448</v>
      </c>
      <c r="F129" s="155">
        <v>15662</v>
      </c>
      <c r="G129" s="112">
        <f t="shared" si="10"/>
        <v>214</v>
      </c>
      <c r="H129" s="99">
        <f>G129+'10'!H129</f>
        <v>2914.41</v>
      </c>
      <c r="I129" s="165"/>
      <c r="J129" s="330">
        <f>H129/DAY(B2)</f>
        <v>264.94636363636363</v>
      </c>
      <c r="N129" s="240"/>
      <c r="O129" s="241"/>
    </row>
    <row r="130" spans="1:15" ht="30.75" customHeight="1" x14ac:dyDescent="0.5">
      <c r="A130" s="331" t="s">
        <v>320</v>
      </c>
      <c r="B130" s="332"/>
      <c r="C130" s="333"/>
      <c r="D130" s="151" t="s">
        <v>183</v>
      </c>
      <c r="E130" s="95">
        <f>'10'!F130</f>
        <v>4830</v>
      </c>
      <c r="F130" s="155">
        <v>5125</v>
      </c>
      <c r="G130" s="112">
        <f t="shared" si="10"/>
        <v>295</v>
      </c>
      <c r="H130" s="99">
        <f>G130+'10'!H130</f>
        <v>3067.89</v>
      </c>
      <c r="I130" s="165"/>
      <c r="J130" s="330">
        <f>H130/DAY(B2)</f>
        <v>278.89909090909089</v>
      </c>
      <c r="N130" s="240"/>
      <c r="O130" s="241"/>
    </row>
    <row r="131" spans="1:15" ht="30.75" customHeight="1" x14ac:dyDescent="0.5">
      <c r="A131" s="839" t="s">
        <v>321</v>
      </c>
      <c r="B131" s="840"/>
      <c r="C131" s="841"/>
      <c r="D131" s="151" t="s">
        <v>183</v>
      </c>
      <c r="E131" s="95">
        <f>'10'!F131</f>
        <v>10754</v>
      </c>
      <c r="F131" s="155">
        <v>10878</v>
      </c>
      <c r="G131" s="112">
        <f t="shared" si="10"/>
        <v>124</v>
      </c>
      <c r="H131" s="99">
        <f>G131+'10'!H131</f>
        <v>1708.6499999999996</v>
      </c>
      <c r="I131" s="165"/>
      <c r="J131" s="330">
        <f>H131/DAY(B2)</f>
        <v>155.33181818181814</v>
      </c>
      <c r="N131" s="240"/>
      <c r="O131" s="241"/>
    </row>
    <row r="132" spans="1:15" ht="30.75" customHeight="1" x14ac:dyDescent="0.5">
      <c r="A132" s="839" t="s">
        <v>322</v>
      </c>
      <c r="B132" s="840"/>
      <c r="C132" s="841"/>
      <c r="D132" s="151" t="s">
        <v>183</v>
      </c>
      <c r="E132" s="95">
        <f>'10'!F132</f>
        <v>30676</v>
      </c>
      <c r="F132" s="155">
        <v>31162</v>
      </c>
      <c r="G132" s="112">
        <f t="shared" si="10"/>
        <v>486</v>
      </c>
      <c r="H132" s="99">
        <f>G132+'10'!H132</f>
        <v>4981.7599999999984</v>
      </c>
      <c r="I132" s="165"/>
      <c r="J132" s="330">
        <f>H132/DAY(B2)</f>
        <v>452.8872727272726</v>
      </c>
    </row>
    <row r="133" spans="1:15" ht="30.75" customHeight="1" x14ac:dyDescent="0.5">
      <c r="A133" s="839" t="s">
        <v>363</v>
      </c>
      <c r="B133" s="840"/>
      <c r="C133" s="841"/>
      <c r="D133" s="151" t="s">
        <v>183</v>
      </c>
      <c r="E133" s="95">
        <f>'10'!F133</f>
        <v>71940</v>
      </c>
      <c r="F133" s="155">
        <v>72797</v>
      </c>
      <c r="G133" s="112">
        <f t="shared" si="10"/>
        <v>857</v>
      </c>
      <c r="H133" s="99">
        <f>G133+'10'!H133</f>
        <v>9322.5800000000017</v>
      </c>
      <c r="I133" s="165"/>
      <c r="J133" s="330">
        <f>H133/DAY(B2)</f>
        <v>847.50727272727283</v>
      </c>
    </row>
    <row r="134" spans="1:15" ht="30.75" customHeight="1" x14ac:dyDescent="0.5">
      <c r="A134" s="839" t="s">
        <v>340</v>
      </c>
      <c r="B134" s="840"/>
      <c r="C134" s="841"/>
      <c r="D134" s="151" t="s">
        <v>183</v>
      </c>
      <c r="E134" s="95">
        <f>'10'!F134</f>
        <v>638544</v>
      </c>
      <c r="F134" s="606">
        <v>639181</v>
      </c>
      <c r="G134" s="112">
        <f t="shared" si="10"/>
        <v>637</v>
      </c>
      <c r="H134" s="99">
        <f>G134+'10'!H134</f>
        <v>6891</v>
      </c>
      <c r="I134" s="165"/>
      <c r="J134" s="330">
        <f>H134/DAY(B2)</f>
        <v>626.4545454545455</v>
      </c>
    </row>
    <row r="135" spans="1:15" ht="30.75" customHeight="1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2948</v>
      </c>
      <c r="H135" s="99">
        <f>G135+'10'!H135</f>
        <v>32479.919999999998</v>
      </c>
      <c r="I135" s="329">
        <f>G135-(G35+G49)</f>
        <v>-918</v>
      </c>
      <c r="J135" s="330">
        <f>H135/DAY(B2)</f>
        <v>2952.72</v>
      </c>
    </row>
    <row r="136" spans="1:15" ht="30.75" customHeight="1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9"/>
    </row>
    <row r="138" spans="1:15" ht="30.75" customHeight="1" x14ac:dyDescent="0.5">
      <c r="A138" s="834" t="s">
        <v>185</v>
      </c>
      <c r="B138" s="834"/>
      <c r="C138" s="834"/>
      <c r="D138" s="151" t="s">
        <v>183</v>
      </c>
      <c r="E138" s="95">
        <f>'10'!F138</f>
        <v>861781</v>
      </c>
      <c r="F138" s="147">
        <v>861908</v>
      </c>
      <c r="G138" s="112">
        <f t="shared" ref="G138:G152" si="11">F138-E138</f>
        <v>127</v>
      </c>
      <c r="H138" s="99">
        <f>G138+'10'!H138</f>
        <v>646</v>
      </c>
      <c r="I138" s="118"/>
      <c r="J138" s="330">
        <f>H138/DAY(B2)</f>
        <v>58.727272727272727</v>
      </c>
    </row>
    <row r="139" spans="1:15" ht="30.75" customHeight="1" x14ac:dyDescent="0.5">
      <c r="A139" s="834" t="s">
        <v>186</v>
      </c>
      <c r="B139" s="834"/>
      <c r="C139" s="834"/>
      <c r="D139" s="151" t="s">
        <v>183</v>
      </c>
      <c r="E139" s="95">
        <f>'10'!F139</f>
        <v>886312</v>
      </c>
      <c r="F139" s="148">
        <v>886355</v>
      </c>
      <c r="G139" s="112">
        <f t="shared" si="11"/>
        <v>43</v>
      </c>
      <c r="H139" s="99">
        <f>G139+'10'!H139</f>
        <v>156</v>
      </c>
      <c r="I139" s="118"/>
      <c r="J139" s="330">
        <f>H139/DAY(B2)</f>
        <v>14.181818181818182</v>
      </c>
    </row>
    <row r="140" spans="1:15" ht="30.75" customHeight="1" x14ac:dyDescent="0.5">
      <c r="A140" s="834" t="s">
        <v>187</v>
      </c>
      <c r="B140" s="834"/>
      <c r="C140" s="834"/>
      <c r="D140" s="151" t="s">
        <v>183</v>
      </c>
      <c r="E140" s="95">
        <f>'10'!F140</f>
        <v>88863</v>
      </c>
      <c r="F140" s="149">
        <v>88863</v>
      </c>
      <c r="G140" s="112">
        <f t="shared" si="11"/>
        <v>0</v>
      </c>
      <c r="H140" s="99">
        <f>G140+'10'!H140</f>
        <v>14</v>
      </c>
      <c r="I140" s="118"/>
      <c r="J140" s="330">
        <f>H140/DAY(B2)</f>
        <v>1.2727272727272727</v>
      </c>
    </row>
    <row r="141" spans="1:15" ht="30.75" customHeight="1" x14ac:dyDescent="0.5">
      <c r="A141" s="838" t="s">
        <v>188</v>
      </c>
      <c r="B141" s="838"/>
      <c r="C141" s="838"/>
      <c r="D141" s="151" t="s">
        <v>183</v>
      </c>
      <c r="E141" s="95">
        <f>'10'!F141</f>
        <v>45111</v>
      </c>
      <c r="F141" s="149">
        <v>45310</v>
      </c>
      <c r="G141" s="112">
        <f t="shared" si="11"/>
        <v>199</v>
      </c>
      <c r="H141" s="99">
        <f>G141+'10'!H141</f>
        <v>2183.2699999999968</v>
      </c>
      <c r="I141" s="118"/>
      <c r="J141" s="330">
        <f>H141/DAY(B2)</f>
        <v>198.47909090909062</v>
      </c>
    </row>
    <row r="142" spans="1:15" ht="30.75" customHeight="1" x14ac:dyDescent="0.5">
      <c r="A142" s="838" t="s">
        <v>189</v>
      </c>
      <c r="B142" s="838"/>
      <c r="C142" s="838"/>
      <c r="D142" s="151" t="s">
        <v>183</v>
      </c>
      <c r="E142" s="95">
        <f>'10'!F142</f>
        <v>17635</v>
      </c>
      <c r="F142" s="148">
        <v>17653</v>
      </c>
      <c r="G142" s="112">
        <f t="shared" si="11"/>
        <v>18</v>
      </c>
      <c r="H142" s="99">
        <f>G142+'10'!H142</f>
        <v>192.5</v>
      </c>
      <c r="I142" s="140"/>
      <c r="J142" s="330">
        <f>H142/DAY(B2)</f>
        <v>17.5</v>
      </c>
    </row>
    <row r="143" spans="1:15" ht="30.75" customHeight="1" x14ac:dyDescent="0.5">
      <c r="A143" s="834" t="s">
        <v>91</v>
      </c>
      <c r="B143" s="834"/>
      <c r="C143" s="834"/>
      <c r="D143" s="151" t="s">
        <v>183</v>
      </c>
      <c r="E143" s="95">
        <f>'10'!F143</f>
        <v>2498</v>
      </c>
      <c r="F143" s="149">
        <v>2523</v>
      </c>
      <c r="G143" s="112">
        <f t="shared" si="11"/>
        <v>25</v>
      </c>
      <c r="H143" s="99">
        <f>G143+'10'!H143</f>
        <v>321.59999999999991</v>
      </c>
      <c r="I143" s="140"/>
      <c r="J143" s="330">
        <f>H143/DAY(B2)</f>
        <v>29.236363636363627</v>
      </c>
    </row>
    <row r="144" spans="1:15" ht="30.75" customHeight="1" x14ac:dyDescent="0.5">
      <c r="A144" s="838" t="s">
        <v>90</v>
      </c>
      <c r="B144" s="838"/>
      <c r="C144" s="838"/>
      <c r="D144" s="151" t="s">
        <v>183</v>
      </c>
      <c r="E144" s="95">
        <f>'10'!F144</f>
        <v>864690</v>
      </c>
      <c r="F144" s="149">
        <v>864924</v>
      </c>
      <c r="G144" s="112">
        <f t="shared" si="11"/>
        <v>234</v>
      </c>
      <c r="H144" s="99">
        <f>G144+'10'!H144</f>
        <v>2529</v>
      </c>
      <c r="I144" s="140"/>
      <c r="J144" s="330">
        <f>H144/DAY(B2)</f>
        <v>229.90909090909091</v>
      </c>
    </row>
    <row r="145" spans="1:10" ht="30.75" customHeight="1" x14ac:dyDescent="0.5">
      <c r="A145" s="834" t="s">
        <v>190</v>
      </c>
      <c r="B145" s="834"/>
      <c r="C145" s="834"/>
      <c r="D145" s="152" t="s">
        <v>183</v>
      </c>
      <c r="E145" s="95">
        <f>'10'!F145</f>
        <v>3863</v>
      </c>
      <c r="F145" s="149">
        <v>3920</v>
      </c>
      <c r="G145" s="112">
        <f t="shared" si="11"/>
        <v>57</v>
      </c>
      <c r="H145" s="99">
        <f>G145+'10'!H145</f>
        <v>501</v>
      </c>
      <c r="I145" s="140"/>
      <c r="J145" s="330">
        <f>H145/DAY(B2)</f>
        <v>45.545454545454547</v>
      </c>
    </row>
    <row r="146" spans="1:10" ht="30.75" customHeight="1" x14ac:dyDescent="0.5">
      <c r="A146" s="835" t="s">
        <v>191</v>
      </c>
      <c r="B146" s="836"/>
      <c r="C146" s="837"/>
      <c r="D146" s="152" t="s">
        <v>183</v>
      </c>
      <c r="E146" s="95">
        <f>'10'!F146</f>
        <v>714936</v>
      </c>
      <c r="F146" s="148">
        <v>715412</v>
      </c>
      <c r="G146" s="112">
        <f t="shared" si="11"/>
        <v>476</v>
      </c>
      <c r="H146" s="99">
        <f>G146+'10'!H146</f>
        <v>4527</v>
      </c>
      <c r="I146" s="140"/>
      <c r="J146" s="330">
        <f>H146/DAY(B2)</f>
        <v>411.54545454545456</v>
      </c>
    </row>
    <row r="147" spans="1:10" ht="30.75" customHeight="1" x14ac:dyDescent="0.5">
      <c r="A147" s="838" t="s">
        <v>192</v>
      </c>
      <c r="B147" s="838"/>
      <c r="C147" s="838"/>
      <c r="D147" s="152" t="s">
        <v>183</v>
      </c>
      <c r="E147" s="95">
        <f>'10'!F147</f>
        <v>606428</v>
      </c>
      <c r="F147" s="148">
        <v>606893</v>
      </c>
      <c r="G147" s="112">
        <f t="shared" si="11"/>
        <v>465</v>
      </c>
      <c r="H147" s="99">
        <f>G147+'10'!H147</f>
        <v>4907.9599999999627</v>
      </c>
      <c r="I147" s="140"/>
      <c r="J147" s="330">
        <f>H147/DAY(B2)</f>
        <v>446.17818181817842</v>
      </c>
    </row>
    <row r="148" spans="1:10" ht="30.75" customHeight="1" x14ac:dyDescent="0.5">
      <c r="A148" s="794" t="s">
        <v>193</v>
      </c>
      <c r="B148" s="795"/>
      <c r="C148" s="796"/>
      <c r="D148" s="123" t="s">
        <v>130</v>
      </c>
      <c r="E148" s="95">
        <f>'10'!F148</f>
        <v>676653</v>
      </c>
      <c r="F148" s="150">
        <v>676970</v>
      </c>
      <c r="G148" s="112">
        <f t="shared" si="11"/>
        <v>317</v>
      </c>
      <c r="H148" s="99">
        <f>G148+'10'!H148</f>
        <v>3180.3199999999488</v>
      </c>
      <c r="I148" s="124"/>
      <c r="J148" s="330">
        <f>H148/DAY(B2)</f>
        <v>289.11999999999534</v>
      </c>
    </row>
    <row r="149" spans="1:10" ht="30.75" customHeight="1" x14ac:dyDescent="0.5">
      <c r="A149" s="794" t="s">
        <v>336</v>
      </c>
      <c r="B149" s="795"/>
      <c r="C149" s="796"/>
      <c r="D149" s="227" t="s">
        <v>130</v>
      </c>
      <c r="E149" s="95">
        <f>'10'!F149</f>
        <v>99032</v>
      </c>
      <c r="F149" s="146">
        <v>99458</v>
      </c>
      <c r="G149" s="112">
        <f t="shared" si="11"/>
        <v>426</v>
      </c>
      <c r="H149" s="99">
        <f>G149+'10'!H149</f>
        <v>4436</v>
      </c>
      <c r="I149" s="119"/>
      <c r="J149" s="330">
        <f>H149/DAY(B2)</f>
        <v>403.27272727272725</v>
      </c>
    </row>
    <row r="150" spans="1:10" ht="30.75" customHeight="1" x14ac:dyDescent="0.5">
      <c r="A150" s="794" t="s">
        <v>337</v>
      </c>
      <c r="B150" s="795"/>
      <c r="C150" s="796"/>
      <c r="D150" s="117" t="s">
        <v>130</v>
      </c>
      <c r="E150" s="95">
        <f>'10'!F150</f>
        <v>7167232</v>
      </c>
      <c r="F150" s="233">
        <v>7167232</v>
      </c>
      <c r="G150" s="112">
        <f t="shared" si="11"/>
        <v>0</v>
      </c>
      <c r="H150" s="99">
        <f>G150+'10'!H150</f>
        <v>0</v>
      </c>
      <c r="I150" s="119"/>
      <c r="J150" s="330">
        <f>H150/DAY(B2)</f>
        <v>0</v>
      </c>
    </row>
    <row r="151" spans="1:10" ht="30.75" customHeight="1" x14ac:dyDescent="0.5">
      <c r="A151" s="794" t="s">
        <v>338</v>
      </c>
      <c r="B151" s="795"/>
      <c r="C151" s="796"/>
      <c r="D151" s="117" t="s">
        <v>130</v>
      </c>
      <c r="E151" s="95">
        <f>'10'!F151</f>
        <v>73241</v>
      </c>
      <c r="F151" s="233">
        <v>73486</v>
      </c>
      <c r="G151" s="112">
        <f t="shared" si="11"/>
        <v>245</v>
      </c>
      <c r="H151" s="99">
        <f>G151+'10'!H151</f>
        <v>2764</v>
      </c>
      <c r="I151" s="119"/>
      <c r="J151" s="330">
        <f>H151/DAY(B2)</f>
        <v>251.27272727272728</v>
      </c>
    </row>
    <row r="152" spans="1:10" ht="30.75" customHeight="1" x14ac:dyDescent="0.5">
      <c r="A152" s="794" t="s">
        <v>339</v>
      </c>
      <c r="B152" s="795"/>
      <c r="C152" s="796"/>
      <c r="D152" s="117" t="s">
        <v>130</v>
      </c>
      <c r="E152" s="95">
        <f>'10'!F152</f>
        <v>0</v>
      </c>
      <c r="F152" s="233">
        <v>0</v>
      </c>
      <c r="G152" s="112">
        <f t="shared" si="11"/>
        <v>0</v>
      </c>
      <c r="H152" s="99">
        <f>G152+'10'!H152</f>
        <v>0</v>
      </c>
      <c r="I152" s="119"/>
      <c r="J152" s="330">
        <f>H152/DAY(B2)</f>
        <v>0</v>
      </c>
    </row>
    <row r="153" spans="1:10" ht="30.75" customHeight="1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2632</v>
      </c>
      <c r="H153" s="365"/>
      <c r="I153" s="119">
        <f>G153-(G38+G52)</f>
        <v>470</v>
      </c>
      <c r="J153" s="368"/>
    </row>
    <row r="154" spans="1:10" ht="30.75" customHeight="1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0.75" customHeight="1" x14ac:dyDescent="0.55000000000000004">
      <c r="A155" s="838" t="s">
        <v>345</v>
      </c>
      <c r="B155" s="838"/>
      <c r="C155" s="838"/>
      <c r="D155" s="117" t="s">
        <v>130</v>
      </c>
      <c r="E155" s="95">
        <f>'10'!F155</f>
        <v>77600</v>
      </c>
      <c r="F155" s="606">
        <v>77609</v>
      </c>
      <c r="G155" s="112">
        <f t="shared" ref="G155:G156" si="12">F155-E155</f>
        <v>9</v>
      </c>
      <c r="H155" s="99">
        <f>G155+'10'!H155</f>
        <v>85</v>
      </c>
      <c r="I155" s="366"/>
      <c r="J155" s="330">
        <f>H155/DAY(B2)</f>
        <v>7.7272727272727275</v>
      </c>
    </row>
    <row r="156" spans="1:10" ht="30.75" customHeight="1" x14ac:dyDescent="0.5">
      <c r="A156" s="838" t="s">
        <v>347</v>
      </c>
      <c r="B156" s="838"/>
      <c r="C156" s="838"/>
      <c r="D156" s="117" t="s">
        <v>130</v>
      </c>
      <c r="E156" s="95">
        <f>'10'!F156</f>
        <v>0</v>
      </c>
      <c r="F156" s="155">
        <v>0</v>
      </c>
      <c r="G156" s="112">
        <f t="shared" si="12"/>
        <v>0</v>
      </c>
      <c r="H156" s="99">
        <f>G156+'10'!H156</f>
        <v>0</v>
      </c>
      <c r="I156" s="165"/>
      <c r="J156" s="330">
        <f>H156/DAY(B2)</f>
        <v>0</v>
      </c>
    </row>
    <row r="157" spans="1:10" ht="30.75" customHeight="1" x14ac:dyDescent="0.5">
      <c r="A157" s="794" t="s">
        <v>365</v>
      </c>
      <c r="B157" s="795"/>
      <c r="C157" s="796"/>
      <c r="D157" s="117" t="s">
        <v>130</v>
      </c>
      <c r="E157" s="95"/>
      <c r="F157" s="155"/>
      <c r="G157" s="112"/>
      <c r="H157" s="99"/>
      <c r="I157" s="165"/>
      <c r="J157" s="330"/>
    </row>
    <row r="158" spans="1:10" ht="30.75" customHeight="1" x14ac:dyDescent="0.5">
      <c r="A158" s="794" t="s">
        <v>366</v>
      </c>
      <c r="B158" s="795"/>
      <c r="C158" s="796"/>
      <c r="D158" s="117" t="s">
        <v>130</v>
      </c>
      <c r="E158" s="95"/>
      <c r="F158" s="155"/>
      <c r="G158" s="112"/>
      <c r="H158" s="99"/>
      <c r="I158" s="165"/>
      <c r="J158" s="330"/>
    </row>
    <row r="159" spans="1:10" ht="30.75" customHeight="1" x14ac:dyDescent="0.5">
      <c r="A159" s="887"/>
      <c r="B159" s="888"/>
      <c r="C159" s="889"/>
      <c r="D159" s="117"/>
      <c r="E159" s="95"/>
      <c r="F159" s="155"/>
      <c r="G159" s="112"/>
      <c r="H159" s="99"/>
      <c r="I159" s="165"/>
      <c r="J159" s="330"/>
    </row>
    <row r="160" spans="1:10" ht="30.75" customHeight="1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471120</v>
      </c>
      <c r="F161" s="235">
        <v>471121</v>
      </c>
      <c r="G161" s="238">
        <f t="shared" ref="G161:G165" si="13">F161-E161</f>
        <v>1</v>
      </c>
      <c r="H161" s="99">
        <f>G161+'10'!H161</f>
        <v>144.88000000000466</v>
      </c>
      <c r="I161" s="236"/>
      <c r="J161" s="239">
        <f>H161/DAY(B2)</f>
        <v>13.170909090909515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86974</v>
      </c>
      <c r="F162" s="235">
        <v>86991</v>
      </c>
      <c r="G162" s="238">
        <f t="shared" si="13"/>
        <v>17</v>
      </c>
      <c r="H162" s="99">
        <f>G162+'10'!H162</f>
        <v>389.30000000000291</v>
      </c>
      <c r="I162" s="236"/>
      <c r="J162" s="239">
        <f>H162/DAY(B2)</f>
        <v>35.390909090909354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76335</v>
      </c>
      <c r="F163" s="235">
        <v>76380</v>
      </c>
      <c r="G163" s="238">
        <f t="shared" si="13"/>
        <v>45</v>
      </c>
      <c r="H163" s="99">
        <f>G163+'10'!H163</f>
        <v>920.19999999999709</v>
      </c>
      <c r="I163" s="236"/>
      <c r="J163" s="239">
        <f>H163/DAY(B2)</f>
        <v>83.654545454545186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4150</v>
      </c>
      <c r="F164" s="235">
        <v>4153</v>
      </c>
      <c r="G164" s="238">
        <f t="shared" si="13"/>
        <v>3</v>
      </c>
      <c r="H164" s="99">
        <f>G164+'10'!H164</f>
        <v>55.100000000000364</v>
      </c>
      <c r="I164" s="236"/>
      <c r="J164" s="239">
        <f>H164/DAY(B2)</f>
        <v>5.0090909090909426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29506</v>
      </c>
      <c r="F165" s="235">
        <v>29510</v>
      </c>
      <c r="G165" s="238">
        <f t="shared" si="13"/>
        <v>4</v>
      </c>
      <c r="H165" s="99">
        <f>G165+'10'!H165</f>
        <v>81.06880000000092</v>
      </c>
      <c r="I165" s="236"/>
      <c r="J165" s="239">
        <f>H165/DAY(B2)</f>
        <v>7.3698909090909925</v>
      </c>
    </row>
    <row r="166" spans="1:10" ht="30.75" customHeight="1" x14ac:dyDescent="0.5">
      <c r="A166" s="870"/>
      <c r="B166" s="870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870"/>
      <c r="B167" s="870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870"/>
      <c r="B168" s="870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30.75" customHeight="1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31" t="s">
        <v>209</v>
      </c>
      <c r="B173" s="832"/>
      <c r="C173" s="335"/>
      <c r="D173" s="228" t="s">
        <v>142</v>
      </c>
      <c r="E173" s="95">
        <f>'10'!F173</f>
        <v>8107</v>
      </c>
      <c r="F173" s="606">
        <v>8107</v>
      </c>
      <c r="G173" s="155">
        <f>F173-E173</f>
        <v>0</v>
      </c>
      <c r="H173" s="99">
        <f>G173+'10'!H173</f>
        <v>0</v>
      </c>
      <c r="I173" s="155"/>
      <c r="J173" s="178">
        <f>H173/DAY(B2)</f>
        <v>0</v>
      </c>
    </row>
    <row r="174" spans="1:10" ht="30.75" customHeight="1" x14ac:dyDescent="0.5">
      <c r="A174" s="831" t="s">
        <v>75</v>
      </c>
      <c r="B174" s="832"/>
      <c r="C174" s="335"/>
      <c r="D174" s="228" t="s">
        <v>142</v>
      </c>
      <c r="E174" s="95">
        <f>'10'!F174</f>
        <v>37969</v>
      </c>
      <c r="F174" s="157">
        <v>37989</v>
      </c>
      <c r="G174" s="155">
        <f t="shared" ref="G174:G175" si="14">F174-E174</f>
        <v>20</v>
      </c>
      <c r="H174" s="99">
        <f>G174+'10'!H174</f>
        <v>181</v>
      </c>
      <c r="I174" s="155"/>
      <c r="J174" s="178">
        <f>H174/DAY(B2)</f>
        <v>16.454545454545453</v>
      </c>
    </row>
    <row r="175" spans="1:10" ht="30.75" customHeight="1" x14ac:dyDescent="0.5">
      <c r="A175" s="831" t="s">
        <v>76</v>
      </c>
      <c r="B175" s="833"/>
      <c r="C175" s="832"/>
      <c r="D175" s="228" t="s">
        <v>142</v>
      </c>
      <c r="E175" s="95">
        <f>'10'!F175</f>
        <v>21265</v>
      </c>
      <c r="F175" s="155">
        <v>21279</v>
      </c>
      <c r="G175" s="155">
        <f t="shared" si="14"/>
        <v>14</v>
      </c>
      <c r="H175" s="99">
        <f>G175+'10'!H175</f>
        <v>142</v>
      </c>
      <c r="I175" s="155"/>
      <c r="J175" s="178">
        <f>H175/DAY(B2)</f>
        <v>12.909090909090908</v>
      </c>
    </row>
    <row r="176" spans="1:10" ht="30.75" customHeight="1" x14ac:dyDescent="0.5">
      <c r="A176" s="867" t="s">
        <v>196</v>
      </c>
      <c r="B176" s="868"/>
      <c r="C176" s="529"/>
      <c r="D176" s="228" t="s">
        <v>142</v>
      </c>
      <c r="E176" s="95"/>
      <c r="F176" s="155"/>
      <c r="G176" s="155">
        <f>SUM(G173:G175)</f>
        <v>34</v>
      </c>
      <c r="H176" s="99">
        <f>G176+'10'!H176</f>
        <v>323</v>
      </c>
      <c r="I176" s="155"/>
      <c r="J176" s="178">
        <f>H176/DAY(B2)</f>
        <v>29.363636363636363</v>
      </c>
    </row>
    <row r="177" spans="1:10" ht="30.75" customHeight="1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831" t="s">
        <v>210</v>
      </c>
      <c r="B178" s="832"/>
      <c r="C178" s="335"/>
      <c r="D178" s="228" t="s">
        <v>142</v>
      </c>
      <c r="E178" s="95">
        <f>'10'!F178</f>
        <v>78098</v>
      </c>
      <c r="F178" s="155">
        <v>78181</v>
      </c>
      <c r="G178" s="155">
        <f>F178-E178</f>
        <v>83</v>
      </c>
      <c r="H178" s="99">
        <f>G178+'10'!H178</f>
        <v>829</v>
      </c>
      <c r="I178" s="155"/>
      <c r="J178" s="178">
        <f>H178/DAY(B2)</f>
        <v>75.36363636363636</v>
      </c>
    </row>
    <row r="179" spans="1:10" ht="30.75" customHeight="1" x14ac:dyDescent="0.5">
      <c r="A179" s="831" t="s">
        <v>211</v>
      </c>
      <c r="B179" s="832"/>
      <c r="C179" s="335"/>
      <c r="D179" s="228" t="s">
        <v>142</v>
      </c>
      <c r="E179" s="95">
        <f>'10'!F179</f>
        <v>33888</v>
      </c>
      <c r="F179" s="155">
        <v>33888</v>
      </c>
      <c r="G179" s="155">
        <f t="shared" ref="G179:G180" si="15">F179-E179</f>
        <v>0</v>
      </c>
      <c r="H179" s="99">
        <f>G179+'10'!H179</f>
        <v>2</v>
      </c>
      <c r="I179" s="155"/>
      <c r="J179" s="178">
        <f>H179/DAY(B2)</f>
        <v>0.18181818181818182</v>
      </c>
    </row>
    <row r="180" spans="1:10" ht="30.75" customHeight="1" x14ac:dyDescent="0.5">
      <c r="A180" s="831" t="s">
        <v>212</v>
      </c>
      <c r="B180" s="832"/>
      <c r="C180" s="335"/>
      <c r="D180" s="228" t="s">
        <v>142</v>
      </c>
      <c r="E180" s="95">
        <f>'10'!F180</f>
        <v>5335</v>
      </c>
      <c r="F180" s="155">
        <v>5347</v>
      </c>
      <c r="G180" s="155">
        <f t="shared" si="15"/>
        <v>12</v>
      </c>
      <c r="H180" s="99">
        <f>G180+'10'!H180</f>
        <v>74</v>
      </c>
      <c r="I180" s="155"/>
      <c r="J180" s="178">
        <f>H180/DAY(B2)</f>
        <v>6.7272727272727275</v>
      </c>
    </row>
    <row r="181" spans="1:10" ht="30.75" customHeight="1" x14ac:dyDescent="0.5">
      <c r="A181" s="872" t="s">
        <v>108</v>
      </c>
      <c r="B181" s="873"/>
      <c r="C181" s="529"/>
      <c r="D181" s="228" t="s">
        <v>142</v>
      </c>
      <c r="E181" s="95"/>
      <c r="F181" s="155"/>
      <c r="G181" s="155">
        <f>SUM(G178:G180)</f>
        <v>95</v>
      </c>
      <c r="H181" s="99">
        <f>G181+'10'!H181</f>
        <v>905</v>
      </c>
      <c r="I181" s="155"/>
      <c r="J181" s="178">
        <f>H181/DAY(B2)</f>
        <v>82.272727272727266</v>
      </c>
    </row>
    <row r="182" spans="1:10" ht="30.75" customHeight="1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831" t="s">
        <v>214</v>
      </c>
      <c r="B183" s="832"/>
      <c r="C183" s="336"/>
      <c r="D183" s="228" t="s">
        <v>142</v>
      </c>
      <c r="E183" s="95">
        <f>'10'!F183</f>
        <v>14649</v>
      </c>
      <c r="F183" s="157">
        <v>14659</v>
      </c>
      <c r="G183" s="157">
        <f>F183-E183</f>
        <v>10</v>
      </c>
      <c r="H183" s="99">
        <f>G183+'10'!H183</f>
        <v>163</v>
      </c>
      <c r="I183" s="155"/>
      <c r="J183" s="178">
        <f>H183/DAY(B2)</f>
        <v>14.818181818181818</v>
      </c>
    </row>
    <row r="184" spans="1:10" ht="30.75" customHeight="1" x14ac:dyDescent="0.5">
      <c r="A184" s="831" t="s">
        <v>215</v>
      </c>
      <c r="B184" s="832"/>
      <c r="C184" s="336"/>
      <c r="D184" s="228" t="s">
        <v>142</v>
      </c>
      <c r="E184" s="95">
        <f>'10'!F184</f>
        <v>10119</v>
      </c>
      <c r="F184" s="157">
        <v>10129</v>
      </c>
      <c r="G184" s="157">
        <f t="shared" ref="G184:G185" si="16">F184-E184</f>
        <v>10</v>
      </c>
      <c r="H184" s="99">
        <f>G184+'10'!H184</f>
        <v>98</v>
      </c>
      <c r="I184" s="155"/>
      <c r="J184" s="178">
        <f>H184/DAY(B2)</f>
        <v>8.9090909090909083</v>
      </c>
    </row>
    <row r="185" spans="1:10" ht="30.75" customHeight="1" x14ac:dyDescent="0.5">
      <c r="A185" s="831" t="s">
        <v>216</v>
      </c>
      <c r="B185" s="832"/>
      <c r="C185" s="336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867" t="s">
        <v>196</v>
      </c>
      <c r="B186" s="868"/>
      <c r="C186" s="528"/>
      <c r="D186" s="228" t="s">
        <v>142</v>
      </c>
      <c r="E186" s="95"/>
      <c r="F186" s="157"/>
      <c r="G186" s="157">
        <f>SUM(G183:G185)</f>
        <v>20</v>
      </c>
      <c r="H186" s="99">
        <f>G186+'10'!H186</f>
        <v>261</v>
      </c>
      <c r="I186" s="157"/>
      <c r="J186" s="178">
        <f>H186/DAY(B2)</f>
        <v>23.727272727272727</v>
      </c>
    </row>
    <row r="187" spans="1:10" ht="30.75" customHeight="1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506">
        <f>G62+G19</f>
        <v>170</v>
      </c>
      <c r="H187" s="99">
        <f>G187+'10'!H187</f>
        <v>1919</v>
      </c>
      <c r="I187" s="158"/>
      <c r="J187" s="179">
        <f>H187/DAY(B2)</f>
        <v>174.45454545454547</v>
      </c>
    </row>
    <row r="188" spans="1:10" ht="30.75" customHeight="1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177</v>
      </c>
      <c r="H188" s="99">
        <f>G188+'10'!H188</f>
        <v>1932</v>
      </c>
      <c r="I188" s="158"/>
      <c r="J188" s="179">
        <f>H188/DAY(B2)</f>
        <v>175.63636363636363</v>
      </c>
    </row>
    <row r="189" spans="1:10" ht="30.75" customHeight="1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95</v>
      </c>
      <c r="H189" s="99">
        <f>G189+'10'!H189</f>
        <v>905</v>
      </c>
      <c r="I189" s="158"/>
      <c r="J189" s="179">
        <f>H189/DAY(B2)</f>
        <v>82.272727272727266</v>
      </c>
    </row>
    <row r="190" spans="1:10" ht="30.75" customHeight="1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18" zoomScale="50" zoomScaleNormal="75" zoomScaleSheetLayoutView="50" workbookViewId="0">
      <selection activeCell="G134" sqref="G134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32.25" customHeight="1" x14ac:dyDescent="0.5">
      <c r="A2" s="191" t="s">
        <v>364</v>
      </c>
      <c r="B2" s="262">
        <v>44542</v>
      </c>
      <c r="C2" s="350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50" t="s">
        <v>118</v>
      </c>
      <c r="D3" s="219">
        <v>27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660740</v>
      </c>
      <c r="F7" s="95">
        <v>685260</v>
      </c>
      <c r="G7" s="112">
        <f>F7-E7</f>
        <v>24520</v>
      </c>
      <c r="H7" s="99">
        <f>G7+'11'!H7</f>
        <v>284418</v>
      </c>
      <c r="I7" s="113">
        <f>'1'!I7</f>
        <v>12000</v>
      </c>
      <c r="J7" s="175">
        <f>H7/DAY(B2)</f>
        <v>23701.5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701603</v>
      </c>
      <c r="F8" s="95">
        <v>726641</v>
      </c>
      <c r="G8" s="115">
        <f>F8-E8</f>
        <v>25038</v>
      </c>
      <c r="H8" s="99">
        <f>G8+'11'!H8</f>
        <v>288346</v>
      </c>
      <c r="I8" s="116"/>
      <c r="J8" s="175">
        <f>H8/DAY(B2)</f>
        <v>24028.833333333332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1912045</v>
      </c>
      <c r="F9" s="659">
        <v>1930744</v>
      </c>
      <c r="G9" s="112">
        <f>F9-E9</f>
        <v>18699</v>
      </c>
      <c r="H9" s="99">
        <f>G9+'11'!H9</f>
        <v>211646.30000000005</v>
      </c>
      <c r="I9" s="124">
        <f>I7-J7</f>
        <v>-11701.5</v>
      </c>
      <c r="J9" s="175">
        <f>H9/DAY(B2)</f>
        <v>17637.191666666669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465892</v>
      </c>
      <c r="F10" s="355">
        <v>471050</v>
      </c>
      <c r="G10" s="112">
        <f t="shared" ref="G10:G12" si="0">F10-E10</f>
        <v>5158</v>
      </c>
      <c r="H10" s="99">
        <f>G10+'11'!H10</f>
        <v>64967.570000000007</v>
      </c>
      <c r="I10" s="282"/>
      <c r="J10" s="175">
        <f>H10/DAY(B2)</f>
        <v>5413.9641666666676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23857</v>
      </c>
      <c r="H13" s="99">
        <f>G13+'11'!H13</f>
        <v>254563</v>
      </c>
      <c r="I13" s="120">
        <f>G7-G13</f>
        <v>663</v>
      </c>
      <c r="J13" s="175">
        <f>H13/DAY(B2)</f>
        <v>21213.583333333332</v>
      </c>
      <c r="K13" s="79"/>
      <c r="L13" s="66"/>
      <c r="N13" s="87"/>
      <c r="O13" s="71"/>
    </row>
    <row r="14" spans="1:15" ht="32.25" customHeight="1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7" t="s">
        <v>138</v>
      </c>
      <c r="B15" s="205"/>
      <c r="C15" s="205"/>
      <c r="D15" s="151" t="s">
        <v>139</v>
      </c>
      <c r="E15" s="95">
        <f>'11'!F15</f>
        <v>1855963</v>
      </c>
      <c r="F15" s="123">
        <v>1857215</v>
      </c>
      <c r="G15" s="112">
        <f>(F15-E15)</f>
        <v>1252</v>
      </c>
      <c r="H15" s="99">
        <f>G15+'11'!H15</f>
        <v>14067</v>
      </c>
      <c r="I15" s="113">
        <f>'1'!I15</f>
        <v>800</v>
      </c>
      <c r="J15" s="175">
        <f>H15/DAY(B2)</f>
        <v>1172.25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-372.25</v>
      </c>
      <c r="J16" s="176"/>
      <c r="K16" s="79"/>
      <c r="L16" s="66"/>
      <c r="N16" s="87"/>
      <c r="O16" s="71"/>
    </row>
    <row r="17" spans="1:15" ht="32.25" customHeight="1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09" t="s">
        <v>141</v>
      </c>
      <c r="B18" s="810"/>
      <c r="C18" s="811"/>
      <c r="D18" s="151" t="s">
        <v>142</v>
      </c>
      <c r="E18" s="95">
        <f>'11'!F18</f>
        <v>22</v>
      </c>
      <c r="F18" s="122">
        <v>24</v>
      </c>
      <c r="G18" s="119">
        <f>F18*10</f>
        <v>240</v>
      </c>
      <c r="H18" s="99">
        <f>G18+'11'!H18</f>
        <v>2510</v>
      </c>
      <c r="I18" s="113">
        <f>'1'!I18</f>
        <v>65</v>
      </c>
      <c r="J18" s="175">
        <f>H18/DAY(B2)</f>
        <v>209.16666666666666</v>
      </c>
      <c r="K18" s="79"/>
      <c r="L18" s="66"/>
      <c r="N18" s="87"/>
      <c r="O18" s="71"/>
    </row>
    <row r="19" spans="1:15" ht="32.25" customHeight="1" x14ac:dyDescent="0.5">
      <c r="A19" s="809" t="s">
        <v>69</v>
      </c>
      <c r="B19" s="810"/>
      <c r="C19" s="811"/>
      <c r="D19" s="151" t="s">
        <v>142</v>
      </c>
      <c r="E19" s="95">
        <f>'11'!F19</f>
        <v>151171</v>
      </c>
      <c r="F19" s="122">
        <v>151225</v>
      </c>
      <c r="G19" s="112">
        <f t="shared" ref="G19" si="1">F19-E19</f>
        <v>54</v>
      </c>
      <c r="H19" s="99">
        <f>G19+'11'!H19</f>
        <v>641</v>
      </c>
      <c r="I19" s="337"/>
      <c r="J19" s="175">
        <f>H19/DAY(B2)</f>
        <v>53.416666666666664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G20+'11'!H20</f>
        <v>3151</v>
      </c>
      <c r="I20" s="338">
        <f>I18-J20</f>
        <v>-197.58333333333331</v>
      </c>
      <c r="J20" s="175">
        <f>H20/DAY(B2)</f>
        <v>262.58333333333331</v>
      </c>
      <c r="K20" s="79"/>
      <c r="L20" s="66"/>
      <c r="N20" s="87"/>
      <c r="O20" s="71"/>
    </row>
    <row r="21" spans="1:15" ht="32.25" customHeight="1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7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7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25038</v>
      </c>
      <c r="F27" s="136">
        <v>9</v>
      </c>
      <c r="G27" s="137">
        <f>E27*F27</f>
        <v>225342</v>
      </c>
      <c r="H27" s="99">
        <f>G27+'11'!H27</f>
        <v>2595114</v>
      </c>
      <c r="I27" s="138"/>
      <c r="J27" s="175">
        <f>H27/DAY(B2)</f>
        <v>216259.5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1252</v>
      </c>
      <c r="F28" s="136">
        <v>52</v>
      </c>
      <c r="G28" s="137">
        <f>E28*F28</f>
        <v>65104</v>
      </c>
      <c r="H28" s="99">
        <f>G28+'11'!H28</f>
        <v>731484</v>
      </c>
      <c r="I28" s="140"/>
      <c r="J28" s="175">
        <f>H28/DAY(B2)</f>
        <v>60957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G30+'11'!H30</f>
        <v>93586</v>
      </c>
      <c r="I30" s="140"/>
      <c r="J30" s="175">
        <f>H30/DAY(B2)</f>
        <v>7798.833333333333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G31+'11'!H31</f>
        <v>200800</v>
      </c>
      <c r="I31" s="140"/>
      <c r="J31" s="175">
        <f>H31/DAY(B2)</f>
        <v>16733.333333333332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317530</v>
      </c>
      <c r="H32" s="99">
        <f>G32+'11'!H32</f>
        <v>3620984</v>
      </c>
      <c r="I32" s="144"/>
      <c r="J32" s="175">
        <f>H32/DAY(B2)</f>
        <v>301748.66666666669</v>
      </c>
      <c r="K32" s="63"/>
      <c r="L32" s="89"/>
      <c r="N32" s="87"/>
      <c r="O32" s="71"/>
    </row>
    <row r="33" spans="1:15" ht="32.2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116723</v>
      </c>
      <c r="F35" s="145">
        <v>118861</v>
      </c>
      <c r="G35" s="112">
        <f t="shared" ref="G35:G46" si="3">F35-E35</f>
        <v>2138</v>
      </c>
      <c r="H35" s="99">
        <f>G35+'11'!H35</f>
        <v>25326.369999999995</v>
      </c>
      <c r="I35" s="95"/>
      <c r="J35" s="175">
        <f>H35/DAY(B2)</f>
        <v>2110.5308333333328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806</v>
      </c>
      <c r="F36" s="145">
        <v>1947</v>
      </c>
      <c r="G36" s="112">
        <f t="shared" si="3"/>
        <v>1141</v>
      </c>
      <c r="H36" s="99">
        <f>G36+'11'!H36</f>
        <v>12213.300000000003</v>
      </c>
      <c r="I36" s="95"/>
      <c r="J36" s="175">
        <f>H36/DAY(B2)</f>
        <v>1017.7750000000002</v>
      </c>
      <c r="K36" s="79"/>
      <c r="L36" s="66"/>
      <c r="N36" s="87"/>
      <c r="O36" s="346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163693</v>
      </c>
      <c r="F37" s="378">
        <v>165381</v>
      </c>
      <c r="G37" s="112">
        <f t="shared" si="3"/>
        <v>1688</v>
      </c>
      <c r="H37" s="99">
        <f>G37+'11'!H37</f>
        <v>19874.260000000009</v>
      </c>
      <c r="I37" s="95"/>
      <c r="J37" s="175">
        <f>H37/DAY(B2)</f>
        <v>1656.1883333333342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192862</v>
      </c>
      <c r="F38" s="108">
        <v>195037</v>
      </c>
      <c r="G38" s="112">
        <f t="shared" si="3"/>
        <v>2175</v>
      </c>
      <c r="H38" s="99">
        <f>G38+'11'!H38</f>
        <v>24032.950000000012</v>
      </c>
      <c r="I38" s="95"/>
      <c r="J38" s="175">
        <f>H38/DAY(B2)</f>
        <v>2002.7458333333343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353654</v>
      </c>
      <c r="F39" s="145">
        <v>356708</v>
      </c>
      <c r="G39" s="112">
        <f t="shared" si="3"/>
        <v>3054</v>
      </c>
      <c r="H39" s="99">
        <f>G39+'11'!H39</f>
        <v>35044.710000000021</v>
      </c>
      <c r="I39" s="95"/>
      <c r="J39" s="175">
        <f>H39/DAY(B2)</f>
        <v>2920.3925000000017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116</v>
      </c>
      <c r="F40" s="145">
        <v>116</v>
      </c>
      <c r="G40" s="112">
        <f t="shared" si="3"/>
        <v>0</v>
      </c>
      <c r="H40" s="99">
        <f>G40+'11'!H40</f>
        <v>4.7800000000000011</v>
      </c>
      <c r="I40" s="95"/>
      <c r="J40" s="175">
        <f>H40/DAY(B2)</f>
        <v>0.39833333333333343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0</v>
      </c>
      <c r="F41" s="145">
        <v>0</v>
      </c>
      <c r="G41" s="112">
        <f t="shared" si="3"/>
        <v>0</v>
      </c>
      <c r="H41" s="99">
        <f>G41+'11'!H41</f>
        <v>9386.2900000000373</v>
      </c>
      <c r="I41" s="95"/>
      <c r="J41" s="175">
        <f>H41/DAY(B2)</f>
        <v>782.1908333333364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348499</v>
      </c>
      <c r="F42" s="145">
        <v>352828</v>
      </c>
      <c r="G42" s="112">
        <f t="shared" si="3"/>
        <v>4329</v>
      </c>
      <c r="H42" s="99">
        <f>G42+'11'!H42</f>
        <v>36774.010000000009</v>
      </c>
      <c r="I42" s="95"/>
      <c r="J42" s="175">
        <f>H42/DAY(B2)</f>
        <v>3064.500833333334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95">
        <v>0</v>
      </c>
      <c r="F43" s="378">
        <v>2634</v>
      </c>
      <c r="G43" s="112">
        <f t="shared" si="3"/>
        <v>2634</v>
      </c>
      <c r="H43" s="99">
        <f>G43+'11'!H43</f>
        <v>32351.399999999907</v>
      </c>
      <c r="I43" s="95"/>
      <c r="J43" s="175">
        <f>H43/DAY(B2)</f>
        <v>2695.9499999999921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17159</v>
      </c>
      <c r="H47" s="99">
        <f>G47+'11'!H47</f>
        <v>195008.07</v>
      </c>
      <c r="I47" s="95"/>
      <c r="J47" s="175">
        <f>H47/DAY(B2)</f>
        <v>16250.672500000001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239685</v>
      </c>
      <c r="F49" s="145">
        <v>241445</v>
      </c>
      <c r="G49" s="112">
        <f t="shared" ref="G49:G58" si="4">F49-E49</f>
        <v>1760</v>
      </c>
      <c r="H49" s="99">
        <f>G49+'11'!H49</f>
        <v>20931.670000000013</v>
      </c>
      <c r="I49" s="95"/>
      <c r="J49" s="175">
        <f>H49/DAY(B2)</f>
        <v>1744.3058333333345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95">
        <v>0</v>
      </c>
      <c r="F50" s="145">
        <v>1046</v>
      </c>
      <c r="G50" s="112">
        <f t="shared" si="4"/>
        <v>1046</v>
      </c>
      <c r="H50" s="99">
        <f>G50+'11'!H50</f>
        <v>16897.810000000056</v>
      </c>
      <c r="I50" s="95"/>
      <c r="J50" s="175">
        <f>H50/DAY(B2)</f>
        <v>1408.1508333333379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3095</v>
      </c>
      <c r="F54" s="145">
        <v>3099</v>
      </c>
      <c r="G54" s="112">
        <f t="shared" si="4"/>
        <v>4</v>
      </c>
      <c r="H54" s="99">
        <f>G54+'11'!H54</f>
        <v>67.7199999999998</v>
      </c>
      <c r="I54" s="95"/>
      <c r="J54" s="175">
        <f>H54/DAY(B2)</f>
        <v>5.6433333333333167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0</v>
      </c>
      <c r="F55" s="145">
        <v>0</v>
      </c>
      <c r="G55" s="112">
        <f t="shared" si="4"/>
        <v>0</v>
      </c>
      <c r="H55" s="99">
        <f>G55+'11'!H55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1915</v>
      </c>
      <c r="F56" s="145">
        <v>3097</v>
      </c>
      <c r="G56" s="112">
        <f t="shared" si="4"/>
        <v>1182</v>
      </c>
      <c r="H56" s="99">
        <f>G56+'11'!H56</f>
        <v>24647.049999999988</v>
      </c>
      <c r="I56" s="95"/>
      <c r="J56" s="175">
        <f>H56/DAY(B2)</f>
        <v>2053.9208333333322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87874</v>
      </c>
      <c r="F58" s="145">
        <v>88111</v>
      </c>
      <c r="G58" s="112">
        <f t="shared" si="4"/>
        <v>237</v>
      </c>
      <c r="H58" s="99">
        <f>G58+'11'!H58</f>
        <v>2786.1499999999942</v>
      </c>
      <c r="I58" s="95"/>
      <c r="J58" s="175">
        <f>H58/DAY(B2)</f>
        <v>232.17916666666619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4229</v>
      </c>
      <c r="H59" s="99">
        <f>G59+'11'!H59</f>
        <v>65330.400000000052</v>
      </c>
      <c r="I59" s="95">
        <f>G7-G60</f>
        <v>3132</v>
      </c>
      <c r="J59" s="175">
        <f>H59/DAY(B2)</f>
        <v>5444.2000000000044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21388</v>
      </c>
      <c r="H60" s="99">
        <f>G60+'11'!H60</f>
        <v>260338.47000000009</v>
      </c>
      <c r="I60" s="95">
        <f>G13-G60</f>
        <v>2469</v>
      </c>
      <c r="J60" s="175">
        <f>H60/DAY(B2)</f>
        <v>21694.872500000009</v>
      </c>
      <c r="K60" s="79"/>
      <c r="L60" s="66"/>
      <c r="N60" s="87"/>
      <c r="O60" s="71"/>
    </row>
    <row r="61" spans="1:15" s="68" customFormat="1" ht="32.25" customHeight="1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32.25" customHeight="1" x14ac:dyDescent="0.5">
      <c r="A62" s="809" t="s">
        <v>198</v>
      </c>
      <c r="B62" s="810"/>
      <c r="C62" s="811"/>
      <c r="D62" s="151" t="s">
        <v>142</v>
      </c>
      <c r="E62" s="95">
        <f>'11'!F62</f>
        <v>264797</v>
      </c>
      <c r="F62" s="122">
        <v>264941</v>
      </c>
      <c r="G62" s="112">
        <f t="shared" ref="G62:G63" si="5">F62-E62</f>
        <v>144</v>
      </c>
      <c r="H62" s="99">
        <f>G62+'11'!H62</f>
        <v>1476</v>
      </c>
      <c r="I62" s="118"/>
      <c r="J62" s="175">
        <f>H62/DAY(B2)</f>
        <v>123</v>
      </c>
      <c r="K62" s="80"/>
      <c r="L62" s="66"/>
      <c r="N62" s="87"/>
      <c r="O62" s="71"/>
    </row>
    <row r="63" spans="1:15" ht="32.25" customHeight="1" x14ac:dyDescent="0.5">
      <c r="A63" s="809" t="s">
        <v>199</v>
      </c>
      <c r="B63" s="810"/>
      <c r="C63" s="811"/>
      <c r="D63" s="151" t="s">
        <v>142</v>
      </c>
      <c r="E63" s="95">
        <f>'11'!F63</f>
        <v>210557</v>
      </c>
      <c r="F63" s="122">
        <v>210687</v>
      </c>
      <c r="G63" s="112">
        <f t="shared" si="5"/>
        <v>130</v>
      </c>
      <c r="H63" s="99">
        <f>G63+'11'!H63</f>
        <v>1312</v>
      </c>
      <c r="I63" s="118"/>
      <c r="J63" s="175">
        <f>H63/DAY(B2)</f>
        <v>109.33333333333333</v>
      </c>
      <c r="K63" s="69"/>
      <c r="L63" s="66"/>
      <c r="N63" s="87"/>
      <c r="O63" s="71"/>
    </row>
    <row r="64" spans="1:15" ht="32.25" customHeight="1" x14ac:dyDescent="0.5">
      <c r="A64" s="806" t="s">
        <v>200</v>
      </c>
      <c r="B64" s="807"/>
      <c r="C64" s="808"/>
      <c r="D64" s="151"/>
      <c r="E64" s="95">
        <f>'11'!F64</f>
        <v>0</v>
      </c>
      <c r="F64" s="122"/>
      <c r="G64" s="112">
        <f>G62+G63</f>
        <v>274</v>
      </c>
      <c r="H64" s="99">
        <f>G64+'11'!H64</f>
        <v>2788</v>
      </c>
      <c r="I64" s="118"/>
      <c r="J64" s="175">
        <f>H64/DAY(B2)</f>
        <v>232.33333333333334</v>
      </c>
      <c r="K64" s="69"/>
      <c r="L64" s="66"/>
      <c r="N64" s="87"/>
      <c r="O64" s="71"/>
    </row>
    <row r="65" spans="1:15" ht="32.25" customHeight="1" x14ac:dyDescent="0.5">
      <c r="A65" s="809" t="s">
        <v>201</v>
      </c>
      <c r="B65" s="810"/>
      <c r="C65" s="811"/>
      <c r="D65" s="151" t="s">
        <v>142</v>
      </c>
      <c r="E65" s="95">
        <f>'11'!F65</f>
        <v>430495</v>
      </c>
      <c r="F65" s="122">
        <v>430600</v>
      </c>
      <c r="G65" s="112">
        <f t="shared" ref="G65:G70" si="6">F65-E65</f>
        <v>105</v>
      </c>
      <c r="H65" s="99">
        <f>G65+'11'!H65</f>
        <v>1237</v>
      </c>
      <c r="I65" s="118"/>
      <c r="J65" s="175">
        <f>H65/DAY(B2)</f>
        <v>103.08333333333333</v>
      </c>
      <c r="K65" s="69"/>
      <c r="L65" s="66"/>
      <c r="N65" s="87"/>
      <c r="O65" s="71"/>
    </row>
    <row r="66" spans="1:15" ht="32.25" customHeight="1" x14ac:dyDescent="0.5">
      <c r="A66" s="347" t="s">
        <v>202</v>
      </c>
      <c r="B66" s="348"/>
      <c r="C66" s="348"/>
      <c r="D66" s="151" t="s">
        <v>142</v>
      </c>
      <c r="E66" s="95">
        <f>'11'!F66</f>
        <v>106820</v>
      </c>
      <c r="F66" s="122">
        <v>106841</v>
      </c>
      <c r="G66" s="112">
        <f t="shared" si="6"/>
        <v>21</v>
      </c>
      <c r="H66" s="99">
        <f>G66+'11'!H66</f>
        <v>242</v>
      </c>
      <c r="I66" s="118"/>
      <c r="J66" s="175">
        <f>H66/DAY(B2)</f>
        <v>20.166666666666668</v>
      </c>
      <c r="K66" s="78"/>
      <c r="L66" s="66"/>
      <c r="N66" s="87"/>
      <c r="O66" s="71"/>
    </row>
    <row r="67" spans="1:15" ht="32.25" customHeight="1" x14ac:dyDescent="0.5">
      <c r="A67" s="347" t="s">
        <v>203</v>
      </c>
      <c r="B67" s="348"/>
      <c r="C67" s="348"/>
      <c r="D67" s="151" t="s">
        <v>142</v>
      </c>
      <c r="E67" s="95">
        <f>'11'!F67</f>
        <v>103339</v>
      </c>
      <c r="F67" s="122">
        <v>103372</v>
      </c>
      <c r="G67" s="112">
        <f t="shared" si="6"/>
        <v>33</v>
      </c>
      <c r="H67" s="99">
        <f>G67+'11'!H67</f>
        <v>361</v>
      </c>
      <c r="I67" s="118"/>
      <c r="J67" s="175">
        <f>H67/DAY(B2)</f>
        <v>30.083333333333332</v>
      </c>
      <c r="K67" s="81"/>
      <c r="L67" s="66"/>
      <c r="N67" s="87"/>
      <c r="O67" s="71"/>
    </row>
    <row r="68" spans="1:15" ht="32.25" customHeight="1" x14ac:dyDescent="0.5">
      <c r="A68" s="347" t="s">
        <v>204</v>
      </c>
      <c r="B68" s="348"/>
      <c r="C68" s="348"/>
      <c r="D68" s="151" t="s">
        <v>142</v>
      </c>
      <c r="E68" s="95">
        <f>'11'!F68</f>
        <v>155878</v>
      </c>
      <c r="F68" s="122">
        <v>155922</v>
      </c>
      <c r="G68" s="112">
        <f t="shared" si="6"/>
        <v>44</v>
      </c>
      <c r="H68" s="99">
        <f>G68+'11'!H68</f>
        <v>482</v>
      </c>
      <c r="I68" s="118"/>
      <c r="J68" s="175">
        <f>H68/DAY(B2)</f>
        <v>40.166666666666664</v>
      </c>
      <c r="K68" s="69"/>
      <c r="L68" s="66"/>
      <c r="N68" s="87"/>
      <c r="O68" s="71"/>
    </row>
    <row r="69" spans="1:15" ht="32.25" customHeight="1" x14ac:dyDescent="0.5">
      <c r="A69" s="347" t="s">
        <v>205</v>
      </c>
      <c r="B69" s="348"/>
      <c r="C69" s="348"/>
      <c r="D69" s="151" t="s">
        <v>142</v>
      </c>
      <c r="E69" s="95">
        <f>'11'!F69</f>
        <v>9977</v>
      </c>
      <c r="F69" s="122">
        <v>9984</v>
      </c>
      <c r="G69" s="112">
        <f t="shared" si="6"/>
        <v>7</v>
      </c>
      <c r="H69" s="99">
        <f>G69+'11'!H69</f>
        <v>141</v>
      </c>
      <c r="I69" s="118"/>
      <c r="J69" s="175">
        <f>H69/DAY(B2)</f>
        <v>11.75</v>
      </c>
      <c r="K69" s="69"/>
      <c r="L69" s="66"/>
      <c r="N69" s="87"/>
      <c r="O69" s="71"/>
    </row>
    <row r="70" spans="1:15" ht="32.25" customHeight="1" x14ac:dyDescent="0.5">
      <c r="A70" s="347" t="s">
        <v>206</v>
      </c>
      <c r="B70" s="348"/>
      <c r="C70" s="348"/>
      <c r="D70" s="151" t="s">
        <v>142</v>
      </c>
      <c r="E70" s="95">
        <f>'11'!F70</f>
        <v>7659</v>
      </c>
      <c r="F70" s="122">
        <v>7668</v>
      </c>
      <c r="G70" s="112">
        <f t="shared" si="6"/>
        <v>9</v>
      </c>
      <c r="H70" s="99">
        <f>G70+'11'!H70</f>
        <v>126</v>
      </c>
      <c r="I70" s="118"/>
      <c r="J70" s="175">
        <f>H70/DAY(B2)</f>
        <v>10.5</v>
      </c>
      <c r="K70" s="69"/>
      <c r="L70" s="66"/>
      <c r="N70" s="87"/>
      <c r="O70" s="71"/>
    </row>
    <row r="71" spans="1:15" ht="32.25" customHeight="1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219</v>
      </c>
      <c r="H71" s="99">
        <f>G71+'11'!H71</f>
        <v>2589</v>
      </c>
      <c r="I71" s="154"/>
      <c r="J71" s="175">
        <f>H71/DAY(B2)</f>
        <v>215.75</v>
      </c>
      <c r="K71" s="69"/>
      <c r="L71" s="66"/>
      <c r="N71" s="87"/>
      <c r="O71" s="71"/>
    </row>
    <row r="72" spans="1:15" s="88" customFormat="1" ht="32.25" customHeight="1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32.25" customHeight="1" x14ac:dyDescent="0.5">
      <c r="A74" s="809" t="s">
        <v>220</v>
      </c>
      <c r="B74" s="810"/>
      <c r="C74" s="811"/>
      <c r="D74" s="151" t="s">
        <v>139</v>
      </c>
      <c r="E74" s="95">
        <f>'11'!F74</f>
        <v>885717</v>
      </c>
      <c r="F74" s="117">
        <v>886017</v>
      </c>
      <c r="G74" s="112">
        <f t="shared" ref="G74:G78" si="7">F74-E74</f>
        <v>300</v>
      </c>
      <c r="H74" s="99">
        <f>G74+'11'!H74</f>
        <v>3763.9510000000009</v>
      </c>
      <c r="I74" s="154"/>
      <c r="J74" s="175">
        <f>H74/DAY(B2)</f>
        <v>313.66258333333343</v>
      </c>
      <c r="K74" s="69"/>
      <c r="L74" s="66"/>
      <c r="N74" s="87"/>
      <c r="O74" s="71"/>
    </row>
    <row r="75" spans="1:15" ht="32.25" customHeight="1" x14ac:dyDescent="0.5">
      <c r="A75" s="809" t="s">
        <v>221</v>
      </c>
      <c r="B75" s="810"/>
      <c r="C75" s="811"/>
      <c r="D75" s="151" t="s">
        <v>139</v>
      </c>
      <c r="E75" s="95">
        <f>'11'!F75</f>
        <v>73830.69</v>
      </c>
      <c r="F75" s="123">
        <v>73830.69</v>
      </c>
      <c r="G75" s="112">
        <f t="shared" si="7"/>
        <v>0</v>
      </c>
      <c r="H75" s="99">
        <f>G75+'11'!H75</f>
        <v>243.88999999999942</v>
      </c>
      <c r="I75" s="154"/>
      <c r="J75" s="175">
        <f>H75/DAY(B2)</f>
        <v>20.324166666666617</v>
      </c>
      <c r="K75" s="69"/>
      <c r="L75" s="66"/>
      <c r="N75" s="87"/>
      <c r="O75" s="71"/>
    </row>
    <row r="76" spans="1:15" ht="32.25" customHeight="1" x14ac:dyDescent="0.5">
      <c r="A76" s="850" t="s">
        <v>222</v>
      </c>
      <c r="B76" s="836"/>
      <c r="C76" s="837"/>
      <c r="D76" s="151" t="s">
        <v>139</v>
      </c>
      <c r="E76" s="95">
        <f>'11'!F76</f>
        <v>164811</v>
      </c>
      <c r="F76" s="123">
        <v>164963</v>
      </c>
      <c r="G76" s="112">
        <f t="shared" si="7"/>
        <v>152</v>
      </c>
      <c r="H76" s="99">
        <f>G76+'11'!H76</f>
        <v>1579</v>
      </c>
      <c r="I76" s="154"/>
      <c r="J76" s="175">
        <f>H76/DAY(B2)</f>
        <v>131.58333333333334</v>
      </c>
      <c r="K76" s="69"/>
      <c r="L76" s="66"/>
      <c r="N76" s="87"/>
      <c r="O76" s="71"/>
    </row>
    <row r="77" spans="1:15" ht="32.25" customHeight="1" x14ac:dyDescent="0.5">
      <c r="A77" s="850" t="s">
        <v>223</v>
      </c>
      <c r="B77" s="836"/>
      <c r="C77" s="837"/>
      <c r="D77" s="151" t="s">
        <v>139</v>
      </c>
      <c r="E77" s="95">
        <f>'11'!F77</f>
        <v>39330</v>
      </c>
      <c r="F77" s="123">
        <v>39376</v>
      </c>
      <c r="G77" s="112">
        <f t="shared" si="7"/>
        <v>46</v>
      </c>
      <c r="H77" s="99">
        <f>G77+'11'!H77</f>
        <v>566</v>
      </c>
      <c r="I77" s="154"/>
      <c r="J77" s="175">
        <f>H77/DAY(B2)</f>
        <v>47.166666666666664</v>
      </c>
      <c r="K77" s="69"/>
      <c r="L77" s="66"/>
      <c r="N77" s="87"/>
      <c r="O77" s="71"/>
    </row>
    <row r="78" spans="1:15" ht="32.25" customHeight="1" x14ac:dyDescent="0.5">
      <c r="A78" s="850" t="s">
        <v>224</v>
      </c>
      <c r="B78" s="836"/>
      <c r="C78" s="837"/>
      <c r="D78" s="151" t="s">
        <v>139</v>
      </c>
      <c r="E78" s="95">
        <f>'11'!F78</f>
        <v>9447</v>
      </c>
      <c r="F78" s="123">
        <v>9452</v>
      </c>
      <c r="G78" s="112">
        <f t="shared" si="7"/>
        <v>5</v>
      </c>
      <c r="H78" s="99">
        <f>G78+'11'!H78</f>
        <v>40</v>
      </c>
      <c r="I78" s="118"/>
      <c r="J78" s="175">
        <f>H78/DAY(B2)</f>
        <v>3.3333333333333335</v>
      </c>
      <c r="K78" s="69"/>
      <c r="L78" s="66"/>
      <c r="N78" s="87"/>
      <c r="O78" s="71"/>
    </row>
    <row r="79" spans="1:15" s="57" customFormat="1" ht="32.25" customHeight="1" x14ac:dyDescent="0.5">
      <c r="A79" s="850" t="s">
        <v>225</v>
      </c>
      <c r="B79" s="836"/>
      <c r="C79" s="837"/>
      <c r="D79" s="151"/>
      <c r="E79" s="95">
        <f>'11'!F79</f>
        <v>0</v>
      </c>
      <c r="F79" s="117"/>
      <c r="G79" s="112">
        <f>G15-SUM(G74:G78)</f>
        <v>749</v>
      </c>
      <c r="H79" s="99">
        <f>G79+'11'!H79</f>
        <v>7874.1589999999997</v>
      </c>
      <c r="I79" s="118"/>
      <c r="J79" s="175">
        <f>H79/DAY(B2)</f>
        <v>656.1799166666666</v>
      </c>
      <c r="K79" s="59"/>
      <c r="L79" s="58"/>
      <c r="N79" s="87"/>
      <c r="O79" s="71"/>
    </row>
    <row r="80" spans="1:15" s="57" customFormat="1" ht="32.25" customHeight="1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1252</v>
      </c>
      <c r="H80" s="99">
        <f>G80+'11'!H80</f>
        <v>1252</v>
      </c>
      <c r="I80" s="118"/>
      <c r="J80" s="175">
        <f>H80/DAY(B2)</f>
        <v>104.33333333333333</v>
      </c>
      <c r="K80" s="59"/>
      <c r="L80" s="58"/>
      <c r="N80" s="87"/>
      <c r="O80" s="71"/>
    </row>
    <row r="81" spans="1:15" ht="32.25" customHeight="1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7" t="s">
        <v>227</v>
      </c>
      <c r="B82" s="348"/>
      <c r="C82" s="348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7" t="s">
        <v>229</v>
      </c>
      <c r="B83" s="348"/>
      <c r="C83" s="348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7" t="s">
        <v>230</v>
      </c>
      <c r="B84" s="348"/>
      <c r="C84" s="348"/>
      <c r="D84" s="151" t="s">
        <v>228</v>
      </c>
      <c r="E84" s="95">
        <f>'11'!F84</f>
        <v>41675.760000000002</v>
      </c>
      <c r="F84" s="164">
        <v>41675.760000000002</v>
      </c>
      <c r="G84" s="112">
        <f t="shared" si="8"/>
        <v>0</v>
      </c>
      <c r="H84" s="99">
        <f>G84+'11'!H84</f>
        <v>47.200000000004366</v>
      </c>
      <c r="I84" s="118"/>
      <c r="J84" s="175">
        <f>H84/DAY(B2)</f>
        <v>3.9333333333336973</v>
      </c>
      <c r="O84" s="71"/>
    </row>
    <row r="85" spans="1:15" ht="32.25" customHeight="1" x14ac:dyDescent="0.5">
      <c r="A85" s="347" t="s">
        <v>231</v>
      </c>
      <c r="B85" s="348"/>
      <c r="C85" s="348"/>
      <c r="D85" s="151" t="s">
        <v>228</v>
      </c>
      <c r="E85" s="95">
        <f>'11'!F85</f>
        <v>1669</v>
      </c>
      <c r="F85" s="164">
        <v>1693</v>
      </c>
      <c r="G85" s="112">
        <f t="shared" si="8"/>
        <v>24</v>
      </c>
      <c r="H85" s="99">
        <f>G85+'11'!H85</f>
        <v>189.44000000000005</v>
      </c>
      <c r="I85" s="118">
        <f>G82+G83+G84+G85</f>
        <v>24</v>
      </c>
      <c r="J85" s="175">
        <f>H85/DAY(B2)</f>
        <v>15.786666666666671</v>
      </c>
      <c r="O85" s="71"/>
    </row>
    <row r="86" spans="1:15" ht="32.25" customHeight="1" x14ac:dyDescent="0.5">
      <c r="A86" s="347" t="s">
        <v>232</v>
      </c>
      <c r="B86" s="348"/>
      <c r="C86" s="348"/>
      <c r="D86" s="151" t="s">
        <v>228</v>
      </c>
      <c r="E86" s="95">
        <f>'11'!F86</f>
        <v>42826.47</v>
      </c>
      <c r="F86" s="164">
        <v>42826.47</v>
      </c>
      <c r="G86" s="112">
        <f t="shared" si="8"/>
        <v>0</v>
      </c>
      <c r="H86" s="99">
        <f>G86+'11'!H86</f>
        <v>0.47000000000116415</v>
      </c>
      <c r="I86" s="118"/>
      <c r="J86" s="175">
        <f>H86/DAY(B2)</f>
        <v>3.9166666666763682E-2</v>
      </c>
      <c r="O86" s="71"/>
    </row>
    <row r="87" spans="1:15" ht="32.25" customHeight="1" x14ac:dyDescent="0.5">
      <c r="A87" s="347" t="s">
        <v>233</v>
      </c>
      <c r="B87" s="348"/>
      <c r="C87" s="348"/>
      <c r="D87" s="151" t="s">
        <v>228</v>
      </c>
      <c r="E87" s="95">
        <f>'11'!F87</f>
        <v>34541.519999999997</v>
      </c>
      <c r="F87" s="164">
        <v>34552.449999999997</v>
      </c>
      <c r="G87" s="112">
        <f t="shared" si="8"/>
        <v>10.930000000000291</v>
      </c>
      <c r="H87" s="99">
        <f>G87+'11'!H87</f>
        <v>132.04999999999563</v>
      </c>
      <c r="I87" s="118"/>
      <c r="J87" s="175">
        <f>H87/DAY(B2)</f>
        <v>11.004166666666302</v>
      </c>
      <c r="O87" s="71"/>
    </row>
    <row r="88" spans="1:15" ht="32.25" customHeight="1" x14ac:dyDescent="0.5">
      <c r="A88" s="347" t="s">
        <v>234</v>
      </c>
      <c r="B88" s="348"/>
      <c r="C88" s="348"/>
      <c r="D88" s="151" t="s">
        <v>228</v>
      </c>
      <c r="E88" s="95">
        <f>'11'!F88</f>
        <v>23994</v>
      </c>
      <c r="F88" s="164">
        <v>24005.53</v>
      </c>
      <c r="G88" s="112">
        <f t="shared" si="8"/>
        <v>11.529999999998836</v>
      </c>
      <c r="H88" s="99">
        <f>G88+'11'!H88</f>
        <v>53.039999999997235</v>
      </c>
      <c r="I88" s="118">
        <f>G86+G87+G88</f>
        <v>22.459999999999127</v>
      </c>
      <c r="J88" s="175">
        <f>H88/DAY(B2)</f>
        <v>4.4199999999997699</v>
      </c>
      <c r="O88" s="71"/>
    </row>
    <row r="89" spans="1:15" ht="32.25" customHeight="1" x14ac:dyDescent="0.5">
      <c r="A89" s="347" t="s">
        <v>235</v>
      </c>
      <c r="B89" s="348"/>
      <c r="C89" s="348"/>
      <c r="D89" s="151" t="s">
        <v>228</v>
      </c>
      <c r="E89" s="95">
        <f>'11'!F89</f>
        <v>25507</v>
      </c>
      <c r="F89" s="164">
        <v>25506.639999999999</v>
      </c>
      <c r="G89" s="112">
        <f t="shared" si="8"/>
        <v>-0.36000000000058208</v>
      </c>
      <c r="H89" s="99">
        <f>G89+'11'!H89</f>
        <v>79.149999999997817</v>
      </c>
      <c r="I89" s="118"/>
      <c r="J89" s="175">
        <f>H89/DAY(B2)</f>
        <v>6.5958333333331511</v>
      </c>
      <c r="O89" s="71"/>
    </row>
    <row r="90" spans="1:15" ht="32.25" customHeight="1" x14ac:dyDescent="0.5">
      <c r="A90" s="347" t="s">
        <v>236</v>
      </c>
      <c r="B90" s="348"/>
      <c r="C90" s="348"/>
      <c r="D90" s="151" t="s">
        <v>228</v>
      </c>
      <c r="E90" s="95">
        <f>'11'!F90</f>
        <v>70906</v>
      </c>
      <c r="F90" s="164">
        <v>70914</v>
      </c>
      <c r="G90" s="112">
        <f t="shared" si="8"/>
        <v>8</v>
      </c>
      <c r="H90" s="99">
        <f>G90+'11'!H90</f>
        <v>85.729999999995925</v>
      </c>
      <c r="I90" s="118">
        <f>G89+G90</f>
        <v>7.6399999999994179</v>
      </c>
      <c r="J90" s="175">
        <f>H90/DAY(B2)</f>
        <v>7.1441666666663268</v>
      </c>
      <c r="O90" s="71"/>
    </row>
    <row r="91" spans="1:15" ht="32.25" customHeight="1" x14ac:dyDescent="0.5">
      <c r="A91" s="347" t="s">
        <v>237</v>
      </c>
      <c r="B91" s="348"/>
      <c r="C91" s="348"/>
      <c r="D91" s="151" t="s">
        <v>228</v>
      </c>
      <c r="E91" s="95">
        <f>'11'!F91</f>
        <v>3226.32</v>
      </c>
      <c r="F91" s="122">
        <v>3226.32</v>
      </c>
      <c r="G91" s="112">
        <f t="shared" si="8"/>
        <v>0</v>
      </c>
      <c r="H91" s="99">
        <f>G91+'11'!H91</f>
        <v>0.32000000000016371</v>
      </c>
      <c r="I91" s="165"/>
      <c r="J91" s="175">
        <f>H91/DAY(B2)</f>
        <v>2.666666666668031E-2</v>
      </c>
      <c r="O91" s="71"/>
    </row>
    <row r="92" spans="1:15" ht="32.25" customHeight="1" x14ac:dyDescent="0.5">
      <c r="A92" s="347" t="s">
        <v>238</v>
      </c>
      <c r="B92" s="348"/>
      <c r="C92" s="348"/>
      <c r="D92" s="151" t="s">
        <v>228</v>
      </c>
      <c r="E92" s="95">
        <f>'11'!F92</f>
        <v>5217</v>
      </c>
      <c r="F92" s="122">
        <v>5227.75</v>
      </c>
      <c r="G92" s="112">
        <f t="shared" si="8"/>
        <v>10.75</v>
      </c>
      <c r="H92" s="99">
        <f>G92+'11'!H92</f>
        <v>131.85000000000036</v>
      </c>
      <c r="I92" s="165"/>
      <c r="J92" s="175">
        <f>H92/DAY(B2)</f>
        <v>10.987500000000031</v>
      </c>
      <c r="O92" s="71"/>
    </row>
    <row r="93" spans="1:15" ht="32.25" customHeight="1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6532</v>
      </c>
      <c r="H94" s="99">
        <f>G94+'11'!H94</f>
        <v>78609.439999999915</v>
      </c>
      <c r="I94" s="118"/>
      <c r="J94" s="175">
        <f>H94/DAY(B2)</f>
        <v>6550.7866666666596</v>
      </c>
      <c r="K94" s="69"/>
      <c r="L94" s="66"/>
      <c r="O94" s="71"/>
    </row>
    <row r="95" spans="1:15" ht="32.25" customHeight="1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0.26639477977161502</v>
      </c>
      <c r="H95" s="99">
        <f>G95+'11'!H95</f>
        <v>3.318244664663156</v>
      </c>
      <c r="I95" s="167"/>
      <c r="J95" s="175">
        <f>H95/DAY(B2)</f>
        <v>0.27652038872192969</v>
      </c>
      <c r="K95" s="69"/>
      <c r="L95" s="66"/>
      <c r="O95" s="71"/>
    </row>
    <row r="96" spans="1:15" ht="32.25" customHeight="1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5511</v>
      </c>
      <c r="H96" s="99">
        <f>G96+'11'!H96</f>
        <v>70807.350000000035</v>
      </c>
      <c r="I96" s="118"/>
      <c r="J96" s="175">
        <f>H96/DAY(B2)</f>
        <v>5900.6125000000029</v>
      </c>
      <c r="K96" s="69"/>
      <c r="L96" s="66"/>
      <c r="O96" s="71"/>
    </row>
    <row r="97" spans="1:15" ht="32.25" customHeight="1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0.22475530179445349</v>
      </c>
      <c r="H97" s="99">
        <f>G97+'11'!H97</f>
        <v>2.9823456621657249</v>
      </c>
      <c r="I97" s="167"/>
      <c r="J97" s="175">
        <f>H97/DAY(B2)</f>
        <v>0.24852880518047707</v>
      </c>
      <c r="K97" s="69"/>
      <c r="L97" s="66"/>
      <c r="O97" s="71"/>
    </row>
    <row r="98" spans="1:15" ht="32.25" customHeight="1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3054</v>
      </c>
      <c r="H98" s="99">
        <f>G98+'11'!H98</f>
        <v>35044.710000000021</v>
      </c>
      <c r="I98" s="168"/>
      <c r="J98" s="175">
        <f>H98/DAY(B2)</f>
        <v>2920.3925000000017</v>
      </c>
      <c r="K98" s="69"/>
      <c r="L98" s="66"/>
      <c r="O98" s="71"/>
    </row>
    <row r="99" spans="1:15" ht="32.25" customHeight="1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0.12455138662316477</v>
      </c>
      <c r="H99" s="99">
        <f>G99+'11'!H99</f>
        <v>1.4804090663271239</v>
      </c>
      <c r="I99" s="168"/>
      <c r="J99" s="175">
        <f>H99/DAY(B2)</f>
        <v>0.12336742219392699</v>
      </c>
      <c r="O99" s="71"/>
    </row>
    <row r="100" spans="1:15" ht="32.25" customHeight="1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2175</v>
      </c>
      <c r="H100" s="99">
        <f>G100+'11'!H100</f>
        <v>24032.950000000012</v>
      </c>
      <c r="I100" s="118"/>
      <c r="J100" s="175">
        <f>H100/DAY(B2)</f>
        <v>2002.7458333333343</v>
      </c>
      <c r="K100" s="70"/>
      <c r="O100" s="71"/>
    </row>
    <row r="101" spans="1:15" ht="32.25" customHeight="1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8.8703099510603595E-2</v>
      </c>
      <c r="H101" s="99">
        <f>G101+'11'!H101</f>
        <v>1.0149203423345048</v>
      </c>
      <c r="I101" s="168"/>
      <c r="J101" s="175">
        <f>H101/DAY(B2)</f>
        <v>8.457669519454207E-2</v>
      </c>
      <c r="O101" s="71"/>
    </row>
    <row r="102" spans="1:15" ht="32.25" customHeight="1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2187</v>
      </c>
      <c r="H102" s="99">
        <f>G102+'11'!H102</f>
        <v>29111.110000000059</v>
      </c>
      <c r="I102" s="168"/>
      <c r="J102" s="175">
        <f>H102/DAY(B2)</f>
        <v>2425.9258333333382</v>
      </c>
      <c r="O102" s="71"/>
    </row>
    <row r="103" spans="1:15" ht="32.25" customHeight="1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8.9192495921696577E-2</v>
      </c>
      <c r="H103" s="99">
        <f>G103+'11'!H103</f>
        <v>1.2285968194290429</v>
      </c>
      <c r="I103" s="118"/>
      <c r="J103" s="175">
        <f>H103/DAY(B2)</f>
        <v>0.10238306828575357</v>
      </c>
      <c r="O103" s="71"/>
    </row>
    <row r="104" spans="1:15" ht="32.25" customHeight="1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1688</v>
      </c>
      <c r="H104" s="99">
        <f>G104+'11'!H104</f>
        <v>19874.260000000009</v>
      </c>
      <c r="I104" s="118"/>
      <c r="J104" s="175">
        <f>H104/DAY(B2)</f>
        <v>1656.1883333333342</v>
      </c>
      <c r="O104" s="71"/>
    </row>
    <row r="105" spans="1:15" ht="32.25" customHeight="1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6.8841761827079934E-2</v>
      </c>
      <c r="H105" s="99">
        <f>G105+'11'!H105</f>
        <v>0.84027056654297272</v>
      </c>
      <c r="I105" s="187"/>
      <c r="J105" s="188">
        <f>H105/DAY(B2)</f>
        <v>7.0022547211914393E-2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32.25" customHeight="1" x14ac:dyDescent="0.5">
      <c r="A109" s="845"/>
      <c r="B109" s="845"/>
    </row>
    <row r="110" spans="1:15" ht="32.25" customHeight="1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32.25" customHeight="1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32.25" customHeight="1" x14ac:dyDescent="0.5">
      <c r="A112" s="839" t="s">
        <v>252</v>
      </c>
      <c r="B112" s="840"/>
      <c r="C112" s="841"/>
      <c r="D112" s="146" t="s">
        <v>183</v>
      </c>
      <c r="E112" s="95">
        <f>'11'!F112</f>
        <v>54245</v>
      </c>
      <c r="F112" s="237">
        <v>54324</v>
      </c>
      <c r="G112" s="112">
        <f t="shared" ref="G112:G123" si="9">F112-E112</f>
        <v>79</v>
      </c>
      <c r="H112" s="99">
        <f>G112+'11'!H112</f>
        <v>971.98999999999796</v>
      </c>
      <c r="I112" s="165"/>
      <c r="J112" s="330">
        <f>H112/DAY(B2)</f>
        <v>80.999166666666497</v>
      </c>
    </row>
    <row r="113" spans="1:18" ht="32.25" customHeight="1" x14ac:dyDescent="0.5">
      <c r="A113" s="839" t="s">
        <v>253</v>
      </c>
      <c r="B113" s="840"/>
      <c r="C113" s="841"/>
      <c r="D113" s="146" t="s">
        <v>183</v>
      </c>
      <c r="E113" s="95">
        <f>'11'!F113</f>
        <v>22946</v>
      </c>
      <c r="F113" s="237">
        <v>23419</v>
      </c>
      <c r="G113" s="112">
        <f t="shared" si="9"/>
        <v>473</v>
      </c>
      <c r="H113" s="99">
        <f>G113+'11'!H113</f>
        <v>5462.4700000000012</v>
      </c>
      <c r="I113" s="165"/>
      <c r="J113" s="330">
        <f>H113/DAY(B2)</f>
        <v>455.20583333333343</v>
      </c>
    </row>
    <row r="114" spans="1:18" ht="32.25" customHeight="1" x14ac:dyDescent="0.5">
      <c r="A114" s="839" t="s">
        <v>254</v>
      </c>
      <c r="B114" s="840"/>
      <c r="C114" s="841"/>
      <c r="D114" s="146" t="s">
        <v>183</v>
      </c>
      <c r="E114" s="95">
        <f>'11'!F114</f>
        <v>17816</v>
      </c>
      <c r="F114" s="237">
        <v>18384</v>
      </c>
      <c r="G114" s="112">
        <f t="shared" si="9"/>
        <v>568</v>
      </c>
      <c r="H114" s="99">
        <f>G114+'11'!H114</f>
        <v>4456.8999999999996</v>
      </c>
      <c r="I114" s="165"/>
      <c r="J114" s="330">
        <f>H114/DAY(B2)</f>
        <v>371.4083333333333</v>
      </c>
    </row>
    <row r="115" spans="1:18" ht="32.25" customHeight="1" x14ac:dyDescent="0.5">
      <c r="A115" s="839" t="s">
        <v>255</v>
      </c>
      <c r="B115" s="840"/>
      <c r="C115" s="841"/>
      <c r="D115" s="146" t="s">
        <v>183</v>
      </c>
      <c r="E115" s="95">
        <f>'11'!F115</f>
        <v>8551</v>
      </c>
      <c r="F115" s="237">
        <v>8565</v>
      </c>
      <c r="G115" s="112">
        <f t="shared" si="9"/>
        <v>14</v>
      </c>
      <c r="H115" s="99">
        <f>G115+'11'!H115</f>
        <v>141.31999999999971</v>
      </c>
      <c r="I115" s="165"/>
      <c r="J115" s="330">
        <f>H115/DAY(B2)</f>
        <v>11.776666666666642</v>
      </c>
    </row>
    <row r="116" spans="1:18" ht="32.25" customHeight="1" x14ac:dyDescent="0.5">
      <c r="A116" s="857" t="s">
        <v>96</v>
      </c>
      <c r="B116" s="858"/>
      <c r="C116" s="859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32.25" customHeight="1" x14ac:dyDescent="0.5">
      <c r="A117" s="857" t="s">
        <v>184</v>
      </c>
      <c r="B117" s="858"/>
      <c r="C117" s="859"/>
      <c r="D117" s="146" t="s">
        <v>183</v>
      </c>
      <c r="E117" s="95">
        <f>'11'!F117</f>
        <v>2161</v>
      </c>
      <c r="F117" s="237">
        <v>2185</v>
      </c>
      <c r="G117" s="112">
        <f t="shared" si="9"/>
        <v>24</v>
      </c>
      <c r="H117" s="99">
        <f>G117+'11'!H117</f>
        <v>243.92000000000007</v>
      </c>
      <c r="I117" s="165"/>
      <c r="J117" s="330">
        <f>H117/DAY(B2)</f>
        <v>20.326666666666672</v>
      </c>
      <c r="Q117" s="839" t="s">
        <v>312</v>
      </c>
      <c r="R117" s="841"/>
    </row>
    <row r="118" spans="1:18" ht="32.25" customHeight="1" x14ac:dyDescent="0.5">
      <c r="A118" s="834" t="s">
        <v>97</v>
      </c>
      <c r="B118" s="834"/>
      <c r="C118" s="834"/>
      <c r="D118" s="151" t="s">
        <v>183</v>
      </c>
      <c r="E118" s="95">
        <f>'11'!F118</f>
        <v>233880</v>
      </c>
      <c r="F118" s="237">
        <v>234210</v>
      </c>
      <c r="G118" s="112">
        <f t="shared" si="9"/>
        <v>330</v>
      </c>
      <c r="H118" s="99">
        <f>G118+'11'!H118</f>
        <v>4372.2699999999895</v>
      </c>
      <c r="I118" s="165"/>
      <c r="J118" s="330">
        <f>H118/DAY(B2)</f>
        <v>364.35583333333244</v>
      </c>
      <c r="Q118" s="839" t="s">
        <v>311</v>
      </c>
      <c r="R118" s="841"/>
    </row>
    <row r="119" spans="1:18" ht="32.25" customHeight="1" x14ac:dyDescent="0.5">
      <c r="A119" s="834" t="s">
        <v>98</v>
      </c>
      <c r="B119" s="834"/>
      <c r="C119" s="834"/>
      <c r="D119" s="151" t="s">
        <v>183</v>
      </c>
      <c r="E119" s="95">
        <f>'11'!F119</f>
        <v>236534</v>
      </c>
      <c r="F119" s="237">
        <v>236980</v>
      </c>
      <c r="G119" s="112">
        <f t="shared" si="9"/>
        <v>446</v>
      </c>
      <c r="H119" s="99">
        <f>G119+'11'!H119</f>
        <v>5253.4700000000012</v>
      </c>
      <c r="I119" s="165"/>
      <c r="J119" s="330">
        <f>H119/DAY(B2)</f>
        <v>437.78916666666674</v>
      </c>
    </row>
    <row r="120" spans="1:18" ht="32.25" customHeight="1" x14ac:dyDescent="0.5">
      <c r="A120" s="834" t="s">
        <v>99</v>
      </c>
      <c r="B120" s="834"/>
      <c r="C120" s="834"/>
      <c r="D120" s="151" t="s">
        <v>183</v>
      </c>
      <c r="E120" s="95">
        <f>'11'!F120</f>
        <v>21845</v>
      </c>
      <c r="F120" s="237">
        <v>22258</v>
      </c>
      <c r="G120" s="112">
        <f t="shared" si="9"/>
        <v>413</v>
      </c>
      <c r="H120" s="99">
        <f>G120+'11'!H120</f>
        <v>5072.68</v>
      </c>
      <c r="I120" s="165"/>
      <c r="J120" s="330">
        <f>H120/DAY(B2)</f>
        <v>422.72333333333336</v>
      </c>
    </row>
    <row r="121" spans="1:18" ht="32.25" customHeight="1" x14ac:dyDescent="0.5">
      <c r="A121" s="834" t="s">
        <v>100</v>
      </c>
      <c r="B121" s="834"/>
      <c r="C121" s="834"/>
      <c r="D121" s="151" t="s">
        <v>183</v>
      </c>
      <c r="E121" s="95">
        <f>'11'!F121</f>
        <v>361070</v>
      </c>
      <c r="F121" s="237">
        <v>361834</v>
      </c>
      <c r="G121" s="112">
        <f t="shared" si="9"/>
        <v>764</v>
      </c>
      <c r="H121" s="99">
        <f>G121+'11'!H121</f>
        <v>8779.7700000000186</v>
      </c>
      <c r="I121" s="165"/>
      <c r="J121" s="330">
        <f>H121/DAY(B2)</f>
        <v>731.64750000000151</v>
      </c>
    </row>
    <row r="122" spans="1:18" ht="32.25" customHeight="1" x14ac:dyDescent="0.5">
      <c r="A122" s="834" t="s">
        <v>101</v>
      </c>
      <c r="B122" s="834"/>
      <c r="C122" s="834"/>
      <c r="D122" s="151" t="s">
        <v>183</v>
      </c>
      <c r="E122" s="95">
        <f>'11'!F122</f>
        <v>114524</v>
      </c>
      <c r="F122" s="237">
        <v>114827</v>
      </c>
      <c r="G122" s="112">
        <f t="shared" si="9"/>
        <v>303</v>
      </c>
      <c r="H122" s="99">
        <f>G122+'11'!H122</f>
        <v>3817.2100000000064</v>
      </c>
      <c r="I122" s="165"/>
      <c r="J122" s="330">
        <f>H122/DAY(B2)</f>
        <v>318.10083333333387</v>
      </c>
    </row>
    <row r="123" spans="1:18" ht="32.25" customHeight="1" x14ac:dyDescent="0.5">
      <c r="A123" s="834" t="s">
        <v>102</v>
      </c>
      <c r="B123" s="834"/>
      <c r="C123" s="834"/>
      <c r="D123" s="151" t="s">
        <v>183</v>
      </c>
      <c r="E123" s="95">
        <f>'11'!F123</f>
        <v>137858</v>
      </c>
      <c r="F123" s="237">
        <v>138210</v>
      </c>
      <c r="G123" s="112">
        <f t="shared" si="9"/>
        <v>352</v>
      </c>
      <c r="H123" s="99">
        <f>G123+'11'!H123</f>
        <v>3844</v>
      </c>
      <c r="I123" s="165"/>
      <c r="J123" s="330">
        <f>H123/DAY(B2)</f>
        <v>320.33333333333331</v>
      </c>
    </row>
    <row r="124" spans="1:18" ht="32.25" customHeight="1" x14ac:dyDescent="0.5">
      <c r="A124" s="864"/>
      <c r="B124" s="865"/>
      <c r="C124" s="866"/>
      <c r="D124" s="165"/>
      <c r="E124" s="165"/>
      <c r="F124" s="165"/>
      <c r="G124" s="329"/>
      <c r="H124" s="156"/>
      <c r="I124" s="165"/>
      <c r="J124" s="329"/>
    </row>
    <row r="125" spans="1:18" ht="32.25" customHeight="1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3766</v>
      </c>
      <c r="H125" s="156"/>
      <c r="I125" s="329">
        <f>G125-(G39+G53)</f>
        <v>712</v>
      </c>
      <c r="J125" s="329"/>
    </row>
    <row r="126" spans="1:18" ht="32.25" customHeight="1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32.25" customHeight="1" x14ac:dyDescent="0.5">
      <c r="A127" s="870"/>
      <c r="B127" s="870"/>
      <c r="C127" s="245"/>
      <c r="D127" s="307"/>
      <c r="E127" s="308"/>
      <c r="F127" s="308"/>
      <c r="G127" s="309"/>
      <c r="H127" s="99">
        <f>G127+'11'!H127</f>
        <v>0</v>
      </c>
      <c r="I127" s="165"/>
      <c r="J127" s="330">
        <f>H127/DAY(B2)</f>
        <v>0</v>
      </c>
    </row>
    <row r="128" spans="1:18" ht="32.25" customHeight="1" x14ac:dyDescent="0.5">
      <c r="A128" s="839" t="s">
        <v>318</v>
      </c>
      <c r="B128" s="840"/>
      <c r="C128" s="841"/>
      <c r="D128" s="151" t="s">
        <v>183</v>
      </c>
      <c r="E128" s="95">
        <f>'11'!F128</f>
        <v>31198</v>
      </c>
      <c r="F128" s="165">
        <v>31527</v>
      </c>
      <c r="G128" s="112">
        <f t="shared" ref="G128:G134" si="10">F128-E128</f>
        <v>329</v>
      </c>
      <c r="H128" s="99">
        <f>G128+'11'!H128</f>
        <v>3922.630000000001</v>
      </c>
      <c r="I128" s="165"/>
      <c r="J128" s="330">
        <f>H128/DAY(B2)</f>
        <v>326.88583333333344</v>
      </c>
    </row>
    <row r="129" spans="1:15" ht="32.25" customHeight="1" x14ac:dyDescent="0.5">
      <c r="A129" s="331" t="s">
        <v>319</v>
      </c>
      <c r="B129" s="332"/>
      <c r="C129" s="333"/>
      <c r="D129" s="151" t="s">
        <v>183</v>
      </c>
      <c r="E129" s="95">
        <f>'11'!F129</f>
        <v>15662</v>
      </c>
      <c r="F129" s="165">
        <v>15924</v>
      </c>
      <c r="G129" s="112">
        <f t="shared" si="10"/>
        <v>262</v>
      </c>
      <c r="H129" s="99">
        <f>G129+'11'!H129</f>
        <v>3176.41</v>
      </c>
      <c r="I129" s="165"/>
      <c r="J129" s="330">
        <f>H129/DAY(B2)</f>
        <v>264.70083333333332</v>
      </c>
      <c r="N129" s="240"/>
      <c r="O129" s="241"/>
    </row>
    <row r="130" spans="1:15" ht="32.25" customHeight="1" x14ac:dyDescent="0.5">
      <c r="A130" s="331" t="s">
        <v>320</v>
      </c>
      <c r="B130" s="332"/>
      <c r="C130" s="333"/>
      <c r="D130" s="151" t="s">
        <v>183</v>
      </c>
      <c r="E130" s="95">
        <f>'11'!F130</f>
        <v>5125</v>
      </c>
      <c r="F130" s="165">
        <v>5424</v>
      </c>
      <c r="G130" s="112">
        <f t="shared" si="10"/>
        <v>299</v>
      </c>
      <c r="H130" s="99">
        <f>G130+'11'!H130</f>
        <v>3366.89</v>
      </c>
      <c r="I130" s="165"/>
      <c r="J130" s="330">
        <f>H130/DAY(B2)</f>
        <v>280.57416666666666</v>
      </c>
      <c r="N130" s="240"/>
      <c r="O130" s="241"/>
    </row>
    <row r="131" spans="1:15" ht="32.25" customHeight="1" x14ac:dyDescent="0.5">
      <c r="A131" s="839" t="s">
        <v>321</v>
      </c>
      <c r="B131" s="840"/>
      <c r="C131" s="841"/>
      <c r="D131" s="151" t="s">
        <v>183</v>
      </c>
      <c r="E131" s="95">
        <f>'11'!F131</f>
        <v>10878</v>
      </c>
      <c r="F131" s="165">
        <v>11019</v>
      </c>
      <c r="G131" s="112">
        <f t="shared" si="10"/>
        <v>141</v>
      </c>
      <c r="H131" s="99">
        <f>G131+'11'!H131</f>
        <v>1849.6499999999996</v>
      </c>
      <c r="I131" s="165"/>
      <c r="J131" s="330">
        <f>H131/DAY(B2)</f>
        <v>154.13749999999996</v>
      </c>
      <c r="N131" s="240"/>
      <c r="O131" s="241"/>
    </row>
    <row r="132" spans="1:15" ht="32.25" customHeight="1" x14ac:dyDescent="0.5">
      <c r="A132" s="839" t="s">
        <v>322</v>
      </c>
      <c r="B132" s="840"/>
      <c r="C132" s="841"/>
      <c r="D132" s="151" t="s">
        <v>183</v>
      </c>
      <c r="E132" s="95">
        <f>'11'!F132</f>
        <v>31162</v>
      </c>
      <c r="F132" s="165">
        <v>31649</v>
      </c>
      <c r="G132" s="112">
        <f t="shared" si="10"/>
        <v>487</v>
      </c>
      <c r="H132" s="99">
        <f>G132+'11'!H132</f>
        <v>5468.7599999999984</v>
      </c>
      <c r="I132" s="165"/>
      <c r="J132" s="330">
        <f>H132/DAY(B2)</f>
        <v>455.72999999999985</v>
      </c>
    </row>
    <row r="133" spans="1:15" ht="32.25" customHeight="1" x14ac:dyDescent="0.5">
      <c r="A133" s="839" t="s">
        <v>363</v>
      </c>
      <c r="B133" s="840"/>
      <c r="C133" s="841"/>
      <c r="D133" s="151" t="s">
        <v>183</v>
      </c>
      <c r="E133" s="95">
        <f>'11'!F133</f>
        <v>72797</v>
      </c>
      <c r="F133" s="165">
        <v>73649</v>
      </c>
      <c r="G133" s="112">
        <f t="shared" si="10"/>
        <v>852</v>
      </c>
      <c r="H133" s="99">
        <f>G133+'11'!H133</f>
        <v>10174.580000000002</v>
      </c>
      <c r="I133" s="165"/>
      <c r="J133" s="330">
        <f>H133/DAY(B2)</f>
        <v>847.88166666666677</v>
      </c>
    </row>
    <row r="134" spans="1:15" ht="32.25" customHeight="1" x14ac:dyDescent="0.5">
      <c r="A134" s="839" t="s">
        <v>340</v>
      </c>
      <c r="B134" s="840"/>
      <c r="C134" s="841"/>
      <c r="D134" s="151" t="s">
        <v>183</v>
      </c>
      <c r="E134" s="95">
        <v>658098</v>
      </c>
      <c r="F134" s="165">
        <v>658749</v>
      </c>
      <c r="G134" s="112">
        <f t="shared" si="10"/>
        <v>651</v>
      </c>
      <c r="H134" s="99">
        <f>G134+'11'!H134</f>
        <v>7542</v>
      </c>
      <c r="I134" s="165"/>
      <c r="J134" s="330">
        <f>H134/DAY(B2)</f>
        <v>628.5</v>
      </c>
    </row>
    <row r="135" spans="1:15" ht="32.25" customHeight="1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3021</v>
      </c>
      <c r="H135" s="99">
        <f>G135+'10'!H135</f>
        <v>32552.92</v>
      </c>
      <c r="I135" s="329">
        <f>G135-(G35+G49)</f>
        <v>-877</v>
      </c>
      <c r="J135" s="330"/>
    </row>
    <row r="136" spans="1:15" ht="32.25" customHeight="1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32.25" customHeight="1" x14ac:dyDescent="0.5">
      <c r="A138" s="834" t="s">
        <v>185</v>
      </c>
      <c r="B138" s="834"/>
      <c r="C138" s="834"/>
      <c r="D138" s="151" t="s">
        <v>183</v>
      </c>
      <c r="E138" s="95">
        <f>'11'!F138</f>
        <v>861908</v>
      </c>
      <c r="F138" s="147">
        <v>862014</v>
      </c>
      <c r="G138" s="112">
        <f t="shared" ref="G138:G152" si="11">F138-E138</f>
        <v>106</v>
      </c>
      <c r="H138" s="99">
        <f>G138+'11'!H138</f>
        <v>752</v>
      </c>
      <c r="I138" s="118"/>
      <c r="J138" s="330">
        <f>H138/DAY(B2)</f>
        <v>62.666666666666664</v>
      </c>
    </row>
    <row r="139" spans="1:15" ht="32.25" customHeight="1" x14ac:dyDescent="0.5">
      <c r="A139" s="834" t="s">
        <v>186</v>
      </c>
      <c r="B139" s="834"/>
      <c r="C139" s="834"/>
      <c r="D139" s="151" t="s">
        <v>183</v>
      </c>
      <c r="E139" s="95">
        <f>'11'!F139</f>
        <v>886355</v>
      </c>
      <c r="F139" s="148">
        <v>886362</v>
      </c>
      <c r="G139" s="112">
        <f t="shared" si="11"/>
        <v>7</v>
      </c>
      <c r="H139" s="99">
        <f>G139+'11'!H139</f>
        <v>163</v>
      </c>
      <c r="I139" s="118"/>
      <c r="J139" s="330">
        <f>H139/DAY(B2)</f>
        <v>13.583333333333334</v>
      </c>
    </row>
    <row r="140" spans="1:15" ht="32.25" customHeight="1" x14ac:dyDescent="0.5">
      <c r="A140" s="834" t="s">
        <v>187</v>
      </c>
      <c r="B140" s="834"/>
      <c r="C140" s="834"/>
      <c r="D140" s="151" t="s">
        <v>183</v>
      </c>
      <c r="E140" s="95">
        <f>'11'!F140</f>
        <v>88863</v>
      </c>
      <c r="F140" s="149">
        <v>88863</v>
      </c>
      <c r="G140" s="112">
        <f t="shared" si="11"/>
        <v>0</v>
      </c>
      <c r="H140" s="99">
        <f>G140+'11'!H140</f>
        <v>14</v>
      </c>
      <c r="I140" s="118"/>
      <c r="J140" s="330">
        <f>H140/DAY(B2)</f>
        <v>1.1666666666666667</v>
      </c>
    </row>
    <row r="141" spans="1:15" ht="32.25" customHeight="1" x14ac:dyDescent="0.5">
      <c r="A141" s="838" t="s">
        <v>188</v>
      </c>
      <c r="B141" s="838"/>
      <c r="C141" s="838"/>
      <c r="D141" s="151" t="s">
        <v>183</v>
      </c>
      <c r="E141" s="95">
        <f>'11'!F141</f>
        <v>45310</v>
      </c>
      <c r="F141" s="149">
        <v>45504</v>
      </c>
      <c r="G141" s="112">
        <f t="shared" si="11"/>
        <v>194</v>
      </c>
      <c r="H141" s="99">
        <f>G141+'11'!H141</f>
        <v>2377.2699999999968</v>
      </c>
      <c r="I141" s="118"/>
      <c r="J141" s="330">
        <f>H141/DAY(B2)</f>
        <v>198.10583333333307</v>
      </c>
    </row>
    <row r="142" spans="1:15" ht="32.25" customHeight="1" x14ac:dyDescent="0.5">
      <c r="A142" s="838" t="s">
        <v>189</v>
      </c>
      <c r="B142" s="838"/>
      <c r="C142" s="838"/>
      <c r="D142" s="151" t="s">
        <v>183</v>
      </c>
      <c r="E142" s="95">
        <f>'11'!F142</f>
        <v>17653</v>
      </c>
      <c r="F142" s="148">
        <v>17671</v>
      </c>
      <c r="G142" s="112">
        <f t="shared" si="11"/>
        <v>18</v>
      </c>
      <c r="H142" s="99">
        <f>G142+'11'!H142</f>
        <v>210.5</v>
      </c>
      <c r="I142" s="140"/>
      <c r="J142" s="330">
        <f>H142/DAY(B2)</f>
        <v>17.541666666666668</v>
      </c>
    </row>
    <row r="143" spans="1:15" ht="32.25" customHeight="1" x14ac:dyDescent="0.5">
      <c r="A143" s="834" t="s">
        <v>91</v>
      </c>
      <c r="B143" s="834"/>
      <c r="C143" s="834"/>
      <c r="D143" s="151" t="s">
        <v>183</v>
      </c>
      <c r="E143" s="95">
        <f>'11'!F143</f>
        <v>2523</v>
      </c>
      <c r="F143" s="149">
        <v>2554</v>
      </c>
      <c r="G143" s="112">
        <f t="shared" si="11"/>
        <v>31</v>
      </c>
      <c r="H143" s="99">
        <f>G143+'11'!H143</f>
        <v>352.59999999999991</v>
      </c>
      <c r="I143" s="140"/>
      <c r="J143" s="330">
        <f>H143/DAY(B2)</f>
        <v>29.383333333333326</v>
      </c>
    </row>
    <row r="144" spans="1:15" ht="32.25" customHeight="1" x14ac:dyDescent="0.5">
      <c r="A144" s="838" t="s">
        <v>90</v>
      </c>
      <c r="B144" s="838"/>
      <c r="C144" s="838"/>
      <c r="D144" s="151" t="s">
        <v>183</v>
      </c>
      <c r="E144" s="95">
        <f>'11'!F144</f>
        <v>864924</v>
      </c>
      <c r="F144" s="149">
        <v>865154</v>
      </c>
      <c r="G144" s="112">
        <f t="shared" si="11"/>
        <v>230</v>
      </c>
      <c r="H144" s="99">
        <f>G144+'11'!H144</f>
        <v>2759</v>
      </c>
      <c r="I144" s="140"/>
      <c r="J144" s="330">
        <f>H144/DAY(B2)</f>
        <v>229.91666666666666</v>
      </c>
    </row>
    <row r="145" spans="1:10" ht="32.25" customHeight="1" x14ac:dyDescent="0.5">
      <c r="A145" s="834" t="s">
        <v>190</v>
      </c>
      <c r="B145" s="834"/>
      <c r="C145" s="834"/>
      <c r="D145" s="152" t="s">
        <v>183</v>
      </c>
      <c r="E145" s="95">
        <f>'11'!F145</f>
        <v>3920</v>
      </c>
      <c r="F145" s="149">
        <v>3996</v>
      </c>
      <c r="G145" s="112">
        <f t="shared" si="11"/>
        <v>76</v>
      </c>
      <c r="H145" s="99">
        <f>G145+'11'!H145</f>
        <v>577</v>
      </c>
      <c r="I145" s="140"/>
      <c r="J145" s="330">
        <f>H145/DAY(B2)</f>
        <v>48.083333333333336</v>
      </c>
    </row>
    <row r="146" spans="1:10" ht="32.25" customHeight="1" x14ac:dyDescent="0.5">
      <c r="A146" s="835" t="s">
        <v>191</v>
      </c>
      <c r="B146" s="836"/>
      <c r="C146" s="837"/>
      <c r="D146" s="152" t="s">
        <v>183</v>
      </c>
      <c r="E146" s="95">
        <f>'11'!F146</f>
        <v>715412</v>
      </c>
      <c r="F146" s="148">
        <v>715892</v>
      </c>
      <c r="G146" s="112">
        <f t="shared" si="11"/>
        <v>480</v>
      </c>
      <c r="H146" s="99">
        <f>G146+'11'!H146</f>
        <v>5007</v>
      </c>
      <c r="I146" s="140"/>
      <c r="J146" s="330">
        <f>H146/DAY(B2)</f>
        <v>417.25</v>
      </c>
    </row>
    <row r="147" spans="1:10" ht="32.25" customHeight="1" x14ac:dyDescent="0.5">
      <c r="A147" s="838" t="s">
        <v>192</v>
      </c>
      <c r="B147" s="838"/>
      <c r="C147" s="838"/>
      <c r="D147" s="152" t="s">
        <v>183</v>
      </c>
      <c r="E147" s="95">
        <f>'11'!F147</f>
        <v>606893</v>
      </c>
      <c r="F147" s="148">
        <v>607354</v>
      </c>
      <c r="G147" s="112">
        <f t="shared" si="11"/>
        <v>461</v>
      </c>
      <c r="H147" s="99">
        <f>G147+'11'!H147</f>
        <v>5368.9599999999627</v>
      </c>
      <c r="I147" s="140"/>
      <c r="J147" s="330">
        <f>H147/DAY(B2)</f>
        <v>447.41333333333023</v>
      </c>
    </row>
    <row r="148" spans="1:10" ht="32.25" customHeight="1" x14ac:dyDescent="0.5">
      <c r="A148" s="794" t="s">
        <v>193</v>
      </c>
      <c r="B148" s="795"/>
      <c r="C148" s="796"/>
      <c r="D148" s="123" t="s">
        <v>130</v>
      </c>
      <c r="E148" s="95">
        <f>'11'!F148</f>
        <v>676970</v>
      </c>
      <c r="F148" s="150">
        <v>677328</v>
      </c>
      <c r="G148" s="112">
        <f t="shared" si="11"/>
        <v>358</v>
      </c>
      <c r="H148" s="99">
        <f>G148+'11'!H148</f>
        <v>3538.3199999999488</v>
      </c>
      <c r="I148" s="124"/>
      <c r="J148" s="330">
        <f>H148/DAY(B2)</f>
        <v>294.85999999999575</v>
      </c>
    </row>
    <row r="149" spans="1:10" ht="32.25" customHeight="1" x14ac:dyDescent="0.5">
      <c r="A149" s="794" t="s">
        <v>336</v>
      </c>
      <c r="B149" s="795"/>
      <c r="C149" s="796"/>
      <c r="D149" s="227" t="s">
        <v>130</v>
      </c>
      <c r="E149" s="95">
        <f>'11'!F149</f>
        <v>99458</v>
      </c>
      <c r="F149" s="146">
        <v>99883</v>
      </c>
      <c r="G149" s="112">
        <f t="shared" si="11"/>
        <v>425</v>
      </c>
      <c r="H149" s="99">
        <f>G149+'11'!H149</f>
        <v>4861</v>
      </c>
      <c r="I149" s="119"/>
      <c r="J149" s="330">
        <f>H149/DAY(B2)</f>
        <v>405.08333333333331</v>
      </c>
    </row>
    <row r="150" spans="1:10" ht="32.25" customHeight="1" x14ac:dyDescent="0.5">
      <c r="A150" s="794" t="s">
        <v>337</v>
      </c>
      <c r="B150" s="795"/>
      <c r="C150" s="796"/>
      <c r="D150" s="117" t="s">
        <v>130</v>
      </c>
      <c r="E150" s="95">
        <f>'11'!F150</f>
        <v>7167232</v>
      </c>
      <c r="F150" s="233">
        <v>7167232</v>
      </c>
      <c r="G150" s="112">
        <f t="shared" si="11"/>
        <v>0</v>
      </c>
      <c r="H150" s="99">
        <f>G150+'11'!H150</f>
        <v>0</v>
      </c>
      <c r="I150" s="119"/>
      <c r="J150" s="330">
        <f>H150/DAY(B2)</f>
        <v>0</v>
      </c>
    </row>
    <row r="151" spans="1:10" ht="32.25" customHeight="1" x14ac:dyDescent="0.5">
      <c r="A151" s="794" t="s">
        <v>338</v>
      </c>
      <c r="B151" s="795"/>
      <c r="C151" s="796"/>
      <c r="D151" s="117" t="s">
        <v>130</v>
      </c>
      <c r="E151" s="95">
        <f>'11'!F151</f>
        <v>73486</v>
      </c>
      <c r="F151" s="233">
        <v>73586</v>
      </c>
      <c r="G151" s="112">
        <f t="shared" si="11"/>
        <v>100</v>
      </c>
      <c r="H151" s="99">
        <f>G151+'11'!H151</f>
        <v>2864</v>
      </c>
      <c r="I151" s="119"/>
      <c r="J151" s="330">
        <f>H151/DAY(B2)</f>
        <v>238.66666666666666</v>
      </c>
    </row>
    <row r="152" spans="1:10" ht="32.25" customHeight="1" x14ac:dyDescent="0.5">
      <c r="A152" s="794" t="s">
        <v>339</v>
      </c>
      <c r="B152" s="795"/>
      <c r="C152" s="796"/>
      <c r="D152" s="117" t="s">
        <v>130</v>
      </c>
      <c r="E152" s="95">
        <f>'11'!F152</f>
        <v>0</v>
      </c>
      <c r="F152" s="233">
        <v>0</v>
      </c>
      <c r="G152" s="112">
        <f t="shared" si="11"/>
        <v>0</v>
      </c>
      <c r="H152" s="99">
        <f>G152+'11'!H152</f>
        <v>0</v>
      </c>
      <c r="I152" s="119"/>
      <c r="J152" s="330">
        <f>H152/DAY(B2)</f>
        <v>0</v>
      </c>
    </row>
    <row r="153" spans="1:10" ht="32.25" customHeight="1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2486</v>
      </c>
      <c r="H153" s="365"/>
      <c r="I153" s="119">
        <f>G153-(G38+G52)</f>
        <v>311</v>
      </c>
      <c r="J153" s="368"/>
    </row>
    <row r="154" spans="1:10" ht="32.25" customHeight="1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2.25" customHeight="1" x14ac:dyDescent="0.55000000000000004">
      <c r="A155" s="838" t="s">
        <v>345</v>
      </c>
      <c r="B155" s="838"/>
      <c r="C155" s="838"/>
      <c r="D155" s="117" t="s">
        <v>130</v>
      </c>
      <c r="E155" s="95">
        <f>'11'!F155</f>
        <v>77609</v>
      </c>
      <c r="F155" s="376">
        <v>77617</v>
      </c>
      <c r="G155" s="112">
        <f t="shared" ref="G155:G156" si="12">F155-E155</f>
        <v>8</v>
      </c>
      <c r="H155" s="99">
        <f>G155+'11'!H155</f>
        <v>93</v>
      </c>
      <c r="I155" s="366"/>
      <c r="J155" s="330">
        <f>H155/DAY(B2)</f>
        <v>7.75</v>
      </c>
    </row>
    <row r="156" spans="1:10" ht="32.25" customHeight="1" x14ac:dyDescent="0.5">
      <c r="A156" s="838" t="s">
        <v>347</v>
      </c>
      <c r="B156" s="838"/>
      <c r="C156" s="838"/>
      <c r="D156" s="117" t="s">
        <v>130</v>
      </c>
      <c r="E156" s="95">
        <f>'11'!F156</f>
        <v>0</v>
      </c>
      <c r="F156" s="165">
        <v>0</v>
      </c>
      <c r="G156" s="112">
        <f t="shared" si="12"/>
        <v>0</v>
      </c>
      <c r="H156" s="99">
        <f>G156+'11'!H156</f>
        <v>0</v>
      </c>
      <c r="I156" s="165"/>
      <c r="J156" s="330">
        <f>H156/DAY(B2)</f>
        <v>0</v>
      </c>
    </row>
    <row r="157" spans="1:10" ht="32.25" customHeight="1" x14ac:dyDescent="0.5">
      <c r="A157" s="794" t="s">
        <v>365</v>
      </c>
      <c r="B157" s="795"/>
      <c r="C157" s="796"/>
      <c r="D157" s="117" t="s">
        <v>130</v>
      </c>
      <c r="E157" s="95"/>
      <c r="F157" s="165"/>
      <c r="G157" s="112"/>
      <c r="H157" s="99"/>
      <c r="I157" s="165"/>
      <c r="J157" s="330"/>
    </row>
    <row r="158" spans="1:10" ht="32.25" customHeight="1" x14ac:dyDescent="0.5">
      <c r="A158" s="794" t="s">
        <v>366</v>
      </c>
      <c r="B158" s="795"/>
      <c r="C158" s="796"/>
      <c r="D158" s="117" t="s">
        <v>130</v>
      </c>
      <c r="E158" s="95"/>
      <c r="F158" s="165"/>
      <c r="G158" s="112"/>
      <c r="H158" s="99"/>
      <c r="I158" s="165"/>
      <c r="J158" s="330"/>
    </row>
    <row r="159" spans="1:10" ht="32.25" customHeight="1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32.25" customHeight="1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471121</v>
      </c>
      <c r="F161" s="235">
        <v>471122</v>
      </c>
      <c r="G161" s="238">
        <f t="shared" ref="G161:G165" si="13">F161-E161</f>
        <v>1</v>
      </c>
      <c r="H161" s="99">
        <f>G161+'11'!H161</f>
        <v>145.88000000000466</v>
      </c>
      <c r="I161" s="236"/>
      <c r="J161" s="239">
        <f>H161/DAY(B2)</f>
        <v>12.156666666667055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86991</v>
      </c>
      <c r="F162" s="235">
        <v>87006</v>
      </c>
      <c r="G162" s="238">
        <f t="shared" si="13"/>
        <v>15</v>
      </c>
      <c r="H162" s="99">
        <f>G162+'11'!H162</f>
        <v>404.30000000000291</v>
      </c>
      <c r="I162" s="236"/>
      <c r="J162" s="239">
        <f>H162/DAY(B2)</f>
        <v>33.691666666666912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76380</v>
      </c>
      <c r="F163" s="235">
        <v>76428</v>
      </c>
      <c r="G163" s="238">
        <f t="shared" si="13"/>
        <v>48</v>
      </c>
      <c r="H163" s="99">
        <f>G163+'11'!H163</f>
        <v>968.19999999999709</v>
      </c>
      <c r="I163" s="236"/>
      <c r="J163" s="239">
        <f>H163/DAY(B2)</f>
        <v>80.683333333333096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4153</v>
      </c>
      <c r="F164" s="235">
        <v>4156</v>
      </c>
      <c r="G164" s="238">
        <f t="shared" si="13"/>
        <v>3</v>
      </c>
      <c r="H164" s="99">
        <f>G164+'11'!H164</f>
        <v>58.100000000000364</v>
      </c>
      <c r="I164" s="236"/>
      <c r="J164" s="239">
        <f>H164/DAY(B2)</f>
        <v>4.841666666666697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29510</v>
      </c>
      <c r="F165" s="235">
        <v>29511</v>
      </c>
      <c r="G165" s="238">
        <f t="shared" si="13"/>
        <v>1</v>
      </c>
      <c r="H165" s="99">
        <f>G165+'11'!H165</f>
        <v>82.06880000000092</v>
      </c>
      <c r="I165" s="236"/>
      <c r="J165" s="239">
        <f>H165/DAY(B2)</f>
        <v>6.839066666666743</v>
      </c>
    </row>
    <row r="166" spans="1:10" ht="32.25" customHeight="1" x14ac:dyDescent="0.5">
      <c r="A166" s="870"/>
      <c r="B166" s="870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870"/>
      <c r="B167" s="870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870"/>
      <c r="B168" s="870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32.25" customHeight="1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831" t="s">
        <v>209</v>
      </c>
      <c r="B173" s="832"/>
      <c r="C173" s="335"/>
      <c r="D173" s="228" t="s">
        <v>142</v>
      </c>
      <c r="E173" s="95">
        <f>'11'!F173</f>
        <v>8107</v>
      </c>
      <c r="F173" s="155">
        <v>8110</v>
      </c>
      <c r="G173" s="155">
        <f>F173-E173</f>
        <v>3</v>
      </c>
      <c r="H173" s="99">
        <f>G173+'11'!H173</f>
        <v>3</v>
      </c>
      <c r="I173" s="155"/>
      <c r="J173" s="178">
        <f>H173/DAY(B2)</f>
        <v>0.25</v>
      </c>
    </row>
    <row r="174" spans="1:10" ht="32.25" customHeight="1" x14ac:dyDescent="0.5">
      <c r="A174" s="831" t="s">
        <v>75</v>
      </c>
      <c r="B174" s="832"/>
      <c r="C174" s="335"/>
      <c r="D174" s="228" t="s">
        <v>142</v>
      </c>
      <c r="E174" s="95">
        <v>37524</v>
      </c>
      <c r="F174" s="157">
        <v>37543</v>
      </c>
      <c r="G174" s="155">
        <f t="shared" ref="G174:G175" si="14">F174-E174</f>
        <v>19</v>
      </c>
      <c r="H174" s="99">
        <f>G174+'11'!H174</f>
        <v>200</v>
      </c>
      <c r="I174" s="155"/>
      <c r="J174" s="178">
        <f>H174/DAY(B2)</f>
        <v>16.666666666666668</v>
      </c>
    </row>
    <row r="175" spans="1:10" ht="32.25" customHeight="1" x14ac:dyDescent="0.5">
      <c r="A175" s="831" t="s">
        <v>76</v>
      </c>
      <c r="B175" s="833"/>
      <c r="C175" s="832"/>
      <c r="D175" s="228" t="s">
        <v>142</v>
      </c>
      <c r="E175" s="95">
        <f>'11'!F175</f>
        <v>21279</v>
      </c>
      <c r="F175" s="155">
        <v>21293</v>
      </c>
      <c r="G175" s="155">
        <f t="shared" si="14"/>
        <v>14</v>
      </c>
      <c r="H175" s="99">
        <f>G175+'11'!H175</f>
        <v>156</v>
      </c>
      <c r="I175" s="155"/>
      <c r="J175" s="178">
        <f>H175/DAY(B2)</f>
        <v>13</v>
      </c>
    </row>
    <row r="176" spans="1:10" ht="32.25" customHeight="1" x14ac:dyDescent="0.5">
      <c r="A176" s="645" t="s">
        <v>196</v>
      </c>
      <c r="B176" s="646"/>
      <c r="C176" s="529"/>
      <c r="D176" s="228" t="s">
        <v>142</v>
      </c>
      <c r="E176" s="95"/>
      <c r="F176" s="155"/>
      <c r="G176" s="155">
        <f>SUM(G173:G175)</f>
        <v>36</v>
      </c>
      <c r="H176" s="99">
        <f>G176+'11'!H176</f>
        <v>359</v>
      </c>
      <c r="I176" s="155"/>
      <c r="J176" s="178">
        <f>H176/DAY(B2)</f>
        <v>29.916666666666668</v>
      </c>
    </row>
    <row r="177" spans="1:10" ht="32.25" customHeight="1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831" t="s">
        <v>210</v>
      </c>
      <c r="B178" s="832"/>
      <c r="C178" s="335"/>
      <c r="D178" s="228" t="s">
        <v>142</v>
      </c>
      <c r="E178" s="95">
        <f>'11'!F178</f>
        <v>78181</v>
      </c>
      <c r="F178" s="155">
        <v>78290</v>
      </c>
      <c r="G178" s="155">
        <f>F178-E178</f>
        <v>109</v>
      </c>
      <c r="H178" s="99">
        <f>G178+'11'!H178</f>
        <v>938</v>
      </c>
      <c r="I178" s="155"/>
      <c r="J178" s="178">
        <f>H178/DAY(B2)</f>
        <v>78.166666666666671</v>
      </c>
    </row>
    <row r="179" spans="1:10" ht="32.25" customHeight="1" x14ac:dyDescent="0.5">
      <c r="A179" s="831" t="s">
        <v>211</v>
      </c>
      <c r="B179" s="832"/>
      <c r="C179" s="335"/>
      <c r="D179" s="228" t="s">
        <v>142</v>
      </c>
      <c r="E179" s="95">
        <f>'11'!F179</f>
        <v>33888</v>
      </c>
      <c r="F179" s="155">
        <v>33888</v>
      </c>
      <c r="G179" s="155">
        <f t="shared" ref="G179:G180" si="15">F179-E179</f>
        <v>0</v>
      </c>
      <c r="H179" s="99">
        <f>G179+'11'!H179</f>
        <v>2</v>
      </c>
      <c r="I179" s="155"/>
      <c r="J179" s="178">
        <f>H179/DAY(B2)</f>
        <v>0.16666666666666666</v>
      </c>
    </row>
    <row r="180" spans="1:10" ht="32.25" customHeight="1" x14ac:dyDescent="0.5">
      <c r="A180" s="831" t="s">
        <v>212</v>
      </c>
      <c r="B180" s="832"/>
      <c r="C180" s="335"/>
      <c r="D180" s="228" t="s">
        <v>142</v>
      </c>
      <c r="E180" s="95">
        <f>'11'!F180</f>
        <v>5347</v>
      </c>
      <c r="F180" s="155">
        <v>5348</v>
      </c>
      <c r="G180" s="155">
        <f t="shared" si="15"/>
        <v>1</v>
      </c>
      <c r="H180" s="99">
        <f>G180+'11'!H180</f>
        <v>75</v>
      </c>
      <c r="I180" s="155"/>
      <c r="J180" s="178">
        <f>H180/DAY(B2)</f>
        <v>6.25</v>
      </c>
    </row>
    <row r="181" spans="1:10" ht="32.25" customHeight="1" x14ac:dyDescent="0.5">
      <c r="A181" s="872" t="s">
        <v>108</v>
      </c>
      <c r="B181" s="873"/>
      <c r="C181" s="529"/>
      <c r="D181" s="228" t="s">
        <v>142</v>
      </c>
      <c r="E181" s="95"/>
      <c r="F181" s="155"/>
      <c r="G181" s="155">
        <f>SUM(G178:G180)</f>
        <v>110</v>
      </c>
      <c r="H181" s="99">
        <f>G181+'11'!H181</f>
        <v>1015</v>
      </c>
      <c r="I181" s="155"/>
      <c r="J181" s="178">
        <f>H181/DAY(B2)</f>
        <v>84.583333333333329</v>
      </c>
    </row>
    <row r="182" spans="1:10" ht="32.25" customHeight="1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831" t="s">
        <v>214</v>
      </c>
      <c r="B183" s="832"/>
      <c r="C183" s="336"/>
      <c r="D183" s="228" t="s">
        <v>142</v>
      </c>
      <c r="E183" s="95">
        <f>'11'!F183</f>
        <v>14659</v>
      </c>
      <c r="F183" s="157">
        <v>14668</v>
      </c>
      <c r="G183" s="157">
        <f>F183-E183</f>
        <v>9</v>
      </c>
      <c r="H183" s="99">
        <f>G183+'11'!H183</f>
        <v>172</v>
      </c>
      <c r="I183" s="155"/>
      <c r="J183" s="178">
        <f>H183/DAY(B2)</f>
        <v>14.333333333333334</v>
      </c>
    </row>
    <row r="184" spans="1:10" ht="32.25" customHeight="1" x14ac:dyDescent="0.5">
      <c r="A184" s="831" t="s">
        <v>215</v>
      </c>
      <c r="B184" s="832"/>
      <c r="C184" s="336"/>
      <c r="D184" s="228" t="s">
        <v>142</v>
      </c>
      <c r="E184" s="95">
        <f>'11'!F184</f>
        <v>10129</v>
      </c>
      <c r="F184" s="157">
        <v>10139</v>
      </c>
      <c r="G184" s="157">
        <f t="shared" ref="G184:G185" si="16">F184-E184</f>
        <v>10</v>
      </c>
      <c r="H184" s="99">
        <f>G184+'11'!H184</f>
        <v>108</v>
      </c>
      <c r="I184" s="155"/>
      <c r="J184" s="178">
        <f>H184/DAY(B2)</f>
        <v>9</v>
      </c>
    </row>
    <row r="185" spans="1:10" ht="32.25" customHeight="1" x14ac:dyDescent="0.5">
      <c r="A185" s="831" t="s">
        <v>216</v>
      </c>
      <c r="B185" s="832"/>
      <c r="C185" s="336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867" t="s">
        <v>196</v>
      </c>
      <c r="B186" s="868"/>
      <c r="C186" s="528"/>
      <c r="D186" s="228" t="s">
        <v>142</v>
      </c>
      <c r="E186" s="95"/>
      <c r="F186" s="157"/>
      <c r="G186" s="157">
        <f>SUM(G183:G185)</f>
        <v>19</v>
      </c>
      <c r="H186" s="99">
        <f>G186+'11'!H186</f>
        <v>280</v>
      </c>
      <c r="I186" s="157"/>
      <c r="J186" s="178">
        <f>H186/DAY(B2)</f>
        <v>23.333333333333332</v>
      </c>
    </row>
    <row r="187" spans="1:10" ht="32.25" customHeight="1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506">
        <f>G62+G19</f>
        <v>198</v>
      </c>
      <c r="H187" s="99">
        <f>G187+'11'!H187</f>
        <v>2117</v>
      </c>
      <c r="I187" s="158"/>
      <c r="J187" s="179">
        <f>H187/DAY(B2)</f>
        <v>176.41666666666666</v>
      </c>
    </row>
    <row r="188" spans="1:10" ht="32.25" customHeight="1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175</v>
      </c>
      <c r="H188" s="99">
        <f>G188+'11'!H188</f>
        <v>2107</v>
      </c>
      <c r="I188" s="158"/>
      <c r="J188" s="179">
        <f>H188/DAY(B2)</f>
        <v>175.58333333333334</v>
      </c>
    </row>
    <row r="189" spans="1:10" ht="32.25" customHeight="1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110</v>
      </c>
      <c r="H189" s="99">
        <f>G189+'11'!H189</f>
        <v>1015</v>
      </c>
      <c r="I189" s="158"/>
      <c r="J189" s="179">
        <f>H189/DAY(B2)</f>
        <v>84.583333333333329</v>
      </c>
    </row>
    <row r="190" spans="1:10" ht="32.25" customHeight="1" x14ac:dyDescent="0.5">
      <c r="A190" s="802"/>
      <c r="B190" s="803"/>
      <c r="C190" s="527"/>
      <c r="D190" s="524"/>
      <c r="E190" s="521"/>
      <c r="F190" s="524"/>
      <c r="G190" s="524"/>
      <c r="H190" s="530"/>
      <c r="I190" s="524"/>
      <c r="J190" s="526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67" zoomScale="50" zoomScaleSheetLayoutView="50" workbookViewId="0">
      <selection activeCell="F89" sqref="F89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.75" customHeight="1" x14ac:dyDescent="0.5">
      <c r="A2" s="191" t="s">
        <v>303</v>
      </c>
      <c r="B2" s="262">
        <v>44543</v>
      </c>
      <c r="C2" s="350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50" t="s">
        <v>118</v>
      </c>
      <c r="D3" s="219">
        <v>27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50" t="s">
        <v>120</v>
      </c>
      <c r="D4" s="218">
        <v>0.72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685260</v>
      </c>
      <c r="F7" s="95">
        <v>708525</v>
      </c>
      <c r="G7" s="112">
        <f>F7-E7</f>
        <v>23265</v>
      </c>
      <c r="H7" s="99">
        <f>G7+'12'!H7</f>
        <v>307683</v>
      </c>
      <c r="I7" s="113">
        <f>'1'!I7</f>
        <v>12000</v>
      </c>
      <c r="J7" s="175">
        <f>H7/DAY(B2)</f>
        <v>23667.923076923078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726641</v>
      </c>
      <c r="F8" s="95">
        <v>750325</v>
      </c>
      <c r="G8" s="115">
        <f>F8-E8</f>
        <v>23684</v>
      </c>
      <c r="H8" s="99">
        <f>G8+'12'!H8</f>
        <v>312030</v>
      </c>
      <c r="I8" s="116"/>
      <c r="J8" s="175">
        <f>H8/DAY(B2)</f>
        <v>24002.307692307691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1930744</v>
      </c>
      <c r="F9" s="659">
        <v>1949497</v>
      </c>
      <c r="G9" s="112">
        <f>F9-E9</f>
        <v>18753</v>
      </c>
      <c r="H9" s="99">
        <f>G9+'12'!H9</f>
        <v>230399.30000000005</v>
      </c>
      <c r="I9" s="124">
        <f>I7-J7</f>
        <v>-11667.923076923078</v>
      </c>
      <c r="J9" s="175">
        <f>H9/DAY(B2)</f>
        <v>17723.02307692308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5">
        <v>471050</v>
      </c>
      <c r="F10" s="355">
        <v>474919</v>
      </c>
      <c r="G10" s="112">
        <f t="shared" ref="G10:G12" si="0">F10-E10</f>
        <v>3869</v>
      </c>
      <c r="H10" s="99">
        <f>G10+'12'!H10</f>
        <v>68836.570000000007</v>
      </c>
      <c r="I10" s="282"/>
      <c r="J10" s="175">
        <f>H10/DAY(B2)</f>
        <v>5295.1207692307698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22622</v>
      </c>
      <c r="H13" s="99">
        <f>G13+'12'!H13</f>
        <v>277185</v>
      </c>
      <c r="I13" s="120">
        <f>G7-G13</f>
        <v>643</v>
      </c>
      <c r="J13" s="175">
        <f>H13/DAY(B2)</f>
        <v>21321.923076923078</v>
      </c>
      <c r="K13" s="79"/>
      <c r="L13" s="66"/>
      <c r="N13" s="87"/>
      <c r="O13" s="71"/>
    </row>
    <row r="14" spans="1:15" ht="27.75" customHeight="1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7" t="s">
        <v>138</v>
      </c>
      <c r="B15" s="205"/>
      <c r="C15" s="205"/>
      <c r="D15" s="151" t="s">
        <v>139</v>
      </c>
      <c r="E15" s="95">
        <f>'12'!F15</f>
        <v>1857215</v>
      </c>
      <c r="F15" s="123">
        <v>1858426</v>
      </c>
      <c r="G15" s="112">
        <f>(F15-E15)</f>
        <v>1211</v>
      </c>
      <c r="H15" s="99">
        <f>G15+'12'!H15</f>
        <v>15278</v>
      </c>
      <c r="I15" s="113">
        <f>'1'!I15</f>
        <v>800</v>
      </c>
      <c r="J15" s="175">
        <f>H15/DAY(B2)</f>
        <v>1175.2307692307693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-375.23076923076928</v>
      </c>
      <c r="J16" s="176"/>
      <c r="K16" s="79"/>
      <c r="L16" s="66"/>
      <c r="N16" s="87"/>
      <c r="O16" s="71"/>
    </row>
    <row r="17" spans="1:15" ht="27.75" customHeight="1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09" t="s">
        <v>141</v>
      </c>
      <c r="B18" s="810"/>
      <c r="C18" s="811"/>
      <c r="D18" s="151" t="s">
        <v>142</v>
      </c>
      <c r="E18" s="95">
        <f>'12'!F18</f>
        <v>24</v>
      </c>
      <c r="F18" s="122">
        <v>24</v>
      </c>
      <c r="G18" s="119">
        <f>F18*10</f>
        <v>240</v>
      </c>
      <c r="H18" s="99">
        <f>G18+'12'!H18</f>
        <v>2750</v>
      </c>
      <c r="I18" s="113">
        <f>'1'!I18</f>
        <v>65</v>
      </c>
      <c r="J18" s="175">
        <f>H18/DAY(B2)</f>
        <v>211.53846153846155</v>
      </c>
      <c r="K18" s="79"/>
      <c r="L18" s="66"/>
      <c r="N18" s="87"/>
      <c r="O18" s="71"/>
    </row>
    <row r="19" spans="1:15" ht="27.75" customHeight="1" x14ac:dyDescent="0.5">
      <c r="A19" s="809" t="s">
        <v>69</v>
      </c>
      <c r="B19" s="810"/>
      <c r="C19" s="811"/>
      <c r="D19" s="151" t="s">
        <v>142</v>
      </c>
      <c r="E19" s="95">
        <f>'12'!F19</f>
        <v>151225</v>
      </c>
      <c r="F19" s="122">
        <v>151279</v>
      </c>
      <c r="G19" s="112">
        <f t="shared" ref="G19" si="1">F19-E19</f>
        <v>54</v>
      </c>
      <c r="H19" s="99">
        <f>G19+'12'!H19</f>
        <v>695</v>
      </c>
      <c r="I19" s="337"/>
      <c r="J19" s="175">
        <f>H19/DAY(B2)</f>
        <v>53.46153846153846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G20+'12'!H20</f>
        <v>3445</v>
      </c>
      <c r="I20" s="338">
        <f>I18-J20</f>
        <v>-200</v>
      </c>
      <c r="J20" s="175">
        <f>H20/DAY(B2)</f>
        <v>265</v>
      </c>
      <c r="K20" s="79"/>
      <c r="L20" s="66"/>
      <c r="N20" s="87"/>
      <c r="O20" s="71"/>
    </row>
    <row r="21" spans="1:15" ht="27.75" customHeight="1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7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7" t="s">
        <v>147</v>
      </c>
      <c r="B23" s="205"/>
      <c r="C23" s="205"/>
      <c r="D23" s="151" t="s">
        <v>146</v>
      </c>
      <c r="E23" s="95">
        <f>'12'!F23</f>
        <v>2000</v>
      </c>
      <c r="F23" s="122">
        <v>2000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23684</v>
      </c>
      <c r="F27" s="136">
        <v>9</v>
      </c>
      <c r="G27" s="137">
        <f>E27*F27</f>
        <v>213156</v>
      </c>
      <c r="H27" s="99">
        <f>G27+'12'!H27</f>
        <v>2808270</v>
      </c>
      <c r="I27" s="138"/>
      <c r="J27" s="175">
        <f>H27/DAY(B2)</f>
        <v>216020.76923076922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1211</v>
      </c>
      <c r="F28" s="136">
        <v>52</v>
      </c>
      <c r="G28" s="137">
        <f>E28*F28</f>
        <v>62972</v>
      </c>
      <c r="H28" s="99">
        <f>G28+'12'!H28</f>
        <v>794456</v>
      </c>
      <c r="I28" s="140"/>
      <c r="J28" s="175">
        <f>H28/DAY(B2)</f>
        <v>61112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G30+'12'!H30</f>
        <v>101470</v>
      </c>
      <c r="I30" s="140"/>
      <c r="J30" s="175">
        <f>H30/DAY(B2)</f>
        <v>7805.3846153846152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G31+'12'!H31</f>
        <v>220000</v>
      </c>
      <c r="I31" s="140"/>
      <c r="J31" s="175">
        <f>H31/DAY(B2)</f>
        <v>16923.076923076922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303212</v>
      </c>
      <c r="H32" s="99">
        <f>G32+'12'!H32</f>
        <v>3924196</v>
      </c>
      <c r="I32" s="144"/>
      <c r="J32" s="175">
        <f>H32/DAY(B2)</f>
        <v>301861.23076923075</v>
      </c>
      <c r="K32" s="63"/>
      <c r="L32" s="89"/>
      <c r="N32" s="87"/>
      <c r="O32" s="71"/>
    </row>
    <row r="33" spans="1:15" ht="27.7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118861</v>
      </c>
      <c r="F35" s="145">
        <v>120865</v>
      </c>
      <c r="G35" s="112">
        <f t="shared" ref="G35:G46" si="3">F35-E35</f>
        <v>2004</v>
      </c>
      <c r="H35" s="99">
        <f>G35+'12'!H35</f>
        <v>27330.369999999995</v>
      </c>
      <c r="I35" s="95"/>
      <c r="J35" s="175">
        <f>H35/DAY(B2)</f>
        <v>2102.3361538461536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1947</v>
      </c>
      <c r="F36" s="145">
        <v>3152</v>
      </c>
      <c r="G36" s="112">
        <f t="shared" si="3"/>
        <v>1205</v>
      </c>
      <c r="H36" s="99">
        <f>G36+'12'!H36</f>
        <v>13418.300000000003</v>
      </c>
      <c r="I36" s="95"/>
      <c r="J36" s="175">
        <f>H36/DAY(B2)</f>
        <v>1032.1769230769232</v>
      </c>
      <c r="K36" s="79"/>
      <c r="L36" s="66"/>
      <c r="N36" s="87"/>
      <c r="O36" s="346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165381</v>
      </c>
      <c r="F37" s="145">
        <v>166812</v>
      </c>
      <c r="G37" s="112">
        <f t="shared" si="3"/>
        <v>1431</v>
      </c>
      <c r="H37" s="99">
        <f>G37+'12'!H37</f>
        <v>21305.260000000009</v>
      </c>
      <c r="I37" s="95"/>
      <c r="J37" s="175">
        <f>H37/DAY(B2)</f>
        <v>1638.8661538461545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195037</v>
      </c>
      <c r="F38" s="108">
        <v>197132</v>
      </c>
      <c r="G38" s="112">
        <f t="shared" si="3"/>
        <v>2095</v>
      </c>
      <c r="H38" s="99">
        <f>G38+'12'!H38</f>
        <v>26127.950000000012</v>
      </c>
      <c r="I38" s="95"/>
      <c r="J38" s="175">
        <f>H38/DAY(B2)</f>
        <v>2009.8423076923086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356708</v>
      </c>
      <c r="F39" s="145">
        <v>359809</v>
      </c>
      <c r="G39" s="112">
        <f t="shared" si="3"/>
        <v>3101</v>
      </c>
      <c r="H39" s="99">
        <f>G39+'12'!H39</f>
        <v>38145.710000000021</v>
      </c>
      <c r="I39" s="95"/>
      <c r="J39" s="175">
        <f>H39/DAY(B2)</f>
        <v>2934.2853846153862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116</v>
      </c>
      <c r="F40" s="145">
        <v>116</v>
      </c>
      <c r="G40" s="112">
        <f t="shared" si="3"/>
        <v>0</v>
      </c>
      <c r="H40" s="99">
        <f>G40+'12'!H40</f>
        <v>4.7800000000000011</v>
      </c>
      <c r="I40" s="95"/>
      <c r="J40" s="175">
        <f>H40/DAY(B2)</f>
        <v>0.36769230769230776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0</v>
      </c>
      <c r="F41" s="145">
        <v>0</v>
      </c>
      <c r="G41" s="112">
        <f t="shared" si="3"/>
        <v>0</v>
      </c>
      <c r="H41" s="99">
        <f>G41+'12'!H41</f>
        <v>9386.2900000000373</v>
      </c>
      <c r="I41" s="95"/>
      <c r="J41" s="175">
        <f>H41/DAY(B2)</f>
        <v>722.02230769231051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352828</v>
      </c>
      <c r="F42" s="145">
        <v>357660</v>
      </c>
      <c r="G42" s="112">
        <f t="shared" si="3"/>
        <v>4832</v>
      </c>
      <c r="H42" s="99">
        <f>G42+'12'!H42</f>
        <v>41606.010000000009</v>
      </c>
      <c r="I42" s="95"/>
      <c r="J42" s="175">
        <f>H42/DAY(B2)</f>
        <v>3200.4623076923085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2634</v>
      </c>
      <c r="F43" s="145">
        <v>5405</v>
      </c>
      <c r="G43" s="112">
        <f t="shared" si="3"/>
        <v>2771</v>
      </c>
      <c r="H43" s="99">
        <f>G43+'12'!H43</f>
        <v>35122.399999999907</v>
      </c>
      <c r="I43" s="95"/>
      <c r="J43" s="175">
        <f>H43/DAY(B2)</f>
        <v>2701.7230769230696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17439</v>
      </c>
      <c r="H47" s="99">
        <f>G47+'12'!H47</f>
        <v>212447.07</v>
      </c>
      <c r="I47" s="95"/>
      <c r="J47" s="175">
        <f>H47/DAY(B2)</f>
        <v>16342.082307692308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241445</v>
      </c>
      <c r="F49" s="145">
        <v>243208</v>
      </c>
      <c r="G49" s="112">
        <f t="shared" ref="G49:G58" si="4">F49-E49</f>
        <v>1763</v>
      </c>
      <c r="H49" s="99">
        <f>G49+'12'!H49</f>
        <v>22694.670000000013</v>
      </c>
      <c r="I49" s="95"/>
      <c r="J49" s="175">
        <f>H49/DAY(B2)</f>
        <v>1745.7438461538472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1046</v>
      </c>
      <c r="F50" s="145">
        <v>2747</v>
      </c>
      <c r="G50" s="112">
        <f t="shared" si="4"/>
        <v>1701</v>
      </c>
      <c r="H50" s="99">
        <f>G50+'12'!H50</f>
        <v>18598.810000000056</v>
      </c>
      <c r="I50" s="95"/>
      <c r="J50" s="175">
        <f>H50/DAY(B2)</f>
        <v>1430.6776923076966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3099</v>
      </c>
      <c r="F54" s="145">
        <v>3104</v>
      </c>
      <c r="G54" s="112">
        <f t="shared" si="4"/>
        <v>5</v>
      </c>
      <c r="H54" s="99">
        <f>G54+'12'!H54</f>
        <v>72.7199999999998</v>
      </c>
      <c r="I54" s="95"/>
      <c r="J54" s="175">
        <f>H54/DAY(B2)</f>
        <v>5.5938461538461386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0</v>
      </c>
      <c r="F55" s="145">
        <v>0</v>
      </c>
      <c r="G55" s="112">
        <f t="shared" si="4"/>
        <v>0</v>
      </c>
      <c r="H55" s="99">
        <f>G55+'12'!H55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3097</v>
      </c>
      <c r="F56" s="145">
        <v>3337</v>
      </c>
      <c r="G56" s="112">
        <f t="shared" si="4"/>
        <v>240</v>
      </c>
      <c r="H56" s="99">
        <f>G56+'12'!H56</f>
        <v>24887.049999999988</v>
      </c>
      <c r="I56" s="95"/>
      <c r="J56" s="175">
        <f>H56/DAY(B2)</f>
        <v>1914.3884615384607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88111</v>
      </c>
      <c r="F58" s="145">
        <v>88341</v>
      </c>
      <c r="G58" s="112">
        <f t="shared" si="4"/>
        <v>230</v>
      </c>
      <c r="H58" s="99">
        <f>G58+'12'!H58</f>
        <v>3016.1499999999942</v>
      </c>
      <c r="I58" s="95"/>
      <c r="J58" s="175">
        <f>H58/DAY(B2)</f>
        <v>232.01153846153801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3939</v>
      </c>
      <c r="H59" s="99">
        <f>G59+'12'!H59</f>
        <v>69269.400000000052</v>
      </c>
      <c r="I59" s="95">
        <f>G7-G60</f>
        <v>1887</v>
      </c>
      <c r="J59" s="175">
        <f>H59/DAY(B2)</f>
        <v>5328.4153846153886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21378</v>
      </c>
      <c r="H60" s="99">
        <f>G60+'12'!H60</f>
        <v>281716.47000000009</v>
      </c>
      <c r="I60" s="95">
        <f>G13-G60</f>
        <v>1244</v>
      </c>
      <c r="J60" s="175">
        <f>H60/DAY(B2)</f>
        <v>21670.497692307697</v>
      </c>
      <c r="K60" s="79"/>
      <c r="L60" s="66"/>
      <c r="N60" s="87"/>
      <c r="O60" s="71"/>
    </row>
    <row r="61" spans="1:15" s="68" customFormat="1" ht="27.75" customHeight="1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customHeight="1" x14ac:dyDescent="0.5">
      <c r="A62" s="809" t="s">
        <v>198</v>
      </c>
      <c r="B62" s="810"/>
      <c r="C62" s="811"/>
      <c r="D62" s="151" t="s">
        <v>142</v>
      </c>
      <c r="E62" s="95">
        <f>'12'!F62</f>
        <v>264941</v>
      </c>
      <c r="F62" s="122">
        <v>265087</v>
      </c>
      <c r="G62" s="112">
        <f t="shared" ref="G62:G63" si="5">F62-E62</f>
        <v>146</v>
      </c>
      <c r="H62" s="99">
        <f>G62+'12'!H62</f>
        <v>1622</v>
      </c>
      <c r="I62" s="118"/>
      <c r="J62" s="175">
        <f>H62/DAY(B2)</f>
        <v>124.76923076923077</v>
      </c>
      <c r="K62" s="80"/>
      <c r="L62" s="66"/>
      <c r="N62" s="87"/>
      <c r="O62" s="71"/>
    </row>
    <row r="63" spans="1:15" ht="27.75" customHeight="1" x14ac:dyDescent="0.5">
      <c r="A63" s="809" t="s">
        <v>199</v>
      </c>
      <c r="B63" s="810"/>
      <c r="C63" s="811"/>
      <c r="D63" s="151" t="s">
        <v>142</v>
      </c>
      <c r="E63" s="95">
        <f>'12'!F63</f>
        <v>210687</v>
      </c>
      <c r="F63" s="122">
        <v>210812</v>
      </c>
      <c r="G63" s="112">
        <f t="shared" si="5"/>
        <v>125</v>
      </c>
      <c r="H63" s="99">
        <f>G63+'12'!H63</f>
        <v>1437</v>
      </c>
      <c r="I63" s="118"/>
      <c r="J63" s="175">
        <f>H63/DAY(B2)</f>
        <v>110.53846153846153</v>
      </c>
      <c r="K63" s="69"/>
      <c r="L63" s="66"/>
      <c r="N63" s="87"/>
      <c r="O63" s="71"/>
    </row>
    <row r="64" spans="1:15" ht="27.75" customHeight="1" x14ac:dyDescent="0.5">
      <c r="A64" s="806" t="s">
        <v>200</v>
      </c>
      <c r="B64" s="807"/>
      <c r="C64" s="808"/>
      <c r="D64" s="151"/>
      <c r="E64" s="95">
        <f>'12'!F64</f>
        <v>0</v>
      </c>
      <c r="F64" s="122"/>
      <c r="G64" s="112">
        <f>G62+G63</f>
        <v>271</v>
      </c>
      <c r="H64" s="99">
        <f>G64+'12'!H64</f>
        <v>3059</v>
      </c>
      <c r="I64" s="118"/>
      <c r="J64" s="175">
        <f>H64/DAY(B2)</f>
        <v>235.30769230769232</v>
      </c>
      <c r="K64" s="69"/>
      <c r="L64" s="66"/>
      <c r="N64" s="87"/>
      <c r="O64" s="71"/>
    </row>
    <row r="65" spans="1:15" ht="27.75" customHeight="1" x14ac:dyDescent="0.5">
      <c r="A65" s="809" t="s">
        <v>201</v>
      </c>
      <c r="B65" s="810"/>
      <c r="C65" s="811"/>
      <c r="D65" s="151" t="s">
        <v>142</v>
      </c>
      <c r="E65" s="95">
        <f>'12'!F65</f>
        <v>430600</v>
      </c>
      <c r="F65" s="122">
        <v>430752</v>
      </c>
      <c r="G65" s="112">
        <f t="shared" ref="G65:G70" si="6">F65-E65</f>
        <v>152</v>
      </c>
      <c r="H65" s="99">
        <f>G65+'12'!H65</f>
        <v>1389</v>
      </c>
      <c r="I65" s="118"/>
      <c r="J65" s="175">
        <f>H65/DAY(B2)</f>
        <v>106.84615384615384</v>
      </c>
      <c r="K65" s="69"/>
      <c r="L65" s="66"/>
      <c r="N65" s="87"/>
      <c r="O65" s="71"/>
    </row>
    <row r="66" spans="1:15" ht="27.75" customHeight="1" x14ac:dyDescent="0.5">
      <c r="A66" s="347" t="s">
        <v>202</v>
      </c>
      <c r="B66" s="348"/>
      <c r="C66" s="348"/>
      <c r="D66" s="151" t="s">
        <v>142</v>
      </c>
      <c r="E66" s="95">
        <f>'12'!F66</f>
        <v>106841</v>
      </c>
      <c r="F66" s="122">
        <v>106860</v>
      </c>
      <c r="G66" s="112">
        <f t="shared" si="6"/>
        <v>19</v>
      </c>
      <c r="H66" s="99">
        <f>G66+'12'!H66</f>
        <v>261</v>
      </c>
      <c r="I66" s="118"/>
      <c r="J66" s="175">
        <f>H66/DAY(B2)</f>
        <v>20.076923076923077</v>
      </c>
      <c r="K66" s="78"/>
      <c r="L66" s="66"/>
      <c r="N66" s="87"/>
      <c r="O66" s="71"/>
    </row>
    <row r="67" spans="1:15" ht="27.75" customHeight="1" x14ac:dyDescent="0.5">
      <c r="A67" s="347" t="s">
        <v>203</v>
      </c>
      <c r="B67" s="348"/>
      <c r="C67" s="348"/>
      <c r="D67" s="151" t="s">
        <v>142</v>
      </c>
      <c r="E67" s="95">
        <f>'12'!F67</f>
        <v>103372</v>
      </c>
      <c r="F67" s="122">
        <v>103402</v>
      </c>
      <c r="G67" s="112">
        <f t="shared" si="6"/>
        <v>30</v>
      </c>
      <c r="H67" s="99">
        <f>G67+'12'!H67</f>
        <v>391</v>
      </c>
      <c r="I67" s="118"/>
      <c r="J67" s="175">
        <f>H67/DAY(B2)</f>
        <v>30.076923076923077</v>
      </c>
      <c r="K67" s="81"/>
      <c r="L67" s="66"/>
      <c r="N67" s="87"/>
      <c r="O67" s="71"/>
    </row>
    <row r="68" spans="1:15" ht="27.75" customHeight="1" x14ac:dyDescent="0.5">
      <c r="A68" s="347" t="s">
        <v>204</v>
      </c>
      <c r="B68" s="348"/>
      <c r="C68" s="348"/>
      <c r="D68" s="151" t="s">
        <v>142</v>
      </c>
      <c r="E68" s="95">
        <f>'12'!F68</f>
        <v>155922</v>
      </c>
      <c r="F68" s="122">
        <v>155968</v>
      </c>
      <c r="G68" s="112">
        <f t="shared" si="6"/>
        <v>46</v>
      </c>
      <c r="H68" s="99">
        <f>G68+'12'!H68</f>
        <v>528</v>
      </c>
      <c r="I68" s="118"/>
      <c r="J68" s="175">
        <f>H68/DAY(B2)</f>
        <v>40.615384615384613</v>
      </c>
      <c r="K68" s="69"/>
      <c r="L68" s="66"/>
      <c r="N68" s="87"/>
      <c r="O68" s="71"/>
    </row>
    <row r="69" spans="1:15" ht="27.75" customHeight="1" x14ac:dyDescent="0.5">
      <c r="A69" s="347" t="s">
        <v>205</v>
      </c>
      <c r="B69" s="348"/>
      <c r="C69" s="348"/>
      <c r="D69" s="151" t="s">
        <v>142</v>
      </c>
      <c r="E69" s="95">
        <f>'12'!F69</f>
        <v>9984</v>
      </c>
      <c r="F69" s="122">
        <v>10000</v>
      </c>
      <c r="G69" s="112">
        <f t="shared" si="6"/>
        <v>16</v>
      </c>
      <c r="H69" s="99">
        <f>G69+'12'!H69</f>
        <v>157</v>
      </c>
      <c r="I69" s="118"/>
      <c r="J69" s="175">
        <f>H69/DAY(B2)</f>
        <v>12.076923076923077</v>
      </c>
      <c r="K69" s="69"/>
      <c r="L69" s="66"/>
      <c r="N69" s="87"/>
      <c r="O69" s="71"/>
    </row>
    <row r="70" spans="1:15" ht="27.75" customHeight="1" x14ac:dyDescent="0.5">
      <c r="A70" s="347" t="s">
        <v>206</v>
      </c>
      <c r="B70" s="348"/>
      <c r="C70" s="348"/>
      <c r="D70" s="151" t="s">
        <v>142</v>
      </c>
      <c r="E70" s="95">
        <f>'12'!F70</f>
        <v>7668</v>
      </c>
      <c r="F70" s="122">
        <v>7682</v>
      </c>
      <c r="G70" s="112">
        <f t="shared" si="6"/>
        <v>14</v>
      </c>
      <c r="H70" s="99">
        <f>G70+'12'!H70</f>
        <v>140</v>
      </c>
      <c r="I70" s="118"/>
      <c r="J70" s="175">
        <f>H70/DAY(B2)</f>
        <v>10.76923076923077</v>
      </c>
      <c r="K70" s="69"/>
      <c r="L70" s="66"/>
      <c r="N70" s="87"/>
      <c r="O70" s="71"/>
    </row>
    <row r="71" spans="1:15" ht="27.75" customHeight="1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277</v>
      </c>
      <c r="H71" s="99">
        <f>G71+'12'!H71</f>
        <v>2866</v>
      </c>
      <c r="I71" s="154"/>
      <c r="J71" s="175">
        <f>H71/DAY(B2)</f>
        <v>220.46153846153845</v>
      </c>
      <c r="K71" s="69"/>
      <c r="L71" s="66"/>
      <c r="N71" s="87"/>
      <c r="O71" s="71"/>
    </row>
    <row r="72" spans="1:15" s="88" customFormat="1" ht="27.75" customHeight="1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customHeight="1" x14ac:dyDescent="0.5">
      <c r="A74" s="809" t="s">
        <v>220</v>
      </c>
      <c r="B74" s="810"/>
      <c r="C74" s="811"/>
      <c r="D74" s="151" t="s">
        <v>139</v>
      </c>
      <c r="E74" s="95">
        <f>'12'!F74</f>
        <v>886017</v>
      </c>
      <c r="F74" s="117">
        <v>886346</v>
      </c>
      <c r="G74" s="112">
        <f t="shared" ref="G74:G78" si="7">F74-E74</f>
        <v>329</v>
      </c>
      <c r="H74" s="99">
        <f>G74+'12'!H74</f>
        <v>4092.9510000000009</v>
      </c>
      <c r="I74" s="154"/>
      <c r="J74" s="175">
        <f>H74/DAY(B2)</f>
        <v>314.84238461538467</v>
      </c>
      <c r="K74" s="69"/>
      <c r="L74" s="66"/>
      <c r="N74" s="87"/>
      <c r="O74" s="71"/>
    </row>
    <row r="75" spans="1:15" ht="27.75" customHeight="1" x14ac:dyDescent="0.5">
      <c r="A75" s="809" t="s">
        <v>221</v>
      </c>
      <c r="B75" s="810"/>
      <c r="C75" s="811"/>
      <c r="D75" s="151" t="s">
        <v>139</v>
      </c>
      <c r="E75" s="95">
        <f>'12'!F75</f>
        <v>73830.69</v>
      </c>
      <c r="F75" s="123">
        <v>73830.69</v>
      </c>
      <c r="G75" s="112">
        <f t="shared" si="7"/>
        <v>0</v>
      </c>
      <c r="H75" s="99">
        <f>G75+'12'!H75</f>
        <v>243.88999999999942</v>
      </c>
      <c r="I75" s="154"/>
      <c r="J75" s="175">
        <f>H75/DAY(B2)</f>
        <v>18.760769230769185</v>
      </c>
      <c r="K75" s="69"/>
      <c r="L75" s="66"/>
      <c r="N75" s="87"/>
      <c r="O75" s="71"/>
    </row>
    <row r="76" spans="1:15" ht="27.75" customHeight="1" x14ac:dyDescent="0.5">
      <c r="A76" s="850" t="s">
        <v>222</v>
      </c>
      <c r="B76" s="836"/>
      <c r="C76" s="837"/>
      <c r="D76" s="151" t="s">
        <v>139</v>
      </c>
      <c r="E76" s="95">
        <f>'12'!F76</f>
        <v>164963</v>
      </c>
      <c r="F76" s="123">
        <v>165102</v>
      </c>
      <c r="G76" s="112">
        <f t="shared" si="7"/>
        <v>139</v>
      </c>
      <c r="H76" s="99">
        <f>G76+'12'!H76</f>
        <v>1718</v>
      </c>
      <c r="I76" s="154"/>
      <c r="J76" s="175">
        <f>H76/DAY(B2)</f>
        <v>132.15384615384616</v>
      </c>
      <c r="K76" s="69"/>
      <c r="L76" s="66"/>
      <c r="N76" s="87"/>
      <c r="O76" s="71"/>
    </row>
    <row r="77" spans="1:15" ht="27.75" customHeight="1" x14ac:dyDescent="0.5">
      <c r="A77" s="850" t="s">
        <v>223</v>
      </c>
      <c r="B77" s="836"/>
      <c r="C77" s="837"/>
      <c r="D77" s="151" t="s">
        <v>139</v>
      </c>
      <c r="E77" s="95">
        <f>'12'!F77</f>
        <v>39376</v>
      </c>
      <c r="F77" s="123">
        <v>39442</v>
      </c>
      <c r="G77" s="112">
        <f t="shared" si="7"/>
        <v>66</v>
      </c>
      <c r="H77" s="99">
        <f>G77+'12'!H77</f>
        <v>632</v>
      </c>
      <c r="I77" s="154"/>
      <c r="J77" s="175">
        <f>H77/DAY(B2)</f>
        <v>48.615384615384613</v>
      </c>
      <c r="K77" s="69"/>
      <c r="L77" s="66"/>
      <c r="N77" s="87"/>
      <c r="O77" s="71"/>
    </row>
    <row r="78" spans="1:15" ht="27.75" customHeight="1" x14ac:dyDescent="0.5">
      <c r="A78" s="850" t="s">
        <v>224</v>
      </c>
      <c r="B78" s="836"/>
      <c r="C78" s="837"/>
      <c r="D78" s="151" t="s">
        <v>139</v>
      </c>
      <c r="E78" s="95">
        <f>'12'!F78</f>
        <v>9452</v>
      </c>
      <c r="F78" s="123">
        <v>9452</v>
      </c>
      <c r="G78" s="112">
        <f t="shared" si="7"/>
        <v>0</v>
      </c>
      <c r="H78" s="99">
        <f>G78+'12'!H78</f>
        <v>40</v>
      </c>
      <c r="I78" s="118"/>
      <c r="J78" s="175">
        <f>H78/DAY(B2)</f>
        <v>3.0769230769230771</v>
      </c>
      <c r="K78" s="69"/>
      <c r="L78" s="66"/>
      <c r="N78" s="87"/>
      <c r="O78" s="71"/>
    </row>
    <row r="79" spans="1:15" s="57" customFormat="1" ht="27.75" customHeight="1" x14ac:dyDescent="0.5">
      <c r="A79" s="850" t="s">
        <v>225</v>
      </c>
      <c r="B79" s="836"/>
      <c r="C79" s="837"/>
      <c r="D79" s="151"/>
      <c r="E79" s="95">
        <f>'12'!F79</f>
        <v>0</v>
      </c>
      <c r="F79" s="117"/>
      <c r="G79" s="112">
        <f>G15-SUM(G74:G78)</f>
        <v>677</v>
      </c>
      <c r="H79" s="99">
        <f>G79+'12'!H79</f>
        <v>8551.1589999999997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1211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7" t="s">
        <v>227</v>
      </c>
      <c r="B82" s="348"/>
      <c r="C82" s="348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7" t="s">
        <v>229</v>
      </c>
      <c r="B83" s="348"/>
      <c r="C83" s="348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7" t="s">
        <v>230</v>
      </c>
      <c r="B84" s="348"/>
      <c r="C84" s="348"/>
      <c r="D84" s="151" t="s">
        <v>228</v>
      </c>
      <c r="E84" s="95">
        <f>'12'!F84</f>
        <v>41675.760000000002</v>
      </c>
      <c r="F84" s="164">
        <v>41675.760000000002</v>
      </c>
      <c r="G84" s="112">
        <f t="shared" si="8"/>
        <v>0</v>
      </c>
      <c r="H84" s="99">
        <f>G84+'12'!H84</f>
        <v>47.200000000004366</v>
      </c>
      <c r="I84" s="118"/>
      <c r="J84" s="175">
        <f>H84/DAY(B2)</f>
        <v>3.6307692307695665</v>
      </c>
      <c r="O84" s="71"/>
    </row>
    <row r="85" spans="1:15" ht="27.75" customHeight="1" x14ac:dyDescent="0.5">
      <c r="A85" s="347" t="s">
        <v>231</v>
      </c>
      <c r="B85" s="348"/>
      <c r="C85" s="348"/>
      <c r="D85" s="151" t="s">
        <v>228</v>
      </c>
      <c r="E85" s="95">
        <f>'12'!F85</f>
        <v>1693</v>
      </c>
      <c r="F85" s="164">
        <v>1717</v>
      </c>
      <c r="G85" s="112">
        <f t="shared" si="8"/>
        <v>24</v>
      </c>
      <c r="H85" s="99">
        <f>G85+'12'!H85</f>
        <v>213.44000000000005</v>
      </c>
      <c r="I85" s="118">
        <f>G82+G83+G84+G85</f>
        <v>24</v>
      </c>
      <c r="J85" s="175">
        <f>H85/DAY(B2)</f>
        <v>16.418461538461543</v>
      </c>
      <c r="O85" s="71"/>
    </row>
    <row r="86" spans="1:15" ht="27.75" customHeight="1" x14ac:dyDescent="0.5">
      <c r="A86" s="347" t="s">
        <v>232</v>
      </c>
      <c r="B86" s="348"/>
      <c r="C86" s="348"/>
      <c r="D86" s="151" t="s">
        <v>228</v>
      </c>
      <c r="E86" s="95">
        <f>'12'!F86</f>
        <v>42826.47</v>
      </c>
      <c r="F86" s="164">
        <v>42826.47</v>
      </c>
      <c r="G86" s="112">
        <f t="shared" si="8"/>
        <v>0</v>
      </c>
      <c r="H86" s="99">
        <f>G86+'12'!H86</f>
        <v>0.47000000000116415</v>
      </c>
      <c r="I86" s="118"/>
      <c r="J86" s="175">
        <f>H86/DAY(B2)</f>
        <v>3.6153846153935701E-2</v>
      </c>
      <c r="O86" s="71"/>
    </row>
    <row r="87" spans="1:15" ht="27.75" customHeight="1" x14ac:dyDescent="0.5">
      <c r="A87" s="347" t="s">
        <v>233</v>
      </c>
      <c r="B87" s="348"/>
      <c r="C87" s="348"/>
      <c r="D87" s="151" t="s">
        <v>228</v>
      </c>
      <c r="E87" s="95">
        <f>'12'!F87</f>
        <v>34552.449999999997</v>
      </c>
      <c r="F87" s="164">
        <v>34555.26</v>
      </c>
      <c r="G87" s="112">
        <f t="shared" si="8"/>
        <v>2.8100000000049477</v>
      </c>
      <c r="H87" s="99">
        <f>G87+'12'!H87</f>
        <v>134.86000000000058</v>
      </c>
      <c r="I87" s="118"/>
      <c r="J87" s="175">
        <f>H87/DAY(B2)</f>
        <v>10.373846153846198</v>
      </c>
      <c r="O87" s="71"/>
    </row>
    <row r="88" spans="1:15" ht="27.75" customHeight="1" x14ac:dyDescent="0.5">
      <c r="A88" s="347" t="s">
        <v>234</v>
      </c>
      <c r="B88" s="348"/>
      <c r="C88" s="348"/>
      <c r="D88" s="151" t="s">
        <v>228</v>
      </c>
      <c r="E88" s="95">
        <f>'12'!F88</f>
        <v>24005.53</v>
      </c>
      <c r="F88" s="164">
        <v>24005.53</v>
      </c>
      <c r="G88" s="112">
        <f t="shared" si="8"/>
        <v>0</v>
      </c>
      <c r="H88" s="99">
        <f>G88+'12'!H88</f>
        <v>53.039999999997235</v>
      </c>
      <c r="I88" s="118">
        <f>G86+G87+G88</f>
        <v>2.8100000000049477</v>
      </c>
      <c r="J88" s="175">
        <f>H88/DAY(B2)</f>
        <v>4.0799999999997869</v>
      </c>
      <c r="O88" s="71"/>
    </row>
    <row r="89" spans="1:15" ht="27.75" customHeight="1" x14ac:dyDescent="0.5">
      <c r="A89" s="347" t="s">
        <v>235</v>
      </c>
      <c r="B89" s="348"/>
      <c r="C89" s="348"/>
      <c r="D89" s="151" t="s">
        <v>228</v>
      </c>
      <c r="E89" s="95">
        <f>'12'!F89</f>
        <v>25506.639999999999</v>
      </c>
      <c r="F89" s="164">
        <v>25518.17</v>
      </c>
      <c r="G89" s="112">
        <f t="shared" si="8"/>
        <v>11.529999999998836</v>
      </c>
      <c r="H89" s="99">
        <f>G89+'12'!H89</f>
        <v>90.679999999996653</v>
      </c>
      <c r="I89" s="118"/>
      <c r="J89" s="175">
        <f>H89/DAY(B2)</f>
        <v>6.9753846153843577</v>
      </c>
      <c r="O89" s="71"/>
    </row>
    <row r="90" spans="1:15" ht="27.75" customHeight="1" x14ac:dyDescent="0.5">
      <c r="A90" s="347" t="s">
        <v>236</v>
      </c>
      <c r="B90" s="348"/>
      <c r="C90" s="348"/>
      <c r="D90" s="151" t="s">
        <v>228</v>
      </c>
      <c r="E90" s="95">
        <f>'12'!F90</f>
        <v>70914</v>
      </c>
      <c r="F90" s="164">
        <v>70921.03</v>
      </c>
      <c r="G90" s="112">
        <f t="shared" si="8"/>
        <v>7.0299999999988358</v>
      </c>
      <c r="H90" s="99">
        <f>G90+'12'!H90</f>
        <v>92.759999999994761</v>
      </c>
      <c r="I90" s="118">
        <f>G89+G90</f>
        <v>18.559999999997672</v>
      </c>
      <c r="J90" s="175">
        <f>H90/DAY(B2)</f>
        <v>7.1353846153842122</v>
      </c>
      <c r="O90" s="71"/>
    </row>
    <row r="91" spans="1:15" ht="27.75" customHeight="1" x14ac:dyDescent="0.5">
      <c r="A91" s="347" t="s">
        <v>237</v>
      </c>
      <c r="B91" s="348"/>
      <c r="C91" s="348"/>
      <c r="D91" s="151" t="s">
        <v>228</v>
      </c>
      <c r="E91" s="95">
        <f>'12'!F91</f>
        <v>3226.32</v>
      </c>
      <c r="F91" s="122">
        <v>3226.32</v>
      </c>
      <c r="G91" s="112">
        <f t="shared" si="8"/>
        <v>0</v>
      </c>
      <c r="H91" s="99">
        <f>G91+'12'!H91</f>
        <v>0.32000000000016371</v>
      </c>
      <c r="I91" s="165"/>
      <c r="J91" s="175">
        <f>H91/DAY(B2)</f>
        <v>2.4615384615397209E-2</v>
      </c>
      <c r="O91" s="71"/>
    </row>
    <row r="92" spans="1:15" ht="27.75" customHeight="1" x14ac:dyDescent="0.5">
      <c r="A92" s="347" t="s">
        <v>238</v>
      </c>
      <c r="B92" s="348"/>
      <c r="C92" s="348"/>
      <c r="D92" s="151" t="s">
        <v>228</v>
      </c>
      <c r="E92" s="95">
        <f>'12'!F92</f>
        <v>5227.75</v>
      </c>
      <c r="F92" s="122">
        <v>5239.28</v>
      </c>
      <c r="G92" s="112">
        <f t="shared" si="8"/>
        <v>11.529999999999745</v>
      </c>
      <c r="H92" s="99">
        <f>G92+'12'!H92</f>
        <v>143.38000000000011</v>
      </c>
      <c r="I92" s="165"/>
      <c r="J92" s="175">
        <f>H92/DAY(B2)</f>
        <v>11.029230769230777</v>
      </c>
      <c r="O92" s="71"/>
    </row>
    <row r="93" spans="1:15" ht="27.75" customHeight="1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6538</v>
      </c>
      <c r="H94" s="99">
        <f>G94+'12'!H94</f>
        <v>85147.439999999915</v>
      </c>
      <c r="I94" s="118"/>
      <c r="J94" s="175">
        <f>H94/DAY(B2)</f>
        <v>6549.80307692307</v>
      </c>
      <c r="K94" s="69"/>
      <c r="L94" s="66"/>
      <c r="O94" s="71"/>
    </row>
    <row r="95" spans="1:15" ht="27.75" customHeight="1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0.28102299591661295</v>
      </c>
      <c r="H95" s="99">
        <f>G95+'12'!H95</f>
        <v>3.5992676605797689</v>
      </c>
      <c r="I95" s="167"/>
      <c r="J95" s="175">
        <f>H95/DAY(B2)</f>
        <v>0.27686674312152071</v>
      </c>
      <c r="K95" s="69"/>
      <c r="L95" s="66"/>
      <c r="O95" s="71"/>
    </row>
    <row r="96" spans="1:15" ht="27.75" customHeight="1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5072</v>
      </c>
      <c r="H96" s="99">
        <f>G96+'12'!H96</f>
        <v>75879.350000000035</v>
      </c>
      <c r="I96" s="118"/>
      <c r="J96" s="175">
        <f>H96/DAY(B2)</f>
        <v>5836.8730769230797</v>
      </c>
      <c r="K96" s="69"/>
      <c r="L96" s="66"/>
      <c r="O96" s="71"/>
    </row>
    <row r="97" spans="1:15" ht="27.75" customHeight="1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0.21800988609499247</v>
      </c>
      <c r="H97" s="99">
        <f>G97+'12'!H97</f>
        <v>3.2003555482607173</v>
      </c>
      <c r="I97" s="167"/>
      <c r="J97" s="175">
        <f>H97/DAY(B2)</f>
        <v>0.24618119602005517</v>
      </c>
      <c r="K97" s="69"/>
      <c r="L97" s="66"/>
      <c r="O97" s="71"/>
    </row>
    <row r="98" spans="1:15" ht="27.75" customHeight="1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3101</v>
      </c>
      <c r="H98" s="99">
        <f>G98+'12'!H98</f>
        <v>38145.710000000021</v>
      </c>
      <c r="I98" s="168"/>
      <c r="J98" s="175">
        <f>H98/DAY(B2)</f>
        <v>2934.2853846153862</v>
      </c>
      <c r="K98" s="69"/>
      <c r="L98" s="66"/>
      <c r="O98" s="71"/>
    </row>
    <row r="99" spans="1:15" ht="27.75" customHeight="1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0.13329035031162692</v>
      </c>
      <c r="H99" s="99">
        <f>G99+'12'!H99</f>
        <v>1.6136994166387508</v>
      </c>
      <c r="I99" s="168"/>
      <c r="J99" s="175">
        <f>H99/DAY(B2)</f>
        <v>0.12413072435682698</v>
      </c>
      <c r="O99" s="71"/>
    </row>
    <row r="100" spans="1:15" ht="27.75" customHeight="1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2095</v>
      </c>
      <c r="H100" s="99">
        <f>G100+'12'!H100</f>
        <v>26127.950000000012</v>
      </c>
      <c r="I100" s="118"/>
      <c r="J100" s="175">
        <f>H100/DAY(B2)</f>
        <v>2009.8423076923086</v>
      </c>
      <c r="K100" s="70"/>
      <c r="O100" s="71"/>
    </row>
    <row r="101" spans="1:15" ht="27.75" customHeight="1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9.0049430474962389E-2</v>
      </c>
      <c r="H101" s="99">
        <f>G101+'12'!H101</f>
        <v>1.1049697728094672</v>
      </c>
      <c r="I101" s="168"/>
      <c r="J101" s="175">
        <f>H101/DAY(B2)</f>
        <v>8.4997674831497477E-2</v>
      </c>
      <c r="O101" s="71"/>
    </row>
    <row r="102" spans="1:15" ht="27.75" customHeight="1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2906</v>
      </c>
      <c r="H102" s="99">
        <f>G102+'12'!H102</f>
        <v>32017.110000000059</v>
      </c>
      <c r="I102" s="168"/>
      <c r="J102" s="175">
        <f>H102/DAY(B2)</f>
        <v>2462.85461538462</v>
      </c>
      <c r="O102" s="71"/>
    </row>
    <row r="103" spans="1:15" ht="27.75" customHeight="1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0.12490866107887384</v>
      </c>
      <c r="H103" s="99">
        <f>G103+'12'!H103</f>
        <v>1.3535054805079167</v>
      </c>
      <c r="I103" s="118"/>
      <c r="J103" s="175">
        <f>H103/DAY(B2)</f>
        <v>0.10411580619291667</v>
      </c>
      <c r="O103" s="71"/>
    </row>
    <row r="104" spans="1:15" ht="27.75" customHeight="1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1431</v>
      </c>
      <c r="H104" s="99">
        <f>G104+'12'!H104</f>
        <v>21305.260000000009</v>
      </c>
      <c r="I104" s="118"/>
      <c r="J104" s="175">
        <f>H104/DAY(B2)</f>
        <v>1638.8661538461545</v>
      </c>
      <c r="O104" s="71"/>
    </row>
    <row r="105" spans="1:15" ht="27.75" customHeight="1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6.1508704061895549E-2</v>
      </c>
      <c r="H105" s="99">
        <f>G105+'12'!H105</f>
        <v>0.90177927060486829</v>
      </c>
      <c r="I105" s="187"/>
      <c r="J105" s="188">
        <f>H105/DAY(B2)</f>
        <v>6.9367636200374477E-2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7.75" customHeight="1" x14ac:dyDescent="0.5">
      <c r="A109" s="845"/>
      <c r="B109" s="845"/>
    </row>
    <row r="110" spans="1:15" ht="27.75" customHeight="1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customHeight="1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customHeight="1" x14ac:dyDescent="0.5">
      <c r="A112" s="839" t="s">
        <v>252</v>
      </c>
      <c r="B112" s="840"/>
      <c r="C112" s="841"/>
      <c r="D112" s="146" t="s">
        <v>183</v>
      </c>
      <c r="E112" s="95">
        <f>'12'!F112</f>
        <v>54324</v>
      </c>
      <c r="F112" s="237">
        <v>54399</v>
      </c>
      <c r="G112" s="112">
        <f t="shared" ref="G112:G123" si="9">F112-E112</f>
        <v>75</v>
      </c>
      <c r="H112" s="99">
        <f>G112+'12'!H112</f>
        <v>1046.989999999998</v>
      </c>
      <c r="I112" s="165"/>
      <c r="J112" s="330">
        <f>H112/DAY(B2)</f>
        <v>80.537692307692154</v>
      </c>
    </row>
    <row r="113" spans="1:18" ht="27.75" customHeight="1" x14ac:dyDescent="0.5">
      <c r="A113" s="839" t="s">
        <v>253</v>
      </c>
      <c r="B113" s="840"/>
      <c r="C113" s="841"/>
      <c r="D113" s="146" t="s">
        <v>183</v>
      </c>
      <c r="E113" s="95">
        <f>'12'!F113</f>
        <v>23419</v>
      </c>
      <c r="F113" s="237">
        <v>23845</v>
      </c>
      <c r="G113" s="112">
        <f t="shared" si="9"/>
        <v>426</v>
      </c>
      <c r="H113" s="99">
        <f>G113+'12'!H113</f>
        <v>5888.4700000000012</v>
      </c>
      <c r="I113" s="165"/>
      <c r="J113" s="330">
        <f>H113/DAY(B2)</f>
        <v>452.95923076923089</v>
      </c>
    </row>
    <row r="114" spans="1:18" ht="27.75" customHeight="1" x14ac:dyDescent="0.5">
      <c r="A114" s="839" t="s">
        <v>254</v>
      </c>
      <c r="B114" s="840"/>
      <c r="C114" s="841"/>
      <c r="D114" s="146" t="s">
        <v>183</v>
      </c>
      <c r="E114" s="95">
        <f>'12'!F114</f>
        <v>18384</v>
      </c>
      <c r="F114" s="237">
        <v>18879</v>
      </c>
      <c r="G114" s="112">
        <f t="shared" si="9"/>
        <v>495</v>
      </c>
      <c r="H114" s="99">
        <f>G114+'12'!H114</f>
        <v>4951.8999999999996</v>
      </c>
      <c r="I114" s="165"/>
      <c r="J114" s="330">
        <f>H114/DAY(B2)</f>
        <v>380.9153846153846</v>
      </c>
    </row>
    <row r="115" spans="1:18" ht="27.75" customHeight="1" x14ac:dyDescent="0.5">
      <c r="A115" s="839" t="s">
        <v>255</v>
      </c>
      <c r="B115" s="840"/>
      <c r="C115" s="841"/>
      <c r="D115" s="146" t="s">
        <v>183</v>
      </c>
      <c r="E115" s="95">
        <f>'12'!F115</f>
        <v>8565</v>
      </c>
      <c r="F115" s="237">
        <v>8571</v>
      </c>
      <c r="G115" s="112">
        <f t="shared" si="9"/>
        <v>6</v>
      </c>
      <c r="H115" s="99">
        <f>G115+'12'!H115</f>
        <v>147.31999999999971</v>
      </c>
      <c r="I115" s="165"/>
      <c r="J115" s="330">
        <f>H115/DAY(B2)</f>
        <v>11.332307692307669</v>
      </c>
    </row>
    <row r="116" spans="1:18" ht="27.75" customHeight="1" x14ac:dyDescent="0.5">
      <c r="A116" s="857" t="s">
        <v>96</v>
      </c>
      <c r="B116" s="858"/>
      <c r="C116" s="859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30">
        <f>H116/DAY(B2)</f>
        <v>0</v>
      </c>
      <c r="Q116" s="839"/>
      <c r="R116" s="841"/>
    </row>
    <row r="117" spans="1:18" ht="27.75" customHeight="1" x14ac:dyDescent="0.5">
      <c r="A117" s="857" t="s">
        <v>184</v>
      </c>
      <c r="B117" s="858"/>
      <c r="C117" s="859"/>
      <c r="D117" s="146" t="s">
        <v>183</v>
      </c>
      <c r="E117" s="95">
        <f>'12'!F117</f>
        <v>2185</v>
      </c>
      <c r="F117" s="237">
        <v>2211</v>
      </c>
      <c r="G117" s="112">
        <f t="shared" si="9"/>
        <v>26</v>
      </c>
      <c r="H117" s="99">
        <f>G117+'12'!H117</f>
        <v>269.92000000000007</v>
      </c>
      <c r="I117" s="165"/>
      <c r="J117" s="330">
        <f>H117/DAY(B2)</f>
        <v>20.76307692307693</v>
      </c>
      <c r="Q117" s="839"/>
      <c r="R117" s="841"/>
    </row>
    <row r="118" spans="1:18" ht="27.75" customHeight="1" x14ac:dyDescent="0.5">
      <c r="A118" s="834" t="s">
        <v>97</v>
      </c>
      <c r="B118" s="834"/>
      <c r="C118" s="834"/>
      <c r="D118" s="151" t="s">
        <v>183</v>
      </c>
      <c r="E118" s="95">
        <f>'12'!F118</f>
        <v>234210</v>
      </c>
      <c r="F118" s="237">
        <v>234618</v>
      </c>
      <c r="G118" s="112">
        <f t="shared" si="9"/>
        <v>408</v>
      </c>
      <c r="H118" s="99">
        <f>G118+'12'!H118</f>
        <v>4780.2699999999895</v>
      </c>
      <c r="I118" s="165"/>
      <c r="J118" s="330">
        <f>H118/DAY(B2)</f>
        <v>367.71307692307613</v>
      </c>
      <c r="Q118" s="839"/>
      <c r="R118" s="841"/>
    </row>
    <row r="119" spans="1:18" ht="27.75" customHeight="1" x14ac:dyDescent="0.5">
      <c r="A119" s="834" t="s">
        <v>98</v>
      </c>
      <c r="B119" s="834"/>
      <c r="C119" s="834"/>
      <c r="D119" s="151" t="s">
        <v>183</v>
      </c>
      <c r="E119" s="95">
        <f>'12'!F119</f>
        <v>236980</v>
      </c>
      <c r="F119" s="237">
        <v>237446</v>
      </c>
      <c r="G119" s="112">
        <f t="shared" si="9"/>
        <v>466</v>
      </c>
      <c r="H119" s="99">
        <f>G119+'12'!H119</f>
        <v>5719.4700000000012</v>
      </c>
      <c r="I119" s="165"/>
      <c r="J119" s="330">
        <f>H119/DAY(B2)</f>
        <v>439.95923076923089</v>
      </c>
    </row>
    <row r="120" spans="1:18" ht="27.75" customHeight="1" x14ac:dyDescent="0.5">
      <c r="A120" s="834" t="s">
        <v>99</v>
      </c>
      <c r="B120" s="834"/>
      <c r="C120" s="834"/>
      <c r="D120" s="151" t="s">
        <v>183</v>
      </c>
      <c r="E120" s="95">
        <f>'12'!F120</f>
        <v>22258</v>
      </c>
      <c r="F120" s="237">
        <v>22680</v>
      </c>
      <c r="G120" s="112">
        <f t="shared" si="9"/>
        <v>422</v>
      </c>
      <c r="H120" s="99">
        <f>G120+'12'!H120</f>
        <v>5494.68</v>
      </c>
      <c r="I120" s="165"/>
      <c r="J120" s="330">
        <f>H120/DAY(B2)</f>
        <v>422.66769230769233</v>
      </c>
    </row>
    <row r="121" spans="1:18" ht="27.75" customHeight="1" x14ac:dyDescent="0.5">
      <c r="A121" s="834" t="s">
        <v>100</v>
      </c>
      <c r="B121" s="834"/>
      <c r="C121" s="834"/>
      <c r="D121" s="151" t="s">
        <v>183</v>
      </c>
      <c r="E121" s="95">
        <f>'12'!F121</f>
        <v>361834</v>
      </c>
      <c r="F121" s="237">
        <v>362622</v>
      </c>
      <c r="G121" s="112">
        <f t="shared" si="9"/>
        <v>788</v>
      </c>
      <c r="H121" s="99">
        <f>G121+'12'!H121</f>
        <v>9567.7700000000186</v>
      </c>
      <c r="I121" s="165"/>
      <c r="J121" s="330">
        <f>H121/DAY(B2)</f>
        <v>735.98230769230918</v>
      </c>
    </row>
    <row r="122" spans="1:18" ht="27.75" customHeight="1" x14ac:dyDescent="0.5">
      <c r="A122" s="834" t="s">
        <v>101</v>
      </c>
      <c r="B122" s="834"/>
      <c r="C122" s="834"/>
      <c r="D122" s="151" t="s">
        <v>183</v>
      </c>
      <c r="E122" s="95">
        <f>'12'!F122</f>
        <v>114827</v>
      </c>
      <c r="F122" s="237">
        <v>115150</v>
      </c>
      <c r="G122" s="112">
        <f t="shared" si="9"/>
        <v>323</v>
      </c>
      <c r="H122" s="99">
        <f>G122+'12'!H122</f>
        <v>4140.2100000000064</v>
      </c>
      <c r="I122" s="165"/>
      <c r="J122" s="330">
        <f>H122/DAY(B2)</f>
        <v>318.47769230769279</v>
      </c>
    </row>
    <row r="123" spans="1:18" ht="27.75" customHeight="1" x14ac:dyDescent="0.5">
      <c r="A123" s="834" t="s">
        <v>102</v>
      </c>
      <c r="B123" s="834"/>
      <c r="C123" s="834"/>
      <c r="D123" s="151" t="s">
        <v>183</v>
      </c>
      <c r="E123" s="95">
        <f>'12'!F123</f>
        <v>138210</v>
      </c>
      <c r="F123" s="237">
        <v>138568</v>
      </c>
      <c r="G123" s="112">
        <f t="shared" si="9"/>
        <v>358</v>
      </c>
      <c r="H123" s="99">
        <f>G123+'12'!H123</f>
        <v>4202</v>
      </c>
      <c r="I123" s="165"/>
      <c r="J123" s="330">
        <f>H123/DAY(B2)</f>
        <v>323.23076923076923</v>
      </c>
    </row>
    <row r="124" spans="1:18" ht="27.75" customHeight="1" x14ac:dyDescent="0.5">
      <c r="A124" s="864"/>
      <c r="B124" s="865"/>
      <c r="C124" s="866"/>
      <c r="D124" s="165"/>
      <c r="E124" s="165"/>
      <c r="F124" s="165"/>
      <c r="G124" s="329"/>
      <c r="H124" s="156"/>
      <c r="I124" s="165"/>
      <c r="J124" s="329"/>
    </row>
    <row r="125" spans="1:18" ht="27.75" customHeight="1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3793</v>
      </c>
      <c r="H125" s="156"/>
      <c r="I125" s="329">
        <f>G125-(G39+G53)</f>
        <v>692</v>
      </c>
      <c r="J125" s="329"/>
    </row>
    <row r="126" spans="1:18" ht="27.75" customHeight="1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customHeight="1" x14ac:dyDescent="0.5">
      <c r="A127" s="870"/>
      <c r="B127" s="870"/>
      <c r="C127" s="245"/>
      <c r="D127" s="307"/>
      <c r="E127" s="308"/>
      <c r="F127" s="308"/>
      <c r="G127" s="309"/>
      <c r="H127" s="99">
        <f>G127+'12'!H127</f>
        <v>0</v>
      </c>
      <c r="I127" s="165"/>
      <c r="J127" s="330">
        <f>H127/DAY(B2)</f>
        <v>0</v>
      </c>
    </row>
    <row r="128" spans="1:18" ht="27.75" customHeight="1" x14ac:dyDescent="0.5">
      <c r="A128" s="839" t="s">
        <v>318</v>
      </c>
      <c r="B128" s="840"/>
      <c r="C128" s="841"/>
      <c r="D128" s="151" t="s">
        <v>183</v>
      </c>
      <c r="E128" s="95">
        <f>'12'!F128</f>
        <v>31527</v>
      </c>
      <c r="F128" s="165">
        <v>31888</v>
      </c>
      <c r="G128" s="112">
        <f t="shared" ref="G128:G134" si="10">F128-E128</f>
        <v>361</v>
      </c>
      <c r="H128" s="99">
        <f>G128+'12'!H128</f>
        <v>4283.630000000001</v>
      </c>
      <c r="I128" s="165"/>
      <c r="J128" s="330">
        <f>H128/DAY(B2)</f>
        <v>329.5100000000001</v>
      </c>
    </row>
    <row r="129" spans="1:15" ht="27.75" customHeight="1" x14ac:dyDescent="0.5">
      <c r="A129" s="331" t="s">
        <v>319</v>
      </c>
      <c r="B129" s="332"/>
      <c r="C129" s="333"/>
      <c r="D129" s="151" t="s">
        <v>183</v>
      </c>
      <c r="E129" s="95">
        <f>'12'!F129</f>
        <v>15924</v>
      </c>
      <c r="F129" s="165">
        <v>16194</v>
      </c>
      <c r="G129" s="112">
        <f t="shared" si="10"/>
        <v>270</v>
      </c>
      <c r="H129" s="99">
        <f>G129+'12'!H129</f>
        <v>3446.41</v>
      </c>
      <c r="I129" s="165"/>
      <c r="J129" s="330">
        <f>H129/DAY(B2)</f>
        <v>265.10846153846154</v>
      </c>
      <c r="N129" s="240"/>
      <c r="O129" s="241"/>
    </row>
    <row r="130" spans="1:15" ht="27.75" customHeight="1" x14ac:dyDescent="0.5">
      <c r="A130" s="331" t="s">
        <v>320</v>
      </c>
      <c r="B130" s="332"/>
      <c r="C130" s="333"/>
      <c r="D130" s="151" t="s">
        <v>183</v>
      </c>
      <c r="E130" s="95">
        <f>'12'!F130</f>
        <v>5424</v>
      </c>
      <c r="F130" s="165">
        <v>5668</v>
      </c>
      <c r="G130" s="112">
        <f t="shared" si="10"/>
        <v>244</v>
      </c>
      <c r="H130" s="99">
        <f>G130+'12'!H130</f>
        <v>3610.89</v>
      </c>
      <c r="I130" s="165"/>
      <c r="J130" s="330">
        <f>H130/DAY(B2)</f>
        <v>277.7607692307692</v>
      </c>
      <c r="N130" s="240"/>
      <c r="O130" s="241"/>
    </row>
    <row r="131" spans="1:15" ht="27.75" customHeight="1" x14ac:dyDescent="0.5">
      <c r="A131" s="839" t="s">
        <v>321</v>
      </c>
      <c r="B131" s="840"/>
      <c r="C131" s="841"/>
      <c r="D131" s="151" t="s">
        <v>183</v>
      </c>
      <c r="E131" s="95">
        <f>'12'!F131</f>
        <v>11019</v>
      </c>
      <c r="F131" s="165">
        <v>11174</v>
      </c>
      <c r="G131" s="112">
        <f t="shared" si="10"/>
        <v>155</v>
      </c>
      <c r="H131" s="99">
        <f>G131+'12'!H131</f>
        <v>2004.6499999999996</v>
      </c>
      <c r="I131" s="165"/>
      <c r="J131" s="330">
        <f>H131/DAY(B2)</f>
        <v>154.20384615384611</v>
      </c>
      <c r="N131" s="240"/>
      <c r="O131" s="241"/>
    </row>
    <row r="132" spans="1:15" ht="27.75" customHeight="1" x14ac:dyDescent="0.5">
      <c r="A132" s="839" t="s">
        <v>322</v>
      </c>
      <c r="B132" s="840"/>
      <c r="C132" s="841"/>
      <c r="D132" s="151" t="s">
        <v>183</v>
      </c>
      <c r="E132" s="95">
        <f>'12'!F132</f>
        <v>31649</v>
      </c>
      <c r="F132" s="165">
        <v>32143</v>
      </c>
      <c r="G132" s="112">
        <f t="shared" si="10"/>
        <v>494</v>
      </c>
      <c r="H132" s="99">
        <f>G132+'12'!H132</f>
        <v>5962.7599999999984</v>
      </c>
      <c r="I132" s="165"/>
      <c r="J132" s="330">
        <f>H132/DAY(B2)</f>
        <v>458.67384615384606</v>
      </c>
    </row>
    <row r="133" spans="1:15" ht="27.75" customHeight="1" x14ac:dyDescent="0.5">
      <c r="A133" s="839" t="s">
        <v>363</v>
      </c>
      <c r="B133" s="840"/>
      <c r="C133" s="841"/>
      <c r="D133" s="151" t="s">
        <v>183</v>
      </c>
      <c r="E133" s="95">
        <f>'12'!F133</f>
        <v>73649</v>
      </c>
      <c r="F133" s="165">
        <v>74477</v>
      </c>
      <c r="G133" s="112">
        <f t="shared" si="10"/>
        <v>828</v>
      </c>
      <c r="H133" s="99">
        <f>G133+'12'!H133</f>
        <v>11002.580000000002</v>
      </c>
      <c r="I133" s="165"/>
      <c r="J133" s="330">
        <f>H133/DAY(B2)</f>
        <v>846.35230769230782</v>
      </c>
    </row>
    <row r="134" spans="1:15" ht="27.75" customHeight="1" x14ac:dyDescent="0.5">
      <c r="A134" s="839" t="s">
        <v>340</v>
      </c>
      <c r="B134" s="840"/>
      <c r="C134" s="841"/>
      <c r="D134" s="151" t="s">
        <v>183</v>
      </c>
      <c r="E134" s="95">
        <f>'12'!F134</f>
        <v>658749</v>
      </c>
      <c r="F134" s="165">
        <v>659428</v>
      </c>
      <c r="G134" s="112">
        <f t="shared" si="10"/>
        <v>679</v>
      </c>
      <c r="H134" s="99">
        <f>G134+'12'!H134</f>
        <v>8221</v>
      </c>
      <c r="I134" s="165"/>
      <c r="J134" s="330">
        <f>H134/DAY(B2)</f>
        <v>632.38461538461536</v>
      </c>
    </row>
    <row r="135" spans="1:15" ht="27.75" customHeight="1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3031</v>
      </c>
      <c r="H135" s="99">
        <f>G135+'12'!H135</f>
        <v>35583.919999999998</v>
      </c>
      <c r="I135" s="329">
        <f>G135-(G35+G49)</f>
        <v>-736</v>
      </c>
      <c r="J135" s="330">
        <f>H135/DAY(B2)</f>
        <v>2737.2246153846154</v>
      </c>
    </row>
    <row r="136" spans="1:15" ht="27.75" customHeight="1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customHeight="1" x14ac:dyDescent="0.5">
      <c r="A138" s="834" t="s">
        <v>185</v>
      </c>
      <c r="B138" s="834"/>
      <c r="C138" s="834"/>
      <c r="D138" s="151" t="s">
        <v>183</v>
      </c>
      <c r="E138" s="95">
        <f>'12'!F138</f>
        <v>862014</v>
      </c>
      <c r="F138" s="147">
        <v>862114</v>
      </c>
      <c r="G138" s="112">
        <f t="shared" ref="G138:G152" si="11">F138-E138</f>
        <v>100</v>
      </c>
      <c r="H138" s="99">
        <f>G138+'12'!H138</f>
        <v>852</v>
      </c>
      <c r="I138" s="118"/>
      <c r="J138" s="330">
        <f>H138/DAY(B2)</f>
        <v>65.538461538461533</v>
      </c>
    </row>
    <row r="139" spans="1:15" ht="27.75" customHeight="1" x14ac:dyDescent="0.5">
      <c r="A139" s="834" t="s">
        <v>186</v>
      </c>
      <c r="B139" s="834"/>
      <c r="C139" s="834"/>
      <c r="D139" s="151" t="s">
        <v>183</v>
      </c>
      <c r="E139" s="95">
        <f>'12'!F139</f>
        <v>886362</v>
      </c>
      <c r="F139" s="148">
        <v>886366</v>
      </c>
      <c r="G139" s="112">
        <f t="shared" si="11"/>
        <v>4</v>
      </c>
      <c r="H139" s="99">
        <f>G139+'12'!H139</f>
        <v>167</v>
      </c>
      <c r="I139" s="118"/>
      <c r="J139" s="330">
        <f>H139/DAY(B2)</f>
        <v>12.846153846153847</v>
      </c>
    </row>
    <row r="140" spans="1:15" ht="27.75" customHeight="1" x14ac:dyDescent="0.5">
      <c r="A140" s="834" t="s">
        <v>187</v>
      </c>
      <c r="B140" s="834"/>
      <c r="C140" s="834"/>
      <c r="D140" s="151" t="s">
        <v>183</v>
      </c>
      <c r="E140" s="95">
        <f>'12'!F140</f>
        <v>88863</v>
      </c>
      <c r="F140" s="149">
        <v>88864</v>
      </c>
      <c r="G140" s="112">
        <f t="shared" si="11"/>
        <v>1</v>
      </c>
      <c r="H140" s="99">
        <f>G140+'12'!H140</f>
        <v>15</v>
      </c>
      <c r="I140" s="118"/>
      <c r="J140" s="330">
        <f>H140/DAY(B2)</f>
        <v>1.1538461538461537</v>
      </c>
    </row>
    <row r="141" spans="1:15" ht="27.75" customHeight="1" x14ac:dyDescent="0.5">
      <c r="A141" s="838" t="s">
        <v>188</v>
      </c>
      <c r="B141" s="838"/>
      <c r="C141" s="838"/>
      <c r="D141" s="151" t="s">
        <v>183</v>
      </c>
      <c r="E141" s="95">
        <f>'12'!F141</f>
        <v>45504</v>
      </c>
      <c r="F141" s="149">
        <v>45712</v>
      </c>
      <c r="G141" s="112">
        <f t="shared" si="11"/>
        <v>208</v>
      </c>
      <c r="H141" s="99">
        <f>G141+'12'!H141</f>
        <v>2585.2699999999968</v>
      </c>
      <c r="I141" s="118"/>
      <c r="J141" s="330">
        <f>H141/DAY(B2)</f>
        <v>198.86692307692283</v>
      </c>
    </row>
    <row r="142" spans="1:15" ht="27.75" customHeight="1" x14ac:dyDescent="0.5">
      <c r="A142" s="838" t="s">
        <v>189</v>
      </c>
      <c r="B142" s="838"/>
      <c r="C142" s="838"/>
      <c r="D142" s="151" t="s">
        <v>183</v>
      </c>
      <c r="E142" s="95">
        <f>'12'!F142</f>
        <v>17671</v>
      </c>
      <c r="F142" s="148">
        <v>17689</v>
      </c>
      <c r="G142" s="112">
        <f t="shared" si="11"/>
        <v>18</v>
      </c>
      <c r="H142" s="99">
        <f>G142+'12'!H142</f>
        <v>228.5</v>
      </c>
      <c r="I142" s="140"/>
      <c r="J142" s="330">
        <f>H142/DAY(B2)</f>
        <v>17.576923076923077</v>
      </c>
    </row>
    <row r="143" spans="1:15" ht="27.75" customHeight="1" x14ac:dyDescent="0.5">
      <c r="A143" s="834" t="s">
        <v>91</v>
      </c>
      <c r="B143" s="834"/>
      <c r="C143" s="834"/>
      <c r="D143" s="151" t="s">
        <v>183</v>
      </c>
      <c r="E143" s="95">
        <f>'12'!F143</f>
        <v>2554</v>
      </c>
      <c r="F143" s="149">
        <v>2584</v>
      </c>
      <c r="G143" s="112">
        <f t="shared" si="11"/>
        <v>30</v>
      </c>
      <c r="H143" s="99">
        <f>G143+'12'!H143</f>
        <v>382.59999999999991</v>
      </c>
      <c r="I143" s="140"/>
      <c r="J143" s="330">
        <f>H143/DAY(B2)</f>
        <v>29.430769230769222</v>
      </c>
    </row>
    <row r="144" spans="1:15" ht="27.75" customHeight="1" x14ac:dyDescent="0.5">
      <c r="A144" s="838" t="s">
        <v>90</v>
      </c>
      <c r="B144" s="838"/>
      <c r="C144" s="838"/>
      <c r="D144" s="151" t="s">
        <v>183</v>
      </c>
      <c r="E144" s="95">
        <f>'12'!F144</f>
        <v>865154</v>
      </c>
      <c r="F144" s="149">
        <v>865390</v>
      </c>
      <c r="G144" s="112">
        <f t="shared" si="11"/>
        <v>236</v>
      </c>
      <c r="H144" s="99">
        <f>G144+'12'!H144</f>
        <v>2995</v>
      </c>
      <c r="I144" s="140"/>
      <c r="J144" s="330">
        <f>H144/DAY(B2)</f>
        <v>230.38461538461539</v>
      </c>
    </row>
    <row r="145" spans="1:10" ht="27.75" customHeight="1" x14ac:dyDescent="0.5">
      <c r="A145" s="834" t="s">
        <v>190</v>
      </c>
      <c r="B145" s="834"/>
      <c r="C145" s="834"/>
      <c r="D145" s="152" t="s">
        <v>183</v>
      </c>
      <c r="E145" s="95">
        <f>'12'!F145</f>
        <v>3996</v>
      </c>
      <c r="F145" s="149">
        <v>4057</v>
      </c>
      <c r="G145" s="112">
        <f t="shared" si="11"/>
        <v>61</v>
      </c>
      <c r="H145" s="99">
        <f>G145+'12'!H145</f>
        <v>638</v>
      </c>
      <c r="I145" s="140"/>
      <c r="J145" s="330">
        <f>H145/DAY(B2)</f>
        <v>49.07692307692308</v>
      </c>
    </row>
    <row r="146" spans="1:10" ht="27.75" customHeight="1" x14ac:dyDescent="0.5">
      <c r="A146" s="835" t="s">
        <v>191</v>
      </c>
      <c r="B146" s="836"/>
      <c r="C146" s="837"/>
      <c r="D146" s="152" t="s">
        <v>183</v>
      </c>
      <c r="E146" s="95">
        <f>'12'!F146</f>
        <v>715892</v>
      </c>
      <c r="F146" s="148">
        <v>716353</v>
      </c>
      <c r="G146" s="112">
        <f t="shared" si="11"/>
        <v>461</v>
      </c>
      <c r="H146" s="99">
        <f>G146+'12'!H146</f>
        <v>5468</v>
      </c>
      <c r="I146" s="140"/>
      <c r="J146" s="330">
        <f>H146/DAY(B2)</f>
        <v>420.61538461538464</v>
      </c>
    </row>
    <row r="147" spans="1:10" ht="27.75" customHeight="1" x14ac:dyDescent="0.5">
      <c r="A147" s="838" t="s">
        <v>192</v>
      </c>
      <c r="B147" s="838"/>
      <c r="C147" s="838"/>
      <c r="D147" s="152" t="s">
        <v>183</v>
      </c>
      <c r="E147" s="95">
        <f>'12'!F147</f>
        <v>607354</v>
      </c>
      <c r="F147" s="148">
        <v>607840</v>
      </c>
      <c r="G147" s="112">
        <f t="shared" si="11"/>
        <v>486</v>
      </c>
      <c r="H147" s="99">
        <f>G147+'12'!H147</f>
        <v>5854.9599999999627</v>
      </c>
      <c r="I147" s="140"/>
      <c r="J147" s="330">
        <f>H147/DAY(B2)</f>
        <v>450.38153846153557</v>
      </c>
    </row>
    <row r="148" spans="1:10" ht="27.75" customHeight="1" x14ac:dyDescent="0.5">
      <c r="A148" s="794" t="s">
        <v>193</v>
      </c>
      <c r="B148" s="795"/>
      <c r="C148" s="796"/>
      <c r="D148" s="123" t="s">
        <v>130</v>
      </c>
      <c r="E148" s="95">
        <f>'12'!F148</f>
        <v>677328</v>
      </c>
      <c r="F148" s="150">
        <v>677644</v>
      </c>
      <c r="G148" s="112">
        <f t="shared" si="11"/>
        <v>316</v>
      </c>
      <c r="H148" s="99">
        <f>G148+'12'!H148</f>
        <v>3854.3199999999488</v>
      </c>
      <c r="I148" s="124"/>
      <c r="J148" s="330">
        <f>H148/DAY(B2)</f>
        <v>296.48615384614993</v>
      </c>
    </row>
    <row r="149" spans="1:10" ht="27.75" customHeight="1" x14ac:dyDescent="0.5">
      <c r="A149" s="794" t="s">
        <v>336</v>
      </c>
      <c r="B149" s="795"/>
      <c r="C149" s="796"/>
      <c r="D149" s="227" t="s">
        <v>130</v>
      </c>
      <c r="E149" s="95">
        <v>0</v>
      </c>
      <c r="F149" s="146">
        <v>570</v>
      </c>
      <c r="G149" s="112">
        <f t="shared" si="11"/>
        <v>570</v>
      </c>
      <c r="H149" s="99">
        <f>G149+'12'!H149</f>
        <v>5431</v>
      </c>
      <c r="I149" s="119"/>
      <c r="J149" s="330">
        <f>H149/DAY(B2)</f>
        <v>417.76923076923077</v>
      </c>
    </row>
    <row r="150" spans="1:10" ht="27.75" customHeight="1" x14ac:dyDescent="0.5">
      <c r="A150" s="794" t="s">
        <v>337</v>
      </c>
      <c r="B150" s="795"/>
      <c r="C150" s="796"/>
      <c r="D150" s="117" t="s">
        <v>130</v>
      </c>
      <c r="E150" s="95">
        <f>'12'!F150</f>
        <v>7167232</v>
      </c>
      <c r="F150" s="233">
        <v>7167232</v>
      </c>
      <c r="G150" s="112">
        <f t="shared" si="11"/>
        <v>0</v>
      </c>
      <c r="H150" s="99">
        <f>G150+'12'!H150</f>
        <v>0</v>
      </c>
      <c r="I150" s="119"/>
      <c r="J150" s="330">
        <f>H150/DAY(B2)</f>
        <v>0</v>
      </c>
    </row>
    <row r="151" spans="1:10" ht="27.75" customHeight="1" x14ac:dyDescent="0.5">
      <c r="A151" s="794" t="s">
        <v>338</v>
      </c>
      <c r="B151" s="795"/>
      <c r="C151" s="796"/>
      <c r="D151" s="117" t="s">
        <v>130</v>
      </c>
      <c r="E151" s="95">
        <f>'12'!F151</f>
        <v>73586</v>
      </c>
      <c r="F151" s="233">
        <v>73812</v>
      </c>
      <c r="G151" s="112">
        <f t="shared" si="11"/>
        <v>226</v>
      </c>
      <c r="H151" s="99">
        <f>G151+'12'!H151</f>
        <v>3090</v>
      </c>
      <c r="I151" s="119"/>
      <c r="J151" s="330">
        <f>H151/DAY(B2)</f>
        <v>237.69230769230768</v>
      </c>
    </row>
    <row r="152" spans="1:10" ht="27.75" customHeight="1" x14ac:dyDescent="0.5">
      <c r="A152" s="794" t="s">
        <v>339</v>
      </c>
      <c r="B152" s="795"/>
      <c r="C152" s="796"/>
      <c r="D152" s="117" t="s">
        <v>130</v>
      </c>
      <c r="E152" s="95">
        <f>'12'!F152</f>
        <v>0</v>
      </c>
      <c r="F152" s="233">
        <v>195</v>
      </c>
      <c r="G152" s="112">
        <f t="shared" si="11"/>
        <v>195</v>
      </c>
      <c r="H152" s="99">
        <f>G152+'12'!H152</f>
        <v>195</v>
      </c>
      <c r="I152" s="119"/>
      <c r="J152" s="330">
        <f>H152/DAY(B2)</f>
        <v>15</v>
      </c>
    </row>
    <row r="153" spans="1:10" ht="27.75" customHeight="1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2912</v>
      </c>
      <c r="H153" s="365"/>
      <c r="I153" s="119">
        <f>G153-(G38+G52)</f>
        <v>817</v>
      </c>
      <c r="J153" s="368"/>
    </row>
    <row r="154" spans="1:10" ht="27.75" customHeight="1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 customHeight="1" x14ac:dyDescent="0.55000000000000004">
      <c r="A155" s="838" t="s">
        <v>345</v>
      </c>
      <c r="B155" s="838"/>
      <c r="C155" s="838"/>
      <c r="D155" s="117" t="s">
        <v>130</v>
      </c>
      <c r="E155" s="95">
        <v>0</v>
      </c>
      <c r="F155" s="376">
        <v>666</v>
      </c>
      <c r="G155" s="112">
        <f t="shared" ref="G155:G156" si="12">F155-E155</f>
        <v>666</v>
      </c>
      <c r="H155" s="99">
        <f>G155+'12'!H155</f>
        <v>759</v>
      </c>
      <c r="I155" s="366"/>
      <c r="J155" s="330">
        <f>H155/DAY(B2)</f>
        <v>58.384615384615387</v>
      </c>
    </row>
    <row r="156" spans="1:10" ht="27.75" customHeight="1" x14ac:dyDescent="0.5">
      <c r="A156" s="838" t="s">
        <v>347</v>
      </c>
      <c r="B156" s="838"/>
      <c r="C156" s="838"/>
      <c r="D156" s="117" t="s">
        <v>130</v>
      </c>
      <c r="E156" s="95">
        <f>'12'!F156</f>
        <v>0</v>
      </c>
      <c r="F156" s="155">
        <v>48</v>
      </c>
      <c r="G156" s="112">
        <f t="shared" si="12"/>
        <v>48</v>
      </c>
      <c r="H156" s="99">
        <f>G156+'12'!H156</f>
        <v>48</v>
      </c>
      <c r="I156" s="165"/>
      <c r="J156" s="330">
        <f>H156/DAY(B2)</f>
        <v>3.6923076923076925</v>
      </c>
    </row>
    <row r="157" spans="1:10" ht="27.75" customHeight="1" x14ac:dyDescent="0.5">
      <c r="A157" s="794" t="s">
        <v>365</v>
      </c>
      <c r="B157" s="795"/>
      <c r="C157" s="796"/>
      <c r="D157" s="117" t="s">
        <v>130</v>
      </c>
      <c r="E157" s="95"/>
      <c r="F157" s="155">
        <v>38</v>
      </c>
      <c r="G157" s="112"/>
      <c r="H157" s="99"/>
      <c r="I157" s="165"/>
      <c r="J157" s="330"/>
    </row>
    <row r="158" spans="1:10" ht="27.75" customHeight="1" x14ac:dyDescent="0.5">
      <c r="A158" s="794" t="s">
        <v>366</v>
      </c>
      <c r="B158" s="795"/>
      <c r="C158" s="796"/>
      <c r="D158" s="117" t="s">
        <v>130</v>
      </c>
      <c r="E158" s="95"/>
      <c r="F158" s="155">
        <v>0</v>
      </c>
      <c r="G158" s="112"/>
      <c r="H158" s="99"/>
      <c r="I158" s="165"/>
      <c r="J158" s="330"/>
    </row>
    <row r="159" spans="1:10" ht="27.75" customHeight="1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27.75" customHeight="1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471122</v>
      </c>
      <c r="F161" s="235">
        <v>471123</v>
      </c>
      <c r="G161" s="238">
        <f t="shared" ref="G161:G165" si="13">F161-E161</f>
        <v>1</v>
      </c>
      <c r="H161" s="99">
        <f>G161+'12'!H161</f>
        <v>146.88000000000466</v>
      </c>
      <c r="I161" s="236"/>
      <c r="J161" s="239">
        <f>H161/DAY(B2)</f>
        <v>11.298461538461897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87006</v>
      </c>
      <c r="F162" s="235">
        <v>87040</v>
      </c>
      <c r="G162" s="238">
        <f t="shared" si="13"/>
        <v>34</v>
      </c>
      <c r="H162" s="99">
        <f>G162+'12'!H162</f>
        <v>438.30000000000291</v>
      </c>
      <c r="I162" s="236"/>
      <c r="J162" s="239">
        <f>H162/DAY(B2)</f>
        <v>33.715384615384842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76428</v>
      </c>
      <c r="F163" s="235">
        <v>76519</v>
      </c>
      <c r="G163" s="238">
        <f t="shared" si="13"/>
        <v>91</v>
      </c>
      <c r="H163" s="99">
        <f>G163+'12'!H163</f>
        <v>1059.1999999999971</v>
      </c>
      <c r="I163" s="236"/>
      <c r="J163" s="239">
        <f>H163/DAY(B2)</f>
        <v>81.476923076922859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4156</v>
      </c>
      <c r="F164" s="235">
        <v>4163</v>
      </c>
      <c r="G164" s="238">
        <f t="shared" si="13"/>
        <v>7</v>
      </c>
      <c r="H164" s="99">
        <f>G164+'12'!H164</f>
        <v>65.100000000000364</v>
      </c>
      <c r="I164" s="236"/>
      <c r="J164" s="239">
        <f>H164/DAY(B2)</f>
        <v>5.0076923076923361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29511</v>
      </c>
      <c r="F165" s="235">
        <v>29522</v>
      </c>
      <c r="G165" s="238">
        <f t="shared" si="13"/>
        <v>11</v>
      </c>
      <c r="H165" s="99">
        <f>G165+'12'!H165</f>
        <v>93.06880000000092</v>
      </c>
      <c r="I165" s="236"/>
      <c r="J165" s="239">
        <f>H165/DAY(B2)</f>
        <v>7.1591384615385323</v>
      </c>
    </row>
    <row r="166" spans="1:10" ht="27.75" customHeight="1" x14ac:dyDescent="0.5">
      <c r="A166" s="870"/>
      <c r="B166" s="870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870"/>
      <c r="B167" s="870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870"/>
      <c r="B168" s="870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customHeight="1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31" t="s">
        <v>209</v>
      </c>
      <c r="B173" s="832"/>
      <c r="C173" s="335"/>
      <c r="D173" s="228" t="s">
        <v>142</v>
      </c>
      <c r="E173" s="95">
        <f>'12'!F173</f>
        <v>8110</v>
      </c>
      <c r="F173" s="155">
        <v>8110</v>
      </c>
      <c r="G173" s="155">
        <f>F173-E173</f>
        <v>0</v>
      </c>
      <c r="H173" s="99">
        <f>G173+'12'!H173</f>
        <v>3</v>
      </c>
      <c r="I173" s="155"/>
      <c r="J173" s="178">
        <f>H173/DAY(B2)</f>
        <v>0.23076923076923078</v>
      </c>
    </row>
    <row r="174" spans="1:10" ht="27.75" customHeight="1" x14ac:dyDescent="0.5">
      <c r="A174" s="831" t="s">
        <v>75</v>
      </c>
      <c r="B174" s="832"/>
      <c r="C174" s="335"/>
      <c r="D174" s="228" t="s">
        <v>142</v>
      </c>
      <c r="E174" s="95">
        <f>'12'!F174</f>
        <v>37543</v>
      </c>
      <c r="F174" s="157">
        <v>37562</v>
      </c>
      <c r="G174" s="155">
        <f t="shared" ref="G174:G175" si="14">F174-E174</f>
        <v>19</v>
      </c>
      <c r="H174" s="99">
        <f>G174+'12'!H174</f>
        <v>219</v>
      </c>
      <c r="I174" s="155"/>
      <c r="J174" s="178">
        <f>H174/DAY(B2)</f>
        <v>16.846153846153847</v>
      </c>
    </row>
    <row r="175" spans="1:10" ht="27.75" customHeight="1" x14ac:dyDescent="0.5">
      <c r="A175" s="831" t="s">
        <v>76</v>
      </c>
      <c r="B175" s="833"/>
      <c r="C175" s="832"/>
      <c r="D175" s="228" t="s">
        <v>142</v>
      </c>
      <c r="E175" s="95">
        <f>'12'!F175</f>
        <v>21293</v>
      </c>
      <c r="F175" s="155">
        <v>21305</v>
      </c>
      <c r="G175" s="155">
        <f t="shared" si="14"/>
        <v>12</v>
      </c>
      <c r="H175" s="99">
        <f>G175+'12'!H175</f>
        <v>168</v>
      </c>
      <c r="I175" s="155"/>
      <c r="J175" s="178">
        <f>H175/DAY(B2)</f>
        <v>12.923076923076923</v>
      </c>
    </row>
    <row r="176" spans="1:10" ht="27.75" customHeight="1" x14ac:dyDescent="0.5">
      <c r="A176" s="867" t="s">
        <v>196</v>
      </c>
      <c r="B176" s="868"/>
      <c r="C176" s="529"/>
      <c r="D176" s="228" t="s">
        <v>142</v>
      </c>
      <c r="E176" s="95"/>
      <c r="F176" s="155"/>
      <c r="G176" s="155">
        <f>SUM(G173:G175)</f>
        <v>31</v>
      </c>
      <c r="H176" s="99">
        <f>G176+'12'!H176</f>
        <v>390</v>
      </c>
      <c r="I176" s="155"/>
      <c r="J176" s="178">
        <f>H176/DAY(B2)</f>
        <v>30</v>
      </c>
    </row>
    <row r="177" spans="1:15" ht="27.75" customHeight="1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831" t="s">
        <v>210</v>
      </c>
      <c r="B178" s="832"/>
      <c r="C178" s="335"/>
      <c r="D178" s="228" t="s">
        <v>142</v>
      </c>
      <c r="E178" s="95">
        <f>'12'!F178</f>
        <v>78290</v>
      </c>
      <c r="F178" s="155">
        <v>78358</v>
      </c>
      <c r="G178" s="155">
        <f>F178-E178</f>
        <v>68</v>
      </c>
      <c r="H178" s="99">
        <f>G178+'12'!H178</f>
        <v>1006</v>
      </c>
      <c r="I178" s="155"/>
      <c r="J178" s="178">
        <f>H178/DAY(B2)</f>
        <v>77.384615384615387</v>
      </c>
    </row>
    <row r="179" spans="1:15" ht="27.75" customHeight="1" x14ac:dyDescent="0.5">
      <c r="A179" s="831" t="s">
        <v>211</v>
      </c>
      <c r="B179" s="832"/>
      <c r="C179" s="335"/>
      <c r="D179" s="228" t="s">
        <v>142</v>
      </c>
      <c r="E179" s="95">
        <f>'12'!F179</f>
        <v>33888</v>
      </c>
      <c r="F179" s="155">
        <v>33888</v>
      </c>
      <c r="G179" s="155">
        <f t="shared" ref="G179:G180" si="15">F179-E179</f>
        <v>0</v>
      </c>
      <c r="H179" s="99">
        <f>G179+'12'!H179</f>
        <v>2</v>
      </c>
      <c r="I179" s="155"/>
      <c r="J179" s="178">
        <f>H179/DAY(B2)</f>
        <v>0.15384615384615385</v>
      </c>
    </row>
    <row r="180" spans="1:15" ht="27.75" customHeight="1" x14ac:dyDescent="0.5">
      <c r="A180" s="831" t="s">
        <v>212</v>
      </c>
      <c r="B180" s="832"/>
      <c r="C180" s="335"/>
      <c r="D180" s="228" t="s">
        <v>142</v>
      </c>
      <c r="E180" s="95">
        <f>'12'!F180</f>
        <v>5348</v>
      </c>
      <c r="F180" s="155">
        <v>5351</v>
      </c>
      <c r="G180" s="155">
        <f t="shared" si="15"/>
        <v>3</v>
      </c>
      <c r="H180" s="99">
        <f>G180+'12'!H180</f>
        <v>78</v>
      </c>
      <c r="I180" s="155"/>
      <c r="J180" s="178">
        <f>H180/DAY(B2)</f>
        <v>6</v>
      </c>
    </row>
    <row r="181" spans="1:15" ht="27.75" customHeight="1" x14ac:dyDescent="0.5">
      <c r="A181" s="872" t="s">
        <v>108</v>
      </c>
      <c r="B181" s="873"/>
      <c r="C181" s="529"/>
      <c r="D181" s="228" t="s">
        <v>142</v>
      </c>
      <c r="E181" s="95"/>
      <c r="F181" s="155"/>
      <c r="G181" s="155">
        <f>SUM(G178:G180)</f>
        <v>71</v>
      </c>
      <c r="H181" s="99">
        <f>G181+'12'!H181</f>
        <v>1086</v>
      </c>
      <c r="I181" s="155"/>
      <c r="J181" s="178">
        <f>H181/DAY(B2)</f>
        <v>83.538461538461533</v>
      </c>
    </row>
    <row r="182" spans="1:15" ht="27.75" customHeight="1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831" t="s">
        <v>214</v>
      </c>
      <c r="B183" s="832"/>
      <c r="C183" s="336"/>
      <c r="D183" s="228" t="s">
        <v>142</v>
      </c>
      <c r="E183" s="95">
        <f>'12'!F183</f>
        <v>14668</v>
      </c>
      <c r="F183" s="157">
        <v>14688</v>
      </c>
      <c r="G183" s="157">
        <f>F183-E183</f>
        <v>20</v>
      </c>
      <c r="H183" s="99">
        <f>G183+'12'!H183</f>
        <v>192</v>
      </c>
      <c r="I183" s="155"/>
      <c r="J183" s="178">
        <f>H183/DAY(B2)</f>
        <v>14.76923076923077</v>
      </c>
    </row>
    <row r="184" spans="1:15" ht="27.75" customHeight="1" x14ac:dyDescent="0.5">
      <c r="A184" s="831" t="s">
        <v>215</v>
      </c>
      <c r="B184" s="832"/>
      <c r="C184" s="336"/>
      <c r="D184" s="228" t="s">
        <v>142</v>
      </c>
      <c r="E184" s="95">
        <f>'12'!F184</f>
        <v>10139</v>
      </c>
      <c r="F184" s="157">
        <v>10148</v>
      </c>
      <c r="G184" s="157">
        <f t="shared" ref="G184:G185" si="16">F184-E184</f>
        <v>9</v>
      </c>
      <c r="H184" s="99">
        <f>G184+'12'!H184</f>
        <v>117</v>
      </c>
      <c r="I184" s="155"/>
      <c r="J184" s="178">
        <f>H184/DAY(B2)</f>
        <v>9</v>
      </c>
      <c r="O184" s="65" t="s">
        <v>367</v>
      </c>
    </row>
    <row r="185" spans="1:15" ht="27.75" customHeight="1" x14ac:dyDescent="0.5">
      <c r="A185" s="831" t="s">
        <v>216</v>
      </c>
      <c r="B185" s="832"/>
      <c r="C185" s="336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867" t="s">
        <v>196</v>
      </c>
      <c r="B186" s="868"/>
      <c r="C186" s="528"/>
      <c r="D186" s="228" t="s">
        <v>142</v>
      </c>
      <c r="E186" s="95"/>
      <c r="F186" s="157"/>
      <c r="G186" s="157">
        <f>SUM(G183:G185)</f>
        <v>29</v>
      </c>
      <c r="H186" s="99">
        <f>G186+'12'!H186</f>
        <v>309</v>
      </c>
      <c r="I186" s="157"/>
      <c r="J186" s="178">
        <f>H186/DAY(B2)</f>
        <v>23.76923076923077</v>
      </c>
    </row>
    <row r="187" spans="1:15" ht="27.75" customHeight="1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506">
        <f>G62+G19</f>
        <v>200</v>
      </c>
      <c r="H187" s="99">
        <f>G187+'12'!H187</f>
        <v>2317</v>
      </c>
      <c r="I187" s="158"/>
      <c r="J187" s="179">
        <f>H187/DAY(B2)</f>
        <v>178.23076923076923</v>
      </c>
    </row>
    <row r="188" spans="1:15" ht="27.75" customHeight="1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231</v>
      </c>
      <c r="H188" s="99">
        <f>G188+'12'!H188</f>
        <v>2338</v>
      </c>
      <c r="I188" s="158"/>
      <c r="J188" s="179">
        <f>H188/DAY(B2)</f>
        <v>179.84615384615384</v>
      </c>
    </row>
    <row r="189" spans="1:15" ht="27.75" customHeight="1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71</v>
      </c>
      <c r="H189" s="99">
        <f>G189+'12'!H189</f>
        <v>1086</v>
      </c>
      <c r="I189" s="158"/>
      <c r="J189" s="179">
        <f>H189/DAY(B2)</f>
        <v>83.538461538461533</v>
      </c>
    </row>
    <row r="190" spans="1:15" ht="27.75" customHeight="1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64" zoomScale="55" zoomScaleSheetLayoutView="55" workbookViewId="0">
      <selection activeCell="F89" sqref="F89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.75" customHeight="1" x14ac:dyDescent="0.5">
      <c r="A2" s="191" t="s">
        <v>303</v>
      </c>
      <c r="B2" s="262">
        <v>44544</v>
      </c>
      <c r="C2" s="350" t="s">
        <v>67</v>
      </c>
      <c r="D2" s="218">
        <v>0.54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50" t="s">
        <v>118</v>
      </c>
      <c r="D3" s="219">
        <v>26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50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708525</v>
      </c>
      <c r="F7" s="95">
        <v>731264</v>
      </c>
      <c r="G7" s="112">
        <f>F7-E7</f>
        <v>22739</v>
      </c>
      <c r="H7" s="99">
        <f>G7+'13'!H7</f>
        <v>330422</v>
      </c>
      <c r="I7" s="113">
        <f>'1'!I7</f>
        <v>12000</v>
      </c>
      <c r="J7" s="175">
        <f>H7/DAY(B2)</f>
        <v>23601.571428571428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750325</v>
      </c>
      <c r="F8" s="95">
        <v>773384</v>
      </c>
      <c r="G8" s="115">
        <f>F8-E8</f>
        <v>23059</v>
      </c>
      <c r="H8" s="99">
        <f>G8+'13'!H8</f>
        <v>335089</v>
      </c>
      <c r="I8" s="116"/>
      <c r="J8" s="175">
        <f>H8/DAY(B2)</f>
        <v>23934.928571428572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1949497</v>
      </c>
      <c r="F9" s="659">
        <v>1964688</v>
      </c>
      <c r="G9" s="112">
        <f>F9-E9</f>
        <v>15191</v>
      </c>
      <c r="H9" s="99">
        <f>G9+'13'!H9</f>
        <v>245590.30000000005</v>
      </c>
      <c r="I9" s="124">
        <f>I7-J7</f>
        <v>-11601.571428571428</v>
      </c>
      <c r="J9" s="175">
        <f>H9/DAY(B2)</f>
        <v>17542.164285714291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474919</v>
      </c>
      <c r="F10" s="355">
        <v>481876</v>
      </c>
      <c r="G10" s="112">
        <f t="shared" ref="G10:G12" si="0">F10-E10</f>
        <v>6957</v>
      </c>
      <c r="H10" s="99">
        <f>G10+'13'!H10</f>
        <v>75793.570000000007</v>
      </c>
      <c r="I10" s="282"/>
      <c r="J10" s="175">
        <f>H10/DAY(B2)</f>
        <v>5413.8264285714295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22148</v>
      </c>
      <c r="H13" s="99">
        <f>G13+'13'!H13</f>
        <v>299333</v>
      </c>
      <c r="I13" s="120">
        <f>G7-G13</f>
        <v>591</v>
      </c>
      <c r="J13" s="175">
        <f>H13/DAY(B2)</f>
        <v>21380.928571428572</v>
      </c>
      <c r="K13" s="79"/>
      <c r="L13" s="66"/>
      <c r="N13" s="87"/>
      <c r="O13" s="71"/>
    </row>
    <row r="14" spans="1:15" ht="27.75" customHeight="1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7" t="s">
        <v>138</v>
      </c>
      <c r="B15" s="205"/>
      <c r="C15" s="205"/>
      <c r="D15" s="151" t="s">
        <v>139</v>
      </c>
      <c r="E15" s="123">
        <v>1858426</v>
      </c>
      <c r="F15" s="123">
        <v>1859550</v>
      </c>
      <c r="G15" s="112">
        <f>(F15-E15)</f>
        <v>1124</v>
      </c>
      <c r="H15" s="99">
        <f>G15+'13'!H15</f>
        <v>16402</v>
      </c>
      <c r="I15" s="113">
        <f>'1'!I15</f>
        <v>800</v>
      </c>
      <c r="J15" s="175">
        <f>H15/DAY(B2)</f>
        <v>1171.5714285714287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-371.57142857142867</v>
      </c>
      <c r="J16" s="176"/>
      <c r="K16" s="79"/>
      <c r="L16" s="66"/>
      <c r="N16" s="87"/>
      <c r="O16" s="71"/>
    </row>
    <row r="17" spans="1:15" ht="27.75" customHeight="1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09" t="s">
        <v>141</v>
      </c>
      <c r="B18" s="810"/>
      <c r="C18" s="811"/>
      <c r="D18" s="151" t="s">
        <v>142</v>
      </c>
      <c r="E18" s="95">
        <f>'13'!F18</f>
        <v>24</v>
      </c>
      <c r="F18" s="122">
        <v>24</v>
      </c>
      <c r="G18" s="119">
        <f>F18*10</f>
        <v>240</v>
      </c>
      <c r="H18" s="99">
        <f>G18+'13'!H18</f>
        <v>2990</v>
      </c>
      <c r="I18" s="113">
        <f>'1'!I18</f>
        <v>65</v>
      </c>
      <c r="J18" s="175">
        <f>H18/DAY(B2)</f>
        <v>213.57142857142858</v>
      </c>
      <c r="K18" s="79"/>
      <c r="L18" s="66"/>
      <c r="N18" s="87"/>
      <c r="O18" s="71"/>
    </row>
    <row r="19" spans="1:15" ht="27.75" customHeight="1" x14ac:dyDescent="0.5">
      <c r="A19" s="809" t="s">
        <v>69</v>
      </c>
      <c r="B19" s="810"/>
      <c r="C19" s="811"/>
      <c r="D19" s="151" t="s">
        <v>142</v>
      </c>
      <c r="E19" s="95">
        <f>'13'!F19</f>
        <v>151279</v>
      </c>
      <c r="F19" s="122">
        <v>151331</v>
      </c>
      <c r="G19" s="112">
        <f t="shared" ref="G19" si="1">F19-E19</f>
        <v>52</v>
      </c>
      <c r="H19" s="99">
        <f>G19+'13'!H19</f>
        <v>747</v>
      </c>
      <c r="I19" s="337"/>
      <c r="J19" s="175">
        <f>H19/DAY(B2)</f>
        <v>53.357142857142854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292</v>
      </c>
      <c r="H20" s="99">
        <f>G20+'13'!H20</f>
        <v>3737</v>
      </c>
      <c r="I20" s="338">
        <f>I18-J20</f>
        <v>-201.92857142857144</v>
      </c>
      <c r="J20" s="175">
        <f>H20/DAY(B2)</f>
        <v>266.92857142857144</v>
      </c>
      <c r="K20" s="79"/>
      <c r="L20" s="66"/>
      <c r="N20" s="87"/>
      <c r="O20" s="71"/>
    </row>
    <row r="21" spans="1:15" ht="27.75" customHeight="1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7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7" t="s">
        <v>147</v>
      </c>
      <c r="B23" s="205"/>
      <c r="C23" s="205"/>
      <c r="D23" s="151" t="s">
        <v>146</v>
      </c>
      <c r="E23" s="95">
        <f>'13'!F23</f>
        <v>2000</v>
      </c>
      <c r="F23" s="122">
        <v>2000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23059</v>
      </c>
      <c r="F27" s="136">
        <v>9</v>
      </c>
      <c r="G27" s="137">
        <f>E27*F27</f>
        <v>207531</v>
      </c>
      <c r="H27" s="99">
        <f>G27+'13'!H27</f>
        <v>3015801</v>
      </c>
      <c r="I27" s="138"/>
      <c r="J27" s="175">
        <f>H27/DAY(B2)</f>
        <v>215414.35714285713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1124</v>
      </c>
      <c r="F28" s="136">
        <v>52</v>
      </c>
      <c r="G28" s="137">
        <f>E28*F28</f>
        <v>58448</v>
      </c>
      <c r="H28" s="99">
        <f>G28+'13'!H28</f>
        <v>852904</v>
      </c>
      <c r="I28" s="140"/>
      <c r="J28" s="175">
        <f>H28/DAY(B2)</f>
        <v>60921.714285714283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G30+'13'!H30</f>
        <v>109062</v>
      </c>
      <c r="I30" s="140"/>
      <c r="J30" s="175">
        <f>H30/DAY(B2)</f>
        <v>7790.1428571428569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G31+'13'!H31</f>
        <v>239200</v>
      </c>
      <c r="I31" s="140"/>
      <c r="J31" s="175">
        <f>H31/DAY(B2)</f>
        <v>17085.714285714286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292771</v>
      </c>
      <c r="H32" s="99">
        <f>G32+'13'!H32</f>
        <v>4216967</v>
      </c>
      <c r="I32" s="144"/>
      <c r="J32" s="175">
        <f>H32/DAY(B2)</f>
        <v>301211.92857142858</v>
      </c>
      <c r="K32" s="63"/>
      <c r="L32" s="89"/>
      <c r="N32" s="87"/>
      <c r="O32" s="71"/>
    </row>
    <row r="33" spans="1:15" ht="27.7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120865</v>
      </c>
      <c r="F35" s="145">
        <v>122975</v>
      </c>
      <c r="G35" s="112">
        <f t="shared" ref="G35:G46" si="3">F35-E35</f>
        <v>2110</v>
      </c>
      <c r="H35" s="99">
        <f>G35+'13'!H35</f>
        <v>29440.369999999995</v>
      </c>
      <c r="I35" s="95"/>
      <c r="J35" s="175">
        <f>H35/DAY(B2)</f>
        <v>2102.883571428571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3152</v>
      </c>
      <c r="F36" s="145">
        <v>4316</v>
      </c>
      <c r="G36" s="112">
        <f t="shared" si="3"/>
        <v>1164</v>
      </c>
      <c r="H36" s="99">
        <f>G36+'13'!H36</f>
        <v>14582.300000000003</v>
      </c>
      <c r="I36" s="95"/>
      <c r="J36" s="175">
        <f>H36/DAY(B2)</f>
        <v>1041.5928571428574</v>
      </c>
      <c r="K36" s="79"/>
      <c r="L36" s="66"/>
      <c r="N36" s="87"/>
      <c r="O36" s="346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166812</v>
      </c>
      <c r="F37" s="145">
        <v>168410</v>
      </c>
      <c r="G37" s="112">
        <f t="shared" si="3"/>
        <v>1598</v>
      </c>
      <c r="H37" s="99">
        <f>G37+'13'!H37</f>
        <v>22903.260000000009</v>
      </c>
      <c r="I37" s="95"/>
      <c r="J37" s="175">
        <f>H37/DAY(B2)</f>
        <v>1635.9471428571435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197132</v>
      </c>
      <c r="F38" s="108">
        <v>199161</v>
      </c>
      <c r="G38" s="112">
        <f t="shared" si="3"/>
        <v>2029</v>
      </c>
      <c r="H38" s="99">
        <f>G38+'13'!H38</f>
        <v>28156.950000000012</v>
      </c>
      <c r="I38" s="95"/>
      <c r="J38" s="175">
        <f>H38/DAY(B2)</f>
        <v>2011.2107142857151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359809</v>
      </c>
      <c r="F39" s="145">
        <v>362831</v>
      </c>
      <c r="G39" s="112">
        <f t="shared" si="3"/>
        <v>3022</v>
      </c>
      <c r="H39" s="99">
        <f>G39+'13'!H39</f>
        <v>41167.710000000021</v>
      </c>
      <c r="I39" s="95"/>
      <c r="J39" s="175">
        <f>H39/DAY(B2)</f>
        <v>2940.5507142857159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116</v>
      </c>
      <c r="F40" s="145">
        <v>120</v>
      </c>
      <c r="G40" s="112">
        <f t="shared" si="3"/>
        <v>4</v>
      </c>
      <c r="H40" s="99">
        <f>G40+'13'!H40</f>
        <v>8.7800000000000011</v>
      </c>
      <c r="I40" s="95"/>
      <c r="J40" s="175">
        <f>H40/DAY(B2)</f>
        <v>0.62714285714285722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0</v>
      </c>
      <c r="F41" s="145">
        <v>0</v>
      </c>
      <c r="G41" s="112">
        <f t="shared" si="3"/>
        <v>0</v>
      </c>
      <c r="H41" s="99">
        <f>G41+'13'!H41</f>
        <v>9386.2900000000373</v>
      </c>
      <c r="I41" s="95"/>
      <c r="J41" s="175">
        <f>H41/DAY(B2)</f>
        <v>670.44928571428841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v>0</v>
      </c>
      <c r="F42" s="145">
        <v>1294</v>
      </c>
      <c r="G42" s="112">
        <f t="shared" si="3"/>
        <v>1294</v>
      </c>
      <c r="H42" s="99">
        <f>G42+'13'!H42</f>
        <v>42900.010000000009</v>
      </c>
      <c r="I42" s="95"/>
      <c r="J42" s="175">
        <f>H42/DAY(B2)</f>
        <v>3064.286428571429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v>1717</v>
      </c>
      <c r="F43" s="145">
        <v>4485</v>
      </c>
      <c r="G43" s="112">
        <f t="shared" si="3"/>
        <v>2768</v>
      </c>
      <c r="H43" s="99">
        <f>G43+'13'!H43</f>
        <v>37890.399999999907</v>
      </c>
      <c r="I43" s="95"/>
      <c r="J43" s="175">
        <f>H43/DAY(B2)</f>
        <v>2706.4571428571362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13989</v>
      </c>
      <c r="H47" s="99">
        <f>G47+'13'!H47</f>
        <v>226436.07</v>
      </c>
      <c r="I47" s="95"/>
      <c r="J47" s="175">
        <f>H47/DAY(B2)</f>
        <v>16174.005000000001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243208</v>
      </c>
      <c r="F49" s="145">
        <v>244988</v>
      </c>
      <c r="G49" s="112">
        <f t="shared" ref="G49:G58" si="4">F49-E49</f>
        <v>1780</v>
      </c>
      <c r="H49" s="99">
        <f>G49+'13'!H49</f>
        <v>24474.670000000013</v>
      </c>
      <c r="I49" s="95"/>
      <c r="J49" s="175">
        <f>H49/DAY(B2)</f>
        <v>1748.1907142857151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2747</v>
      </c>
      <c r="F50" s="145">
        <v>3910</v>
      </c>
      <c r="G50" s="112">
        <f t="shared" si="4"/>
        <v>1163</v>
      </c>
      <c r="H50" s="99">
        <f>G50+'13'!H50</f>
        <v>19761.810000000056</v>
      </c>
      <c r="I50" s="95"/>
      <c r="J50" s="175">
        <f>H50/DAY(B2)</f>
        <v>1411.5578571428612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3104</v>
      </c>
      <c r="F54" s="145">
        <v>3108</v>
      </c>
      <c r="G54" s="112">
        <f t="shared" si="4"/>
        <v>4</v>
      </c>
      <c r="H54" s="99">
        <f>G54+'13'!H54</f>
        <v>76.7199999999998</v>
      </c>
      <c r="I54" s="95"/>
      <c r="J54" s="175">
        <f>H54/DAY(B2)</f>
        <v>5.4799999999999853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0</v>
      </c>
      <c r="F55" s="145">
        <v>0</v>
      </c>
      <c r="G55" s="112">
        <f t="shared" si="4"/>
        <v>0</v>
      </c>
      <c r="H55" s="99">
        <f>G55+'13'!H55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3337</v>
      </c>
      <c r="F56" s="145">
        <v>5962</v>
      </c>
      <c r="G56" s="112">
        <f t="shared" si="4"/>
        <v>2625</v>
      </c>
      <c r="H56" s="99">
        <f>G56+'13'!H56</f>
        <v>27512.049999999988</v>
      </c>
      <c r="I56" s="95"/>
      <c r="J56" s="175">
        <f>H56/DAY(B2)</f>
        <v>1965.1464285714278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88341</v>
      </c>
      <c r="F58" s="145">
        <v>88567</v>
      </c>
      <c r="G58" s="112">
        <f t="shared" si="4"/>
        <v>226</v>
      </c>
      <c r="H58" s="99">
        <f>G58+'13'!H58</f>
        <v>3242.1499999999942</v>
      </c>
      <c r="I58" s="95"/>
      <c r="J58" s="175">
        <f>H58/DAY(B2)</f>
        <v>231.58214285714243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5798</v>
      </c>
      <c r="H59" s="99">
        <f>G59+'13'!H59</f>
        <v>75067.400000000052</v>
      </c>
      <c r="I59" s="95">
        <f>G7-G60</f>
        <v>2952</v>
      </c>
      <c r="J59" s="175">
        <f>H59/DAY(B2)</f>
        <v>5361.9571428571462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19787</v>
      </c>
      <c r="H60" s="99">
        <f>G60+'13'!H60</f>
        <v>301503.47000000009</v>
      </c>
      <c r="I60" s="95">
        <f>G13-G60</f>
        <v>2361</v>
      </c>
      <c r="J60" s="175">
        <f>H60/DAY(B2)</f>
        <v>21535.962142857148</v>
      </c>
      <c r="K60" s="79"/>
      <c r="L60" s="66"/>
      <c r="N60" s="87"/>
      <c r="O60" s="71"/>
    </row>
    <row r="61" spans="1:15" s="68" customFormat="1" ht="27.75" customHeight="1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customHeight="1" x14ac:dyDescent="0.5">
      <c r="A62" s="809" t="s">
        <v>198</v>
      </c>
      <c r="B62" s="810"/>
      <c r="C62" s="811"/>
      <c r="D62" s="151" t="s">
        <v>142</v>
      </c>
      <c r="E62" s="95">
        <f>'13'!F62</f>
        <v>265087</v>
      </c>
      <c r="F62" s="122">
        <v>265230</v>
      </c>
      <c r="G62" s="112">
        <f t="shared" ref="G62:G63" si="5">F62-E62</f>
        <v>143</v>
      </c>
      <c r="H62" s="99">
        <f>G62+'13'!H62</f>
        <v>1765</v>
      </c>
      <c r="I62" s="118"/>
      <c r="J62" s="175">
        <f>H62/DAY(B2)</f>
        <v>126.07142857142857</v>
      </c>
      <c r="K62" s="80"/>
      <c r="L62" s="66"/>
      <c r="N62" s="87"/>
      <c r="O62" s="71"/>
    </row>
    <row r="63" spans="1:15" ht="27.75" customHeight="1" x14ac:dyDescent="0.5">
      <c r="A63" s="809" t="s">
        <v>199</v>
      </c>
      <c r="B63" s="810"/>
      <c r="C63" s="811"/>
      <c r="D63" s="151" t="s">
        <v>142</v>
      </c>
      <c r="E63" s="122">
        <v>210812</v>
      </c>
      <c r="F63" s="122">
        <v>210894</v>
      </c>
      <c r="G63" s="112">
        <f t="shared" si="5"/>
        <v>82</v>
      </c>
      <c r="H63" s="99">
        <f>G63+'13'!H63</f>
        <v>1519</v>
      </c>
      <c r="I63" s="118"/>
      <c r="J63" s="175">
        <f>H63/DAY(B2)</f>
        <v>108.5</v>
      </c>
      <c r="K63" s="69"/>
      <c r="L63" s="66"/>
      <c r="N63" s="87"/>
      <c r="O63" s="71"/>
    </row>
    <row r="64" spans="1:15" ht="27.75" customHeight="1" x14ac:dyDescent="0.5">
      <c r="A64" s="806" t="s">
        <v>200</v>
      </c>
      <c r="B64" s="807"/>
      <c r="C64" s="808"/>
      <c r="D64" s="151"/>
      <c r="E64" s="95">
        <f>'13'!F64</f>
        <v>0</v>
      </c>
      <c r="F64" s="122"/>
      <c r="G64" s="112">
        <f>G62+G63</f>
        <v>225</v>
      </c>
      <c r="H64" s="99">
        <f>G64+'13'!H64</f>
        <v>3284</v>
      </c>
      <c r="I64" s="118"/>
      <c r="J64" s="175">
        <f>H64/DAY(B2)</f>
        <v>234.57142857142858</v>
      </c>
      <c r="K64" s="69"/>
      <c r="L64" s="66"/>
      <c r="N64" s="87"/>
      <c r="O64" s="71"/>
    </row>
    <row r="65" spans="1:15" ht="27.75" customHeight="1" x14ac:dyDescent="0.5">
      <c r="A65" s="809" t="s">
        <v>201</v>
      </c>
      <c r="B65" s="810"/>
      <c r="C65" s="811"/>
      <c r="D65" s="151" t="s">
        <v>142</v>
      </c>
      <c r="E65" s="95">
        <f>'13'!F65</f>
        <v>430752</v>
      </c>
      <c r="F65" s="122">
        <v>430857</v>
      </c>
      <c r="G65" s="112">
        <f t="shared" ref="G65:G70" si="6">F65-E65</f>
        <v>105</v>
      </c>
      <c r="H65" s="99">
        <f>G65+'13'!H65</f>
        <v>1494</v>
      </c>
      <c r="I65" s="118"/>
      <c r="J65" s="175">
        <f>H65/DAY(B2)</f>
        <v>106.71428571428571</v>
      </c>
      <c r="K65" s="69"/>
      <c r="L65" s="66"/>
      <c r="N65" s="87"/>
      <c r="O65" s="71"/>
    </row>
    <row r="66" spans="1:15" ht="27.75" customHeight="1" x14ac:dyDescent="0.5">
      <c r="A66" s="347" t="s">
        <v>202</v>
      </c>
      <c r="B66" s="348"/>
      <c r="C66" s="348"/>
      <c r="D66" s="151" t="s">
        <v>142</v>
      </c>
      <c r="E66" s="95">
        <f>'13'!F66</f>
        <v>106860</v>
      </c>
      <c r="F66" s="122">
        <v>106878</v>
      </c>
      <c r="G66" s="112">
        <f t="shared" si="6"/>
        <v>18</v>
      </c>
      <c r="H66" s="99">
        <f>G66+'13'!H66</f>
        <v>279</v>
      </c>
      <c r="I66" s="118"/>
      <c r="J66" s="175">
        <f>H66/DAY(B2)</f>
        <v>19.928571428571427</v>
      </c>
      <c r="K66" s="78"/>
      <c r="L66" s="66"/>
      <c r="N66" s="87"/>
      <c r="O66" s="71"/>
    </row>
    <row r="67" spans="1:15" ht="27.75" customHeight="1" x14ac:dyDescent="0.5">
      <c r="A67" s="347" t="s">
        <v>203</v>
      </c>
      <c r="B67" s="348"/>
      <c r="C67" s="348"/>
      <c r="D67" s="151" t="s">
        <v>142</v>
      </c>
      <c r="E67" s="95">
        <f>'13'!F67</f>
        <v>103402</v>
      </c>
      <c r="F67" s="122">
        <v>103434</v>
      </c>
      <c r="G67" s="112">
        <f t="shared" si="6"/>
        <v>32</v>
      </c>
      <c r="H67" s="99">
        <f>G67+'13'!H67</f>
        <v>423</v>
      </c>
      <c r="I67" s="118"/>
      <c r="J67" s="175">
        <f>H67/DAY(B2)</f>
        <v>30.214285714285715</v>
      </c>
      <c r="K67" s="81"/>
      <c r="L67" s="66"/>
      <c r="N67" s="87"/>
      <c r="O67" s="71"/>
    </row>
    <row r="68" spans="1:15" ht="27.75" customHeight="1" x14ac:dyDescent="0.5">
      <c r="A68" s="347" t="s">
        <v>204</v>
      </c>
      <c r="B68" s="348"/>
      <c r="C68" s="348"/>
      <c r="D68" s="151" t="s">
        <v>142</v>
      </c>
      <c r="E68" s="95">
        <f>'13'!F68</f>
        <v>155968</v>
      </c>
      <c r="F68" s="122">
        <v>156009</v>
      </c>
      <c r="G68" s="112">
        <f t="shared" si="6"/>
        <v>41</v>
      </c>
      <c r="H68" s="99">
        <f>G68+'13'!H68</f>
        <v>569</v>
      </c>
      <c r="I68" s="118"/>
      <c r="J68" s="175">
        <f>H68/DAY(B2)</f>
        <v>40.642857142857146</v>
      </c>
      <c r="K68" s="69"/>
      <c r="L68" s="66"/>
      <c r="N68" s="87"/>
      <c r="O68" s="71"/>
    </row>
    <row r="69" spans="1:15" ht="27.75" customHeight="1" x14ac:dyDescent="0.5">
      <c r="A69" s="347" t="s">
        <v>205</v>
      </c>
      <c r="B69" s="348"/>
      <c r="C69" s="348"/>
      <c r="D69" s="151" t="s">
        <v>142</v>
      </c>
      <c r="E69" s="95">
        <f>'13'!F69</f>
        <v>10000</v>
      </c>
      <c r="F69" s="122">
        <v>10008</v>
      </c>
      <c r="G69" s="112">
        <f t="shared" si="6"/>
        <v>8</v>
      </c>
      <c r="H69" s="99">
        <f>G69+'13'!H69</f>
        <v>165</v>
      </c>
      <c r="I69" s="118"/>
      <c r="J69" s="175">
        <f>H69/DAY(B2)</f>
        <v>11.785714285714286</v>
      </c>
      <c r="K69" s="69"/>
      <c r="L69" s="66"/>
      <c r="N69" s="87"/>
      <c r="O69" s="71"/>
    </row>
    <row r="70" spans="1:15" ht="27.75" customHeight="1" x14ac:dyDescent="0.5">
      <c r="A70" s="347" t="s">
        <v>206</v>
      </c>
      <c r="B70" s="348"/>
      <c r="C70" s="348"/>
      <c r="D70" s="151" t="s">
        <v>142</v>
      </c>
      <c r="E70" s="95">
        <f>'13'!F70</f>
        <v>7682</v>
      </c>
      <c r="F70" s="122">
        <v>7691</v>
      </c>
      <c r="G70" s="112">
        <f t="shared" si="6"/>
        <v>9</v>
      </c>
      <c r="H70" s="99">
        <f>G70+'13'!H70</f>
        <v>149</v>
      </c>
      <c r="I70" s="118"/>
      <c r="J70" s="175">
        <f>H70/DAY(B2)</f>
        <v>10.642857142857142</v>
      </c>
      <c r="K70" s="69"/>
      <c r="L70" s="66"/>
      <c r="N70" s="87"/>
      <c r="O70" s="71"/>
    </row>
    <row r="71" spans="1:15" ht="27.75" customHeight="1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213</v>
      </c>
      <c r="H71" s="99">
        <f>G71+'13'!H71</f>
        <v>3079</v>
      </c>
      <c r="I71" s="154"/>
      <c r="J71" s="175">
        <f>H71/DAY(B2)</f>
        <v>219.92857142857142</v>
      </c>
      <c r="K71" s="69"/>
      <c r="L71" s="66"/>
      <c r="N71" s="87"/>
      <c r="O71" s="71"/>
    </row>
    <row r="72" spans="1:15" s="88" customFormat="1" ht="27.75" customHeight="1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customHeight="1" x14ac:dyDescent="0.5">
      <c r="A74" s="809" t="s">
        <v>220</v>
      </c>
      <c r="B74" s="810"/>
      <c r="C74" s="811"/>
      <c r="D74" s="151" t="s">
        <v>139</v>
      </c>
      <c r="E74" s="95">
        <f>'13'!F74</f>
        <v>886346</v>
      </c>
      <c r="F74" s="117">
        <v>886667</v>
      </c>
      <c r="G74" s="112">
        <f t="shared" ref="G74:G78" si="7">F74-E74</f>
        <v>321</v>
      </c>
      <c r="H74" s="99">
        <f>G74+'13'!H74</f>
        <v>4413.9510000000009</v>
      </c>
      <c r="I74" s="154"/>
      <c r="J74" s="175">
        <f>H74/DAY(B2)</f>
        <v>315.28221428571436</v>
      </c>
      <c r="K74" s="69"/>
      <c r="L74" s="66"/>
      <c r="N74" s="87"/>
      <c r="O74" s="71"/>
    </row>
    <row r="75" spans="1:15" ht="27.75" customHeight="1" x14ac:dyDescent="0.5">
      <c r="A75" s="809" t="s">
        <v>221</v>
      </c>
      <c r="B75" s="810"/>
      <c r="C75" s="811"/>
      <c r="D75" s="151" t="s">
        <v>139</v>
      </c>
      <c r="E75" s="95">
        <f>'13'!F75</f>
        <v>73830.69</v>
      </c>
      <c r="F75" s="123">
        <v>73830.69</v>
      </c>
      <c r="G75" s="112">
        <f t="shared" si="7"/>
        <v>0</v>
      </c>
      <c r="H75" s="99">
        <f>G75+'13'!H75</f>
        <v>243.88999999999942</v>
      </c>
      <c r="I75" s="154"/>
      <c r="J75" s="175">
        <f>H75/DAY(B2)</f>
        <v>17.420714285714244</v>
      </c>
      <c r="K75" s="69"/>
      <c r="L75" s="66"/>
      <c r="N75" s="87"/>
      <c r="O75" s="71"/>
    </row>
    <row r="76" spans="1:15" ht="27.75" customHeight="1" x14ac:dyDescent="0.5">
      <c r="A76" s="850" t="s">
        <v>222</v>
      </c>
      <c r="B76" s="836"/>
      <c r="C76" s="837"/>
      <c r="D76" s="151" t="s">
        <v>139</v>
      </c>
      <c r="E76" s="95">
        <f>'13'!F76</f>
        <v>165102</v>
      </c>
      <c r="F76" s="123">
        <v>165212</v>
      </c>
      <c r="G76" s="112">
        <f t="shared" si="7"/>
        <v>110</v>
      </c>
      <c r="H76" s="99">
        <f>G76+'13'!H76</f>
        <v>1828</v>
      </c>
      <c r="I76" s="154"/>
      <c r="J76" s="175">
        <f>H76/DAY(B2)</f>
        <v>130.57142857142858</v>
      </c>
      <c r="K76" s="69"/>
      <c r="L76" s="66"/>
      <c r="N76" s="87"/>
      <c r="O76" s="71"/>
    </row>
    <row r="77" spans="1:15" ht="27.75" customHeight="1" x14ac:dyDescent="0.5">
      <c r="A77" s="850" t="s">
        <v>223</v>
      </c>
      <c r="B77" s="836"/>
      <c r="C77" s="837"/>
      <c r="D77" s="151" t="s">
        <v>139</v>
      </c>
      <c r="E77" s="95">
        <f>'13'!F77</f>
        <v>39442</v>
      </c>
      <c r="F77" s="123">
        <v>39481</v>
      </c>
      <c r="G77" s="112">
        <f t="shared" si="7"/>
        <v>39</v>
      </c>
      <c r="H77" s="99">
        <f>G77+'13'!H77</f>
        <v>671</v>
      </c>
      <c r="I77" s="154"/>
      <c r="J77" s="175">
        <f>H77/DAY(B2)</f>
        <v>47.928571428571431</v>
      </c>
      <c r="K77" s="69"/>
      <c r="L77" s="66"/>
      <c r="N77" s="87"/>
      <c r="O77" s="71"/>
    </row>
    <row r="78" spans="1:15" ht="27.75" customHeight="1" x14ac:dyDescent="0.5">
      <c r="A78" s="850" t="s">
        <v>224</v>
      </c>
      <c r="B78" s="836"/>
      <c r="C78" s="837"/>
      <c r="D78" s="151" t="s">
        <v>139</v>
      </c>
      <c r="E78" s="95">
        <f>'13'!F78</f>
        <v>9452</v>
      </c>
      <c r="F78" s="123">
        <v>9452</v>
      </c>
      <c r="G78" s="112">
        <f t="shared" si="7"/>
        <v>0</v>
      </c>
      <c r="H78" s="99">
        <f>G78+'13'!H78</f>
        <v>40</v>
      </c>
      <c r="I78" s="118"/>
      <c r="J78" s="175">
        <f>H78/DAY(B2)</f>
        <v>2.8571428571428572</v>
      </c>
      <c r="K78" s="69"/>
      <c r="L78" s="66"/>
      <c r="N78" s="87"/>
      <c r="O78" s="71"/>
    </row>
    <row r="79" spans="1:15" s="57" customFormat="1" ht="27.75" customHeight="1" x14ac:dyDescent="0.5">
      <c r="A79" s="850" t="s">
        <v>225</v>
      </c>
      <c r="B79" s="836"/>
      <c r="C79" s="837"/>
      <c r="D79" s="151"/>
      <c r="E79" s="95">
        <f>'13'!F79</f>
        <v>0</v>
      </c>
      <c r="F79" s="117"/>
      <c r="G79" s="112">
        <f>G15-SUM(G74:G78)</f>
        <v>654</v>
      </c>
      <c r="H79" s="99">
        <f>G79+'13'!H79</f>
        <v>9205.1589999999997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1124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7" t="s">
        <v>227</v>
      </c>
      <c r="B82" s="348"/>
      <c r="C82" s="348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7" t="s">
        <v>229</v>
      </c>
      <c r="B83" s="348"/>
      <c r="C83" s="348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7" t="s">
        <v>230</v>
      </c>
      <c r="B84" s="348"/>
      <c r="C84" s="348"/>
      <c r="D84" s="151" t="s">
        <v>228</v>
      </c>
      <c r="E84" s="95">
        <f>'13'!F84</f>
        <v>41675.760000000002</v>
      </c>
      <c r="F84" s="164">
        <v>41675.760000000002</v>
      </c>
      <c r="G84" s="112">
        <f t="shared" si="8"/>
        <v>0</v>
      </c>
      <c r="H84" s="99">
        <f>G84+'13'!H84</f>
        <v>47.200000000004366</v>
      </c>
      <c r="I84" s="118"/>
      <c r="J84" s="175">
        <f>H84/DAY(B2)</f>
        <v>3.3714285714288832</v>
      </c>
      <c r="O84" s="71"/>
    </row>
    <row r="85" spans="1:15" ht="27.75" customHeight="1" x14ac:dyDescent="0.5">
      <c r="A85" s="347" t="s">
        <v>231</v>
      </c>
      <c r="B85" s="348"/>
      <c r="C85" s="348"/>
      <c r="D85" s="151" t="s">
        <v>228</v>
      </c>
      <c r="E85" s="95">
        <f>'13'!F85</f>
        <v>1717</v>
      </c>
      <c r="F85" s="164">
        <v>1724</v>
      </c>
      <c r="G85" s="112">
        <f t="shared" si="8"/>
        <v>7</v>
      </c>
      <c r="H85" s="99">
        <f>G85+'13'!H85</f>
        <v>220.44000000000005</v>
      </c>
      <c r="I85" s="118">
        <f>G82+G83+G84+G85</f>
        <v>7</v>
      </c>
      <c r="J85" s="175">
        <f>H85/DAY(B2)</f>
        <v>15.745714285714289</v>
      </c>
      <c r="O85" s="71"/>
    </row>
    <row r="86" spans="1:15" ht="27.75" customHeight="1" x14ac:dyDescent="0.5">
      <c r="A86" s="347" t="s">
        <v>232</v>
      </c>
      <c r="B86" s="348"/>
      <c r="C86" s="348"/>
      <c r="D86" s="151" t="s">
        <v>228</v>
      </c>
      <c r="E86" s="95">
        <f>'13'!F86</f>
        <v>42826.47</v>
      </c>
      <c r="F86" s="164">
        <v>42826.47</v>
      </c>
      <c r="G86" s="112">
        <f t="shared" si="8"/>
        <v>0</v>
      </c>
      <c r="H86" s="99">
        <f>G86+'13'!H86</f>
        <v>0.47000000000116415</v>
      </c>
      <c r="I86" s="118"/>
      <c r="J86" s="175">
        <f>H86/DAY(B2)</f>
        <v>3.3571428571511727E-2</v>
      </c>
      <c r="O86" s="71"/>
    </row>
    <row r="87" spans="1:15" ht="27.75" customHeight="1" x14ac:dyDescent="0.5">
      <c r="A87" s="347" t="s">
        <v>233</v>
      </c>
      <c r="B87" s="348"/>
      <c r="C87" s="348"/>
      <c r="D87" s="151" t="s">
        <v>228</v>
      </c>
      <c r="E87" s="95">
        <f>'13'!F87</f>
        <v>34555.26</v>
      </c>
      <c r="F87" s="164">
        <v>34575</v>
      </c>
      <c r="G87" s="112">
        <f t="shared" si="8"/>
        <v>19.739999999997963</v>
      </c>
      <c r="H87" s="99">
        <f>G87+'13'!H87</f>
        <v>154.59999999999854</v>
      </c>
      <c r="I87" s="118"/>
      <c r="J87" s="175">
        <f>H87/DAY(B2)</f>
        <v>11.04285714285704</v>
      </c>
      <c r="O87" s="71"/>
    </row>
    <row r="88" spans="1:15" ht="27.75" customHeight="1" x14ac:dyDescent="0.5">
      <c r="A88" s="347" t="s">
        <v>234</v>
      </c>
      <c r="B88" s="348"/>
      <c r="C88" s="348"/>
      <c r="D88" s="151" t="s">
        <v>228</v>
      </c>
      <c r="E88" s="95">
        <f>'13'!F88</f>
        <v>24005.53</v>
      </c>
      <c r="F88" s="164">
        <v>24005.53</v>
      </c>
      <c r="G88" s="112">
        <f t="shared" si="8"/>
        <v>0</v>
      </c>
      <c r="H88" s="99">
        <f>G88+'13'!H88</f>
        <v>53.039999999997235</v>
      </c>
      <c r="I88" s="118">
        <f>G86+G87+G88</f>
        <v>19.739999999997963</v>
      </c>
      <c r="J88" s="175">
        <f>H88/DAY(B2)</f>
        <v>3.7885714285712311</v>
      </c>
      <c r="O88" s="71"/>
    </row>
    <row r="89" spans="1:15" ht="27.75" customHeight="1" x14ac:dyDescent="0.5">
      <c r="A89" s="347" t="s">
        <v>235</v>
      </c>
      <c r="B89" s="348"/>
      <c r="C89" s="348"/>
      <c r="D89" s="151" t="s">
        <v>228</v>
      </c>
      <c r="E89" s="95">
        <f>'13'!F89</f>
        <v>25518.17</v>
      </c>
      <c r="F89" s="164">
        <v>25529.89</v>
      </c>
      <c r="G89" s="112">
        <f t="shared" si="8"/>
        <v>11.720000000001164</v>
      </c>
      <c r="H89" s="99">
        <f>G89+'13'!H89</f>
        <v>102.39999999999782</v>
      </c>
      <c r="I89" s="118"/>
      <c r="J89" s="175">
        <f>H89/DAY(B2)</f>
        <v>7.3142857142855586</v>
      </c>
      <c r="O89" s="71"/>
    </row>
    <row r="90" spans="1:15" ht="27.75" customHeight="1" x14ac:dyDescent="0.5">
      <c r="A90" s="347" t="s">
        <v>236</v>
      </c>
      <c r="B90" s="348"/>
      <c r="C90" s="348"/>
      <c r="D90" s="151" t="s">
        <v>228</v>
      </c>
      <c r="E90" s="95">
        <f>'13'!F90</f>
        <v>70921.03</v>
      </c>
      <c r="F90" s="164">
        <v>70927.199999999997</v>
      </c>
      <c r="G90" s="112">
        <f t="shared" si="8"/>
        <v>6.1699999999982538</v>
      </c>
      <c r="H90" s="99">
        <f>G90+'13'!H90</f>
        <v>98.929999999993015</v>
      </c>
      <c r="I90" s="118">
        <f>G89+G90</f>
        <v>17.889999999999418</v>
      </c>
      <c r="J90" s="175">
        <f>H90/DAY(B2)</f>
        <v>7.0664285714280721</v>
      </c>
      <c r="O90" s="71"/>
    </row>
    <row r="91" spans="1:15" ht="27.75" customHeight="1" x14ac:dyDescent="0.5">
      <c r="A91" s="347" t="s">
        <v>237</v>
      </c>
      <c r="B91" s="348"/>
      <c r="C91" s="348"/>
      <c r="D91" s="151" t="s">
        <v>228</v>
      </c>
      <c r="E91" s="95">
        <f>'13'!F91</f>
        <v>3226.32</v>
      </c>
      <c r="F91" s="122">
        <v>3226.32</v>
      </c>
      <c r="G91" s="112">
        <f t="shared" si="8"/>
        <v>0</v>
      </c>
      <c r="H91" s="99">
        <f>G91+'13'!H91</f>
        <v>0.32000000000016371</v>
      </c>
      <c r="I91" s="165"/>
      <c r="J91" s="175">
        <f>H91/DAY(B2)</f>
        <v>2.2857142857154549E-2</v>
      </c>
      <c r="O91" s="71"/>
    </row>
    <row r="92" spans="1:15" ht="27.75" customHeight="1" x14ac:dyDescent="0.5">
      <c r="A92" s="347" t="s">
        <v>238</v>
      </c>
      <c r="B92" s="348"/>
      <c r="C92" s="348"/>
      <c r="D92" s="151" t="s">
        <v>228</v>
      </c>
      <c r="E92" s="95">
        <f>'13'!F92</f>
        <v>5239.28</v>
      </c>
      <c r="F92" s="122">
        <v>5250.51</v>
      </c>
      <c r="G92" s="112">
        <f t="shared" si="8"/>
        <v>11.230000000000473</v>
      </c>
      <c r="H92" s="99">
        <f>G92+'13'!H92</f>
        <v>154.61000000000058</v>
      </c>
      <c r="I92" s="165"/>
      <c r="J92" s="175">
        <f>H92/DAY(B2)</f>
        <v>11.04357142857147</v>
      </c>
      <c r="O92" s="71"/>
    </row>
    <row r="93" spans="1:15" ht="27.75" customHeight="1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6658</v>
      </c>
      <c r="H94" s="99">
        <f>G94+'13'!H94</f>
        <v>91805.439999999915</v>
      </c>
      <c r="I94" s="118"/>
      <c r="J94" s="175">
        <f>H94/DAY(B2)</f>
        <v>6557.5314285714221</v>
      </c>
      <c r="K94" s="69"/>
      <c r="L94" s="66"/>
      <c r="O94" s="71"/>
    </row>
    <row r="95" spans="1:15" ht="27.75" customHeight="1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0.29280091472800035</v>
      </c>
      <c r="H95" s="99">
        <f>G95+'13'!H95</f>
        <v>3.8920685753077691</v>
      </c>
      <c r="I95" s="167"/>
      <c r="J95" s="175">
        <f>H95/DAY(B2)</f>
        <v>0.27800489823626923</v>
      </c>
      <c r="K95" s="69"/>
      <c r="L95" s="66"/>
      <c r="O95" s="71"/>
    </row>
    <row r="96" spans="1:15" ht="27.75" customHeight="1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3919</v>
      </c>
      <c r="H96" s="99">
        <f>G96+'13'!H96</f>
        <v>79798.350000000035</v>
      </c>
      <c r="I96" s="118"/>
      <c r="J96" s="175">
        <f>H96/DAY(B2)</f>
        <v>5699.8821428571455</v>
      </c>
      <c r="K96" s="69"/>
      <c r="L96" s="66"/>
      <c r="O96" s="71"/>
    </row>
    <row r="97" spans="1:15" ht="27.75" customHeight="1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0.17234706891244117</v>
      </c>
      <c r="H97" s="99">
        <f>G97+'13'!H97</f>
        <v>3.3727026171731587</v>
      </c>
      <c r="I97" s="167"/>
      <c r="J97" s="175">
        <f>H97/DAY(B2)</f>
        <v>0.24090732979808277</v>
      </c>
      <c r="K97" s="69"/>
      <c r="L97" s="66"/>
      <c r="O97" s="71"/>
    </row>
    <row r="98" spans="1:15" ht="27.75" customHeight="1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3022</v>
      </c>
      <c r="H98" s="99">
        <f>G98+'13'!H98</f>
        <v>41167.710000000021</v>
      </c>
      <c r="I98" s="168"/>
      <c r="J98" s="175">
        <f>H98/DAY(B2)</f>
        <v>2940.5507142857159</v>
      </c>
      <c r="K98" s="69"/>
      <c r="L98" s="66"/>
      <c r="O98" s="71"/>
    </row>
    <row r="99" spans="1:15" ht="27.75" customHeight="1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0.132899423897269</v>
      </c>
      <c r="H99" s="99">
        <f>G99+'13'!H99</f>
        <v>1.7465988405360198</v>
      </c>
      <c r="I99" s="168"/>
      <c r="J99" s="175">
        <f>H99/DAY(B2)</f>
        <v>0.12475706003828713</v>
      </c>
      <c r="O99" s="71"/>
    </row>
    <row r="100" spans="1:15" ht="27.75" customHeight="1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2029</v>
      </c>
      <c r="H100" s="99">
        <f>G100+'13'!H100</f>
        <v>28156.950000000012</v>
      </c>
      <c r="I100" s="118"/>
      <c r="J100" s="175">
        <f>H100/DAY(B2)</f>
        <v>2011.2107142857151</v>
      </c>
      <c r="K100" s="70"/>
      <c r="O100" s="71"/>
    </row>
    <row r="101" spans="1:15" ht="27.75" customHeight="1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8.9229957342011529E-2</v>
      </c>
      <c r="H101" s="99">
        <f>G101+'13'!H101</f>
        <v>1.1941997301514786</v>
      </c>
      <c r="I101" s="168"/>
      <c r="J101" s="175">
        <f>H101/DAY(B2)</f>
        <v>8.5299980725105612E-2</v>
      </c>
      <c r="O101" s="71"/>
    </row>
    <row r="102" spans="1:15" ht="27.75" customHeight="1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2327</v>
      </c>
      <c r="H102" s="99">
        <f>G102+'13'!H102</f>
        <v>34344.110000000059</v>
      </c>
      <c r="I102" s="168"/>
      <c r="J102" s="175">
        <f>H102/DAY(B2)</f>
        <v>2453.1507142857185</v>
      </c>
      <c r="O102" s="71"/>
    </row>
    <row r="103" spans="1:15" ht="27.75" customHeight="1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0.10233519503935969</v>
      </c>
      <c r="H103" s="99">
        <f>G103+'13'!H103</f>
        <v>1.4558406755472764</v>
      </c>
      <c r="I103" s="118"/>
      <c r="J103" s="175">
        <f>H103/DAY(B2)</f>
        <v>0.10398861968194831</v>
      </c>
      <c r="O103" s="71"/>
    </row>
    <row r="104" spans="1:15" ht="27.75" customHeight="1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1598</v>
      </c>
      <c r="H104" s="99">
        <f>G104+'13'!H104</f>
        <v>22903.260000000009</v>
      </c>
      <c r="I104" s="118"/>
      <c r="J104" s="175">
        <f>H104/DAY(B2)</f>
        <v>1635.9471428571435</v>
      </c>
      <c r="O104" s="71"/>
    </row>
    <row r="105" spans="1:15" ht="27.75" customHeight="1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7.0275737719336817E-2</v>
      </c>
      <c r="H105" s="99">
        <f>G105+'13'!H105</f>
        <v>0.97205500832420511</v>
      </c>
      <c r="I105" s="187"/>
      <c r="J105" s="188">
        <f>H105/DAY(B2)</f>
        <v>6.9432500594586083E-2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7.75" customHeight="1" x14ac:dyDescent="0.5">
      <c r="A109" s="845"/>
      <c r="B109" s="845"/>
    </row>
    <row r="110" spans="1:15" ht="27.75" customHeight="1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customHeight="1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customHeight="1" x14ac:dyDescent="0.5">
      <c r="A112" s="839" t="s">
        <v>252</v>
      </c>
      <c r="B112" s="840"/>
      <c r="C112" s="841"/>
      <c r="D112" s="146" t="s">
        <v>183</v>
      </c>
      <c r="E112" s="95">
        <f>'13'!F112</f>
        <v>54399</v>
      </c>
      <c r="F112" s="237">
        <v>54471</v>
      </c>
      <c r="G112" s="112">
        <f t="shared" ref="G112:G123" si="9">F112-E112</f>
        <v>72</v>
      </c>
      <c r="H112" s="99">
        <f>G112+'13'!H112</f>
        <v>1118.989999999998</v>
      </c>
      <c r="I112" s="165"/>
      <c r="J112" s="330">
        <f>H112/DAY(B2)</f>
        <v>79.927857142856993</v>
      </c>
    </row>
    <row r="113" spans="1:18" ht="27.75" customHeight="1" x14ac:dyDescent="0.5">
      <c r="A113" s="839" t="s">
        <v>253</v>
      </c>
      <c r="B113" s="840"/>
      <c r="C113" s="841"/>
      <c r="D113" s="146" t="s">
        <v>183</v>
      </c>
      <c r="E113" s="95">
        <f>'13'!F113</f>
        <v>23845</v>
      </c>
      <c r="F113" s="237">
        <v>24393</v>
      </c>
      <c r="G113" s="112">
        <f t="shared" si="9"/>
        <v>548</v>
      </c>
      <c r="H113" s="99">
        <f>G113+'13'!H113</f>
        <v>6436.4700000000012</v>
      </c>
      <c r="I113" s="165"/>
      <c r="J113" s="330">
        <f>H113/DAY(B2)</f>
        <v>459.74785714285724</v>
      </c>
    </row>
    <row r="114" spans="1:18" ht="27.75" customHeight="1" x14ac:dyDescent="0.5">
      <c r="A114" s="839" t="s">
        <v>254</v>
      </c>
      <c r="B114" s="840"/>
      <c r="C114" s="841"/>
      <c r="D114" s="146" t="s">
        <v>183</v>
      </c>
      <c r="E114" s="95">
        <f>'13'!F114</f>
        <v>18879</v>
      </c>
      <c r="F114" s="237">
        <v>19272</v>
      </c>
      <c r="G114" s="112">
        <f t="shared" si="9"/>
        <v>393</v>
      </c>
      <c r="H114" s="99">
        <f>G114+'13'!H114</f>
        <v>5344.9</v>
      </c>
      <c r="I114" s="165"/>
      <c r="J114" s="330">
        <f>H114/DAY(B2)</f>
        <v>381.77857142857141</v>
      </c>
    </row>
    <row r="115" spans="1:18" ht="27.75" customHeight="1" x14ac:dyDescent="0.5">
      <c r="A115" s="839" t="s">
        <v>255</v>
      </c>
      <c r="B115" s="840"/>
      <c r="C115" s="841"/>
      <c r="D115" s="146" t="s">
        <v>183</v>
      </c>
      <c r="E115" s="95">
        <f>'13'!F115</f>
        <v>8571</v>
      </c>
      <c r="F115" s="237">
        <v>8585</v>
      </c>
      <c r="G115" s="112">
        <f t="shared" si="9"/>
        <v>14</v>
      </c>
      <c r="H115" s="99">
        <f>G115+'13'!H115</f>
        <v>161.31999999999971</v>
      </c>
      <c r="I115" s="165"/>
      <c r="J115" s="330">
        <f>H115/DAY(B2)</f>
        <v>11.522857142857122</v>
      </c>
    </row>
    <row r="116" spans="1:18" ht="27.75" customHeight="1" x14ac:dyDescent="0.5">
      <c r="A116" s="857" t="s">
        <v>96</v>
      </c>
      <c r="B116" s="858"/>
      <c r="C116" s="859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27.75" customHeight="1" x14ac:dyDescent="0.5">
      <c r="A117" s="857" t="s">
        <v>184</v>
      </c>
      <c r="B117" s="858"/>
      <c r="C117" s="859"/>
      <c r="D117" s="146" t="s">
        <v>183</v>
      </c>
      <c r="E117" s="95">
        <f>'13'!F117</f>
        <v>2211</v>
      </c>
      <c r="F117" s="237">
        <v>2231</v>
      </c>
      <c r="G117" s="112">
        <f t="shared" si="9"/>
        <v>20</v>
      </c>
      <c r="H117" s="99">
        <f>G117+'13'!H117</f>
        <v>289.92000000000007</v>
      </c>
      <c r="I117" s="165"/>
      <c r="J117" s="330">
        <f>H117/DAY(B2)</f>
        <v>20.708571428571435</v>
      </c>
      <c r="Q117" s="839" t="s">
        <v>312</v>
      </c>
      <c r="R117" s="841"/>
    </row>
    <row r="118" spans="1:18" ht="27.75" customHeight="1" x14ac:dyDescent="0.5">
      <c r="A118" s="834" t="s">
        <v>97</v>
      </c>
      <c r="B118" s="834"/>
      <c r="C118" s="834"/>
      <c r="D118" s="151" t="s">
        <v>183</v>
      </c>
      <c r="E118" s="95">
        <f>'13'!F118</f>
        <v>234618</v>
      </c>
      <c r="F118" s="237">
        <v>235044</v>
      </c>
      <c r="G118" s="112">
        <f t="shared" si="9"/>
        <v>426</v>
      </c>
      <c r="H118" s="99">
        <f>G118+'13'!H118</f>
        <v>5206.2699999999895</v>
      </c>
      <c r="I118" s="165"/>
      <c r="J118" s="330">
        <f>H118/DAY(B2)</f>
        <v>371.87642857142782</v>
      </c>
      <c r="Q118" s="839" t="s">
        <v>311</v>
      </c>
      <c r="R118" s="841"/>
    </row>
    <row r="119" spans="1:18" ht="27.75" customHeight="1" x14ac:dyDescent="0.5">
      <c r="A119" s="834" t="s">
        <v>98</v>
      </c>
      <c r="B119" s="834"/>
      <c r="C119" s="834"/>
      <c r="D119" s="151" t="s">
        <v>183</v>
      </c>
      <c r="E119" s="95">
        <f>'13'!F119</f>
        <v>237446</v>
      </c>
      <c r="F119" s="237">
        <v>237861</v>
      </c>
      <c r="G119" s="112">
        <f t="shared" si="9"/>
        <v>415</v>
      </c>
      <c r="H119" s="99">
        <f>G119+'13'!H119</f>
        <v>6134.4700000000012</v>
      </c>
      <c r="I119" s="165"/>
      <c r="J119" s="330">
        <f>H119/DAY(B2)</f>
        <v>438.17642857142863</v>
      </c>
    </row>
    <row r="120" spans="1:18" ht="27.75" customHeight="1" x14ac:dyDescent="0.5">
      <c r="A120" s="834" t="s">
        <v>99</v>
      </c>
      <c r="B120" s="834"/>
      <c r="C120" s="834"/>
      <c r="D120" s="151" t="s">
        <v>183</v>
      </c>
      <c r="E120" s="95">
        <f>'13'!F120</f>
        <v>22680</v>
      </c>
      <c r="F120" s="237">
        <v>23066</v>
      </c>
      <c r="G120" s="112">
        <f t="shared" si="9"/>
        <v>386</v>
      </c>
      <c r="H120" s="99">
        <f>G120+'13'!H120</f>
        <v>5880.68</v>
      </c>
      <c r="I120" s="165"/>
      <c r="J120" s="330">
        <f>H120/DAY(B2)</f>
        <v>420.04857142857145</v>
      </c>
    </row>
    <row r="121" spans="1:18" ht="27.75" customHeight="1" x14ac:dyDescent="0.5">
      <c r="A121" s="834" t="s">
        <v>100</v>
      </c>
      <c r="B121" s="834"/>
      <c r="C121" s="834"/>
      <c r="D121" s="151" t="s">
        <v>183</v>
      </c>
      <c r="E121" s="95">
        <f>'13'!F121</f>
        <v>362622</v>
      </c>
      <c r="F121" s="237">
        <v>363373</v>
      </c>
      <c r="G121" s="112">
        <f t="shared" si="9"/>
        <v>751</v>
      </c>
      <c r="H121" s="99">
        <f>G121+'13'!H121</f>
        <v>10318.770000000019</v>
      </c>
      <c r="I121" s="165"/>
      <c r="J121" s="330">
        <f>H121/DAY(B2)</f>
        <v>737.05500000000131</v>
      </c>
    </row>
    <row r="122" spans="1:18" ht="27.75" customHeight="1" x14ac:dyDescent="0.5">
      <c r="A122" s="834" t="s">
        <v>101</v>
      </c>
      <c r="B122" s="834"/>
      <c r="C122" s="834"/>
      <c r="D122" s="151" t="s">
        <v>183</v>
      </c>
      <c r="E122" s="95">
        <f>'13'!F122</f>
        <v>115150</v>
      </c>
      <c r="F122" s="237">
        <v>115488</v>
      </c>
      <c r="G122" s="112">
        <f t="shared" si="9"/>
        <v>338</v>
      </c>
      <c r="H122" s="99">
        <f>G122+'13'!H122</f>
        <v>4478.2100000000064</v>
      </c>
      <c r="I122" s="165"/>
      <c r="J122" s="330">
        <f>H122/DAY(B2)</f>
        <v>319.87214285714333</v>
      </c>
    </row>
    <row r="123" spans="1:18" ht="27.75" customHeight="1" x14ac:dyDescent="0.5">
      <c r="A123" s="834" t="s">
        <v>102</v>
      </c>
      <c r="B123" s="834"/>
      <c r="C123" s="834"/>
      <c r="D123" s="151" t="s">
        <v>183</v>
      </c>
      <c r="E123" s="95">
        <f>'13'!F123</f>
        <v>138568</v>
      </c>
      <c r="F123" s="237">
        <v>138931</v>
      </c>
      <c r="G123" s="112">
        <f t="shared" si="9"/>
        <v>363</v>
      </c>
      <c r="H123" s="99">
        <f>G123+'13'!H123</f>
        <v>4565</v>
      </c>
      <c r="I123" s="165"/>
      <c r="J123" s="330">
        <f>H123/DAY(B2)</f>
        <v>326.07142857142856</v>
      </c>
    </row>
    <row r="124" spans="1:18" ht="27.75" customHeight="1" x14ac:dyDescent="0.5">
      <c r="A124" s="864"/>
      <c r="B124" s="865"/>
      <c r="C124" s="866"/>
      <c r="D124" s="165"/>
      <c r="E124" s="165"/>
      <c r="F124" s="165"/>
      <c r="G124" s="329"/>
      <c r="H124" s="156"/>
      <c r="I124" s="165"/>
      <c r="J124" s="329"/>
    </row>
    <row r="125" spans="1:18" ht="27.75" customHeight="1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3726</v>
      </c>
      <c r="H125" s="156"/>
      <c r="I125" s="329">
        <f>G125-(G39+G53)</f>
        <v>704</v>
      </c>
      <c r="J125" s="329"/>
    </row>
    <row r="126" spans="1:18" ht="27.75" customHeight="1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customHeight="1" x14ac:dyDescent="0.5">
      <c r="A127" s="870"/>
      <c r="B127" s="870"/>
      <c r="C127" s="245"/>
      <c r="D127" s="307"/>
      <c r="E127" s="308"/>
      <c r="F127" s="308"/>
      <c r="G127" s="309"/>
      <c r="H127" s="99">
        <f>G127+'13'!H127</f>
        <v>0</v>
      </c>
      <c r="I127" s="165"/>
      <c r="J127" s="330">
        <f>H127/DAY(B2)</f>
        <v>0</v>
      </c>
    </row>
    <row r="128" spans="1:18" ht="27.75" customHeight="1" x14ac:dyDescent="0.5">
      <c r="A128" s="839" t="s">
        <v>318</v>
      </c>
      <c r="B128" s="840"/>
      <c r="C128" s="841"/>
      <c r="D128" s="151" t="s">
        <v>183</v>
      </c>
      <c r="E128" s="95">
        <f>'13'!F128</f>
        <v>31888</v>
      </c>
      <c r="F128" s="165">
        <v>32278</v>
      </c>
      <c r="G128" s="112">
        <f t="shared" ref="G128:G134" si="10">F128-E128</f>
        <v>390</v>
      </c>
      <c r="H128" s="99">
        <f>G128+'13'!H128</f>
        <v>4673.630000000001</v>
      </c>
      <c r="I128" s="165"/>
      <c r="J128" s="330">
        <f>H128/DAY(B2)</f>
        <v>333.83071428571435</v>
      </c>
    </row>
    <row r="129" spans="1:15" ht="27.75" customHeight="1" x14ac:dyDescent="0.5">
      <c r="A129" s="331" t="s">
        <v>319</v>
      </c>
      <c r="B129" s="332"/>
      <c r="C129" s="333"/>
      <c r="D129" s="151" t="s">
        <v>183</v>
      </c>
      <c r="E129" s="95">
        <f>'13'!F129</f>
        <v>16194</v>
      </c>
      <c r="F129" s="165">
        <v>16474</v>
      </c>
      <c r="G129" s="112">
        <f t="shared" si="10"/>
        <v>280</v>
      </c>
      <c r="H129" s="99">
        <f>G129+'13'!H129</f>
        <v>3726.41</v>
      </c>
      <c r="I129" s="165"/>
      <c r="J129" s="330">
        <f>H129/DAY(B2)</f>
        <v>266.17214285714283</v>
      </c>
      <c r="N129" s="240"/>
      <c r="O129" s="241"/>
    </row>
    <row r="130" spans="1:15" ht="27.75" customHeight="1" x14ac:dyDescent="0.5">
      <c r="A130" s="331" t="s">
        <v>320</v>
      </c>
      <c r="B130" s="332"/>
      <c r="C130" s="333"/>
      <c r="D130" s="151" t="s">
        <v>183</v>
      </c>
      <c r="E130" s="95">
        <f>'13'!F130</f>
        <v>5668</v>
      </c>
      <c r="F130" s="165">
        <v>5917</v>
      </c>
      <c r="G130" s="112">
        <f t="shared" si="10"/>
        <v>249</v>
      </c>
      <c r="H130" s="99">
        <f>G130+'13'!H130</f>
        <v>3859.89</v>
      </c>
      <c r="I130" s="165"/>
      <c r="J130" s="330">
        <f>H130/DAY(B2)</f>
        <v>275.70642857142855</v>
      </c>
      <c r="N130" s="240"/>
      <c r="O130" s="241"/>
    </row>
    <row r="131" spans="1:15" ht="27.75" customHeight="1" x14ac:dyDescent="0.5">
      <c r="A131" s="839" t="s">
        <v>321</v>
      </c>
      <c r="B131" s="840"/>
      <c r="C131" s="841"/>
      <c r="D131" s="151" t="s">
        <v>183</v>
      </c>
      <c r="E131" s="95">
        <f>'13'!F131</f>
        <v>11174</v>
      </c>
      <c r="F131" s="165">
        <v>11351</v>
      </c>
      <c r="G131" s="112">
        <f t="shared" si="10"/>
        <v>177</v>
      </c>
      <c r="H131" s="99">
        <f>G131+'13'!H131</f>
        <v>2181.6499999999996</v>
      </c>
      <c r="I131" s="165"/>
      <c r="J131" s="330">
        <f>H131/DAY(B2)</f>
        <v>155.83214285714283</v>
      </c>
      <c r="N131" s="240"/>
      <c r="O131" s="241"/>
    </row>
    <row r="132" spans="1:15" ht="27.75" customHeight="1" x14ac:dyDescent="0.5">
      <c r="A132" s="839" t="s">
        <v>322</v>
      </c>
      <c r="B132" s="840"/>
      <c r="C132" s="841"/>
      <c r="D132" s="151" t="s">
        <v>183</v>
      </c>
      <c r="E132" s="95">
        <f>'13'!F132</f>
        <v>32143</v>
      </c>
      <c r="F132" s="165">
        <v>32624</v>
      </c>
      <c r="G132" s="112">
        <f t="shared" si="10"/>
        <v>481</v>
      </c>
      <c r="H132" s="99">
        <f>G132+'13'!H132</f>
        <v>6443.7599999999984</v>
      </c>
      <c r="I132" s="165"/>
      <c r="J132" s="330">
        <f>H132/DAY(B2)</f>
        <v>460.26857142857131</v>
      </c>
    </row>
    <row r="133" spans="1:15" ht="27.75" customHeight="1" x14ac:dyDescent="0.5">
      <c r="A133" s="839" t="s">
        <v>341</v>
      </c>
      <c r="B133" s="840"/>
      <c r="C133" s="841"/>
      <c r="D133" s="151" t="s">
        <v>183</v>
      </c>
      <c r="E133" s="95">
        <f>'13'!F133</f>
        <v>74477</v>
      </c>
      <c r="F133" s="165">
        <v>75310</v>
      </c>
      <c r="G133" s="112">
        <f t="shared" si="10"/>
        <v>833</v>
      </c>
      <c r="H133" s="99">
        <f>G133+'13'!H133</f>
        <v>11835.580000000002</v>
      </c>
      <c r="I133" s="165"/>
      <c r="J133" s="330">
        <f>H133/DAY(B2)</f>
        <v>845.39857142857159</v>
      </c>
    </row>
    <row r="134" spans="1:15" ht="27.75" customHeight="1" x14ac:dyDescent="0.5">
      <c r="A134" s="839" t="s">
        <v>340</v>
      </c>
      <c r="B134" s="840"/>
      <c r="C134" s="841"/>
      <c r="D134" s="151" t="s">
        <v>183</v>
      </c>
      <c r="E134" s="95">
        <f>'13'!F134</f>
        <v>659428</v>
      </c>
      <c r="F134" s="165">
        <v>660040</v>
      </c>
      <c r="G134" s="112">
        <f t="shared" si="10"/>
        <v>612</v>
      </c>
      <c r="H134" s="99">
        <f>G134+'13'!H134</f>
        <v>8833</v>
      </c>
      <c r="I134" s="165"/>
      <c r="J134" s="330">
        <f>H134/DAY(B2)</f>
        <v>630.92857142857144</v>
      </c>
    </row>
    <row r="135" spans="1:15" ht="27.75" customHeight="1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3022</v>
      </c>
      <c r="H135" s="119">
        <f>H128+H134</f>
        <v>13506.630000000001</v>
      </c>
      <c r="I135" s="329">
        <f>G135-(G35+G49)</f>
        <v>-868</v>
      </c>
      <c r="J135" s="330">
        <f>H135/DAY(B2)</f>
        <v>964.75928571428574</v>
      </c>
    </row>
    <row r="136" spans="1:15" ht="27.75" customHeight="1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customHeight="1" x14ac:dyDescent="0.5">
      <c r="A138" s="834" t="s">
        <v>185</v>
      </c>
      <c r="B138" s="834"/>
      <c r="C138" s="834"/>
      <c r="D138" s="151" t="s">
        <v>183</v>
      </c>
      <c r="E138" s="95">
        <f>'13'!F138</f>
        <v>862114</v>
      </c>
      <c r="F138" s="147">
        <v>862237</v>
      </c>
      <c r="G138" s="112">
        <f t="shared" ref="G138:G152" si="11">F138-E138</f>
        <v>123</v>
      </c>
      <c r="H138" s="99">
        <f>G138+'13'!H138</f>
        <v>975</v>
      </c>
      <c r="I138" s="118"/>
      <c r="J138" s="330">
        <f>H138/DAY(B2)</f>
        <v>69.642857142857139</v>
      </c>
    </row>
    <row r="139" spans="1:15" ht="27.75" customHeight="1" x14ac:dyDescent="0.5">
      <c r="A139" s="834" t="s">
        <v>186</v>
      </c>
      <c r="B139" s="834"/>
      <c r="C139" s="834"/>
      <c r="D139" s="151" t="s">
        <v>183</v>
      </c>
      <c r="E139" s="95">
        <f>'13'!F139</f>
        <v>886366</v>
      </c>
      <c r="F139" s="148">
        <v>886370</v>
      </c>
      <c r="G139" s="112">
        <f t="shared" si="11"/>
        <v>4</v>
      </c>
      <c r="H139" s="99">
        <f>G139+'13'!H139</f>
        <v>171</v>
      </c>
      <c r="I139" s="118"/>
      <c r="J139" s="330">
        <f>H139/DAY(B2)</f>
        <v>12.214285714285714</v>
      </c>
    </row>
    <row r="140" spans="1:15" ht="27.75" customHeight="1" x14ac:dyDescent="0.5">
      <c r="A140" s="834" t="s">
        <v>187</v>
      </c>
      <c r="B140" s="834"/>
      <c r="C140" s="834"/>
      <c r="D140" s="151" t="s">
        <v>183</v>
      </c>
      <c r="E140" s="95">
        <f>'13'!F140</f>
        <v>88864</v>
      </c>
      <c r="F140" s="149">
        <v>88864</v>
      </c>
      <c r="G140" s="112">
        <f t="shared" si="11"/>
        <v>0</v>
      </c>
      <c r="H140" s="99">
        <f>G140+'13'!H140</f>
        <v>15</v>
      </c>
      <c r="I140" s="118"/>
      <c r="J140" s="330">
        <f>H140/DAY(B2)</f>
        <v>1.0714285714285714</v>
      </c>
    </row>
    <row r="141" spans="1:15" ht="27.75" customHeight="1" x14ac:dyDescent="0.5">
      <c r="A141" s="838" t="s">
        <v>188</v>
      </c>
      <c r="B141" s="838"/>
      <c r="C141" s="838"/>
      <c r="D141" s="151" t="s">
        <v>183</v>
      </c>
      <c r="E141" s="95">
        <f>'13'!F141</f>
        <v>45712</v>
      </c>
      <c r="F141" s="149">
        <v>45897</v>
      </c>
      <c r="G141" s="112">
        <f t="shared" si="11"/>
        <v>185</v>
      </c>
      <c r="H141" s="99">
        <f>G141+'13'!H141</f>
        <v>2770.2699999999968</v>
      </c>
      <c r="I141" s="118"/>
      <c r="J141" s="330">
        <f>H141/DAY(B2)</f>
        <v>197.87642857142833</v>
      </c>
    </row>
    <row r="142" spans="1:15" ht="27.75" customHeight="1" x14ac:dyDescent="0.5">
      <c r="A142" s="838" t="s">
        <v>189</v>
      </c>
      <c r="B142" s="838"/>
      <c r="C142" s="838"/>
      <c r="D142" s="151" t="s">
        <v>183</v>
      </c>
      <c r="E142" s="95">
        <f>'13'!F142</f>
        <v>17689</v>
      </c>
      <c r="F142" s="148">
        <v>17744</v>
      </c>
      <c r="G142" s="112">
        <f t="shared" si="11"/>
        <v>55</v>
      </c>
      <c r="H142" s="99">
        <f>G142+'13'!H142</f>
        <v>283.5</v>
      </c>
      <c r="I142" s="140"/>
      <c r="J142" s="330">
        <f>H142/DAY(B2)</f>
        <v>20.25</v>
      </c>
    </row>
    <row r="143" spans="1:15" ht="27.75" customHeight="1" x14ac:dyDescent="0.5">
      <c r="A143" s="834" t="s">
        <v>91</v>
      </c>
      <c r="B143" s="834"/>
      <c r="C143" s="834"/>
      <c r="D143" s="151" t="s">
        <v>183</v>
      </c>
      <c r="E143" s="95">
        <f>'13'!F143</f>
        <v>2584</v>
      </c>
      <c r="F143" s="149">
        <v>2615</v>
      </c>
      <c r="G143" s="112">
        <f t="shared" si="11"/>
        <v>31</v>
      </c>
      <c r="H143" s="99">
        <f>G143+'13'!H143</f>
        <v>413.59999999999991</v>
      </c>
      <c r="I143" s="140"/>
      <c r="J143" s="330">
        <f>H143/DAY(B2)</f>
        <v>29.542857142857137</v>
      </c>
    </row>
    <row r="144" spans="1:15" ht="27.75" customHeight="1" x14ac:dyDescent="0.5">
      <c r="A144" s="838" t="s">
        <v>90</v>
      </c>
      <c r="B144" s="838"/>
      <c r="C144" s="838"/>
      <c r="D144" s="151" t="s">
        <v>183</v>
      </c>
      <c r="E144" s="95">
        <f>'13'!F144</f>
        <v>865390</v>
      </c>
      <c r="F144" s="149">
        <v>865623</v>
      </c>
      <c r="G144" s="112">
        <f t="shared" si="11"/>
        <v>233</v>
      </c>
      <c r="H144" s="99">
        <f>G144+'13'!H144</f>
        <v>3228</v>
      </c>
      <c r="I144" s="140"/>
      <c r="J144" s="330">
        <f>H144/DAY(B2)</f>
        <v>230.57142857142858</v>
      </c>
    </row>
    <row r="145" spans="1:10" ht="27.75" customHeight="1" x14ac:dyDescent="0.5">
      <c r="A145" s="834" t="s">
        <v>190</v>
      </c>
      <c r="B145" s="834"/>
      <c r="C145" s="834"/>
      <c r="D145" s="152" t="s">
        <v>183</v>
      </c>
      <c r="E145" s="95">
        <f>'13'!F145</f>
        <v>4057</v>
      </c>
      <c r="F145" s="149">
        <v>4112</v>
      </c>
      <c r="G145" s="112">
        <f t="shared" si="11"/>
        <v>55</v>
      </c>
      <c r="H145" s="99">
        <f>G145+'13'!H145</f>
        <v>693</v>
      </c>
      <c r="I145" s="140"/>
      <c r="J145" s="330">
        <f>H145/DAY(B2)</f>
        <v>49.5</v>
      </c>
    </row>
    <row r="146" spans="1:10" ht="27.75" customHeight="1" x14ac:dyDescent="0.5">
      <c r="A146" s="835" t="s">
        <v>191</v>
      </c>
      <c r="B146" s="836"/>
      <c r="C146" s="837"/>
      <c r="D146" s="152" t="s">
        <v>183</v>
      </c>
      <c r="E146" s="95">
        <f>'13'!F146</f>
        <v>716353</v>
      </c>
      <c r="F146" s="148">
        <v>716780</v>
      </c>
      <c r="G146" s="112">
        <f t="shared" si="11"/>
        <v>427</v>
      </c>
      <c r="H146" s="99">
        <f>G146+'13'!H146</f>
        <v>5895</v>
      </c>
      <c r="I146" s="140"/>
      <c r="J146" s="330">
        <f>H146/DAY(B2)</f>
        <v>421.07142857142856</v>
      </c>
    </row>
    <row r="147" spans="1:10" ht="27.75" customHeight="1" x14ac:dyDescent="0.5">
      <c r="A147" s="838" t="s">
        <v>192</v>
      </c>
      <c r="B147" s="838"/>
      <c r="C147" s="838"/>
      <c r="D147" s="152" t="s">
        <v>183</v>
      </c>
      <c r="E147" s="95">
        <f>'13'!F147</f>
        <v>607840</v>
      </c>
      <c r="F147" s="148">
        <v>608245</v>
      </c>
      <c r="G147" s="112">
        <f t="shared" si="11"/>
        <v>405</v>
      </c>
      <c r="H147" s="99">
        <f>G147+'13'!H147</f>
        <v>6259.9599999999627</v>
      </c>
      <c r="I147" s="140"/>
      <c r="J147" s="330">
        <f>H147/DAY(B2)</f>
        <v>447.13999999999731</v>
      </c>
    </row>
    <row r="148" spans="1:10" ht="27.75" customHeight="1" x14ac:dyDescent="0.5">
      <c r="A148" s="794" t="s">
        <v>193</v>
      </c>
      <c r="B148" s="795"/>
      <c r="C148" s="796"/>
      <c r="D148" s="123" t="s">
        <v>130</v>
      </c>
      <c r="E148" s="95">
        <f>'13'!F148</f>
        <v>677644</v>
      </c>
      <c r="F148" s="150">
        <v>677965</v>
      </c>
      <c r="G148" s="112">
        <f t="shared" si="11"/>
        <v>321</v>
      </c>
      <c r="H148" s="99">
        <f>G148+'13'!H148</f>
        <v>4175.3199999999488</v>
      </c>
      <c r="I148" s="124"/>
      <c r="J148" s="330">
        <f>H148/DAY(B2)</f>
        <v>298.23714285713919</v>
      </c>
    </row>
    <row r="149" spans="1:10" ht="27.75" customHeight="1" x14ac:dyDescent="0.5">
      <c r="A149" s="794" t="s">
        <v>336</v>
      </c>
      <c r="B149" s="795"/>
      <c r="C149" s="796"/>
      <c r="D149" s="227" t="s">
        <v>130</v>
      </c>
      <c r="E149" s="95">
        <f>'13'!F149</f>
        <v>570</v>
      </c>
      <c r="F149" s="146">
        <v>89195</v>
      </c>
      <c r="G149" s="112">
        <f t="shared" si="11"/>
        <v>88625</v>
      </c>
      <c r="H149" s="99">
        <f>G149+'13'!H149</f>
        <v>94056</v>
      </c>
      <c r="I149" s="119"/>
      <c r="J149" s="330">
        <f>H149/DAY(B2)</f>
        <v>6718.2857142857147</v>
      </c>
    </row>
    <row r="150" spans="1:10" ht="27.75" customHeight="1" x14ac:dyDescent="0.5">
      <c r="A150" s="794" t="s">
        <v>337</v>
      </c>
      <c r="B150" s="795"/>
      <c r="C150" s="796"/>
      <c r="D150" s="117" t="s">
        <v>130</v>
      </c>
      <c r="E150" s="95">
        <f>'13'!F150</f>
        <v>7167232</v>
      </c>
      <c r="F150" s="233">
        <v>7167232</v>
      </c>
      <c r="G150" s="112">
        <f t="shared" si="11"/>
        <v>0</v>
      </c>
      <c r="H150" s="99">
        <f>G150+'13'!H150</f>
        <v>0</v>
      </c>
      <c r="I150" s="119"/>
      <c r="J150" s="330">
        <f>H150/DAY(B2)</f>
        <v>0</v>
      </c>
    </row>
    <row r="151" spans="1:10" ht="27.75" customHeight="1" x14ac:dyDescent="0.5">
      <c r="A151" s="794" t="s">
        <v>338</v>
      </c>
      <c r="B151" s="795"/>
      <c r="C151" s="796"/>
      <c r="D151" s="117" t="s">
        <v>130</v>
      </c>
      <c r="E151" s="95">
        <f>'13'!F151</f>
        <v>73812</v>
      </c>
      <c r="F151" s="233">
        <v>74207</v>
      </c>
      <c r="G151" s="112">
        <f t="shared" si="11"/>
        <v>395</v>
      </c>
      <c r="H151" s="99">
        <f>G151+'13'!H151</f>
        <v>3485</v>
      </c>
      <c r="I151" s="119"/>
      <c r="J151" s="330">
        <f>H151/DAY(B2)</f>
        <v>248.92857142857142</v>
      </c>
    </row>
    <row r="152" spans="1:10" ht="27.75" customHeight="1" x14ac:dyDescent="0.5">
      <c r="A152" s="794" t="s">
        <v>339</v>
      </c>
      <c r="B152" s="795"/>
      <c r="C152" s="796"/>
      <c r="D152" s="117" t="s">
        <v>130</v>
      </c>
      <c r="E152" s="95">
        <f>'13'!F152</f>
        <v>195</v>
      </c>
      <c r="F152" s="233">
        <v>253</v>
      </c>
      <c r="G152" s="112">
        <f t="shared" si="11"/>
        <v>58</v>
      </c>
      <c r="H152" s="99">
        <f>G152+'13'!H152</f>
        <v>253</v>
      </c>
      <c r="I152" s="119"/>
      <c r="J152" s="330">
        <f>H152/DAY(B2)</f>
        <v>18.071428571428573</v>
      </c>
    </row>
    <row r="153" spans="1:10" ht="27.75" customHeight="1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90917</v>
      </c>
      <c r="H153" s="365"/>
      <c r="I153" s="119">
        <f>G153-(G38+G52)</f>
        <v>88888</v>
      </c>
      <c r="J153" s="368"/>
    </row>
    <row r="154" spans="1:10" ht="27.75" customHeight="1" x14ac:dyDescent="0.55000000000000004">
      <c r="A154" s="871"/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 customHeight="1" x14ac:dyDescent="0.55000000000000004">
      <c r="A155" s="838" t="s">
        <v>345</v>
      </c>
      <c r="B155" s="838"/>
      <c r="C155" s="838"/>
      <c r="D155" s="117" t="s">
        <v>130</v>
      </c>
      <c r="E155" s="95">
        <f>'13'!F155</f>
        <v>666</v>
      </c>
      <c r="F155" s="376">
        <v>1303</v>
      </c>
      <c r="G155" s="112">
        <f t="shared" ref="G155:G156" si="12">F155-E155</f>
        <v>637</v>
      </c>
      <c r="H155" s="99">
        <f>G155+'13'!H155</f>
        <v>1396</v>
      </c>
      <c r="I155" s="366"/>
      <c r="J155" s="330">
        <f>H155/DAY(B2)</f>
        <v>99.714285714285708</v>
      </c>
    </row>
    <row r="156" spans="1:10" ht="27.75" customHeight="1" x14ac:dyDescent="0.5">
      <c r="A156" s="838" t="s">
        <v>347</v>
      </c>
      <c r="B156" s="838"/>
      <c r="C156" s="838"/>
      <c r="D156" s="117" t="s">
        <v>130</v>
      </c>
      <c r="E156" s="95">
        <f>'13'!F156</f>
        <v>48</v>
      </c>
      <c r="F156" s="155">
        <v>100</v>
      </c>
      <c r="G156" s="112">
        <f t="shared" si="12"/>
        <v>52</v>
      </c>
      <c r="H156" s="99">
        <f>G156+'13'!H156</f>
        <v>100</v>
      </c>
      <c r="I156" s="165"/>
      <c r="J156" s="330">
        <f>H156/DAY(B2)</f>
        <v>7.1428571428571432</v>
      </c>
    </row>
    <row r="157" spans="1:10" ht="27.75" customHeight="1" x14ac:dyDescent="0.5">
      <c r="A157" s="794" t="s">
        <v>365</v>
      </c>
      <c r="B157" s="795"/>
      <c r="C157" s="796"/>
      <c r="D157" s="117" t="s">
        <v>130</v>
      </c>
      <c r="E157" s="95"/>
      <c r="F157" s="155"/>
      <c r="G157" s="112"/>
      <c r="H157" s="99"/>
      <c r="I157" s="165"/>
      <c r="J157" s="330"/>
    </row>
    <row r="158" spans="1:10" ht="27.75" customHeight="1" x14ac:dyDescent="0.5">
      <c r="A158" s="794" t="s">
        <v>366</v>
      </c>
      <c r="B158" s="795"/>
      <c r="C158" s="796"/>
      <c r="D158" s="117" t="s">
        <v>130</v>
      </c>
      <c r="E158" s="95"/>
      <c r="F158" s="165"/>
      <c r="G158" s="112"/>
      <c r="H158" s="99"/>
      <c r="I158" s="165"/>
      <c r="J158" s="330"/>
    </row>
    <row r="159" spans="1:10" ht="27.75" customHeight="1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27.75" customHeight="1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471123</v>
      </c>
      <c r="F161" s="235">
        <v>471128</v>
      </c>
      <c r="G161" s="238">
        <f t="shared" ref="G161:G165" si="13">F161-E161</f>
        <v>5</v>
      </c>
      <c r="H161" s="99">
        <f>G161+'13'!H161</f>
        <v>151.88000000000466</v>
      </c>
      <c r="I161" s="236"/>
      <c r="J161" s="239">
        <f>H161/DAY(B2)</f>
        <v>10.848571428571761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87040</v>
      </c>
      <c r="F162" s="235">
        <v>87077</v>
      </c>
      <c r="G162" s="238">
        <f t="shared" si="13"/>
        <v>37</v>
      </c>
      <c r="H162" s="99">
        <f>G162+'13'!H162</f>
        <v>475.30000000000291</v>
      </c>
      <c r="I162" s="236"/>
      <c r="J162" s="239">
        <f>H162/DAY(B2)</f>
        <v>33.950000000000209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76519</v>
      </c>
      <c r="F163" s="235">
        <v>76644</v>
      </c>
      <c r="G163" s="238">
        <f t="shared" si="13"/>
        <v>125</v>
      </c>
      <c r="H163" s="99">
        <f>G163+'13'!H163</f>
        <v>1184.1999999999971</v>
      </c>
      <c r="I163" s="236"/>
      <c r="J163" s="239">
        <f>H163/DAY(B2)</f>
        <v>84.585714285714076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4163</v>
      </c>
      <c r="F164" s="235">
        <v>4171</v>
      </c>
      <c r="G164" s="238">
        <f t="shared" si="13"/>
        <v>8</v>
      </c>
      <c r="H164" s="99">
        <f>G164+'13'!H164</f>
        <v>73.100000000000364</v>
      </c>
      <c r="I164" s="236"/>
      <c r="J164" s="239">
        <f>H164/DAY(B2)</f>
        <v>5.2214285714285973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29522</v>
      </c>
      <c r="F165" s="235">
        <v>29531</v>
      </c>
      <c r="G165" s="238">
        <f t="shared" si="13"/>
        <v>9</v>
      </c>
      <c r="H165" s="99">
        <f>G165+'13'!H165</f>
        <v>102.06880000000092</v>
      </c>
      <c r="I165" s="236"/>
      <c r="J165" s="239">
        <f>H165/DAY(B2)</f>
        <v>7.2906285714286367</v>
      </c>
    </row>
    <row r="166" spans="1:10" ht="27.75" customHeight="1" x14ac:dyDescent="0.5">
      <c r="A166" s="870"/>
      <c r="B166" s="870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870"/>
      <c r="B167" s="870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870"/>
      <c r="B168" s="870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customHeight="1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31" t="s">
        <v>209</v>
      </c>
      <c r="B173" s="832"/>
      <c r="C173" s="335"/>
      <c r="D173" s="228" t="s">
        <v>142</v>
      </c>
      <c r="E173" s="95">
        <f>'13'!F173</f>
        <v>8110</v>
      </c>
      <c r="F173" s="155">
        <v>8110</v>
      </c>
      <c r="G173" s="155">
        <f>F173-E173</f>
        <v>0</v>
      </c>
      <c r="H173" s="99">
        <f>G173+'13'!H173</f>
        <v>3</v>
      </c>
      <c r="I173" s="155"/>
      <c r="J173" s="178">
        <f>H173/DAY(B2)</f>
        <v>0.21428571428571427</v>
      </c>
    </row>
    <row r="174" spans="1:10" ht="27.75" customHeight="1" x14ac:dyDescent="0.5">
      <c r="A174" s="831" t="s">
        <v>75</v>
      </c>
      <c r="B174" s="832"/>
      <c r="C174" s="335"/>
      <c r="D174" s="228" t="s">
        <v>142</v>
      </c>
      <c r="E174" s="95">
        <v>38021</v>
      </c>
      <c r="F174" s="157">
        <v>38037</v>
      </c>
      <c r="G174" s="155">
        <f t="shared" ref="G174:G175" si="14">F174-E174</f>
        <v>16</v>
      </c>
      <c r="H174" s="99">
        <f>G174+'13'!H174</f>
        <v>235</v>
      </c>
      <c r="I174" s="155"/>
      <c r="J174" s="178">
        <f>H174/DAY(B2)</f>
        <v>16.785714285714285</v>
      </c>
    </row>
    <row r="175" spans="1:10" ht="27.75" customHeight="1" x14ac:dyDescent="0.5">
      <c r="A175" s="831" t="s">
        <v>76</v>
      </c>
      <c r="B175" s="833"/>
      <c r="C175" s="832"/>
      <c r="D175" s="228" t="s">
        <v>142</v>
      </c>
      <c r="E175" s="95">
        <f>'13'!F175</f>
        <v>21305</v>
      </c>
      <c r="F175" s="155">
        <v>21319</v>
      </c>
      <c r="G175" s="155">
        <f t="shared" si="14"/>
        <v>14</v>
      </c>
      <c r="H175" s="99">
        <f>G175+'13'!H175</f>
        <v>182</v>
      </c>
      <c r="I175" s="155"/>
      <c r="J175" s="178">
        <f>H175/DAY(B2)</f>
        <v>13</v>
      </c>
    </row>
    <row r="176" spans="1:10" ht="27.75" customHeight="1" x14ac:dyDescent="0.5">
      <c r="A176" s="867" t="s">
        <v>196</v>
      </c>
      <c r="B176" s="868"/>
      <c r="C176" s="529"/>
      <c r="D176" s="228" t="s">
        <v>142</v>
      </c>
      <c r="E176" s="95"/>
      <c r="F176" s="155"/>
      <c r="G176" s="155">
        <f>SUM(G173:G175)</f>
        <v>30</v>
      </c>
      <c r="H176" s="99">
        <f>G176+'13'!H176</f>
        <v>420</v>
      </c>
      <c r="I176" s="155"/>
      <c r="J176" s="178">
        <f>H176/DAY(B2)</f>
        <v>30</v>
      </c>
    </row>
    <row r="177" spans="1:10" ht="27.75" customHeight="1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831" t="s">
        <v>210</v>
      </c>
      <c r="B178" s="832"/>
      <c r="C178" s="335"/>
      <c r="D178" s="228" t="s">
        <v>142</v>
      </c>
      <c r="E178" s="95">
        <f>'13'!F178</f>
        <v>78358</v>
      </c>
      <c r="F178" s="155">
        <v>78413</v>
      </c>
      <c r="G178" s="155">
        <f>F178-E178</f>
        <v>55</v>
      </c>
      <c r="H178" s="99">
        <f>G178+'13'!H178</f>
        <v>1061</v>
      </c>
      <c r="I178" s="155"/>
      <c r="J178" s="178">
        <f>H178/DAY(B2)</f>
        <v>75.785714285714292</v>
      </c>
    </row>
    <row r="179" spans="1:10" ht="27.75" customHeight="1" x14ac:dyDescent="0.5">
      <c r="A179" s="831" t="s">
        <v>211</v>
      </c>
      <c r="B179" s="832"/>
      <c r="C179" s="335"/>
      <c r="D179" s="228" t="s">
        <v>142</v>
      </c>
      <c r="E179" s="95">
        <f>'13'!F179</f>
        <v>33888</v>
      </c>
      <c r="F179" s="155">
        <v>33888</v>
      </c>
      <c r="G179" s="155">
        <f t="shared" ref="G179:G180" si="15">F179-E179</f>
        <v>0</v>
      </c>
      <c r="H179" s="99">
        <f>G179+'13'!H179</f>
        <v>2</v>
      </c>
      <c r="I179" s="155"/>
      <c r="J179" s="178">
        <f>H179/DAY(B2)</f>
        <v>0.14285714285714285</v>
      </c>
    </row>
    <row r="180" spans="1:10" ht="27.75" customHeight="1" x14ac:dyDescent="0.5">
      <c r="A180" s="831" t="s">
        <v>212</v>
      </c>
      <c r="B180" s="832"/>
      <c r="C180" s="335"/>
      <c r="D180" s="228" t="s">
        <v>142</v>
      </c>
      <c r="E180" s="95">
        <f>'13'!F180</f>
        <v>5351</v>
      </c>
      <c r="F180" s="155">
        <v>5363</v>
      </c>
      <c r="G180" s="155">
        <f t="shared" si="15"/>
        <v>12</v>
      </c>
      <c r="H180" s="99">
        <f>G180+'13'!H180</f>
        <v>90</v>
      </c>
      <c r="I180" s="155"/>
      <c r="J180" s="178">
        <f>H180/DAY(B2)</f>
        <v>6.4285714285714288</v>
      </c>
    </row>
    <row r="181" spans="1:10" ht="27.75" customHeight="1" x14ac:dyDescent="0.5">
      <c r="A181" s="872" t="s">
        <v>108</v>
      </c>
      <c r="B181" s="873"/>
      <c r="C181" s="529"/>
      <c r="D181" s="228" t="s">
        <v>142</v>
      </c>
      <c r="E181" s="95"/>
      <c r="F181" s="155" t="s">
        <v>207</v>
      </c>
      <c r="G181" s="155">
        <f>SUM(G178:G180)</f>
        <v>67</v>
      </c>
      <c r="H181" s="99">
        <f>G181+'13'!H181</f>
        <v>1153</v>
      </c>
      <c r="I181" s="155"/>
      <c r="J181" s="178">
        <f>H181/DAY(B2)</f>
        <v>82.357142857142861</v>
      </c>
    </row>
    <row r="182" spans="1:10" ht="27.75" customHeight="1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831" t="s">
        <v>214</v>
      </c>
      <c r="B183" s="832"/>
      <c r="C183" s="336"/>
      <c r="D183" s="228" t="s">
        <v>142</v>
      </c>
      <c r="E183" s="95">
        <f>'13'!F183</f>
        <v>14688</v>
      </c>
      <c r="F183" s="157">
        <v>14697</v>
      </c>
      <c r="G183" s="157">
        <f>F183-E183</f>
        <v>9</v>
      </c>
      <c r="H183" s="99">
        <f>G183+'13'!H183</f>
        <v>201</v>
      </c>
      <c r="I183" s="155"/>
      <c r="J183" s="178">
        <f>H183/DAY(B2)</f>
        <v>14.357142857142858</v>
      </c>
    </row>
    <row r="184" spans="1:10" ht="27.75" customHeight="1" x14ac:dyDescent="0.5">
      <c r="A184" s="831" t="s">
        <v>215</v>
      </c>
      <c r="B184" s="832"/>
      <c r="C184" s="336"/>
      <c r="D184" s="228" t="s">
        <v>142</v>
      </c>
      <c r="E184" s="95">
        <f>'13'!F184</f>
        <v>10148</v>
      </c>
      <c r="F184" s="157">
        <v>10157</v>
      </c>
      <c r="G184" s="157">
        <f t="shared" ref="G184:G185" si="16">F184-E184</f>
        <v>9</v>
      </c>
      <c r="H184" s="99">
        <f>G184+'13'!H184</f>
        <v>126</v>
      </c>
      <c r="I184" s="155"/>
      <c r="J184" s="178">
        <f>H184/DAY(B2)</f>
        <v>9</v>
      </c>
    </row>
    <row r="185" spans="1:10" ht="27.75" customHeight="1" x14ac:dyDescent="0.5">
      <c r="A185" s="831" t="s">
        <v>216</v>
      </c>
      <c r="B185" s="832"/>
      <c r="C185" s="336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867" t="s">
        <v>196</v>
      </c>
      <c r="B186" s="868"/>
      <c r="C186" s="528"/>
      <c r="D186" s="228" t="s">
        <v>142</v>
      </c>
      <c r="E186" s="95"/>
      <c r="F186" s="157"/>
      <c r="G186" s="157">
        <f>SUM(G183:G185)</f>
        <v>18</v>
      </c>
      <c r="H186" s="99">
        <f>G186+'13'!H186</f>
        <v>327</v>
      </c>
      <c r="I186" s="157"/>
      <c r="J186" s="178">
        <f>H186/DAY(B2)</f>
        <v>23.357142857142858</v>
      </c>
    </row>
    <row r="187" spans="1:10" ht="27.75" customHeight="1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506">
        <f>G62+G19</f>
        <v>195</v>
      </c>
      <c r="H187" s="99">
        <f>G187+'13'!H187</f>
        <v>2512</v>
      </c>
      <c r="I187" s="158"/>
      <c r="J187" s="179">
        <f>H187/DAY(B2)</f>
        <v>179.42857142857142</v>
      </c>
    </row>
    <row r="188" spans="1:10" ht="27.75" customHeight="1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172</v>
      </c>
      <c r="H188" s="99"/>
      <c r="I188" s="158"/>
      <c r="J188" s="533">
        <f>H188/DAY(B2)</f>
        <v>0</v>
      </c>
    </row>
    <row r="189" spans="1:10" ht="27.75" customHeight="1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67</v>
      </c>
      <c r="H189" s="99">
        <f>G189+'13'!H189</f>
        <v>1153</v>
      </c>
      <c r="I189" s="158"/>
      <c r="J189" s="179">
        <f>H189/DAY(B2)</f>
        <v>82.357142857142861</v>
      </c>
    </row>
    <row r="190" spans="1:10" ht="27.75" customHeight="1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21" zoomScale="55" zoomScaleNormal="80" zoomScaleSheetLayoutView="55" workbookViewId="0">
      <selection activeCell="F132" sqref="F13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368</v>
      </c>
      <c r="B2" s="262">
        <v>44545</v>
      </c>
      <c r="C2" s="350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26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731264</v>
      </c>
      <c r="F7" s="95">
        <v>754450</v>
      </c>
      <c r="G7" s="603">
        <f>F7-E7</f>
        <v>23186</v>
      </c>
      <c r="H7" s="99">
        <f>G7+'14'!H7</f>
        <v>353608</v>
      </c>
      <c r="I7" s="113">
        <f>'1'!I7</f>
        <v>12000</v>
      </c>
      <c r="J7" s="175">
        <f>H7/DAY(B2)</f>
        <v>23573.866666666665</v>
      </c>
      <c r="K7" s="172">
        <v>1375467</v>
      </c>
      <c r="L7" s="66"/>
      <c r="N7" s="87">
        <f>E7-1000000</f>
        <v>-268736</v>
      </c>
      <c r="O7" s="71">
        <f>6359+17763</f>
        <v>24122</v>
      </c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773384</v>
      </c>
      <c r="F8" s="95">
        <v>796968</v>
      </c>
      <c r="G8" s="607">
        <f>F8-E8</f>
        <v>23584</v>
      </c>
      <c r="H8" s="99">
        <f>G8+'14'!H8</f>
        <v>358673</v>
      </c>
      <c r="I8" s="116"/>
      <c r="J8" s="175">
        <f>H8/DAY(B2)</f>
        <v>23911.533333333333</v>
      </c>
      <c r="K8" s="172">
        <v>1715917</v>
      </c>
      <c r="L8" s="76">
        <v>1728480</v>
      </c>
      <c r="M8" s="87">
        <f>L8-K8</f>
        <v>12563</v>
      </c>
      <c r="N8" s="87">
        <f>E8-1100000</f>
        <v>-326616</v>
      </c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1964688</v>
      </c>
      <c r="F9" s="659">
        <v>1982629</v>
      </c>
      <c r="G9" s="112">
        <f>F9-E9</f>
        <v>17941</v>
      </c>
      <c r="H9" s="99">
        <f>G9+'14'!H9</f>
        <v>263531.30000000005</v>
      </c>
      <c r="I9" s="124">
        <f>I7-J7</f>
        <v>-11573.866666666665</v>
      </c>
      <c r="J9" s="175">
        <f>H9/DAY(B2)</f>
        <v>17568.753333333338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481876</v>
      </c>
      <c r="F10" s="355">
        <v>486431</v>
      </c>
      <c r="G10" s="112">
        <f t="shared" ref="G10:G12" si="0">F10-E10</f>
        <v>4555</v>
      </c>
      <c r="H10" s="99">
        <f>G10+'14'!H10</f>
        <v>80348.570000000007</v>
      </c>
      <c r="I10" s="282"/>
      <c r="J10" s="175">
        <f>H10/DAY(B2)</f>
        <v>5356.5713333333342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si="0"/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22496</v>
      </c>
      <c r="H13" s="99">
        <f>G13+'14'!H13</f>
        <v>321829</v>
      </c>
      <c r="I13" s="120">
        <f>G7-G13</f>
        <v>690</v>
      </c>
      <c r="J13" s="175">
        <f>H13/DAY(B2)</f>
        <v>21455.266666666666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'14'!F15</f>
        <v>1859550</v>
      </c>
      <c r="F15" s="123">
        <v>1860728.13</v>
      </c>
      <c r="G15" s="112">
        <f>(F15-E15)</f>
        <v>1178.1299999998882</v>
      </c>
      <c r="H15" s="99">
        <f>G15+'14'!H15</f>
        <v>17580.129999999888</v>
      </c>
      <c r="I15" s="113">
        <f>'1'!I15</f>
        <v>800</v>
      </c>
      <c r="J15" s="175">
        <f>H15/DAY(B2)</f>
        <v>1172.0086666666591</v>
      </c>
      <c r="K15" s="79"/>
      <c r="L15" s="66"/>
      <c r="N15" s="87">
        <v>720584</v>
      </c>
      <c r="O15" s="71">
        <f>N15-F15</f>
        <v>-1140144.1299999999</v>
      </c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-372.00866666665911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'14'!F18</f>
        <v>24</v>
      </c>
      <c r="F18" s="122">
        <v>19</v>
      </c>
      <c r="G18" s="119">
        <f>F18*10</f>
        <v>190</v>
      </c>
      <c r="H18" s="99">
        <f>G18+'14'!H18</f>
        <v>3180</v>
      </c>
      <c r="I18" s="113">
        <f>'1'!I18</f>
        <v>65</v>
      </c>
      <c r="J18" s="175">
        <f>H18/DAY(B2)</f>
        <v>212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'14'!F19</f>
        <v>151331</v>
      </c>
      <c r="F19" s="122">
        <v>151381</v>
      </c>
      <c r="G19" s="112">
        <f t="shared" ref="G19" si="1">F19-E19</f>
        <v>50</v>
      </c>
      <c r="H19" s="99">
        <f>G19+'14'!H19</f>
        <v>797</v>
      </c>
      <c r="I19" s="337"/>
      <c r="J19" s="175">
        <f>H19/DAY(B2)</f>
        <v>53.133333333333333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240</v>
      </c>
      <c r="H20" s="99">
        <f>G20+'14'!H20</f>
        <v>3977</v>
      </c>
      <c r="I20" s="338">
        <f>I18-J20</f>
        <v>-200.13333333333333</v>
      </c>
      <c r="J20" s="175">
        <f>H20/DAY(B2)</f>
        <v>265.13333333333333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'14'!F23</f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23584</v>
      </c>
      <c r="F27" s="136">
        <v>9</v>
      </c>
      <c r="G27" s="137">
        <f>E27*F27</f>
        <v>212256</v>
      </c>
      <c r="H27" s="99">
        <f>G27+'14'!H27</f>
        <v>3228057</v>
      </c>
      <c r="I27" s="138"/>
      <c r="J27" s="175">
        <f>H27/DAY(B2)</f>
        <v>215203.8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1178.1299999998882</v>
      </c>
      <c r="F28" s="136">
        <v>52</v>
      </c>
      <c r="G28" s="137">
        <f>E28*F28</f>
        <v>61262.759999994189</v>
      </c>
      <c r="H28" s="99">
        <f>G28+'14'!H28</f>
        <v>914166.75999999419</v>
      </c>
      <c r="I28" s="140"/>
      <c r="J28" s="175">
        <f>H28/DAY(B2)</f>
        <v>60944.450666666278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G30+'14'!H30</f>
        <v>116362</v>
      </c>
      <c r="I30" s="140"/>
      <c r="J30" s="175">
        <f>H30/DAY(B2)</f>
        <v>7757.4666666666662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G31+'14'!H31</f>
        <v>254400</v>
      </c>
      <c r="I31" s="140"/>
      <c r="J31" s="175">
        <f>H31/DAY(B2)</f>
        <v>16960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296018.75999999419</v>
      </c>
      <c r="H32" s="99">
        <f>G32+'14'!H32</f>
        <v>4512985.7599999942</v>
      </c>
      <c r="I32" s="144"/>
      <c r="J32" s="175">
        <f>H32/DAY(B2)</f>
        <v>300865.71733333293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122975</v>
      </c>
      <c r="F35" s="145">
        <v>125000</v>
      </c>
      <c r="G35" s="112">
        <f t="shared" ref="G35:G46" si="3">F35-E35</f>
        <v>2025</v>
      </c>
      <c r="H35" s="99">
        <f>G35+'14'!H35</f>
        <v>31465.369999999995</v>
      </c>
      <c r="I35" s="95"/>
      <c r="J35" s="175">
        <f>H35/DAY(B2)</f>
        <v>2097.6913333333332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4316</v>
      </c>
      <c r="F36" s="145">
        <v>5415</v>
      </c>
      <c r="G36" s="112">
        <f t="shared" si="3"/>
        <v>1099</v>
      </c>
      <c r="H36" s="99">
        <f>G36+'14'!H36</f>
        <v>15681.300000000003</v>
      </c>
      <c r="I36" s="95"/>
      <c r="J36" s="175">
        <f>H36/DAY(B2)</f>
        <v>1045.4200000000003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168410</v>
      </c>
      <c r="F37" s="145">
        <v>169953</v>
      </c>
      <c r="G37" s="112">
        <f t="shared" si="3"/>
        <v>1543</v>
      </c>
      <c r="H37" s="99">
        <f>G37+'14'!H37</f>
        <v>24446.260000000009</v>
      </c>
      <c r="I37" s="95"/>
      <c r="J37" s="175">
        <f>H37/DAY(B2)</f>
        <v>1629.7506666666673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199161</v>
      </c>
      <c r="F38" s="108">
        <v>201092</v>
      </c>
      <c r="G38" s="112">
        <f t="shared" si="3"/>
        <v>1931</v>
      </c>
      <c r="H38" s="99">
        <f>G38+'14'!H38</f>
        <v>30087.950000000012</v>
      </c>
      <c r="I38" s="95"/>
      <c r="J38" s="175">
        <f>H38/DAY(B2)</f>
        <v>2005.8633333333341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362831</v>
      </c>
      <c r="F39" s="145">
        <v>365770</v>
      </c>
      <c r="G39" s="112">
        <f t="shared" si="3"/>
        <v>2939</v>
      </c>
      <c r="H39" s="99">
        <f>G39+'14'!H39</f>
        <v>44106.710000000021</v>
      </c>
      <c r="I39" s="95"/>
      <c r="J39" s="175">
        <f>H39/DAY(B2)</f>
        <v>2940.4473333333349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120</v>
      </c>
      <c r="F40" s="145">
        <v>120</v>
      </c>
      <c r="G40" s="112">
        <f t="shared" si="3"/>
        <v>0</v>
      </c>
      <c r="H40" s="99">
        <f>G40+'14'!H40</f>
        <v>8.7800000000000011</v>
      </c>
      <c r="I40" s="95"/>
      <c r="J40" s="175">
        <f>H40/DAY(B2)</f>
        <v>0.58533333333333337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0</v>
      </c>
      <c r="F41" s="145">
        <v>0</v>
      </c>
      <c r="G41" s="112">
        <f t="shared" si="3"/>
        <v>0</v>
      </c>
      <c r="H41" s="99">
        <f>G41+'14'!H41</f>
        <v>9386.2900000000373</v>
      </c>
      <c r="I41" s="95"/>
      <c r="J41" s="175">
        <f>H41/DAY(B2)</f>
        <v>625.75266666666914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1294</v>
      </c>
      <c r="F42" s="145">
        <v>5730</v>
      </c>
      <c r="G42" s="112">
        <f t="shared" si="3"/>
        <v>4436</v>
      </c>
      <c r="H42" s="99">
        <f>G42+'14'!H42</f>
        <v>47336.010000000009</v>
      </c>
      <c r="I42" s="95"/>
      <c r="J42" s="175">
        <f>H42/DAY(B2)</f>
        <v>3155.7340000000008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4485</v>
      </c>
      <c r="F43" s="145">
        <v>7233</v>
      </c>
      <c r="G43" s="112">
        <f t="shared" si="3"/>
        <v>2748</v>
      </c>
      <c r="H43" s="99">
        <f>G43+'14'!H43</f>
        <v>40638.399999999907</v>
      </c>
      <c r="I43" s="95"/>
      <c r="J43" s="175">
        <f>H43/DAY(B2)</f>
        <v>2709.2266666666605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16721</v>
      </c>
      <c r="H47" s="99">
        <f>G47+'14'!H47</f>
        <v>243157.07</v>
      </c>
      <c r="I47" s="95"/>
      <c r="J47" s="175">
        <f>H47/DAY(B2)</f>
        <v>16210.471333333333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244988</v>
      </c>
      <c r="F49" s="145">
        <v>246760</v>
      </c>
      <c r="G49" s="112">
        <f t="shared" ref="G49:G58" si="4">F49-E49</f>
        <v>1772</v>
      </c>
      <c r="H49" s="99">
        <f>G49+'14'!H49</f>
        <v>26246.670000000013</v>
      </c>
      <c r="I49" s="95"/>
      <c r="J49" s="175">
        <f>H49/DAY(B2)</f>
        <v>1749.7780000000009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3910</v>
      </c>
      <c r="F50" s="145">
        <v>5492</v>
      </c>
      <c r="G50" s="112">
        <f t="shared" si="4"/>
        <v>1582</v>
      </c>
      <c r="H50" s="99">
        <f>G50+'14'!H50</f>
        <v>21343.810000000056</v>
      </c>
      <c r="I50" s="95"/>
      <c r="J50" s="175">
        <f>H50/DAY(B2)</f>
        <v>1422.9206666666703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3108</v>
      </c>
      <c r="F54" s="145">
        <v>3113</v>
      </c>
      <c r="G54" s="112">
        <f t="shared" si="4"/>
        <v>5</v>
      </c>
      <c r="H54" s="99">
        <f>G54+'14'!H54</f>
        <v>81.7199999999998</v>
      </c>
      <c r="I54" s="95"/>
      <c r="J54" s="175">
        <f>H54/DAY(B2)</f>
        <v>5.4479999999999871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0</v>
      </c>
      <c r="F55" s="145">
        <v>0</v>
      </c>
      <c r="G55" s="112">
        <f t="shared" si="4"/>
        <v>0</v>
      </c>
      <c r="H55" s="99">
        <f>G55+'14'!H55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5962</v>
      </c>
      <c r="F56" s="145">
        <v>6713</v>
      </c>
      <c r="G56" s="112">
        <f t="shared" si="4"/>
        <v>751</v>
      </c>
      <c r="H56" s="99">
        <f>G56+'14'!H56</f>
        <v>28263.049999999988</v>
      </c>
      <c r="I56" s="95"/>
      <c r="J56" s="175">
        <f>H56/DAY(B2)</f>
        <v>1884.2033333333325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88567</v>
      </c>
      <c r="F58" s="145">
        <v>88818</v>
      </c>
      <c r="G58" s="112">
        <f t="shared" si="4"/>
        <v>251</v>
      </c>
      <c r="H58" s="99">
        <f>G58+'14'!H58</f>
        <v>3493.1499999999942</v>
      </c>
      <c r="I58" s="95"/>
      <c r="J58" s="175">
        <f>H58/DAY(B2)</f>
        <v>232.87666666666627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4361</v>
      </c>
      <c r="H59" s="99">
        <f>G59+'14'!H59</f>
        <v>79428.400000000052</v>
      </c>
      <c r="I59" s="95">
        <f>G7-G60</f>
        <v>2104</v>
      </c>
      <c r="J59" s="175">
        <f>H59/DAY(B2)</f>
        <v>5295.2266666666701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21082</v>
      </c>
      <c r="H60" s="99">
        <f>G60+'14'!H60</f>
        <v>322585.47000000009</v>
      </c>
      <c r="I60" s="95">
        <f>G13-G60</f>
        <v>1414</v>
      </c>
      <c r="J60" s="175">
        <f>H60/DAY(B2)</f>
        <v>21505.698000000008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'14'!F62</f>
        <v>265230</v>
      </c>
      <c r="F62" s="122">
        <v>265336</v>
      </c>
      <c r="G62" s="112">
        <f t="shared" ref="G62:G63" si="5">F62-E62</f>
        <v>106</v>
      </c>
      <c r="H62" s="99">
        <f>G62+'14'!H62</f>
        <v>1871</v>
      </c>
      <c r="I62" s="118"/>
      <c r="J62" s="175">
        <f>H62/DAY(B2)</f>
        <v>124.73333333333333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'14'!F63</f>
        <v>210894</v>
      </c>
      <c r="F63" s="122">
        <v>210975</v>
      </c>
      <c r="G63" s="112">
        <f t="shared" si="5"/>
        <v>81</v>
      </c>
      <c r="H63" s="99">
        <f>G63+'14'!H63</f>
        <v>1600</v>
      </c>
      <c r="I63" s="118"/>
      <c r="J63" s="175">
        <f>H63/DAY(B2)</f>
        <v>106.66666666666667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'14'!F64</f>
        <v>0</v>
      </c>
      <c r="F64" s="122"/>
      <c r="G64" s="112">
        <f>G62+G63</f>
        <v>187</v>
      </c>
      <c r="H64" s="99">
        <f>G64+'14'!H64</f>
        <v>3471</v>
      </c>
      <c r="I64" s="118"/>
      <c r="J64" s="175">
        <f>H64/DAY(B2)</f>
        <v>231.4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'14'!F65</f>
        <v>430857</v>
      </c>
      <c r="F65" s="122">
        <v>430963</v>
      </c>
      <c r="G65" s="112">
        <f t="shared" ref="G65:G70" si="6">F65-E65</f>
        <v>106</v>
      </c>
      <c r="H65" s="99">
        <f>G65+'14'!H65</f>
        <v>1600</v>
      </c>
      <c r="I65" s="118"/>
      <c r="J65" s="175">
        <f>H65/DAY(B2)</f>
        <v>106.66666666666667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'14'!F66</f>
        <v>106878</v>
      </c>
      <c r="F66" s="122">
        <v>106891</v>
      </c>
      <c r="G66" s="112">
        <f t="shared" si="6"/>
        <v>13</v>
      </c>
      <c r="H66" s="99">
        <f>G66+'14'!H66</f>
        <v>292</v>
      </c>
      <c r="I66" s="118"/>
      <c r="J66" s="175">
        <f>H66/DAY(B2)</f>
        <v>19.466666666666665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'14'!F67</f>
        <v>103434</v>
      </c>
      <c r="F67" s="122">
        <v>103454</v>
      </c>
      <c r="G67" s="112">
        <f t="shared" si="6"/>
        <v>20</v>
      </c>
      <c r="H67" s="99">
        <f>G67+'14'!H67</f>
        <v>443</v>
      </c>
      <c r="I67" s="118"/>
      <c r="J67" s="175">
        <f>H67/DAY(B2)</f>
        <v>29.533333333333335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'14'!F68</f>
        <v>156009</v>
      </c>
      <c r="F68" s="122">
        <v>156047</v>
      </c>
      <c r="G68" s="112">
        <f t="shared" si="6"/>
        <v>38</v>
      </c>
      <c r="H68" s="99">
        <f>G68+'14'!H68</f>
        <v>607</v>
      </c>
      <c r="I68" s="118"/>
      <c r="J68" s="175">
        <f>H68/DAY(B2)</f>
        <v>40.466666666666669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'14'!F69</f>
        <v>10008</v>
      </c>
      <c r="F69" s="122">
        <v>10016</v>
      </c>
      <c r="G69" s="112">
        <f t="shared" si="6"/>
        <v>8</v>
      </c>
      <c r="H69" s="99">
        <f>G69+'14'!H69</f>
        <v>173</v>
      </c>
      <c r="I69" s="118"/>
      <c r="J69" s="175">
        <f>H69/DAY(B2)</f>
        <v>11.533333333333333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'14'!F70</f>
        <v>7691</v>
      </c>
      <c r="F70" s="122">
        <v>7696</v>
      </c>
      <c r="G70" s="112">
        <f t="shared" si="6"/>
        <v>5</v>
      </c>
      <c r="H70" s="99">
        <f>G70+'14'!H70</f>
        <v>154</v>
      </c>
      <c r="I70" s="118"/>
      <c r="J70" s="175">
        <f>H70/DAY(B2)</f>
        <v>10.266666666666667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190</v>
      </c>
      <c r="H71" s="99">
        <f>G71+'14'!H71</f>
        <v>3269</v>
      </c>
      <c r="I71" s="154"/>
      <c r="J71" s="175">
        <f>H71/DAY(B2)</f>
        <v>217.93333333333334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'14'!F74</f>
        <v>886667</v>
      </c>
      <c r="F74" s="123">
        <v>886989</v>
      </c>
      <c r="G74" s="112">
        <f t="shared" ref="G74:G78" si="7">F74-E74</f>
        <v>322</v>
      </c>
      <c r="H74" s="99">
        <f>G74+'14'!H74</f>
        <v>4735.9510000000009</v>
      </c>
      <c r="I74" s="154"/>
      <c r="J74" s="175">
        <f>H74/DAY(B2)</f>
        <v>315.73006666666674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'14'!F75</f>
        <v>73830.69</v>
      </c>
      <c r="F75" s="123">
        <v>73830.69</v>
      </c>
      <c r="G75" s="112">
        <f t="shared" si="7"/>
        <v>0</v>
      </c>
      <c r="H75" s="99">
        <f>G75+'14'!H75</f>
        <v>243.88999999999942</v>
      </c>
      <c r="I75" s="154"/>
      <c r="J75" s="175">
        <f>H75/DAY(B2)</f>
        <v>16.259333333333295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'14'!F76</f>
        <v>165212</v>
      </c>
      <c r="F76" s="123">
        <v>165342.6</v>
      </c>
      <c r="G76" s="112">
        <f t="shared" si="7"/>
        <v>130.60000000000582</v>
      </c>
      <c r="H76" s="99">
        <f>G76+'14'!H76</f>
        <v>1958.6000000000058</v>
      </c>
      <c r="I76" s="154"/>
      <c r="J76" s="175">
        <f>H76/DAY(B2)</f>
        <v>130.57333333333372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'14'!F77</f>
        <v>39481</v>
      </c>
      <c r="F77" s="123">
        <v>39526.6</v>
      </c>
      <c r="G77" s="112">
        <f t="shared" si="7"/>
        <v>45.599999999998545</v>
      </c>
      <c r="H77" s="99">
        <f>G77+'14'!H77</f>
        <v>716.59999999999854</v>
      </c>
      <c r="I77" s="154"/>
      <c r="J77" s="175">
        <f>H77/DAY(B2)</f>
        <v>47.773333333333234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'14'!F78</f>
        <v>9452</v>
      </c>
      <c r="F78" s="123">
        <v>9456.7000000000007</v>
      </c>
      <c r="G78" s="112">
        <f t="shared" si="7"/>
        <v>4.7000000000007276</v>
      </c>
      <c r="H78" s="99">
        <f>G78+'14'!H78</f>
        <v>44.700000000000728</v>
      </c>
      <c r="I78" s="118"/>
      <c r="J78" s="175">
        <f>H78/DAY(B2)</f>
        <v>2.9800000000000484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'14'!F79</f>
        <v>0</v>
      </c>
      <c r="F79" s="123"/>
      <c r="G79" s="112">
        <f>G15-SUM(G74:G78)</f>
        <v>675.22999999988315</v>
      </c>
      <c r="H79" s="99">
        <f>G79+'14'!H79</f>
        <v>9880.3889999998828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1178.1299999998882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'14'!F84</f>
        <v>41675.760000000002</v>
      </c>
      <c r="F84" s="164">
        <v>41675.760000000002</v>
      </c>
      <c r="G84" s="112">
        <f t="shared" si="8"/>
        <v>0</v>
      </c>
      <c r="H84" s="99">
        <f>G84+'14'!H84</f>
        <v>47.200000000004366</v>
      </c>
      <c r="I84" s="118"/>
      <c r="J84" s="175">
        <f>H84/DAY(B2)</f>
        <v>3.1466666666669578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'14'!F85</f>
        <v>1724</v>
      </c>
      <c r="F85" s="164">
        <v>1748</v>
      </c>
      <c r="G85" s="112">
        <f t="shared" si="8"/>
        <v>24</v>
      </c>
      <c r="H85" s="99">
        <f>G85+'14'!H85</f>
        <v>244.44000000000005</v>
      </c>
      <c r="I85" s="118">
        <f>G82+G83+G84+G85</f>
        <v>24</v>
      </c>
      <c r="J85" s="175">
        <f>H85/DAY(B2)</f>
        <v>16.296000000000003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'14'!F86</f>
        <v>42826.47</v>
      </c>
      <c r="F86" s="164">
        <v>42826.47</v>
      </c>
      <c r="G86" s="112">
        <f t="shared" si="8"/>
        <v>0</v>
      </c>
      <c r="H86" s="99">
        <f>G86+'14'!H86</f>
        <v>0.47000000000116415</v>
      </c>
      <c r="I86" s="118"/>
      <c r="J86" s="175">
        <f>H86/DAY(B2)</f>
        <v>3.1333333333410943E-2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'14'!F87</f>
        <v>34575</v>
      </c>
      <c r="F87" s="164">
        <v>34582</v>
      </c>
      <c r="G87" s="112">
        <f t="shared" si="8"/>
        <v>7</v>
      </c>
      <c r="H87" s="99">
        <f>G87+'14'!H87</f>
        <v>161.59999999999854</v>
      </c>
      <c r="I87" s="118"/>
      <c r="J87" s="175">
        <f>H87/DAY(B2)</f>
        <v>10.773333333333236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'14'!F88</f>
        <v>24005.53</v>
      </c>
      <c r="F88" s="164">
        <v>24005.53</v>
      </c>
      <c r="G88" s="112">
        <f t="shared" si="8"/>
        <v>0</v>
      </c>
      <c r="H88" s="99">
        <f>G88+'14'!H88</f>
        <v>53.039999999997235</v>
      </c>
      <c r="I88" s="118">
        <f>G86+G87+G88</f>
        <v>7</v>
      </c>
      <c r="J88" s="175">
        <f>H88/DAY(B2)</f>
        <v>3.5359999999998157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'14'!F89</f>
        <v>25529.89</v>
      </c>
      <c r="F89" s="164">
        <v>25540.1</v>
      </c>
      <c r="G89" s="112">
        <f t="shared" si="8"/>
        <v>10.209999999999127</v>
      </c>
      <c r="H89" s="99">
        <f>G89+'14'!H89</f>
        <v>112.60999999999694</v>
      </c>
      <c r="I89" s="118"/>
      <c r="J89" s="175">
        <f>H89/DAY(B2)</f>
        <v>7.50733333333313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'14'!F90</f>
        <v>70927.199999999997</v>
      </c>
      <c r="F90" s="164">
        <v>70936.97</v>
      </c>
      <c r="G90" s="112">
        <f t="shared" si="8"/>
        <v>9.7700000000040745</v>
      </c>
      <c r="H90" s="99">
        <f>G90+'14'!H90</f>
        <v>108.69999999999709</v>
      </c>
      <c r="I90" s="118">
        <f>G89+G90</f>
        <v>19.980000000003201</v>
      </c>
      <c r="J90" s="175">
        <f>H90/DAY(B2)</f>
        <v>7.2466666666664725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0.32000000000016371</v>
      </c>
      <c r="I91" s="165"/>
      <c r="J91" s="175">
        <f>H91/DAY(B2)</f>
        <v>2.1333333333344248E-2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'14'!F92</f>
        <v>5250.51</v>
      </c>
      <c r="F92" s="122">
        <v>5261.77</v>
      </c>
      <c r="G92" s="112">
        <f t="shared" si="8"/>
        <v>11.260000000000218</v>
      </c>
      <c r="H92" s="99">
        <f>G92+'14'!H92</f>
        <v>165.8700000000008</v>
      </c>
      <c r="I92" s="165"/>
      <c r="J92" s="175">
        <f>H92/DAY(B2)</f>
        <v>11.058000000000053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6545</v>
      </c>
      <c r="H94" s="99">
        <f>G94+'14'!H94</f>
        <v>98350.439999999915</v>
      </c>
      <c r="I94" s="118"/>
      <c r="J94" s="175">
        <f>H94/DAY(B2)</f>
        <v>6556.6959999999945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0.28228241180022429</v>
      </c>
      <c r="H95" s="99">
        <f>G95+'14'!H95</f>
        <v>4.1743509871079931</v>
      </c>
      <c r="I95" s="167"/>
      <c r="J95" s="175">
        <f>H95/DAY(B2)</f>
        <v>0.27829006580719956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5187</v>
      </c>
      <c r="H96" s="99">
        <f>G96+'14'!H96</f>
        <v>84985.350000000035</v>
      </c>
      <c r="I96" s="118"/>
      <c r="J96" s="175">
        <f>H96/DAY(B2)</f>
        <v>5665.6900000000023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0.22371258518071249</v>
      </c>
      <c r="H97" s="99">
        <f>G97+'14'!H97</f>
        <v>3.5964152023538714</v>
      </c>
      <c r="I97" s="167"/>
      <c r="J97" s="175">
        <f>H97/DAY(B2)</f>
        <v>0.23976101349025808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2939</v>
      </c>
      <c r="H98" s="99">
        <f>G98+'14'!H98</f>
        <v>44106.710000000021</v>
      </c>
      <c r="I98" s="168"/>
      <c r="J98" s="175">
        <f>H98/DAY(B2)</f>
        <v>2940.4473333333349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0.12675752609333218</v>
      </c>
      <c r="H99" s="99">
        <f>G99+'14'!H99</f>
        <v>1.873356366629352</v>
      </c>
      <c r="I99" s="168"/>
      <c r="J99" s="175">
        <f>H99/DAY(B2)</f>
        <v>0.1248904244419568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1931</v>
      </c>
      <c r="H100" s="99">
        <f>G100+'14'!H100</f>
        <v>30087.950000000012</v>
      </c>
      <c r="I100" s="118"/>
      <c r="J100" s="175">
        <f>H100/DAY(B2)</f>
        <v>2005.8633333333341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8.328301561286984E-2</v>
      </c>
      <c r="H101" s="99">
        <f>G101+'14'!H101</f>
        <v>1.2774827457643485</v>
      </c>
      <c r="I101" s="168"/>
      <c r="J101" s="175">
        <f>H101/DAY(B2)</f>
        <v>8.5165516384289902E-2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2681</v>
      </c>
      <c r="H102" s="99">
        <f>G102+'14'!H102</f>
        <v>37025.110000000059</v>
      </c>
      <c r="I102" s="168"/>
      <c r="J102" s="175">
        <f>H102/DAY(B2)</f>
        <v>2468.3406666666706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0.11563012162511861</v>
      </c>
      <c r="H103" s="99">
        <f>G103+'14'!H103</f>
        <v>1.5714707971723949</v>
      </c>
      <c r="I103" s="118"/>
      <c r="J103" s="175">
        <f>H103/DAY(B2)</f>
        <v>0.10476471981149299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1543</v>
      </c>
      <c r="H104" s="99">
        <f>G104+'14'!H104</f>
        <v>24446.260000000009</v>
      </c>
      <c r="I104" s="118"/>
      <c r="J104" s="175">
        <f>H104/DAY(B2)</f>
        <v>1629.7506666666673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6.654877943586647E-2</v>
      </c>
      <c r="H105" s="99">
        <f>G105+'14'!H105</f>
        <v>1.0386037877600716</v>
      </c>
      <c r="I105" s="187"/>
      <c r="J105" s="188">
        <f>H105/DAY(B2)</f>
        <v>6.9240252517338105E-2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'14'!F112</f>
        <v>54471</v>
      </c>
      <c r="F112" s="237">
        <v>54545</v>
      </c>
      <c r="G112" s="112">
        <f t="shared" ref="G112:G123" si="9">F112-E112</f>
        <v>74</v>
      </c>
      <c r="H112" s="99">
        <f>G112+'14'!H112</f>
        <v>1192.989999999998</v>
      </c>
      <c r="I112" s="165"/>
      <c r="J112" s="330">
        <f>H112/DAY(B2)</f>
        <v>79.532666666666529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'14'!F113</f>
        <v>24393</v>
      </c>
      <c r="F113" s="237">
        <v>24849</v>
      </c>
      <c r="G113" s="112">
        <f t="shared" si="9"/>
        <v>456</v>
      </c>
      <c r="H113" s="99">
        <f>G113+'14'!H113</f>
        <v>6892.4700000000012</v>
      </c>
      <c r="I113" s="165"/>
      <c r="J113" s="330">
        <f>H113/DAY(B2)</f>
        <v>459.4980000000001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'14'!F114</f>
        <v>19272</v>
      </c>
      <c r="F114" s="237">
        <v>19545</v>
      </c>
      <c r="G114" s="112">
        <f t="shared" si="9"/>
        <v>273</v>
      </c>
      <c r="H114" s="99">
        <f>G114+'14'!H114</f>
        <v>5617.9</v>
      </c>
      <c r="I114" s="165"/>
      <c r="J114" s="330">
        <f>H114/DAY(B2)</f>
        <v>374.52666666666664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'14'!F115</f>
        <v>8585</v>
      </c>
      <c r="F115" s="237">
        <v>8590</v>
      </c>
      <c r="G115" s="112">
        <f t="shared" si="9"/>
        <v>5</v>
      </c>
      <c r="H115" s="99">
        <f>G115+'14'!H115</f>
        <v>166.31999999999971</v>
      </c>
      <c r="I115" s="165"/>
      <c r="J115" s="330">
        <f>H115/DAY(B2)</f>
        <v>11.087999999999981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30">
        <f>H116/DAY(B2)</f>
        <v>0</v>
      </c>
      <c r="Q116" s="839"/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'14'!F117</f>
        <v>2231</v>
      </c>
      <c r="F117" s="237">
        <v>2251</v>
      </c>
      <c r="G117" s="112">
        <f t="shared" si="9"/>
        <v>20</v>
      </c>
      <c r="H117" s="99">
        <f>G117+'14'!H117</f>
        <v>309.92000000000007</v>
      </c>
      <c r="I117" s="165"/>
      <c r="J117" s="330">
        <f>H117/DAY(B2)</f>
        <v>20.661333333333339</v>
      </c>
      <c r="Q117" s="839"/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'14'!F118</f>
        <v>235044</v>
      </c>
      <c r="F118" s="237">
        <v>235463</v>
      </c>
      <c r="G118" s="112">
        <f t="shared" si="9"/>
        <v>419</v>
      </c>
      <c r="H118" s="99">
        <f>G118+'14'!H118</f>
        <v>5625.2699999999895</v>
      </c>
      <c r="I118" s="165"/>
      <c r="J118" s="330">
        <f>H118/DAY(B2)</f>
        <v>375.01799999999929</v>
      </c>
      <c r="Q118" s="839"/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'14'!F119</f>
        <v>237861</v>
      </c>
      <c r="F119" s="237">
        <v>238290</v>
      </c>
      <c r="G119" s="112">
        <f t="shared" si="9"/>
        <v>429</v>
      </c>
      <c r="H119" s="99">
        <f>G119+'14'!H119</f>
        <v>6563.4700000000012</v>
      </c>
      <c r="I119" s="165"/>
      <c r="J119" s="330">
        <f>H119/DAY(B2)</f>
        <v>437.56466666666677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'14'!F120</f>
        <v>23066</v>
      </c>
      <c r="F120" s="237">
        <v>23441</v>
      </c>
      <c r="G120" s="112">
        <f t="shared" si="9"/>
        <v>375</v>
      </c>
      <c r="H120" s="99">
        <f>G120+'14'!H120</f>
        <v>6255.68</v>
      </c>
      <c r="I120" s="165"/>
      <c r="J120" s="330">
        <f>H120/DAY(B2)</f>
        <v>417.04533333333336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'14'!F121</f>
        <v>363373</v>
      </c>
      <c r="F121" s="237">
        <v>364114</v>
      </c>
      <c r="G121" s="112">
        <f t="shared" si="9"/>
        <v>741</v>
      </c>
      <c r="H121" s="99">
        <f>G121+'14'!H121</f>
        <v>11059.770000000019</v>
      </c>
      <c r="I121" s="165"/>
      <c r="J121" s="330">
        <f>H121/DAY(B2)</f>
        <v>737.31800000000123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'14'!F122</f>
        <v>115488</v>
      </c>
      <c r="F122" s="237">
        <v>115860</v>
      </c>
      <c r="G122" s="112">
        <f t="shared" si="9"/>
        <v>372</v>
      </c>
      <c r="H122" s="99">
        <f>G122+'14'!H122</f>
        <v>4850.2100000000064</v>
      </c>
      <c r="I122" s="165"/>
      <c r="J122" s="330">
        <f>H122/DAY(B2)</f>
        <v>323.34733333333378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'14'!F123</f>
        <v>138931</v>
      </c>
      <c r="F123" s="237">
        <v>139320</v>
      </c>
      <c r="G123" s="112">
        <f t="shared" si="9"/>
        <v>389</v>
      </c>
      <c r="H123" s="99">
        <f>G123+'14'!H123</f>
        <v>4954</v>
      </c>
      <c r="I123" s="165"/>
      <c r="J123" s="330">
        <f>H123/DAY(B2)</f>
        <v>330.26666666666665</v>
      </c>
    </row>
    <row r="124" spans="1:18" ht="29.25" customHeight="1" x14ac:dyDescent="0.5">
      <c r="A124" s="864"/>
      <c r="B124" s="865"/>
      <c r="C124" s="866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3553</v>
      </c>
      <c r="H125" s="156"/>
      <c r="I125" s="329">
        <f>G125-(G39+G53)</f>
        <v>614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G127+'14'!H127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'14'!F128</f>
        <v>32278</v>
      </c>
      <c r="F128" s="165">
        <v>32660</v>
      </c>
      <c r="G128" s="112">
        <f t="shared" ref="G128:G134" si="10">F128-E128</f>
        <v>382</v>
      </c>
      <c r="H128" s="99">
        <f>G128+'14'!H128</f>
        <v>5055.630000000001</v>
      </c>
      <c r="I128" s="165"/>
      <c r="J128" s="330">
        <f>H128/DAY(B2)</f>
        <v>337.04200000000009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'14'!F129</f>
        <v>16474</v>
      </c>
      <c r="F129" s="165">
        <v>16748</v>
      </c>
      <c r="G129" s="112">
        <f t="shared" si="10"/>
        <v>274</v>
      </c>
      <c r="H129" s="99">
        <f>G129+'14'!H129</f>
        <v>4000.41</v>
      </c>
      <c r="I129" s="165"/>
      <c r="J129" s="330">
        <f>H129/DAY(B2)</f>
        <v>266.69400000000002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'14'!F130</f>
        <v>5917</v>
      </c>
      <c r="F130" s="165">
        <v>6502</v>
      </c>
      <c r="G130" s="112">
        <f t="shared" si="10"/>
        <v>585</v>
      </c>
      <c r="H130" s="99">
        <f>G130+'14'!H130</f>
        <v>4444.8899999999994</v>
      </c>
      <c r="I130" s="165"/>
      <c r="J130" s="330">
        <f>H130/DAY(B2)</f>
        <v>296.32599999999996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'14'!F131</f>
        <v>11351</v>
      </c>
      <c r="F131" s="165">
        <v>11507</v>
      </c>
      <c r="G131" s="112">
        <f t="shared" si="10"/>
        <v>156</v>
      </c>
      <c r="H131" s="99">
        <f>G131+'14'!H131</f>
        <v>2337.6499999999996</v>
      </c>
      <c r="I131" s="165"/>
      <c r="J131" s="330">
        <f>H131/DAY(B2)</f>
        <v>155.84333333333331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'14'!F132</f>
        <v>32624</v>
      </c>
      <c r="F132" s="165">
        <v>33105</v>
      </c>
      <c r="G132" s="112">
        <f t="shared" si="10"/>
        <v>481</v>
      </c>
      <c r="H132" s="99">
        <f>G132+'14'!H132</f>
        <v>6924.7599999999984</v>
      </c>
      <c r="I132" s="165"/>
      <c r="J132" s="330">
        <f>H132/DAY(B2)</f>
        <v>461.65066666666655</v>
      </c>
    </row>
    <row r="133" spans="1:15" ht="27.75" x14ac:dyDescent="0.5">
      <c r="A133" s="839" t="s">
        <v>363</v>
      </c>
      <c r="B133" s="840"/>
      <c r="C133" s="841"/>
      <c r="D133" s="151" t="s">
        <v>183</v>
      </c>
      <c r="E133" s="95">
        <f>'14'!F133</f>
        <v>75310</v>
      </c>
      <c r="F133" s="165">
        <v>76128</v>
      </c>
      <c r="G133" s="112">
        <f t="shared" si="10"/>
        <v>818</v>
      </c>
      <c r="H133" s="99">
        <f>G133+'14'!H133</f>
        <v>12653.580000000002</v>
      </c>
      <c r="I133" s="165"/>
      <c r="J133" s="330">
        <f>H133/DAY(B2)</f>
        <v>843.57200000000012</v>
      </c>
    </row>
    <row r="134" spans="1:15" s="537" customFormat="1" ht="27.75" x14ac:dyDescent="0.5">
      <c r="A134" s="897" t="s">
        <v>340</v>
      </c>
      <c r="B134" s="898"/>
      <c r="C134" s="899"/>
      <c r="D134" s="233" t="s">
        <v>183</v>
      </c>
      <c r="E134" s="534">
        <f>'14'!F134</f>
        <v>660040</v>
      </c>
      <c r="F134" s="158">
        <v>660693</v>
      </c>
      <c r="G134" s="236">
        <f t="shared" si="10"/>
        <v>653</v>
      </c>
      <c r="H134" s="238">
        <f>G134+'14'!H134</f>
        <v>9486</v>
      </c>
      <c r="I134" s="158"/>
      <c r="J134" s="536">
        <f>H134/DAY(B2)</f>
        <v>632.4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3349</v>
      </c>
      <c r="H135" s="99">
        <f>G135+'10'!H135</f>
        <v>32880.92</v>
      </c>
      <c r="I135" s="329">
        <f>G135-(G35+G49)</f>
        <v>-448</v>
      </c>
      <c r="J135" s="330"/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'14'!F138</f>
        <v>862237</v>
      </c>
      <c r="F138" s="147">
        <v>862343</v>
      </c>
      <c r="G138" s="112">
        <f t="shared" ref="G138:G152" si="11">F138-E138</f>
        <v>106</v>
      </c>
      <c r="H138" s="99">
        <f>G138+'14'!H138</f>
        <v>1081</v>
      </c>
      <c r="I138" s="118"/>
      <c r="J138" s="330">
        <f>H138/DAY(B2)</f>
        <v>72.066666666666663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'14'!F139</f>
        <v>886370</v>
      </c>
      <c r="F139" s="148">
        <v>886371</v>
      </c>
      <c r="G139" s="112">
        <f t="shared" si="11"/>
        <v>1</v>
      </c>
      <c r="H139" s="99">
        <f>G139+'14'!H139</f>
        <v>172</v>
      </c>
      <c r="I139" s="118"/>
      <c r="J139" s="330">
        <f>H139/DAY(B2)</f>
        <v>11.466666666666667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'14'!F140</f>
        <v>88864</v>
      </c>
      <c r="F140" s="149">
        <v>88864</v>
      </c>
      <c r="G140" s="112">
        <f t="shared" si="11"/>
        <v>0</v>
      </c>
      <c r="H140" s="99">
        <f>G140+'14'!H140</f>
        <v>15</v>
      </c>
      <c r="I140" s="118"/>
      <c r="J140" s="330">
        <f>H140/DAY(B2)</f>
        <v>1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'14'!F141</f>
        <v>45897</v>
      </c>
      <c r="F141" s="149">
        <v>46097</v>
      </c>
      <c r="G141" s="112">
        <f t="shared" si="11"/>
        <v>200</v>
      </c>
      <c r="H141" s="99">
        <f>G141+'14'!H141</f>
        <v>2970.2699999999968</v>
      </c>
      <c r="I141" s="118"/>
      <c r="J141" s="330">
        <f>H141/DAY(B2)</f>
        <v>198.01799999999977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'14'!F142</f>
        <v>17744</v>
      </c>
      <c r="F142" s="148">
        <v>17817</v>
      </c>
      <c r="G142" s="112">
        <f t="shared" si="11"/>
        <v>73</v>
      </c>
      <c r="H142" s="99">
        <f>G142+'14'!H142</f>
        <v>356.5</v>
      </c>
      <c r="I142" s="140"/>
      <c r="J142" s="330">
        <f>H142/DAY(B2)</f>
        <v>23.766666666666666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'14'!F143</f>
        <v>2615</v>
      </c>
      <c r="F143" s="149">
        <v>2648</v>
      </c>
      <c r="G143" s="112">
        <f t="shared" si="11"/>
        <v>33</v>
      </c>
      <c r="H143" s="99">
        <f>G143+'14'!H143</f>
        <v>446.59999999999991</v>
      </c>
      <c r="I143" s="140"/>
      <c r="J143" s="330">
        <f>H143/DAY(B2)</f>
        <v>29.773333333333326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'14'!F144</f>
        <v>865623</v>
      </c>
      <c r="F144" s="149">
        <v>865848</v>
      </c>
      <c r="G144" s="112">
        <f t="shared" si="11"/>
        <v>225</v>
      </c>
      <c r="H144" s="99">
        <f>G144+'14'!H144</f>
        <v>3453</v>
      </c>
      <c r="I144" s="140"/>
      <c r="J144" s="330">
        <f>H144/DAY(B2)</f>
        <v>230.2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'14'!F145</f>
        <v>4112</v>
      </c>
      <c r="F145" s="149">
        <v>4145</v>
      </c>
      <c r="G145" s="112">
        <f t="shared" si="11"/>
        <v>33</v>
      </c>
      <c r="H145" s="99">
        <f>G145+'14'!H145</f>
        <v>726</v>
      </c>
      <c r="I145" s="140"/>
      <c r="J145" s="330">
        <f>H145/DAY(B2)</f>
        <v>48.4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'14'!F146</f>
        <v>716780</v>
      </c>
      <c r="F146" s="148">
        <v>717200</v>
      </c>
      <c r="G146" s="112">
        <f t="shared" si="11"/>
        <v>420</v>
      </c>
      <c r="H146" s="99">
        <f>G146+'14'!H146</f>
        <v>6315</v>
      </c>
      <c r="I146" s="140"/>
      <c r="J146" s="330">
        <f>H146/DAY(B2)</f>
        <v>421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'14'!F147</f>
        <v>608245</v>
      </c>
      <c r="F147" s="148">
        <v>608652</v>
      </c>
      <c r="G147" s="112">
        <f t="shared" si="11"/>
        <v>407</v>
      </c>
      <c r="H147" s="99">
        <f>G147+'14'!H147</f>
        <v>6666.9599999999627</v>
      </c>
      <c r="I147" s="140"/>
      <c r="J147" s="330">
        <f>H147/DAY(B2)</f>
        <v>444.4639999999975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'14'!F148</f>
        <v>677965</v>
      </c>
      <c r="F148" s="150">
        <v>678248</v>
      </c>
      <c r="G148" s="112">
        <f t="shared" si="11"/>
        <v>283</v>
      </c>
      <c r="H148" s="99">
        <f>G148+'14'!H148</f>
        <v>4458.3199999999488</v>
      </c>
      <c r="I148" s="124"/>
      <c r="J148" s="330">
        <f>H148/DAY(B2)</f>
        <v>297.22133333332994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'14'!F149</f>
        <v>89195</v>
      </c>
      <c r="F149" s="146">
        <v>89766</v>
      </c>
      <c r="G149" s="112">
        <f t="shared" si="11"/>
        <v>571</v>
      </c>
      <c r="H149" s="99">
        <f>G149+'14'!H149</f>
        <v>94627</v>
      </c>
      <c r="I149" s="119"/>
      <c r="J149" s="330">
        <f>H149/DAY(B2)</f>
        <v>6308.4666666666662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v>192</v>
      </c>
      <c r="F150" s="233">
        <v>417</v>
      </c>
      <c r="G150" s="112">
        <f t="shared" si="11"/>
        <v>225</v>
      </c>
      <c r="H150" s="99">
        <f>G150+'14'!H150</f>
        <v>225</v>
      </c>
      <c r="I150" s="119"/>
      <c r="J150" s="330">
        <f>H150/DAY(B2)</f>
        <v>15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'14'!F151</f>
        <v>74207</v>
      </c>
      <c r="F151" s="233">
        <v>74441</v>
      </c>
      <c r="G151" s="112">
        <f t="shared" si="11"/>
        <v>234</v>
      </c>
      <c r="H151" s="99">
        <f>G151+'14'!H151</f>
        <v>3719</v>
      </c>
      <c r="I151" s="119"/>
      <c r="J151" s="330">
        <f>H151/DAY(B2)</f>
        <v>247.93333333333334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'14'!F152</f>
        <v>253</v>
      </c>
      <c r="F152" s="233">
        <v>316</v>
      </c>
      <c r="G152" s="112">
        <f t="shared" si="11"/>
        <v>63</v>
      </c>
      <c r="H152" s="99">
        <f>G152+'14'!H152</f>
        <v>316</v>
      </c>
      <c r="I152" s="119"/>
      <c r="J152" s="330">
        <f>H152/DAY(B2)</f>
        <v>21.066666666666666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2874</v>
      </c>
      <c r="H153" s="365"/>
      <c r="I153" s="119">
        <f>G153-(G38+G52)</f>
        <v>943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'14'!F155</f>
        <v>1303</v>
      </c>
      <c r="F155" s="376">
        <v>1950</v>
      </c>
      <c r="G155" s="112">
        <f t="shared" ref="G155:G158" si="12">F155-E155</f>
        <v>647</v>
      </c>
      <c r="H155" s="99">
        <f>G155+'14'!H155</f>
        <v>2043</v>
      </c>
      <c r="I155" s="366"/>
      <c r="J155" s="330">
        <f>H155/DAY(B2)</f>
        <v>136.19999999999999</v>
      </c>
    </row>
    <row r="156" spans="1:10" ht="27.75" x14ac:dyDescent="0.5">
      <c r="A156" s="838" t="s">
        <v>347</v>
      </c>
      <c r="B156" s="838"/>
      <c r="C156" s="838"/>
      <c r="D156" s="117" t="s">
        <v>130</v>
      </c>
      <c r="E156" s="95">
        <f>'14'!F156</f>
        <v>100</v>
      </c>
      <c r="F156" s="155">
        <v>158</v>
      </c>
      <c r="G156" s="112">
        <f t="shared" si="12"/>
        <v>58</v>
      </c>
      <c r="H156" s="99">
        <f>G156+'14'!H156</f>
        <v>158</v>
      </c>
      <c r="I156" s="165"/>
      <c r="J156" s="330">
        <f>H156/DAY(B2)</f>
        <v>10.533333333333333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>
        <v>128</v>
      </c>
      <c r="F157" s="155">
        <v>189</v>
      </c>
      <c r="G157" s="112">
        <f t="shared" si="12"/>
        <v>61</v>
      </c>
      <c r="H157" s="99">
        <f>G157+'14'!H157</f>
        <v>61</v>
      </c>
      <c r="I157" s="165"/>
      <c r="J157" s="330">
        <f>H157/DAY(B2)</f>
        <v>4.0666666666666664</v>
      </c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>
        <v>0</v>
      </c>
      <c r="F158" s="155">
        <v>0</v>
      </c>
      <c r="G158" s="112">
        <f t="shared" si="12"/>
        <v>0</v>
      </c>
      <c r="H158" s="99">
        <f>G158+'14'!H158</f>
        <v>0</v>
      </c>
      <c r="I158" s="165"/>
      <c r="J158" s="330">
        <f>H158/DAY(B2)</f>
        <v>0</v>
      </c>
    </row>
    <row r="159" spans="1:10" ht="27.75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471128</v>
      </c>
      <c r="F161" s="235">
        <v>471130</v>
      </c>
      <c r="G161" s="238">
        <f t="shared" ref="G161:G165" si="13">F161-E161</f>
        <v>2</v>
      </c>
      <c r="H161" s="99">
        <f>G161+'14'!H161</f>
        <v>153.88000000000466</v>
      </c>
      <c r="I161" s="236"/>
      <c r="J161" s="239">
        <f>H161/DAY(B2)</f>
        <v>10.258666666666977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87077</v>
      </c>
      <c r="F162" s="235">
        <v>87110</v>
      </c>
      <c r="G162" s="238">
        <f t="shared" si="13"/>
        <v>33</v>
      </c>
      <c r="H162" s="99">
        <f>G162+'14'!H162</f>
        <v>508.30000000000291</v>
      </c>
      <c r="I162" s="236"/>
      <c r="J162" s="239">
        <f>H162/DAY(B2)</f>
        <v>33.886666666666862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76644</v>
      </c>
      <c r="F163" s="235">
        <v>76776</v>
      </c>
      <c r="G163" s="238">
        <f t="shared" si="13"/>
        <v>132</v>
      </c>
      <c r="H163" s="99">
        <f>G163+'14'!H163</f>
        <v>1316.1999999999971</v>
      </c>
      <c r="I163" s="236"/>
      <c r="J163" s="239">
        <f>H163/DAY(B2)</f>
        <v>87.746666666666471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4171</v>
      </c>
      <c r="F164" s="235">
        <v>4179</v>
      </c>
      <c r="G164" s="238">
        <f t="shared" si="13"/>
        <v>8</v>
      </c>
      <c r="H164" s="99">
        <f>G164+'14'!H164</f>
        <v>81.100000000000364</v>
      </c>
      <c r="I164" s="236"/>
      <c r="J164" s="239">
        <f>H164/DAY(B2)</f>
        <v>5.4066666666666912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29531</v>
      </c>
      <c r="F165" s="235">
        <v>29538</v>
      </c>
      <c r="G165" s="238">
        <f t="shared" si="13"/>
        <v>7</v>
      </c>
      <c r="H165" s="99">
        <f>G165+'14'!H165</f>
        <v>109.06880000000092</v>
      </c>
      <c r="I165" s="236"/>
      <c r="J165" s="239">
        <f>H165/DAY(B2)</f>
        <v>7.2712533333333944</v>
      </c>
    </row>
    <row r="166" spans="1:10" ht="29.25" x14ac:dyDescent="0.5">
      <c r="A166" s="870"/>
      <c r="B166" s="870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1.75" customHeight="1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831" t="s">
        <v>209</v>
      </c>
      <c r="B173" s="832"/>
      <c r="C173" s="335"/>
      <c r="D173" s="228" t="s">
        <v>142</v>
      </c>
      <c r="E173" s="95">
        <f>'14'!F173</f>
        <v>8110</v>
      </c>
      <c r="F173" s="155">
        <v>8110</v>
      </c>
      <c r="G173" s="155">
        <f>F173-E173</f>
        <v>0</v>
      </c>
      <c r="H173" s="99">
        <f>G173+'14'!H173</f>
        <v>3</v>
      </c>
      <c r="I173" s="155"/>
      <c r="J173" s="178">
        <f>H173/DAY(B2)</f>
        <v>0.2</v>
      </c>
    </row>
    <row r="174" spans="1:10" ht="21.75" customHeight="1" x14ac:dyDescent="0.5">
      <c r="A174" s="831" t="s">
        <v>75</v>
      </c>
      <c r="B174" s="832"/>
      <c r="C174" s="335"/>
      <c r="D174" s="228" t="s">
        <v>142</v>
      </c>
      <c r="E174" s="95">
        <f>'14'!F174</f>
        <v>38037</v>
      </c>
      <c r="F174" s="157">
        <v>38056</v>
      </c>
      <c r="G174" s="155">
        <f t="shared" ref="G174:G175" si="14">F174-E174</f>
        <v>19</v>
      </c>
      <c r="H174" s="99">
        <f>G174+'14'!H174</f>
        <v>254</v>
      </c>
      <c r="I174" s="155"/>
      <c r="J174" s="178">
        <f>H174/DAY(B2)</f>
        <v>16.933333333333334</v>
      </c>
    </row>
    <row r="175" spans="1:10" ht="21.75" customHeight="1" x14ac:dyDescent="0.5">
      <c r="A175" s="831" t="s">
        <v>76</v>
      </c>
      <c r="B175" s="833"/>
      <c r="C175" s="832"/>
      <c r="D175" s="228" t="s">
        <v>142</v>
      </c>
      <c r="E175" s="95">
        <f>'14'!F175</f>
        <v>21319</v>
      </c>
      <c r="F175" s="155">
        <v>21332</v>
      </c>
      <c r="G175" s="155">
        <f t="shared" si="14"/>
        <v>13</v>
      </c>
      <c r="H175" s="99">
        <f>G175+'14'!H175</f>
        <v>195</v>
      </c>
      <c r="I175" s="155"/>
      <c r="J175" s="178">
        <f>H175/DAY(B2)</f>
        <v>13</v>
      </c>
    </row>
    <row r="176" spans="1:10" ht="21.75" customHeight="1" x14ac:dyDescent="0.5">
      <c r="A176" s="867" t="s">
        <v>196</v>
      </c>
      <c r="B176" s="868"/>
      <c r="C176" s="335"/>
      <c r="D176" s="228" t="s">
        <v>142</v>
      </c>
      <c r="E176" s="95"/>
      <c r="F176" s="155"/>
      <c r="G176" s="155">
        <f>SUM(G173:G175)</f>
        <v>32</v>
      </c>
      <c r="H176" s="99">
        <f>G176+'14'!H176</f>
        <v>452</v>
      </c>
      <c r="I176" s="155"/>
      <c r="J176" s="178">
        <f>H176/DAY(B2)</f>
        <v>30.133333333333333</v>
      </c>
    </row>
    <row r="177" spans="1:10" ht="21.75" customHeight="1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831" t="s">
        <v>210</v>
      </c>
      <c r="B178" s="832"/>
      <c r="C178" s="335"/>
      <c r="D178" s="228" t="s">
        <v>142</v>
      </c>
      <c r="E178" s="95">
        <f>'14'!F178</f>
        <v>78413</v>
      </c>
      <c r="F178" s="155">
        <v>78493</v>
      </c>
      <c r="G178" s="155">
        <f>F178-E178</f>
        <v>80</v>
      </c>
      <c r="H178" s="99">
        <f>G178+'14'!H178</f>
        <v>1141</v>
      </c>
      <c r="I178" s="155"/>
      <c r="J178" s="178">
        <f>H178/DAY(B2)</f>
        <v>76.066666666666663</v>
      </c>
    </row>
    <row r="179" spans="1:10" ht="24" customHeight="1" x14ac:dyDescent="0.5">
      <c r="A179" s="831" t="s">
        <v>211</v>
      </c>
      <c r="B179" s="832"/>
      <c r="C179" s="335"/>
      <c r="D179" s="228" t="s">
        <v>142</v>
      </c>
      <c r="E179" s="95">
        <f>'14'!F179</f>
        <v>33888</v>
      </c>
      <c r="F179" s="155">
        <v>33888</v>
      </c>
      <c r="G179" s="155">
        <f t="shared" ref="G179:G180" si="15">F179-E179</f>
        <v>0</v>
      </c>
      <c r="H179" s="99">
        <f>G179+'14'!H179</f>
        <v>2</v>
      </c>
      <c r="I179" s="155"/>
      <c r="J179" s="178">
        <f>H179/DAY(B2)</f>
        <v>0.13333333333333333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'14'!F180</f>
        <v>5363</v>
      </c>
      <c r="F180" s="155">
        <v>5369</v>
      </c>
      <c r="G180" s="155">
        <f t="shared" si="15"/>
        <v>6</v>
      </c>
      <c r="H180" s="99">
        <f>G180+'14'!H180</f>
        <v>96</v>
      </c>
      <c r="I180" s="155"/>
      <c r="J180" s="178">
        <f>H180/DAY(B2)</f>
        <v>6.4</v>
      </c>
    </row>
    <row r="181" spans="1:10" ht="27.75" x14ac:dyDescent="0.5">
      <c r="A181" s="872" t="s">
        <v>108</v>
      </c>
      <c r="B181" s="873"/>
      <c r="C181" s="335"/>
      <c r="D181" s="228" t="s">
        <v>142</v>
      </c>
      <c r="E181" s="95"/>
      <c r="F181" s="155"/>
      <c r="G181" s="155">
        <f>SUM(G178:G180)</f>
        <v>86</v>
      </c>
      <c r="H181" s="99">
        <f>G181+'14'!H181</f>
        <v>1239</v>
      </c>
      <c r="I181" s="155"/>
      <c r="J181" s="178">
        <f>H181/DAY(B2)</f>
        <v>82.6</v>
      </c>
    </row>
    <row r="182" spans="1:10" ht="27.75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'14'!F183</f>
        <v>14697</v>
      </c>
      <c r="F183" s="157">
        <v>14707</v>
      </c>
      <c r="G183" s="157">
        <f>F183-E183</f>
        <v>10</v>
      </c>
      <c r="H183" s="99">
        <f>G183+'14'!H183</f>
        <v>211</v>
      </c>
      <c r="I183" s="155"/>
      <c r="J183" s="178">
        <f>H183/DAY(B2)</f>
        <v>14.066666666666666</v>
      </c>
    </row>
    <row r="184" spans="1:10" ht="27.75" x14ac:dyDescent="0.5">
      <c r="A184" s="831" t="s">
        <v>215</v>
      </c>
      <c r="B184" s="832"/>
      <c r="C184" s="336"/>
      <c r="D184" s="228" t="s">
        <v>142</v>
      </c>
      <c r="E184" s="95">
        <f>'14'!F184</f>
        <v>10157</v>
      </c>
      <c r="F184" s="157">
        <v>10163</v>
      </c>
      <c r="G184" s="157">
        <f t="shared" ref="G184:G185" si="16">F184-E184</f>
        <v>6</v>
      </c>
      <c r="H184" s="99">
        <f>G184+'14'!H184</f>
        <v>132</v>
      </c>
      <c r="I184" s="155"/>
      <c r="J184" s="178">
        <f>H184/DAY(B2)</f>
        <v>8.8000000000000007</v>
      </c>
    </row>
    <row r="185" spans="1:10" ht="32.25" customHeight="1" x14ac:dyDescent="0.5">
      <c r="A185" s="831" t="s">
        <v>216</v>
      </c>
      <c r="B185" s="832"/>
      <c r="C185" s="336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867" t="s">
        <v>196</v>
      </c>
      <c r="B186" s="868"/>
      <c r="C186" s="336"/>
      <c r="D186" s="228" t="s">
        <v>142</v>
      </c>
      <c r="E186" s="95"/>
      <c r="F186" s="157"/>
      <c r="G186" s="157">
        <f>SUM(G183:G185)</f>
        <v>16</v>
      </c>
      <c r="H186" s="99">
        <f>G186+'14'!H186</f>
        <v>343</v>
      </c>
      <c r="I186" s="157"/>
      <c r="J186" s="178">
        <f>H186/DAY(B2)</f>
        <v>22.866666666666667</v>
      </c>
    </row>
    <row r="187" spans="1:10" ht="27.75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506">
        <f>G62+G19</f>
        <v>156</v>
      </c>
      <c r="H187" s="99">
        <f>G187+'14'!H187</f>
        <v>2668</v>
      </c>
      <c r="I187" s="158"/>
      <c r="J187" s="179">
        <f>H187/DAY(B2)</f>
        <v>177.86666666666667</v>
      </c>
    </row>
    <row r="188" spans="1:10" ht="27.75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152</v>
      </c>
      <c r="H188" s="99">
        <f>G188+'14'!H188</f>
        <v>152</v>
      </c>
      <c r="I188" s="158"/>
      <c r="J188" s="179">
        <f>H188/DAY(B2)</f>
        <v>10.133333333333333</v>
      </c>
    </row>
    <row r="189" spans="1:10" ht="27" customHeight="1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86</v>
      </c>
      <c r="H189" s="99">
        <f>G189+'14'!H189</f>
        <v>1239</v>
      </c>
      <c r="I189" s="158"/>
      <c r="J189" s="179">
        <f>H189/DAY(B2)</f>
        <v>82.6</v>
      </c>
    </row>
    <row r="190" spans="1:10" ht="27" customHeight="1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42" zoomScale="55" zoomScaleNormal="90" zoomScaleSheetLayoutView="55" workbookViewId="0">
      <selection activeCell="G157" sqref="G157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542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6" s="57" customFormat="1" ht="27" x14ac:dyDescent="0.5">
      <c r="A2" s="191" t="s">
        <v>350</v>
      </c>
      <c r="B2" s="262">
        <v>44546</v>
      </c>
      <c r="C2" s="350" t="s">
        <v>67</v>
      </c>
      <c r="D2" s="218">
        <v>0.57420000000000004</v>
      </c>
      <c r="E2" s="100"/>
      <c r="F2" s="35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50" t="s">
        <v>120</v>
      </c>
      <c r="D4" s="218">
        <v>0.62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15" t="s">
        <v>128</v>
      </c>
      <c r="B6" s="816"/>
      <c r="C6" s="817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754450</v>
      </c>
      <c r="F7" s="95">
        <v>776512.95</v>
      </c>
      <c r="G7" s="112">
        <f>F7-E7</f>
        <v>22062.949999999953</v>
      </c>
      <c r="H7" s="99">
        <f>G7+'15'!H7</f>
        <v>375670.94999999995</v>
      </c>
      <c r="I7" s="113">
        <f>'1'!I7</f>
        <v>12000</v>
      </c>
      <c r="J7" s="175">
        <f>H7/DAY(B2)</f>
        <v>23479.434374999997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796968</v>
      </c>
      <c r="F8" s="95">
        <v>819236.71</v>
      </c>
      <c r="G8" s="115">
        <f>F8-E8</f>
        <v>22268.709999999963</v>
      </c>
      <c r="H8" s="99">
        <f>G8+'15'!H8</f>
        <v>380941.70999999996</v>
      </c>
      <c r="I8" s="116"/>
      <c r="J8" s="175">
        <f>H8/DAY(B2)</f>
        <v>23808.856874999998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1982629</v>
      </c>
      <c r="F9" s="659">
        <v>2000804.5</v>
      </c>
      <c r="G9" s="112">
        <f>F9-E9</f>
        <v>18175.5</v>
      </c>
      <c r="H9" s="99">
        <f>G9+'15'!H9</f>
        <v>281706.80000000005</v>
      </c>
      <c r="I9" s="124">
        <f>I7-J7</f>
        <v>-11479.434374999997</v>
      </c>
      <c r="J9" s="175">
        <f>H9/DAY(B2)</f>
        <v>17606.675000000003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486431</v>
      </c>
      <c r="F10" s="355">
        <v>489731.47</v>
      </c>
      <c r="G10" s="112">
        <f t="shared" ref="G10:G12" si="0">F10-E10</f>
        <v>3300.4699999999721</v>
      </c>
      <c r="H10" s="99">
        <f>G10+'15'!H10</f>
        <v>83649.039999999979</v>
      </c>
      <c r="I10" s="282"/>
      <c r="J10" s="175">
        <f>H10/DAY(B2)</f>
        <v>5228.0649999999987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21475.969999999972</v>
      </c>
      <c r="H13" s="99">
        <f>G13+'15'!H13</f>
        <v>343304.97</v>
      </c>
      <c r="I13" s="120">
        <f>G7-G13</f>
        <v>586.97999999998137</v>
      </c>
      <c r="J13" s="175">
        <f>H13/DAY(B2)</f>
        <v>21456.560624999998</v>
      </c>
      <c r="K13" s="79"/>
      <c r="L13" s="66"/>
      <c r="N13" s="87"/>
      <c r="O13" s="71"/>
    </row>
    <row r="14" spans="1:16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7" t="s">
        <v>138</v>
      </c>
      <c r="B15" s="205"/>
      <c r="C15" s="205"/>
      <c r="D15" s="151" t="s">
        <v>139</v>
      </c>
      <c r="E15" s="123">
        <f>'15'!F15</f>
        <v>1860728.13</v>
      </c>
      <c r="F15" s="123">
        <v>1861883</v>
      </c>
      <c r="G15" s="112">
        <f>(F15-E15)</f>
        <v>1154.8700000001118</v>
      </c>
      <c r="H15" s="99">
        <f>G15+'15'!H15</f>
        <v>18735</v>
      </c>
      <c r="I15" s="113">
        <f>'1'!I15</f>
        <v>800</v>
      </c>
      <c r="J15" s="175">
        <f>H15/DAY(B2)</f>
        <v>1170.9375</v>
      </c>
      <c r="K15" s="79"/>
      <c r="L15" s="66"/>
      <c r="N15" s="87">
        <v>735868</v>
      </c>
      <c r="O15" s="71">
        <v>719798</v>
      </c>
      <c r="P15" s="608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-370.9375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'15'!F18</f>
        <v>19</v>
      </c>
      <c r="F18" s="122">
        <v>22</v>
      </c>
      <c r="G18" s="119">
        <f>F18*10</f>
        <v>220</v>
      </c>
      <c r="H18" s="99">
        <f>G18+'15'!H18</f>
        <v>3400</v>
      </c>
      <c r="I18" s="113">
        <f>'1'!I18</f>
        <v>65</v>
      </c>
      <c r="J18" s="175">
        <f>H18/DAY(B2)</f>
        <v>212.5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'15'!F19</f>
        <v>151381</v>
      </c>
      <c r="F19" s="122">
        <v>151429</v>
      </c>
      <c r="G19" s="112">
        <f t="shared" ref="G19" si="1">F19-E19</f>
        <v>48</v>
      </c>
      <c r="H19" s="99">
        <f>G19+'15'!H19</f>
        <v>845</v>
      </c>
      <c r="I19" s="337"/>
      <c r="J19" s="175">
        <f>H19/DAY(B2)</f>
        <v>52.8125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268</v>
      </c>
      <c r="H20" s="99">
        <f>G20+'15'!H20</f>
        <v>4245</v>
      </c>
      <c r="I20" s="338">
        <f>I18-J20</f>
        <v>-200.3125</v>
      </c>
      <c r="J20" s="175">
        <f>H20/DAY(B2)</f>
        <v>265.3125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'15'!F23</f>
        <v>2000</v>
      </c>
      <c r="F23" s="122">
        <v>2000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823" t="s">
        <v>149</v>
      </c>
      <c r="B25" s="824"/>
      <c r="C25" s="825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22268.709999999963</v>
      </c>
      <c r="F27" s="136">
        <v>9</v>
      </c>
      <c r="G27" s="137">
        <f>E27*F27</f>
        <v>200418.38999999966</v>
      </c>
      <c r="H27" s="99">
        <f>G27+'15'!H27</f>
        <v>3428475.3899999997</v>
      </c>
      <c r="I27" s="138"/>
      <c r="J27" s="175">
        <f>H27/DAY(B2)</f>
        <v>214279.71187499998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1154.8700000001118</v>
      </c>
      <c r="F28" s="136">
        <v>52</v>
      </c>
      <c r="G28" s="137">
        <f>E28*F28</f>
        <v>60053.240000005811</v>
      </c>
      <c r="H28" s="99">
        <f>G28+'15'!H28</f>
        <v>974220</v>
      </c>
      <c r="I28" s="140"/>
      <c r="J28" s="175">
        <f>H28/DAY(B2)</f>
        <v>60888.75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137">
        <f>E30*F30</f>
        <v>7008</v>
      </c>
      <c r="H30" s="99">
        <f>G30+'15'!H30</f>
        <v>123370</v>
      </c>
      <c r="I30" s="140"/>
      <c r="J30" s="175">
        <f>H30/DAY(B2)</f>
        <v>7710.625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G31+'15'!H31</f>
        <v>272000</v>
      </c>
      <c r="I31" s="140"/>
      <c r="J31" s="175">
        <f>H31/DAY(B2)</f>
        <v>17000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285079.63000000548</v>
      </c>
      <c r="H32" s="99">
        <f>G32+'15'!H32</f>
        <v>4798065.3899999997</v>
      </c>
      <c r="I32" s="144"/>
      <c r="J32" s="175">
        <f>H32/DAY(B2)</f>
        <v>299879.08687499998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5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125000</v>
      </c>
      <c r="F35" s="117">
        <v>126939.79</v>
      </c>
      <c r="G35" s="112">
        <f t="shared" ref="G35:G46" si="3">F35-E35</f>
        <v>1939.7899999999936</v>
      </c>
      <c r="H35" s="99">
        <f>G35+'15'!H35</f>
        <v>33405.159999999989</v>
      </c>
      <c r="I35" s="95"/>
      <c r="J35" s="175">
        <f>H35/DAY(B2)</f>
        <v>2087.8224999999993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5415</v>
      </c>
      <c r="F36" s="117">
        <v>6619.26</v>
      </c>
      <c r="G36" s="112">
        <f t="shared" si="3"/>
        <v>1204.2600000000002</v>
      </c>
      <c r="H36" s="99">
        <f>G36+'15'!H36</f>
        <v>16885.560000000005</v>
      </c>
      <c r="I36" s="95"/>
      <c r="J36" s="175">
        <f>H36/DAY(B2)</f>
        <v>1055.3475000000003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169953</v>
      </c>
      <c r="F37" s="117">
        <v>171518.33</v>
      </c>
      <c r="G37" s="112">
        <f t="shared" si="3"/>
        <v>1565.3299999999872</v>
      </c>
      <c r="H37" s="99">
        <f>G37+'15'!H37</f>
        <v>26011.589999999997</v>
      </c>
      <c r="I37" s="95"/>
      <c r="J37" s="175">
        <f>H37/DAY(B2)</f>
        <v>1625.7243749999998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201092</v>
      </c>
      <c r="F38" s="95">
        <v>203077.61</v>
      </c>
      <c r="G38" s="112">
        <f t="shared" si="3"/>
        <v>1985.609999999986</v>
      </c>
      <c r="H38" s="99">
        <f>G38+'15'!H38</f>
        <v>32073.559999999998</v>
      </c>
      <c r="I38" s="95"/>
      <c r="J38" s="175">
        <f>H38/DAY(B2)</f>
        <v>2004.5974999999999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365770</v>
      </c>
      <c r="F39" s="117">
        <v>368719.87</v>
      </c>
      <c r="G39" s="112">
        <f t="shared" si="3"/>
        <v>2949.8699999999953</v>
      </c>
      <c r="H39" s="99">
        <f>G39+'15'!H39</f>
        <v>47056.580000000016</v>
      </c>
      <c r="I39" s="95"/>
      <c r="J39" s="175">
        <f>H39/DAY(B2)</f>
        <v>2941.036250000001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120</v>
      </c>
      <c r="F40" s="117">
        <v>119.98</v>
      </c>
      <c r="G40" s="112">
        <f t="shared" si="3"/>
        <v>-1.9999999999996021E-2</v>
      </c>
      <c r="H40" s="99">
        <f>G40+'15'!H40</f>
        <v>8.7600000000000051</v>
      </c>
      <c r="I40" s="95"/>
      <c r="J40" s="175">
        <f>H40/DAY(B2)</f>
        <v>0.54750000000000032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0</v>
      </c>
      <c r="F41" s="117">
        <v>0</v>
      </c>
      <c r="G41" s="112">
        <f t="shared" si="3"/>
        <v>0</v>
      </c>
      <c r="H41" s="99">
        <f>G41+'15'!H41</f>
        <v>9386.2900000000373</v>
      </c>
      <c r="I41" s="95"/>
      <c r="J41" s="175">
        <f>H41/DAY(B2)</f>
        <v>586.64312500000233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5730</v>
      </c>
      <c r="F42" s="117">
        <v>10523.79</v>
      </c>
      <c r="G42" s="112">
        <f t="shared" si="3"/>
        <v>4793.7900000000009</v>
      </c>
      <c r="H42" s="99">
        <f>G42+'15'!H42</f>
        <v>52129.80000000001</v>
      </c>
      <c r="I42" s="95"/>
      <c r="J42" s="175">
        <f>H42/DAY(B2)</f>
        <v>3258.1125000000006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v>4556</v>
      </c>
      <c r="F43" s="117">
        <v>7146.2</v>
      </c>
      <c r="G43" s="112">
        <f t="shared" si="3"/>
        <v>2590.1999999999998</v>
      </c>
      <c r="H43" s="99">
        <f>G43+'15'!H43</f>
        <v>43228.599999999904</v>
      </c>
      <c r="I43" s="95"/>
      <c r="J43" s="175">
        <f>H43/DAY(B2)</f>
        <v>2701.787499999994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17028.829999999962</v>
      </c>
      <c r="H47" s="99">
        <f>G47+'15'!H47</f>
        <v>260185.89999999997</v>
      </c>
      <c r="I47" s="95"/>
      <c r="J47" s="175">
        <f>H47/DAY(B2)</f>
        <v>16261.618749999998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246760</v>
      </c>
      <c r="F49" s="117">
        <v>248551.89</v>
      </c>
      <c r="G49" s="112">
        <f t="shared" ref="G49:G58" si="4">F49-E49</f>
        <v>1791.890000000014</v>
      </c>
      <c r="H49" s="99">
        <f>G49+'15'!H49</f>
        <v>28038.560000000027</v>
      </c>
      <c r="I49" s="95"/>
      <c r="J49" s="175">
        <f>H49/DAY(B2)</f>
        <v>1752.4100000000017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5492</v>
      </c>
      <c r="F50" s="117">
        <v>6533.38</v>
      </c>
      <c r="G50" s="112">
        <f t="shared" si="4"/>
        <v>1041.3800000000001</v>
      </c>
      <c r="H50" s="99">
        <f>G50+'15'!H50</f>
        <v>22385.190000000057</v>
      </c>
      <c r="I50" s="95"/>
      <c r="J50" s="175">
        <f>H50/DAY(B2)</f>
        <v>1399.0743750000036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538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534">
        <f>'15'!F54</f>
        <v>3113</v>
      </c>
      <c r="F54" s="662">
        <v>3117.72</v>
      </c>
      <c r="G54" s="236">
        <f t="shared" si="4"/>
        <v>4.7199999999997999</v>
      </c>
      <c r="H54" s="99">
        <f>G54+'15'!H54</f>
        <v>86.4399999999996</v>
      </c>
      <c r="I54" s="95"/>
      <c r="J54" s="175">
        <f>H54/DAY(B2)</f>
        <v>5.402499999999975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534">
        <f>'15'!F55</f>
        <v>0</v>
      </c>
      <c r="F55" s="538">
        <v>0</v>
      </c>
      <c r="G55" s="236">
        <f t="shared" si="4"/>
        <v>0</v>
      </c>
      <c r="H55" s="99">
        <f>G55+'15'!H55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6713</v>
      </c>
      <c r="F56" s="117">
        <v>7001.74</v>
      </c>
      <c r="G56" s="112">
        <f t="shared" si="4"/>
        <v>288.73999999999978</v>
      </c>
      <c r="H56" s="99">
        <f>G56+'15'!H56</f>
        <v>28551.789999999986</v>
      </c>
      <c r="I56" s="95"/>
      <c r="J56" s="175">
        <f>H56/DAY(B2)</f>
        <v>1784.4868749999991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88818</v>
      </c>
      <c r="F58" s="117">
        <v>89041.35</v>
      </c>
      <c r="G58" s="112">
        <f t="shared" si="4"/>
        <v>223.35000000000582</v>
      </c>
      <c r="H58" s="99">
        <f>G58+'15'!H58</f>
        <v>3716.5</v>
      </c>
      <c r="I58" s="95"/>
      <c r="J58" s="175">
        <f>H58/DAY(B2)</f>
        <v>232.28125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3350.0800000000195</v>
      </c>
      <c r="H59" s="99">
        <f>G59+'15'!H59</f>
        <v>82778.480000000069</v>
      </c>
      <c r="I59" s="95">
        <f>G7-G60</f>
        <v>1684.0399999999718</v>
      </c>
      <c r="J59" s="175">
        <f>H59/DAY(B2)</f>
        <v>5173.6550000000043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20378.909999999982</v>
      </c>
      <c r="H60" s="99">
        <f>G60+'15'!H60</f>
        <v>342964.38000000006</v>
      </c>
      <c r="I60" s="95">
        <f>G13-G60</f>
        <v>1097.0599999999904</v>
      </c>
      <c r="J60" s="175">
        <f>H60/DAY(B2)</f>
        <v>21435.273750000004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'15'!F62</f>
        <v>265336</v>
      </c>
      <c r="F62" s="122">
        <v>265448</v>
      </c>
      <c r="G62" s="112">
        <f t="shared" ref="G62:G63" si="5">F62-E62</f>
        <v>112</v>
      </c>
      <c r="H62" s="99">
        <f>G62+'15'!H62</f>
        <v>1983</v>
      </c>
      <c r="I62" s="118"/>
      <c r="J62" s="175">
        <f>H62/DAY(B2)</f>
        <v>123.9375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'15'!F63</f>
        <v>210975</v>
      </c>
      <c r="F63" s="122">
        <v>211063</v>
      </c>
      <c r="G63" s="112">
        <f t="shared" si="5"/>
        <v>88</v>
      </c>
      <c r="H63" s="99">
        <f>G63+'15'!H63</f>
        <v>1688</v>
      </c>
      <c r="I63" s="118"/>
      <c r="J63" s="175">
        <f>H63/DAY(B2)</f>
        <v>105.5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v>0</v>
      </c>
      <c r="F64" s="122"/>
      <c r="G64" s="112">
        <f>G62+G63</f>
        <v>200</v>
      </c>
      <c r="H64" s="99">
        <f>G64+'15'!H64</f>
        <v>3671</v>
      </c>
      <c r="I64" s="118"/>
      <c r="J64" s="175">
        <f>H64/DAY(B2)</f>
        <v>229.4375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'15'!F65</f>
        <v>430963</v>
      </c>
      <c r="F65" s="122">
        <v>431056</v>
      </c>
      <c r="G65" s="112">
        <f t="shared" ref="G65:G70" si="6">F65-E65</f>
        <v>93</v>
      </c>
      <c r="H65" s="99">
        <f>G65+'15'!H65</f>
        <v>1693</v>
      </c>
      <c r="I65" s="118"/>
      <c r="J65" s="175">
        <f>H65/DAY(B2)</f>
        <v>105.8125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'15'!F66</f>
        <v>106891</v>
      </c>
      <c r="F66" s="122">
        <v>106910</v>
      </c>
      <c r="G66" s="112">
        <f t="shared" si="6"/>
        <v>19</v>
      </c>
      <c r="H66" s="99">
        <f>G66+'15'!H66</f>
        <v>311</v>
      </c>
      <c r="I66" s="118"/>
      <c r="J66" s="175">
        <f>H66/DAY(B2)</f>
        <v>19.4375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'15'!F67</f>
        <v>103454</v>
      </c>
      <c r="F67" s="122">
        <v>103477</v>
      </c>
      <c r="G67" s="112">
        <f t="shared" si="6"/>
        <v>23</v>
      </c>
      <c r="H67" s="99">
        <f>G67+'15'!H67</f>
        <v>466</v>
      </c>
      <c r="I67" s="118"/>
      <c r="J67" s="175">
        <f>H67/DAY(B2)</f>
        <v>29.125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'15'!F68</f>
        <v>156047</v>
      </c>
      <c r="F68" s="122">
        <v>156076</v>
      </c>
      <c r="G68" s="112">
        <f t="shared" si="6"/>
        <v>29</v>
      </c>
      <c r="H68" s="99">
        <f>G68+'15'!H68</f>
        <v>636</v>
      </c>
      <c r="I68" s="118"/>
      <c r="J68" s="175">
        <f>H68/DAY(B2)</f>
        <v>39.75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'15'!F69</f>
        <v>10016</v>
      </c>
      <c r="F69" s="122">
        <v>10026</v>
      </c>
      <c r="G69" s="112">
        <f t="shared" si="6"/>
        <v>10</v>
      </c>
      <c r="H69" s="99">
        <f>G69+'15'!H69</f>
        <v>183</v>
      </c>
      <c r="I69" s="118"/>
      <c r="J69" s="175">
        <f>H69/DAY(B2)</f>
        <v>11.4375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'15'!F70</f>
        <v>7696</v>
      </c>
      <c r="F70" s="122">
        <v>7710</v>
      </c>
      <c r="G70" s="112">
        <f t="shared" si="6"/>
        <v>14</v>
      </c>
      <c r="H70" s="99">
        <f>G70+'15'!H70</f>
        <v>168</v>
      </c>
      <c r="I70" s="118"/>
      <c r="J70" s="175">
        <f>H70/DAY(B2)</f>
        <v>10.5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188</v>
      </c>
      <c r="H71" s="99">
        <f>G71+'15'!H71</f>
        <v>3457</v>
      </c>
      <c r="I71" s="154"/>
      <c r="J71" s="175">
        <f>H71/DAY(B2)</f>
        <v>216.0625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54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'15'!F74</f>
        <v>886989</v>
      </c>
      <c r="F74" s="117">
        <v>887319.41</v>
      </c>
      <c r="G74" s="112">
        <f t="shared" ref="G74:G78" si="7">F74-E74</f>
        <v>330.4100000000326</v>
      </c>
      <c r="H74" s="99">
        <f>G74+'15'!H74</f>
        <v>5066.3610000000335</v>
      </c>
      <c r="I74" s="154"/>
      <c r="J74" s="175">
        <f>H74/DAY(B2)</f>
        <v>316.6475625000021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'15'!F75</f>
        <v>73830.69</v>
      </c>
      <c r="F75" s="123">
        <v>73830.69</v>
      </c>
      <c r="G75" s="112">
        <f t="shared" si="7"/>
        <v>0</v>
      </c>
      <c r="H75" s="99">
        <f>G75+'15'!H75</f>
        <v>243.88999999999942</v>
      </c>
      <c r="I75" s="154"/>
      <c r="J75" s="175">
        <f>H75/DAY(B2)</f>
        <v>15.243124999999964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'15'!F76</f>
        <v>165342.6</v>
      </c>
      <c r="F76" s="123">
        <v>165479.42000000001</v>
      </c>
      <c r="G76" s="112">
        <f t="shared" si="7"/>
        <v>136.82000000000698</v>
      </c>
      <c r="H76" s="99">
        <f>G76+'15'!H76</f>
        <v>2095.4200000000128</v>
      </c>
      <c r="I76" s="154"/>
      <c r="J76" s="175">
        <f>H76/DAY(B2)</f>
        <v>130.9637500000008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'15'!F77</f>
        <v>39526.6</v>
      </c>
      <c r="F77" s="123">
        <v>39572.1</v>
      </c>
      <c r="G77" s="112">
        <f t="shared" si="7"/>
        <v>45.5</v>
      </c>
      <c r="H77" s="99">
        <f>G77+'15'!H77</f>
        <v>762.09999999999854</v>
      </c>
      <c r="I77" s="154"/>
      <c r="J77" s="175">
        <f>H77/DAY(B2)</f>
        <v>47.631249999999909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'15'!F78</f>
        <v>9456.7000000000007</v>
      </c>
      <c r="F78" s="123">
        <v>9458.7999999999993</v>
      </c>
      <c r="G78" s="112">
        <f t="shared" si="7"/>
        <v>2.0999999999985448</v>
      </c>
      <c r="H78" s="99">
        <f>G78+'15'!H78</f>
        <v>46.799999999999272</v>
      </c>
      <c r="I78" s="118"/>
      <c r="J78" s="175">
        <f>H78/DAY(B2)</f>
        <v>2.9249999999999545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'15'!F79</f>
        <v>0</v>
      </c>
      <c r="F79" s="123"/>
      <c r="G79" s="112">
        <f>G15-SUM(G74:G78)</f>
        <v>640.04000000007363</v>
      </c>
      <c r="H79" s="99">
        <f>G79+'15'!H79</f>
        <v>10520.428999999956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1154.8700000001118</v>
      </c>
      <c r="H80" s="99">
        <f>G80+'15'!H80</f>
        <v>1154.8700000001118</v>
      </c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'15'!F84</f>
        <v>41675.760000000002</v>
      </c>
      <c r="F84" s="164">
        <v>41675.26</v>
      </c>
      <c r="G84" s="112">
        <f t="shared" si="8"/>
        <v>-0.5</v>
      </c>
      <c r="H84" s="99">
        <f>G84+'15'!H84</f>
        <v>46.700000000004366</v>
      </c>
      <c r="I84" s="118"/>
      <c r="J84" s="175">
        <f>H84/DAY(B2)</f>
        <v>2.9187500000002728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'15'!F85</f>
        <v>1748</v>
      </c>
      <c r="F85" s="164">
        <v>1772.07</v>
      </c>
      <c r="G85" s="112">
        <f t="shared" si="8"/>
        <v>24.069999999999936</v>
      </c>
      <c r="H85" s="99">
        <f>G85+'15'!H85</f>
        <v>268.51</v>
      </c>
      <c r="I85" s="118">
        <f>G82+G83+G84+G85</f>
        <v>23.569999999999936</v>
      </c>
      <c r="J85" s="175">
        <f>H85/DAY(B2)</f>
        <v>16.781874999999999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'15'!F86</f>
        <v>42826.47</v>
      </c>
      <c r="F86" s="164">
        <v>42826.47</v>
      </c>
      <c r="G86" s="112">
        <f t="shared" si="8"/>
        <v>0</v>
      </c>
      <c r="H86" s="99">
        <f>G86+'15'!H86</f>
        <v>0.47000000000116415</v>
      </c>
      <c r="I86" s="118"/>
      <c r="J86" s="175">
        <f>H86/DAY(B2)</f>
        <v>2.937500000007276E-2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'15'!F87</f>
        <v>34582</v>
      </c>
      <c r="F87" s="164">
        <v>34585.1</v>
      </c>
      <c r="G87" s="112">
        <f t="shared" si="8"/>
        <v>3.0999999999985448</v>
      </c>
      <c r="H87" s="99">
        <f>G87+'15'!H87</f>
        <v>164.69999999999709</v>
      </c>
      <c r="I87" s="118"/>
      <c r="J87" s="175">
        <f>H87/DAY(B2)</f>
        <v>10.293749999999818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'15'!F88</f>
        <v>24005.53</v>
      </c>
      <c r="F88" s="164">
        <v>24005.13</v>
      </c>
      <c r="G88" s="112">
        <f t="shared" si="8"/>
        <v>-0.39999999999781721</v>
      </c>
      <c r="H88" s="99">
        <f>G88+'15'!H88</f>
        <v>52.639999999999418</v>
      </c>
      <c r="I88" s="118">
        <f>G86+G87+G88</f>
        <v>2.7000000000007276</v>
      </c>
      <c r="J88" s="175">
        <f>H88/DAY(B2)</f>
        <v>3.2899999999999636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'15'!F89</f>
        <v>25540.1</v>
      </c>
      <c r="F89" s="164">
        <v>25550.63</v>
      </c>
      <c r="G89" s="112">
        <f t="shared" si="8"/>
        <v>10.530000000002474</v>
      </c>
      <c r="H89" s="99">
        <f>G89+'15'!H89</f>
        <v>123.13999999999942</v>
      </c>
      <c r="I89" s="118"/>
      <c r="J89" s="175">
        <f>H89/DAY(B2)</f>
        <v>7.6962499999999636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'15'!F90</f>
        <v>70936.97</v>
      </c>
      <c r="F90" s="164">
        <v>70943.360000000001</v>
      </c>
      <c r="G90" s="112">
        <f t="shared" si="8"/>
        <v>6.3899999999994179</v>
      </c>
      <c r="H90" s="99">
        <f>G90+'15'!H90</f>
        <v>115.08999999999651</v>
      </c>
      <c r="I90" s="118">
        <f>G89+G90</f>
        <v>16.920000000001892</v>
      </c>
      <c r="J90" s="175">
        <f>H90/DAY(B2)</f>
        <v>7.1931249999997817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0.32000000000016371</v>
      </c>
      <c r="I91" s="165"/>
      <c r="J91" s="175">
        <f>H91/DAY(B2)</f>
        <v>2.0000000000010232E-2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'15'!F92</f>
        <v>5261.77</v>
      </c>
      <c r="F92" s="122">
        <v>5273.59</v>
      </c>
      <c r="G92" s="112">
        <f t="shared" si="8"/>
        <v>11.819999999999709</v>
      </c>
      <c r="H92" s="99">
        <f>G92+'15'!H92</f>
        <v>177.69000000000051</v>
      </c>
      <c r="I92" s="165"/>
      <c r="J92" s="175">
        <f>H92/DAY(B2)</f>
        <v>11.105625000000032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6321.8800000000074</v>
      </c>
      <c r="H94" s="99">
        <f>G94+'15'!H94</f>
        <v>104672.31999999992</v>
      </c>
      <c r="I94" s="118"/>
      <c r="J94" s="175">
        <f>H94/DAY(B2)</f>
        <v>6542.019999999995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51"/>
      <c r="G95" s="166">
        <f>G94/G7</f>
        <v>0.28653829157025784</v>
      </c>
      <c r="H95" s="99">
        <f>G95+'15'!H95</f>
        <v>4.460889278678251</v>
      </c>
      <c r="I95" s="167"/>
      <c r="J95" s="175">
        <f>H95/DAY(B2)</f>
        <v>0.27880557991739069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5082.5300000000007</v>
      </c>
      <c r="H96" s="99">
        <f>G96+'15'!H96</f>
        <v>90067.880000000034</v>
      </c>
      <c r="I96" s="118"/>
      <c r="J96" s="175">
        <f>H96/DAY(B2)</f>
        <v>5629.2425000000021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0.23036493306652153</v>
      </c>
      <c r="H97" s="99">
        <f>G97+'15'!H97</f>
        <v>3.826780135420393</v>
      </c>
      <c r="I97" s="167"/>
      <c r="J97" s="175">
        <f>H97/DAY(B2)</f>
        <v>0.23917375846377456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2949.8699999999953</v>
      </c>
      <c r="H98" s="99">
        <f>G98+'15'!H98</f>
        <v>47056.580000000016</v>
      </c>
      <c r="I98" s="168"/>
      <c r="J98" s="175">
        <f>H98/DAY(B2)</f>
        <v>2941.036250000001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0.13370242873233187</v>
      </c>
      <c r="H99" s="99">
        <f>G99+'15'!H99</f>
        <v>2.0070587953616839</v>
      </c>
      <c r="I99" s="168"/>
      <c r="J99" s="175">
        <f>H99/DAY(B2)</f>
        <v>0.12544117471010524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1985.609999999986</v>
      </c>
      <c r="H100" s="99">
        <f>G100+'15'!H100</f>
        <v>32073.559999999998</v>
      </c>
      <c r="I100" s="118"/>
      <c r="J100" s="175">
        <f>H100/DAY(B2)</f>
        <v>2004.5974999999999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8.9997484470571265E-2</v>
      </c>
      <c r="H101" s="99">
        <f>G101+'15'!H101</f>
        <v>1.3674802302349198</v>
      </c>
      <c r="I101" s="168"/>
      <c r="J101" s="175">
        <f>H101/DAY(B2)</f>
        <v>8.5467514389682489E-2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2245.6400000000003</v>
      </c>
      <c r="H102" s="99">
        <f>G102+'15'!H102</f>
        <v>39270.750000000058</v>
      </c>
      <c r="I102" s="168"/>
      <c r="J102" s="175">
        <f>H102/DAY(B2)</f>
        <v>2454.4218750000036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0.10178330640281581</v>
      </c>
      <c r="H103" s="99">
        <f>G103+'15'!H103</f>
        <v>1.6732541035752106</v>
      </c>
      <c r="I103" s="118"/>
      <c r="J103" s="175">
        <f>H103/DAY(B2)</f>
        <v>0.10457838147345067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1565.3299999999872</v>
      </c>
      <c r="H104" s="99">
        <f>G104+'15'!H104</f>
        <v>26011.589999999997</v>
      </c>
      <c r="I104" s="118"/>
      <c r="J104" s="175">
        <f>H104/DAY(B2)</f>
        <v>1625.7243749999998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7.0948354594466759E-2</v>
      </c>
      <c r="H105" s="99">
        <f>G105+'15'!H105</f>
        <v>1.1095521423545383</v>
      </c>
      <c r="I105" s="187"/>
      <c r="J105" s="188">
        <f>H105/DAY(B2)</f>
        <v>6.9347008897158641E-2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541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5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'15'!F112</f>
        <v>54545</v>
      </c>
      <c r="F112" s="237">
        <v>54617.91</v>
      </c>
      <c r="G112" s="112">
        <f t="shared" ref="G112:G123" si="9">F112-E112</f>
        <v>72.910000000003492</v>
      </c>
      <c r="H112" s="99">
        <f>G112+'15'!H112</f>
        <v>1265.9000000000015</v>
      </c>
      <c r="I112" s="165"/>
      <c r="J112" s="330">
        <f>H112/DAY(B2)</f>
        <v>79.118750000000091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'15'!F113</f>
        <v>24849</v>
      </c>
      <c r="F113" s="237">
        <v>25320.76</v>
      </c>
      <c r="G113" s="112">
        <f t="shared" si="9"/>
        <v>471.7599999999984</v>
      </c>
      <c r="H113" s="99">
        <f>G113+'15'!H113</f>
        <v>7364.23</v>
      </c>
      <c r="I113" s="165"/>
      <c r="J113" s="330">
        <f>H113/DAY(B2)</f>
        <v>460.26437499999997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534">
        <f>'15'!F114</f>
        <v>19545</v>
      </c>
      <c r="F114" s="545">
        <v>19829.080000000002</v>
      </c>
      <c r="G114" s="236">
        <v>126.9</v>
      </c>
      <c r="H114" s="99">
        <f>G114+'15'!H114</f>
        <v>5744.7999999999993</v>
      </c>
      <c r="I114" s="165"/>
      <c r="J114" s="330">
        <f>H114/DAY(B2)</f>
        <v>359.04999999999995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534">
        <f>'15'!F115</f>
        <v>8590</v>
      </c>
      <c r="F115" s="545">
        <v>8601.99</v>
      </c>
      <c r="G115" s="236">
        <f t="shared" si="9"/>
        <v>11.989999999999782</v>
      </c>
      <c r="H115" s="99">
        <f>G115+'15'!H115</f>
        <v>178.30999999999949</v>
      </c>
      <c r="I115" s="165"/>
      <c r="J115" s="330">
        <f>H115/DAY(B2)</f>
        <v>11.144374999999968</v>
      </c>
      <c r="N115" s="661" t="s">
        <v>369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'15'!F117</f>
        <v>2251</v>
      </c>
      <c r="F117" s="237">
        <v>2265.5</v>
      </c>
      <c r="G117" s="112">
        <f t="shared" si="9"/>
        <v>14.5</v>
      </c>
      <c r="H117" s="99">
        <f>G117+'15'!H117</f>
        <v>324.42000000000007</v>
      </c>
      <c r="I117" s="165"/>
      <c r="J117" s="330">
        <f>H117/DAY(B2)</f>
        <v>20.276250000000005</v>
      </c>
      <c r="Q117" s="839" t="s">
        <v>312</v>
      </c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'15'!F118</f>
        <v>235463</v>
      </c>
      <c r="F118" s="237">
        <v>235864.31</v>
      </c>
      <c r="G118" s="112">
        <f t="shared" si="9"/>
        <v>401.30999999999767</v>
      </c>
      <c r="H118" s="99">
        <f>G118+'15'!H118</f>
        <v>6026.5799999999872</v>
      </c>
      <c r="I118" s="165"/>
      <c r="J118" s="330">
        <f>H118/DAY(B2)</f>
        <v>376.6612499999992</v>
      </c>
      <c r="Q118" s="839" t="s">
        <v>311</v>
      </c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534">
        <f>'15'!F119</f>
        <v>238290</v>
      </c>
      <c r="F119" s="545">
        <v>238720.61</v>
      </c>
      <c r="G119" s="112">
        <f t="shared" si="9"/>
        <v>430.60999999998603</v>
      </c>
      <c r="H119" s="99">
        <f>G119+'15'!H119</f>
        <v>6994.0799999999872</v>
      </c>
      <c r="I119" s="165"/>
      <c r="J119" s="330">
        <f>H119/DAY(B2)</f>
        <v>437.1299999999992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'15'!F120</f>
        <v>23441</v>
      </c>
      <c r="F120" s="237">
        <v>23848.55</v>
      </c>
      <c r="G120" s="112">
        <f t="shared" si="9"/>
        <v>407.54999999999927</v>
      </c>
      <c r="H120" s="99">
        <f>G120+'15'!H120</f>
        <v>6663.23</v>
      </c>
      <c r="I120" s="165"/>
      <c r="J120" s="330">
        <f>H120/DAY(B2)</f>
        <v>416.45187499999997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'15'!F121</f>
        <v>364114</v>
      </c>
      <c r="F121" s="237">
        <v>364869.35</v>
      </c>
      <c r="G121" s="112">
        <f t="shared" si="9"/>
        <v>755.34999999997672</v>
      </c>
      <c r="H121" s="99">
        <f>G121+'15'!H121</f>
        <v>11815.119999999995</v>
      </c>
      <c r="I121" s="165"/>
      <c r="J121" s="330">
        <f>H121/DAY(B2)</f>
        <v>738.44499999999971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'15'!F122</f>
        <v>115860</v>
      </c>
      <c r="F122" s="237">
        <v>116241.71</v>
      </c>
      <c r="G122" s="112">
        <f t="shared" si="9"/>
        <v>381.7100000000064</v>
      </c>
      <c r="H122" s="99">
        <f>G122+'15'!H122</f>
        <v>5231.9200000000128</v>
      </c>
      <c r="I122" s="165"/>
      <c r="J122" s="330">
        <f>H122/DAY(B2)</f>
        <v>326.9950000000008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'15'!F123</f>
        <v>139320</v>
      </c>
      <c r="F123" s="237">
        <v>139721.99</v>
      </c>
      <c r="G123" s="112">
        <f t="shared" si="9"/>
        <v>401.98999999999069</v>
      </c>
      <c r="H123" s="99">
        <f>G123+'15'!H123</f>
        <v>5355.9899999999907</v>
      </c>
      <c r="I123" s="165"/>
      <c r="J123" s="330">
        <f>H123/DAY(B2)</f>
        <v>334.74937499999942</v>
      </c>
    </row>
    <row r="124" spans="1:18" ht="29.25" customHeight="1" x14ac:dyDescent="0.5">
      <c r="A124" s="864"/>
      <c r="B124" s="865"/>
      <c r="C124" s="866"/>
      <c r="D124" s="165"/>
      <c r="E124" s="165"/>
      <c r="F124" s="155"/>
      <c r="G124" s="329"/>
      <c r="H124" s="156"/>
      <c r="I124" s="165"/>
      <c r="J124" s="329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3476.5799999999585</v>
      </c>
      <c r="H125" s="156"/>
      <c r="I125" s="329">
        <f>G125-(G39+G53)</f>
        <v>526.7099999999632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G127+'15'!H127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'15'!F128</f>
        <v>32660</v>
      </c>
      <c r="F128" s="155">
        <v>33032.089999999997</v>
      </c>
      <c r="G128" s="112">
        <f t="shared" ref="G128:G134" si="10">F128-E128</f>
        <v>372.08999999999651</v>
      </c>
      <c r="H128" s="99">
        <f>G128+'15'!H128</f>
        <v>5427.7199999999975</v>
      </c>
      <c r="I128" s="165"/>
      <c r="J128" s="330">
        <f>H128/DAY(B2)</f>
        <v>339.23249999999985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'15'!F129</f>
        <v>16748</v>
      </c>
      <c r="F129" s="155">
        <v>17037.060000000001</v>
      </c>
      <c r="G129" s="112">
        <f t="shared" si="10"/>
        <v>289.06000000000131</v>
      </c>
      <c r="H129" s="99">
        <f>G129+'15'!H129</f>
        <v>4289.4700000000012</v>
      </c>
      <c r="I129" s="165"/>
      <c r="J129" s="330">
        <f>H129/DAY(B2)</f>
        <v>268.09187500000007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'15'!F130</f>
        <v>6502</v>
      </c>
      <c r="F130" s="155">
        <v>7071.21</v>
      </c>
      <c r="G130" s="112">
        <f t="shared" si="10"/>
        <v>569.21</v>
      </c>
      <c r="H130" s="99">
        <f>G130+'15'!H130</f>
        <v>5014.0999999999995</v>
      </c>
      <c r="I130" s="165"/>
      <c r="J130" s="330">
        <f>H130/DAY(B2)</f>
        <v>313.38124999999997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'15'!F131</f>
        <v>11507</v>
      </c>
      <c r="F131" s="155">
        <v>11676.72</v>
      </c>
      <c r="G131" s="112">
        <f t="shared" si="10"/>
        <v>169.71999999999935</v>
      </c>
      <c r="H131" s="99">
        <f>G131+'15'!H131</f>
        <v>2507.369999999999</v>
      </c>
      <c r="I131" s="165"/>
      <c r="J131" s="330">
        <f>H131/DAY(B2)</f>
        <v>156.71062499999994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'15'!F132</f>
        <v>33105</v>
      </c>
      <c r="F132" s="155">
        <v>33590.61</v>
      </c>
      <c r="G132" s="112">
        <f t="shared" si="10"/>
        <v>485.61000000000058</v>
      </c>
      <c r="H132" s="99">
        <f>G132+'15'!H132</f>
        <v>7410.369999999999</v>
      </c>
      <c r="I132" s="165"/>
      <c r="J132" s="330">
        <f>H132/DAY(B2)</f>
        <v>463.14812499999994</v>
      </c>
    </row>
    <row r="133" spans="1:15" ht="27.75" x14ac:dyDescent="0.5">
      <c r="A133" s="839" t="s">
        <v>363</v>
      </c>
      <c r="B133" s="840"/>
      <c r="C133" s="841"/>
      <c r="D133" s="151" t="s">
        <v>183</v>
      </c>
      <c r="E133" s="95">
        <f>'15'!F133</f>
        <v>76128</v>
      </c>
      <c r="F133" s="155">
        <v>76963.41</v>
      </c>
      <c r="G133" s="112">
        <f t="shared" si="10"/>
        <v>835.41000000000349</v>
      </c>
      <c r="H133" s="99">
        <f>G133+'15'!H133</f>
        <v>13488.990000000005</v>
      </c>
      <c r="I133" s="165"/>
      <c r="J133" s="330">
        <f>H133/DAY(B2)</f>
        <v>843.06187500000033</v>
      </c>
    </row>
    <row r="134" spans="1:15" s="537" customFormat="1" ht="27.75" x14ac:dyDescent="0.5">
      <c r="A134" s="897" t="s">
        <v>340</v>
      </c>
      <c r="B134" s="898"/>
      <c r="C134" s="899"/>
      <c r="D134" s="233" t="s">
        <v>183</v>
      </c>
      <c r="E134" s="534">
        <f>'15'!F134</f>
        <v>660693</v>
      </c>
      <c r="F134" s="157">
        <v>661265</v>
      </c>
      <c r="G134" s="236">
        <f t="shared" si="10"/>
        <v>572</v>
      </c>
      <c r="H134" s="238">
        <f>G134+'15'!H134</f>
        <v>10058</v>
      </c>
      <c r="I134" s="158"/>
      <c r="J134" s="536">
        <f>H134/DAY(B2)</f>
        <v>628.625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55"/>
      <c r="G135" s="112">
        <f>SUM(G128:G134)</f>
        <v>3293.1000000000013</v>
      </c>
      <c r="H135" s="99">
        <f>G135+'10'!H135</f>
        <v>32825.019999999997</v>
      </c>
      <c r="I135" s="329">
        <f>G135-(G35+G49)</f>
        <v>-438.58000000000629</v>
      </c>
      <c r="J135" s="330"/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9"/>
    </row>
    <row r="138" spans="1:15" s="537" customFormat="1" ht="27.75" x14ac:dyDescent="0.5">
      <c r="A138" s="900" t="s">
        <v>185</v>
      </c>
      <c r="B138" s="900"/>
      <c r="C138" s="900"/>
      <c r="D138" s="233" t="s">
        <v>183</v>
      </c>
      <c r="E138" s="534">
        <f>'15'!F138</f>
        <v>862343</v>
      </c>
      <c r="F138" s="148">
        <v>862461</v>
      </c>
      <c r="G138" s="236">
        <f t="shared" ref="G138:G152" si="11">F138-E138</f>
        <v>118</v>
      </c>
      <c r="H138" s="238">
        <f>G138+'15'!H138</f>
        <v>1199</v>
      </c>
      <c r="I138" s="535"/>
      <c r="J138" s="536">
        <f>H138/DAY(B2)</f>
        <v>74.9375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'15'!F139</f>
        <v>886371</v>
      </c>
      <c r="F139" s="148">
        <v>886376</v>
      </c>
      <c r="G139" s="112">
        <f t="shared" si="11"/>
        <v>5</v>
      </c>
      <c r="H139" s="99">
        <f>G139+'15'!H139</f>
        <v>177</v>
      </c>
      <c r="I139" s="118"/>
      <c r="J139" s="330">
        <f>H139/DAY(B2)</f>
        <v>11.0625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'15'!F140</f>
        <v>88864</v>
      </c>
      <c r="F140" s="149">
        <v>88864</v>
      </c>
      <c r="G140" s="112">
        <f t="shared" si="11"/>
        <v>0</v>
      </c>
      <c r="H140" s="99">
        <f>G140+'15'!H140</f>
        <v>15</v>
      </c>
      <c r="I140" s="118"/>
      <c r="J140" s="330">
        <f>H140/DAY(B2)</f>
        <v>0.9375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'15'!F141</f>
        <v>46097</v>
      </c>
      <c r="F141" s="149">
        <v>46289.8</v>
      </c>
      <c r="G141" s="112">
        <f t="shared" si="11"/>
        <v>192.80000000000291</v>
      </c>
      <c r="H141" s="99">
        <f>G141+'15'!H141</f>
        <v>3163.0699999999997</v>
      </c>
      <c r="I141" s="118"/>
      <c r="J141" s="330">
        <f>H141/DAY(B2)</f>
        <v>197.69187499999998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'15'!F142</f>
        <v>17817</v>
      </c>
      <c r="F142" s="148">
        <v>17889.98</v>
      </c>
      <c r="G142" s="112">
        <f t="shared" si="11"/>
        <v>72.979999999999563</v>
      </c>
      <c r="H142" s="99">
        <f>G142+'15'!H142</f>
        <v>429.47999999999956</v>
      </c>
      <c r="I142" s="140"/>
      <c r="J142" s="330">
        <f>H142/DAY(B2)</f>
        <v>26.842499999999973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'15'!F143</f>
        <v>2648</v>
      </c>
      <c r="F143" s="149">
        <v>2677.58</v>
      </c>
      <c r="G143" s="112">
        <f t="shared" si="11"/>
        <v>29.579999999999927</v>
      </c>
      <c r="H143" s="99">
        <f>G143+'15'!H143</f>
        <v>476.17999999999984</v>
      </c>
      <c r="I143" s="140"/>
      <c r="J143" s="330">
        <f>H143/DAY(B2)</f>
        <v>29.76124999999999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'15'!F144</f>
        <v>865848</v>
      </c>
      <c r="F144" s="149">
        <v>866087</v>
      </c>
      <c r="G144" s="112">
        <f t="shared" si="11"/>
        <v>239</v>
      </c>
      <c r="H144" s="99">
        <f>G144+'15'!H144</f>
        <v>3692</v>
      </c>
      <c r="I144" s="140"/>
      <c r="J144" s="330">
        <f>H144/DAY(B2)</f>
        <v>230.75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'15'!F145</f>
        <v>4145</v>
      </c>
      <c r="F145" s="148">
        <v>4208.09</v>
      </c>
      <c r="G145" s="112">
        <f t="shared" si="11"/>
        <v>63.090000000000146</v>
      </c>
      <c r="H145" s="99">
        <f>G145+'15'!H145</f>
        <v>789.09000000000015</v>
      </c>
      <c r="I145" s="140"/>
      <c r="J145" s="330">
        <f>H145/DAY(B2)</f>
        <v>49.318125000000009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'15'!F146</f>
        <v>717200</v>
      </c>
      <c r="F146" s="148">
        <v>717626.6</v>
      </c>
      <c r="G146" s="112">
        <f t="shared" si="11"/>
        <v>426.59999999997672</v>
      </c>
      <c r="H146" s="99">
        <f>G146+'15'!H146</f>
        <v>6741.5999999999767</v>
      </c>
      <c r="I146" s="140"/>
      <c r="J146" s="330">
        <f>H146/DAY(B2)</f>
        <v>421.34999999999854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'15'!F147</f>
        <v>608652</v>
      </c>
      <c r="F147" s="148">
        <v>609069</v>
      </c>
      <c r="G147" s="112">
        <f t="shared" si="11"/>
        <v>417</v>
      </c>
      <c r="H147" s="99">
        <f>G147+'15'!H147</f>
        <v>7083.9599999999627</v>
      </c>
      <c r="I147" s="140"/>
      <c r="J147" s="330">
        <f>H147/DAY(B2)</f>
        <v>442.74749999999767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'15'!F148</f>
        <v>678248</v>
      </c>
      <c r="F148" s="164">
        <v>678524</v>
      </c>
      <c r="G148" s="112">
        <f t="shared" si="11"/>
        <v>276</v>
      </c>
      <c r="H148" s="99">
        <f>G148+'15'!H148</f>
        <v>4734.3199999999488</v>
      </c>
      <c r="I148" s="124"/>
      <c r="J148" s="330">
        <f>H148/DAY(B2)</f>
        <v>295.8949999999968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'15'!F149</f>
        <v>89766</v>
      </c>
      <c r="F149" s="233">
        <v>90089</v>
      </c>
      <c r="G149" s="112">
        <f t="shared" si="11"/>
        <v>323</v>
      </c>
      <c r="H149" s="99">
        <f>G149+'15'!H149</f>
        <v>94950</v>
      </c>
      <c r="I149" s="119"/>
      <c r="J149" s="330">
        <f>H149/DAY(B2)</f>
        <v>5934.375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'15'!F150</f>
        <v>417</v>
      </c>
      <c r="F150" s="233">
        <v>639.99</v>
      </c>
      <c r="G150" s="112">
        <f t="shared" si="11"/>
        <v>222.99</v>
      </c>
      <c r="H150" s="99">
        <f>G150+'15'!H150</f>
        <v>447.99</v>
      </c>
      <c r="I150" s="119"/>
      <c r="J150" s="330">
        <f>H150/DAY(B2)</f>
        <v>27.999375000000001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'15'!F151</f>
        <v>74441</v>
      </c>
      <c r="F151" s="233">
        <v>74683</v>
      </c>
      <c r="G151" s="112">
        <f t="shared" si="11"/>
        <v>242</v>
      </c>
      <c r="H151" s="99">
        <f>G151+'15'!H151</f>
        <v>3961</v>
      </c>
      <c r="I151" s="119"/>
      <c r="J151" s="330">
        <f>H151/DAY(B2)</f>
        <v>247.5625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'15'!F152</f>
        <v>316</v>
      </c>
      <c r="F152" s="233">
        <v>373.4</v>
      </c>
      <c r="G152" s="112">
        <f t="shared" si="11"/>
        <v>57.399999999999977</v>
      </c>
      <c r="H152" s="99">
        <f>G152+'15'!H152</f>
        <v>373.4</v>
      </c>
      <c r="I152" s="119"/>
      <c r="J152" s="330">
        <f>H152/DAY(B2)</f>
        <v>23.337499999999999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2685.4399999999791</v>
      </c>
      <c r="H153" s="365"/>
      <c r="I153" s="119">
        <f>G153-(G38+G52)</f>
        <v>699.82999999999311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534">
        <f>'15'!F155</f>
        <v>1950</v>
      </c>
      <c r="F155" s="582">
        <v>2657.76</v>
      </c>
      <c r="G155" s="236">
        <f>F155-E155</f>
        <v>707.76000000000022</v>
      </c>
      <c r="H155" s="99">
        <f>G155+'15'!H155</f>
        <v>2750.76</v>
      </c>
      <c r="I155" s="366"/>
      <c r="J155" s="330">
        <f>H155/DAY(B2)</f>
        <v>171.92250000000001</v>
      </c>
    </row>
    <row r="156" spans="1:10" ht="27.75" x14ac:dyDescent="0.5">
      <c r="A156" s="838" t="s">
        <v>347</v>
      </c>
      <c r="B156" s="838"/>
      <c r="C156" s="838"/>
      <c r="D156" s="117" t="s">
        <v>130</v>
      </c>
      <c r="E156" s="534">
        <f>'15'!F156</f>
        <v>158</v>
      </c>
      <c r="F156" s="157">
        <v>218.32</v>
      </c>
      <c r="G156" s="236">
        <f t="shared" ref="G156:G158" si="12">F156-E156</f>
        <v>60.319999999999993</v>
      </c>
      <c r="H156" s="99">
        <f>G156+'15'!H156</f>
        <v>218.32</v>
      </c>
      <c r="I156" s="165"/>
      <c r="J156" s="330">
        <f>H156/DAY(B2)</f>
        <v>13.645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534">
        <f>'15'!F157</f>
        <v>189</v>
      </c>
      <c r="F157" s="157">
        <v>253.81</v>
      </c>
      <c r="G157" s="236">
        <f t="shared" si="12"/>
        <v>64.81</v>
      </c>
      <c r="H157" s="99"/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534">
        <f>'15'!F158</f>
        <v>0</v>
      </c>
      <c r="F158" s="157"/>
      <c r="G158" s="236">
        <f t="shared" si="12"/>
        <v>0</v>
      </c>
      <c r="H158" s="99"/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471130</v>
      </c>
      <c r="F161" s="235">
        <v>471130</v>
      </c>
      <c r="G161" s="238">
        <f t="shared" ref="G161:G165" si="13">F161-E161</f>
        <v>0</v>
      </c>
      <c r="H161" s="99">
        <f>G161+'15'!H161</f>
        <v>153.88000000000466</v>
      </c>
      <c r="I161" s="236"/>
      <c r="J161" s="239">
        <f>H161/DAY(B2)</f>
        <v>9.617500000000291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87110</v>
      </c>
      <c r="F162" s="235">
        <v>87142.5</v>
      </c>
      <c r="G162" s="238">
        <f t="shared" si="13"/>
        <v>32.5</v>
      </c>
      <c r="H162" s="99">
        <f>G162+'15'!H162</f>
        <v>540.80000000000291</v>
      </c>
      <c r="I162" s="236"/>
      <c r="J162" s="239">
        <f>H162/DAY(B2)</f>
        <v>33.800000000000182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76776</v>
      </c>
      <c r="F163" s="235">
        <v>76879.899999999994</v>
      </c>
      <c r="G163" s="238">
        <f t="shared" si="13"/>
        <v>103.89999999999418</v>
      </c>
      <c r="H163" s="99">
        <f>G163+'15'!H163</f>
        <v>1420.0999999999913</v>
      </c>
      <c r="I163" s="236"/>
      <c r="J163" s="239">
        <f>H163/DAY(B2)</f>
        <v>88.756249999999454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4179</v>
      </c>
      <c r="F164" s="235">
        <v>4185.6000000000004</v>
      </c>
      <c r="G164" s="238">
        <f t="shared" si="13"/>
        <v>6.6000000000003638</v>
      </c>
      <c r="H164" s="99">
        <f>G164+'15'!H164</f>
        <v>87.700000000000728</v>
      </c>
      <c r="I164" s="236"/>
      <c r="J164" s="239">
        <f>H164/DAY(B2)</f>
        <v>5.4812500000000455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29538</v>
      </c>
      <c r="F165" s="235">
        <v>29545.58</v>
      </c>
      <c r="G165" s="238">
        <f t="shared" si="13"/>
        <v>7.5800000000017462</v>
      </c>
      <c r="H165" s="99">
        <f>G165+'15'!H165</f>
        <v>116.64880000000267</v>
      </c>
      <c r="I165" s="236"/>
      <c r="J165" s="239">
        <f>H165/DAY(B2)</f>
        <v>7.2905500000001666</v>
      </c>
    </row>
    <row r="166" spans="1:10" ht="29.25" x14ac:dyDescent="0.5">
      <c r="A166" s="870"/>
      <c r="B166" s="870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'15'!F173</f>
        <v>8110</v>
      </c>
      <c r="F173" s="155">
        <v>8110</v>
      </c>
      <c r="G173" s="155">
        <f>F173-E173</f>
        <v>0</v>
      </c>
      <c r="H173" s="99">
        <f>G173+'15'!H173</f>
        <v>3</v>
      </c>
      <c r="I173" s="155"/>
      <c r="J173" s="178">
        <f>H173/DAY(B2)</f>
        <v>0.1875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'15'!F174</f>
        <v>38056</v>
      </c>
      <c r="F174" s="157">
        <v>38068</v>
      </c>
      <c r="G174" s="155">
        <f t="shared" ref="G174:G175" si="14">F174-E174</f>
        <v>12</v>
      </c>
      <c r="H174" s="99">
        <f>G174+'15'!H174</f>
        <v>266</v>
      </c>
      <c r="I174" s="155"/>
      <c r="J174" s="178">
        <f>H174/DAY(B2)</f>
        <v>16.625</v>
      </c>
    </row>
    <row r="175" spans="1:10" ht="27.75" x14ac:dyDescent="0.5">
      <c r="A175" s="831" t="s">
        <v>76</v>
      </c>
      <c r="B175" s="833"/>
      <c r="C175" s="832"/>
      <c r="D175" s="228" t="s">
        <v>142</v>
      </c>
      <c r="E175" s="95">
        <f>'15'!F175</f>
        <v>21332</v>
      </c>
      <c r="F175" s="155">
        <v>21344</v>
      </c>
      <c r="G175" s="155">
        <f t="shared" si="14"/>
        <v>12</v>
      </c>
      <c r="H175" s="99">
        <f>G175+'15'!H175</f>
        <v>207</v>
      </c>
      <c r="I175" s="155"/>
      <c r="J175" s="178">
        <f>H175/DAY(B2)</f>
        <v>12.9375</v>
      </c>
    </row>
    <row r="176" spans="1:10" ht="27.75" x14ac:dyDescent="0.5">
      <c r="A176" s="867" t="s">
        <v>196</v>
      </c>
      <c r="B176" s="868"/>
      <c r="C176" s="335"/>
      <c r="D176" s="228" t="s">
        <v>142</v>
      </c>
      <c r="E176" s="95">
        <f>'15'!F176</f>
        <v>0</v>
      </c>
      <c r="F176" s="155"/>
      <c r="G176" s="155">
        <f>SUM(G173:G175)</f>
        <v>24</v>
      </c>
      <c r="H176" s="99">
        <f>G176+'15'!H176</f>
        <v>476</v>
      </c>
      <c r="I176" s="155"/>
      <c r="J176" s="178">
        <f>H176/DAY(B2)</f>
        <v>29.75</v>
      </c>
    </row>
    <row r="177" spans="1:11" ht="27.75" x14ac:dyDescent="0.5">
      <c r="A177" s="831" t="s">
        <v>77</v>
      </c>
      <c r="B177" s="832"/>
      <c r="C177" s="335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831" t="s">
        <v>210</v>
      </c>
      <c r="B178" s="832"/>
      <c r="C178" s="335"/>
      <c r="D178" s="228" t="s">
        <v>142</v>
      </c>
      <c r="E178" s="95">
        <f>'15'!F178</f>
        <v>78493</v>
      </c>
      <c r="F178" s="155">
        <v>78558</v>
      </c>
      <c r="G178" s="155">
        <f>F178-E178</f>
        <v>65</v>
      </c>
      <c r="H178" s="99">
        <f>G178+'15'!H178</f>
        <v>1206</v>
      </c>
      <c r="I178" s="155"/>
      <c r="J178" s="178">
        <f>H178/DAY(B2)</f>
        <v>75.375</v>
      </c>
    </row>
    <row r="179" spans="1:11" ht="27.75" x14ac:dyDescent="0.5">
      <c r="A179" s="831" t="s">
        <v>211</v>
      </c>
      <c r="B179" s="832"/>
      <c r="C179" s="335"/>
      <c r="D179" s="228" t="s">
        <v>142</v>
      </c>
      <c r="E179" s="95">
        <f>'15'!F179</f>
        <v>33888</v>
      </c>
      <c r="F179" s="155">
        <v>33888</v>
      </c>
      <c r="G179" s="155">
        <f t="shared" ref="G179:G180" si="15">F179-E179</f>
        <v>0</v>
      </c>
      <c r="H179" s="99">
        <f>G179+'15'!H179</f>
        <v>2</v>
      </c>
      <c r="I179" s="155"/>
      <c r="J179" s="178">
        <f>H179/DAY(B2)</f>
        <v>0.125</v>
      </c>
    </row>
    <row r="180" spans="1:11" ht="27.75" x14ac:dyDescent="0.5">
      <c r="A180" s="831" t="s">
        <v>212</v>
      </c>
      <c r="B180" s="832"/>
      <c r="C180" s="335"/>
      <c r="D180" s="228" t="s">
        <v>142</v>
      </c>
      <c r="E180" s="95">
        <f>'15'!F180</f>
        <v>5369</v>
      </c>
      <c r="F180" s="155">
        <v>5383</v>
      </c>
      <c r="G180" s="155">
        <f t="shared" si="15"/>
        <v>14</v>
      </c>
      <c r="H180" s="99">
        <f>G180+'15'!H180</f>
        <v>110</v>
      </c>
      <c r="I180" s="155"/>
      <c r="J180" s="178">
        <f>H180/DAY(B2)</f>
        <v>6.875</v>
      </c>
    </row>
    <row r="181" spans="1:11" ht="27.75" x14ac:dyDescent="0.5">
      <c r="A181" s="872" t="s">
        <v>108</v>
      </c>
      <c r="B181" s="873"/>
      <c r="C181" s="335"/>
      <c r="D181" s="228" t="s">
        <v>142</v>
      </c>
      <c r="E181" s="95">
        <f>'15'!F181</f>
        <v>0</v>
      </c>
      <c r="F181" s="155"/>
      <c r="G181" s="155">
        <f>SUM(G178:G180)</f>
        <v>79</v>
      </c>
      <c r="H181" s="99">
        <f>G181+'15'!H181</f>
        <v>1318</v>
      </c>
      <c r="I181" s="155"/>
      <c r="J181" s="178">
        <f>H181/DAY(B2)</f>
        <v>82.375</v>
      </c>
    </row>
    <row r="182" spans="1:11" ht="27.75" x14ac:dyDescent="0.5">
      <c r="A182" s="831" t="s">
        <v>213</v>
      </c>
      <c r="B182" s="832"/>
      <c r="C182" s="335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831" t="s">
        <v>214</v>
      </c>
      <c r="B183" s="832"/>
      <c r="C183" s="336"/>
      <c r="D183" s="228" t="s">
        <v>142</v>
      </c>
      <c r="E183" s="95">
        <f>'15'!F183</f>
        <v>14707</v>
      </c>
      <c r="F183" s="157">
        <v>14718</v>
      </c>
      <c r="G183" s="157">
        <f>F183-E183</f>
        <v>11</v>
      </c>
      <c r="H183" s="99">
        <f>G183+'15'!H183</f>
        <v>222</v>
      </c>
      <c r="I183" s="155"/>
      <c r="J183" s="178">
        <f>H183/DAY(B2)</f>
        <v>13.875</v>
      </c>
    </row>
    <row r="184" spans="1:11" ht="27.75" x14ac:dyDescent="0.5">
      <c r="A184" s="831" t="s">
        <v>215</v>
      </c>
      <c r="B184" s="832"/>
      <c r="C184" s="336"/>
      <c r="D184" s="228" t="s">
        <v>142</v>
      </c>
      <c r="E184" s="95">
        <f>'15'!F184</f>
        <v>10163</v>
      </c>
      <c r="F184" s="157">
        <v>10174</v>
      </c>
      <c r="G184" s="157">
        <f t="shared" ref="G184:G185" si="16">F184-E184</f>
        <v>11</v>
      </c>
      <c r="H184" s="99">
        <f>G184+'15'!H184</f>
        <v>143</v>
      </c>
      <c r="I184" s="155"/>
      <c r="J184" s="178">
        <f>H184/DAY(B2)</f>
        <v>8.9375</v>
      </c>
    </row>
    <row r="185" spans="1:11" ht="32.25" customHeight="1" x14ac:dyDescent="0.5">
      <c r="A185" s="831" t="s">
        <v>216</v>
      </c>
      <c r="B185" s="832"/>
      <c r="C185" s="336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867" t="s">
        <v>196</v>
      </c>
      <c r="B186" s="868"/>
      <c r="C186" s="336"/>
      <c r="D186" s="228" t="s">
        <v>142</v>
      </c>
      <c r="E186" s="95">
        <f>'15'!F186</f>
        <v>0</v>
      </c>
      <c r="F186" s="157"/>
      <c r="G186" s="157">
        <f>SUM(G183:G185)</f>
        <v>22</v>
      </c>
      <c r="H186" s="99">
        <f>G186+'15'!H186</f>
        <v>365</v>
      </c>
      <c r="I186" s="157"/>
      <c r="J186" s="178">
        <f>H186/DAY(B2)</f>
        <v>22.8125</v>
      </c>
    </row>
    <row r="187" spans="1:11" ht="27.75" x14ac:dyDescent="0.5">
      <c r="A187" s="876" t="s">
        <v>217</v>
      </c>
      <c r="B187" s="877"/>
      <c r="C187" s="335"/>
      <c r="D187" s="230" t="s">
        <v>142</v>
      </c>
      <c r="E187" s="95">
        <f>'15'!F187</f>
        <v>0</v>
      </c>
      <c r="F187" s="159"/>
      <c r="G187" s="506">
        <f>G62+G19</f>
        <v>160</v>
      </c>
      <c r="H187" s="99">
        <f>G187+'15'!H187</f>
        <v>2828</v>
      </c>
      <c r="I187" s="158"/>
      <c r="J187" s="179">
        <f>H187/DAY(B2)</f>
        <v>176.75</v>
      </c>
    </row>
    <row r="188" spans="1:11" ht="27.75" x14ac:dyDescent="0.5">
      <c r="A188" s="876" t="s">
        <v>218</v>
      </c>
      <c r="B188" s="877"/>
      <c r="C188" s="335"/>
      <c r="D188" s="230" t="s">
        <v>142</v>
      </c>
      <c r="E188" s="95">
        <f>'15'!F188</f>
        <v>0</v>
      </c>
      <c r="F188" s="159"/>
      <c r="G188" s="506">
        <f>G65+G66+G67+G69+G70</f>
        <v>159</v>
      </c>
      <c r="H188" s="99">
        <f>G188+'15'!H188</f>
        <v>311</v>
      </c>
      <c r="I188" s="158"/>
      <c r="J188" s="179">
        <f>H188/DAY(B2)</f>
        <v>19.4375</v>
      </c>
    </row>
    <row r="189" spans="1:11" ht="23.25" customHeight="1" x14ac:dyDescent="0.5">
      <c r="A189" s="876" t="s">
        <v>219</v>
      </c>
      <c r="B189" s="877"/>
      <c r="C189" s="335"/>
      <c r="D189" s="230" t="s">
        <v>142</v>
      </c>
      <c r="E189" s="95">
        <f>'15'!F189</f>
        <v>0</v>
      </c>
      <c r="F189" s="157"/>
      <c r="G189" s="503">
        <f>G181</f>
        <v>79</v>
      </c>
      <c r="H189" s="99">
        <f>G189+'15'!H189</f>
        <v>1318</v>
      </c>
      <c r="I189" s="158"/>
      <c r="J189" s="179">
        <f>H189/DAY(B2)</f>
        <v>82.375</v>
      </c>
    </row>
    <row r="190" spans="1:11" ht="23.25" customHeight="1" x14ac:dyDescent="0.5">
      <c r="A190" s="901"/>
      <c r="B190" s="902"/>
      <c r="C190" s="609"/>
      <c r="D190" s="524"/>
      <c r="E190" s="524" t="s">
        <v>207</v>
      </c>
      <c r="F190" s="543"/>
      <c r="G190" s="524"/>
      <c r="H190" s="525"/>
      <c r="I190" s="524"/>
      <c r="J190" s="526"/>
    </row>
    <row r="191" spans="1:11" ht="23.25" customHeight="1" x14ac:dyDescent="0.5">
      <c r="A191" s="245" t="s">
        <v>361</v>
      </c>
      <c r="B191" s="246"/>
      <c r="C191" s="246"/>
      <c r="D191" s="165"/>
      <c r="E191" s="165"/>
      <c r="F191" s="155">
        <v>53090</v>
      </c>
      <c r="G191" s="165">
        <v>53096</v>
      </c>
      <c r="H191" s="238">
        <f>G191-F191</f>
        <v>6</v>
      </c>
      <c r="I191" s="99">
        <f>H191+'15'!I191</f>
        <v>6</v>
      </c>
      <c r="J191" s="236"/>
      <c r="K191" s="239" t="e">
        <f>I191/DAY(C28)</f>
        <v>#DIV/0!</v>
      </c>
    </row>
    <row r="192" spans="1:11" ht="23.25" customHeight="1" x14ac:dyDescent="0.5">
      <c r="F192" s="542">
        <v>0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09" zoomScale="55" zoomScaleSheetLayoutView="55" zoomScalePageLayoutView="60" workbookViewId="0">
      <selection activeCell="G40" sqref="G40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.75" customHeight="1" x14ac:dyDescent="0.5">
      <c r="A2" s="191" t="s">
        <v>350</v>
      </c>
      <c r="B2" s="262">
        <v>44547</v>
      </c>
      <c r="C2" s="350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50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776512.95</v>
      </c>
      <c r="F7" s="95">
        <v>800363.6</v>
      </c>
      <c r="G7" s="112">
        <f>F7-E7</f>
        <v>23850.650000000023</v>
      </c>
      <c r="H7" s="99">
        <f>G7+'16'!H7</f>
        <v>399521.6</v>
      </c>
      <c r="I7" s="113">
        <f>'1'!I7</f>
        <v>12000</v>
      </c>
      <c r="J7" s="175">
        <f>H7/DAY(B2)</f>
        <v>23501.270588235293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819236.71</v>
      </c>
      <c r="F8" s="95">
        <v>843441</v>
      </c>
      <c r="G8" s="115">
        <f>F8-E8</f>
        <v>24204.290000000037</v>
      </c>
      <c r="H8" s="99">
        <f>G8+'16'!H8</f>
        <v>405146</v>
      </c>
      <c r="I8" s="116"/>
      <c r="J8" s="175">
        <f>H8/DAY(B2)</f>
        <v>23832.117647058825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2000804.5</v>
      </c>
      <c r="F9" s="659">
        <v>2019527.7</v>
      </c>
      <c r="G9" s="112">
        <f>F9-E9</f>
        <v>18723.199999999953</v>
      </c>
      <c r="H9" s="99">
        <f>G9+'16'!H9</f>
        <v>300430</v>
      </c>
      <c r="I9" s="124">
        <f>I7-J7</f>
        <v>-11501.270588235293</v>
      </c>
      <c r="J9" s="175">
        <f>H9/DAY(B2)</f>
        <v>17672.352941176472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489731.47</v>
      </c>
      <c r="F10" s="355">
        <v>494210.91</v>
      </c>
      <c r="G10" s="112">
        <f t="shared" ref="G10:G12" si="0">F10-E10</f>
        <v>4479.4400000000023</v>
      </c>
      <c r="H10" s="99">
        <f>G10+'16'!H10</f>
        <v>88128.479999999981</v>
      </c>
      <c r="I10" s="282"/>
      <c r="J10" s="175">
        <f>H10/DAY(B2)</f>
        <v>5184.0282352941167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23202.639999999956</v>
      </c>
      <c r="H13" s="99">
        <f>G13+'16'!H13</f>
        <v>366507.60999999993</v>
      </c>
      <c r="I13" s="120">
        <f>G7-G13</f>
        <v>648.01000000006752</v>
      </c>
      <c r="J13" s="175">
        <f>H13/DAY(B2)</f>
        <v>21559.271176470585</v>
      </c>
      <c r="K13" s="79"/>
      <c r="L13" s="66"/>
      <c r="N13" s="87"/>
      <c r="O13" s="71"/>
    </row>
    <row r="14" spans="1:15" ht="27.75" customHeight="1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7" t="s">
        <v>138</v>
      </c>
      <c r="B15" s="205"/>
      <c r="C15" s="205"/>
      <c r="D15" s="151" t="s">
        <v>139</v>
      </c>
      <c r="E15" s="95">
        <f>'16'!F15</f>
        <v>1861883</v>
      </c>
      <c r="F15" s="123">
        <v>1863021.8219999999</v>
      </c>
      <c r="G15" s="112">
        <f>(F15-E15)</f>
        <v>1138.8219999999274</v>
      </c>
      <c r="H15" s="99">
        <f>G15+'16'!H15</f>
        <v>19873.821999999927</v>
      </c>
      <c r="I15" s="113">
        <f>'1'!I15</f>
        <v>800</v>
      </c>
      <c r="J15" s="175">
        <f>H15/DAY(B2)</f>
        <v>1169.0483529411722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-369.0483529411722</v>
      </c>
      <c r="J16" s="176"/>
      <c r="K16" s="79"/>
      <c r="L16" s="66"/>
      <c r="N16" s="87"/>
      <c r="O16" s="71"/>
    </row>
    <row r="17" spans="1:15" ht="27.75" customHeight="1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09" t="s">
        <v>141</v>
      </c>
      <c r="B18" s="810"/>
      <c r="C18" s="811"/>
      <c r="D18" s="151" t="s">
        <v>142</v>
      </c>
      <c r="E18" s="95">
        <f>'16'!F18</f>
        <v>22</v>
      </c>
      <c r="F18" s="122">
        <v>18</v>
      </c>
      <c r="G18" s="119">
        <f>F18*10</f>
        <v>180</v>
      </c>
      <c r="H18" s="99">
        <f>G18+'16'!H18</f>
        <v>3580</v>
      </c>
      <c r="I18" s="113">
        <f>'1'!I18</f>
        <v>65</v>
      </c>
      <c r="J18" s="175">
        <f>H18/DAY(B2)</f>
        <v>210.58823529411765</v>
      </c>
      <c r="K18" s="79"/>
      <c r="L18" s="66"/>
      <c r="N18" s="87"/>
      <c r="O18" s="71"/>
    </row>
    <row r="19" spans="1:15" ht="27.75" customHeight="1" x14ac:dyDescent="0.5">
      <c r="A19" s="809" t="s">
        <v>69</v>
      </c>
      <c r="B19" s="810"/>
      <c r="C19" s="811"/>
      <c r="D19" s="151" t="s">
        <v>142</v>
      </c>
      <c r="E19" s="95">
        <f>'16'!F19</f>
        <v>151429</v>
      </c>
      <c r="F19" s="122">
        <v>151483</v>
      </c>
      <c r="G19" s="112">
        <f t="shared" ref="G19" si="1">F19-E19</f>
        <v>54</v>
      </c>
      <c r="H19" s="99">
        <f>G19+'16'!H19</f>
        <v>899</v>
      </c>
      <c r="I19" s="337"/>
      <c r="J19" s="175">
        <f>H19/DAY(B2)</f>
        <v>52.882352941176471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234</v>
      </c>
      <c r="H20" s="99">
        <f>G20+'16'!H20</f>
        <v>4479</v>
      </c>
      <c r="I20" s="338">
        <f>I18-J20</f>
        <v>-198.47058823529414</v>
      </c>
      <c r="J20" s="175">
        <f>H20/DAY(B2)</f>
        <v>263.47058823529414</v>
      </c>
      <c r="K20" s="79"/>
      <c r="L20" s="66"/>
      <c r="N20" s="87"/>
      <c r="O20" s="71"/>
    </row>
    <row r="21" spans="1:15" ht="27.75" customHeight="1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7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7" t="s">
        <v>147</v>
      </c>
      <c r="B23" s="205"/>
      <c r="C23" s="205"/>
      <c r="D23" s="151" t="s">
        <v>146</v>
      </c>
      <c r="E23" s="95">
        <f>'16'!F23</f>
        <v>2000</v>
      </c>
      <c r="F23" s="122">
        <v>2000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24204.290000000037</v>
      </c>
      <c r="F27" s="136">
        <v>9</v>
      </c>
      <c r="G27" s="137">
        <f>E27*F27</f>
        <v>217838.61000000034</v>
      </c>
      <c r="H27" s="99">
        <f>G27+'16'!H27</f>
        <v>3646314</v>
      </c>
      <c r="I27" s="138"/>
      <c r="J27" s="175">
        <f>H27/DAY(B2)</f>
        <v>214489.0588235294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1138.8219999999274</v>
      </c>
      <c r="F28" s="136">
        <v>52</v>
      </c>
      <c r="G28" s="137">
        <f>E28*F28</f>
        <v>59218.743999996223</v>
      </c>
      <c r="H28" s="99">
        <f>G28+'16'!H28</f>
        <v>1033438.7439999962</v>
      </c>
      <c r="I28" s="140"/>
      <c r="J28" s="175">
        <f>H28/DAY(B2)</f>
        <v>60790.514352940954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G30+'16'!H30</f>
        <v>131254</v>
      </c>
      <c r="I30" s="140"/>
      <c r="J30" s="175">
        <f>H30/DAY(B2)</f>
        <v>7720.8235294117649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G31+'16'!H31</f>
        <v>286400</v>
      </c>
      <c r="I31" s="140"/>
      <c r="J31" s="175">
        <f>H31/DAY(B2)</f>
        <v>16847.058823529413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299341.35399999656</v>
      </c>
      <c r="H32" s="99">
        <f>G32+'16'!H32</f>
        <v>5097406.7439999962</v>
      </c>
      <c r="I32" s="144"/>
      <c r="J32" s="175">
        <f>H32/DAY(B2)</f>
        <v>299847.45552941156</v>
      </c>
      <c r="K32" s="63"/>
      <c r="L32" s="89"/>
      <c r="N32" s="87"/>
      <c r="O32" s="71"/>
    </row>
    <row r="33" spans="1:15" ht="27.7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126939.79</v>
      </c>
      <c r="F35" s="145">
        <v>128731.06</v>
      </c>
      <c r="G35" s="112">
        <f t="shared" ref="G35:G46" si="3">F35-E35</f>
        <v>1791.2700000000041</v>
      </c>
      <c r="H35" s="99">
        <f>G35+'16'!H35</f>
        <v>35196.429999999993</v>
      </c>
      <c r="I35" s="95"/>
      <c r="J35" s="175">
        <f>H35/DAY(B2)</f>
        <v>2070.3782352941171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6619.26</v>
      </c>
      <c r="F36" s="145">
        <v>7904.89</v>
      </c>
      <c r="G36" s="112">
        <f t="shared" si="3"/>
        <v>1285.6300000000001</v>
      </c>
      <c r="H36" s="99">
        <f>G36+'16'!H36</f>
        <v>18171.190000000006</v>
      </c>
      <c r="I36" s="95"/>
      <c r="J36" s="175">
        <f>H36/DAY(B2)</f>
        <v>1068.893529411765</v>
      </c>
      <c r="K36" s="79"/>
      <c r="L36" s="66"/>
      <c r="N36" s="87"/>
      <c r="O36" s="346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171518.33</v>
      </c>
      <c r="F37" s="145">
        <v>173101.87</v>
      </c>
      <c r="G37" s="112">
        <f t="shared" si="3"/>
        <v>1583.5400000000081</v>
      </c>
      <c r="H37" s="99">
        <f>G37+'16'!H37</f>
        <v>27595.130000000005</v>
      </c>
      <c r="I37" s="95"/>
      <c r="J37" s="175">
        <f>H37/DAY(B2)</f>
        <v>1623.2429411764708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203077.61</v>
      </c>
      <c r="F38" s="108">
        <v>205245.77</v>
      </c>
      <c r="G38" s="112">
        <f t="shared" si="3"/>
        <v>2168.1600000000035</v>
      </c>
      <c r="H38" s="99">
        <f>G38+'16'!H38</f>
        <v>34241.72</v>
      </c>
      <c r="I38" s="95"/>
      <c r="J38" s="175">
        <f>H38/DAY(B2)</f>
        <v>2014.2188235294118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368719.87</v>
      </c>
      <c r="F39" s="145">
        <v>371804.35</v>
      </c>
      <c r="G39" s="112">
        <f t="shared" si="3"/>
        <v>3084.4799999999814</v>
      </c>
      <c r="H39" s="99">
        <f>G39+'16'!H39</f>
        <v>50141.06</v>
      </c>
      <c r="I39" s="95"/>
      <c r="J39" s="175">
        <f>H39/DAY(B2)</f>
        <v>2949.4741176470588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119.98</v>
      </c>
      <c r="F40" s="145">
        <v>588.35</v>
      </c>
      <c r="G40" s="112">
        <f t="shared" si="3"/>
        <v>468.37</v>
      </c>
      <c r="H40" s="99">
        <f>G40+'16'!H40</f>
        <v>477.13</v>
      </c>
      <c r="I40" s="95"/>
      <c r="J40" s="175">
        <f>H40/DAY(B2)</f>
        <v>28.066470588235294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0</v>
      </c>
      <c r="F41" s="145">
        <v>0</v>
      </c>
      <c r="G41" s="112">
        <f t="shared" si="3"/>
        <v>0</v>
      </c>
      <c r="H41" s="99">
        <f>G41+'16'!H41</f>
        <v>9386.2900000000373</v>
      </c>
      <c r="I41" s="95"/>
      <c r="J41" s="175">
        <f>H41/DAY(B2)</f>
        <v>552.13470588235509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10523.79</v>
      </c>
      <c r="F42" s="145">
        <v>15213.15</v>
      </c>
      <c r="G42" s="112">
        <f t="shared" si="3"/>
        <v>4689.3599999999988</v>
      </c>
      <c r="H42" s="99">
        <f>G42+'16'!H42</f>
        <v>56819.160000000011</v>
      </c>
      <c r="I42" s="95"/>
      <c r="J42" s="175">
        <f>H42/DAY(B2)</f>
        <v>3342.3035294117653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7146.2</v>
      </c>
      <c r="F43" s="145">
        <v>9928.93</v>
      </c>
      <c r="G43" s="112">
        <f t="shared" si="3"/>
        <v>2782.7300000000005</v>
      </c>
      <c r="H43" s="99">
        <f>G43+'16'!H43</f>
        <v>46011.329999999907</v>
      </c>
      <c r="I43" s="95"/>
      <c r="J43" s="175">
        <f>H43/DAY(B2)</f>
        <v>2706.5488235294065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17853.539999999997</v>
      </c>
      <c r="H47" s="99">
        <f>G47+'16'!H47</f>
        <v>278039.43999999994</v>
      </c>
      <c r="I47" s="95"/>
      <c r="J47" s="175">
        <f>H47/DAY(B2)</f>
        <v>16355.261176470585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248551.89</v>
      </c>
      <c r="F49" s="145">
        <v>250312.43</v>
      </c>
      <c r="G49" s="112">
        <f t="shared" ref="G49:G58" si="4">F49-E49</f>
        <v>1760.539999999979</v>
      </c>
      <c r="H49" s="99">
        <f>G49+'16'!H49</f>
        <v>29799.100000000006</v>
      </c>
      <c r="I49" s="95"/>
      <c r="J49" s="175">
        <f>H49/DAY(B2)</f>
        <v>1752.888235294118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6533.38</v>
      </c>
      <c r="F50" s="145">
        <v>7774.88</v>
      </c>
      <c r="G50" s="112">
        <f t="shared" si="4"/>
        <v>1241.5</v>
      </c>
      <c r="H50" s="99">
        <f>G50+'16'!H50</f>
        <v>23626.690000000057</v>
      </c>
      <c r="I50" s="95"/>
      <c r="J50" s="175">
        <f>H50/DAY(B2)</f>
        <v>1389.8052941176504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3117.72</v>
      </c>
      <c r="F54" s="145">
        <v>3122</v>
      </c>
      <c r="G54" s="112">
        <f t="shared" si="4"/>
        <v>4.2800000000002001</v>
      </c>
      <c r="H54" s="99">
        <f>G54+'16'!H54</f>
        <v>90.7199999999998</v>
      </c>
      <c r="I54" s="95"/>
      <c r="J54" s="175">
        <f>H54/DAY(B2)</f>
        <v>5.3364705882352821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0</v>
      </c>
      <c r="F55" s="145">
        <v>0</v>
      </c>
      <c r="G55" s="112">
        <f t="shared" si="4"/>
        <v>0</v>
      </c>
      <c r="H55" s="99">
        <f>G55+'16'!H55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7001.74</v>
      </c>
      <c r="F56" s="145">
        <v>7957.59</v>
      </c>
      <c r="G56" s="112">
        <f t="shared" si="4"/>
        <v>955.85000000000036</v>
      </c>
      <c r="H56" s="99">
        <f>G56+'16'!H56</f>
        <v>29507.639999999985</v>
      </c>
      <c r="I56" s="95"/>
      <c r="J56" s="175">
        <f>H56/DAY(B2)</f>
        <v>1735.7435294117638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89041.35</v>
      </c>
      <c r="F58" s="145">
        <v>89243</v>
      </c>
      <c r="G58" s="112">
        <f t="shared" si="4"/>
        <v>201.64999999999418</v>
      </c>
      <c r="H58" s="99">
        <f>G58+'16'!H58</f>
        <v>3918.1499999999942</v>
      </c>
      <c r="I58" s="95"/>
      <c r="J58" s="175">
        <f>H58/DAY(B2)</f>
        <v>230.47941176470553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4163.8199999999742</v>
      </c>
      <c r="H59" s="99">
        <f>G59+'16'!H59</f>
        <v>86942.300000000047</v>
      </c>
      <c r="I59" s="95">
        <f>G7-G60</f>
        <v>1833.2900000000518</v>
      </c>
      <c r="J59" s="175">
        <f>H59/DAY(B2)</f>
        <v>5114.2529411764735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22017.359999999971</v>
      </c>
      <c r="H60" s="99">
        <f>G60+'16'!H60</f>
        <v>364981.74000000005</v>
      </c>
      <c r="I60" s="95">
        <f>G13-G60</f>
        <v>1185.2799999999843</v>
      </c>
      <c r="J60" s="175">
        <f>H60/DAY(B2)</f>
        <v>21469.514117647061</v>
      </c>
      <c r="K60" s="79"/>
      <c r="L60" s="66"/>
      <c r="N60" s="87"/>
      <c r="O60" s="71"/>
    </row>
    <row r="61" spans="1:15" s="68" customFormat="1" ht="27.75" customHeight="1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customHeight="1" x14ac:dyDescent="0.5">
      <c r="A62" s="809" t="s">
        <v>198</v>
      </c>
      <c r="B62" s="810"/>
      <c r="C62" s="811"/>
      <c r="D62" s="151" t="s">
        <v>142</v>
      </c>
      <c r="E62" s="95">
        <f>'16'!F62</f>
        <v>265448</v>
      </c>
      <c r="F62" s="122">
        <v>265574</v>
      </c>
      <c r="G62" s="112">
        <f t="shared" ref="G62:G63" si="5">F62-E62</f>
        <v>126</v>
      </c>
      <c r="H62" s="99">
        <f>G62+'16'!H62</f>
        <v>2109</v>
      </c>
      <c r="I62" s="118"/>
      <c r="J62" s="175">
        <f>H62/DAY(B2)</f>
        <v>124.05882352941177</v>
      </c>
      <c r="K62" s="80"/>
      <c r="L62" s="66"/>
      <c r="N62" s="87"/>
      <c r="O62" s="71"/>
    </row>
    <row r="63" spans="1:15" ht="27.75" customHeight="1" x14ac:dyDescent="0.5">
      <c r="A63" s="809" t="s">
        <v>199</v>
      </c>
      <c r="B63" s="810"/>
      <c r="C63" s="811"/>
      <c r="D63" s="151" t="s">
        <v>142</v>
      </c>
      <c r="E63" s="95">
        <f>'16'!F63</f>
        <v>211063</v>
      </c>
      <c r="F63" s="122">
        <v>211183</v>
      </c>
      <c r="G63" s="112">
        <f t="shared" si="5"/>
        <v>120</v>
      </c>
      <c r="H63" s="99">
        <f>G63+'16'!H63</f>
        <v>1808</v>
      </c>
      <c r="I63" s="118"/>
      <c r="J63" s="175">
        <f>H63/DAY(B2)</f>
        <v>106.35294117647059</v>
      </c>
      <c r="K63" s="69"/>
      <c r="L63" s="66"/>
      <c r="N63" s="87"/>
      <c r="O63" s="71"/>
    </row>
    <row r="64" spans="1:15" ht="27.75" customHeight="1" x14ac:dyDescent="0.5">
      <c r="A64" s="806" t="s">
        <v>200</v>
      </c>
      <c r="B64" s="807"/>
      <c r="C64" s="808"/>
      <c r="D64" s="151"/>
      <c r="E64" s="95">
        <f>'16'!F64</f>
        <v>0</v>
      </c>
      <c r="F64" s="122"/>
      <c r="G64" s="112">
        <f>G62+G63</f>
        <v>246</v>
      </c>
      <c r="H64" s="99">
        <f>G64+'16'!H64</f>
        <v>3917</v>
      </c>
      <c r="I64" s="118"/>
      <c r="J64" s="175">
        <f>H64/DAY(B2)</f>
        <v>230.41176470588235</v>
      </c>
      <c r="K64" s="69"/>
      <c r="L64" s="66"/>
      <c r="N64" s="87"/>
      <c r="O64" s="71"/>
    </row>
    <row r="65" spans="1:15" ht="27.75" customHeight="1" x14ac:dyDescent="0.5">
      <c r="A65" s="809" t="s">
        <v>201</v>
      </c>
      <c r="B65" s="810"/>
      <c r="C65" s="811"/>
      <c r="D65" s="151" t="s">
        <v>142</v>
      </c>
      <c r="E65" s="95">
        <f>'16'!F65</f>
        <v>431056</v>
      </c>
      <c r="F65" s="122">
        <v>431167</v>
      </c>
      <c r="G65" s="112">
        <f t="shared" ref="G65:G70" si="6">F65-E65</f>
        <v>111</v>
      </c>
      <c r="H65" s="99">
        <f>G65+'16'!H65</f>
        <v>1804</v>
      </c>
      <c r="I65" s="118"/>
      <c r="J65" s="175">
        <f>H65/DAY(B2)</f>
        <v>106.11764705882354</v>
      </c>
      <c r="K65" s="69"/>
      <c r="L65" s="66"/>
      <c r="N65" s="87"/>
      <c r="O65" s="71"/>
    </row>
    <row r="66" spans="1:15" ht="27.75" customHeight="1" x14ac:dyDescent="0.5">
      <c r="A66" s="347" t="s">
        <v>202</v>
      </c>
      <c r="B66" s="348"/>
      <c r="C66" s="348"/>
      <c r="D66" s="151" t="s">
        <v>142</v>
      </c>
      <c r="E66" s="95">
        <f>'16'!F66</f>
        <v>106910</v>
      </c>
      <c r="F66" s="122">
        <v>106929</v>
      </c>
      <c r="G66" s="112">
        <f t="shared" si="6"/>
        <v>19</v>
      </c>
      <c r="H66" s="99">
        <f>G66+'16'!H66</f>
        <v>330</v>
      </c>
      <c r="I66" s="118"/>
      <c r="J66" s="175">
        <f>H66/DAY(B2)</f>
        <v>19.411764705882351</v>
      </c>
      <c r="K66" s="78"/>
      <c r="L66" s="66"/>
      <c r="N66" s="87"/>
      <c r="O66" s="71"/>
    </row>
    <row r="67" spans="1:15" ht="27.75" customHeight="1" x14ac:dyDescent="0.5">
      <c r="A67" s="347" t="s">
        <v>203</v>
      </c>
      <c r="B67" s="348"/>
      <c r="C67" s="348"/>
      <c r="D67" s="151" t="s">
        <v>142</v>
      </c>
      <c r="E67" s="95">
        <f>'16'!F67</f>
        <v>103477</v>
      </c>
      <c r="F67" s="122">
        <v>103508</v>
      </c>
      <c r="G67" s="112">
        <f t="shared" si="6"/>
        <v>31</v>
      </c>
      <c r="H67" s="99">
        <f>G67+'16'!H67</f>
        <v>497</v>
      </c>
      <c r="I67" s="118"/>
      <c r="J67" s="175">
        <f>H67/DAY(B2)</f>
        <v>29.235294117647058</v>
      </c>
      <c r="K67" s="81"/>
      <c r="L67" s="66"/>
      <c r="N67" s="87"/>
      <c r="O67" s="71"/>
    </row>
    <row r="68" spans="1:15" ht="27.75" customHeight="1" x14ac:dyDescent="0.5">
      <c r="A68" s="347" t="s">
        <v>204</v>
      </c>
      <c r="B68" s="348"/>
      <c r="C68" s="348"/>
      <c r="D68" s="151" t="s">
        <v>142</v>
      </c>
      <c r="E68" s="95">
        <f>'16'!F68</f>
        <v>156076</v>
      </c>
      <c r="F68" s="122">
        <v>156125</v>
      </c>
      <c r="G68" s="112">
        <f t="shared" si="6"/>
        <v>49</v>
      </c>
      <c r="H68" s="99">
        <f>G68+'16'!H68</f>
        <v>685</v>
      </c>
      <c r="I68" s="118"/>
      <c r="J68" s="175">
        <f>H68/DAY(B2)</f>
        <v>40.294117647058826</v>
      </c>
      <c r="K68" s="69"/>
      <c r="L68" s="66"/>
      <c r="N68" s="87"/>
      <c r="O68" s="71"/>
    </row>
    <row r="69" spans="1:15" ht="27.75" customHeight="1" x14ac:dyDescent="0.5">
      <c r="A69" s="347" t="s">
        <v>205</v>
      </c>
      <c r="B69" s="348"/>
      <c r="C69" s="348"/>
      <c r="D69" s="151" t="s">
        <v>142</v>
      </c>
      <c r="E69" s="95">
        <f>'16'!F69</f>
        <v>10026</v>
      </c>
      <c r="F69" s="122">
        <v>10034</v>
      </c>
      <c r="G69" s="112">
        <f t="shared" si="6"/>
        <v>8</v>
      </c>
      <c r="H69" s="99">
        <f>G69+'16'!H69</f>
        <v>191</v>
      </c>
      <c r="I69" s="118"/>
      <c r="J69" s="175">
        <f>H69/DAY(B2)</f>
        <v>11.235294117647058</v>
      </c>
      <c r="K69" s="69"/>
      <c r="L69" s="66"/>
      <c r="N69" s="87"/>
      <c r="O69" s="71"/>
    </row>
    <row r="70" spans="1:15" ht="27.75" customHeight="1" x14ac:dyDescent="0.5">
      <c r="A70" s="347" t="s">
        <v>206</v>
      </c>
      <c r="B70" s="348"/>
      <c r="C70" s="348"/>
      <c r="D70" s="151" t="s">
        <v>142</v>
      </c>
      <c r="E70" s="95">
        <f>'16'!F70</f>
        <v>7710</v>
      </c>
      <c r="F70" s="122">
        <v>7723</v>
      </c>
      <c r="G70" s="112">
        <f t="shared" si="6"/>
        <v>13</v>
      </c>
      <c r="H70" s="99">
        <f>G70+'16'!H70</f>
        <v>181</v>
      </c>
      <c r="I70" s="118"/>
      <c r="J70" s="175">
        <f>H70/DAY(B2)</f>
        <v>10.647058823529411</v>
      </c>
      <c r="K70" s="69"/>
      <c r="L70" s="66"/>
      <c r="N70" s="87"/>
      <c r="O70" s="71"/>
    </row>
    <row r="71" spans="1:15" ht="27.75" customHeight="1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231</v>
      </c>
      <c r="H71" s="99">
        <f>G71+'16'!H71</f>
        <v>3688</v>
      </c>
      <c r="I71" s="154"/>
      <c r="J71" s="175">
        <f>H71/DAY(B2)</f>
        <v>216.94117647058823</v>
      </c>
      <c r="K71" s="69"/>
      <c r="L71" s="66"/>
      <c r="N71" s="87"/>
      <c r="O71" s="71"/>
    </row>
    <row r="72" spans="1:15" s="88" customFormat="1" ht="27.75" customHeight="1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customHeight="1" x14ac:dyDescent="0.5">
      <c r="A74" s="809" t="s">
        <v>220</v>
      </c>
      <c r="B74" s="810"/>
      <c r="C74" s="811"/>
      <c r="D74" s="151" t="s">
        <v>139</v>
      </c>
      <c r="E74" s="95">
        <f>'16'!F74</f>
        <v>887319.41</v>
      </c>
      <c r="F74" s="117">
        <v>887636.83</v>
      </c>
      <c r="G74" s="112">
        <f t="shared" ref="G74:G78" si="7">F74-E74</f>
        <v>317.41999999992549</v>
      </c>
      <c r="H74" s="99">
        <f>G74+'16'!H74</f>
        <v>5383.780999999959</v>
      </c>
      <c r="I74" s="154"/>
      <c r="J74" s="175">
        <f>H74/DAY(B2)</f>
        <v>316.6929999999976</v>
      </c>
      <c r="K74" s="69"/>
      <c r="L74" s="66"/>
      <c r="N74" s="87"/>
      <c r="O74" s="71"/>
    </row>
    <row r="75" spans="1:15" ht="27.75" customHeight="1" x14ac:dyDescent="0.5">
      <c r="A75" s="809" t="s">
        <v>221</v>
      </c>
      <c r="B75" s="810"/>
      <c r="C75" s="811"/>
      <c r="D75" s="151" t="s">
        <v>139</v>
      </c>
      <c r="E75" s="95">
        <f>'16'!F75</f>
        <v>73830.69</v>
      </c>
      <c r="F75" s="123">
        <v>73830.69</v>
      </c>
      <c r="G75" s="112">
        <f t="shared" si="7"/>
        <v>0</v>
      </c>
      <c r="H75" s="99">
        <f>G75+'16'!H75</f>
        <v>243.88999999999942</v>
      </c>
      <c r="I75" s="154"/>
      <c r="J75" s="175">
        <f>H75/DAY(B2)</f>
        <v>14.34647058823526</v>
      </c>
      <c r="K75" s="69"/>
      <c r="L75" s="66"/>
      <c r="N75" s="87"/>
      <c r="O75" s="71"/>
    </row>
    <row r="76" spans="1:15" ht="27.75" customHeight="1" x14ac:dyDescent="0.5">
      <c r="A76" s="850" t="s">
        <v>222</v>
      </c>
      <c r="B76" s="836"/>
      <c r="C76" s="837"/>
      <c r="D76" s="151" t="s">
        <v>139</v>
      </c>
      <c r="E76" s="95">
        <f>'16'!F76</f>
        <v>165479.42000000001</v>
      </c>
      <c r="F76" s="123">
        <v>165603</v>
      </c>
      <c r="G76" s="112">
        <f t="shared" si="7"/>
        <v>123.57999999998719</v>
      </c>
      <c r="H76" s="99">
        <f>G76+'16'!H76</f>
        <v>2219</v>
      </c>
      <c r="I76" s="154"/>
      <c r="J76" s="175">
        <f>H76/DAY(B2)</f>
        <v>130.52941176470588</v>
      </c>
      <c r="K76" s="69"/>
      <c r="L76" s="66"/>
      <c r="N76" s="87"/>
      <c r="O76" s="71"/>
    </row>
    <row r="77" spans="1:15" ht="27.75" customHeight="1" x14ac:dyDescent="0.5">
      <c r="A77" s="850" t="s">
        <v>223</v>
      </c>
      <c r="B77" s="836"/>
      <c r="C77" s="837"/>
      <c r="D77" s="151" t="s">
        <v>139</v>
      </c>
      <c r="E77" s="95">
        <f>'16'!F77</f>
        <v>39572.1</v>
      </c>
      <c r="F77" s="123">
        <v>39624.5</v>
      </c>
      <c r="G77" s="112">
        <f t="shared" si="7"/>
        <v>52.400000000001455</v>
      </c>
      <c r="H77" s="99">
        <f>G77+'16'!H77</f>
        <v>814.5</v>
      </c>
      <c r="I77" s="154"/>
      <c r="J77" s="175">
        <f>H77/DAY(B2)</f>
        <v>47.911764705882355</v>
      </c>
      <c r="K77" s="69"/>
      <c r="L77" s="66"/>
      <c r="N77" s="87"/>
      <c r="O77" s="71"/>
    </row>
    <row r="78" spans="1:15" ht="27.75" customHeight="1" x14ac:dyDescent="0.5">
      <c r="A78" s="850" t="s">
        <v>224</v>
      </c>
      <c r="B78" s="836"/>
      <c r="C78" s="837"/>
      <c r="D78" s="151" t="s">
        <v>139</v>
      </c>
      <c r="E78" s="95">
        <f>'16'!F78</f>
        <v>9458.7999999999993</v>
      </c>
      <c r="F78" s="123">
        <v>9461</v>
      </c>
      <c r="G78" s="112">
        <f t="shared" si="7"/>
        <v>2.2000000000007276</v>
      </c>
      <c r="H78" s="99">
        <f>G78+'16'!H78</f>
        <v>49</v>
      </c>
      <c r="I78" s="118"/>
      <c r="J78" s="175">
        <f>H78/DAY(B2)</f>
        <v>2.8823529411764706</v>
      </c>
      <c r="K78" s="69"/>
      <c r="L78" s="66"/>
      <c r="N78" s="87"/>
      <c r="O78" s="71"/>
    </row>
    <row r="79" spans="1:15" s="57" customFormat="1" ht="27.75" customHeight="1" x14ac:dyDescent="0.5">
      <c r="A79" s="850" t="s">
        <v>225</v>
      </c>
      <c r="B79" s="836"/>
      <c r="C79" s="837"/>
      <c r="D79" s="151"/>
      <c r="E79" s="95">
        <f>'16'!F79</f>
        <v>0</v>
      </c>
      <c r="F79" s="123"/>
      <c r="G79" s="112">
        <f>G15-SUM(G74:G78)</f>
        <v>643.22200000001249</v>
      </c>
      <c r="H79" s="99">
        <f>G79+'16'!H79</f>
        <v>11163.650999999969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1138.8219999999274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7" t="s">
        <v>227</v>
      </c>
      <c r="B82" s="348"/>
      <c r="C82" s="348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7" t="s">
        <v>229</v>
      </c>
      <c r="B83" s="348"/>
      <c r="C83" s="348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7" t="s">
        <v>230</v>
      </c>
      <c r="B84" s="348"/>
      <c r="C84" s="348"/>
      <c r="D84" s="151" t="s">
        <v>228</v>
      </c>
      <c r="E84" s="95">
        <f>'16'!F84</f>
        <v>41675.26</v>
      </c>
      <c r="F84" s="164">
        <v>41675.26</v>
      </c>
      <c r="G84" s="112">
        <f t="shared" si="8"/>
        <v>0</v>
      </c>
      <c r="H84" s="99">
        <f>G84+'16'!H84</f>
        <v>46.700000000004366</v>
      </c>
      <c r="I84" s="118"/>
      <c r="J84" s="175">
        <f>H84/DAY(B2)</f>
        <v>2.7470588235296685</v>
      </c>
      <c r="O84" s="71"/>
    </row>
    <row r="85" spans="1:15" ht="27.75" customHeight="1" x14ac:dyDescent="0.5">
      <c r="A85" s="347" t="s">
        <v>231</v>
      </c>
      <c r="B85" s="348"/>
      <c r="C85" s="348"/>
      <c r="D85" s="151" t="s">
        <v>228</v>
      </c>
      <c r="E85" s="95">
        <f>'16'!F85</f>
        <v>1772.07</v>
      </c>
      <c r="F85" s="164">
        <v>1796.11</v>
      </c>
      <c r="G85" s="112">
        <f t="shared" si="8"/>
        <v>24.039999999999964</v>
      </c>
      <c r="H85" s="99">
        <f>G85+'16'!H85</f>
        <v>292.54999999999995</v>
      </c>
      <c r="I85" s="118">
        <f>G82+G83+G84+G85</f>
        <v>24.039999999999964</v>
      </c>
      <c r="J85" s="175">
        <f>H85/DAY(B2)</f>
        <v>17.208823529411763</v>
      </c>
      <c r="O85" s="71"/>
    </row>
    <row r="86" spans="1:15" ht="27.75" customHeight="1" x14ac:dyDescent="0.5">
      <c r="A86" s="347" t="s">
        <v>232</v>
      </c>
      <c r="B86" s="348"/>
      <c r="C86" s="348"/>
      <c r="D86" s="151" t="s">
        <v>228</v>
      </c>
      <c r="E86" s="95">
        <f>'16'!F86</f>
        <v>42826.47</v>
      </c>
      <c r="F86" s="164">
        <v>42826.47</v>
      </c>
      <c r="G86" s="112">
        <f t="shared" si="8"/>
        <v>0</v>
      </c>
      <c r="H86" s="99">
        <f>G86+'16'!H86</f>
        <v>0.47000000000116415</v>
      </c>
      <c r="I86" s="118"/>
      <c r="J86" s="175">
        <f>H86/DAY(B2)</f>
        <v>2.764705882359789E-2</v>
      </c>
      <c r="O86" s="71"/>
    </row>
    <row r="87" spans="1:15" ht="27.75" customHeight="1" x14ac:dyDescent="0.5">
      <c r="A87" s="347" t="s">
        <v>233</v>
      </c>
      <c r="B87" s="348"/>
      <c r="C87" s="348"/>
      <c r="D87" s="151" t="s">
        <v>228</v>
      </c>
      <c r="E87" s="95">
        <f>'16'!F87</f>
        <v>34585.1</v>
      </c>
      <c r="F87" s="164">
        <v>34593.22</v>
      </c>
      <c r="G87" s="112">
        <f t="shared" si="8"/>
        <v>8.1200000000026193</v>
      </c>
      <c r="H87" s="99">
        <f>G87+'16'!H87</f>
        <v>172.81999999999971</v>
      </c>
      <c r="I87" s="118"/>
      <c r="J87" s="175">
        <f>H87/DAY(B2)</f>
        <v>10.165882352941159</v>
      </c>
      <c r="O87" s="71"/>
    </row>
    <row r="88" spans="1:15" ht="27.75" customHeight="1" x14ac:dyDescent="0.5">
      <c r="A88" s="347" t="s">
        <v>234</v>
      </c>
      <c r="B88" s="348"/>
      <c r="C88" s="348"/>
      <c r="D88" s="151" t="s">
        <v>228</v>
      </c>
      <c r="E88" s="95">
        <f>'16'!F88</f>
        <v>24005.13</v>
      </c>
      <c r="F88" s="164">
        <v>24005.53</v>
      </c>
      <c r="G88" s="112">
        <f t="shared" si="8"/>
        <v>0.39999999999781721</v>
      </c>
      <c r="H88" s="99">
        <f>G88+'16'!H88</f>
        <v>53.039999999997235</v>
      </c>
      <c r="I88" s="118">
        <f>G86+G87+G88</f>
        <v>8.5200000000004366</v>
      </c>
      <c r="J88" s="175">
        <f>H88/DAY(B2)</f>
        <v>3.1199999999998376</v>
      </c>
      <c r="O88" s="71"/>
    </row>
    <row r="89" spans="1:15" ht="27.75" customHeight="1" x14ac:dyDescent="0.5">
      <c r="A89" s="347" t="s">
        <v>235</v>
      </c>
      <c r="B89" s="348"/>
      <c r="C89" s="348"/>
      <c r="D89" s="151" t="s">
        <v>228</v>
      </c>
      <c r="E89" s="95">
        <f>'16'!F89</f>
        <v>25550.63</v>
      </c>
      <c r="F89" s="164">
        <v>25561.57</v>
      </c>
      <c r="G89" s="112">
        <f t="shared" si="8"/>
        <v>10.93999999999869</v>
      </c>
      <c r="H89" s="99">
        <f>G89+'16'!H89</f>
        <v>134.07999999999811</v>
      </c>
      <c r="I89" s="118"/>
      <c r="J89" s="175">
        <f>H89/DAY(B2)</f>
        <v>7.8870588235293004</v>
      </c>
      <c r="O89" s="71"/>
    </row>
    <row r="90" spans="1:15" ht="27.75" customHeight="1" x14ac:dyDescent="0.5">
      <c r="A90" s="347" t="s">
        <v>236</v>
      </c>
      <c r="B90" s="348"/>
      <c r="C90" s="348"/>
      <c r="D90" s="151" t="s">
        <v>228</v>
      </c>
      <c r="E90" s="95">
        <f>'16'!F90</f>
        <v>70943.360000000001</v>
      </c>
      <c r="F90" s="164">
        <v>70949.98</v>
      </c>
      <c r="G90" s="112">
        <f t="shared" si="8"/>
        <v>6.6199999999953434</v>
      </c>
      <c r="H90" s="99">
        <f>G90+'16'!H90</f>
        <v>121.70999999999185</v>
      </c>
      <c r="I90" s="118">
        <f>G89+G90</f>
        <v>17.559999999994034</v>
      </c>
      <c r="J90" s="175">
        <f>H90/DAY(B2)</f>
        <v>7.1594117647054034</v>
      </c>
      <c r="O90" s="71"/>
    </row>
    <row r="91" spans="1:15" ht="27.75" customHeight="1" x14ac:dyDescent="0.5">
      <c r="A91" s="347" t="s">
        <v>237</v>
      </c>
      <c r="B91" s="348"/>
      <c r="C91" s="348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0.32000000000016371</v>
      </c>
      <c r="I91" s="165"/>
      <c r="J91" s="175">
        <f>H91/DAY(B2)</f>
        <v>1.8823529411774335E-2</v>
      </c>
      <c r="O91" s="71"/>
    </row>
    <row r="92" spans="1:15" ht="27.75" customHeight="1" x14ac:dyDescent="0.5">
      <c r="A92" s="347" t="s">
        <v>238</v>
      </c>
      <c r="B92" s="348"/>
      <c r="C92" s="348"/>
      <c r="D92" s="151" t="s">
        <v>228</v>
      </c>
      <c r="E92" s="95">
        <f>'16'!F92</f>
        <v>5273.59</v>
      </c>
      <c r="F92" s="122">
        <v>5284.56</v>
      </c>
      <c r="G92" s="112">
        <f t="shared" si="8"/>
        <v>10.970000000000255</v>
      </c>
      <c r="H92" s="99">
        <f>G92+'16'!H92</f>
        <v>188.66000000000076</v>
      </c>
      <c r="I92" s="165"/>
      <c r="J92" s="175">
        <f>H92/DAY(B2)</f>
        <v>11.097647058823574</v>
      </c>
      <c r="O92" s="71"/>
    </row>
    <row r="93" spans="1:15" ht="27.75" customHeight="1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6334.5399999999836</v>
      </c>
      <c r="H94" s="99">
        <f>G94+'16'!H94</f>
        <v>111006.8599999999</v>
      </c>
      <c r="I94" s="118"/>
      <c r="J94" s="175">
        <f>H94/DAY(B2)</f>
        <v>6529.8152941176413</v>
      </c>
      <c r="K94" s="69"/>
      <c r="L94" s="66"/>
      <c r="O94" s="71"/>
    </row>
    <row r="95" spans="1:15" ht="27.75" customHeight="1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0.26559192307127805</v>
      </c>
      <c r="H95" s="99">
        <f>G95+'16'!H95</f>
        <v>4.7264812017495288</v>
      </c>
      <c r="I95" s="167"/>
      <c r="J95" s="175">
        <f>H95/DAY(B2)</f>
        <v>0.2780283059852664</v>
      </c>
      <c r="K95" s="69"/>
      <c r="L95" s="66"/>
      <c r="O95" s="71"/>
    </row>
    <row r="96" spans="1:15" ht="27.75" customHeight="1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5645.2099999999991</v>
      </c>
      <c r="H96" s="99">
        <f>G96+'16'!H96</f>
        <v>95713.090000000026</v>
      </c>
      <c r="I96" s="118"/>
      <c r="J96" s="175">
        <f>H96/DAY(B2)</f>
        <v>5630.1817647058842</v>
      </c>
      <c r="K96" s="69"/>
      <c r="L96" s="66"/>
      <c r="O96" s="71"/>
    </row>
    <row r="97" spans="1:15" ht="27.75" customHeight="1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0.23668998538823863</v>
      </c>
      <c r="H97" s="99">
        <f>G97+'16'!H97</f>
        <v>4.0634701208086312</v>
      </c>
      <c r="I97" s="167"/>
      <c r="J97" s="175">
        <f>H97/DAY(B2)</f>
        <v>0.2390276541652136</v>
      </c>
      <c r="K97" s="69"/>
      <c r="L97" s="66"/>
      <c r="O97" s="71"/>
    </row>
    <row r="98" spans="1:15" ht="27.75" customHeight="1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3084.4799999999814</v>
      </c>
      <c r="H98" s="99">
        <f>G98+'16'!H98</f>
        <v>50141.06</v>
      </c>
      <c r="I98" s="168"/>
      <c r="J98" s="175">
        <f>H98/DAY(B2)</f>
        <v>2949.4741176470588</v>
      </c>
      <c r="K98" s="69"/>
      <c r="L98" s="66"/>
      <c r="O98" s="71"/>
    </row>
    <row r="99" spans="1:15" ht="27.75" customHeight="1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0.12932477731214781</v>
      </c>
      <c r="H99" s="99">
        <f>G99+'16'!H99</f>
        <v>2.1363835726738318</v>
      </c>
      <c r="I99" s="168"/>
      <c r="J99" s="175">
        <f>H99/DAY(B2)</f>
        <v>0.1256696219219901</v>
      </c>
      <c r="O99" s="71"/>
    </row>
    <row r="100" spans="1:15" ht="27.75" customHeight="1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2168.1600000000035</v>
      </c>
      <c r="H100" s="99">
        <f>G100+'16'!H100</f>
        <v>34241.72</v>
      </c>
      <c r="I100" s="118"/>
      <c r="J100" s="175">
        <f>H100/DAY(B2)</f>
        <v>2014.2188235294118</v>
      </c>
      <c r="K100" s="70"/>
      <c r="O100" s="71"/>
    </row>
    <row r="101" spans="1:15" ht="27.75" customHeight="1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9.0905698586831021E-2</v>
      </c>
      <c r="H101" s="99">
        <f>G101+'16'!H101</f>
        <v>1.4583859288217509</v>
      </c>
      <c r="I101" s="168"/>
      <c r="J101" s="175">
        <f>H101/DAY(B2)</f>
        <v>8.5787407577750052E-2</v>
      </c>
      <c r="O101" s="71"/>
    </row>
    <row r="102" spans="1:15" ht="27.75" customHeight="1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2527.13</v>
      </c>
      <c r="H102" s="99">
        <f>G102+'16'!H102</f>
        <v>41797.880000000056</v>
      </c>
      <c r="I102" s="168"/>
      <c r="J102" s="175">
        <f>H102/DAY(B2)</f>
        <v>2458.6988235294152</v>
      </c>
      <c r="O102" s="71"/>
    </row>
    <row r="103" spans="1:15" ht="27.75" customHeight="1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0.10595644143870284</v>
      </c>
      <c r="H103" s="99">
        <f>G103+'16'!H103</f>
        <v>1.7792105450139135</v>
      </c>
      <c r="I103" s="118"/>
      <c r="J103" s="175">
        <f>H103/DAY(B2)</f>
        <v>0.10465944382434786</v>
      </c>
      <c r="O103" s="71"/>
    </row>
    <row r="104" spans="1:15" ht="27.75" customHeight="1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1583.5400000000081</v>
      </c>
      <c r="H104" s="99">
        <f>G104+'16'!H104</f>
        <v>27595.130000000005</v>
      </c>
      <c r="I104" s="118"/>
      <c r="J104" s="175">
        <f>H104/DAY(B2)</f>
        <v>1623.2429411764708</v>
      </c>
      <c r="O104" s="71"/>
    </row>
    <row r="105" spans="1:15" ht="27.75" customHeight="1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6.6393997647863121E-2</v>
      </c>
      <c r="H105" s="99">
        <f>G105+'16'!H105</f>
        <v>1.1759461400024014</v>
      </c>
      <c r="I105" s="187"/>
      <c r="J105" s="188">
        <f>H105/DAY(B2)</f>
        <v>6.917330235308243E-2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7.75" customHeight="1" x14ac:dyDescent="0.5">
      <c r="A109" s="845"/>
      <c r="B109" s="845"/>
    </row>
    <row r="110" spans="1:15" ht="27.75" customHeight="1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customHeight="1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customHeight="1" x14ac:dyDescent="0.5">
      <c r="A112" s="839" t="s">
        <v>252</v>
      </c>
      <c r="B112" s="840"/>
      <c r="C112" s="841"/>
      <c r="D112" s="146" t="s">
        <v>183</v>
      </c>
      <c r="E112" s="95">
        <f>'16'!F112</f>
        <v>54617.91</v>
      </c>
      <c r="F112" s="237">
        <v>54691.87</v>
      </c>
      <c r="G112" s="112">
        <f t="shared" ref="G112:G123" si="9">F112-E112</f>
        <v>73.959999999999127</v>
      </c>
      <c r="H112" s="99">
        <f>G112+'16'!H112</f>
        <v>1339.8600000000006</v>
      </c>
      <c r="I112" s="165"/>
      <c r="J112" s="330">
        <f>H112/DAY(B2)</f>
        <v>78.815294117647099</v>
      </c>
    </row>
    <row r="113" spans="1:18" ht="27.75" customHeight="1" x14ac:dyDescent="0.5">
      <c r="A113" s="839" t="s">
        <v>253</v>
      </c>
      <c r="B113" s="840"/>
      <c r="C113" s="841"/>
      <c r="D113" s="146" t="s">
        <v>183</v>
      </c>
      <c r="E113" s="95">
        <f>'16'!F113</f>
        <v>25320.76</v>
      </c>
      <c r="F113" s="237">
        <v>25804.34</v>
      </c>
      <c r="G113" s="112">
        <f t="shared" si="9"/>
        <v>483.58000000000175</v>
      </c>
      <c r="H113" s="99">
        <f>G113+'16'!H113</f>
        <v>7847.8100000000013</v>
      </c>
      <c r="I113" s="165"/>
      <c r="J113" s="330">
        <f>H113/DAY(B2)</f>
        <v>461.63588235294128</v>
      </c>
    </row>
    <row r="114" spans="1:18" ht="27.75" customHeight="1" x14ac:dyDescent="0.5">
      <c r="A114" s="839" t="s">
        <v>254</v>
      </c>
      <c r="B114" s="840"/>
      <c r="C114" s="841"/>
      <c r="D114" s="146" t="s">
        <v>183</v>
      </c>
      <c r="E114" s="95">
        <f>'16'!F114</f>
        <v>19829.080000000002</v>
      </c>
      <c r="F114" s="545">
        <v>20299.7</v>
      </c>
      <c r="G114" s="112">
        <f t="shared" si="9"/>
        <v>470.61999999999898</v>
      </c>
      <c r="H114" s="99">
        <f>G114+'16'!H114</f>
        <v>6215.4199999999983</v>
      </c>
      <c r="I114" s="165"/>
      <c r="J114" s="330">
        <f>H114/DAY(B2)</f>
        <v>365.61294117647049</v>
      </c>
    </row>
    <row r="115" spans="1:18" ht="27.75" customHeight="1" x14ac:dyDescent="0.5">
      <c r="A115" s="839" t="s">
        <v>255</v>
      </c>
      <c r="B115" s="840"/>
      <c r="C115" s="841"/>
      <c r="D115" s="146" t="s">
        <v>183</v>
      </c>
      <c r="E115" s="95">
        <f>'16'!F115</f>
        <v>8601.99</v>
      </c>
      <c r="F115" s="237">
        <v>8613.32</v>
      </c>
      <c r="G115" s="112">
        <f t="shared" si="9"/>
        <v>11.329999999999927</v>
      </c>
      <c r="H115" s="99">
        <f>G115+'16'!H115</f>
        <v>189.63999999999942</v>
      </c>
      <c r="I115" s="165"/>
      <c r="J115" s="330">
        <f>H115/DAY(B2)</f>
        <v>11.155294117647024</v>
      </c>
    </row>
    <row r="116" spans="1:18" ht="27.75" customHeight="1" x14ac:dyDescent="0.5">
      <c r="A116" s="857" t="s">
        <v>96</v>
      </c>
      <c r="B116" s="858"/>
      <c r="C116" s="859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27.75" customHeight="1" x14ac:dyDescent="0.5">
      <c r="A117" s="857" t="s">
        <v>184</v>
      </c>
      <c r="B117" s="858"/>
      <c r="C117" s="859"/>
      <c r="D117" s="146" t="s">
        <v>183</v>
      </c>
      <c r="E117" s="95">
        <f>'16'!F117</f>
        <v>2265.5</v>
      </c>
      <c r="F117" s="237">
        <v>2278.9299999999998</v>
      </c>
      <c r="G117" s="112">
        <f t="shared" si="9"/>
        <v>13.429999999999836</v>
      </c>
      <c r="H117" s="99">
        <f>G117+'16'!H117</f>
        <v>337.84999999999991</v>
      </c>
      <c r="I117" s="165"/>
      <c r="J117" s="330">
        <f>H117/DAY(B2)</f>
        <v>19.8735294117647</v>
      </c>
      <c r="Q117" s="839" t="s">
        <v>312</v>
      </c>
      <c r="R117" s="841"/>
    </row>
    <row r="118" spans="1:18" ht="27.75" customHeight="1" x14ac:dyDescent="0.5">
      <c r="A118" s="834" t="s">
        <v>97</v>
      </c>
      <c r="B118" s="834"/>
      <c r="C118" s="834"/>
      <c r="D118" s="151" t="s">
        <v>183</v>
      </c>
      <c r="E118" s="95">
        <f>'16'!F118</f>
        <v>235864.31</v>
      </c>
      <c r="F118" s="237">
        <v>236268.23</v>
      </c>
      <c r="G118" s="112">
        <f t="shared" si="9"/>
        <v>403.92000000001281</v>
      </c>
      <c r="H118" s="99">
        <f>G118+'16'!H118</f>
        <v>6430.5</v>
      </c>
      <c r="I118" s="165"/>
      <c r="J118" s="330">
        <f>H118/DAY(B2)</f>
        <v>378.26470588235293</v>
      </c>
      <c r="Q118" s="839" t="s">
        <v>311</v>
      </c>
      <c r="R118" s="841"/>
    </row>
    <row r="119" spans="1:18" ht="27.75" customHeight="1" x14ac:dyDescent="0.5">
      <c r="A119" s="834" t="s">
        <v>98</v>
      </c>
      <c r="B119" s="834"/>
      <c r="C119" s="834"/>
      <c r="D119" s="151" t="s">
        <v>183</v>
      </c>
      <c r="E119" s="95">
        <f>'16'!F119</f>
        <v>238720.61</v>
      </c>
      <c r="F119" s="237">
        <v>239153.21</v>
      </c>
      <c r="G119" s="112">
        <f t="shared" si="9"/>
        <v>432.60000000000582</v>
      </c>
      <c r="H119" s="99">
        <f>G119+'16'!H119</f>
        <v>7426.679999999993</v>
      </c>
      <c r="I119" s="165"/>
      <c r="J119" s="330">
        <f>H119/DAY(B2)</f>
        <v>436.86352941176432</v>
      </c>
    </row>
    <row r="120" spans="1:18" ht="27.75" customHeight="1" x14ac:dyDescent="0.5">
      <c r="A120" s="834" t="s">
        <v>99</v>
      </c>
      <c r="B120" s="834"/>
      <c r="C120" s="834"/>
      <c r="D120" s="151" t="s">
        <v>183</v>
      </c>
      <c r="E120" s="95">
        <f>'16'!F120</f>
        <v>23848.55</v>
      </c>
      <c r="F120" s="237">
        <v>24250.12</v>
      </c>
      <c r="G120" s="112">
        <f t="shared" si="9"/>
        <v>401.56999999999971</v>
      </c>
      <c r="H120" s="99">
        <f>G120+'16'!H120</f>
        <v>7064.7999999999993</v>
      </c>
      <c r="I120" s="165"/>
      <c r="J120" s="330">
        <f>H120/DAY(B2)</f>
        <v>415.57647058823522</v>
      </c>
    </row>
    <row r="121" spans="1:18" ht="27.75" customHeight="1" x14ac:dyDescent="0.5">
      <c r="A121" s="834" t="s">
        <v>100</v>
      </c>
      <c r="B121" s="834"/>
      <c r="C121" s="834"/>
      <c r="D121" s="151" t="s">
        <v>183</v>
      </c>
      <c r="E121" s="95">
        <f>'16'!F121</f>
        <v>364869.35</v>
      </c>
      <c r="F121" s="237">
        <v>365634.35</v>
      </c>
      <c r="G121" s="112">
        <f t="shared" si="9"/>
        <v>765</v>
      </c>
      <c r="H121" s="99">
        <f>G121+'16'!H121</f>
        <v>12580.119999999995</v>
      </c>
      <c r="I121" s="165"/>
      <c r="J121" s="330">
        <f>H121/DAY(B2)</f>
        <v>740.00705882352918</v>
      </c>
    </row>
    <row r="122" spans="1:18" ht="27.75" customHeight="1" x14ac:dyDescent="0.5">
      <c r="A122" s="834" t="s">
        <v>101</v>
      </c>
      <c r="B122" s="834"/>
      <c r="C122" s="834"/>
      <c r="D122" s="151" t="s">
        <v>183</v>
      </c>
      <c r="E122" s="95">
        <f>'16'!F122</f>
        <v>116241.71</v>
      </c>
      <c r="F122" s="237">
        <v>116628.09</v>
      </c>
      <c r="G122" s="112">
        <f t="shared" si="9"/>
        <v>386.3799999999901</v>
      </c>
      <c r="H122" s="99">
        <f>G122+'16'!H122</f>
        <v>5618.3000000000029</v>
      </c>
      <c r="I122" s="165"/>
      <c r="J122" s="330">
        <f>H122/DAY(B2)</f>
        <v>330.48823529411783</v>
      </c>
    </row>
    <row r="123" spans="1:18" ht="27.75" customHeight="1" x14ac:dyDescent="0.5">
      <c r="A123" s="834" t="s">
        <v>102</v>
      </c>
      <c r="B123" s="834"/>
      <c r="C123" s="834"/>
      <c r="D123" s="151" t="s">
        <v>183</v>
      </c>
      <c r="E123" s="95">
        <f>'16'!F123</f>
        <v>139721.99</v>
      </c>
      <c r="F123" s="237">
        <v>140128.64000000001</v>
      </c>
      <c r="G123" s="112">
        <f t="shared" si="9"/>
        <v>406.65000000002328</v>
      </c>
      <c r="H123" s="99">
        <f>G123+'16'!H123</f>
        <v>5762.640000000014</v>
      </c>
      <c r="I123" s="165"/>
      <c r="J123" s="330">
        <f>H123/DAY(B2)</f>
        <v>338.97882352941258</v>
      </c>
    </row>
    <row r="124" spans="1:18" ht="27.75" customHeight="1" x14ac:dyDescent="0.5">
      <c r="A124" s="864"/>
      <c r="B124" s="865"/>
      <c r="C124" s="866"/>
      <c r="D124" s="165"/>
      <c r="E124" s="95">
        <f>'16'!F124</f>
        <v>0</v>
      </c>
      <c r="F124" s="165"/>
      <c r="G124" s="329"/>
      <c r="H124" s="99">
        <f>G124+'16'!H124</f>
        <v>0</v>
      </c>
      <c r="I124" s="165"/>
      <c r="J124" s="329"/>
    </row>
    <row r="125" spans="1:18" ht="27.75" customHeight="1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3849.0400000000313</v>
      </c>
      <c r="H125" s="156"/>
      <c r="I125" s="329">
        <f>G125-(G39+G53)</f>
        <v>764.56000000004997</v>
      </c>
      <c r="J125" s="329"/>
    </row>
    <row r="126" spans="1:18" ht="27.75" customHeight="1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customHeight="1" x14ac:dyDescent="0.5">
      <c r="A127" s="870"/>
      <c r="B127" s="870"/>
      <c r="C127" s="245"/>
      <c r="D127" s="307"/>
      <c r="E127" s="308"/>
      <c r="F127" s="308"/>
      <c r="G127" s="309"/>
      <c r="H127" s="99">
        <f>G127+'16'!H127</f>
        <v>0</v>
      </c>
      <c r="I127" s="165"/>
      <c r="J127" s="330">
        <f>H127/DAY(B2)</f>
        <v>0</v>
      </c>
    </row>
    <row r="128" spans="1:18" ht="27.75" customHeight="1" x14ac:dyDescent="0.5">
      <c r="A128" s="839" t="s">
        <v>318</v>
      </c>
      <c r="B128" s="840"/>
      <c r="C128" s="841"/>
      <c r="D128" s="151" t="s">
        <v>183</v>
      </c>
      <c r="E128" s="95">
        <f>'16'!F128</f>
        <v>33032.089999999997</v>
      </c>
      <c r="F128" s="165">
        <v>33358.99</v>
      </c>
      <c r="G128" s="112">
        <f t="shared" ref="G128:G133" si="10">F128-E128</f>
        <v>326.90000000000146</v>
      </c>
      <c r="H128" s="99">
        <f>G128+'16'!H128</f>
        <v>5754.619999999999</v>
      </c>
      <c r="I128" s="165"/>
      <c r="J128" s="330">
        <f>H128/DAY(B2)</f>
        <v>338.50705882352935</v>
      </c>
    </row>
    <row r="129" spans="1:15" ht="27.75" customHeight="1" x14ac:dyDescent="0.5">
      <c r="A129" s="331" t="s">
        <v>319</v>
      </c>
      <c r="B129" s="332"/>
      <c r="C129" s="333"/>
      <c r="D129" s="151" t="s">
        <v>183</v>
      </c>
      <c r="E129" s="95">
        <f>'16'!F129</f>
        <v>17037.060000000001</v>
      </c>
      <c r="F129" s="165">
        <v>17258.54</v>
      </c>
      <c r="G129" s="112">
        <f t="shared" si="10"/>
        <v>221.47999999999956</v>
      </c>
      <c r="H129" s="99">
        <f>G129+'16'!H129</f>
        <v>4510.9500000000007</v>
      </c>
      <c r="I129" s="165"/>
      <c r="J129" s="330">
        <f>H129/DAY(B2)</f>
        <v>265.35000000000002</v>
      </c>
      <c r="N129" s="240"/>
      <c r="O129" s="241"/>
    </row>
    <row r="130" spans="1:15" ht="27.75" customHeight="1" x14ac:dyDescent="0.5">
      <c r="A130" s="331" t="s">
        <v>320</v>
      </c>
      <c r="B130" s="332"/>
      <c r="C130" s="333"/>
      <c r="D130" s="151" t="s">
        <v>183</v>
      </c>
      <c r="E130" s="95">
        <f>'16'!F130</f>
        <v>7071.21</v>
      </c>
      <c r="F130" s="165">
        <v>7737.46</v>
      </c>
      <c r="G130" s="112">
        <f t="shared" si="10"/>
        <v>666.25</v>
      </c>
      <c r="H130" s="99">
        <f>G130+'16'!H130</f>
        <v>5680.3499999999995</v>
      </c>
      <c r="I130" s="165"/>
      <c r="J130" s="330">
        <f>H130/DAY(B2)</f>
        <v>334.13823529411764</v>
      </c>
      <c r="N130" s="240"/>
      <c r="O130" s="241"/>
    </row>
    <row r="131" spans="1:15" ht="27.75" customHeight="1" x14ac:dyDescent="0.5">
      <c r="A131" s="839" t="s">
        <v>321</v>
      </c>
      <c r="B131" s="840"/>
      <c r="C131" s="841"/>
      <c r="D131" s="151" t="s">
        <v>183</v>
      </c>
      <c r="E131" s="95">
        <f>'16'!F131</f>
        <v>11676.72</v>
      </c>
      <c r="F131" s="165">
        <v>11816.86</v>
      </c>
      <c r="G131" s="112">
        <f t="shared" si="10"/>
        <v>140.14000000000124</v>
      </c>
      <c r="H131" s="99">
        <f>G131+'16'!H131</f>
        <v>2647.51</v>
      </c>
      <c r="I131" s="165"/>
      <c r="J131" s="330">
        <f>H131/DAY(B2)</f>
        <v>155.73588235294119</v>
      </c>
      <c r="N131" s="240"/>
      <c r="O131" s="241"/>
    </row>
    <row r="132" spans="1:15" ht="27.75" customHeight="1" x14ac:dyDescent="0.5">
      <c r="A132" s="839" t="s">
        <v>322</v>
      </c>
      <c r="B132" s="840"/>
      <c r="C132" s="841"/>
      <c r="D132" s="151" t="s">
        <v>183</v>
      </c>
      <c r="E132" s="95">
        <v>14.1</v>
      </c>
      <c r="F132" s="165">
        <v>14.1</v>
      </c>
      <c r="G132" s="112">
        <f t="shared" si="10"/>
        <v>0</v>
      </c>
      <c r="H132" s="99">
        <f>G132+'16'!H132</f>
        <v>7410.369999999999</v>
      </c>
      <c r="I132" s="165"/>
      <c r="J132" s="330">
        <f>H132/DAY(B2)</f>
        <v>435.90411764705874</v>
      </c>
    </row>
    <row r="133" spans="1:15" ht="27.75" customHeight="1" x14ac:dyDescent="0.5">
      <c r="A133" s="839" t="s">
        <v>363</v>
      </c>
      <c r="B133" s="840"/>
      <c r="C133" s="841"/>
      <c r="D133" s="151" t="s">
        <v>183</v>
      </c>
      <c r="E133" s="95">
        <f>'16'!F133</f>
        <v>76963.41</v>
      </c>
      <c r="F133" s="165">
        <v>77832.61</v>
      </c>
      <c r="G133" s="112">
        <f t="shared" si="10"/>
        <v>869.19999999999709</v>
      </c>
      <c r="H133" s="99">
        <f>G133+'16'!H133</f>
        <v>14358.190000000002</v>
      </c>
      <c r="I133" s="165"/>
      <c r="J133" s="330">
        <f>H133/DAY(B2)</f>
        <v>844.59941176470602</v>
      </c>
    </row>
    <row r="134" spans="1:15" ht="27.75" customHeight="1" x14ac:dyDescent="0.5">
      <c r="A134" s="839" t="s">
        <v>340</v>
      </c>
      <c r="B134" s="840"/>
      <c r="C134" s="841"/>
      <c r="D134" s="151" t="s">
        <v>183</v>
      </c>
      <c r="E134" s="95">
        <f>'16'!F134</f>
        <v>661265</v>
      </c>
      <c r="F134" s="165">
        <v>661824</v>
      </c>
      <c r="G134" s="112">
        <f>F134-E134</f>
        <v>559</v>
      </c>
      <c r="H134" s="99">
        <f>G134+'16'!H134</f>
        <v>10617</v>
      </c>
      <c r="I134" s="165"/>
      <c r="J134" s="330">
        <f>H134/DAY(B2)</f>
        <v>624.52941176470586</v>
      </c>
    </row>
    <row r="135" spans="1:15" ht="27.75" customHeight="1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2782.9699999999993</v>
      </c>
      <c r="H135" s="99">
        <f>G135+'10'!H135</f>
        <v>32314.89</v>
      </c>
      <c r="I135" s="329">
        <f>G135-(G35+G49)</f>
        <v>-768.83999999998377</v>
      </c>
      <c r="J135" s="330"/>
    </row>
    <row r="136" spans="1:15" ht="27.75" customHeight="1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customHeight="1" x14ac:dyDescent="0.5">
      <c r="A138" s="834" t="s">
        <v>185</v>
      </c>
      <c r="B138" s="834"/>
      <c r="C138" s="834"/>
      <c r="D138" s="151" t="s">
        <v>183</v>
      </c>
      <c r="E138" s="95">
        <f>'16'!F138</f>
        <v>862461</v>
      </c>
      <c r="F138" s="147">
        <v>862586</v>
      </c>
      <c r="G138" s="112">
        <f t="shared" ref="G138:G152" si="11">F138-E138</f>
        <v>125</v>
      </c>
      <c r="H138" s="99">
        <f>G138+'16'!H138</f>
        <v>1324</v>
      </c>
      <c r="I138" s="118"/>
      <c r="J138" s="330">
        <f>H138/DAY(B2)</f>
        <v>77.882352941176464</v>
      </c>
    </row>
    <row r="139" spans="1:15" ht="27.75" customHeight="1" x14ac:dyDescent="0.5">
      <c r="A139" s="834" t="s">
        <v>186</v>
      </c>
      <c r="B139" s="834"/>
      <c r="C139" s="834"/>
      <c r="D139" s="151" t="s">
        <v>183</v>
      </c>
      <c r="E139" s="95">
        <f>'16'!F139</f>
        <v>886376</v>
      </c>
      <c r="F139" s="148">
        <v>886416</v>
      </c>
      <c r="G139" s="112">
        <f t="shared" si="11"/>
        <v>40</v>
      </c>
      <c r="H139" s="99">
        <f>G139+'16'!H139</f>
        <v>217</v>
      </c>
      <c r="I139" s="118"/>
      <c r="J139" s="330">
        <f>H139/DAY(B2)</f>
        <v>12.764705882352942</v>
      </c>
    </row>
    <row r="140" spans="1:15" ht="27.75" customHeight="1" x14ac:dyDescent="0.5">
      <c r="A140" s="834" t="s">
        <v>187</v>
      </c>
      <c r="B140" s="834"/>
      <c r="C140" s="834"/>
      <c r="D140" s="151" t="s">
        <v>183</v>
      </c>
      <c r="E140" s="95">
        <f>'16'!F140</f>
        <v>88864</v>
      </c>
      <c r="F140" s="149">
        <v>88864</v>
      </c>
      <c r="G140" s="112">
        <f t="shared" si="11"/>
        <v>0</v>
      </c>
      <c r="H140" s="99">
        <f>G140+'16'!H140</f>
        <v>15</v>
      </c>
      <c r="I140" s="118"/>
      <c r="J140" s="330">
        <f>H140/DAY(B2)</f>
        <v>0.88235294117647056</v>
      </c>
    </row>
    <row r="141" spans="1:15" ht="27.75" customHeight="1" x14ac:dyDescent="0.5">
      <c r="A141" s="838" t="s">
        <v>188</v>
      </c>
      <c r="B141" s="838"/>
      <c r="C141" s="838"/>
      <c r="D141" s="151" t="s">
        <v>183</v>
      </c>
      <c r="E141" s="95">
        <f>'16'!F141</f>
        <v>46289.8</v>
      </c>
      <c r="F141" s="149">
        <v>46524.63</v>
      </c>
      <c r="G141" s="112">
        <f t="shared" si="11"/>
        <v>234.82999999999447</v>
      </c>
      <c r="H141" s="99">
        <f>G141+'16'!H141</f>
        <v>3397.8999999999942</v>
      </c>
      <c r="I141" s="118"/>
      <c r="J141" s="330">
        <f>H141/DAY(B2)</f>
        <v>199.87647058823495</v>
      </c>
    </row>
    <row r="142" spans="1:15" ht="27.75" customHeight="1" x14ac:dyDescent="0.5">
      <c r="A142" s="838" t="s">
        <v>189</v>
      </c>
      <c r="B142" s="838"/>
      <c r="C142" s="838"/>
      <c r="D142" s="151" t="s">
        <v>183</v>
      </c>
      <c r="E142" s="95">
        <f>'16'!F142</f>
        <v>17889.98</v>
      </c>
      <c r="F142" s="148">
        <v>17960.189999999999</v>
      </c>
      <c r="G142" s="112">
        <f t="shared" si="11"/>
        <v>70.209999999999127</v>
      </c>
      <c r="H142" s="99">
        <f>G142+'16'!H142</f>
        <v>499.68999999999869</v>
      </c>
      <c r="I142" s="140"/>
      <c r="J142" s="330">
        <f>H142/DAY(B2)</f>
        <v>29.393529411764629</v>
      </c>
    </row>
    <row r="143" spans="1:15" ht="27.75" customHeight="1" x14ac:dyDescent="0.5">
      <c r="A143" s="834" t="s">
        <v>91</v>
      </c>
      <c r="B143" s="834"/>
      <c r="C143" s="834"/>
      <c r="D143" s="151" t="s">
        <v>183</v>
      </c>
      <c r="E143" s="95">
        <f>'16'!F143</f>
        <v>2677.58</v>
      </c>
      <c r="F143" s="149">
        <v>2705.06</v>
      </c>
      <c r="G143" s="112">
        <f t="shared" si="11"/>
        <v>27.480000000000018</v>
      </c>
      <c r="H143" s="99">
        <f>G143+'16'!H143</f>
        <v>503.65999999999985</v>
      </c>
      <c r="I143" s="140"/>
      <c r="J143" s="330">
        <f>H143/DAY(B2)</f>
        <v>29.627058823529403</v>
      </c>
    </row>
    <row r="144" spans="1:15" ht="27.75" customHeight="1" x14ac:dyDescent="0.5">
      <c r="A144" s="838" t="s">
        <v>90</v>
      </c>
      <c r="B144" s="838"/>
      <c r="C144" s="838"/>
      <c r="D144" s="151" t="s">
        <v>183</v>
      </c>
      <c r="E144" s="95">
        <f>'16'!F144</f>
        <v>866087</v>
      </c>
      <c r="F144" s="149">
        <v>866320</v>
      </c>
      <c r="G144" s="112">
        <f t="shared" si="11"/>
        <v>233</v>
      </c>
      <c r="H144" s="99">
        <f>G144+'16'!H144</f>
        <v>3925</v>
      </c>
      <c r="I144" s="140"/>
      <c r="J144" s="330">
        <f>H144/DAY(B2)</f>
        <v>230.88235294117646</v>
      </c>
    </row>
    <row r="145" spans="1:10" ht="27.75" customHeight="1" x14ac:dyDescent="0.5">
      <c r="A145" s="834" t="s">
        <v>190</v>
      </c>
      <c r="B145" s="834"/>
      <c r="C145" s="834"/>
      <c r="D145" s="152" t="s">
        <v>183</v>
      </c>
      <c r="E145" s="95">
        <f>'16'!F145</f>
        <v>4208.09</v>
      </c>
      <c r="F145" s="149">
        <v>4255.87</v>
      </c>
      <c r="G145" s="112">
        <f t="shared" si="11"/>
        <v>47.779999999999745</v>
      </c>
      <c r="H145" s="99">
        <f>G145+'16'!H145</f>
        <v>836.86999999999989</v>
      </c>
      <c r="I145" s="140"/>
      <c r="J145" s="330">
        <f>H145/DAY(B2)</f>
        <v>49.227647058823521</v>
      </c>
    </row>
    <row r="146" spans="1:10" ht="27.75" customHeight="1" x14ac:dyDescent="0.5">
      <c r="A146" s="835" t="s">
        <v>191</v>
      </c>
      <c r="B146" s="836"/>
      <c r="C146" s="837"/>
      <c r="D146" s="152" t="s">
        <v>183</v>
      </c>
      <c r="E146" s="95">
        <f>'16'!F146</f>
        <v>717626.6</v>
      </c>
      <c r="F146" s="148">
        <v>718126</v>
      </c>
      <c r="G146" s="112">
        <f t="shared" si="11"/>
        <v>499.40000000002328</v>
      </c>
      <c r="H146" s="99">
        <f>G146+'16'!H146</f>
        <v>7241</v>
      </c>
      <c r="I146" s="140"/>
      <c r="J146" s="330">
        <f>H146/DAY(B2)</f>
        <v>425.94117647058823</v>
      </c>
    </row>
    <row r="147" spans="1:10" ht="27.75" customHeight="1" x14ac:dyDescent="0.5">
      <c r="A147" s="838" t="s">
        <v>192</v>
      </c>
      <c r="B147" s="838"/>
      <c r="C147" s="838"/>
      <c r="D147" s="152" t="s">
        <v>183</v>
      </c>
      <c r="E147" s="95">
        <f>'16'!F147</f>
        <v>609069</v>
      </c>
      <c r="F147" s="148">
        <v>609470.92000000004</v>
      </c>
      <c r="G147" s="112">
        <f t="shared" si="11"/>
        <v>401.92000000004191</v>
      </c>
      <c r="H147" s="99">
        <f>G147+'16'!H147</f>
        <v>7485.8800000000047</v>
      </c>
      <c r="I147" s="140"/>
      <c r="J147" s="330">
        <f>H147/DAY(B2)</f>
        <v>440.34588235294143</v>
      </c>
    </row>
    <row r="148" spans="1:10" ht="27.75" customHeight="1" x14ac:dyDescent="0.5">
      <c r="A148" s="794" t="s">
        <v>193</v>
      </c>
      <c r="B148" s="795"/>
      <c r="C148" s="796"/>
      <c r="D148" s="123" t="s">
        <v>130</v>
      </c>
      <c r="E148" s="95">
        <f>'16'!F148</f>
        <v>678524</v>
      </c>
      <c r="F148" s="150">
        <v>678801.44</v>
      </c>
      <c r="G148" s="112">
        <f t="shared" si="11"/>
        <v>277.43999999994412</v>
      </c>
      <c r="H148" s="99">
        <f>G148+'16'!H148</f>
        <v>5011.7599999998929</v>
      </c>
      <c r="I148" s="124"/>
      <c r="J148" s="330">
        <f>H148/DAY(B2)</f>
        <v>294.80941176469958</v>
      </c>
    </row>
    <row r="149" spans="1:10" ht="27.75" customHeight="1" x14ac:dyDescent="0.5">
      <c r="A149" s="794" t="s">
        <v>336</v>
      </c>
      <c r="B149" s="795"/>
      <c r="C149" s="796"/>
      <c r="D149" s="227" t="s">
        <v>130</v>
      </c>
      <c r="E149" s="95">
        <f>'16'!F149</f>
        <v>90089</v>
      </c>
      <c r="F149" s="544">
        <v>90445.1</v>
      </c>
      <c r="G149" s="112">
        <f t="shared" si="11"/>
        <v>356.10000000000582</v>
      </c>
      <c r="H149" s="99">
        <f>G149+'16'!H149</f>
        <v>95306.1</v>
      </c>
      <c r="I149" s="119"/>
      <c r="J149" s="330">
        <f>H149/DAY(B2)</f>
        <v>5606.2411764705885</v>
      </c>
    </row>
    <row r="150" spans="1:10" ht="27.75" customHeight="1" x14ac:dyDescent="0.5">
      <c r="A150" s="794" t="s">
        <v>337</v>
      </c>
      <c r="B150" s="795"/>
      <c r="C150" s="796"/>
      <c r="D150" s="117" t="s">
        <v>130</v>
      </c>
      <c r="E150" s="95">
        <f>'16'!F150</f>
        <v>639.99</v>
      </c>
      <c r="F150" s="233">
        <v>870.03</v>
      </c>
      <c r="G150" s="112">
        <f t="shared" si="11"/>
        <v>230.03999999999996</v>
      </c>
      <c r="H150" s="99">
        <f>G150+'16'!H150</f>
        <v>678.03</v>
      </c>
      <c r="I150" s="119"/>
      <c r="J150" s="330">
        <f>H150/DAY(B2)</f>
        <v>39.884117647058822</v>
      </c>
    </row>
    <row r="151" spans="1:10" ht="27.75" customHeight="1" x14ac:dyDescent="0.5">
      <c r="A151" s="794" t="s">
        <v>338</v>
      </c>
      <c r="B151" s="795"/>
      <c r="C151" s="796"/>
      <c r="D151" s="117" t="s">
        <v>130</v>
      </c>
      <c r="E151" s="95">
        <f>'16'!F151</f>
        <v>74683</v>
      </c>
      <c r="F151" s="233">
        <v>74938</v>
      </c>
      <c r="G151" s="112">
        <f t="shared" si="11"/>
        <v>255</v>
      </c>
      <c r="H151" s="99">
        <f>G151+'16'!H151</f>
        <v>4216</v>
      </c>
      <c r="I151" s="119"/>
      <c r="J151" s="330">
        <f>H151/DAY(B2)</f>
        <v>248</v>
      </c>
    </row>
    <row r="152" spans="1:10" ht="27.75" customHeight="1" x14ac:dyDescent="0.5">
      <c r="A152" s="794" t="s">
        <v>339</v>
      </c>
      <c r="B152" s="795"/>
      <c r="C152" s="796"/>
      <c r="D152" s="117" t="s">
        <v>130</v>
      </c>
      <c r="E152" s="95">
        <f>'16'!F152</f>
        <v>373.4</v>
      </c>
      <c r="F152" s="233">
        <v>425</v>
      </c>
      <c r="G152" s="112">
        <f t="shared" si="11"/>
        <v>51.600000000000023</v>
      </c>
      <c r="H152" s="99">
        <f>G152+'16'!H152</f>
        <v>425</v>
      </c>
      <c r="I152" s="119"/>
      <c r="J152" s="330">
        <f>H152/DAY(B2)</f>
        <v>25</v>
      </c>
    </row>
    <row r="153" spans="1:10" ht="27.75" customHeight="1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2849.8000000000084</v>
      </c>
      <c r="H153" s="365"/>
      <c r="I153" s="119">
        <f>G153-(G38+G52)</f>
        <v>681.64000000000487</v>
      </c>
      <c r="J153" s="368"/>
    </row>
    <row r="154" spans="1:10" ht="27.75" customHeight="1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 customHeight="1" x14ac:dyDescent="0.55000000000000004">
      <c r="A155" s="838" t="s">
        <v>345</v>
      </c>
      <c r="B155" s="838"/>
      <c r="C155" s="838"/>
      <c r="D155" s="117" t="s">
        <v>130</v>
      </c>
      <c r="E155" s="95">
        <f>'16'!F155</f>
        <v>2657.76</v>
      </c>
      <c r="F155" s="517">
        <v>3416.82</v>
      </c>
      <c r="G155" s="112">
        <f t="shared" ref="G155:G156" si="12">F155-E155</f>
        <v>759.06</v>
      </c>
      <c r="H155" s="99">
        <f>G155+'16'!H155</f>
        <v>3509.82</v>
      </c>
      <c r="I155" s="366"/>
      <c r="J155" s="330">
        <f>H155/DAY(B2)</f>
        <v>206.46</v>
      </c>
    </row>
    <row r="156" spans="1:10" ht="27.75" customHeight="1" x14ac:dyDescent="0.5">
      <c r="A156" s="838" t="s">
        <v>347</v>
      </c>
      <c r="B156" s="838"/>
      <c r="C156" s="838"/>
      <c r="D156" s="117" t="s">
        <v>130</v>
      </c>
      <c r="E156" s="95">
        <f>'16'!F156</f>
        <v>218.32</v>
      </c>
      <c r="F156" s="155">
        <v>282.3</v>
      </c>
      <c r="G156" s="112">
        <f t="shared" si="12"/>
        <v>63.980000000000018</v>
      </c>
      <c r="H156" s="99">
        <f>G156+'16'!H156</f>
        <v>282.3</v>
      </c>
      <c r="I156" s="165"/>
      <c r="J156" s="330">
        <f>H156/DAY(B2)</f>
        <v>16.605882352941176</v>
      </c>
    </row>
    <row r="157" spans="1:10" ht="27.75" customHeight="1" x14ac:dyDescent="0.5">
      <c r="A157" s="794" t="s">
        <v>365</v>
      </c>
      <c r="B157" s="795"/>
      <c r="C157" s="796"/>
      <c r="D157" s="117" t="s">
        <v>130</v>
      </c>
      <c r="E157" s="95">
        <f>'16'!F157</f>
        <v>253.81</v>
      </c>
      <c r="F157" s="155">
        <v>303.85000000000002</v>
      </c>
      <c r="G157" s="112">
        <f>F157-E157</f>
        <v>50.04000000000002</v>
      </c>
      <c r="H157" s="99">
        <f>G157+'16'!H157</f>
        <v>50.04000000000002</v>
      </c>
      <c r="I157" s="165"/>
      <c r="J157" s="330"/>
    </row>
    <row r="158" spans="1:10" ht="27.75" customHeight="1" x14ac:dyDescent="0.5">
      <c r="A158" s="794" t="s">
        <v>366</v>
      </c>
      <c r="B158" s="795"/>
      <c r="C158" s="796"/>
      <c r="D158" s="117" t="s">
        <v>130</v>
      </c>
      <c r="E158" s="95">
        <f>'16'!F158</f>
        <v>0</v>
      </c>
      <c r="F158" s="165">
        <v>0</v>
      </c>
      <c r="G158" s="112"/>
      <c r="H158" s="99"/>
      <c r="I158" s="165"/>
      <c r="J158" s="330"/>
    </row>
    <row r="159" spans="1:10" ht="27.75" customHeight="1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27.75" customHeight="1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'16'!F161</f>
        <v>471130</v>
      </c>
      <c r="F161" s="235">
        <v>471130.8</v>
      </c>
      <c r="G161" s="238">
        <f t="shared" ref="G161:G165" si="13">F161-E161</f>
        <v>0.79999999998835847</v>
      </c>
      <c r="H161" s="99">
        <f>G161+'16'!H161</f>
        <v>154.67999999999302</v>
      </c>
      <c r="I161" s="236"/>
      <c r="J161" s="239">
        <f>H161/DAY(B2)</f>
        <v>9.0988235294113533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87142.5</v>
      </c>
      <c r="F162" s="235">
        <v>87176</v>
      </c>
      <c r="G162" s="238">
        <f t="shared" si="13"/>
        <v>33.5</v>
      </c>
      <c r="H162" s="99">
        <f>G162+'16'!H162</f>
        <v>574.30000000000291</v>
      </c>
      <c r="I162" s="236"/>
      <c r="J162" s="239">
        <f>H162/DAY(B2)</f>
        <v>33.78235294117664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76879.899999999994</v>
      </c>
      <c r="F163" s="235">
        <v>76973.100000000006</v>
      </c>
      <c r="G163" s="238">
        <f t="shared" si="13"/>
        <v>93.200000000011642</v>
      </c>
      <c r="H163" s="99">
        <f>G163+'16'!H163</f>
        <v>1513.3000000000029</v>
      </c>
      <c r="I163" s="236"/>
      <c r="J163" s="239">
        <f>H163/DAY(B2)</f>
        <v>89.017647058823698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4185.6000000000004</v>
      </c>
      <c r="F164" s="235">
        <v>4191.1000000000004</v>
      </c>
      <c r="G164" s="238">
        <f t="shared" si="13"/>
        <v>5.5</v>
      </c>
      <c r="H164" s="99">
        <f>G164+'16'!H164</f>
        <v>93.200000000000728</v>
      </c>
      <c r="I164" s="236"/>
      <c r="J164" s="239">
        <f>H164/DAY(B2)</f>
        <v>5.4823529411765133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29545.58</v>
      </c>
      <c r="F165" s="235">
        <v>29553.3</v>
      </c>
      <c r="G165" s="238">
        <f t="shared" si="13"/>
        <v>7.7199999999975262</v>
      </c>
      <c r="H165" s="99">
        <f>G165+'16'!H165</f>
        <v>124.36880000000019</v>
      </c>
      <c r="I165" s="236"/>
      <c r="J165" s="239">
        <f>H165/DAY(B2)</f>
        <v>7.3158117647058933</v>
      </c>
    </row>
    <row r="166" spans="1:10" ht="27.75" customHeight="1" x14ac:dyDescent="0.5">
      <c r="A166" s="870"/>
      <c r="B166" s="870"/>
      <c r="C166" s="246"/>
      <c r="D166" s="244" t="s">
        <v>180</v>
      </c>
      <c r="E166" s="95">
        <f>'16'!F166</f>
        <v>0</v>
      </c>
      <c r="F166" s="165"/>
      <c r="G166" s="165"/>
      <c r="H166" s="99">
        <f>G166+'16'!H166</f>
        <v>0</v>
      </c>
      <c r="I166" s="165"/>
      <c r="J166" s="239">
        <f>H166/DAY(B2)</f>
        <v>0</v>
      </c>
    </row>
    <row r="167" spans="1:10" ht="27.75" customHeight="1" x14ac:dyDescent="0.5">
      <c r="A167" s="870"/>
      <c r="B167" s="870"/>
      <c r="C167" s="246"/>
      <c r="D167" s="244" t="s">
        <v>180</v>
      </c>
      <c r="E167" s="95">
        <f>'16'!F167</f>
        <v>0</v>
      </c>
      <c r="F167" s="165"/>
      <c r="G167" s="165"/>
      <c r="H167" s="99">
        <f>G167+'16'!H167</f>
        <v>0</v>
      </c>
      <c r="I167" s="165"/>
      <c r="J167" s="239">
        <f>H167/DAY(B2)</f>
        <v>0</v>
      </c>
    </row>
    <row r="168" spans="1:10" ht="27.75" customHeight="1" x14ac:dyDescent="0.5">
      <c r="A168" s="870"/>
      <c r="B168" s="870"/>
      <c r="C168" s="246"/>
      <c r="D168" s="244" t="s">
        <v>180</v>
      </c>
      <c r="E168" s="95">
        <f>'16'!F168</f>
        <v>0</v>
      </c>
      <c r="F168" s="165"/>
      <c r="G168" s="165"/>
      <c r="H168" s="99">
        <f>G168+'16'!H168</f>
        <v>0</v>
      </c>
      <c r="I168" s="165"/>
      <c r="J168" s="239">
        <f>H168/DAY(B2)</f>
        <v>0</v>
      </c>
    </row>
    <row r="171" spans="1:10" ht="27.75" customHeight="1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customHeight="1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31" t="s">
        <v>209</v>
      </c>
      <c r="B173" s="832"/>
      <c r="C173" s="335"/>
      <c r="D173" s="228" t="s">
        <v>142</v>
      </c>
      <c r="E173" s="95">
        <f>'16'!F173</f>
        <v>8110</v>
      </c>
      <c r="F173" s="157">
        <v>8110</v>
      </c>
      <c r="G173" s="155">
        <f>F173-E173</f>
        <v>0</v>
      </c>
      <c r="H173" s="99">
        <f>G173+'16'!H173</f>
        <v>3</v>
      </c>
      <c r="I173" s="155"/>
      <c r="J173" s="178">
        <f>H173/DAY(B2)</f>
        <v>0.17647058823529413</v>
      </c>
    </row>
    <row r="174" spans="1:10" ht="27.75" customHeight="1" x14ac:dyDescent="0.5">
      <c r="A174" s="831" t="s">
        <v>75</v>
      </c>
      <c r="B174" s="832"/>
      <c r="C174" s="335"/>
      <c r="D174" s="228" t="s">
        <v>142</v>
      </c>
      <c r="E174" s="95">
        <f>'16'!F174</f>
        <v>38068</v>
      </c>
      <c r="F174" s="157">
        <v>38085</v>
      </c>
      <c r="G174" s="155">
        <f t="shared" ref="G174:G175" si="14">F174-E174</f>
        <v>17</v>
      </c>
      <c r="H174" s="99">
        <f>G174+'16'!H174</f>
        <v>283</v>
      </c>
      <c r="I174" s="155"/>
      <c r="J174" s="178">
        <f>H174/DAY(B2)</f>
        <v>16.647058823529413</v>
      </c>
    </row>
    <row r="175" spans="1:10" ht="27.75" customHeight="1" x14ac:dyDescent="0.5">
      <c r="A175" s="831" t="s">
        <v>76</v>
      </c>
      <c r="B175" s="833"/>
      <c r="C175" s="832"/>
      <c r="D175" s="228" t="s">
        <v>142</v>
      </c>
      <c r="E175" s="95">
        <f>'16'!F175</f>
        <v>21344</v>
      </c>
      <c r="F175" s="155">
        <v>21356</v>
      </c>
      <c r="G175" s="155">
        <f t="shared" si="14"/>
        <v>12</v>
      </c>
      <c r="H175" s="99">
        <f>G175+'16'!H175</f>
        <v>219</v>
      </c>
      <c r="I175" s="155"/>
      <c r="J175" s="178">
        <f>H175/DAY(B2)</f>
        <v>12.882352941176471</v>
      </c>
    </row>
    <row r="176" spans="1:10" ht="27.75" customHeight="1" x14ac:dyDescent="0.5">
      <c r="A176" s="867" t="s">
        <v>196</v>
      </c>
      <c r="B176" s="868"/>
      <c r="C176" s="335"/>
      <c r="D176" s="228" t="s">
        <v>142</v>
      </c>
      <c r="E176" s="95"/>
      <c r="F176" s="155"/>
      <c r="G176" s="155">
        <f>SUM(G173:G175)</f>
        <v>29</v>
      </c>
      <c r="H176" s="99">
        <f>G176+'16'!H176</f>
        <v>505</v>
      </c>
      <c r="I176" s="155"/>
      <c r="J176" s="178">
        <f>H176/DAY(B2)</f>
        <v>29.705882352941178</v>
      </c>
    </row>
    <row r="177" spans="1:11" ht="27.75" customHeight="1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831" t="s">
        <v>210</v>
      </c>
      <c r="B178" s="832"/>
      <c r="C178" s="335"/>
      <c r="D178" s="228" t="s">
        <v>142</v>
      </c>
      <c r="E178" s="95">
        <f>'16'!F178</f>
        <v>78558</v>
      </c>
      <c r="F178" s="155">
        <v>78673</v>
      </c>
      <c r="G178" s="155">
        <f>F178-E178</f>
        <v>115</v>
      </c>
      <c r="H178" s="99">
        <f>G178+'16'!H178</f>
        <v>1321</v>
      </c>
      <c r="I178" s="155"/>
      <c r="J178" s="178">
        <f>H178/DAY(B2)</f>
        <v>77.705882352941174</v>
      </c>
    </row>
    <row r="179" spans="1:11" ht="27.75" customHeight="1" x14ac:dyDescent="0.5">
      <c r="A179" s="831" t="s">
        <v>211</v>
      </c>
      <c r="B179" s="832"/>
      <c r="C179" s="335"/>
      <c r="D179" s="228" t="s">
        <v>142</v>
      </c>
      <c r="E179" s="95">
        <f>'16'!F179</f>
        <v>33888</v>
      </c>
      <c r="F179" s="155">
        <v>33901</v>
      </c>
      <c r="G179" s="155">
        <f t="shared" ref="G179:G180" si="15">F179-E179</f>
        <v>13</v>
      </c>
      <c r="H179" s="99">
        <f>G179+'16'!H179</f>
        <v>15</v>
      </c>
      <c r="I179" s="155"/>
      <c r="J179" s="178">
        <f>H179/DAY(B2)</f>
        <v>0.88235294117647056</v>
      </c>
    </row>
    <row r="180" spans="1:11" ht="27.75" customHeight="1" x14ac:dyDescent="0.5">
      <c r="A180" s="831" t="s">
        <v>212</v>
      </c>
      <c r="B180" s="832"/>
      <c r="C180" s="335"/>
      <c r="D180" s="228" t="s">
        <v>142</v>
      </c>
      <c r="E180" s="95">
        <f>'16'!F180</f>
        <v>5383</v>
      </c>
      <c r="F180" s="155">
        <v>5385</v>
      </c>
      <c r="G180" s="155">
        <f t="shared" si="15"/>
        <v>2</v>
      </c>
      <c r="H180" s="99">
        <f>G180+'16'!H180</f>
        <v>112</v>
      </c>
      <c r="I180" s="155"/>
      <c r="J180" s="178">
        <f>H180/DAY(B2)</f>
        <v>6.5882352941176467</v>
      </c>
    </row>
    <row r="181" spans="1:11" ht="27.75" customHeight="1" x14ac:dyDescent="0.5">
      <c r="A181" s="872" t="s">
        <v>108</v>
      </c>
      <c r="B181" s="873"/>
      <c r="C181" s="335"/>
      <c r="D181" s="228" t="s">
        <v>142</v>
      </c>
      <c r="E181" s="95"/>
      <c r="F181" s="155"/>
      <c r="G181" s="155">
        <f>SUM(G178:G180)</f>
        <v>130</v>
      </c>
      <c r="H181" s="99">
        <f>G181+'16'!H181</f>
        <v>1448</v>
      </c>
      <c r="I181" s="155"/>
      <c r="J181" s="178">
        <f>H181/DAY(B2)</f>
        <v>85.17647058823529</v>
      </c>
    </row>
    <row r="182" spans="1:11" ht="27.75" customHeight="1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831" t="s">
        <v>214</v>
      </c>
      <c r="B183" s="832"/>
      <c r="C183" s="336"/>
      <c r="D183" s="228" t="s">
        <v>142</v>
      </c>
      <c r="E183" s="95">
        <f>'16'!F183</f>
        <v>14718</v>
      </c>
      <c r="F183" s="157">
        <v>14728</v>
      </c>
      <c r="G183" s="157">
        <f>F183-E183</f>
        <v>10</v>
      </c>
      <c r="H183" s="99">
        <f>G183+'16'!H183</f>
        <v>232</v>
      </c>
      <c r="I183" s="155"/>
      <c r="J183" s="178">
        <f>H183/DAY(B2)</f>
        <v>13.647058823529411</v>
      </c>
    </row>
    <row r="184" spans="1:11" ht="27.75" customHeight="1" x14ac:dyDescent="0.5">
      <c r="A184" s="831" t="s">
        <v>215</v>
      </c>
      <c r="B184" s="832"/>
      <c r="C184" s="336"/>
      <c r="D184" s="228" t="s">
        <v>142</v>
      </c>
      <c r="E184" s="95">
        <f>'16'!F184</f>
        <v>10174</v>
      </c>
      <c r="F184" s="157">
        <v>10184</v>
      </c>
      <c r="G184" s="157">
        <f t="shared" ref="G184:G185" si="16">F184-E184</f>
        <v>10</v>
      </c>
      <c r="H184" s="99">
        <f>G184+'16'!H184</f>
        <v>153</v>
      </c>
      <c r="I184" s="155"/>
      <c r="J184" s="178">
        <f>H184/DAY(B2)</f>
        <v>9</v>
      </c>
    </row>
    <row r="185" spans="1:11" ht="27.75" customHeight="1" x14ac:dyDescent="0.5">
      <c r="A185" s="831" t="s">
        <v>216</v>
      </c>
      <c r="B185" s="832"/>
      <c r="C185" s="336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867" t="s">
        <v>196</v>
      </c>
      <c r="B186" s="868"/>
      <c r="C186" s="336"/>
      <c r="D186" s="228" t="s">
        <v>142</v>
      </c>
      <c r="E186" s="95"/>
      <c r="F186" s="157"/>
      <c r="G186" s="157">
        <f>SUM(G183:G185)</f>
        <v>20</v>
      </c>
      <c r="H186" s="99">
        <f>G186+'16'!H186</f>
        <v>385</v>
      </c>
      <c r="I186" s="157"/>
      <c r="J186" s="178">
        <f>H186/DAY(B2)</f>
        <v>22.647058823529413</v>
      </c>
    </row>
    <row r="187" spans="1:11" ht="27.75" customHeight="1" x14ac:dyDescent="0.5">
      <c r="A187" s="876" t="s">
        <v>217</v>
      </c>
      <c r="B187" s="877"/>
      <c r="C187" s="335"/>
      <c r="D187" s="228" t="s">
        <v>142</v>
      </c>
      <c r="E187" s="95"/>
      <c r="F187" s="159"/>
      <c r="G187" s="506">
        <f>G62+G19</f>
        <v>180</v>
      </c>
      <c r="H187" s="99">
        <f>G187+'16'!H187</f>
        <v>3008</v>
      </c>
      <c r="I187" s="158"/>
      <c r="J187" s="179">
        <f>H187/DAY(B2)</f>
        <v>176.94117647058823</v>
      </c>
    </row>
    <row r="188" spans="1:11" ht="27.75" customHeight="1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182</v>
      </c>
      <c r="H188" s="99">
        <f>G188+'16'!H188</f>
        <v>493</v>
      </c>
      <c r="I188" s="158"/>
      <c r="J188" s="179">
        <f>H188/DAY(B2)</f>
        <v>29</v>
      </c>
    </row>
    <row r="189" spans="1:11" ht="27.75" customHeight="1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130</v>
      </c>
      <c r="H189" s="99">
        <f>G189+'16'!H189</f>
        <v>1448</v>
      </c>
      <c r="I189" s="158"/>
      <c r="J189" s="179">
        <f>H189/DAY(B2)</f>
        <v>85.17647058823529</v>
      </c>
    </row>
    <row r="190" spans="1:11" ht="27.75" customHeight="1" x14ac:dyDescent="0.5">
      <c r="A190" s="802"/>
      <c r="B190" s="803"/>
      <c r="C190" s="527"/>
      <c r="D190" s="524"/>
      <c r="E190" s="524"/>
      <c r="F190" s="524"/>
      <c r="G190" s="524"/>
      <c r="H190" s="525"/>
      <c r="I190" s="524"/>
      <c r="J190" s="526"/>
    </row>
    <row r="191" spans="1:11" ht="23.25" customHeight="1" x14ac:dyDescent="0.5">
      <c r="A191" s="245" t="s">
        <v>361</v>
      </c>
      <c r="B191" s="246"/>
      <c r="C191" s="246"/>
      <c r="D191" s="165"/>
      <c r="E191" s="165"/>
      <c r="F191" s="155">
        <f>'16'!G191</f>
        <v>53096</v>
      </c>
      <c r="G191" s="165">
        <v>53102</v>
      </c>
      <c r="H191" s="238">
        <f>G191-F191</f>
        <v>6</v>
      </c>
      <c r="I191" s="99">
        <f>H191+'15'!I191</f>
        <v>6</v>
      </c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18" zoomScale="55" zoomScaleNormal="68" zoomScaleSheetLayoutView="55" workbookViewId="0">
      <selection activeCell="G155" sqref="G155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33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.75" customHeight="1" x14ac:dyDescent="0.5">
      <c r="A2" s="191" t="s">
        <v>350</v>
      </c>
      <c r="B2" s="262">
        <v>44548</v>
      </c>
      <c r="C2" s="350" t="s">
        <v>67</v>
      </c>
      <c r="D2" s="218">
        <v>0.51</v>
      </c>
      <c r="E2" s="100"/>
      <c r="F2" s="100"/>
      <c r="G2" s="61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61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50" t="s">
        <v>120</v>
      </c>
      <c r="D4" s="218">
        <v>0.9</v>
      </c>
      <c r="E4" s="103"/>
      <c r="F4" s="103"/>
      <c r="G4" s="611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12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15" t="s">
        <v>128</v>
      </c>
      <c r="B6" s="816"/>
      <c r="C6" s="817"/>
      <c r="D6" s="110"/>
      <c r="E6" s="110"/>
      <c r="F6" s="110"/>
      <c r="G6" s="613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800363.6</v>
      </c>
      <c r="F7" s="95">
        <v>823187.35</v>
      </c>
      <c r="G7" s="614">
        <f>F7-E7</f>
        <v>22823.75</v>
      </c>
      <c r="H7" s="99">
        <f>G7+'17'!H7</f>
        <v>422345.35</v>
      </c>
      <c r="I7" s="113">
        <f>'1'!I7</f>
        <v>12000</v>
      </c>
      <c r="J7" s="175">
        <f>H7/DAY(B2)</f>
        <v>23463.630555555555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843441</v>
      </c>
      <c r="F8" s="95">
        <v>866578.75</v>
      </c>
      <c r="G8" s="615">
        <f>F8-E8</f>
        <v>23137.75</v>
      </c>
      <c r="H8" s="99">
        <f>G8+'17'!H8</f>
        <v>428283.75</v>
      </c>
      <c r="I8" s="116"/>
      <c r="J8" s="175">
        <f>H8/DAY(B2)</f>
        <v>23793.541666666668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2019527.7</v>
      </c>
      <c r="F9" s="659">
        <v>2037774.1</v>
      </c>
      <c r="G9" s="614">
        <f>F9-E9</f>
        <v>18246.40000000014</v>
      </c>
      <c r="H9" s="99">
        <f>G9+'17'!H9</f>
        <v>318676.40000000014</v>
      </c>
      <c r="I9" s="124">
        <f>I7-J7</f>
        <v>-11463.630555555555</v>
      </c>
      <c r="J9" s="175">
        <f>H9/DAY(B2)</f>
        <v>17704.244444444452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494210.91</v>
      </c>
      <c r="F10" s="355">
        <v>498150.91</v>
      </c>
      <c r="G10" s="614">
        <f>F10-E10</f>
        <v>3940</v>
      </c>
      <c r="H10" s="99">
        <f>G10+'17'!H10</f>
        <v>92068.479999999981</v>
      </c>
      <c r="I10" s="282"/>
      <c r="J10" s="175">
        <f>H10/DAY(B2)</f>
        <v>5114.9155555555544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37000</v>
      </c>
      <c r="G11" s="614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614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616">
        <f>G9+G10+G11+G12</f>
        <v>22186.40000000014</v>
      </c>
      <c r="H13" s="99">
        <f>G13+'17'!H13</f>
        <v>388694.01000000007</v>
      </c>
      <c r="I13" s="120">
        <f>G7-G13</f>
        <v>637.3499999998603</v>
      </c>
      <c r="J13" s="175">
        <f>H13/DAY(B2)</f>
        <v>21594.111666666671</v>
      </c>
      <c r="K13" s="79"/>
      <c r="L13" s="66"/>
      <c r="N13" s="87"/>
      <c r="O13" s="71"/>
    </row>
    <row r="14" spans="1:15" ht="27.75" customHeight="1" x14ac:dyDescent="0.5">
      <c r="A14" s="818" t="s">
        <v>137</v>
      </c>
      <c r="B14" s="819"/>
      <c r="C14" s="820"/>
      <c r="D14" s="111"/>
      <c r="E14" s="111"/>
      <c r="F14" s="111"/>
      <c r="G14" s="617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7" t="s">
        <v>138</v>
      </c>
      <c r="B15" s="205"/>
      <c r="C15" s="205"/>
      <c r="D15" s="151" t="s">
        <v>139</v>
      </c>
      <c r="E15" s="95">
        <f>'17'!F15</f>
        <v>1863021.8219999999</v>
      </c>
      <c r="F15" s="123">
        <v>1864237.1059999999</v>
      </c>
      <c r="G15" s="614">
        <f>(F15-E15)</f>
        <v>1215.2839999999851</v>
      </c>
      <c r="H15" s="99">
        <f>G15+'17'!H15</f>
        <v>21089.105999999912</v>
      </c>
      <c r="I15" s="113">
        <f>'1'!I15</f>
        <v>800</v>
      </c>
      <c r="J15" s="175">
        <f>H15/DAY(B2)</f>
        <v>1171.6169999999952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614"/>
      <c r="H16" s="124"/>
      <c r="I16" s="120">
        <f>I15-J15</f>
        <v>-371.61699999999519</v>
      </c>
      <c r="J16" s="176"/>
      <c r="K16" s="79"/>
      <c r="L16" s="66"/>
      <c r="N16" s="87"/>
      <c r="O16" s="71"/>
    </row>
    <row r="17" spans="1:15" ht="27.75" customHeight="1" x14ac:dyDescent="0.5">
      <c r="A17" s="818" t="s">
        <v>140</v>
      </c>
      <c r="B17" s="819"/>
      <c r="C17" s="820"/>
      <c r="D17" s="111"/>
      <c r="E17" s="111"/>
      <c r="F17" s="111"/>
      <c r="G17" s="617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09" t="s">
        <v>141</v>
      </c>
      <c r="B18" s="810"/>
      <c r="C18" s="811"/>
      <c r="D18" s="151" t="s">
        <v>142</v>
      </c>
      <c r="E18" s="95">
        <f>'17'!F18</f>
        <v>18</v>
      </c>
      <c r="F18" s="122">
        <v>22</v>
      </c>
      <c r="G18" s="616">
        <f>F18*10</f>
        <v>220</v>
      </c>
      <c r="H18" s="99">
        <f>G18+'17'!H18</f>
        <v>3800</v>
      </c>
      <c r="I18" s="113">
        <f>'1'!I18</f>
        <v>65</v>
      </c>
      <c r="J18" s="175">
        <f>H18/DAY(B2)</f>
        <v>211.11111111111111</v>
      </c>
      <c r="K18" s="79"/>
      <c r="L18" s="66"/>
      <c r="N18" s="87"/>
      <c r="O18" s="71"/>
    </row>
    <row r="19" spans="1:15" ht="27.75" customHeight="1" x14ac:dyDescent="0.5">
      <c r="A19" s="809" t="s">
        <v>69</v>
      </c>
      <c r="B19" s="810"/>
      <c r="C19" s="811"/>
      <c r="D19" s="151" t="s">
        <v>142</v>
      </c>
      <c r="E19" s="95">
        <f>'17'!F19</f>
        <v>151483</v>
      </c>
      <c r="F19" s="122">
        <v>151536</v>
      </c>
      <c r="G19" s="614">
        <f t="shared" ref="G19" si="1">F19-E19</f>
        <v>53</v>
      </c>
      <c r="H19" s="99">
        <f>G19+'17'!H19</f>
        <v>952</v>
      </c>
      <c r="I19" s="337"/>
      <c r="J19" s="175">
        <f>H19/DAY(B2)</f>
        <v>52.888888888888886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618">
        <f>G18+G19</f>
        <v>273</v>
      </c>
      <c r="H20" s="99">
        <f>G20+'17'!H20</f>
        <v>4752</v>
      </c>
      <c r="I20" s="338">
        <f>I18-J20</f>
        <v>-199</v>
      </c>
      <c r="J20" s="175">
        <f>H20/DAY(B2)</f>
        <v>264</v>
      </c>
      <c r="K20" s="79"/>
      <c r="L20" s="66"/>
      <c r="N20" s="87"/>
      <c r="O20" s="71"/>
    </row>
    <row r="21" spans="1:15" ht="27.75" customHeight="1" x14ac:dyDescent="0.5">
      <c r="A21" s="818" t="s">
        <v>144</v>
      </c>
      <c r="B21" s="819"/>
      <c r="C21" s="820"/>
      <c r="D21" s="111"/>
      <c r="E21" s="111"/>
      <c r="F21" s="111"/>
      <c r="G21" s="617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7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616">
        <f t="shared" ref="G22" si="2"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7" t="s">
        <v>147</v>
      </c>
      <c r="B23" s="205"/>
      <c r="C23" s="205"/>
      <c r="D23" s="151" t="s">
        <v>146</v>
      </c>
      <c r="E23" s="95">
        <f>'17'!F23</f>
        <v>2000</v>
      </c>
      <c r="F23" s="122">
        <v>2000</v>
      </c>
      <c r="G23" s="616"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'17'!F24</f>
        <v>4970</v>
      </c>
      <c r="F24" s="128">
        <v>4970</v>
      </c>
      <c r="G24" s="616"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23" t="s">
        <v>149</v>
      </c>
      <c r="B25" s="824"/>
      <c r="C25" s="825"/>
      <c r="D25" s="110"/>
      <c r="E25" s="110"/>
      <c r="F25" s="110"/>
      <c r="G25" s="61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620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23137.75</v>
      </c>
      <c r="F27" s="136">
        <v>9</v>
      </c>
      <c r="G27" s="621">
        <f>E27*F27</f>
        <v>208239.75</v>
      </c>
      <c r="H27" s="99">
        <f>G27+'17'!H27</f>
        <v>3854553.75</v>
      </c>
      <c r="I27" s="138"/>
      <c r="J27" s="175">
        <f>H27/DAY(B2)</f>
        <v>214141.875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1215.2839999999851</v>
      </c>
      <c r="F28" s="136">
        <v>52</v>
      </c>
      <c r="G28" s="621">
        <f>E28*F28</f>
        <v>63194.767999999225</v>
      </c>
      <c r="H28" s="99">
        <f>G28+'17'!H28</f>
        <v>1096633.5119999954</v>
      </c>
      <c r="I28" s="140"/>
      <c r="J28" s="175">
        <f>H28/DAY(B2)</f>
        <v>60924.083999999748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21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621">
        <f>E30*F30</f>
        <v>7738</v>
      </c>
      <c r="H30" s="99">
        <f>G30+'17'!H30</f>
        <v>138992</v>
      </c>
      <c r="I30" s="140"/>
      <c r="J30" s="175">
        <f>H30/DAY(B2)</f>
        <v>7721.7777777777774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621">
        <f>E31*F31</f>
        <v>17600</v>
      </c>
      <c r="H31" s="99">
        <f>G31+'17'!H31</f>
        <v>304000</v>
      </c>
      <c r="I31" s="140"/>
      <c r="J31" s="175">
        <f>H31/DAY(B2)</f>
        <v>16888.888888888891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622">
        <f>G27+G28+G29+G30+G31</f>
        <v>296772.51799999923</v>
      </c>
      <c r="H32" s="99">
        <f>G32+'17'!H32</f>
        <v>5394179.2619999954</v>
      </c>
      <c r="I32" s="144"/>
      <c r="J32" s="175">
        <f>H32/DAY(B2)</f>
        <v>299676.62566666643</v>
      </c>
      <c r="K32" s="63"/>
      <c r="L32" s="89"/>
      <c r="N32" s="87"/>
      <c r="O32" s="71"/>
    </row>
    <row r="33" spans="1:15" ht="27.75" customHeight="1" x14ac:dyDescent="0.35">
      <c r="A33" s="826" t="s">
        <v>331</v>
      </c>
      <c r="B33" s="827"/>
      <c r="C33" s="827"/>
      <c r="D33" s="339"/>
      <c r="E33" s="339"/>
      <c r="F33" s="339"/>
      <c r="G33" s="623"/>
      <c r="H33" s="339"/>
      <c r="I33" s="339"/>
      <c r="J33" s="340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51"/>
      <c r="C34" s="351"/>
      <c r="D34" s="111"/>
      <c r="E34" s="110"/>
      <c r="F34" s="110"/>
      <c r="G34" s="624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128731.06</v>
      </c>
      <c r="F35" s="145">
        <v>130316.09</v>
      </c>
      <c r="G35" s="614">
        <f t="shared" ref="G35:G46" si="3">F35-E35</f>
        <v>1585.0299999999988</v>
      </c>
      <c r="H35" s="99">
        <f>G35+'17'!H35</f>
        <v>36781.459999999992</v>
      </c>
      <c r="I35" s="95"/>
      <c r="J35" s="175">
        <f>H35/DAY(B2)</f>
        <v>2043.4144444444439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7904.89</v>
      </c>
      <c r="F36" s="145">
        <v>9128.93</v>
      </c>
      <c r="G36" s="614">
        <f t="shared" si="3"/>
        <v>1224.04</v>
      </c>
      <c r="H36" s="99">
        <f>G36+'17'!H36</f>
        <v>19395.230000000007</v>
      </c>
      <c r="I36" s="95"/>
      <c r="J36" s="175">
        <f>H36/DAY(B2)</f>
        <v>1077.5127777777782</v>
      </c>
      <c r="K36" s="79"/>
      <c r="L36" s="66"/>
      <c r="N36" s="87"/>
      <c r="O36" s="346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173101.87</v>
      </c>
      <c r="F37" s="145">
        <v>174666.47</v>
      </c>
      <c r="G37" s="614">
        <f t="shared" si="3"/>
        <v>1564.6000000000058</v>
      </c>
      <c r="H37" s="99">
        <f>G37+'17'!H37</f>
        <v>29159.73000000001</v>
      </c>
      <c r="I37" s="95"/>
      <c r="J37" s="175">
        <f>H37/DAY(B2)</f>
        <v>1619.9850000000006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205245.77</v>
      </c>
      <c r="F38" s="108">
        <v>207327.99</v>
      </c>
      <c r="G38" s="614">
        <f t="shared" si="3"/>
        <v>2082.2200000000012</v>
      </c>
      <c r="H38" s="99">
        <f>G38+'17'!H38</f>
        <v>36323.94</v>
      </c>
      <c r="I38" s="95"/>
      <c r="J38" s="175">
        <f>H38/DAY(B2)</f>
        <v>2017.9966666666669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371804.35</v>
      </c>
      <c r="F39" s="145">
        <v>374698.39</v>
      </c>
      <c r="G39" s="614">
        <f t="shared" si="3"/>
        <v>2894.0400000000373</v>
      </c>
      <c r="H39" s="99">
        <f>G39+'17'!H39</f>
        <v>53035.100000000035</v>
      </c>
      <c r="I39" s="95"/>
      <c r="J39" s="175">
        <f>H39/DAY(B2)</f>
        <v>2946.3944444444464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663">
        <f>'17'!F40</f>
        <v>588.35</v>
      </c>
      <c r="F40" s="664">
        <v>588.35</v>
      </c>
      <c r="G40" s="665">
        <f t="shared" si="3"/>
        <v>0</v>
      </c>
      <c r="H40" s="99">
        <f>G40+'17'!H40</f>
        <v>477.13</v>
      </c>
      <c r="I40" s="95"/>
      <c r="J40" s="175">
        <f>H40/DAY(B2)</f>
        <v>26.507222222222222</v>
      </c>
      <c r="K40" s="80"/>
      <c r="L40" s="66"/>
      <c r="N40" s="87">
        <v>7285</v>
      </c>
      <c r="O40" s="71" t="s">
        <v>370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0</v>
      </c>
      <c r="F41" s="145">
        <v>0</v>
      </c>
      <c r="G41" s="614">
        <f t="shared" si="3"/>
        <v>0</v>
      </c>
      <c r="H41" s="99">
        <f>G41+'17'!H41</f>
        <v>9386.2900000000373</v>
      </c>
      <c r="I41" s="95"/>
      <c r="J41" s="175">
        <f>H41/DAY(B2)</f>
        <v>521.46055555555768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15213.15</v>
      </c>
      <c r="F42" s="145">
        <v>20108.66</v>
      </c>
      <c r="G42" s="614">
        <f t="shared" si="3"/>
        <v>4895.51</v>
      </c>
      <c r="H42" s="99">
        <f>G42+'17'!H42</f>
        <v>61714.670000000013</v>
      </c>
      <c r="I42" s="95"/>
      <c r="J42" s="175">
        <f>H42/DAY(B2)</f>
        <v>3428.5927777777783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9928.93</v>
      </c>
      <c r="F43" s="145">
        <v>12716.87</v>
      </c>
      <c r="G43" s="614">
        <f t="shared" si="3"/>
        <v>2787.9400000000005</v>
      </c>
      <c r="H43" s="99">
        <f>G43+'17'!H43</f>
        <v>48799.269999999909</v>
      </c>
      <c r="I43" s="95"/>
      <c r="J43" s="175">
        <f>H43/DAY(B2)</f>
        <v>2711.0705555555505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614">
        <f t="shared" si="3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614">
        <f t="shared" si="3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614">
        <f t="shared" si="3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616">
        <f>G35+G36+G37+G38+G39+G40+G41+G42+G43+G44+G45+G46</f>
        <v>17033.380000000045</v>
      </c>
      <c r="H47" s="99">
        <f>G47+'17'!H47</f>
        <v>295072.82</v>
      </c>
      <c r="I47" s="95"/>
      <c r="J47" s="175">
        <f>H47/DAY(B2)</f>
        <v>16392.934444444443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51"/>
      <c r="C48" s="351"/>
      <c r="D48" s="111"/>
      <c r="E48" s="110"/>
      <c r="F48" s="110"/>
      <c r="G48" s="624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250312.43</v>
      </c>
      <c r="F49" s="145">
        <v>252107.37</v>
      </c>
      <c r="G49" s="614">
        <f t="shared" ref="G49:G58" si="4">F49-E49</f>
        <v>1794.9400000000023</v>
      </c>
      <c r="H49" s="99">
        <f>G49+'17'!H49</f>
        <v>31594.040000000008</v>
      </c>
      <c r="I49" s="95"/>
      <c r="J49" s="175">
        <f>H49/DAY(B2)</f>
        <v>1755.224444444445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7774.88</v>
      </c>
      <c r="F50" s="145">
        <v>9227.31</v>
      </c>
      <c r="G50" s="614">
        <f t="shared" si="4"/>
        <v>1452.4299999999994</v>
      </c>
      <c r="H50" s="99">
        <f>G50+'17'!H50</f>
        <v>25079.120000000057</v>
      </c>
      <c r="I50" s="95"/>
      <c r="J50" s="175">
        <f>H50/DAY(B2)</f>
        <v>1393.2844444444477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614">
        <f t="shared" si="4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614">
        <f t="shared" si="4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614">
        <f t="shared" si="4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3122</v>
      </c>
      <c r="F54" s="145">
        <v>3126.52</v>
      </c>
      <c r="G54" s="614">
        <f t="shared" si="4"/>
        <v>4.5199999999999818</v>
      </c>
      <c r="H54" s="99">
        <f>G54+'17'!H54</f>
        <v>95.239999999999782</v>
      </c>
      <c r="I54" s="95"/>
      <c r="J54" s="175">
        <f>H54/DAY(B2)</f>
        <v>5.2911111111110989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0</v>
      </c>
      <c r="F55" s="145">
        <v>0</v>
      </c>
      <c r="G55" s="614">
        <f t="shared" si="4"/>
        <v>0</v>
      </c>
      <c r="H55" s="99">
        <f>G55+'17'!H55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7957.59</v>
      </c>
      <c r="F56" s="145">
        <v>8373.59</v>
      </c>
      <c r="G56" s="614">
        <f t="shared" si="4"/>
        <v>416</v>
      </c>
      <c r="H56" s="99">
        <f>G56+'17'!H56</f>
        <v>29923.639999999985</v>
      </c>
      <c r="I56" s="95"/>
      <c r="J56" s="175">
        <f>H56/DAY(B2)</f>
        <v>1662.4244444444437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614">
        <f t="shared" si="4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89243</v>
      </c>
      <c r="F58" s="145">
        <v>89481.66</v>
      </c>
      <c r="G58" s="614">
        <f t="shared" si="4"/>
        <v>238.66000000000349</v>
      </c>
      <c r="H58" s="99">
        <f>G58+'17'!H58</f>
        <v>4156.8099999999977</v>
      </c>
      <c r="I58" s="95"/>
      <c r="J58" s="175">
        <f>H58/DAY(B2)</f>
        <v>230.93388888888876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616">
        <f>G49+G50+G51+G52+G53+G54+G55+G56+G57+G58</f>
        <v>3906.5500000000052</v>
      </c>
      <c r="H59" s="99">
        <f>G59+'17'!H59</f>
        <v>90848.850000000049</v>
      </c>
      <c r="I59" s="95">
        <f>G7-G60</f>
        <v>1883.8199999999488</v>
      </c>
      <c r="J59" s="175">
        <f>H59/DAY(B2)</f>
        <v>5047.1583333333365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616">
        <f>G47+G59</f>
        <v>20939.930000000051</v>
      </c>
      <c r="H60" s="99">
        <f>G60+'17'!H60</f>
        <v>385921.6700000001</v>
      </c>
      <c r="I60" s="95">
        <f>G13-G60</f>
        <v>1246.4700000000885</v>
      </c>
      <c r="J60" s="175">
        <f>H60/DAY(B2)</f>
        <v>21440.092777777783</v>
      </c>
      <c r="K60" s="79"/>
      <c r="L60" s="66"/>
      <c r="N60" s="87"/>
      <c r="O60" s="71"/>
    </row>
    <row r="61" spans="1:15" s="68" customFormat="1" ht="27.75" customHeight="1" x14ac:dyDescent="0.5">
      <c r="A61" s="828" t="s">
        <v>332</v>
      </c>
      <c r="B61" s="829"/>
      <c r="C61" s="830"/>
      <c r="D61" s="341"/>
      <c r="E61" s="341"/>
      <c r="F61" s="341"/>
      <c r="G61" s="625"/>
      <c r="H61" s="341"/>
      <c r="I61" s="341"/>
      <c r="J61" s="343"/>
      <c r="K61" s="69"/>
      <c r="L61" s="67"/>
      <c r="N61" s="87"/>
      <c r="O61" s="71"/>
    </row>
    <row r="62" spans="1:15" ht="27.75" customHeight="1" x14ac:dyDescent="0.5">
      <c r="A62" s="809" t="s">
        <v>198</v>
      </c>
      <c r="B62" s="810"/>
      <c r="C62" s="811"/>
      <c r="D62" s="151" t="s">
        <v>142</v>
      </c>
      <c r="E62" s="95">
        <f>'17'!F62</f>
        <v>265574</v>
      </c>
      <c r="F62" s="122">
        <v>265708</v>
      </c>
      <c r="G62" s="614">
        <f t="shared" ref="G62:G63" si="5">F62-E62</f>
        <v>134</v>
      </c>
      <c r="H62" s="99">
        <f>G62+'17'!H62</f>
        <v>2243</v>
      </c>
      <c r="I62" s="118"/>
      <c r="J62" s="175">
        <f>H62/DAY(B2)</f>
        <v>124.61111111111111</v>
      </c>
      <c r="K62" s="80"/>
      <c r="L62" s="66"/>
      <c r="N62" s="87"/>
      <c r="O62" s="71"/>
    </row>
    <row r="63" spans="1:15" ht="27.75" customHeight="1" x14ac:dyDescent="0.5">
      <c r="A63" s="809" t="s">
        <v>199</v>
      </c>
      <c r="B63" s="810"/>
      <c r="C63" s="811"/>
      <c r="D63" s="151" t="s">
        <v>142</v>
      </c>
      <c r="E63" s="95">
        <f>'17'!F63</f>
        <v>211183</v>
      </c>
      <c r="F63" s="122">
        <v>211291</v>
      </c>
      <c r="G63" s="614">
        <f t="shared" si="5"/>
        <v>108</v>
      </c>
      <c r="H63" s="99">
        <f>G63+'17'!H63</f>
        <v>1916</v>
      </c>
      <c r="I63" s="118"/>
      <c r="J63" s="175">
        <f>H63/DAY(B2)</f>
        <v>106.44444444444444</v>
      </c>
      <c r="K63" s="69"/>
      <c r="L63" s="66"/>
      <c r="N63" s="87"/>
      <c r="O63" s="71"/>
    </row>
    <row r="64" spans="1:15" ht="27.75" customHeight="1" x14ac:dyDescent="0.5">
      <c r="A64" s="806" t="s">
        <v>200</v>
      </c>
      <c r="B64" s="807"/>
      <c r="C64" s="808"/>
      <c r="D64" s="151"/>
      <c r="E64" s="95">
        <f>'17'!F64</f>
        <v>0</v>
      </c>
      <c r="F64" s="122"/>
      <c r="G64" s="614">
        <f>G62+G63</f>
        <v>242</v>
      </c>
      <c r="H64" s="99">
        <f>G64+'17'!H64</f>
        <v>4159</v>
      </c>
      <c r="I64" s="118"/>
      <c r="J64" s="175">
        <f>H64/DAY(B2)</f>
        <v>231.05555555555554</v>
      </c>
      <c r="K64" s="69"/>
      <c r="L64" s="66"/>
      <c r="N64" s="87"/>
      <c r="O64" s="71"/>
    </row>
    <row r="65" spans="1:15" ht="27.75" customHeight="1" x14ac:dyDescent="0.5">
      <c r="A65" s="809" t="s">
        <v>201</v>
      </c>
      <c r="B65" s="810"/>
      <c r="C65" s="811"/>
      <c r="D65" s="151" t="s">
        <v>142</v>
      </c>
      <c r="E65" s="95">
        <f>'17'!F65</f>
        <v>431167</v>
      </c>
      <c r="F65" s="122">
        <v>431292</v>
      </c>
      <c r="G65" s="614">
        <f t="shared" ref="G65:G70" si="6">F65-E65</f>
        <v>125</v>
      </c>
      <c r="H65" s="99">
        <f>G65+'17'!H65</f>
        <v>1929</v>
      </c>
      <c r="I65" s="118"/>
      <c r="J65" s="175">
        <f>H65/DAY(B2)</f>
        <v>107.16666666666667</v>
      </c>
      <c r="K65" s="69"/>
      <c r="L65" s="66"/>
      <c r="N65" s="87"/>
      <c r="O65" s="71"/>
    </row>
    <row r="66" spans="1:15" ht="27.75" customHeight="1" x14ac:dyDescent="0.5">
      <c r="A66" s="347" t="s">
        <v>202</v>
      </c>
      <c r="B66" s="348"/>
      <c r="C66" s="348"/>
      <c r="D66" s="151" t="s">
        <v>142</v>
      </c>
      <c r="E66" s="95">
        <f>'17'!F66</f>
        <v>106929</v>
      </c>
      <c r="F66" s="122">
        <v>106950</v>
      </c>
      <c r="G66" s="614">
        <f t="shared" si="6"/>
        <v>21</v>
      </c>
      <c r="H66" s="99">
        <f>G66+'17'!H66</f>
        <v>351</v>
      </c>
      <c r="I66" s="118"/>
      <c r="J66" s="175">
        <f>H66/DAY(B2)</f>
        <v>19.5</v>
      </c>
      <c r="K66" s="78"/>
      <c r="L66" s="66"/>
      <c r="N66" s="87"/>
      <c r="O66" s="71"/>
    </row>
    <row r="67" spans="1:15" ht="27.75" customHeight="1" x14ac:dyDescent="0.5">
      <c r="A67" s="347" t="s">
        <v>203</v>
      </c>
      <c r="B67" s="348"/>
      <c r="C67" s="348"/>
      <c r="D67" s="151" t="s">
        <v>142</v>
      </c>
      <c r="E67" s="95">
        <f>'17'!F67</f>
        <v>103508</v>
      </c>
      <c r="F67" s="122">
        <v>103538</v>
      </c>
      <c r="G67" s="614">
        <f t="shared" si="6"/>
        <v>30</v>
      </c>
      <c r="H67" s="99">
        <f>G67+'17'!H67</f>
        <v>527</v>
      </c>
      <c r="I67" s="118"/>
      <c r="J67" s="175">
        <f>H67/DAY(B2)</f>
        <v>29.277777777777779</v>
      </c>
      <c r="K67" s="81"/>
      <c r="L67" s="66"/>
      <c r="N67" s="87"/>
      <c r="O67" s="71"/>
    </row>
    <row r="68" spans="1:15" ht="27.75" customHeight="1" x14ac:dyDescent="0.5">
      <c r="A68" s="347" t="s">
        <v>204</v>
      </c>
      <c r="B68" s="348"/>
      <c r="C68" s="348"/>
      <c r="D68" s="151" t="s">
        <v>142</v>
      </c>
      <c r="E68" s="95">
        <f>'17'!F68</f>
        <v>156125</v>
      </c>
      <c r="F68" s="122">
        <v>156181</v>
      </c>
      <c r="G68" s="614">
        <f t="shared" si="6"/>
        <v>56</v>
      </c>
      <c r="H68" s="99">
        <f>G68+'17'!H68</f>
        <v>741</v>
      </c>
      <c r="I68" s="118"/>
      <c r="J68" s="175">
        <f>H68/DAY(B2)</f>
        <v>41.166666666666664</v>
      </c>
      <c r="K68" s="69"/>
      <c r="L68" s="66"/>
      <c r="N68" s="87"/>
      <c r="O68" s="71"/>
    </row>
    <row r="69" spans="1:15" ht="27.75" customHeight="1" x14ac:dyDescent="0.5">
      <c r="A69" s="347" t="s">
        <v>205</v>
      </c>
      <c r="B69" s="348"/>
      <c r="C69" s="348"/>
      <c r="D69" s="151" t="s">
        <v>142</v>
      </c>
      <c r="E69" s="95">
        <f>'17'!F69</f>
        <v>10034</v>
      </c>
      <c r="F69" s="122">
        <v>10043</v>
      </c>
      <c r="G69" s="614">
        <f t="shared" si="6"/>
        <v>9</v>
      </c>
      <c r="H69" s="99">
        <f>G69+'17'!H69</f>
        <v>200</v>
      </c>
      <c r="I69" s="118"/>
      <c r="J69" s="175">
        <f>H69/DAY(B2)</f>
        <v>11.111111111111111</v>
      </c>
      <c r="K69" s="69"/>
      <c r="L69" s="66"/>
      <c r="N69" s="87"/>
      <c r="O69" s="71"/>
    </row>
    <row r="70" spans="1:15" ht="27.75" customHeight="1" x14ac:dyDescent="0.5">
      <c r="A70" s="347" t="s">
        <v>206</v>
      </c>
      <c r="B70" s="348"/>
      <c r="C70" s="348"/>
      <c r="D70" s="151" t="s">
        <v>142</v>
      </c>
      <c r="E70" s="95">
        <f>'17'!F70</f>
        <v>7723</v>
      </c>
      <c r="F70" s="122">
        <v>7742</v>
      </c>
      <c r="G70" s="614">
        <f t="shared" si="6"/>
        <v>19</v>
      </c>
      <c r="H70" s="99">
        <f>G70+'17'!H70</f>
        <v>200</v>
      </c>
      <c r="I70" s="118"/>
      <c r="J70" s="175">
        <f>H70/DAY(B2)</f>
        <v>11.111111111111111</v>
      </c>
      <c r="K70" s="69"/>
      <c r="L70" s="66"/>
      <c r="N70" s="87"/>
      <c r="O70" s="71"/>
    </row>
    <row r="71" spans="1:15" ht="27.75" customHeight="1" x14ac:dyDescent="0.5">
      <c r="A71" s="806" t="s">
        <v>208</v>
      </c>
      <c r="B71" s="807"/>
      <c r="C71" s="808"/>
      <c r="D71" s="152"/>
      <c r="E71" s="152"/>
      <c r="F71" s="152"/>
      <c r="G71" s="626">
        <f>SUM(G65:G70)</f>
        <v>260</v>
      </c>
      <c r="H71" s="99">
        <f>G71+'17'!H71</f>
        <v>3948</v>
      </c>
      <c r="I71" s="154"/>
      <c r="J71" s="175">
        <f>H71/DAY(B2)</f>
        <v>219.33333333333334</v>
      </c>
      <c r="K71" s="69"/>
      <c r="L71" s="66"/>
      <c r="N71" s="87"/>
      <c r="O71" s="71"/>
    </row>
    <row r="72" spans="1:15" s="88" customFormat="1" ht="27.75" customHeight="1" x14ac:dyDescent="0.5">
      <c r="A72" s="849"/>
      <c r="B72" s="841"/>
      <c r="C72" s="349"/>
      <c r="D72" s="180"/>
      <c r="E72" s="180" t="s">
        <v>207</v>
      </c>
      <c r="F72" s="180"/>
      <c r="G72" s="627"/>
      <c r="H72" s="181"/>
      <c r="I72" s="180"/>
      <c r="J72" s="182"/>
      <c r="N72" s="87"/>
      <c r="O72" s="71"/>
    </row>
    <row r="73" spans="1:15" ht="27.75" customHeight="1" x14ac:dyDescent="0.5">
      <c r="A73" s="854" t="s">
        <v>333</v>
      </c>
      <c r="B73" s="855"/>
      <c r="C73" s="856"/>
      <c r="D73" s="341"/>
      <c r="E73" s="341"/>
      <c r="F73" s="341"/>
      <c r="G73" s="625"/>
      <c r="H73" s="344"/>
      <c r="I73" s="344"/>
      <c r="J73" s="345"/>
      <c r="K73" s="69"/>
      <c r="L73" s="66"/>
      <c r="N73" s="87"/>
      <c r="O73" s="71"/>
    </row>
    <row r="74" spans="1:15" ht="27.75" customHeight="1" x14ac:dyDescent="0.5">
      <c r="A74" s="809" t="s">
        <v>220</v>
      </c>
      <c r="B74" s="810"/>
      <c r="C74" s="811"/>
      <c r="D74" s="151" t="s">
        <v>139</v>
      </c>
      <c r="E74" s="95">
        <f>'17'!F74</f>
        <v>887636.83</v>
      </c>
      <c r="F74" s="123">
        <v>887942.48</v>
      </c>
      <c r="G74" s="614">
        <f>F74-E74</f>
        <v>305.65000000002328</v>
      </c>
      <c r="H74" s="99">
        <f>G74+'17'!H74</f>
        <v>5689.4309999999823</v>
      </c>
      <c r="I74" s="154"/>
      <c r="J74" s="175">
        <f>H74/DAY(B2)</f>
        <v>316.07949999999903</v>
      </c>
      <c r="K74" s="69"/>
      <c r="L74" s="66"/>
      <c r="N74" s="87"/>
      <c r="O74" s="71"/>
    </row>
    <row r="75" spans="1:15" ht="27.75" customHeight="1" x14ac:dyDescent="0.5">
      <c r="A75" s="809" t="s">
        <v>221</v>
      </c>
      <c r="B75" s="810"/>
      <c r="C75" s="811"/>
      <c r="D75" s="151" t="s">
        <v>139</v>
      </c>
      <c r="E75" s="95">
        <f>'17'!F75</f>
        <v>73830.69</v>
      </c>
      <c r="F75" s="538">
        <v>73830.69</v>
      </c>
      <c r="G75" s="614">
        <f t="shared" ref="G75:G78" si="7">F75-E75</f>
        <v>0</v>
      </c>
      <c r="H75" s="99">
        <f>G75+'17'!H75</f>
        <v>243.88999999999942</v>
      </c>
      <c r="I75" s="154"/>
      <c r="J75" s="175">
        <f>H75/DAY(B2)</f>
        <v>13.549444444444411</v>
      </c>
      <c r="K75" s="69"/>
      <c r="L75" s="66"/>
      <c r="N75" s="87"/>
      <c r="O75" s="71"/>
    </row>
    <row r="76" spans="1:15" ht="27.75" customHeight="1" x14ac:dyDescent="0.5">
      <c r="A76" s="850" t="s">
        <v>222</v>
      </c>
      <c r="B76" s="836"/>
      <c r="C76" s="837"/>
      <c r="D76" s="151" t="s">
        <v>139</v>
      </c>
      <c r="E76" s="95">
        <f>'17'!F76</f>
        <v>165603</v>
      </c>
      <c r="F76" s="123">
        <v>165737.60000000001</v>
      </c>
      <c r="G76" s="614">
        <f>F76-E76</f>
        <v>134.60000000000582</v>
      </c>
      <c r="H76" s="99">
        <f>G76+'17'!H76</f>
        <v>2353.6000000000058</v>
      </c>
      <c r="I76" s="154"/>
      <c r="J76" s="175">
        <f>H76/DAY(B2)</f>
        <v>130.75555555555587</v>
      </c>
      <c r="K76" s="69"/>
      <c r="L76" s="66"/>
      <c r="N76" s="87"/>
      <c r="O76" s="71"/>
    </row>
    <row r="77" spans="1:15" ht="27.75" customHeight="1" x14ac:dyDescent="0.5">
      <c r="A77" s="850" t="s">
        <v>223</v>
      </c>
      <c r="B77" s="836"/>
      <c r="C77" s="837"/>
      <c r="D77" s="151" t="s">
        <v>139</v>
      </c>
      <c r="E77" s="95">
        <f>'17'!F77</f>
        <v>39624.5</v>
      </c>
      <c r="F77" s="123">
        <v>39679.699999999997</v>
      </c>
      <c r="G77" s="614">
        <f t="shared" si="7"/>
        <v>55.19999999999709</v>
      </c>
      <c r="H77" s="99">
        <f>G77+'17'!H77</f>
        <v>869.69999999999709</v>
      </c>
      <c r="I77" s="154"/>
      <c r="J77" s="175">
        <f>H77/DAY(B2)</f>
        <v>48.316666666666507</v>
      </c>
      <c r="K77" s="69"/>
      <c r="L77" s="66"/>
      <c r="N77" s="87"/>
      <c r="O77" s="71"/>
    </row>
    <row r="78" spans="1:15" ht="27.75" customHeight="1" x14ac:dyDescent="0.5">
      <c r="A78" s="850" t="s">
        <v>224</v>
      </c>
      <c r="B78" s="836"/>
      <c r="C78" s="837"/>
      <c r="D78" s="151" t="s">
        <v>139</v>
      </c>
      <c r="E78" s="95">
        <f>'17'!F78</f>
        <v>9461</v>
      </c>
      <c r="F78" s="123">
        <v>9462.9</v>
      </c>
      <c r="G78" s="614">
        <f t="shared" si="7"/>
        <v>1.8999999999996362</v>
      </c>
      <c r="H78" s="99">
        <f>G78+'17'!H78</f>
        <v>50.899999999999636</v>
      </c>
      <c r="I78" s="118"/>
      <c r="J78" s="175">
        <f>H78/DAY(B2)</f>
        <v>2.8277777777777575</v>
      </c>
      <c r="K78" s="69"/>
      <c r="L78" s="66"/>
      <c r="N78" s="87"/>
      <c r="O78" s="71"/>
    </row>
    <row r="79" spans="1:15" s="57" customFormat="1" ht="27.75" customHeight="1" x14ac:dyDescent="0.5">
      <c r="A79" s="850" t="s">
        <v>225</v>
      </c>
      <c r="B79" s="836"/>
      <c r="C79" s="837"/>
      <c r="D79" s="151"/>
      <c r="E79" s="95">
        <f>'17'!F79</f>
        <v>0</v>
      </c>
      <c r="F79" s="123">
        <v>0</v>
      </c>
      <c r="G79" s="614">
        <f>G15-SUM(G74:G78)</f>
        <v>717.93399999995927</v>
      </c>
      <c r="H79" s="99">
        <f>G79+'17'!H79</f>
        <v>11881.584999999928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06" t="s">
        <v>329</v>
      </c>
      <c r="B80" s="807"/>
      <c r="C80" s="808"/>
      <c r="D80" s="151"/>
      <c r="E80" s="117"/>
      <c r="F80" s="117"/>
      <c r="G80" s="614">
        <f>SUM(G74:G79)</f>
        <v>1215.2839999999851</v>
      </c>
      <c r="H80" s="99">
        <f>G80+'17'!H80</f>
        <v>1215.2839999999851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842" t="s">
        <v>226</v>
      </c>
      <c r="B81" s="843"/>
      <c r="C81" s="844"/>
      <c r="D81" s="110"/>
      <c r="E81" s="110"/>
      <c r="F81" s="110"/>
      <c r="G81" s="628"/>
      <c r="H81" s="163"/>
      <c r="I81" s="163"/>
      <c r="J81" s="184"/>
      <c r="O81" s="71"/>
    </row>
    <row r="82" spans="1:15" ht="27.75" customHeight="1" x14ac:dyDescent="0.5">
      <c r="A82" s="347" t="s">
        <v>227</v>
      </c>
      <c r="B82" s="348"/>
      <c r="C82" s="348"/>
      <c r="D82" s="151" t="s">
        <v>228</v>
      </c>
      <c r="E82" s="95">
        <f>'17'!F82</f>
        <v>0</v>
      </c>
      <c r="F82" s="122">
        <v>0</v>
      </c>
      <c r="G82" s="614">
        <f t="shared" ref="G82:G92" si="8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7" t="s">
        <v>229</v>
      </c>
      <c r="B83" s="348"/>
      <c r="C83" s="348"/>
      <c r="D83" s="151" t="s">
        <v>228</v>
      </c>
      <c r="E83" s="95">
        <f>'17'!F83</f>
        <v>0</v>
      </c>
      <c r="F83" s="122">
        <v>0</v>
      </c>
      <c r="G83" s="614">
        <f t="shared" si="8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7" t="s">
        <v>230</v>
      </c>
      <c r="B84" s="348"/>
      <c r="C84" s="348"/>
      <c r="D84" s="151" t="s">
        <v>228</v>
      </c>
      <c r="E84" s="95">
        <f>'17'!F84</f>
        <v>41675.26</v>
      </c>
      <c r="F84" s="164">
        <v>41675.199999999997</v>
      </c>
      <c r="G84" s="614">
        <f>F84-E84</f>
        <v>-6.0000000004947651E-2</v>
      </c>
      <c r="H84" s="99">
        <f>G84+'17'!H84</f>
        <v>46.639999999999418</v>
      </c>
      <c r="I84" s="118"/>
      <c r="J84" s="175">
        <f>H84/DAY(B2)</f>
        <v>2.5911111111110787</v>
      </c>
      <c r="O84" s="71"/>
    </row>
    <row r="85" spans="1:15" ht="27.75" customHeight="1" x14ac:dyDescent="0.5">
      <c r="A85" s="347" t="s">
        <v>231</v>
      </c>
      <c r="B85" s="348"/>
      <c r="C85" s="348"/>
      <c r="D85" s="151" t="s">
        <v>228</v>
      </c>
      <c r="E85" s="95">
        <f>'17'!F85</f>
        <v>1796.11</v>
      </c>
      <c r="F85" s="164">
        <v>1820</v>
      </c>
      <c r="G85" s="614">
        <f t="shared" si="8"/>
        <v>23.8900000000001</v>
      </c>
      <c r="H85" s="99">
        <f>G85+'17'!H85</f>
        <v>316.44000000000005</v>
      </c>
      <c r="I85" s="118">
        <f>G82+G83+G84+G85</f>
        <v>23.829999999995152</v>
      </c>
      <c r="J85" s="175">
        <f>H85/DAY(B2)</f>
        <v>17.580000000000002</v>
      </c>
      <c r="O85" s="71"/>
    </row>
    <row r="86" spans="1:15" ht="27.75" customHeight="1" x14ac:dyDescent="0.5">
      <c r="A86" s="347" t="s">
        <v>232</v>
      </c>
      <c r="B86" s="348"/>
      <c r="C86" s="348"/>
      <c r="D86" s="151" t="s">
        <v>228</v>
      </c>
      <c r="E86" s="95">
        <f>'17'!F86</f>
        <v>42826.47</v>
      </c>
      <c r="F86" s="164">
        <v>42826.47</v>
      </c>
      <c r="G86" s="614">
        <f t="shared" si="8"/>
        <v>0</v>
      </c>
      <c r="H86" s="99">
        <f>G86+'17'!H86</f>
        <v>0.47000000000116415</v>
      </c>
      <c r="I86" s="118"/>
      <c r="J86" s="175">
        <f>H86/DAY(B2)</f>
        <v>2.6111111111175787E-2</v>
      </c>
      <c r="O86" s="71"/>
    </row>
    <row r="87" spans="1:15" ht="27.75" customHeight="1" x14ac:dyDescent="0.5">
      <c r="A87" s="347" t="s">
        <v>233</v>
      </c>
      <c r="B87" s="348"/>
      <c r="C87" s="348"/>
      <c r="D87" s="151" t="s">
        <v>228</v>
      </c>
      <c r="E87" s="95">
        <f>'17'!F87</f>
        <v>34593.22</v>
      </c>
      <c r="F87" s="164">
        <v>34596.400000000001</v>
      </c>
      <c r="G87" s="614">
        <f t="shared" si="8"/>
        <v>3.180000000000291</v>
      </c>
      <c r="H87" s="99">
        <f>G87+'17'!H87</f>
        <v>176</v>
      </c>
      <c r="I87" s="118"/>
      <c r="J87" s="175">
        <f>H87/DAY(B2)</f>
        <v>9.7777777777777786</v>
      </c>
      <c r="O87" s="71"/>
    </row>
    <row r="88" spans="1:15" ht="27.75" customHeight="1" x14ac:dyDescent="0.5">
      <c r="A88" s="347" t="s">
        <v>234</v>
      </c>
      <c r="B88" s="348"/>
      <c r="C88" s="348"/>
      <c r="D88" s="151" t="s">
        <v>228</v>
      </c>
      <c r="E88" s="95">
        <f>'17'!F88</f>
        <v>24005.53</v>
      </c>
      <c r="F88" s="164">
        <v>24005.53</v>
      </c>
      <c r="G88" s="614">
        <f t="shared" si="8"/>
        <v>0</v>
      </c>
      <c r="H88" s="99">
        <f>G88+'17'!H88</f>
        <v>53.039999999997235</v>
      </c>
      <c r="I88" s="118">
        <f>G86+G87+G88</f>
        <v>3.180000000000291</v>
      </c>
      <c r="J88" s="175">
        <f>H88/DAY(B2)</f>
        <v>2.9466666666665131</v>
      </c>
      <c r="O88" s="71"/>
    </row>
    <row r="89" spans="1:15" ht="27.75" customHeight="1" x14ac:dyDescent="0.5">
      <c r="A89" s="347" t="s">
        <v>235</v>
      </c>
      <c r="B89" s="348"/>
      <c r="C89" s="348"/>
      <c r="D89" s="151" t="s">
        <v>228</v>
      </c>
      <c r="E89" s="95">
        <f>'17'!F89</f>
        <v>25561.57</v>
      </c>
      <c r="F89" s="164">
        <v>25574.16</v>
      </c>
      <c r="G89" s="614">
        <f t="shared" si="8"/>
        <v>12.590000000000146</v>
      </c>
      <c r="H89" s="99">
        <f>G89+'17'!H89</f>
        <v>146.66999999999825</v>
      </c>
      <c r="I89" s="118"/>
      <c r="J89" s="175">
        <f>H89/DAY(B2)</f>
        <v>8.1483333333332357</v>
      </c>
      <c r="O89" s="71"/>
    </row>
    <row r="90" spans="1:15" ht="27.75" customHeight="1" x14ac:dyDescent="0.5">
      <c r="A90" s="347" t="s">
        <v>236</v>
      </c>
      <c r="B90" s="348"/>
      <c r="C90" s="348"/>
      <c r="D90" s="151" t="s">
        <v>228</v>
      </c>
      <c r="E90" s="95">
        <f>'17'!F90</f>
        <v>70949.98</v>
      </c>
      <c r="F90" s="164">
        <v>70956.27</v>
      </c>
      <c r="G90" s="614">
        <f t="shared" si="8"/>
        <v>6.2900000000081491</v>
      </c>
      <c r="H90" s="99">
        <f>G90+'17'!H90</f>
        <v>128</v>
      </c>
      <c r="I90" s="118">
        <f>G89+G90</f>
        <v>18.880000000008295</v>
      </c>
      <c r="J90" s="175">
        <f>H90/DAY(B2)</f>
        <v>7.1111111111111107</v>
      </c>
      <c r="O90" s="71"/>
    </row>
    <row r="91" spans="1:15" ht="27.75" customHeight="1" x14ac:dyDescent="0.5">
      <c r="A91" s="347" t="s">
        <v>237</v>
      </c>
      <c r="B91" s="348"/>
      <c r="C91" s="348"/>
      <c r="D91" s="151" t="s">
        <v>228</v>
      </c>
      <c r="E91" s="95">
        <f>'17'!F91</f>
        <v>3226.32</v>
      </c>
      <c r="F91" s="122">
        <v>3226.32</v>
      </c>
      <c r="G91" s="614">
        <f t="shared" si="8"/>
        <v>0</v>
      </c>
      <c r="H91" s="99">
        <f>G91+'17'!H91</f>
        <v>0.32000000000016371</v>
      </c>
      <c r="I91" s="165"/>
      <c r="J91" s="175">
        <f>H91/DAY(B2)</f>
        <v>1.7777777777786871E-2</v>
      </c>
      <c r="O91" s="71"/>
    </row>
    <row r="92" spans="1:15" ht="27.75" customHeight="1" x14ac:dyDescent="0.5">
      <c r="A92" s="347" t="s">
        <v>238</v>
      </c>
      <c r="B92" s="348"/>
      <c r="C92" s="348"/>
      <c r="D92" s="151" t="s">
        <v>228</v>
      </c>
      <c r="E92" s="95">
        <f>'17'!F92</f>
        <v>5284.56</v>
      </c>
      <c r="F92" s="122">
        <v>5295.27</v>
      </c>
      <c r="G92" s="614">
        <f t="shared" si="8"/>
        <v>10.710000000000036</v>
      </c>
      <c r="H92" s="99">
        <f>G92+'17'!H92</f>
        <v>199.3700000000008</v>
      </c>
      <c r="I92" s="165"/>
      <c r="J92" s="175">
        <f>H92/DAY(B2)</f>
        <v>11.076111111111155</v>
      </c>
      <c r="O92" s="71"/>
    </row>
    <row r="93" spans="1:15" ht="27.75" customHeight="1" x14ac:dyDescent="0.5">
      <c r="A93" s="851" t="s">
        <v>239</v>
      </c>
      <c r="B93" s="852"/>
      <c r="C93" s="853"/>
      <c r="D93" s="111"/>
      <c r="E93" s="111"/>
      <c r="F93" s="111"/>
      <c r="G93" s="617"/>
      <c r="H93" s="121"/>
      <c r="I93" s="121"/>
      <c r="J93" s="183"/>
      <c r="K93" s="69"/>
      <c r="L93" s="66"/>
      <c r="O93" s="71"/>
    </row>
    <row r="94" spans="1:15" ht="27.75" customHeight="1" x14ac:dyDescent="0.5">
      <c r="A94" s="809" t="s">
        <v>240</v>
      </c>
      <c r="B94" s="810"/>
      <c r="C94" s="811"/>
      <c r="D94" s="151" t="s">
        <v>130</v>
      </c>
      <c r="E94" s="151"/>
      <c r="F94" s="151"/>
      <c r="G94" s="629">
        <f>G35+G43+G49+G57</f>
        <v>6167.9100000000017</v>
      </c>
      <c r="H94" s="99">
        <f>G94+'17'!H94</f>
        <v>117174.7699999999</v>
      </c>
      <c r="I94" s="118"/>
      <c r="J94" s="175">
        <f>H94/DAY(B2)</f>
        <v>6509.7094444444392</v>
      </c>
      <c r="K94" s="69"/>
      <c r="L94" s="66"/>
      <c r="O94" s="71"/>
    </row>
    <row r="95" spans="1:15" ht="27.75" customHeight="1" x14ac:dyDescent="0.5">
      <c r="A95" s="809" t="s">
        <v>241</v>
      </c>
      <c r="B95" s="810"/>
      <c r="C95" s="811"/>
      <c r="D95" s="151" t="s">
        <v>23</v>
      </c>
      <c r="E95" s="146"/>
      <c r="F95" s="146"/>
      <c r="G95" s="630">
        <f>G94/G7</f>
        <v>0.27024086751738874</v>
      </c>
      <c r="H95" s="99">
        <f>G95+'17'!H95</f>
        <v>4.9967220692669176</v>
      </c>
      <c r="I95" s="167"/>
      <c r="J95" s="175">
        <f>H95/DAY(B2)</f>
        <v>0.27759567051482875</v>
      </c>
      <c r="K95" s="69"/>
      <c r="L95" s="66"/>
      <c r="O95" s="71"/>
    </row>
    <row r="96" spans="1:15" ht="27.75" customHeight="1" x14ac:dyDescent="0.5">
      <c r="A96" s="809" t="s">
        <v>242</v>
      </c>
      <c r="B96" s="810"/>
      <c r="C96" s="811"/>
      <c r="D96" s="151" t="s">
        <v>130</v>
      </c>
      <c r="E96" s="95"/>
      <c r="F96" s="95"/>
      <c r="G96" s="629">
        <f>G41+G42+G55+G56</f>
        <v>5311.51</v>
      </c>
      <c r="H96" s="99">
        <f>G96+'17'!H96</f>
        <v>101024.60000000002</v>
      </c>
      <c r="I96" s="118"/>
      <c r="J96" s="175">
        <f>H96/DAY(B2)</f>
        <v>5612.477777777779</v>
      </c>
      <c r="K96" s="69"/>
      <c r="L96" s="66"/>
      <c r="O96" s="71"/>
    </row>
    <row r="97" spans="1:15" ht="27.75" customHeight="1" x14ac:dyDescent="0.5">
      <c r="A97" s="809" t="s">
        <v>243</v>
      </c>
      <c r="B97" s="810"/>
      <c r="C97" s="811"/>
      <c r="D97" s="151" t="s">
        <v>23</v>
      </c>
      <c r="E97" s="95"/>
      <c r="F97" s="95"/>
      <c r="G97" s="630">
        <f>G96/G7</f>
        <v>0.23271854975628459</v>
      </c>
      <c r="H97" s="99">
        <f>G97+'17'!H97</f>
        <v>4.2961886705649155</v>
      </c>
      <c r="I97" s="167"/>
      <c r="J97" s="175">
        <f>H97/DAY(B2)</f>
        <v>0.23867714836471754</v>
      </c>
      <c r="K97" s="69"/>
      <c r="L97" s="66"/>
      <c r="O97" s="71"/>
    </row>
    <row r="98" spans="1:15" ht="27.75" customHeight="1" x14ac:dyDescent="0.5">
      <c r="A98" s="809" t="s">
        <v>244</v>
      </c>
      <c r="B98" s="810"/>
      <c r="C98" s="811"/>
      <c r="D98" s="151" t="s">
        <v>130</v>
      </c>
      <c r="E98" s="95"/>
      <c r="F98" s="95"/>
      <c r="G98" s="629">
        <f>G39+G53</f>
        <v>2894.0400000000373</v>
      </c>
      <c r="H98" s="99">
        <f>G98+'17'!H98</f>
        <v>53035.100000000035</v>
      </c>
      <c r="I98" s="168"/>
      <c r="J98" s="175">
        <f>H98/DAY(B2)</f>
        <v>2946.3944444444464</v>
      </c>
      <c r="K98" s="69"/>
      <c r="L98" s="66"/>
      <c r="O98" s="71"/>
    </row>
    <row r="99" spans="1:15" ht="27.75" customHeight="1" x14ac:dyDescent="0.5">
      <c r="A99" s="809" t="s">
        <v>245</v>
      </c>
      <c r="B99" s="810"/>
      <c r="C99" s="811"/>
      <c r="D99" s="151" t="s">
        <v>23</v>
      </c>
      <c r="E99" s="95"/>
      <c r="F99" s="95"/>
      <c r="G99" s="630">
        <f>G98/G7</f>
        <v>0.12679949613889205</v>
      </c>
      <c r="H99" s="99">
        <f>G99+'17'!H99</f>
        <v>2.2631830688127237</v>
      </c>
      <c r="I99" s="168"/>
      <c r="J99" s="175">
        <f>H99/DAY(B2)</f>
        <v>0.12573239271181799</v>
      </c>
      <c r="O99" s="71"/>
    </row>
    <row r="100" spans="1:15" ht="27.75" customHeight="1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629">
        <f>G38+G52</f>
        <v>2082.2200000000012</v>
      </c>
      <c r="H100" s="99">
        <f>G100+'17'!H100</f>
        <v>36323.94</v>
      </c>
      <c r="I100" s="118"/>
      <c r="J100" s="175">
        <f>H100/DAY(B2)</f>
        <v>2017.9966666666669</v>
      </c>
      <c r="K100" s="70"/>
      <c r="O100" s="71"/>
    </row>
    <row r="101" spans="1:15" ht="27.75" customHeight="1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630">
        <f>G100/G7</f>
        <v>9.1230406922613555E-2</v>
      </c>
      <c r="H101" s="99">
        <f>G101+'17'!H101</f>
        <v>1.5496163357443644</v>
      </c>
      <c r="I101" s="168"/>
      <c r="J101" s="175">
        <f>H101/DAY(B2)</f>
        <v>8.6089796430242463E-2</v>
      </c>
      <c r="O101" s="71"/>
    </row>
    <row r="102" spans="1:15" ht="27.75" customHeight="1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629">
        <f>G36+G50</f>
        <v>2676.4699999999993</v>
      </c>
      <c r="H102" s="99">
        <f>G102+'17'!H102</f>
        <v>44474.350000000057</v>
      </c>
      <c r="I102" s="168"/>
      <c r="J102" s="175">
        <f>H102/DAY(B2)</f>
        <v>2470.7972222222252</v>
      </c>
      <c r="O102" s="71"/>
    </row>
    <row r="103" spans="1:15" ht="27.75" customHeight="1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630">
        <f>G102/G7</f>
        <v>0.11726688208554682</v>
      </c>
      <c r="H103" s="99">
        <f>G103+'17'!H103</f>
        <v>1.8964774270994604</v>
      </c>
      <c r="I103" s="118"/>
      <c r="J103" s="175">
        <f>H103/DAY(B2)</f>
        <v>0.10535985706108114</v>
      </c>
      <c r="O103" s="71"/>
    </row>
    <row r="104" spans="1:15" ht="27.75" customHeight="1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629">
        <f>G37+G51</f>
        <v>1564.6000000000058</v>
      </c>
      <c r="H104" s="99">
        <f>G104+'17'!H104</f>
        <v>29159.73000000001</v>
      </c>
      <c r="I104" s="118"/>
      <c r="J104" s="175">
        <f>H104/DAY(B2)</f>
        <v>1619.9850000000006</v>
      </c>
      <c r="O104" s="71"/>
    </row>
    <row r="105" spans="1:15" ht="27.75" customHeight="1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631">
        <f>G104/G7</f>
        <v>6.8551399309929609E-2</v>
      </c>
      <c r="H105" s="99">
        <f>G105+'17'!H105</f>
        <v>1.244497539312331</v>
      </c>
      <c r="I105" s="187"/>
      <c r="J105" s="188">
        <f>H105/DAY(B2)</f>
        <v>6.9138752184018382E-2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632"/>
      <c r="H106" s="170"/>
      <c r="I106" s="169"/>
      <c r="J106" s="171"/>
      <c r="O106" s="71"/>
    </row>
    <row r="108" spans="1:15" ht="27.75" customHeight="1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7.75" customHeight="1" x14ac:dyDescent="0.5">
      <c r="A109" s="845"/>
      <c r="B109" s="845"/>
    </row>
    <row r="110" spans="1:15" ht="27.75" customHeight="1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customHeight="1" x14ac:dyDescent="0.5">
      <c r="A111" s="864"/>
      <c r="B111" s="865"/>
      <c r="C111" s="866"/>
      <c r="D111" s="165"/>
      <c r="E111" s="165"/>
      <c r="F111" s="165"/>
      <c r="G111" s="634"/>
      <c r="H111" s="156"/>
      <c r="I111" s="165"/>
      <c r="J111" s="329"/>
    </row>
    <row r="112" spans="1:15" ht="27.75" customHeight="1" x14ac:dyDescent="0.5">
      <c r="A112" s="839" t="s">
        <v>252</v>
      </c>
      <c r="B112" s="840"/>
      <c r="C112" s="841"/>
      <c r="D112" s="146" t="s">
        <v>183</v>
      </c>
      <c r="E112" s="95">
        <f>'17'!F112</f>
        <v>54691.87</v>
      </c>
      <c r="F112" s="237">
        <v>54763.519999999997</v>
      </c>
      <c r="G112" s="614">
        <f t="shared" ref="G112:G123" si="9">F112-E112</f>
        <v>71.649999999994179</v>
      </c>
      <c r="H112" s="99">
        <f>G112+'17'!H112</f>
        <v>1411.5099999999948</v>
      </c>
      <c r="I112" s="165"/>
      <c r="J112" s="330">
        <f>H112/DAY(B2)</f>
        <v>78.417222222221937</v>
      </c>
    </row>
    <row r="113" spans="1:18" ht="27.75" customHeight="1" x14ac:dyDescent="0.5">
      <c r="A113" s="839" t="s">
        <v>253</v>
      </c>
      <c r="B113" s="840"/>
      <c r="C113" s="841"/>
      <c r="D113" s="146" t="s">
        <v>183</v>
      </c>
      <c r="E113" s="95">
        <f>'17'!F113</f>
        <v>25804.34</v>
      </c>
      <c r="F113" s="237">
        <v>26276.84</v>
      </c>
      <c r="G113" s="614">
        <f t="shared" si="9"/>
        <v>472.5</v>
      </c>
      <c r="H113" s="99">
        <f>G113+'17'!H113</f>
        <v>8320.3100000000013</v>
      </c>
      <c r="I113" s="165"/>
      <c r="J113" s="330">
        <f>H113/DAY(B2)</f>
        <v>462.23944444444453</v>
      </c>
    </row>
    <row r="114" spans="1:18" ht="27.75" customHeight="1" x14ac:dyDescent="0.5">
      <c r="A114" s="839" t="s">
        <v>254</v>
      </c>
      <c r="B114" s="840"/>
      <c r="C114" s="841"/>
      <c r="D114" s="146" t="s">
        <v>183</v>
      </c>
      <c r="E114" s="95">
        <f>'17'!F114</f>
        <v>20299.7</v>
      </c>
      <c r="F114" s="237">
        <v>20652.2</v>
      </c>
      <c r="G114" s="614">
        <f t="shared" si="9"/>
        <v>352.5</v>
      </c>
      <c r="H114" s="99">
        <f>G114+'17'!H114</f>
        <v>6567.9199999999983</v>
      </c>
      <c r="I114" s="165"/>
      <c r="J114" s="330">
        <f>H114/DAY(B2)</f>
        <v>364.88444444444434</v>
      </c>
    </row>
    <row r="115" spans="1:18" ht="27.75" customHeight="1" x14ac:dyDescent="0.5">
      <c r="A115" s="839" t="s">
        <v>255</v>
      </c>
      <c r="B115" s="840"/>
      <c r="C115" s="841"/>
      <c r="D115" s="146" t="s">
        <v>183</v>
      </c>
      <c r="E115" s="95">
        <f>'17'!F115</f>
        <v>8613.32</v>
      </c>
      <c r="F115" s="237">
        <v>8628.27</v>
      </c>
      <c r="G115" s="614">
        <f t="shared" si="9"/>
        <v>14.950000000000728</v>
      </c>
      <c r="H115" s="99">
        <f>G115+'17'!H115</f>
        <v>204.59000000000015</v>
      </c>
      <c r="I115" s="165"/>
      <c r="J115" s="330">
        <f>H115/DAY(B2)</f>
        <v>11.366111111111119</v>
      </c>
    </row>
    <row r="116" spans="1:18" ht="27.75" customHeight="1" x14ac:dyDescent="0.5">
      <c r="A116" s="857" t="s">
        <v>96</v>
      </c>
      <c r="B116" s="858"/>
      <c r="C116" s="859"/>
      <c r="D116" s="146" t="s">
        <v>183</v>
      </c>
      <c r="E116" s="95">
        <f>'17'!F116</f>
        <v>0</v>
      </c>
      <c r="F116" s="237">
        <v>0</v>
      </c>
      <c r="G116" s="614">
        <f t="shared" si="9"/>
        <v>0</v>
      </c>
      <c r="H116" s="99">
        <f>G116+'17'!H116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27.75" customHeight="1" x14ac:dyDescent="0.5">
      <c r="A117" s="857" t="s">
        <v>184</v>
      </c>
      <c r="B117" s="858"/>
      <c r="C117" s="859"/>
      <c r="D117" s="146" t="s">
        <v>183</v>
      </c>
      <c r="E117" s="95">
        <f>'17'!F117</f>
        <v>2278.9299999999998</v>
      </c>
      <c r="F117" s="237">
        <v>2296.92</v>
      </c>
      <c r="G117" s="614">
        <f t="shared" si="9"/>
        <v>17.990000000000236</v>
      </c>
      <c r="H117" s="99">
        <f>G117+'17'!H117</f>
        <v>355.84000000000015</v>
      </c>
      <c r="I117" s="165"/>
      <c r="J117" s="330">
        <f>H117/DAY(B2)</f>
        <v>19.768888888888895</v>
      </c>
      <c r="Q117" s="839" t="s">
        <v>312</v>
      </c>
      <c r="R117" s="841"/>
    </row>
    <row r="118" spans="1:18" ht="27.75" customHeight="1" x14ac:dyDescent="0.5">
      <c r="A118" s="834" t="s">
        <v>97</v>
      </c>
      <c r="B118" s="834"/>
      <c r="C118" s="834"/>
      <c r="D118" s="151" t="s">
        <v>183</v>
      </c>
      <c r="E118" s="95">
        <f>'17'!F118</f>
        <v>236268.23</v>
      </c>
      <c r="F118" s="237">
        <v>236613.79</v>
      </c>
      <c r="G118" s="614">
        <f t="shared" si="9"/>
        <v>345.55999999999767</v>
      </c>
      <c r="H118" s="99">
        <f>G118+'17'!H118</f>
        <v>6776.0599999999977</v>
      </c>
      <c r="I118" s="165"/>
      <c r="J118" s="330">
        <f>H118/DAY(B2)</f>
        <v>376.44777777777767</v>
      </c>
      <c r="Q118" s="839" t="s">
        <v>311</v>
      </c>
      <c r="R118" s="841"/>
    </row>
    <row r="119" spans="1:18" ht="27.75" customHeight="1" x14ac:dyDescent="0.5">
      <c r="A119" s="834" t="s">
        <v>98</v>
      </c>
      <c r="B119" s="834"/>
      <c r="C119" s="834"/>
      <c r="D119" s="151" t="s">
        <v>183</v>
      </c>
      <c r="E119" s="95">
        <f>'17'!F119</f>
        <v>239153.21</v>
      </c>
      <c r="F119" s="237">
        <v>239589.73</v>
      </c>
      <c r="G119" s="614">
        <f t="shared" si="9"/>
        <v>436.52000000001863</v>
      </c>
      <c r="H119" s="99">
        <f>G119+'17'!H119</f>
        <v>7863.2000000000116</v>
      </c>
      <c r="I119" s="165"/>
      <c r="J119" s="330">
        <f>H119/DAY(B2)</f>
        <v>436.84444444444512</v>
      </c>
    </row>
    <row r="120" spans="1:18" ht="27.75" customHeight="1" x14ac:dyDescent="0.5">
      <c r="A120" s="834" t="s">
        <v>99</v>
      </c>
      <c r="B120" s="834"/>
      <c r="C120" s="834"/>
      <c r="D120" s="151" t="s">
        <v>183</v>
      </c>
      <c r="E120" s="95">
        <f>'17'!F120</f>
        <v>24250.12</v>
      </c>
      <c r="F120" s="237">
        <v>24657.47</v>
      </c>
      <c r="G120" s="614">
        <f t="shared" si="9"/>
        <v>407.35000000000218</v>
      </c>
      <c r="H120" s="99">
        <f>G120+'17'!H120</f>
        <v>7472.1500000000015</v>
      </c>
      <c r="I120" s="165"/>
      <c r="J120" s="330">
        <f>H120/DAY(B2)</f>
        <v>415.11944444444453</v>
      </c>
    </row>
    <row r="121" spans="1:18" ht="27.75" customHeight="1" x14ac:dyDescent="0.5">
      <c r="A121" s="834" t="s">
        <v>100</v>
      </c>
      <c r="B121" s="834"/>
      <c r="C121" s="834"/>
      <c r="D121" s="151" t="s">
        <v>183</v>
      </c>
      <c r="E121" s="95">
        <f>'17'!F121</f>
        <v>365634.35</v>
      </c>
      <c r="F121" s="237">
        <v>366372.37</v>
      </c>
      <c r="G121" s="614">
        <f t="shared" si="9"/>
        <v>738.02000000001863</v>
      </c>
      <c r="H121" s="99">
        <f>G121+'17'!H121</f>
        <v>13318.140000000014</v>
      </c>
      <c r="I121" s="165"/>
      <c r="J121" s="330">
        <f>H121/DAY(B2)</f>
        <v>739.89666666666744</v>
      </c>
    </row>
    <row r="122" spans="1:18" ht="27.75" customHeight="1" x14ac:dyDescent="0.5">
      <c r="A122" s="834" t="s">
        <v>101</v>
      </c>
      <c r="B122" s="834"/>
      <c r="C122" s="834"/>
      <c r="D122" s="151" t="s">
        <v>183</v>
      </c>
      <c r="E122" s="95">
        <f>'17'!F122</f>
        <v>116628.09</v>
      </c>
      <c r="F122" s="237">
        <v>116984.31</v>
      </c>
      <c r="G122" s="614">
        <f t="shared" si="9"/>
        <v>356.22000000000116</v>
      </c>
      <c r="H122" s="99">
        <f>G122+'17'!H122</f>
        <v>5974.5200000000041</v>
      </c>
      <c r="I122" s="165"/>
      <c r="J122" s="330">
        <f>H122/DAY(B2)</f>
        <v>331.91777777777799</v>
      </c>
    </row>
    <row r="123" spans="1:18" ht="27.75" customHeight="1" x14ac:dyDescent="0.5">
      <c r="A123" s="834" t="s">
        <v>102</v>
      </c>
      <c r="B123" s="834"/>
      <c r="C123" s="834"/>
      <c r="D123" s="151" t="s">
        <v>183</v>
      </c>
      <c r="E123" s="95">
        <f>'17'!F123</f>
        <v>140128.64000000001</v>
      </c>
      <c r="F123" s="237">
        <v>140514.25399999999</v>
      </c>
      <c r="G123" s="614">
        <f t="shared" si="9"/>
        <v>385.61399999997229</v>
      </c>
      <c r="H123" s="99">
        <f>G123+'17'!H123</f>
        <v>6148.2539999999863</v>
      </c>
      <c r="I123" s="165"/>
      <c r="J123" s="330">
        <f>H123/DAY(B2)</f>
        <v>341.56966666666591</v>
      </c>
    </row>
    <row r="124" spans="1:18" ht="27.75" customHeight="1" x14ac:dyDescent="0.5">
      <c r="A124" s="864"/>
      <c r="B124" s="865"/>
      <c r="C124" s="866"/>
      <c r="D124" s="165"/>
      <c r="E124" s="95">
        <f>'17'!F124</f>
        <v>0</v>
      </c>
      <c r="F124" s="165"/>
      <c r="G124" s="634"/>
      <c r="H124" s="99">
        <f>G124+'17'!H124</f>
        <v>0</v>
      </c>
      <c r="I124" s="165"/>
      <c r="J124" s="329"/>
    </row>
    <row r="125" spans="1:18" ht="27.75" customHeight="1" x14ac:dyDescent="0.5">
      <c r="A125" s="867" t="s">
        <v>196</v>
      </c>
      <c r="B125" s="868"/>
      <c r="C125" s="245"/>
      <c r="D125" s="307"/>
      <c r="E125" s="308"/>
      <c r="F125" s="308"/>
      <c r="G125" s="635">
        <f>SUM(G112:G124)</f>
        <v>3598.8740000000057</v>
      </c>
      <c r="H125" s="156"/>
      <c r="I125" s="329">
        <f>G125-(G39+G53)</f>
        <v>704.83399999996846</v>
      </c>
      <c r="J125" s="329"/>
    </row>
    <row r="126" spans="1:18" ht="27.75" customHeight="1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customHeight="1" x14ac:dyDescent="0.5">
      <c r="A127" s="870"/>
      <c r="B127" s="870"/>
      <c r="C127" s="245"/>
      <c r="D127" s="307"/>
      <c r="E127" s="308"/>
      <c r="F127" s="308"/>
      <c r="G127" s="635"/>
      <c r="H127" s="99">
        <f>G127+'17'!H127</f>
        <v>0</v>
      </c>
      <c r="I127" s="165"/>
      <c r="J127" s="330">
        <f>H127/DAY(B2)</f>
        <v>0</v>
      </c>
    </row>
    <row r="128" spans="1:18" ht="27.75" customHeight="1" x14ac:dyDescent="0.5">
      <c r="A128" s="839" t="s">
        <v>318</v>
      </c>
      <c r="B128" s="840"/>
      <c r="C128" s="841"/>
      <c r="D128" s="151" t="s">
        <v>183</v>
      </c>
      <c r="E128" s="95">
        <f>'17'!F128</f>
        <v>33358.99</v>
      </c>
      <c r="F128" s="165">
        <v>33686.199999999997</v>
      </c>
      <c r="G128" s="614">
        <f t="shared" ref="G128:G134" si="10">F128-E128</f>
        <v>327.20999999999913</v>
      </c>
      <c r="H128" s="99">
        <f>G128+'17'!H128</f>
        <v>6081.8299999999981</v>
      </c>
      <c r="I128" s="165"/>
      <c r="J128" s="330">
        <f>H128/DAY(B2)</f>
        <v>337.87944444444435</v>
      </c>
    </row>
    <row r="129" spans="1:15" ht="27.75" customHeight="1" x14ac:dyDescent="0.5">
      <c r="A129" s="331" t="s">
        <v>319</v>
      </c>
      <c r="B129" s="332"/>
      <c r="C129" s="333"/>
      <c r="D129" s="151" t="s">
        <v>183</v>
      </c>
      <c r="E129" s="95">
        <f>'17'!F129</f>
        <v>17258.54</v>
      </c>
      <c r="F129" s="165">
        <v>17536.16</v>
      </c>
      <c r="G129" s="614">
        <f t="shared" si="10"/>
        <v>277.61999999999898</v>
      </c>
      <c r="H129" s="99">
        <f>G129+'17'!H129</f>
        <v>4788.57</v>
      </c>
      <c r="I129" s="165"/>
      <c r="J129" s="330">
        <f>H129/DAY(B2)</f>
        <v>266.03166666666664</v>
      </c>
      <c r="N129" s="240"/>
      <c r="O129" s="241"/>
    </row>
    <row r="130" spans="1:15" ht="27.75" customHeight="1" x14ac:dyDescent="0.5">
      <c r="A130" s="331" t="s">
        <v>320</v>
      </c>
      <c r="B130" s="332"/>
      <c r="C130" s="333"/>
      <c r="D130" s="151" t="s">
        <v>183</v>
      </c>
      <c r="E130" s="95">
        <f>'17'!F130</f>
        <v>7737.46</v>
      </c>
      <c r="F130" s="165">
        <v>8500.81</v>
      </c>
      <c r="G130" s="614">
        <f t="shared" si="10"/>
        <v>763.34999999999945</v>
      </c>
      <c r="H130" s="99">
        <f>G130+'17'!H130</f>
        <v>6443.6999999999989</v>
      </c>
      <c r="I130" s="165"/>
      <c r="J130" s="330">
        <f>H130/DAY(B2)</f>
        <v>357.98333333333329</v>
      </c>
      <c r="N130" s="240"/>
      <c r="O130" s="241"/>
    </row>
    <row r="131" spans="1:15" ht="27.75" customHeight="1" x14ac:dyDescent="0.5">
      <c r="A131" s="839" t="s">
        <v>321</v>
      </c>
      <c r="B131" s="840"/>
      <c r="C131" s="841"/>
      <c r="D131" s="151" t="s">
        <v>183</v>
      </c>
      <c r="E131" s="95">
        <f>'17'!F131</f>
        <v>11816.86</v>
      </c>
      <c r="F131" s="165">
        <v>11899.82</v>
      </c>
      <c r="G131" s="614">
        <f t="shared" si="10"/>
        <v>82.959999999999127</v>
      </c>
      <c r="H131" s="99">
        <f>G131+'17'!H131</f>
        <v>2730.4699999999993</v>
      </c>
      <c r="I131" s="165"/>
      <c r="J131" s="330">
        <f>H131/DAY(B2)</f>
        <v>151.69277777777774</v>
      </c>
      <c r="N131" s="240"/>
      <c r="O131" s="241"/>
    </row>
    <row r="132" spans="1:15" ht="27.75" customHeight="1" x14ac:dyDescent="0.5">
      <c r="A132" s="839" t="s">
        <v>322</v>
      </c>
      <c r="B132" s="840"/>
      <c r="C132" s="841"/>
      <c r="D132" s="151" t="s">
        <v>183</v>
      </c>
      <c r="E132" s="95">
        <f>'17'!F132</f>
        <v>14.1</v>
      </c>
      <c r="F132" s="165">
        <v>160.80000000000001</v>
      </c>
      <c r="G132" s="614">
        <f t="shared" si="10"/>
        <v>146.70000000000002</v>
      </c>
      <c r="H132" s="99">
        <f>G132+'17'!H132</f>
        <v>7557.0699999999988</v>
      </c>
      <c r="I132" s="165"/>
      <c r="J132" s="330">
        <f>H132/DAY(B2)</f>
        <v>419.83722222222218</v>
      </c>
    </row>
    <row r="133" spans="1:15" ht="27.75" customHeight="1" x14ac:dyDescent="0.5">
      <c r="A133" s="839" t="s">
        <v>363</v>
      </c>
      <c r="B133" s="840"/>
      <c r="C133" s="841"/>
      <c r="D133" s="151" t="s">
        <v>183</v>
      </c>
      <c r="E133" s="95">
        <f>'17'!F133</f>
        <v>77832.61</v>
      </c>
      <c r="F133" s="165">
        <v>78665.48</v>
      </c>
      <c r="G133" s="614">
        <f t="shared" si="10"/>
        <v>832.86999999999534</v>
      </c>
      <c r="H133" s="99">
        <f>G133+'17'!H133</f>
        <v>15191.059999999998</v>
      </c>
      <c r="I133" s="165"/>
      <c r="J133" s="330">
        <f>H133/DAY(B2)</f>
        <v>843.94777777777767</v>
      </c>
    </row>
    <row r="134" spans="1:15" ht="27.75" customHeight="1" x14ac:dyDescent="0.5">
      <c r="A134" s="839" t="s">
        <v>340</v>
      </c>
      <c r="B134" s="840"/>
      <c r="C134" s="841"/>
      <c r="D134" s="151" t="s">
        <v>183</v>
      </c>
      <c r="E134" s="95">
        <f>'17'!F134</f>
        <v>661824</v>
      </c>
      <c r="F134" s="158">
        <v>662384</v>
      </c>
      <c r="G134" s="614">
        <f t="shared" si="10"/>
        <v>560</v>
      </c>
      <c r="H134" s="99">
        <f>G134+'17'!H134</f>
        <v>11177</v>
      </c>
      <c r="I134" s="165"/>
      <c r="J134" s="330">
        <f>H134/DAY(B2)</f>
        <v>620.94444444444446</v>
      </c>
    </row>
    <row r="135" spans="1:15" ht="27.75" customHeight="1" x14ac:dyDescent="0.5">
      <c r="A135" s="867" t="s">
        <v>196</v>
      </c>
      <c r="B135" s="868"/>
      <c r="C135" s="333"/>
      <c r="D135" s="151"/>
      <c r="E135" s="95"/>
      <c r="F135" s="165"/>
      <c r="G135" s="614">
        <f>SUM(G128:G134)</f>
        <v>2990.7099999999919</v>
      </c>
      <c r="H135" s="99">
        <f>G135+'10'!H135</f>
        <v>32522.62999999999</v>
      </c>
      <c r="I135" s="329">
        <f>G135-(G35+G49)</f>
        <v>-389.26000000000931</v>
      </c>
      <c r="J135" s="330"/>
    </row>
    <row r="136" spans="1:15" ht="27.75" customHeight="1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634"/>
      <c r="H137" s="156"/>
      <c r="I137" s="165"/>
      <c r="J137" s="329"/>
    </row>
    <row r="138" spans="1:15" ht="27.75" customHeight="1" x14ac:dyDescent="0.5">
      <c r="A138" s="834" t="s">
        <v>185</v>
      </c>
      <c r="B138" s="834"/>
      <c r="C138" s="834"/>
      <c r="D138" s="151" t="s">
        <v>183</v>
      </c>
      <c r="E138" s="95">
        <f>'17'!F138</f>
        <v>862586</v>
      </c>
      <c r="F138" s="147">
        <v>862719</v>
      </c>
      <c r="G138" s="614">
        <f t="shared" ref="G138:G152" si="11">F138-E138</f>
        <v>133</v>
      </c>
      <c r="H138" s="99">
        <f>G138+'17'!H138</f>
        <v>1457</v>
      </c>
      <c r="I138" s="118"/>
      <c r="J138" s="330">
        <f>H138/DAY(B2)</f>
        <v>80.944444444444443</v>
      </c>
    </row>
    <row r="139" spans="1:15" ht="27.75" customHeight="1" x14ac:dyDescent="0.5">
      <c r="A139" s="834" t="s">
        <v>186</v>
      </c>
      <c r="B139" s="834"/>
      <c r="C139" s="834"/>
      <c r="D139" s="151" t="s">
        <v>183</v>
      </c>
      <c r="E139" s="95">
        <f>'17'!F139</f>
        <v>886416</v>
      </c>
      <c r="F139" s="148">
        <v>886440</v>
      </c>
      <c r="G139" s="614">
        <f t="shared" si="11"/>
        <v>24</v>
      </c>
      <c r="H139" s="99">
        <f>G139+'17'!H139</f>
        <v>241</v>
      </c>
      <c r="I139" s="118"/>
      <c r="J139" s="330">
        <f>H139/DAY(B2)</f>
        <v>13.388888888888889</v>
      </c>
    </row>
    <row r="140" spans="1:15" ht="27.75" customHeight="1" x14ac:dyDescent="0.5">
      <c r="A140" s="834" t="s">
        <v>187</v>
      </c>
      <c r="B140" s="834"/>
      <c r="C140" s="834"/>
      <c r="D140" s="151" t="s">
        <v>183</v>
      </c>
      <c r="E140" s="95">
        <f>'17'!F140</f>
        <v>88864</v>
      </c>
      <c r="F140" s="149">
        <v>88877.5</v>
      </c>
      <c r="G140" s="614">
        <f t="shared" si="11"/>
        <v>13.5</v>
      </c>
      <c r="H140" s="99">
        <f>G140+'17'!H140</f>
        <v>28.5</v>
      </c>
      <c r="I140" s="118"/>
      <c r="J140" s="330">
        <f>H140/DAY(B2)</f>
        <v>1.5833333333333333</v>
      </c>
    </row>
    <row r="141" spans="1:15" ht="27.75" customHeight="1" x14ac:dyDescent="0.5">
      <c r="A141" s="838" t="s">
        <v>188</v>
      </c>
      <c r="B141" s="838"/>
      <c r="C141" s="838"/>
      <c r="D141" s="151" t="s">
        <v>183</v>
      </c>
      <c r="E141" s="95">
        <f>'17'!F141</f>
        <v>46524.63</v>
      </c>
      <c r="F141" s="149">
        <v>46715.63</v>
      </c>
      <c r="G141" s="614">
        <f t="shared" si="11"/>
        <v>191</v>
      </c>
      <c r="H141" s="99">
        <f>G141+'17'!H141</f>
        <v>3588.8999999999942</v>
      </c>
      <c r="I141" s="118"/>
      <c r="J141" s="330">
        <f>H141/DAY(B2)</f>
        <v>199.38333333333301</v>
      </c>
    </row>
    <row r="142" spans="1:15" ht="27.75" customHeight="1" x14ac:dyDescent="0.5">
      <c r="A142" s="838" t="s">
        <v>189</v>
      </c>
      <c r="B142" s="838"/>
      <c r="C142" s="838"/>
      <c r="D142" s="151" t="s">
        <v>183</v>
      </c>
      <c r="E142" s="95">
        <f>'17'!F142</f>
        <v>17960.189999999999</v>
      </c>
      <c r="F142" s="148">
        <v>18031.2</v>
      </c>
      <c r="G142" s="614">
        <f t="shared" si="11"/>
        <v>71.010000000002037</v>
      </c>
      <c r="H142" s="99">
        <f>G142+'17'!H142</f>
        <v>570.70000000000073</v>
      </c>
      <c r="I142" s="140"/>
      <c r="J142" s="330">
        <f>H142/DAY(B2)</f>
        <v>31.705555555555595</v>
      </c>
    </row>
    <row r="143" spans="1:15" ht="27.75" customHeight="1" x14ac:dyDescent="0.5">
      <c r="A143" s="834" t="s">
        <v>91</v>
      </c>
      <c r="B143" s="834"/>
      <c r="C143" s="834"/>
      <c r="D143" s="151" t="s">
        <v>183</v>
      </c>
      <c r="E143" s="95">
        <f>'17'!F143</f>
        <v>2705.06</v>
      </c>
      <c r="F143" s="149">
        <v>2743.26</v>
      </c>
      <c r="G143" s="614">
        <f t="shared" si="11"/>
        <v>38.200000000000273</v>
      </c>
      <c r="H143" s="99">
        <f>G143+'17'!H143</f>
        <v>541.86000000000013</v>
      </c>
      <c r="I143" s="140"/>
      <c r="J143" s="330">
        <f>H143/DAY(B2)</f>
        <v>30.103333333333339</v>
      </c>
    </row>
    <row r="144" spans="1:15" ht="27.75" customHeight="1" x14ac:dyDescent="0.5">
      <c r="A144" s="838" t="s">
        <v>90</v>
      </c>
      <c r="B144" s="838"/>
      <c r="C144" s="838"/>
      <c r="D144" s="151" t="s">
        <v>183</v>
      </c>
      <c r="E144" s="95">
        <f>'17'!F144</f>
        <v>866320</v>
      </c>
      <c r="F144" s="149">
        <v>866554</v>
      </c>
      <c r="G144" s="614">
        <f t="shared" si="11"/>
        <v>234</v>
      </c>
      <c r="H144" s="99">
        <f>G144+'17'!H144</f>
        <v>4159</v>
      </c>
      <c r="I144" s="140"/>
      <c r="J144" s="330">
        <f>H144/DAY(B2)</f>
        <v>231.05555555555554</v>
      </c>
    </row>
    <row r="145" spans="1:10" ht="27.75" customHeight="1" x14ac:dyDescent="0.5">
      <c r="A145" s="834" t="s">
        <v>190</v>
      </c>
      <c r="B145" s="834"/>
      <c r="C145" s="834"/>
      <c r="D145" s="152" t="s">
        <v>183</v>
      </c>
      <c r="E145" s="95">
        <f>'17'!F145</f>
        <v>4255.87</v>
      </c>
      <c r="F145" s="149">
        <v>4298.5200000000004</v>
      </c>
      <c r="G145" s="614">
        <f t="shared" si="11"/>
        <v>42.650000000000546</v>
      </c>
      <c r="H145" s="99">
        <f>G145+'17'!H145</f>
        <v>879.52000000000044</v>
      </c>
      <c r="I145" s="140"/>
      <c r="J145" s="330">
        <f>H145/DAY(B2)</f>
        <v>48.862222222222243</v>
      </c>
    </row>
    <row r="146" spans="1:10" ht="27.75" customHeight="1" x14ac:dyDescent="0.5">
      <c r="A146" s="835" t="s">
        <v>191</v>
      </c>
      <c r="B146" s="836"/>
      <c r="C146" s="837"/>
      <c r="D146" s="152" t="s">
        <v>183</v>
      </c>
      <c r="E146" s="95">
        <f>'17'!F146</f>
        <v>718126</v>
      </c>
      <c r="F146" s="148">
        <v>718527</v>
      </c>
      <c r="G146" s="614">
        <f t="shared" si="11"/>
        <v>401</v>
      </c>
      <c r="H146" s="99">
        <f>G146+'17'!H146</f>
        <v>7642</v>
      </c>
      <c r="I146" s="140"/>
      <c r="J146" s="330">
        <f>H146/DAY(B2)</f>
        <v>424.55555555555554</v>
      </c>
    </row>
    <row r="147" spans="1:10" ht="27.75" customHeight="1" x14ac:dyDescent="0.5">
      <c r="A147" s="838" t="s">
        <v>192</v>
      </c>
      <c r="B147" s="838"/>
      <c r="C147" s="838"/>
      <c r="D147" s="152" t="s">
        <v>183</v>
      </c>
      <c r="E147" s="95">
        <f>'17'!F147</f>
        <v>609470.92000000004</v>
      </c>
      <c r="F147" s="148">
        <v>609888.04</v>
      </c>
      <c r="G147" s="614">
        <f t="shared" si="11"/>
        <v>417.11999999999534</v>
      </c>
      <c r="H147" s="99">
        <f>G147+'17'!H147</f>
        <v>7903</v>
      </c>
      <c r="I147" s="140"/>
      <c r="J147" s="330">
        <f>H147/DAY(B2)</f>
        <v>439.05555555555554</v>
      </c>
    </row>
    <row r="148" spans="1:10" ht="27.75" customHeight="1" x14ac:dyDescent="0.5">
      <c r="A148" s="794" t="s">
        <v>193</v>
      </c>
      <c r="B148" s="795"/>
      <c r="C148" s="796"/>
      <c r="D148" s="123" t="s">
        <v>130</v>
      </c>
      <c r="E148" s="95">
        <f>'17'!F148</f>
        <v>678801.44</v>
      </c>
      <c r="F148" s="150">
        <v>679151.76</v>
      </c>
      <c r="G148" s="614">
        <f t="shared" si="11"/>
        <v>350.32000000006519</v>
      </c>
      <c r="H148" s="99">
        <f>G148+'17'!H148</f>
        <v>5362.0799999999581</v>
      </c>
      <c r="I148" s="124"/>
      <c r="J148" s="330">
        <f>H148/DAY(B2)</f>
        <v>297.89333333333099</v>
      </c>
    </row>
    <row r="149" spans="1:10" ht="27.75" customHeight="1" x14ac:dyDescent="0.5">
      <c r="A149" s="794" t="s">
        <v>336</v>
      </c>
      <c r="B149" s="795"/>
      <c r="C149" s="796"/>
      <c r="D149" s="227" t="s">
        <v>130</v>
      </c>
      <c r="E149" s="95">
        <f>'17'!F149</f>
        <v>90445.1</v>
      </c>
      <c r="F149" s="146">
        <v>90811</v>
      </c>
      <c r="G149" s="614">
        <f t="shared" si="11"/>
        <v>365.89999999999418</v>
      </c>
      <c r="H149" s="99">
        <f>G149+'17'!H149</f>
        <v>95672</v>
      </c>
      <c r="I149" s="119"/>
      <c r="J149" s="330">
        <f>H149/DAY(B2)</f>
        <v>5315.1111111111113</v>
      </c>
    </row>
    <row r="150" spans="1:10" ht="27.75" customHeight="1" x14ac:dyDescent="0.5">
      <c r="A150" s="794" t="s">
        <v>337</v>
      </c>
      <c r="B150" s="795"/>
      <c r="C150" s="796"/>
      <c r="D150" s="117" t="s">
        <v>130</v>
      </c>
      <c r="E150" s="95">
        <f>'17'!F150</f>
        <v>870.03</v>
      </c>
      <c r="F150" s="233">
        <v>1104.3499999999999</v>
      </c>
      <c r="G150" s="614">
        <f t="shared" si="11"/>
        <v>234.31999999999994</v>
      </c>
      <c r="H150" s="99">
        <f>G150+'17'!H150</f>
        <v>912.34999999999991</v>
      </c>
      <c r="I150" s="119"/>
      <c r="J150" s="330">
        <f>H150/DAY(B2)</f>
        <v>50.686111111111103</v>
      </c>
    </row>
    <row r="151" spans="1:10" ht="27.75" customHeight="1" x14ac:dyDescent="0.5">
      <c r="A151" s="794" t="s">
        <v>338</v>
      </c>
      <c r="B151" s="795"/>
      <c r="C151" s="796"/>
      <c r="D151" s="117" t="s">
        <v>130</v>
      </c>
      <c r="E151" s="95">
        <f>'17'!F151</f>
        <v>74938</v>
      </c>
      <c r="F151" s="233">
        <v>75189</v>
      </c>
      <c r="G151" s="614">
        <f t="shared" si="11"/>
        <v>251</v>
      </c>
      <c r="H151" s="99">
        <f>G151+'17'!H151</f>
        <v>4467</v>
      </c>
      <c r="I151" s="119"/>
      <c r="J151" s="330">
        <f>H151/DAY(B2)</f>
        <v>248.16666666666666</v>
      </c>
    </row>
    <row r="152" spans="1:10" ht="27.75" customHeight="1" x14ac:dyDescent="0.5">
      <c r="A152" s="794" t="s">
        <v>339</v>
      </c>
      <c r="B152" s="795"/>
      <c r="C152" s="796"/>
      <c r="D152" s="117" t="s">
        <v>130</v>
      </c>
      <c r="E152" s="95">
        <f>'17'!F152</f>
        <v>425</v>
      </c>
      <c r="F152" s="233">
        <v>476</v>
      </c>
      <c r="G152" s="614">
        <f t="shared" si="11"/>
        <v>51</v>
      </c>
      <c r="H152" s="99">
        <f>G152+'17'!H152</f>
        <v>476</v>
      </c>
      <c r="I152" s="119"/>
      <c r="J152" s="330">
        <f>H152/DAY(B2)</f>
        <v>26.444444444444443</v>
      </c>
    </row>
    <row r="153" spans="1:10" ht="27.75" customHeight="1" x14ac:dyDescent="0.5">
      <c r="A153" s="867" t="s">
        <v>196</v>
      </c>
      <c r="B153" s="868"/>
      <c r="C153" s="367"/>
      <c r="D153" s="360"/>
      <c r="E153" s="362"/>
      <c r="F153" s="363"/>
      <c r="G153" s="636">
        <f>SUM(G138:G152)</f>
        <v>2818.0200000000577</v>
      </c>
      <c r="H153" s="365"/>
      <c r="I153" s="119">
        <f>G153-(G38+G52)</f>
        <v>735.80000000005657</v>
      </c>
      <c r="J153" s="368"/>
    </row>
    <row r="154" spans="1:10" ht="27.75" customHeight="1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 customHeight="1" x14ac:dyDescent="0.55000000000000004">
      <c r="A155" s="838" t="s">
        <v>345</v>
      </c>
      <c r="B155" s="838"/>
      <c r="C155" s="838"/>
      <c r="D155" s="117" t="s">
        <v>130</v>
      </c>
      <c r="E155" s="95">
        <f>'17'!F155</f>
        <v>3416.82</v>
      </c>
      <c r="F155" s="517">
        <v>4166</v>
      </c>
      <c r="G155" s="614">
        <f t="shared" ref="G155:G157" si="12">F155-E155</f>
        <v>749.17999999999984</v>
      </c>
      <c r="H155" s="99">
        <f>G155+'17'!H155</f>
        <v>4259</v>
      </c>
      <c r="I155" s="366"/>
      <c r="J155" s="330">
        <f>H155/DAY(B2)</f>
        <v>236.61111111111111</v>
      </c>
    </row>
    <row r="156" spans="1:10" ht="27.75" customHeight="1" x14ac:dyDescent="0.5">
      <c r="A156" s="838" t="s">
        <v>347</v>
      </c>
      <c r="B156" s="838"/>
      <c r="C156" s="838"/>
      <c r="D156" s="117" t="s">
        <v>130</v>
      </c>
      <c r="E156" s="95">
        <f>'17'!F156</f>
        <v>282.3</v>
      </c>
      <c r="F156" s="165">
        <v>342</v>
      </c>
      <c r="G156" s="614">
        <f t="shared" si="12"/>
        <v>59.699999999999989</v>
      </c>
      <c r="H156" s="99">
        <f>G156+'17'!H156</f>
        <v>342</v>
      </c>
      <c r="I156" s="165"/>
      <c r="J156" s="330">
        <f>H156/DAY(B2)</f>
        <v>19</v>
      </c>
    </row>
    <row r="157" spans="1:10" ht="27.75" customHeight="1" x14ac:dyDescent="0.5">
      <c r="A157" s="794" t="s">
        <v>365</v>
      </c>
      <c r="B157" s="795"/>
      <c r="C157" s="796"/>
      <c r="D157" s="117" t="s">
        <v>130</v>
      </c>
      <c r="E157" s="95">
        <f>'17'!F157</f>
        <v>303.85000000000002</v>
      </c>
      <c r="F157" s="165">
        <v>351.92</v>
      </c>
      <c r="G157" s="614">
        <f t="shared" si="12"/>
        <v>48.069999999999993</v>
      </c>
      <c r="H157" s="99"/>
      <c r="I157" s="165"/>
      <c r="J157" s="330"/>
    </row>
    <row r="158" spans="1:10" ht="27.75" customHeight="1" x14ac:dyDescent="0.5">
      <c r="A158" s="794" t="s">
        <v>366</v>
      </c>
      <c r="B158" s="795"/>
      <c r="C158" s="796"/>
      <c r="D158" s="117" t="s">
        <v>130</v>
      </c>
      <c r="E158" s="95"/>
      <c r="F158" s="165"/>
      <c r="G158" s="614"/>
      <c r="H158" s="99"/>
      <c r="I158" s="165"/>
      <c r="J158" s="330"/>
    </row>
    <row r="159" spans="1:10" ht="27.75" customHeight="1" x14ac:dyDescent="0.5">
      <c r="A159" s="887"/>
      <c r="B159" s="888"/>
      <c r="C159" s="889"/>
      <c r="D159" s="117"/>
      <c r="E159" s="95"/>
      <c r="F159" s="165"/>
      <c r="G159" s="614"/>
      <c r="H159" s="99"/>
      <c r="I159" s="165"/>
      <c r="J159" s="330"/>
    </row>
    <row r="160" spans="1:10" ht="27.75" customHeight="1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471130.8</v>
      </c>
      <c r="F161" s="235">
        <v>471137.84</v>
      </c>
      <c r="G161" s="637">
        <f t="shared" ref="G161:G165" si="13">F161-E161</f>
        <v>7.0400000000372529</v>
      </c>
      <c r="H161" s="99">
        <f>G161+'17'!H161</f>
        <v>161.72000000003027</v>
      </c>
      <c r="I161" s="236"/>
      <c r="J161" s="239">
        <f>H161/DAY(B2)</f>
        <v>8.984444444446126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87176</v>
      </c>
      <c r="F162" s="235">
        <v>87203.5</v>
      </c>
      <c r="G162" s="637">
        <f t="shared" si="13"/>
        <v>27.5</v>
      </c>
      <c r="H162" s="99">
        <f>G162+'17'!H162</f>
        <v>601.80000000000291</v>
      </c>
      <c r="I162" s="236"/>
      <c r="J162" s="239">
        <f>H162/DAY(B2)</f>
        <v>33.433333333333493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76973.100000000006</v>
      </c>
      <c r="F163" s="235">
        <v>77007.100000000006</v>
      </c>
      <c r="G163" s="637">
        <f t="shared" si="13"/>
        <v>34</v>
      </c>
      <c r="H163" s="99">
        <f>G163+'17'!H163</f>
        <v>1547.3000000000029</v>
      </c>
      <c r="I163" s="236"/>
      <c r="J163" s="239">
        <f>H163/DAY(B2)</f>
        <v>85.961111111111279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4191.1000000000004</v>
      </c>
      <c r="F164" s="235">
        <v>4192.3</v>
      </c>
      <c r="G164" s="637">
        <f t="shared" si="13"/>
        <v>1.1999999999998181</v>
      </c>
      <c r="H164" s="99">
        <f>G164+'17'!H164</f>
        <v>94.400000000000546</v>
      </c>
      <c r="I164" s="236"/>
      <c r="J164" s="239">
        <f>H164/DAY(B2)</f>
        <v>5.2444444444444747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29553.3</v>
      </c>
      <c r="F165" s="235">
        <v>29559.93</v>
      </c>
      <c r="G165" s="637">
        <f t="shared" si="13"/>
        <v>6.6300000000010186</v>
      </c>
      <c r="H165" s="99">
        <f>G165+'17'!H165</f>
        <v>130.99880000000121</v>
      </c>
      <c r="I165" s="236"/>
      <c r="J165" s="239">
        <f>H165/DAY(B2)</f>
        <v>7.2777111111111781</v>
      </c>
    </row>
    <row r="166" spans="1:10" ht="27.75" customHeight="1" x14ac:dyDescent="0.5">
      <c r="A166" s="870"/>
      <c r="B166" s="870"/>
      <c r="C166" s="246"/>
      <c r="D166" s="244" t="s">
        <v>180</v>
      </c>
      <c r="E166" s="95">
        <f>'17'!F166</f>
        <v>0</v>
      </c>
      <c r="F166" s="165"/>
      <c r="G166" s="634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870"/>
      <c r="B167" s="870"/>
      <c r="C167" s="246"/>
      <c r="D167" s="244" t="s">
        <v>180</v>
      </c>
      <c r="E167" s="95">
        <f>'17'!F167</f>
        <v>0</v>
      </c>
      <c r="F167" s="165"/>
      <c r="G167" s="634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870"/>
      <c r="B168" s="870"/>
      <c r="C168" s="246"/>
      <c r="D168" s="244" t="s">
        <v>180</v>
      </c>
      <c r="E168" s="95">
        <f>'17'!F168</f>
        <v>0</v>
      </c>
      <c r="F168" s="165"/>
      <c r="G168" s="634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customHeight="1" x14ac:dyDescent="0.5">
      <c r="A172" s="874"/>
      <c r="B172" s="875"/>
      <c r="C172" s="334"/>
      <c r="D172" s="228"/>
      <c r="E172" s="155"/>
      <c r="F172" s="155"/>
      <c r="G172" s="638"/>
      <c r="H172" s="156"/>
      <c r="I172" s="155"/>
      <c r="J172" s="178"/>
    </row>
    <row r="173" spans="1:10" ht="27.75" customHeight="1" x14ac:dyDescent="0.5">
      <c r="A173" s="831" t="s">
        <v>209</v>
      </c>
      <c r="B173" s="832"/>
      <c r="C173" s="335"/>
      <c r="D173" s="228" t="s">
        <v>142</v>
      </c>
      <c r="E173" s="95">
        <f>'17'!F173</f>
        <v>8110</v>
      </c>
      <c r="F173" s="155">
        <v>8110</v>
      </c>
      <c r="G173" s="638">
        <f>F173-E173</f>
        <v>0</v>
      </c>
      <c r="H173" s="99">
        <f>G173+'17'!H173</f>
        <v>3</v>
      </c>
      <c r="I173" s="155"/>
      <c r="J173" s="178">
        <f>H173/DAY(B2)</f>
        <v>0.16666666666666666</v>
      </c>
    </row>
    <row r="174" spans="1:10" ht="27.75" customHeight="1" x14ac:dyDescent="0.5">
      <c r="A174" s="831" t="s">
        <v>75</v>
      </c>
      <c r="B174" s="832"/>
      <c r="C174" s="335"/>
      <c r="D174" s="228" t="s">
        <v>142</v>
      </c>
      <c r="E174" s="95">
        <f>'17'!F174</f>
        <v>38085</v>
      </c>
      <c r="F174" s="157">
        <v>38099</v>
      </c>
      <c r="G174" s="638">
        <f t="shared" ref="G174:G175" si="14">F174-E174</f>
        <v>14</v>
      </c>
      <c r="H174" s="99">
        <f>G174+'17'!H174</f>
        <v>297</v>
      </c>
      <c r="I174" s="155"/>
      <c r="J174" s="178">
        <f>H174/DAY(B2)</f>
        <v>16.5</v>
      </c>
    </row>
    <row r="175" spans="1:10" ht="27.75" customHeight="1" x14ac:dyDescent="0.5">
      <c r="A175" s="831" t="s">
        <v>76</v>
      </c>
      <c r="B175" s="833"/>
      <c r="C175" s="832"/>
      <c r="D175" s="228" t="s">
        <v>142</v>
      </c>
      <c r="E175" s="95">
        <f>'17'!F175</f>
        <v>21356</v>
      </c>
      <c r="F175" s="155">
        <v>21369</v>
      </c>
      <c r="G175" s="638">
        <f t="shared" si="14"/>
        <v>13</v>
      </c>
      <c r="H175" s="99">
        <f>G175+'17'!H175</f>
        <v>232</v>
      </c>
      <c r="I175" s="155"/>
      <c r="J175" s="178">
        <f>H175/DAY(B2)</f>
        <v>12.888888888888889</v>
      </c>
    </row>
    <row r="176" spans="1:10" ht="27.75" customHeight="1" x14ac:dyDescent="0.5">
      <c r="A176" s="867" t="s">
        <v>196</v>
      </c>
      <c r="B176" s="868"/>
      <c r="C176" s="529"/>
      <c r="D176" s="228" t="s">
        <v>142</v>
      </c>
      <c r="E176" s="95"/>
      <c r="F176" s="155"/>
      <c r="G176" s="638">
        <f>SUM(G173:G175)</f>
        <v>27</v>
      </c>
      <c r="H176" s="99">
        <f>G176+'17'!H176</f>
        <v>532</v>
      </c>
      <c r="I176" s="155"/>
      <c r="J176" s="178">
        <f>H176/DAY(B2)</f>
        <v>29.555555555555557</v>
      </c>
    </row>
    <row r="177" spans="1:11" ht="27.75" customHeight="1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638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831" t="s">
        <v>210</v>
      </c>
      <c r="B178" s="832"/>
      <c r="C178" s="335"/>
      <c r="D178" s="228" t="s">
        <v>142</v>
      </c>
      <c r="E178" s="95">
        <f>'17'!F178</f>
        <v>78673</v>
      </c>
      <c r="F178" s="155">
        <v>78714</v>
      </c>
      <c r="G178" s="638">
        <f>F178-E178</f>
        <v>41</v>
      </c>
      <c r="H178" s="99">
        <f>G178+'17'!H178</f>
        <v>1362</v>
      </c>
      <c r="I178" s="155"/>
      <c r="J178" s="178">
        <f>H178/DAY(B2)</f>
        <v>75.666666666666671</v>
      </c>
    </row>
    <row r="179" spans="1:11" ht="27.75" customHeight="1" x14ac:dyDescent="0.5">
      <c r="A179" s="831" t="s">
        <v>211</v>
      </c>
      <c r="B179" s="832"/>
      <c r="C179" s="335"/>
      <c r="D179" s="228" t="s">
        <v>142</v>
      </c>
      <c r="E179" s="95">
        <f>'17'!F179</f>
        <v>33901</v>
      </c>
      <c r="F179" s="155">
        <v>33915</v>
      </c>
      <c r="G179" s="638">
        <f t="shared" ref="G179:G180" si="15">F179-E179</f>
        <v>14</v>
      </c>
      <c r="H179" s="99">
        <f>G179+'17'!H179</f>
        <v>29</v>
      </c>
      <c r="I179" s="155"/>
      <c r="J179" s="178">
        <f>H179/DAY(B2)</f>
        <v>1.6111111111111112</v>
      </c>
    </row>
    <row r="180" spans="1:11" ht="27.75" customHeight="1" x14ac:dyDescent="0.5">
      <c r="A180" s="831" t="s">
        <v>212</v>
      </c>
      <c r="B180" s="832"/>
      <c r="C180" s="335"/>
      <c r="D180" s="228" t="s">
        <v>142</v>
      </c>
      <c r="E180" s="95">
        <f>'17'!F180</f>
        <v>5385</v>
      </c>
      <c r="F180" s="155">
        <v>5396</v>
      </c>
      <c r="G180" s="638">
        <f t="shared" si="15"/>
        <v>11</v>
      </c>
      <c r="H180" s="99">
        <f>G180+'17'!H180</f>
        <v>123</v>
      </c>
      <c r="I180" s="155"/>
      <c r="J180" s="178">
        <f>H180/DAY(B2)</f>
        <v>6.833333333333333</v>
      </c>
    </row>
    <row r="181" spans="1:11" ht="27.75" customHeight="1" x14ac:dyDescent="0.5">
      <c r="A181" s="872" t="s">
        <v>108</v>
      </c>
      <c r="B181" s="873"/>
      <c r="C181" s="529"/>
      <c r="D181" s="228" t="s">
        <v>142</v>
      </c>
      <c r="E181" s="95"/>
      <c r="F181" s="155"/>
      <c r="G181" s="638">
        <f>SUM(G178:G180)</f>
        <v>66</v>
      </c>
      <c r="H181" s="99">
        <f>G181+'17'!H181</f>
        <v>1514</v>
      </c>
      <c r="I181" s="155"/>
      <c r="J181" s="178">
        <f>H181/DAY(B2)</f>
        <v>84.111111111111114</v>
      </c>
    </row>
    <row r="182" spans="1:11" ht="27.75" customHeight="1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638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831" t="s">
        <v>214</v>
      </c>
      <c r="B183" s="832"/>
      <c r="C183" s="336"/>
      <c r="D183" s="228" t="s">
        <v>142</v>
      </c>
      <c r="E183" s="95">
        <f>'17'!F183</f>
        <v>14728</v>
      </c>
      <c r="F183" s="157">
        <v>14739</v>
      </c>
      <c r="G183" s="639">
        <f>F183-E183</f>
        <v>11</v>
      </c>
      <c r="H183" s="99">
        <f>G183+'17'!H183</f>
        <v>243</v>
      </c>
      <c r="I183" s="155"/>
      <c r="J183" s="178">
        <f>H183/DAY(B2)</f>
        <v>13.5</v>
      </c>
    </row>
    <row r="184" spans="1:11" ht="27.75" customHeight="1" x14ac:dyDescent="0.5">
      <c r="A184" s="831" t="s">
        <v>215</v>
      </c>
      <c r="B184" s="832"/>
      <c r="C184" s="336"/>
      <c r="D184" s="228" t="s">
        <v>142</v>
      </c>
      <c r="E184" s="95">
        <f>'17'!F184</f>
        <v>10184</v>
      </c>
      <c r="F184" s="157">
        <v>10199</v>
      </c>
      <c r="G184" s="639">
        <f t="shared" ref="G184:G185" si="16">F184-E184</f>
        <v>15</v>
      </c>
      <c r="H184" s="99">
        <f>G184+'17'!H184</f>
        <v>168</v>
      </c>
      <c r="I184" s="155"/>
      <c r="J184" s="178">
        <f>H184/DAY(B2)</f>
        <v>9.3333333333333339</v>
      </c>
    </row>
    <row r="185" spans="1:11" ht="27.75" customHeight="1" x14ac:dyDescent="0.5">
      <c r="A185" s="831" t="s">
        <v>216</v>
      </c>
      <c r="B185" s="832"/>
      <c r="C185" s="336"/>
      <c r="D185" s="228" t="s">
        <v>142</v>
      </c>
      <c r="E185" s="95">
        <f>'17'!F185</f>
        <v>0</v>
      </c>
      <c r="F185" s="157"/>
      <c r="G185" s="639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867" t="s">
        <v>196</v>
      </c>
      <c r="B186" s="868"/>
      <c r="C186" s="528"/>
      <c r="D186" s="228" t="s">
        <v>142</v>
      </c>
      <c r="E186" s="95"/>
      <c r="F186" s="157"/>
      <c r="G186" s="639">
        <f>SUM(G183:G185)</f>
        <v>26</v>
      </c>
      <c r="H186" s="99">
        <f>G186+'17'!H186</f>
        <v>411</v>
      </c>
      <c r="I186" s="157"/>
      <c r="J186" s="178">
        <f>H186/DAY(B2)</f>
        <v>22.833333333333332</v>
      </c>
    </row>
    <row r="187" spans="1:11" ht="27.75" customHeight="1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640">
        <f>G62+G19</f>
        <v>187</v>
      </c>
      <c r="H187" s="99">
        <f>G187+'17'!H187</f>
        <v>3195</v>
      </c>
      <c r="I187" s="158"/>
      <c r="J187" s="179">
        <f>H187/DAY(B2)</f>
        <v>177.5</v>
      </c>
    </row>
    <row r="188" spans="1:11" ht="27.75" customHeight="1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640">
        <f>G65+G66+G67+G69+G70</f>
        <v>204</v>
      </c>
      <c r="H188" s="99">
        <f>G188+'17'!H188</f>
        <v>697</v>
      </c>
      <c r="I188" s="158"/>
      <c r="J188" s="179">
        <f>H188/DAY(B2)</f>
        <v>38.722222222222221</v>
      </c>
    </row>
    <row r="189" spans="1:11" ht="27.75" customHeight="1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640">
        <f>G181</f>
        <v>66</v>
      </c>
      <c r="H189" s="99">
        <f>G189+'17'!H189</f>
        <v>1514</v>
      </c>
      <c r="I189" s="158"/>
      <c r="J189" s="179">
        <f>H189/DAY(B2)</f>
        <v>84.111111111111114</v>
      </c>
    </row>
    <row r="190" spans="1:11" ht="23.25" customHeight="1" x14ac:dyDescent="0.5">
      <c r="A190" s="245" t="s">
        <v>361</v>
      </c>
      <c r="B190" s="246"/>
      <c r="C190" s="246"/>
      <c r="D190" s="165"/>
      <c r="E190" s="165"/>
      <c r="F190" s="155">
        <f>'17'!G191</f>
        <v>53102</v>
      </c>
      <c r="G190" s="634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27" zoomScale="55" zoomScaleNormal="40" zoomScaleSheetLayoutView="55" zoomScalePageLayoutView="60" workbookViewId="0">
      <selection activeCell="G166" sqref="G16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91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350</v>
      </c>
      <c r="B2" s="262">
        <v>44549</v>
      </c>
      <c r="C2" s="350" t="s">
        <v>67</v>
      </c>
      <c r="D2" s="218">
        <v>0.92979999999999996</v>
      </c>
      <c r="E2" s="100"/>
      <c r="F2" s="100"/>
      <c r="G2" s="667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668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0.9</v>
      </c>
      <c r="E4" s="103"/>
      <c r="F4" s="103"/>
      <c r="G4" s="668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69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67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823187.35</v>
      </c>
      <c r="F7" s="95">
        <v>846165.35</v>
      </c>
      <c r="G7" s="671">
        <f>F7-E7</f>
        <v>22978</v>
      </c>
      <c r="H7" s="99">
        <f>G7+'18 '!H7</f>
        <v>445323.35</v>
      </c>
      <c r="I7" s="113">
        <f>'1'!I7</f>
        <v>12000</v>
      </c>
      <c r="J7" s="175">
        <f>H7/DAY(B2)</f>
        <v>23438.071052631578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866578.75</v>
      </c>
      <c r="F8" s="95">
        <v>889830.38</v>
      </c>
      <c r="G8" s="672">
        <f>F8-E8</f>
        <v>23251.630000000005</v>
      </c>
      <c r="H8" s="99">
        <f>G8+'18 '!H8</f>
        <v>451535.38</v>
      </c>
      <c r="I8" s="116"/>
      <c r="J8" s="175">
        <f>H8/DAY(B2)</f>
        <v>23765.02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2037774.1</v>
      </c>
      <c r="F9" s="659">
        <v>2056333.1</v>
      </c>
      <c r="G9" s="671">
        <f>F9-E9</f>
        <v>18559</v>
      </c>
      <c r="H9" s="99">
        <f>G9+'18 '!H9</f>
        <v>337235.40000000014</v>
      </c>
      <c r="I9" s="124">
        <f>I7-J7</f>
        <v>-11438.071052631578</v>
      </c>
      <c r="J9" s="175">
        <f>H9/DAY(B2)</f>
        <v>17749.231578947376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498150.91</v>
      </c>
      <c r="F10" s="355">
        <v>501933.75</v>
      </c>
      <c r="G10" s="671">
        <f t="shared" ref="G10:G12" si="0">F10-E10</f>
        <v>3782.8400000000256</v>
      </c>
      <c r="H10" s="99">
        <f>G10+'18 '!H10</f>
        <v>95851.32</v>
      </c>
      <c r="I10" s="282"/>
      <c r="J10" s="175">
        <f>H10/DAY(B2)</f>
        <v>5044.806315789474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37000</v>
      </c>
      <c r="F11" s="95">
        <v>37000</v>
      </c>
      <c r="G11" s="671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671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673">
        <f>G9+G10+G11+G12</f>
        <v>22341.840000000026</v>
      </c>
      <c r="H13" s="99">
        <f>G13+'18 '!H13</f>
        <v>411035.85000000009</v>
      </c>
      <c r="I13" s="120">
        <f>G7-G13</f>
        <v>636.15999999997439</v>
      </c>
      <c r="J13" s="175">
        <f>H13/DAY(B2)</f>
        <v>21633.465789473688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674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'18 '!F15</f>
        <v>1864237.1059999999</v>
      </c>
      <c r="F15" s="659">
        <v>1865387.4</v>
      </c>
      <c r="G15" s="671">
        <f>(F15-E15)</f>
        <v>1150.2939999999944</v>
      </c>
      <c r="H15" s="99">
        <f>G15+'18 '!H15</f>
        <v>22239.399999999907</v>
      </c>
      <c r="I15" s="113">
        <f>'1'!I15</f>
        <v>800</v>
      </c>
      <c r="J15" s="175">
        <f>H15/DAY(B2)</f>
        <v>1170.4947368421003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671"/>
      <c r="H16" s="124"/>
      <c r="I16" s="120">
        <f>I15-J15</f>
        <v>-370.49473684210034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674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'18 '!F18</f>
        <v>22</v>
      </c>
      <c r="F18" s="122">
        <v>22</v>
      </c>
      <c r="G18" s="673">
        <f>F18*10</f>
        <v>220</v>
      </c>
      <c r="H18" s="99">
        <f>G18+'18 '!H18</f>
        <v>4020</v>
      </c>
      <c r="I18" s="113">
        <f>'1'!I18</f>
        <v>65</v>
      </c>
      <c r="J18" s="175">
        <f>H18/DAY(B2)</f>
        <v>211.57894736842104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'18 '!F19</f>
        <v>151536</v>
      </c>
      <c r="F19" s="122">
        <v>151589</v>
      </c>
      <c r="G19" s="671">
        <f t="shared" ref="G19" si="1">F19-E19</f>
        <v>53</v>
      </c>
      <c r="H19" s="99">
        <f>G19+'18 '!H19</f>
        <v>1005</v>
      </c>
      <c r="I19" s="337"/>
      <c r="J19" s="175">
        <f>H19/DAY(B2)</f>
        <v>52.89473684210526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675">
        <f>G18+G19</f>
        <v>273</v>
      </c>
      <c r="H20" s="99">
        <f>G20+'18 '!H20</f>
        <v>5025</v>
      </c>
      <c r="I20" s="338">
        <f>I18-J20</f>
        <v>-199.4736842105263</v>
      </c>
      <c r="J20" s="175">
        <f>H20/DAY(B2)</f>
        <v>264.4736842105263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674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73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'18 '!F23</f>
        <v>2000</v>
      </c>
      <c r="F23" s="122">
        <v>2000</v>
      </c>
      <c r="G23" s="673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73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676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677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23251.630000000005</v>
      </c>
      <c r="F27" s="136">
        <v>9</v>
      </c>
      <c r="G27" s="678">
        <f>E27*F27</f>
        <v>209264.67000000004</v>
      </c>
      <c r="H27" s="99">
        <f>G27+'18 '!H27</f>
        <v>4063818.42</v>
      </c>
      <c r="I27" s="138"/>
      <c r="J27" s="175">
        <f>H27/DAY(B2)</f>
        <v>213885.18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1150.2939999999944</v>
      </c>
      <c r="F28" s="136">
        <v>52</v>
      </c>
      <c r="G28" s="678">
        <f>E28*F28</f>
        <v>59815.287999999709</v>
      </c>
      <c r="H28" s="99">
        <f>G28+'18 '!H28</f>
        <v>1156448.7999999952</v>
      </c>
      <c r="I28" s="140"/>
      <c r="J28" s="175">
        <f>H28/DAY(B2)</f>
        <v>60865.726315789216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78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678">
        <f>E30*F30</f>
        <v>7738</v>
      </c>
      <c r="H30" s="99">
        <f>G30+'18 '!H30</f>
        <v>146730</v>
      </c>
      <c r="I30" s="140"/>
      <c r="J30" s="175">
        <f>H30/DAY(B2)</f>
        <v>7722.6315789473683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678">
        <f>E31*F31</f>
        <v>17600</v>
      </c>
      <c r="H31" s="99">
        <f>G31+'18 '!H31</f>
        <v>321600</v>
      </c>
      <c r="I31" s="140"/>
      <c r="J31" s="175">
        <f>H31/DAY(B2)</f>
        <v>16926.315789473683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679">
        <f>G27+G28+G29+G30+G31</f>
        <v>294417.95799999975</v>
      </c>
      <c r="H32" s="99">
        <f>G32+'18 '!H32</f>
        <v>5688597.2199999951</v>
      </c>
      <c r="I32" s="144"/>
      <c r="J32" s="175">
        <f>H32/DAY(B2)</f>
        <v>299399.85368421028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680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68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130316.09</v>
      </c>
      <c r="F35" s="145">
        <v>131972.82999999999</v>
      </c>
      <c r="G35" s="671">
        <f t="shared" ref="G35:G46" si="3">F35-E35</f>
        <v>1656.7399999999907</v>
      </c>
      <c r="H35" s="99">
        <f>G35+'18 '!H35</f>
        <v>38438.199999999983</v>
      </c>
      <c r="I35" s="95"/>
      <c r="J35" s="175">
        <f>H35/DAY(B2)</f>
        <v>2023.0631578947359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9128.93</v>
      </c>
      <c r="F36" s="145">
        <v>10261</v>
      </c>
      <c r="G36" s="671">
        <f t="shared" si="3"/>
        <v>1132.0699999999997</v>
      </c>
      <c r="H36" s="99">
        <f>G36+'18 '!H36</f>
        <v>20527.300000000007</v>
      </c>
      <c r="I36" s="95"/>
      <c r="J36" s="175">
        <f>H36/DAY(B2)</f>
        <v>1080.3842105263161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174666.47</v>
      </c>
      <c r="F37" s="145">
        <v>176251.83</v>
      </c>
      <c r="G37" s="671">
        <f t="shared" si="3"/>
        <v>1585.359999999986</v>
      </c>
      <c r="H37" s="99">
        <f>G37+'18 '!H37</f>
        <v>30745.089999999997</v>
      </c>
      <c r="I37" s="95"/>
      <c r="J37" s="175">
        <f>H37/DAY(B2)</f>
        <v>1618.1626315789472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207327.99</v>
      </c>
      <c r="F38" s="108">
        <v>209352.93</v>
      </c>
      <c r="G38" s="671">
        <f t="shared" si="3"/>
        <v>2024.9400000000023</v>
      </c>
      <c r="H38" s="99">
        <f>G38+'18 '!H38</f>
        <v>38348.880000000005</v>
      </c>
      <c r="I38" s="95"/>
      <c r="J38" s="175">
        <f>H38/DAY(B2)</f>
        <v>2018.3621052631581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374698.39</v>
      </c>
      <c r="F39" s="145">
        <v>377775.95</v>
      </c>
      <c r="G39" s="671">
        <f t="shared" si="3"/>
        <v>3077.5599999999977</v>
      </c>
      <c r="H39" s="99">
        <f>G39+'18 '!H39</f>
        <v>56112.660000000033</v>
      </c>
      <c r="I39" s="95"/>
      <c r="J39" s="175">
        <f>H39/DAY(B2)</f>
        <v>2953.2978947368438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666">
        <f>'18 '!F40</f>
        <v>588.35</v>
      </c>
      <c r="F40" s="378">
        <v>588.35</v>
      </c>
      <c r="G40" s="682">
        <f t="shared" si="3"/>
        <v>0</v>
      </c>
      <c r="H40" s="99">
        <f>G40+'18 '!H40</f>
        <v>477.13</v>
      </c>
      <c r="I40" s="95"/>
      <c r="J40" s="175">
        <f>H40/DAY(B2)</f>
        <v>25.112105263157893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0</v>
      </c>
      <c r="F41" s="145">
        <v>0</v>
      </c>
      <c r="G41" s="671">
        <f t="shared" si="3"/>
        <v>0</v>
      </c>
      <c r="H41" s="99">
        <f>G41+'18 '!H41</f>
        <v>9386.2900000000373</v>
      </c>
      <c r="I41" s="95"/>
      <c r="J41" s="175">
        <f>H41/DAY(B2)</f>
        <v>494.0152631578967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20108.66</v>
      </c>
      <c r="F42" s="145">
        <v>25052.25</v>
      </c>
      <c r="G42" s="671">
        <f t="shared" si="3"/>
        <v>4943.59</v>
      </c>
      <c r="H42" s="99">
        <f>G42+'18 '!H42</f>
        <v>66658.260000000009</v>
      </c>
      <c r="I42" s="95"/>
      <c r="J42" s="175">
        <f>H42/DAY(B2)</f>
        <v>3508.3294736842108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12716.87</v>
      </c>
      <c r="F43" s="145">
        <v>15511.63</v>
      </c>
      <c r="G43" s="671">
        <f t="shared" si="3"/>
        <v>2794.7599999999984</v>
      </c>
      <c r="H43" s="99">
        <f>G43+'18 '!H43</f>
        <v>51594.029999999912</v>
      </c>
      <c r="I43" s="95"/>
      <c r="J43" s="175">
        <f>H43/DAY(B2)</f>
        <v>2715.4752631578899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71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71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71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673">
        <f>G35+G36+G37+G38+G39+G40+G41+G42+G43+G44+G45+G46</f>
        <v>17215.019999999975</v>
      </c>
      <c r="H47" s="99">
        <f>G47+'18 '!H47</f>
        <v>312287.83999999997</v>
      </c>
      <c r="I47" s="95"/>
      <c r="J47" s="175">
        <f>H47/DAY(B2)</f>
        <v>16436.202105263157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68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252107.37</v>
      </c>
      <c r="F49" s="145">
        <v>253870.67</v>
      </c>
      <c r="G49" s="671">
        <f t="shared" ref="G49:G58" si="4">F49-E49</f>
        <v>1763.3000000000175</v>
      </c>
      <c r="H49" s="99">
        <f>G49+'18 '!H49</f>
        <v>33357.340000000026</v>
      </c>
      <c r="I49" s="95"/>
      <c r="J49" s="175">
        <f>H49/DAY(B2)</f>
        <v>1755.6494736842119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9227.31</v>
      </c>
      <c r="F50" s="145">
        <v>10858.49</v>
      </c>
      <c r="G50" s="671">
        <f t="shared" si="4"/>
        <v>1631.1800000000003</v>
      </c>
      <c r="H50" s="99">
        <f>G50+'18 '!H50</f>
        <v>26710.300000000057</v>
      </c>
      <c r="I50" s="95"/>
      <c r="J50" s="175">
        <f>H50/DAY(B2)</f>
        <v>1405.8052631578978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71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71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71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3126.52</v>
      </c>
      <c r="F54" s="145">
        <v>3130.82</v>
      </c>
      <c r="G54" s="671">
        <f t="shared" si="4"/>
        <v>4.3000000000001819</v>
      </c>
      <c r="H54" s="99">
        <f>G54+'18 '!H54</f>
        <v>99.539999999999964</v>
      </c>
      <c r="I54" s="95"/>
      <c r="J54" s="175">
        <f>H54/DAY(B2)</f>
        <v>5.2389473684210506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0</v>
      </c>
      <c r="F55" s="145">
        <v>0</v>
      </c>
      <c r="G55" s="671">
        <f t="shared" si="4"/>
        <v>0</v>
      </c>
      <c r="H55" s="99">
        <f>G55+'18 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8373.59</v>
      </c>
      <c r="F56" s="145">
        <v>8610.5400000000009</v>
      </c>
      <c r="G56" s="671">
        <f t="shared" si="4"/>
        <v>236.95000000000073</v>
      </c>
      <c r="H56" s="99">
        <f>G56+'18 '!H56</f>
        <v>30160.589999999986</v>
      </c>
      <c r="I56" s="95"/>
      <c r="J56" s="175">
        <f>H56/DAY(B2)</f>
        <v>1587.3994736842099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71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89481.66</v>
      </c>
      <c r="F58" s="145">
        <v>89681.45</v>
      </c>
      <c r="G58" s="671">
        <f t="shared" si="4"/>
        <v>199.7899999999936</v>
      </c>
      <c r="H58" s="99">
        <f>G58+'18 '!H58</f>
        <v>4356.5999999999913</v>
      </c>
      <c r="I58" s="95"/>
      <c r="J58" s="175">
        <f>H58/DAY(B2)</f>
        <v>229.29473684210481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673">
        <f>G49+G50+G51+G52+G53+G54+G55+G56+G57+G58</f>
        <v>3835.5200000000123</v>
      </c>
      <c r="H59" s="99">
        <f>G59+'18 '!H59</f>
        <v>94684.370000000068</v>
      </c>
      <c r="I59" s="95">
        <f>G7-G60</f>
        <v>1927.4600000000137</v>
      </c>
      <c r="J59" s="175">
        <f>H59/DAY(B2)</f>
        <v>4983.3878947368457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673">
        <f>G47+G59</f>
        <v>21050.539999999986</v>
      </c>
      <c r="H60" s="99">
        <f>G60+'18 '!H60</f>
        <v>406972.21000000008</v>
      </c>
      <c r="I60" s="95">
        <f>G13-G60</f>
        <v>1291.3000000000393</v>
      </c>
      <c r="J60" s="175">
        <f>H60/DAY(B2)</f>
        <v>21419.590000000004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683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'18 '!F62</f>
        <v>265708</v>
      </c>
      <c r="F62" s="122">
        <v>265838</v>
      </c>
      <c r="G62" s="671">
        <f t="shared" ref="G62:G63" si="5">F62-E62</f>
        <v>130</v>
      </c>
      <c r="H62" s="99">
        <f>G62+'18 '!H62</f>
        <v>2373</v>
      </c>
      <c r="I62" s="118"/>
      <c r="J62" s="175">
        <f>H62/DAY(B2)</f>
        <v>124.89473684210526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'18 '!F63</f>
        <v>211291</v>
      </c>
      <c r="F63" s="122">
        <v>211377</v>
      </c>
      <c r="G63" s="671">
        <f t="shared" si="5"/>
        <v>86</v>
      </c>
      <c r="H63" s="99">
        <f>G63+'18 '!H63</f>
        <v>2002</v>
      </c>
      <c r="I63" s="118"/>
      <c r="J63" s="175">
        <f>H63/DAY(B2)</f>
        <v>105.36842105263158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'18 '!F64</f>
        <v>0</v>
      </c>
      <c r="F64" s="122"/>
      <c r="G64" s="671">
        <f>G62+G63</f>
        <v>216</v>
      </c>
      <c r="H64" s="99">
        <f>G64+'18 '!H64</f>
        <v>4375</v>
      </c>
      <c r="I64" s="118"/>
      <c r="J64" s="175">
        <f>H64/DAY(B2)</f>
        <v>230.26315789473685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'18 '!F65</f>
        <v>431292</v>
      </c>
      <c r="F65" s="122">
        <v>431409</v>
      </c>
      <c r="G65" s="671">
        <f t="shared" ref="G65:G70" si="6">F65-E65</f>
        <v>117</v>
      </c>
      <c r="H65" s="99">
        <f>G65+'18 '!H65</f>
        <v>2046</v>
      </c>
      <c r="I65" s="118"/>
      <c r="J65" s="175">
        <f>H65/DAY(B2)</f>
        <v>107.68421052631579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'18 '!F66</f>
        <v>106950</v>
      </c>
      <c r="F66" s="122">
        <v>106973</v>
      </c>
      <c r="G66" s="671">
        <f t="shared" si="6"/>
        <v>23</v>
      </c>
      <c r="H66" s="99">
        <f>G66+'18 '!H66</f>
        <v>374</v>
      </c>
      <c r="I66" s="118"/>
      <c r="J66" s="175">
        <f>H66/DAY(B2)</f>
        <v>19.684210526315791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'18 '!F67</f>
        <v>103538</v>
      </c>
      <c r="F67" s="122">
        <v>103572</v>
      </c>
      <c r="G67" s="671">
        <f t="shared" si="6"/>
        <v>34</v>
      </c>
      <c r="H67" s="99">
        <f>G67+'18 '!H67</f>
        <v>561</v>
      </c>
      <c r="I67" s="118"/>
      <c r="J67" s="175">
        <f>H67/DAY(B2)</f>
        <v>29.526315789473685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'18 '!F68</f>
        <v>156181</v>
      </c>
      <c r="F68" s="122">
        <v>156181</v>
      </c>
      <c r="G68" s="671">
        <f t="shared" si="6"/>
        <v>0</v>
      </c>
      <c r="H68" s="99">
        <f>G68+'18 '!H68</f>
        <v>741</v>
      </c>
      <c r="I68" s="118"/>
      <c r="J68" s="175">
        <f>H68/DAY(B2)</f>
        <v>39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'18 '!F69</f>
        <v>10043</v>
      </c>
      <c r="F69" s="122">
        <v>10071</v>
      </c>
      <c r="G69" s="671">
        <f t="shared" si="6"/>
        <v>28</v>
      </c>
      <c r="H69" s="99">
        <f>G69+'18 '!H69</f>
        <v>228</v>
      </c>
      <c r="I69" s="118"/>
      <c r="J69" s="175">
        <f>H69/DAY(B2)</f>
        <v>12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'18 '!F70</f>
        <v>7742</v>
      </c>
      <c r="F70" s="122">
        <v>7754</v>
      </c>
      <c r="G70" s="671">
        <f t="shared" si="6"/>
        <v>12</v>
      </c>
      <c r="H70" s="99">
        <f>G70+'18 '!H70</f>
        <v>212</v>
      </c>
      <c r="I70" s="118"/>
      <c r="J70" s="175">
        <f>H70/DAY(B2)</f>
        <v>11.157894736842104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95">
        <f>'18 '!F71</f>
        <v>0</v>
      </c>
      <c r="F71" s="152"/>
      <c r="G71" s="684">
        <f>SUM(G65:G70)</f>
        <v>214</v>
      </c>
      <c r="H71" s="99">
        <f>G71+'18 '!H71</f>
        <v>4162</v>
      </c>
      <c r="I71" s="154"/>
      <c r="J71" s="175">
        <f>H71/DAY(B2)</f>
        <v>219.05263157894737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685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683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'18 '!F74</f>
        <v>887942.48</v>
      </c>
      <c r="F74" s="117">
        <v>888255.31</v>
      </c>
      <c r="G74" s="671">
        <f t="shared" ref="G74:G78" si="7">F74-E74</f>
        <v>312.83000000007451</v>
      </c>
      <c r="H74" s="99">
        <f>G74+'18 '!H74</f>
        <v>6002.2610000000568</v>
      </c>
      <c r="I74" s="154"/>
      <c r="J74" s="175">
        <f>H74/DAY(B2)</f>
        <v>315.9084736842135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'18 '!F75</f>
        <v>73830.69</v>
      </c>
      <c r="F75" s="123">
        <v>73830.69</v>
      </c>
      <c r="G75" s="671">
        <f t="shared" si="7"/>
        <v>0</v>
      </c>
      <c r="H75" s="99">
        <f>G75+'18 '!H75</f>
        <v>243.88999999999942</v>
      </c>
      <c r="I75" s="154"/>
      <c r="J75" s="175">
        <f>H75/DAY(B2)</f>
        <v>12.836315789473653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'18 '!F76</f>
        <v>165737.60000000001</v>
      </c>
      <c r="F76" s="123">
        <v>165887.20000000001</v>
      </c>
      <c r="G76" s="671">
        <f t="shared" si="7"/>
        <v>149.60000000000582</v>
      </c>
      <c r="H76" s="99">
        <f>G76+'18 '!H76</f>
        <v>2503.2000000000116</v>
      </c>
      <c r="I76" s="154"/>
      <c r="J76" s="175">
        <f>H76/DAY(B2)</f>
        <v>131.74736842105324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'18 '!F77</f>
        <v>39679.699999999997</v>
      </c>
      <c r="F77" s="123">
        <v>39749.300000000003</v>
      </c>
      <c r="G77" s="671">
        <f t="shared" si="7"/>
        <v>69.600000000005821</v>
      </c>
      <c r="H77" s="99">
        <f>G77+'18 '!H77</f>
        <v>939.30000000000291</v>
      </c>
      <c r="I77" s="154"/>
      <c r="J77" s="175">
        <f>H77/DAY(B2)</f>
        <v>49.43684210526331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'18 '!F78</f>
        <v>9462.9</v>
      </c>
      <c r="F78" s="123">
        <v>9464.7000000000007</v>
      </c>
      <c r="G78" s="671">
        <f t="shared" si="7"/>
        <v>1.8000000000010914</v>
      </c>
      <c r="H78" s="99">
        <f>G78+'18 '!H78</f>
        <v>52.700000000000728</v>
      </c>
      <c r="I78" s="118"/>
      <c r="J78" s="175">
        <f>H78/DAY(B2)</f>
        <v>2.7736842105263539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'18 '!F79</f>
        <v>0</v>
      </c>
      <c r="F79" s="123"/>
      <c r="G79" s="671">
        <f>G15-SUM(G74:G78)</f>
        <v>616.46399999990717</v>
      </c>
      <c r="H79" s="99">
        <f>G79+'18 '!H79</f>
        <v>12498.048999999835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671">
        <f>SUM(G74:G79)</f>
        <v>1150.2939999999944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686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'18 '!F82</f>
        <v>0</v>
      </c>
      <c r="F82" s="122">
        <v>0</v>
      </c>
      <c r="G82" s="671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'18 '!F83</f>
        <v>0</v>
      </c>
      <c r="F83" s="122">
        <v>0</v>
      </c>
      <c r="G83" s="671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'18 '!F84</f>
        <v>41675.199999999997</v>
      </c>
      <c r="F84" s="164">
        <v>41675.4</v>
      </c>
      <c r="G84" s="671">
        <f t="shared" si="8"/>
        <v>0.20000000000436557</v>
      </c>
      <c r="H84" s="99">
        <f>G84+'18 '!H84</f>
        <v>46.840000000003783</v>
      </c>
      <c r="I84" s="118"/>
      <c r="J84" s="175">
        <f>H84/DAY(B2)</f>
        <v>2.465263157894936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'18 '!F85</f>
        <v>1820</v>
      </c>
      <c r="F85" s="164">
        <v>1844</v>
      </c>
      <c r="G85" s="671">
        <f t="shared" si="8"/>
        <v>24</v>
      </c>
      <c r="H85" s="99">
        <f>G85+'18 '!H85</f>
        <v>340.44000000000005</v>
      </c>
      <c r="I85" s="118">
        <f>G82+G83+G84+G85</f>
        <v>24.200000000004366</v>
      </c>
      <c r="J85" s="175">
        <f>H85/DAY(B2)</f>
        <v>17.917894736842108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'18 '!F86</f>
        <v>42826.47</v>
      </c>
      <c r="F86" s="164">
        <v>42826.47</v>
      </c>
      <c r="G86" s="671">
        <f t="shared" si="8"/>
        <v>0</v>
      </c>
      <c r="H86" s="99">
        <f>G86+'18 '!H86</f>
        <v>0.47000000000116415</v>
      </c>
      <c r="I86" s="118"/>
      <c r="J86" s="175">
        <f>H86/DAY(B2)</f>
        <v>2.4736842105324428E-2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'18 '!F87</f>
        <v>34596.400000000001</v>
      </c>
      <c r="F87" s="164">
        <v>34598.550000000003</v>
      </c>
      <c r="G87" s="671">
        <f t="shared" si="8"/>
        <v>2.1500000000014552</v>
      </c>
      <c r="H87" s="99">
        <f>G87+'18 '!H87</f>
        <v>178.15000000000146</v>
      </c>
      <c r="I87" s="118"/>
      <c r="J87" s="175">
        <f>H87/DAY(B2)</f>
        <v>9.376315789473761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'18 '!F88</f>
        <v>24005.53</v>
      </c>
      <c r="F88" s="164">
        <v>24005.53</v>
      </c>
      <c r="G88" s="671">
        <f t="shared" si="8"/>
        <v>0</v>
      </c>
      <c r="H88" s="99">
        <f>G88+'18 '!H88</f>
        <v>53.039999999997235</v>
      </c>
      <c r="I88" s="118">
        <f>G86+G87+G88</f>
        <v>2.1500000000014552</v>
      </c>
      <c r="J88" s="175">
        <f>H88/DAY(B2)</f>
        <v>2.7915789473682757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'18 '!F89</f>
        <v>25574.16</v>
      </c>
      <c r="F89" s="164">
        <v>25583.95</v>
      </c>
      <c r="G89" s="671">
        <f t="shared" si="8"/>
        <v>9.7900000000008731</v>
      </c>
      <c r="H89" s="99">
        <f>G89+'18 '!H89</f>
        <v>156.45999999999913</v>
      </c>
      <c r="I89" s="118"/>
      <c r="J89" s="175">
        <f>H89/DAY(B2)</f>
        <v>8.2347368421052174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'18 '!F90</f>
        <v>70956.27</v>
      </c>
      <c r="F90" s="164">
        <v>70962.95</v>
      </c>
      <c r="G90" s="671">
        <f t="shared" si="8"/>
        <v>6.6799999999930151</v>
      </c>
      <c r="H90" s="99">
        <f>G90+'18 '!H90</f>
        <v>134.67999999999302</v>
      </c>
      <c r="I90" s="118">
        <f>G89+G90</f>
        <v>16.469999999993888</v>
      </c>
      <c r="J90" s="175">
        <f>H90/DAY(B2)</f>
        <v>7.0884210526312117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'18 '!F91</f>
        <v>3226.32</v>
      </c>
      <c r="F91" s="122">
        <v>3226.32</v>
      </c>
      <c r="G91" s="671">
        <f t="shared" si="8"/>
        <v>0</v>
      </c>
      <c r="H91" s="99">
        <f>G91+'18 '!H91</f>
        <v>0.32000000000016371</v>
      </c>
      <c r="I91" s="165"/>
      <c r="J91" s="175">
        <f>H91/DAY(B2)</f>
        <v>1.6842105263166512E-2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'18 '!F92</f>
        <v>5295.27</v>
      </c>
      <c r="F92" s="122">
        <v>5306.26</v>
      </c>
      <c r="G92" s="671">
        <f t="shared" si="8"/>
        <v>10.989999999999782</v>
      </c>
      <c r="H92" s="99">
        <f>G92+'18 '!H92</f>
        <v>210.36000000000058</v>
      </c>
      <c r="I92" s="165"/>
      <c r="J92" s="175">
        <f>H92/DAY(B2)</f>
        <v>11.071578947368451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674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687">
        <f>G35+G43+G49+G57</f>
        <v>6214.8000000000065</v>
      </c>
      <c r="H94" s="99">
        <f>G94+'18 '!H94</f>
        <v>123389.56999999991</v>
      </c>
      <c r="I94" s="118"/>
      <c r="J94" s="175">
        <f>H94/DAY(B2)</f>
        <v>6494.1878947368368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688">
        <f>G94/G7</f>
        <v>0.27046740360344707</v>
      </c>
      <c r="H95" s="99">
        <f>G95+'18 '!H95</f>
        <v>5.2671894728703643</v>
      </c>
      <c r="I95" s="167"/>
      <c r="J95" s="175">
        <f>H95/DAY(B2)</f>
        <v>0.27722049857212444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687">
        <f>G41+G42+G55+G56</f>
        <v>5180.5400000000009</v>
      </c>
      <c r="H96" s="99">
        <f>G96+'18 '!H96</f>
        <v>106205.14000000001</v>
      </c>
      <c r="I96" s="118"/>
      <c r="J96" s="175">
        <f>H96/DAY(B2)</f>
        <v>5589.7442105263162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688">
        <f>G96/G7</f>
        <v>0.22545652363129953</v>
      </c>
      <c r="H97" s="99">
        <f>G97+'18 '!H97</f>
        <v>4.521645194196215</v>
      </c>
      <c r="I97" s="167"/>
      <c r="J97" s="175">
        <f>H97/DAY(B2)</f>
        <v>0.23798132601032709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687">
        <f>G39+G53</f>
        <v>3077.5599999999977</v>
      </c>
      <c r="H98" s="99">
        <f>G98+'18 '!H98</f>
        <v>56112.660000000033</v>
      </c>
      <c r="I98" s="168"/>
      <c r="J98" s="175">
        <f>H98/DAY(B2)</f>
        <v>2953.2978947368438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688">
        <f>G98/G7</f>
        <v>0.13393506832622498</v>
      </c>
      <c r="H99" s="99">
        <f>G99+'18 '!H99</f>
        <v>2.3971181371389485</v>
      </c>
      <c r="I99" s="168"/>
      <c r="J99" s="175">
        <f>H99/DAY(B2)</f>
        <v>0.12616411248099729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687">
        <f>G38+G52</f>
        <v>2024.9400000000023</v>
      </c>
      <c r="H100" s="99">
        <f>G100+'18 '!H100</f>
        <v>38348.880000000005</v>
      </c>
      <c r="I100" s="118"/>
      <c r="J100" s="175">
        <f>H100/DAY(B2)</f>
        <v>2018.3621052631581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688">
        <f>G100/G7</f>
        <v>8.8125163199582315E-2</v>
      </c>
      <c r="H101" s="99">
        <f>G101+'18 '!H101</f>
        <v>1.6377414989439467</v>
      </c>
      <c r="I101" s="168"/>
      <c r="J101" s="175">
        <f>H101/DAY(B2)</f>
        <v>8.6196920997049828E-2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687">
        <f>G36+G50</f>
        <v>2763.25</v>
      </c>
      <c r="H102" s="99">
        <f>G102+'18 '!H102</f>
        <v>47237.600000000057</v>
      </c>
      <c r="I102" s="168"/>
      <c r="J102" s="175">
        <f>H102/DAY(B2)</f>
        <v>2486.1894736842137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688">
        <f>G102/G7</f>
        <v>0.12025633214378971</v>
      </c>
      <c r="H103" s="99">
        <f>G103+'18 '!H103</f>
        <v>2.0167337592432499</v>
      </c>
      <c r="I103" s="118"/>
      <c r="J103" s="175">
        <f>H103/DAY(B2)</f>
        <v>0.10614388206543421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687">
        <f>G37+G51</f>
        <v>1585.359999999986</v>
      </c>
      <c r="H104" s="99">
        <f>G104+'18 '!H104</f>
        <v>30745.089999999997</v>
      </c>
      <c r="I104" s="118"/>
      <c r="J104" s="175">
        <f>H104/DAY(B2)</f>
        <v>1618.1626315789472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689">
        <f>G104/G7</f>
        <v>6.8994690573591519E-2</v>
      </c>
      <c r="H105" s="99">
        <f>G105+'18 '!H105</f>
        <v>1.3134922298859224</v>
      </c>
      <c r="I105" s="187"/>
      <c r="J105" s="188">
        <f>H105/DAY(B2)</f>
        <v>6.913116999399592E-2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690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692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'18 '!F112</f>
        <v>54763.519999999997</v>
      </c>
      <c r="F112" s="237">
        <v>54836.4</v>
      </c>
      <c r="G112" s="671">
        <f t="shared" ref="G112:G123" si="9">F112-E112</f>
        <v>72.880000000004657</v>
      </c>
      <c r="H112" s="99">
        <f>G112+'18 '!H112</f>
        <v>1484.3899999999994</v>
      </c>
      <c r="I112" s="165"/>
      <c r="J112" s="330">
        <f>H112/DAY(B2)</f>
        <v>78.125789473684179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'18 '!F113</f>
        <v>26276.84</v>
      </c>
      <c r="F113" s="237">
        <v>26750.47</v>
      </c>
      <c r="G113" s="671">
        <f t="shared" si="9"/>
        <v>473.63000000000102</v>
      </c>
      <c r="H113" s="99">
        <f>G113+'18 '!H113</f>
        <v>8793.9400000000023</v>
      </c>
      <c r="I113" s="165"/>
      <c r="J113" s="330">
        <f>H113/DAY(B2)</f>
        <v>462.8389473684212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'18 '!F114</f>
        <v>20652.2</v>
      </c>
      <c r="F114" s="237">
        <v>21239</v>
      </c>
      <c r="G114" s="671">
        <f t="shared" si="9"/>
        <v>586.79999999999927</v>
      </c>
      <c r="H114" s="99">
        <f>G114+'18 '!H114</f>
        <v>7154.7199999999975</v>
      </c>
      <c r="I114" s="165"/>
      <c r="J114" s="330">
        <f>H114/DAY(B2)</f>
        <v>376.56421052631566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'18 '!F115</f>
        <v>8628.27</v>
      </c>
      <c r="F115" s="237">
        <v>8640.2199999999993</v>
      </c>
      <c r="G115" s="671">
        <f t="shared" si="9"/>
        <v>11.949999999998909</v>
      </c>
      <c r="H115" s="99">
        <f>G115+'18 '!H115</f>
        <v>216.53999999999905</v>
      </c>
      <c r="I115" s="165"/>
      <c r="J115" s="330">
        <f>H115/DAY(B2)</f>
        <v>11.396842105263108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'18 '!F116</f>
        <v>0</v>
      </c>
      <c r="F116" s="237">
        <v>0</v>
      </c>
      <c r="G116" s="671">
        <f t="shared" si="9"/>
        <v>0</v>
      </c>
      <c r="H116" s="99">
        <f>G116+'18 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'18 '!F117</f>
        <v>2296.92</v>
      </c>
      <c r="F117" s="237">
        <v>2313.1799999999998</v>
      </c>
      <c r="G117" s="671">
        <f t="shared" si="9"/>
        <v>16.259999999999764</v>
      </c>
      <c r="H117" s="99">
        <f>G117+'18 '!H117</f>
        <v>372.09999999999991</v>
      </c>
      <c r="I117" s="165"/>
      <c r="J117" s="330">
        <f>H117/DAY(B2)</f>
        <v>19.584210526315786</v>
      </c>
      <c r="Q117" s="839" t="s">
        <v>312</v>
      </c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'18 '!F118</f>
        <v>236613.79</v>
      </c>
      <c r="F118" s="237">
        <v>236963.45</v>
      </c>
      <c r="G118" s="671">
        <f t="shared" si="9"/>
        <v>349.66000000000349</v>
      </c>
      <c r="H118" s="99">
        <f>G118+'18 '!H118</f>
        <v>7125.7200000000012</v>
      </c>
      <c r="I118" s="165"/>
      <c r="J118" s="330">
        <f>H118/DAY(B2)</f>
        <v>375.03789473684219</v>
      </c>
      <c r="Q118" s="839" t="s">
        <v>311</v>
      </c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'18 '!F119</f>
        <v>239589.73</v>
      </c>
      <c r="F119" s="237">
        <v>240051.83</v>
      </c>
      <c r="G119" s="671">
        <f t="shared" si="9"/>
        <v>462.09999999997672</v>
      </c>
      <c r="H119" s="99">
        <f>G119+'18 '!H119</f>
        <v>8325.2999999999884</v>
      </c>
      <c r="I119" s="165"/>
      <c r="J119" s="330">
        <f>H119/DAY(B2)</f>
        <v>438.17368421052572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'18 '!F120</f>
        <v>24657.47</v>
      </c>
      <c r="F120" s="237">
        <v>25067.9</v>
      </c>
      <c r="G120" s="671">
        <f t="shared" si="9"/>
        <v>410.43000000000029</v>
      </c>
      <c r="H120" s="99">
        <f>G120+'18 '!H120</f>
        <v>7882.5800000000017</v>
      </c>
      <c r="I120" s="165"/>
      <c r="J120" s="330">
        <f>H120/DAY(B2)</f>
        <v>414.87263157894745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'18 '!F121</f>
        <v>366372.37</v>
      </c>
      <c r="F121" s="237">
        <v>367136</v>
      </c>
      <c r="G121" s="671">
        <f t="shared" si="9"/>
        <v>763.63000000000466</v>
      </c>
      <c r="H121" s="99">
        <f>G121+'18 '!H121</f>
        <v>14081.770000000019</v>
      </c>
      <c r="I121" s="165"/>
      <c r="J121" s="330">
        <f>H121/DAY(B2)</f>
        <v>741.14578947368523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'18 '!F122</f>
        <v>116984.31</v>
      </c>
      <c r="F122" s="237">
        <v>117349</v>
      </c>
      <c r="G122" s="671">
        <f t="shared" si="9"/>
        <v>364.69000000000233</v>
      </c>
      <c r="H122" s="99">
        <f>G122+'18 '!H122</f>
        <v>6339.2100000000064</v>
      </c>
      <c r="I122" s="165"/>
      <c r="J122" s="330">
        <f>H122/DAY(B2)</f>
        <v>333.64263157894771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'18 '!F123</f>
        <v>140514.25399999999</v>
      </c>
      <c r="F123" s="237">
        <v>140902</v>
      </c>
      <c r="G123" s="671">
        <f t="shared" si="9"/>
        <v>387.74600000001374</v>
      </c>
      <c r="H123" s="99">
        <f>G123+'18 '!H123</f>
        <v>6536</v>
      </c>
      <c r="I123" s="165"/>
      <c r="J123" s="330">
        <f>H123/DAY(B2)</f>
        <v>344</v>
      </c>
    </row>
    <row r="124" spans="1:18" ht="29.25" customHeight="1" x14ac:dyDescent="0.5">
      <c r="A124" s="864"/>
      <c r="B124" s="865"/>
      <c r="C124" s="866"/>
      <c r="D124" s="165"/>
      <c r="E124" s="95">
        <f>'18 '!F124</f>
        <v>0</v>
      </c>
      <c r="F124" s="165"/>
      <c r="G124" s="692"/>
      <c r="H124" s="156"/>
      <c r="I124" s="165"/>
      <c r="J124" s="329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693">
        <f>SUM(G112:G124)</f>
        <v>3899.7760000000048</v>
      </c>
      <c r="H125" s="156"/>
      <c r="I125" s="329">
        <f>G125-(G39+G53)</f>
        <v>822.21600000000717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693"/>
      <c r="H127" s="99">
        <f>G127+'18 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'18 '!F128</f>
        <v>33686.199999999997</v>
      </c>
      <c r="F128" s="165">
        <v>34017.120000000003</v>
      </c>
      <c r="G128" s="671">
        <f t="shared" ref="G128:G134" si="10">F128-E128</f>
        <v>330.92000000000553</v>
      </c>
      <c r="H128" s="99">
        <f>G128+'18 '!H128</f>
        <v>6412.7500000000036</v>
      </c>
      <c r="I128" s="165"/>
      <c r="J128" s="330">
        <f>H128/DAY(B2)</f>
        <v>337.51315789473705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'18 '!F129</f>
        <v>17536.16</v>
      </c>
      <c r="F129" s="165">
        <v>17749.53</v>
      </c>
      <c r="G129" s="671">
        <f t="shared" si="10"/>
        <v>213.36999999999898</v>
      </c>
      <c r="H129" s="99">
        <f>G129+'18 '!H129</f>
        <v>5001.9399999999987</v>
      </c>
      <c r="I129" s="165"/>
      <c r="J129" s="330">
        <f>H129/DAY(B2)</f>
        <v>263.25999999999993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'18 '!F130</f>
        <v>8500.81</v>
      </c>
      <c r="F130" s="158">
        <v>9323.82</v>
      </c>
      <c r="G130" s="671">
        <f t="shared" si="10"/>
        <v>823.01000000000022</v>
      </c>
      <c r="H130" s="99">
        <f>G130+'18 '!H130</f>
        <v>7266.7099999999991</v>
      </c>
      <c r="I130" s="165"/>
      <c r="J130" s="330">
        <f>H130/DAY(B2)</f>
        <v>382.45842105263154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'18 '!F131</f>
        <v>11899.82</v>
      </c>
      <c r="F131" s="165">
        <v>11980.9</v>
      </c>
      <c r="G131" s="671">
        <f t="shared" si="10"/>
        <v>81.079999999999927</v>
      </c>
      <c r="H131" s="99">
        <f>G131+'18 '!H131</f>
        <v>2811.5499999999993</v>
      </c>
      <c r="I131" s="165"/>
      <c r="J131" s="330">
        <f>H131/DAY(B2)</f>
        <v>147.97631578947366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'18 '!F132</f>
        <v>160.80000000000001</v>
      </c>
      <c r="F132" s="165">
        <v>309.93</v>
      </c>
      <c r="G132" s="671">
        <f t="shared" si="10"/>
        <v>149.13</v>
      </c>
      <c r="H132" s="99">
        <f>G132+'18 '!H132</f>
        <v>7706.1999999999989</v>
      </c>
      <c r="I132" s="165"/>
      <c r="J132" s="330">
        <f>H132/DAY(B2)</f>
        <v>405.58947368421047</v>
      </c>
    </row>
    <row r="133" spans="1:15" ht="27.75" x14ac:dyDescent="0.5">
      <c r="A133" s="839" t="s">
        <v>363</v>
      </c>
      <c r="B133" s="840"/>
      <c r="C133" s="841"/>
      <c r="D133" s="151" t="s">
        <v>183</v>
      </c>
      <c r="E133" s="95">
        <f>'18 '!F133</f>
        <v>78665.48</v>
      </c>
      <c r="F133" s="165">
        <v>79524.36</v>
      </c>
      <c r="G133" s="671">
        <f t="shared" si="10"/>
        <v>858.88000000000466</v>
      </c>
      <c r="H133" s="99">
        <f>G133+'18 '!H133</f>
        <v>16049.940000000002</v>
      </c>
      <c r="I133" s="165"/>
      <c r="J133" s="330">
        <f>H133/DAY(B2)</f>
        <v>844.73368421052646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'18 '!F134</f>
        <v>662384</v>
      </c>
      <c r="F134" s="165">
        <v>663024</v>
      </c>
      <c r="G134" s="671">
        <f t="shared" si="10"/>
        <v>640</v>
      </c>
      <c r="H134" s="99">
        <f>G134+'18 '!H134</f>
        <v>11817</v>
      </c>
      <c r="I134" s="165"/>
      <c r="J134" s="330">
        <f>H134/DAY(B2)</f>
        <v>621.9473684210526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65"/>
      <c r="G135" s="671">
        <f>SUM(G128:G134)</f>
        <v>3096.3900000000094</v>
      </c>
      <c r="H135" s="99">
        <f>G135+'10'!H135</f>
        <v>32628.310000000009</v>
      </c>
      <c r="I135" s="329">
        <f>G135-(G35+G49)</f>
        <v>-323.64999999999873</v>
      </c>
      <c r="J135" s="330"/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692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'18 '!F138</f>
        <v>862719</v>
      </c>
      <c r="F138" s="147">
        <v>862833</v>
      </c>
      <c r="G138" s="671">
        <f t="shared" ref="G138:G152" si="11">F138-E138</f>
        <v>114</v>
      </c>
      <c r="H138" s="99">
        <f>G138+'18 '!H138</f>
        <v>1571</v>
      </c>
      <c r="I138" s="118"/>
      <c r="J138" s="330">
        <f>H138/DAY(B2)</f>
        <v>82.684210526315795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'18 '!F139</f>
        <v>886440</v>
      </c>
      <c r="F139" s="148">
        <v>886455</v>
      </c>
      <c r="G139" s="671">
        <f t="shared" si="11"/>
        <v>15</v>
      </c>
      <c r="H139" s="99">
        <f>G139+'18 '!H139</f>
        <v>256</v>
      </c>
      <c r="I139" s="118"/>
      <c r="J139" s="330">
        <f>H139/DAY(B2)</f>
        <v>13.473684210526315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'18 '!F140</f>
        <v>88877.5</v>
      </c>
      <c r="F140" s="149">
        <v>88878.8</v>
      </c>
      <c r="G140" s="671">
        <f t="shared" si="11"/>
        <v>1.3000000000029104</v>
      </c>
      <c r="H140" s="99">
        <f>G140+'18 '!H140</f>
        <v>29.80000000000291</v>
      </c>
      <c r="I140" s="118"/>
      <c r="J140" s="330">
        <f>H140/DAY(B2)</f>
        <v>1.5684210526317321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'18 '!F141</f>
        <v>46715.63</v>
      </c>
      <c r="F141" s="149">
        <v>46918.79</v>
      </c>
      <c r="G141" s="671">
        <f t="shared" si="11"/>
        <v>203.16000000000349</v>
      </c>
      <c r="H141" s="99">
        <f>G141+'18 '!H141</f>
        <v>3792.0599999999977</v>
      </c>
      <c r="I141" s="118"/>
      <c r="J141" s="330">
        <f>H141/DAY(B2)</f>
        <v>199.58210526315779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'18 '!F142</f>
        <v>18031.2</v>
      </c>
      <c r="F142" s="148">
        <v>18109.099999999999</v>
      </c>
      <c r="G142" s="671">
        <f t="shared" si="11"/>
        <v>77.899999999997817</v>
      </c>
      <c r="H142" s="99">
        <f>G142+'18 '!H142</f>
        <v>648.59999999999854</v>
      </c>
      <c r="I142" s="140"/>
      <c r="J142" s="330">
        <f>H142/DAY(B2)</f>
        <v>34.136842105263078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'18 '!F143</f>
        <v>2743.26</v>
      </c>
      <c r="F143" s="149">
        <v>2772.57</v>
      </c>
      <c r="G143" s="671">
        <f t="shared" si="11"/>
        <v>29.309999999999945</v>
      </c>
      <c r="H143" s="99">
        <f>G143+'18 '!H143</f>
        <v>571.17000000000007</v>
      </c>
      <c r="I143" s="140"/>
      <c r="J143" s="330">
        <f>H143/DAY(B2)</f>
        <v>30.061578947368425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'18 '!F144</f>
        <v>866554</v>
      </c>
      <c r="F144" s="149">
        <v>866786</v>
      </c>
      <c r="G144" s="671">
        <f t="shared" si="11"/>
        <v>232</v>
      </c>
      <c r="H144" s="99">
        <f>G144+'18 '!H144</f>
        <v>4391</v>
      </c>
      <c r="I144" s="140"/>
      <c r="J144" s="330">
        <f>H144/DAY(B2)</f>
        <v>231.10526315789474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'18 '!F145</f>
        <v>4298.5200000000004</v>
      </c>
      <c r="F145" s="149">
        <v>4336.97</v>
      </c>
      <c r="G145" s="671">
        <f t="shared" si="11"/>
        <v>38.449999999999818</v>
      </c>
      <c r="H145" s="99">
        <f>G145+'18 '!H145</f>
        <v>917.97000000000025</v>
      </c>
      <c r="I145" s="140"/>
      <c r="J145" s="330">
        <f>H145/DAY(B2)</f>
        <v>48.314210526315804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'18 '!F146</f>
        <v>718527</v>
      </c>
      <c r="F146" s="148">
        <v>719016</v>
      </c>
      <c r="G146" s="671">
        <f t="shared" si="11"/>
        <v>489</v>
      </c>
      <c r="H146" s="99">
        <f>G146+'18 '!H146</f>
        <v>8131</v>
      </c>
      <c r="I146" s="140"/>
      <c r="J146" s="330">
        <f>H146/DAY(B2)</f>
        <v>427.94736842105266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'18 '!F147</f>
        <v>609888.04</v>
      </c>
      <c r="F147" s="148">
        <v>610354.43999999994</v>
      </c>
      <c r="G147" s="671">
        <f t="shared" si="11"/>
        <v>466.39999999990687</v>
      </c>
      <c r="H147" s="99">
        <f>G147+'18 '!H147</f>
        <v>8369.3999999999069</v>
      </c>
      <c r="I147" s="140"/>
      <c r="J147" s="330">
        <f>H147/DAY(B2)</f>
        <v>440.49473684210034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'18 '!F148</f>
        <v>679151.76</v>
      </c>
      <c r="F148" s="150">
        <v>679520.75</v>
      </c>
      <c r="G148" s="671">
        <f t="shared" si="11"/>
        <v>368.98999999999069</v>
      </c>
      <c r="H148" s="99">
        <f>G148+'18 '!H148</f>
        <v>5731.0699999999488</v>
      </c>
      <c r="I148" s="124"/>
      <c r="J148" s="330">
        <f>H148/DAY(B2)</f>
        <v>301.63526315789204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v>3454</v>
      </c>
      <c r="F149" s="544">
        <v>4030</v>
      </c>
      <c r="G149" s="671">
        <f t="shared" si="11"/>
        <v>576</v>
      </c>
      <c r="H149" s="99">
        <f>G149+'18 '!H149</f>
        <v>96248</v>
      </c>
      <c r="I149" s="119"/>
      <c r="J149" s="330">
        <f>H149/DAY(B2)</f>
        <v>5065.6842105263158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'18 '!F150</f>
        <v>1104.3499999999999</v>
      </c>
      <c r="F150" s="233">
        <v>1329.32</v>
      </c>
      <c r="G150" s="671">
        <f t="shared" si="11"/>
        <v>224.97000000000003</v>
      </c>
      <c r="H150" s="99">
        <f>G150+'18 '!H150</f>
        <v>1137.32</v>
      </c>
      <c r="I150" s="119"/>
      <c r="J150" s="330">
        <f>H150/DAY(B2)</f>
        <v>59.858947368421049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'18 '!F151</f>
        <v>75189</v>
      </c>
      <c r="F151" s="233">
        <v>75412</v>
      </c>
      <c r="G151" s="671">
        <f t="shared" si="11"/>
        <v>223</v>
      </c>
      <c r="H151" s="99">
        <f>G151+'18 '!H151</f>
        <v>4690</v>
      </c>
      <c r="I151" s="119"/>
      <c r="J151" s="330">
        <f>H151/DAY(B2)</f>
        <v>246.84210526315789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'18 '!F152</f>
        <v>476</v>
      </c>
      <c r="F152" s="233">
        <v>528.4</v>
      </c>
      <c r="G152" s="671">
        <f t="shared" si="11"/>
        <v>52.399999999999977</v>
      </c>
      <c r="H152" s="99">
        <f>G152+'18 '!H152</f>
        <v>528.4</v>
      </c>
      <c r="I152" s="119"/>
      <c r="J152" s="330">
        <f>H152/DAY(B2)</f>
        <v>27.810526315789474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694">
        <f>SUM(G138:G152)</f>
        <v>3111.8799999999014</v>
      </c>
      <c r="H153" s="365"/>
      <c r="I153" s="119">
        <f>G153-(G38+G52)</f>
        <v>1086.9399999998991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'18 '!F155</f>
        <v>4166</v>
      </c>
      <c r="F155" s="157">
        <v>4855</v>
      </c>
      <c r="G155" s="671">
        <f t="shared" ref="G155:G158" si="12">F155-E155</f>
        <v>689</v>
      </c>
      <c r="H155" s="99">
        <f>G155+'18 '!H155</f>
        <v>4948</v>
      </c>
      <c r="I155" s="366"/>
      <c r="J155" s="330">
        <f>H155/DAY(B2)</f>
        <v>260.42105263157896</v>
      </c>
    </row>
    <row r="156" spans="1:10" ht="27.75" x14ac:dyDescent="0.5">
      <c r="A156" s="838" t="s">
        <v>347</v>
      </c>
      <c r="B156" s="838"/>
      <c r="C156" s="838"/>
      <c r="D156" s="117" t="s">
        <v>130</v>
      </c>
      <c r="E156" s="95">
        <f>'18 '!F156</f>
        <v>342</v>
      </c>
      <c r="F156" s="157">
        <v>397</v>
      </c>
      <c r="G156" s="671">
        <f t="shared" si="12"/>
        <v>55</v>
      </c>
      <c r="H156" s="99">
        <f>G156+'18 '!H156</f>
        <v>397</v>
      </c>
      <c r="I156" s="165"/>
      <c r="J156" s="330">
        <f>H156/DAY(B2)</f>
        <v>20.894736842105264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>
        <f>'18 '!F157</f>
        <v>351.92</v>
      </c>
      <c r="F157" s="376">
        <v>420.13</v>
      </c>
      <c r="G157" s="671">
        <f t="shared" si="12"/>
        <v>68.20999999999998</v>
      </c>
      <c r="H157" s="99"/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>
        <f>'18 '!F158</f>
        <v>0</v>
      </c>
      <c r="F158" s="376">
        <v>0</v>
      </c>
      <c r="G158" s="671">
        <f t="shared" si="12"/>
        <v>0</v>
      </c>
      <c r="H158" s="99"/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65"/>
      <c r="G159" s="671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471137.84</v>
      </c>
      <c r="F161" s="235">
        <v>471140.92</v>
      </c>
      <c r="G161" s="695">
        <f t="shared" ref="G161:G165" si="13">F161-E161</f>
        <v>3.0799999999580905</v>
      </c>
      <c r="H161" s="99">
        <f>G161+'18 '!H161</f>
        <v>164.79999999998836</v>
      </c>
      <c r="I161" s="236"/>
      <c r="J161" s="239">
        <f>H161/DAY(B2)</f>
        <v>8.6736842105257033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87203.5</v>
      </c>
      <c r="F162" s="235">
        <v>87215.5</v>
      </c>
      <c r="G162" s="695">
        <f t="shared" si="13"/>
        <v>12</v>
      </c>
      <c r="H162" s="99">
        <f>G162+'18 '!H162</f>
        <v>613.80000000000291</v>
      </c>
      <c r="I162" s="236"/>
      <c r="J162" s="239">
        <f>H162/DAY(B2)</f>
        <v>32.305263157894892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77007.100000000006</v>
      </c>
      <c r="F163" s="235">
        <v>77042.7</v>
      </c>
      <c r="G163" s="695">
        <f t="shared" si="13"/>
        <v>35.599999999991269</v>
      </c>
      <c r="H163" s="99">
        <f>G163+'18 '!H163</f>
        <v>1582.8999999999942</v>
      </c>
      <c r="I163" s="236"/>
      <c r="J163" s="239">
        <f>H163/DAY(B2)</f>
        <v>83.310526315789161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4192.3</v>
      </c>
      <c r="F164" s="235">
        <v>4193.3</v>
      </c>
      <c r="G164" s="695">
        <f t="shared" si="13"/>
        <v>1</v>
      </c>
      <c r="H164" s="99">
        <f>G164+'18 '!H164</f>
        <v>95.400000000000546</v>
      </c>
      <c r="I164" s="236"/>
      <c r="J164" s="239">
        <f>H164/DAY(B2)</f>
        <v>5.0210526315789759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29559.93</v>
      </c>
      <c r="F165" s="235">
        <v>29560.47</v>
      </c>
      <c r="G165" s="695">
        <f t="shared" si="13"/>
        <v>0.54000000000087311</v>
      </c>
      <c r="H165" s="99">
        <f>G165+'18 '!H165</f>
        <v>131.53880000000208</v>
      </c>
      <c r="I165" s="236"/>
      <c r="J165" s="239">
        <f>H165/DAY(B2)</f>
        <v>6.9230947368422147</v>
      </c>
    </row>
    <row r="166" spans="1:10" ht="29.25" x14ac:dyDescent="0.5">
      <c r="A166" s="870"/>
      <c r="B166" s="870"/>
      <c r="C166" s="246"/>
      <c r="D166" s="244" t="s">
        <v>180</v>
      </c>
      <c r="E166" s="95">
        <f>'18 '!F166</f>
        <v>0</v>
      </c>
      <c r="F166" s="165"/>
      <c r="G166" s="692"/>
      <c r="H166" s="99">
        <f>G166+'18 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'18 '!F167</f>
        <v>0</v>
      </c>
      <c r="F167" s="165"/>
      <c r="G167" s="692"/>
      <c r="H167" s="99">
        <f>G167+'18 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'18 '!F168</f>
        <v>0</v>
      </c>
      <c r="F168" s="165"/>
      <c r="G168" s="692"/>
      <c r="H168" s="99">
        <f>G168+'18 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696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'18 '!F173</f>
        <v>8110</v>
      </c>
      <c r="F173" s="157">
        <v>8110</v>
      </c>
      <c r="G173" s="696">
        <f>F173-E173</f>
        <v>0</v>
      </c>
      <c r="H173" s="99">
        <f>G173+'18 '!H173</f>
        <v>3</v>
      </c>
      <c r="I173" s="155"/>
      <c r="J173" s="178">
        <f>H173/DAY(B2)</f>
        <v>0.15789473684210525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'18 '!F174</f>
        <v>38099</v>
      </c>
      <c r="F174" s="157">
        <v>38114</v>
      </c>
      <c r="G174" s="696">
        <f t="shared" ref="G174:G175" si="14">F174-E174</f>
        <v>15</v>
      </c>
      <c r="H174" s="99">
        <f>G174+'18 '!H174</f>
        <v>312</v>
      </c>
      <c r="I174" s="155"/>
      <c r="J174" s="178">
        <f>H174/DAY(B2)</f>
        <v>16.421052631578949</v>
      </c>
    </row>
    <row r="175" spans="1:10" ht="27.75" x14ac:dyDescent="0.5">
      <c r="A175" s="831" t="s">
        <v>76</v>
      </c>
      <c r="B175" s="833"/>
      <c r="C175" s="832"/>
      <c r="D175" s="228" t="s">
        <v>142</v>
      </c>
      <c r="E175" s="95">
        <f>'18 '!F175</f>
        <v>21369</v>
      </c>
      <c r="F175" s="155">
        <v>21380</v>
      </c>
      <c r="G175" s="696">
        <f t="shared" si="14"/>
        <v>11</v>
      </c>
      <c r="H175" s="99">
        <f>G175+'18 '!H175</f>
        <v>243</v>
      </c>
      <c r="I175" s="155"/>
      <c r="J175" s="178">
        <f>H175/DAY(B2)</f>
        <v>12.789473684210526</v>
      </c>
    </row>
    <row r="176" spans="1:10" ht="27.75" x14ac:dyDescent="0.5">
      <c r="A176" s="867" t="s">
        <v>196</v>
      </c>
      <c r="B176" s="868"/>
      <c r="C176" s="529"/>
      <c r="D176" s="228" t="s">
        <v>142</v>
      </c>
      <c r="E176" s="95"/>
      <c r="F176" s="155"/>
      <c r="G176" s="696">
        <f>SUM(G173:G175)</f>
        <v>26</v>
      </c>
      <c r="H176" s="99">
        <f>G176+'18 '!H176</f>
        <v>558</v>
      </c>
      <c r="I176" s="155"/>
      <c r="J176" s="178">
        <f>H176/DAY(B2)</f>
        <v>29.368421052631579</v>
      </c>
    </row>
    <row r="177" spans="1:11" ht="27.75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696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831" t="s">
        <v>210</v>
      </c>
      <c r="B178" s="832"/>
      <c r="C178" s="335"/>
      <c r="D178" s="228" t="s">
        <v>142</v>
      </c>
      <c r="E178" s="95">
        <f>'18 '!F178</f>
        <v>78714</v>
      </c>
      <c r="F178" s="155">
        <v>78788</v>
      </c>
      <c r="G178" s="696">
        <f>F178-E178</f>
        <v>74</v>
      </c>
      <c r="H178" s="99">
        <f>G178+'18 '!H178</f>
        <v>1436</v>
      </c>
      <c r="I178" s="155"/>
      <c r="J178" s="178">
        <f>H178/DAY(B2)</f>
        <v>75.578947368421055</v>
      </c>
    </row>
    <row r="179" spans="1:11" ht="27.75" x14ac:dyDescent="0.5">
      <c r="A179" s="831" t="s">
        <v>211</v>
      </c>
      <c r="B179" s="832"/>
      <c r="C179" s="335"/>
      <c r="D179" s="228" t="s">
        <v>142</v>
      </c>
      <c r="E179" s="95">
        <f>'18 '!F179</f>
        <v>33915</v>
      </c>
      <c r="F179" s="155">
        <v>33915</v>
      </c>
      <c r="G179" s="696">
        <f t="shared" ref="G179:G180" si="15">F179-E179</f>
        <v>0</v>
      </c>
      <c r="H179" s="99">
        <f>G179+'18 '!H179</f>
        <v>29</v>
      </c>
      <c r="I179" s="155"/>
      <c r="J179" s="178">
        <f>H179/DAY(B2)</f>
        <v>1.5263157894736843</v>
      </c>
    </row>
    <row r="180" spans="1:11" ht="27.75" x14ac:dyDescent="0.5">
      <c r="A180" s="831" t="s">
        <v>212</v>
      </c>
      <c r="B180" s="832"/>
      <c r="C180" s="335"/>
      <c r="D180" s="228" t="s">
        <v>142</v>
      </c>
      <c r="E180" s="95">
        <f>'18 '!F180</f>
        <v>5396</v>
      </c>
      <c r="F180" s="155">
        <v>5397</v>
      </c>
      <c r="G180" s="696">
        <f t="shared" si="15"/>
        <v>1</v>
      </c>
      <c r="H180" s="99">
        <f>G180+'18 '!H180</f>
        <v>124</v>
      </c>
      <c r="I180" s="155"/>
      <c r="J180" s="178">
        <f>H180/DAY(B2)</f>
        <v>6.5263157894736841</v>
      </c>
    </row>
    <row r="181" spans="1:11" ht="27.75" x14ac:dyDescent="0.5">
      <c r="A181" s="872" t="s">
        <v>108</v>
      </c>
      <c r="B181" s="873"/>
      <c r="C181" s="529"/>
      <c r="D181" s="228" t="s">
        <v>142</v>
      </c>
      <c r="E181" s="95"/>
      <c r="F181" s="155"/>
      <c r="G181" s="696">
        <f>SUM(G178:G180)</f>
        <v>75</v>
      </c>
      <c r="H181" s="99">
        <f>G181+'18 '!H181</f>
        <v>1589</v>
      </c>
      <c r="I181" s="155"/>
      <c r="J181" s="178">
        <f>H181/DAY(B2)</f>
        <v>83.631578947368425</v>
      </c>
    </row>
    <row r="182" spans="1:11" ht="27.75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696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831" t="s">
        <v>214</v>
      </c>
      <c r="B183" s="832"/>
      <c r="C183" s="336"/>
      <c r="D183" s="228" t="s">
        <v>142</v>
      </c>
      <c r="E183" s="95">
        <f>'18 '!F183</f>
        <v>14739</v>
      </c>
      <c r="F183" s="157">
        <v>14773</v>
      </c>
      <c r="G183" s="697">
        <f>F183-E183</f>
        <v>34</v>
      </c>
      <c r="H183" s="99">
        <f>G183+'18 '!H183</f>
        <v>277</v>
      </c>
      <c r="I183" s="155"/>
      <c r="J183" s="178">
        <f>H183/DAY(B2)</f>
        <v>14.578947368421053</v>
      </c>
    </row>
    <row r="184" spans="1:11" ht="27.75" x14ac:dyDescent="0.5">
      <c r="A184" s="831" t="s">
        <v>215</v>
      </c>
      <c r="B184" s="832"/>
      <c r="C184" s="336"/>
      <c r="D184" s="228" t="s">
        <v>142</v>
      </c>
      <c r="E184" s="95">
        <f>'18 '!F184</f>
        <v>10199</v>
      </c>
      <c r="F184" s="157">
        <v>10212</v>
      </c>
      <c r="G184" s="697">
        <f t="shared" ref="G184:G185" si="16">F184-E184</f>
        <v>13</v>
      </c>
      <c r="H184" s="99">
        <f>G184+'18 '!H184</f>
        <v>181</v>
      </c>
      <c r="I184" s="155"/>
      <c r="J184" s="178">
        <f>H184/DAY(B2)</f>
        <v>9.526315789473685</v>
      </c>
    </row>
    <row r="185" spans="1:11" ht="30.75" customHeight="1" x14ac:dyDescent="0.5">
      <c r="A185" s="831" t="s">
        <v>216</v>
      </c>
      <c r="B185" s="832"/>
      <c r="C185" s="336"/>
      <c r="D185" s="228" t="s">
        <v>142</v>
      </c>
      <c r="E185" s="95">
        <f>'18 '!F185</f>
        <v>0</v>
      </c>
      <c r="F185" s="157"/>
      <c r="G185" s="697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867" t="s">
        <v>196</v>
      </c>
      <c r="B186" s="868"/>
      <c r="C186" s="528"/>
      <c r="D186" s="228" t="s">
        <v>142</v>
      </c>
      <c r="E186" s="95"/>
      <c r="F186" s="157"/>
      <c r="G186" s="697">
        <f>SUM(G183:G185)</f>
        <v>47</v>
      </c>
      <c r="H186" s="99">
        <f>G186+'18 '!H186</f>
        <v>458</v>
      </c>
      <c r="I186" s="157"/>
      <c r="J186" s="178">
        <f>H186/DAY(B2)</f>
        <v>24.105263157894736</v>
      </c>
    </row>
    <row r="187" spans="1:11" ht="27.75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698">
        <f>G62+G19</f>
        <v>183</v>
      </c>
      <c r="H187" s="99">
        <f>G187+'18 '!H187</f>
        <v>3378</v>
      </c>
      <c r="I187" s="158"/>
      <c r="J187" s="179">
        <f>H187/DAY(B2)</f>
        <v>177.78947368421052</v>
      </c>
    </row>
    <row r="188" spans="1:11" ht="27.75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698">
        <f>G65+G66+G67+G69+G70</f>
        <v>214</v>
      </c>
      <c r="H188" s="99">
        <f>G188+'18 '!H188</f>
        <v>911</v>
      </c>
      <c r="I188" s="158"/>
      <c r="J188" s="179">
        <f>H188/DAY(B2)</f>
        <v>47.94736842105263</v>
      </c>
    </row>
    <row r="189" spans="1:11" ht="27.75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698">
        <f>G181</f>
        <v>75</v>
      </c>
      <c r="H189" s="99">
        <f>G189+'30'!H238</f>
        <v>75</v>
      </c>
      <c r="I189" s="158"/>
      <c r="J189" s="179">
        <f>H189/DAY(B2)</f>
        <v>3.9473684210526314</v>
      </c>
    </row>
    <row r="190" spans="1:11" ht="23.25" customHeight="1" x14ac:dyDescent="0.5">
      <c r="A190" s="245" t="s">
        <v>361</v>
      </c>
      <c r="B190" s="246"/>
      <c r="C190" s="246"/>
      <c r="D190" s="165"/>
      <c r="E190" s="165"/>
      <c r="F190" s="638">
        <f>'18 '!G190</f>
        <v>52871</v>
      </c>
      <c r="G190" s="692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103" zoomScale="55" zoomScaleSheetLayoutView="55" zoomScalePageLayoutView="78" workbookViewId="0">
      <selection activeCell="F124" sqref="F1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356</v>
      </c>
      <c r="B2" s="262">
        <v>44550</v>
      </c>
      <c r="C2" s="350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846165.35</v>
      </c>
      <c r="F7" s="95">
        <v>867249.51</v>
      </c>
      <c r="G7" s="112">
        <f>F7-E7</f>
        <v>21084.160000000033</v>
      </c>
      <c r="H7" s="99">
        <f>G7+'19'!H7</f>
        <v>466407.51</v>
      </c>
      <c r="I7" s="113">
        <v>24000</v>
      </c>
      <c r="J7" s="175">
        <f>H7/DAY(B2)</f>
        <v>23320.375500000002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889830.38</v>
      </c>
      <c r="F8" s="95">
        <v>911130.31</v>
      </c>
      <c r="G8" s="115">
        <f>F8-E8</f>
        <v>21299.930000000051</v>
      </c>
      <c r="H8" s="99">
        <f>G8+'19'!H8</f>
        <v>472835.31000000006</v>
      </c>
      <c r="I8" s="116"/>
      <c r="J8" s="175">
        <f>H8/DAY(B2)</f>
        <v>23641.765500000001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2056333.1</v>
      </c>
      <c r="F9" s="659">
        <v>2073900.3</v>
      </c>
      <c r="G9" s="112">
        <f>F9-E9</f>
        <v>17567.199999999953</v>
      </c>
      <c r="H9" s="99">
        <f>G9+'19'!H9</f>
        <v>354802.60000000009</v>
      </c>
      <c r="I9" s="124">
        <f>I7-J7</f>
        <v>679.62449999999808</v>
      </c>
      <c r="J9" s="175">
        <f>H9/DAY(B2)</f>
        <v>17740.130000000005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501933.75</v>
      </c>
      <c r="F10" s="355">
        <v>504844.23</v>
      </c>
      <c r="G10" s="112">
        <f t="shared" ref="G10:G12" si="0">F10-E10</f>
        <v>2910.4799999999814</v>
      </c>
      <c r="H10" s="99">
        <f>G10+'19'!H10</f>
        <v>98761.799999999988</v>
      </c>
      <c r="I10" s="282"/>
      <c r="J10" s="175">
        <f>H10/DAY(B2)</f>
        <v>4938.0899999999992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37000</v>
      </c>
      <c r="F11" s="95">
        <v>37000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20477.679999999935</v>
      </c>
      <c r="H13" s="99">
        <f>G13+'19'!H13</f>
        <v>431513.53</v>
      </c>
      <c r="I13" s="120">
        <f>G7-G13</f>
        <v>606.48000000009779</v>
      </c>
      <c r="J13" s="175">
        <f>H13/DAY(B2)</f>
        <v>21575.676500000001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'19'!F15</f>
        <v>1865387.4</v>
      </c>
      <c r="F15" s="123">
        <v>1866541.81</v>
      </c>
      <c r="G15" s="112">
        <f>(F15-E15)</f>
        <v>1154.410000000149</v>
      </c>
      <c r="H15" s="99">
        <f>G15+'19'!H15</f>
        <v>23393.810000000056</v>
      </c>
      <c r="I15" s="113">
        <f>'1'!I15</f>
        <v>800</v>
      </c>
      <c r="J15" s="175">
        <f>H15/DAY(B2)</f>
        <v>1169.6905000000029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-369.69050000000288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'19'!F18</f>
        <v>22</v>
      </c>
      <c r="F18" s="122">
        <v>22</v>
      </c>
      <c r="G18" s="119">
        <f>F18*10</f>
        <v>220</v>
      </c>
      <c r="H18" s="99">
        <f>G18+'19'!H18</f>
        <v>4240</v>
      </c>
      <c r="I18" s="113">
        <f>'1'!I18</f>
        <v>65</v>
      </c>
      <c r="J18" s="175">
        <f>H18/DAY(B2)</f>
        <v>212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'19'!F19</f>
        <v>151589</v>
      </c>
      <c r="F19" s="122">
        <v>151642</v>
      </c>
      <c r="G19" s="112">
        <f t="shared" ref="G19" si="1">F19-E19</f>
        <v>53</v>
      </c>
      <c r="H19" s="99">
        <f>G19+'19'!H19</f>
        <v>1058</v>
      </c>
      <c r="I19" s="337"/>
      <c r="J19" s="175">
        <f>H19/DAY(B2)</f>
        <v>52.9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273</v>
      </c>
      <c r="H20" s="99">
        <f>G20+'19'!H20</f>
        <v>5298</v>
      </c>
      <c r="I20" s="338">
        <f>I18-J20</f>
        <v>-199.89999999999998</v>
      </c>
      <c r="J20" s="175">
        <f>H20/DAY(B2)</f>
        <v>264.89999999999998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'19'!F23</f>
        <v>2000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21299.930000000051</v>
      </c>
      <c r="F27" s="136">
        <v>9</v>
      </c>
      <c r="G27" s="137">
        <f>E27*F27</f>
        <v>191699.37000000046</v>
      </c>
      <c r="H27" s="99">
        <f>G27+'19'!H27</f>
        <v>4255517.79</v>
      </c>
      <c r="I27" s="138"/>
      <c r="J27" s="175">
        <f>H27/DAY(B2)</f>
        <v>212775.88949999999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1154.410000000149</v>
      </c>
      <c r="F28" s="136">
        <v>52</v>
      </c>
      <c r="G28" s="137">
        <f>E28*F28</f>
        <v>60029.320000007749</v>
      </c>
      <c r="H28" s="99">
        <f>G28+'19'!H28</f>
        <v>1216478.1200000029</v>
      </c>
      <c r="I28" s="140"/>
      <c r="J28" s="175">
        <f>H28/DAY(B2)</f>
        <v>60823.906000000148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G30+'19'!H30</f>
        <v>154468</v>
      </c>
      <c r="I30" s="140"/>
      <c r="J30" s="175">
        <f>H30/DAY(B2)</f>
        <v>7723.4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G31+'19'!H31</f>
        <v>339200</v>
      </c>
      <c r="I31" s="140"/>
      <c r="J31" s="175">
        <f>H31/DAY(B2)</f>
        <v>16960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277066.69000000821</v>
      </c>
      <c r="H32" s="99">
        <f>G32+'19'!H32</f>
        <v>5965663.9100000029</v>
      </c>
      <c r="I32" s="144"/>
      <c r="J32" s="175">
        <f>H32/DAY(B2)</f>
        <v>298283.19550000015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131972.82999999999</v>
      </c>
      <c r="F35" s="145">
        <v>133715.63</v>
      </c>
      <c r="G35" s="112">
        <f t="shared" ref="G35:G46" si="3">F35-E35</f>
        <v>1742.8000000000175</v>
      </c>
      <c r="H35" s="99">
        <f>G35+'19'!H35</f>
        <v>40181</v>
      </c>
      <c r="I35" s="95"/>
      <c r="J35" s="175">
        <f>H35/DAY(B2)</f>
        <v>2009.05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10261</v>
      </c>
      <c r="F36" s="145">
        <v>11187.36</v>
      </c>
      <c r="G36" s="112">
        <f t="shared" si="3"/>
        <v>926.36000000000058</v>
      </c>
      <c r="H36" s="99">
        <f>G36+'19'!H36</f>
        <v>21453.660000000007</v>
      </c>
      <c r="I36" s="95"/>
      <c r="J36" s="175">
        <f>H36/DAY(B2)</f>
        <v>1072.6830000000004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176251.83</v>
      </c>
      <c r="F37" s="548">
        <v>177881.65</v>
      </c>
      <c r="G37" s="112">
        <f t="shared" si="3"/>
        <v>1629.820000000007</v>
      </c>
      <c r="H37" s="99">
        <f>G37+'19'!H37</f>
        <v>32374.910000000003</v>
      </c>
      <c r="I37" s="95"/>
      <c r="J37" s="175">
        <f>H37/DAY(B2)</f>
        <v>1618.7455000000002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209352.93</v>
      </c>
      <c r="F38" s="106">
        <v>211328.03</v>
      </c>
      <c r="G38" s="112">
        <f t="shared" si="3"/>
        <v>1975.1000000000058</v>
      </c>
      <c r="H38" s="99">
        <f>G38+'19'!H38</f>
        <v>40323.98000000001</v>
      </c>
      <c r="I38" s="95"/>
      <c r="J38" s="175">
        <f>H38/DAY(B2)</f>
        <v>2016.1990000000005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377775.95</v>
      </c>
      <c r="F39" s="548">
        <v>380625.63</v>
      </c>
      <c r="G39" s="112">
        <f t="shared" si="3"/>
        <v>2849.679999999993</v>
      </c>
      <c r="H39" s="99">
        <f>G39+'19'!H39</f>
        <v>58962.340000000026</v>
      </c>
      <c r="I39" s="95"/>
      <c r="J39" s="175">
        <f>H39/DAY(B2)</f>
        <v>2948.1170000000011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48.2</v>
      </c>
      <c r="F40" s="145">
        <v>206.68</v>
      </c>
      <c r="G40" s="112">
        <f t="shared" si="3"/>
        <v>158.48000000000002</v>
      </c>
      <c r="H40" s="99">
        <f>G40+'19'!H40</f>
        <v>635.61</v>
      </c>
      <c r="I40" s="95"/>
      <c r="J40" s="175">
        <f>H40/DAY(B2)</f>
        <v>31.7805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0</v>
      </c>
      <c r="F41" s="145">
        <v>0</v>
      </c>
      <c r="G41" s="112">
        <f t="shared" si="3"/>
        <v>0</v>
      </c>
      <c r="H41" s="99">
        <f>G41+'19'!H41</f>
        <v>9386.2900000000373</v>
      </c>
      <c r="I41" s="95"/>
      <c r="J41" s="175">
        <f>H41/DAY(B2)</f>
        <v>469.31450000000189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25052.25</v>
      </c>
      <c r="F42" s="145">
        <v>29584.51</v>
      </c>
      <c r="G42" s="112">
        <f t="shared" si="3"/>
        <v>4532.2599999999984</v>
      </c>
      <c r="H42" s="99">
        <f>G42+'19'!H42</f>
        <v>71190.52</v>
      </c>
      <c r="I42" s="95"/>
      <c r="J42" s="175">
        <f>H42/DAY(B2)</f>
        <v>3559.5260000000003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15511.63</v>
      </c>
      <c r="F43" s="145">
        <v>18230.59</v>
      </c>
      <c r="G43" s="112">
        <f t="shared" si="3"/>
        <v>2718.9600000000009</v>
      </c>
      <c r="H43" s="99">
        <f>G43+'19'!H43</f>
        <v>54312.989999999911</v>
      </c>
      <c r="I43" s="95"/>
      <c r="J43" s="175">
        <f>H43/DAY(B2)</f>
        <v>2715.6494999999954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16533.460000000021</v>
      </c>
      <c r="H47" s="99">
        <f>G47+'19'!H47</f>
        <v>328821.3</v>
      </c>
      <c r="I47" s="95"/>
      <c r="J47" s="175">
        <f>H47/DAY(B2)</f>
        <v>16441.064999999999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253870.67</v>
      </c>
      <c r="F49" s="145">
        <v>255613.45</v>
      </c>
      <c r="G49" s="112">
        <f t="shared" ref="G49:G58" si="4">F49-E49</f>
        <v>1742.7799999999988</v>
      </c>
      <c r="H49" s="99">
        <f>G49+'19'!H49</f>
        <v>35100.120000000024</v>
      </c>
      <c r="I49" s="95"/>
      <c r="J49" s="175">
        <f>H49/DAY(B2)</f>
        <v>1755.0060000000012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10858.49</v>
      </c>
      <c r="F50" s="145">
        <v>11973.2</v>
      </c>
      <c r="G50" s="112">
        <f t="shared" si="4"/>
        <v>1114.7100000000009</v>
      </c>
      <c r="H50" s="99">
        <f>G50+'19'!H50</f>
        <v>27825.01000000006</v>
      </c>
      <c r="I50" s="95"/>
      <c r="J50" s="175">
        <f>H50/DAY(B2)</f>
        <v>1391.2505000000031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3130.82</v>
      </c>
      <c r="F54" s="145">
        <v>3135.28</v>
      </c>
      <c r="G54" s="112">
        <f t="shared" si="4"/>
        <v>4.4600000000000364</v>
      </c>
      <c r="H54" s="99">
        <f>G54+'19'!H54</f>
        <v>104</v>
      </c>
      <c r="I54" s="95"/>
      <c r="J54" s="175">
        <f>H54/DAY(B2)</f>
        <v>5.2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0</v>
      </c>
      <c r="F55" s="145">
        <v>0</v>
      </c>
      <c r="G55" s="112">
        <v>0</v>
      </c>
      <c r="H55" s="99">
        <f>G55+'19'!H55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8610.5400000000009</v>
      </c>
      <c r="F56" s="145">
        <v>8610.5400000000009</v>
      </c>
      <c r="G56" s="112">
        <f t="shared" si="4"/>
        <v>0</v>
      </c>
      <c r="H56" s="99">
        <f>G56+'19'!H56</f>
        <v>30160.589999999986</v>
      </c>
      <c r="I56" s="95"/>
      <c r="J56" s="175">
        <f>H56/DAY(B2)</f>
        <v>1508.0294999999992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89681.45</v>
      </c>
      <c r="F58" s="145">
        <v>89908.87</v>
      </c>
      <c r="G58" s="112">
        <f t="shared" si="4"/>
        <v>227.41999999999825</v>
      </c>
      <c r="H58" s="99">
        <f>G58+'19'!H58</f>
        <v>4584.0199999999895</v>
      </c>
      <c r="I58" s="95"/>
      <c r="J58" s="175">
        <f>H58/DAY(B2)</f>
        <v>229.20099999999948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3089.3699999999981</v>
      </c>
      <c r="H59" s="99">
        <f>G59+'19'!H59</f>
        <v>97773.740000000063</v>
      </c>
      <c r="I59" s="95">
        <f>G7-G60</f>
        <v>1461.3300000000127</v>
      </c>
      <c r="J59" s="175">
        <f>H59/DAY(B2)</f>
        <v>4888.6870000000035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19622.83000000002</v>
      </c>
      <c r="H60" s="99">
        <f>G60+'19'!H60</f>
        <v>426595.0400000001</v>
      </c>
      <c r="I60" s="95">
        <f>G13-G60</f>
        <v>854.84999999991487</v>
      </c>
      <c r="J60" s="175">
        <f>H60/DAY(B2)</f>
        <v>21329.752000000004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'19'!F62</f>
        <v>265838</v>
      </c>
      <c r="F62" s="122">
        <v>265962</v>
      </c>
      <c r="G62" s="112">
        <f t="shared" ref="G62:G63" si="5">F62-E62</f>
        <v>124</v>
      </c>
      <c r="H62" s="99">
        <f>G62+'19'!H62</f>
        <v>2497</v>
      </c>
      <c r="I62" s="118"/>
      <c r="J62" s="175">
        <f>H62/DAY(B2)</f>
        <v>124.85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'19'!F63</f>
        <v>211377</v>
      </c>
      <c r="F63" s="122">
        <v>211496</v>
      </c>
      <c r="G63" s="112">
        <f t="shared" si="5"/>
        <v>119</v>
      </c>
      <c r="H63" s="99">
        <f>G63+'19'!H63</f>
        <v>2121</v>
      </c>
      <c r="I63" s="118"/>
      <c r="J63" s="175">
        <f>H63/DAY(B2)</f>
        <v>106.05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'19'!F64</f>
        <v>0</v>
      </c>
      <c r="F64" s="122"/>
      <c r="G64" s="112">
        <f>G62+G63</f>
        <v>243</v>
      </c>
      <c r="H64" s="99">
        <f>G64+'19'!H64</f>
        <v>4618</v>
      </c>
      <c r="I64" s="118"/>
      <c r="J64" s="175">
        <f>H64/DAY(B2)</f>
        <v>230.9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'19'!F65</f>
        <v>431409</v>
      </c>
      <c r="F65" s="122">
        <v>431486</v>
      </c>
      <c r="G65" s="112">
        <f t="shared" ref="G65:G70" si="6">F65-E65</f>
        <v>77</v>
      </c>
      <c r="H65" s="99">
        <f>G65+'19'!H65</f>
        <v>2123</v>
      </c>
      <c r="I65" s="118"/>
      <c r="J65" s="175">
        <f>H65/DAY(B2)</f>
        <v>106.15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'19'!F66</f>
        <v>106973</v>
      </c>
      <c r="F66" s="122">
        <v>106990</v>
      </c>
      <c r="G66" s="112">
        <f t="shared" si="6"/>
        <v>17</v>
      </c>
      <c r="H66" s="99">
        <f>G66+'19'!H66</f>
        <v>391</v>
      </c>
      <c r="I66" s="118"/>
      <c r="J66" s="175">
        <f>H66/DAY(B2)</f>
        <v>19.55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'19'!F67</f>
        <v>103572</v>
      </c>
      <c r="F67" s="122">
        <v>103598</v>
      </c>
      <c r="G67" s="112">
        <f t="shared" si="6"/>
        <v>26</v>
      </c>
      <c r="H67" s="99">
        <f>G67+'19'!H67</f>
        <v>587</v>
      </c>
      <c r="I67" s="118"/>
      <c r="J67" s="175">
        <f>H67/DAY(B2)</f>
        <v>29.35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'19'!F68</f>
        <v>156181</v>
      </c>
      <c r="F68" s="122">
        <v>156249</v>
      </c>
      <c r="G68" s="112">
        <f t="shared" si="6"/>
        <v>68</v>
      </c>
      <c r="H68" s="99">
        <f>G68+'19'!H68</f>
        <v>809</v>
      </c>
      <c r="I68" s="118"/>
      <c r="J68" s="175">
        <f>H68/DAY(B2)</f>
        <v>40.450000000000003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'19'!F69</f>
        <v>10071</v>
      </c>
      <c r="F69" s="122">
        <v>10078</v>
      </c>
      <c r="G69" s="112">
        <f t="shared" si="6"/>
        <v>7</v>
      </c>
      <c r="H69" s="99">
        <f>G69+'19'!H69</f>
        <v>235</v>
      </c>
      <c r="I69" s="118"/>
      <c r="J69" s="175">
        <f>H69/DAY(B2)</f>
        <v>11.75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'19'!F70</f>
        <v>7754</v>
      </c>
      <c r="F70" s="122">
        <v>7763</v>
      </c>
      <c r="G70" s="112">
        <f t="shared" si="6"/>
        <v>9</v>
      </c>
      <c r="H70" s="99">
        <f>G70+'19'!H70</f>
        <v>221</v>
      </c>
      <c r="I70" s="118"/>
      <c r="J70" s="175">
        <f>H70/DAY(B2)</f>
        <v>11.05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204</v>
      </c>
      <c r="H71" s="99">
        <f>G71+'19'!H71</f>
        <v>4366</v>
      </c>
      <c r="I71" s="154"/>
      <c r="J71" s="175">
        <f>H71/DAY(B2)</f>
        <v>218.3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'19'!F74</f>
        <v>888255.31</v>
      </c>
      <c r="F74" s="117">
        <v>888574</v>
      </c>
      <c r="G74" s="112">
        <f t="shared" ref="G74:G78" si="7">F74-E74</f>
        <v>318.68999999994412</v>
      </c>
      <c r="H74" s="99">
        <f>G74+'19'!H74</f>
        <v>6320.9510000000009</v>
      </c>
      <c r="I74" s="154"/>
      <c r="J74" s="175">
        <f>H74/DAY(B2)</f>
        <v>316.04755000000006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v>73586.8</v>
      </c>
      <c r="F75" s="123">
        <v>73586.8</v>
      </c>
      <c r="G75" s="112">
        <f t="shared" si="7"/>
        <v>0</v>
      </c>
      <c r="H75" s="99">
        <f>G75+'19'!H75</f>
        <v>243.88999999999942</v>
      </c>
      <c r="I75" s="154"/>
      <c r="J75" s="175">
        <f>H75/DAY(B2)</f>
        <v>12.194499999999971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'19'!F76</f>
        <v>165887.20000000001</v>
      </c>
      <c r="F76" s="123">
        <v>166014.25</v>
      </c>
      <c r="G76" s="112">
        <f t="shared" si="7"/>
        <v>127.04999999998836</v>
      </c>
      <c r="H76" s="99">
        <f>G76+'19'!H76</f>
        <v>2630.25</v>
      </c>
      <c r="I76" s="154"/>
      <c r="J76" s="175">
        <f>H76/DAY(B2)</f>
        <v>131.51249999999999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'19'!F77</f>
        <v>39749.300000000003</v>
      </c>
      <c r="F77" s="123">
        <v>39796</v>
      </c>
      <c r="G77" s="112">
        <f t="shared" si="7"/>
        <v>46.69999999999709</v>
      </c>
      <c r="H77" s="99">
        <f>G77+'19'!H77</f>
        <v>986</v>
      </c>
      <c r="I77" s="154"/>
      <c r="J77" s="175">
        <f>H77/DAY(B2)</f>
        <v>49.3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'19'!F78</f>
        <v>9464.7000000000007</v>
      </c>
      <c r="F78" s="123">
        <v>9466</v>
      </c>
      <c r="G78" s="112">
        <f t="shared" si="7"/>
        <v>1.2999999999992724</v>
      </c>
      <c r="H78" s="99">
        <f>G78+'19'!H78</f>
        <v>54</v>
      </c>
      <c r="I78" s="118"/>
      <c r="J78" s="175">
        <f>H78/DAY(B2)</f>
        <v>2.7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'19'!F79</f>
        <v>0</v>
      </c>
      <c r="F79" s="117"/>
      <c r="G79" s="112">
        <f>G15-SUM(G74:G78)</f>
        <v>660.67000000022017</v>
      </c>
      <c r="H79" s="99">
        <f>G79+'19'!H79</f>
        <v>13158.719000000056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3" t="s">
        <v>329</v>
      </c>
      <c r="B80" s="904"/>
      <c r="C80" s="905"/>
      <c r="D80" s="151"/>
      <c r="E80" s="117"/>
      <c r="F80" s="117"/>
      <c r="G80" s="112">
        <f>SUM(G74:G79)</f>
        <v>1154.410000000149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'19'!F84</f>
        <v>41675.4</v>
      </c>
      <c r="F84" s="164">
        <v>41675.4</v>
      </c>
      <c r="G84" s="112">
        <f t="shared" si="8"/>
        <v>0</v>
      </c>
      <c r="H84" s="99">
        <f>G84+'19'!H84</f>
        <v>46.840000000003783</v>
      </c>
      <c r="I84" s="118"/>
      <c r="J84" s="175">
        <f>H84/DAY(B2)</f>
        <v>2.3420000000001893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'19'!F85</f>
        <v>1844</v>
      </c>
      <c r="F85" s="164">
        <v>1868</v>
      </c>
      <c r="G85" s="112">
        <f t="shared" si="8"/>
        <v>24</v>
      </c>
      <c r="H85" s="99">
        <f>G85+'19'!H85</f>
        <v>364.44000000000005</v>
      </c>
      <c r="I85" s="118">
        <f>G82+G83+G84+G85</f>
        <v>24</v>
      </c>
      <c r="J85" s="175">
        <f>H85/DAY(B2)</f>
        <v>18.222000000000001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'19'!F86</f>
        <v>42826.47</v>
      </c>
      <c r="F86" s="164">
        <v>42826.47</v>
      </c>
      <c r="G86" s="112">
        <f t="shared" si="8"/>
        <v>0</v>
      </c>
      <c r="H86" s="99">
        <f>G86+'19'!H86</f>
        <v>0.47000000000116415</v>
      </c>
      <c r="I86" s="118"/>
      <c r="J86" s="175">
        <f>H86/DAY(B2)</f>
        <v>2.3500000000058207E-2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178.15000000000146</v>
      </c>
      <c r="I87" s="118"/>
      <c r="J87" s="175">
        <f>H87/DAY(B2)</f>
        <v>8.9075000000000735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'19'!F88</f>
        <v>24005.53</v>
      </c>
      <c r="F88" s="164">
        <v>24005.53</v>
      </c>
      <c r="G88" s="112">
        <f t="shared" si="8"/>
        <v>0</v>
      </c>
      <c r="H88" s="99">
        <f>G88+'19'!H88</f>
        <v>53.039999999997235</v>
      </c>
      <c r="I88" s="118">
        <f>G86+G87+G88</f>
        <v>0</v>
      </c>
      <c r="J88" s="175">
        <f>H88/DAY(B2)</f>
        <v>2.6519999999998616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'19'!F89</f>
        <v>25583.95</v>
      </c>
      <c r="F89" s="164">
        <v>25595.63</v>
      </c>
      <c r="G89" s="112">
        <f t="shared" si="8"/>
        <v>11.680000000000291</v>
      </c>
      <c r="H89" s="99">
        <f>G89+'19'!H89</f>
        <v>168.13999999999942</v>
      </c>
      <c r="I89" s="118"/>
      <c r="J89" s="175">
        <f>H89/DAY(B2)</f>
        <v>8.4069999999999716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'19'!F90</f>
        <v>70962.95</v>
      </c>
      <c r="F90" s="164">
        <v>70969.11</v>
      </c>
      <c r="G90" s="112">
        <f t="shared" si="8"/>
        <v>6.1600000000034925</v>
      </c>
      <c r="H90" s="99">
        <f>G90+'19'!H90</f>
        <v>140.83999999999651</v>
      </c>
      <c r="I90" s="118">
        <f>G89+G90</f>
        <v>17.840000000003783</v>
      </c>
      <c r="J90" s="175">
        <f>H90/DAY(B2)</f>
        <v>7.0419999999998257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0.32000000000016371</v>
      </c>
      <c r="I91" s="165"/>
      <c r="J91" s="175">
        <f>H91/DAY(B2)</f>
        <v>1.6000000000008185E-2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'19'!F92</f>
        <v>5306.26</v>
      </c>
      <c r="F92" s="122">
        <v>5317.4</v>
      </c>
      <c r="G92" s="112">
        <f t="shared" si="8"/>
        <v>11.139999999999418</v>
      </c>
      <c r="H92" s="99">
        <f>G92+'19'!H92</f>
        <v>221.5</v>
      </c>
      <c r="I92" s="165"/>
      <c r="J92" s="175">
        <f>H92/DAY(B2)</f>
        <v>11.074999999999999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6204.5400000000172</v>
      </c>
      <c r="H94" s="99">
        <f>G94+'19'!H94</f>
        <v>129594.10999999993</v>
      </c>
      <c r="I94" s="118"/>
      <c r="J94" s="175">
        <f>H94/DAY(B2)</f>
        <v>6479.7054999999964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0.29427494384409941</v>
      </c>
      <c r="H95" s="99">
        <f>G95+'19'!H95</f>
        <v>5.5614644167144638</v>
      </c>
      <c r="I95" s="167"/>
      <c r="J95" s="175">
        <f>H95/DAY(B2)</f>
        <v>0.27807322083572317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4532.2599999999984</v>
      </c>
      <c r="H96" s="99">
        <f>G96+'19'!H96</f>
        <v>110737.40000000001</v>
      </c>
      <c r="I96" s="118"/>
      <c r="J96" s="175">
        <f>H96/DAY(B2)</f>
        <v>5536.8700000000008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0.21496042526711956</v>
      </c>
      <c r="H97" s="99">
        <f>G97+'19'!H97</f>
        <v>4.7366056194633348</v>
      </c>
      <c r="I97" s="167"/>
      <c r="J97" s="175">
        <f>H97/DAY(B2)</f>
        <v>0.23683028097316675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2849.679999999993</v>
      </c>
      <c r="H98" s="99">
        <f>G98+'19'!H98</f>
        <v>58962.340000000026</v>
      </c>
      <c r="I98" s="168"/>
      <c r="J98" s="175">
        <f>H98/DAY(B2)</f>
        <v>2948.1170000000011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0.13515738829528842</v>
      </c>
      <c r="H99" s="99">
        <f>G99+'19'!H99</f>
        <v>2.5322755254342368</v>
      </c>
      <c r="I99" s="168"/>
      <c r="J99" s="175">
        <f>H99/DAY(B2)</f>
        <v>0.12661377627171183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1975.1000000000058</v>
      </c>
      <c r="H100" s="99">
        <f>G100+'19'!H100</f>
        <v>40323.98000000001</v>
      </c>
      <c r="I100" s="118"/>
      <c r="J100" s="175">
        <f>H100/DAY(B2)</f>
        <v>2016.1990000000005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9.3676959385624217E-2</v>
      </c>
      <c r="H101" s="99">
        <f>G101+'19'!H101</f>
        <v>1.7314184583295709</v>
      </c>
      <c r="I101" s="168"/>
      <c r="J101" s="175">
        <f>H101/DAY(B2)</f>
        <v>8.657092291647854E-2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2041.0700000000015</v>
      </c>
      <c r="H102" s="99">
        <f>G102+'19'!H102</f>
        <v>49278.670000000056</v>
      </c>
      <c r="I102" s="168"/>
      <c r="J102" s="175">
        <f>H102/DAY(B2)</f>
        <v>2463.9335000000028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9.6805848561194674E-2</v>
      </c>
      <c r="H103" s="99">
        <f>G103+'19'!H103</f>
        <v>2.1135396078044444</v>
      </c>
      <c r="I103" s="118"/>
      <c r="J103" s="175">
        <f>H103/DAY(B2)</f>
        <v>0.10567698039022222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1629.820000000007</v>
      </c>
      <c r="H104" s="99">
        <f>G104+'19'!H104</f>
        <v>32374.910000000003</v>
      </c>
      <c r="I104" s="118"/>
      <c r="J104" s="175">
        <f>H104/DAY(B2)</f>
        <v>1618.7455000000002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7.7300684494900643E-2</v>
      </c>
      <c r="H105" s="99">
        <f>G105+'19'!H105</f>
        <v>1.3907929143808231</v>
      </c>
      <c r="I105" s="187"/>
      <c r="J105" s="188">
        <f>H105/DAY(B2)</f>
        <v>6.9539645719041157E-2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'19'!F112</f>
        <v>54836.4</v>
      </c>
      <c r="F112" s="237">
        <v>54909.440000000002</v>
      </c>
      <c r="G112" s="112">
        <f t="shared" ref="G112:G123" si="9">F112-E112</f>
        <v>73.040000000000873</v>
      </c>
      <c r="H112" s="99">
        <f>G112+'19'!H112</f>
        <v>1557.4300000000003</v>
      </c>
      <c r="I112" s="165"/>
      <c r="J112" s="330">
        <f>H112/DAY(B2)</f>
        <v>77.871500000000012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'19'!F113</f>
        <v>26750.47</v>
      </c>
      <c r="F113" s="237">
        <v>27206.95</v>
      </c>
      <c r="G113" s="112">
        <f t="shared" si="9"/>
        <v>456.47999999999956</v>
      </c>
      <c r="H113" s="99">
        <f>G113+'19'!H113</f>
        <v>9250.4200000000019</v>
      </c>
      <c r="I113" s="165"/>
      <c r="J113" s="330">
        <f>H113/DAY(B2)</f>
        <v>462.52100000000007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'19'!F114</f>
        <v>21239</v>
      </c>
      <c r="F114" s="237">
        <v>21535.19</v>
      </c>
      <c r="G114" s="112">
        <f t="shared" si="9"/>
        <v>296.18999999999869</v>
      </c>
      <c r="H114" s="99">
        <f>G114+'19'!H114</f>
        <v>7450.9099999999962</v>
      </c>
      <c r="I114" s="165"/>
      <c r="J114" s="330">
        <f>H114/DAY(B2)</f>
        <v>372.54549999999983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'19'!F115</f>
        <v>8640.2199999999993</v>
      </c>
      <c r="F115" s="237">
        <v>8654.93</v>
      </c>
      <c r="G115" s="112">
        <f t="shared" si="9"/>
        <v>14.710000000000946</v>
      </c>
      <c r="H115" s="99">
        <f>G115+'19'!H115</f>
        <v>231.25</v>
      </c>
      <c r="I115" s="165"/>
      <c r="J115" s="330">
        <f>H115/DAY(B2)</f>
        <v>11.5625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30">
        <f>H116/DAY(B2)</f>
        <v>0</v>
      </c>
      <c r="Q116" s="839"/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'19'!F117</f>
        <v>2313.1799999999998</v>
      </c>
      <c r="F117" s="237">
        <v>2341.16</v>
      </c>
      <c r="G117" s="112">
        <f t="shared" si="9"/>
        <v>27.980000000000018</v>
      </c>
      <c r="H117" s="99">
        <f>G117+'19'!H117</f>
        <v>400.07999999999993</v>
      </c>
      <c r="I117" s="165"/>
      <c r="J117" s="330">
        <f>H117/DAY(B2)</f>
        <v>20.003999999999998</v>
      </c>
      <c r="Q117" s="839"/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'19'!F118</f>
        <v>236963.45</v>
      </c>
      <c r="F118" s="237">
        <v>237382.29</v>
      </c>
      <c r="G118" s="112">
        <f t="shared" si="9"/>
        <v>418.83999999999651</v>
      </c>
      <c r="H118" s="99">
        <f>G118+'19'!H118</f>
        <v>7544.5599999999977</v>
      </c>
      <c r="I118" s="165"/>
      <c r="J118" s="330">
        <f>H118/DAY(B2)</f>
        <v>377.22799999999989</v>
      </c>
      <c r="Q118" s="839"/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'19'!F119</f>
        <v>240051.83</v>
      </c>
      <c r="F119" s="237">
        <v>240489.23</v>
      </c>
      <c r="G119" s="112">
        <f t="shared" si="9"/>
        <v>437.40000000002328</v>
      </c>
      <c r="H119" s="99">
        <f>G119+'19'!H119</f>
        <v>8762.7000000000116</v>
      </c>
      <c r="I119" s="165"/>
      <c r="J119" s="330">
        <f>H119/DAY(B2)</f>
        <v>438.13500000000056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'19'!F120</f>
        <v>25067.9</v>
      </c>
      <c r="F120" s="237">
        <v>25493.41</v>
      </c>
      <c r="G120" s="112">
        <f t="shared" si="9"/>
        <v>425.5099999999984</v>
      </c>
      <c r="H120" s="99">
        <f>G120+'19'!H120</f>
        <v>8308.09</v>
      </c>
      <c r="I120" s="165"/>
      <c r="J120" s="330">
        <f>H120/DAY(B2)</f>
        <v>415.40449999999998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'19'!F121</f>
        <v>367136</v>
      </c>
      <c r="F121" s="237">
        <v>367913.71</v>
      </c>
      <c r="G121" s="112">
        <f t="shared" si="9"/>
        <v>777.71000000002095</v>
      </c>
      <c r="H121" s="99">
        <f>G121+'19'!H121</f>
        <v>14859.48000000004</v>
      </c>
      <c r="I121" s="165"/>
      <c r="J121" s="330">
        <f>H121/DAY(B2)</f>
        <v>742.97400000000198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'19'!F122</f>
        <v>117349</v>
      </c>
      <c r="F122" s="237">
        <v>117612.63</v>
      </c>
      <c r="G122" s="112">
        <f t="shared" si="9"/>
        <v>263.63000000000466</v>
      </c>
      <c r="H122" s="99">
        <f>G122+'19'!H122</f>
        <v>6602.8400000000111</v>
      </c>
      <c r="I122" s="165"/>
      <c r="J122" s="330">
        <f>H122/DAY(B2)</f>
        <v>330.14200000000056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'19'!F123</f>
        <v>140902</v>
      </c>
      <c r="F123" s="237">
        <v>141264.28</v>
      </c>
      <c r="G123" s="112">
        <f t="shared" si="9"/>
        <v>362.27999999999884</v>
      </c>
      <c r="H123" s="99">
        <f>G123+'19'!H123</f>
        <v>6898.2799999999988</v>
      </c>
      <c r="I123" s="165"/>
      <c r="J123" s="330">
        <f>H123/DAY(B2)</f>
        <v>344.91399999999993</v>
      </c>
    </row>
    <row r="124" spans="1:18" ht="29.25" customHeight="1" x14ac:dyDescent="0.5">
      <c r="A124" s="864"/>
      <c r="B124" s="865"/>
      <c r="C124" s="866"/>
      <c r="D124" s="165"/>
      <c r="E124" s="95">
        <f>'19'!F124</f>
        <v>0</v>
      </c>
      <c r="F124" s="165"/>
      <c r="G124" s="329"/>
      <c r="H124" s="99">
        <f>G124+'19'!H124</f>
        <v>0</v>
      </c>
      <c r="I124" s="165"/>
      <c r="J124" s="329"/>
    </row>
    <row r="125" spans="1:18" ht="27.75" x14ac:dyDescent="0.5">
      <c r="A125" s="895" t="s">
        <v>108</v>
      </c>
      <c r="B125" s="895"/>
      <c r="C125" s="245"/>
      <c r="D125" s="307"/>
      <c r="E125" s="308"/>
      <c r="F125" s="308"/>
      <c r="G125" s="309">
        <f>SUM(G112:G124)</f>
        <v>3553.7700000000427</v>
      </c>
      <c r="H125" s="156"/>
      <c r="I125" s="329">
        <f>G125-(G39+G53)</f>
        <v>704.09000000004971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G127+'19'!H127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'19'!F128</f>
        <v>34017.120000000003</v>
      </c>
      <c r="F128" s="165">
        <v>34356.51</v>
      </c>
      <c r="G128" s="112">
        <f t="shared" ref="G128:G134" si="10">F128-E128</f>
        <v>339.38999999999942</v>
      </c>
      <c r="H128" s="99">
        <f>G128+'19'!H128</f>
        <v>6752.1400000000031</v>
      </c>
      <c r="I128" s="165"/>
      <c r="J128" s="330">
        <f>H128/DAY(B2)</f>
        <v>337.60700000000014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'19'!F129</f>
        <v>17749.53</v>
      </c>
      <c r="F129" s="165">
        <v>17955.68</v>
      </c>
      <c r="G129" s="112">
        <f t="shared" si="10"/>
        <v>206.15000000000146</v>
      </c>
      <c r="H129" s="99">
        <f>G129+'19'!H129</f>
        <v>5208.09</v>
      </c>
      <c r="I129" s="165"/>
      <c r="J129" s="330">
        <f>H129/DAY(B2)</f>
        <v>260.40449999999998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'19'!F130</f>
        <v>9323.82</v>
      </c>
      <c r="F130" s="165">
        <v>10100.120000000001</v>
      </c>
      <c r="G130" s="112">
        <f t="shared" si="10"/>
        <v>776.30000000000109</v>
      </c>
      <c r="H130" s="99">
        <f>G130+'19'!H130</f>
        <v>8043.01</v>
      </c>
      <c r="I130" s="165"/>
      <c r="J130" s="330">
        <f>H130/DAY(B2)</f>
        <v>402.15050000000002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'19'!F131</f>
        <v>11980.9</v>
      </c>
      <c r="F131" s="165">
        <v>12095.78</v>
      </c>
      <c r="G131" s="112">
        <f t="shared" si="10"/>
        <v>114.88000000000102</v>
      </c>
      <c r="H131" s="99">
        <f>G131+'19'!H131</f>
        <v>2926.4300000000003</v>
      </c>
      <c r="I131" s="165"/>
      <c r="J131" s="330">
        <f>H131/DAY(B2)</f>
        <v>146.32150000000001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'19'!F132</f>
        <v>309.93</v>
      </c>
      <c r="F132" s="165">
        <v>458.35</v>
      </c>
      <c r="G132" s="112">
        <f t="shared" si="10"/>
        <v>148.42000000000002</v>
      </c>
      <c r="H132" s="99">
        <f>G132+'19'!H132</f>
        <v>7854.619999999999</v>
      </c>
      <c r="I132" s="165"/>
      <c r="J132" s="330">
        <f>H132/DAY(B2)</f>
        <v>392.73099999999994</v>
      </c>
    </row>
    <row r="133" spans="1:15" ht="27.75" x14ac:dyDescent="0.5">
      <c r="A133" s="839" t="s">
        <v>363</v>
      </c>
      <c r="B133" s="840"/>
      <c r="C133" s="841"/>
      <c r="D133" s="151" t="s">
        <v>183</v>
      </c>
      <c r="E133" s="95">
        <f>'19'!F133</f>
        <v>79524.36</v>
      </c>
      <c r="F133" s="165">
        <v>80371.27</v>
      </c>
      <c r="G133" s="112">
        <f t="shared" si="10"/>
        <v>846.91000000000349</v>
      </c>
      <c r="H133" s="99">
        <f>G133+'19'!H133</f>
        <v>16896.850000000006</v>
      </c>
      <c r="I133" s="165"/>
      <c r="J133" s="330">
        <f>H133/DAY(B2)</f>
        <v>844.84250000000031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'19'!F134</f>
        <v>663024</v>
      </c>
      <c r="F134" s="647">
        <v>663357</v>
      </c>
      <c r="G134" s="112">
        <f t="shared" si="10"/>
        <v>333</v>
      </c>
      <c r="H134" s="99">
        <f>G134+'19'!H134</f>
        <v>12150</v>
      </c>
      <c r="I134" s="165"/>
      <c r="J134" s="330">
        <f>H134/DAY(B2)</f>
        <v>607.5</v>
      </c>
    </row>
    <row r="135" spans="1:15" ht="27.75" x14ac:dyDescent="0.5">
      <c r="A135" s="906" t="s">
        <v>108</v>
      </c>
      <c r="B135" s="907"/>
      <c r="C135" s="873"/>
      <c r="D135" s="151"/>
      <c r="E135" s="95"/>
      <c r="F135" s="165"/>
      <c r="G135" s="112">
        <f>SUM(G128:G134)</f>
        <v>2765.0500000000065</v>
      </c>
      <c r="H135" s="99"/>
      <c r="I135" s="329">
        <f>G135-(G35+G49)</f>
        <v>-720.53000000000975</v>
      </c>
      <c r="J135" s="330"/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'19'!F138</f>
        <v>862833</v>
      </c>
      <c r="F138" s="147">
        <v>862944</v>
      </c>
      <c r="G138" s="112">
        <f t="shared" ref="G138:G152" si="11">F138-E138</f>
        <v>111</v>
      </c>
      <c r="H138" s="99">
        <f>G138+'19'!H138</f>
        <v>1682</v>
      </c>
      <c r="I138" s="118"/>
      <c r="J138" s="330">
        <f>H138/DAY(B2)</f>
        <v>84.1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'19'!F139</f>
        <v>886455</v>
      </c>
      <c r="F139" s="148">
        <v>886456</v>
      </c>
      <c r="G139" s="112">
        <f t="shared" si="11"/>
        <v>1</v>
      </c>
      <c r="H139" s="99">
        <f>G139+'19'!H139</f>
        <v>257</v>
      </c>
      <c r="I139" s="118"/>
      <c r="J139" s="330">
        <f>H139/DAY(B2)</f>
        <v>12.85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'19'!F140</f>
        <v>88878.8</v>
      </c>
      <c r="F140" s="149">
        <v>88880.6</v>
      </c>
      <c r="G140" s="112">
        <f>F140-E140</f>
        <v>1.8000000000029104</v>
      </c>
      <c r="H140" s="99">
        <f>G140+'19'!H140</f>
        <v>31.600000000005821</v>
      </c>
      <c r="I140" s="118"/>
      <c r="J140" s="330">
        <f>H140/DAY(B2)</f>
        <v>1.5800000000002909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'19'!F141</f>
        <v>46918.79</v>
      </c>
      <c r="F141" s="149">
        <v>47124.61</v>
      </c>
      <c r="G141" s="112">
        <f t="shared" si="11"/>
        <v>205.81999999999971</v>
      </c>
      <c r="H141" s="99">
        <f>G141+'19'!H141</f>
        <v>3997.8799999999974</v>
      </c>
      <c r="I141" s="118"/>
      <c r="J141" s="330">
        <f>H141/DAY(B2)</f>
        <v>199.89399999999986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'19'!F142</f>
        <v>18109.099999999999</v>
      </c>
      <c r="F142" s="148">
        <v>18179.09</v>
      </c>
      <c r="G142" s="112">
        <f t="shared" si="11"/>
        <v>69.990000000001601</v>
      </c>
      <c r="H142" s="99">
        <f>G142+'19'!H142</f>
        <v>718.59000000000015</v>
      </c>
      <c r="I142" s="140"/>
      <c r="J142" s="330">
        <f>H142/DAY(B2)</f>
        <v>35.929500000000004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'19'!F143</f>
        <v>2772.57</v>
      </c>
      <c r="F143" s="149">
        <v>2802.07</v>
      </c>
      <c r="G143" s="112">
        <f t="shared" si="11"/>
        <v>29.5</v>
      </c>
      <c r="H143" s="99">
        <f>G143+'19'!H143</f>
        <v>600.67000000000007</v>
      </c>
      <c r="I143" s="140"/>
      <c r="J143" s="330">
        <f>H143/DAY(B2)</f>
        <v>30.033500000000004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'19'!F144</f>
        <v>866786</v>
      </c>
      <c r="F144" s="149">
        <v>867024</v>
      </c>
      <c r="G144" s="112">
        <f t="shared" si="11"/>
        <v>238</v>
      </c>
      <c r="H144" s="99">
        <f>G144+'19'!H144</f>
        <v>4629</v>
      </c>
      <c r="I144" s="140"/>
      <c r="J144" s="330">
        <f>H144/DAY(B2)</f>
        <v>231.45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'19'!F145</f>
        <v>4336.97</v>
      </c>
      <c r="F145" s="149">
        <v>4365.04</v>
      </c>
      <c r="G145" s="112">
        <f t="shared" si="11"/>
        <v>28.069999999999709</v>
      </c>
      <c r="H145" s="99">
        <f>G145+'19'!H145</f>
        <v>946.04</v>
      </c>
      <c r="I145" s="140"/>
      <c r="J145" s="330">
        <f>H145/DAY(B2)</f>
        <v>47.302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'19'!F146</f>
        <v>719016</v>
      </c>
      <c r="F146" s="148">
        <v>719483</v>
      </c>
      <c r="G146" s="112">
        <f t="shared" si="11"/>
        <v>467</v>
      </c>
      <c r="H146" s="99">
        <f>G146+'19'!H146</f>
        <v>8598</v>
      </c>
      <c r="I146" s="140"/>
      <c r="J146" s="330">
        <f>H146/DAY(B2)</f>
        <v>429.9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'19'!F147</f>
        <v>610354.43999999994</v>
      </c>
      <c r="F147" s="148">
        <v>610730.52</v>
      </c>
      <c r="G147" s="112">
        <f t="shared" si="11"/>
        <v>376.08000000007451</v>
      </c>
      <c r="H147" s="99">
        <f>G147+'19'!H147</f>
        <v>8745.4799999999814</v>
      </c>
      <c r="I147" s="140"/>
      <c r="J147" s="330">
        <f>H147/DAY(B2)</f>
        <v>437.27399999999909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'19'!F148</f>
        <v>679520.75</v>
      </c>
      <c r="F148" s="150">
        <v>679800.4</v>
      </c>
      <c r="G148" s="112">
        <f t="shared" si="11"/>
        <v>279.65000000002328</v>
      </c>
      <c r="H148" s="99">
        <f>G148+'19'!H148</f>
        <v>6010.7199999999721</v>
      </c>
      <c r="I148" s="124"/>
      <c r="J148" s="330">
        <f>H148/DAY(B2)</f>
        <v>300.53599999999858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'19'!F149</f>
        <v>4030</v>
      </c>
      <c r="F149" s="146">
        <v>4621.4799999999996</v>
      </c>
      <c r="G149" s="112">
        <f t="shared" si="11"/>
        <v>591.47999999999956</v>
      </c>
      <c r="H149" s="99">
        <f>G149+'19'!H149</f>
        <v>96839.48</v>
      </c>
      <c r="I149" s="119"/>
      <c r="J149" s="330">
        <f>H149/DAY(B2)</f>
        <v>4841.9740000000002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'19'!F150</f>
        <v>1329.32</v>
      </c>
      <c r="F150" s="233">
        <v>1555.79</v>
      </c>
      <c r="G150" s="112">
        <f t="shared" si="11"/>
        <v>226.47000000000003</v>
      </c>
      <c r="H150" s="99">
        <f>G150+'19'!H150</f>
        <v>1363.79</v>
      </c>
      <c r="I150" s="119"/>
      <c r="J150" s="330">
        <f>H150/DAY(B2)</f>
        <v>68.189499999999995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'19'!F151</f>
        <v>75412</v>
      </c>
      <c r="F151" s="233">
        <v>75645</v>
      </c>
      <c r="G151" s="112">
        <f t="shared" si="11"/>
        <v>233</v>
      </c>
      <c r="H151" s="99">
        <f>G151+'19'!H151</f>
        <v>4923</v>
      </c>
      <c r="I151" s="119"/>
      <c r="J151" s="330">
        <f>H151/DAY(B2)</f>
        <v>246.15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'19'!F152</f>
        <v>528.4</v>
      </c>
      <c r="F152" s="233">
        <v>578.74</v>
      </c>
      <c r="G152" s="112">
        <f t="shared" si="11"/>
        <v>50.340000000000032</v>
      </c>
      <c r="H152" s="99">
        <f>G152+'19'!H152</f>
        <v>578.74</v>
      </c>
      <c r="I152" s="119"/>
      <c r="J152" s="330">
        <f>H152/DAY(B2)</f>
        <v>28.937000000000001</v>
      </c>
    </row>
    <row r="153" spans="1:10" ht="27.75" x14ac:dyDescent="0.5">
      <c r="A153" s="641" t="s">
        <v>108</v>
      </c>
      <c r="B153" s="367"/>
      <c r="C153" s="367"/>
      <c r="D153" s="117"/>
      <c r="E153" s="95"/>
      <c r="F153" s="233"/>
      <c r="G153" s="112">
        <f>SUM(G138:G152)</f>
        <v>2909.2000000001017</v>
      </c>
      <c r="H153" s="99"/>
      <c r="I153" s="119">
        <f>G153-(G38+G52)</f>
        <v>934.10000000009586</v>
      </c>
      <c r="J153" s="330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'19'!F155</f>
        <v>4855</v>
      </c>
      <c r="F155" s="376">
        <v>5454.77</v>
      </c>
      <c r="G155" s="112">
        <f t="shared" ref="G155:G158" si="12">F155-E155</f>
        <v>599.77000000000044</v>
      </c>
      <c r="H155" s="99">
        <f>G155+'19'!H155</f>
        <v>5547.77</v>
      </c>
      <c r="I155" s="366"/>
      <c r="J155" s="330">
        <f>H155/DAY(B2)</f>
        <v>277.38850000000002</v>
      </c>
    </row>
    <row r="156" spans="1:10" ht="27.75" x14ac:dyDescent="0.5">
      <c r="A156" s="838" t="s">
        <v>347</v>
      </c>
      <c r="B156" s="838"/>
      <c r="C156" s="838"/>
      <c r="D156" s="117" t="s">
        <v>130</v>
      </c>
      <c r="E156" s="95">
        <f>'19'!F156</f>
        <v>397</v>
      </c>
      <c r="F156" s="155">
        <v>442</v>
      </c>
      <c r="G156" s="112">
        <f t="shared" si="12"/>
        <v>45</v>
      </c>
      <c r="H156" s="99">
        <f>G156+'19'!H156</f>
        <v>442</v>
      </c>
      <c r="I156" s="165"/>
      <c r="J156" s="330">
        <f>H156/DAY(B2)</f>
        <v>22.1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>
        <f>'19'!F157</f>
        <v>420.13</v>
      </c>
      <c r="F157" s="155">
        <v>488.7</v>
      </c>
      <c r="G157" s="112">
        <f t="shared" si="12"/>
        <v>68.569999999999993</v>
      </c>
      <c r="H157" s="99">
        <f>G157+'19'!H157</f>
        <v>68.569999999999993</v>
      </c>
      <c r="I157" s="165"/>
      <c r="J157" s="330">
        <f>H157/DAY(B2)</f>
        <v>3.4284999999999997</v>
      </c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>
        <f>'19'!F158</f>
        <v>0</v>
      </c>
      <c r="F158" s="155">
        <v>0.83</v>
      </c>
      <c r="G158" s="112">
        <f t="shared" si="12"/>
        <v>0.83</v>
      </c>
      <c r="H158" s="99">
        <f>G158+'19'!H158</f>
        <v>0.83</v>
      </c>
      <c r="I158" s="165"/>
      <c r="J158" s="330">
        <f>H158/DAY(B2)</f>
        <v>4.1499999999999995E-2</v>
      </c>
    </row>
    <row r="159" spans="1:10" ht="27.75" x14ac:dyDescent="0.5">
      <c r="A159" s="887"/>
      <c r="B159" s="888"/>
      <c r="C159" s="889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471140.92</v>
      </c>
      <c r="F161" s="235">
        <v>471143.8</v>
      </c>
      <c r="G161" s="238">
        <f t="shared" ref="G161:G166" si="13">F161-E161</f>
        <v>2.8800000000046566</v>
      </c>
      <c r="H161" s="99">
        <f>G161+'19'!H161</f>
        <v>167.67999999999302</v>
      </c>
      <c r="I161" s="236"/>
      <c r="J161" s="239">
        <f>H161/DAY(B2)</f>
        <v>8.3839999999996504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87215.5</v>
      </c>
      <c r="F162" s="235">
        <v>87247.8</v>
      </c>
      <c r="G162" s="238">
        <f t="shared" si="13"/>
        <v>32.30000000000291</v>
      </c>
      <c r="H162" s="99">
        <f>G162+'19'!H162</f>
        <v>646.10000000000582</v>
      </c>
      <c r="I162" s="236"/>
      <c r="J162" s="239">
        <f>H162/DAY(B2)</f>
        <v>32.305000000000291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77042.7</v>
      </c>
      <c r="F163" s="235">
        <v>77106.8</v>
      </c>
      <c r="G163" s="238">
        <f t="shared" si="13"/>
        <v>64.100000000005821</v>
      </c>
      <c r="H163" s="99">
        <f>G163+'19'!H163</f>
        <v>1647</v>
      </c>
      <c r="I163" s="236"/>
      <c r="J163" s="239">
        <f>H163/DAY(B2)</f>
        <v>82.35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4193.3</v>
      </c>
      <c r="F164" s="235">
        <v>4200.8</v>
      </c>
      <c r="G164" s="238">
        <f t="shared" si="13"/>
        <v>7.5</v>
      </c>
      <c r="H164" s="99">
        <f>G164+'19'!H164</f>
        <v>102.90000000000055</v>
      </c>
      <c r="I164" s="236"/>
      <c r="J164" s="239">
        <f>H164/DAY(B2)</f>
        <v>5.1450000000000271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29560.47</v>
      </c>
      <c r="F165" s="235">
        <v>29569.55</v>
      </c>
      <c r="G165" s="238">
        <f t="shared" si="13"/>
        <v>9.0799999999981083</v>
      </c>
      <c r="H165" s="99">
        <f>G165+'19'!H165</f>
        <v>140.61880000000019</v>
      </c>
      <c r="I165" s="236"/>
      <c r="J165" s="239">
        <f>H165/DAY(B2)</f>
        <v>7.03094000000001</v>
      </c>
    </row>
    <row r="166" spans="1:10" ht="29.25" x14ac:dyDescent="0.5">
      <c r="A166" s="870"/>
      <c r="B166" s="870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'19'!F173</f>
        <v>8110</v>
      </c>
      <c r="F173" s="155">
        <v>8110</v>
      </c>
      <c r="G173" s="155">
        <f>F173-E173</f>
        <v>0</v>
      </c>
      <c r="H173" s="99">
        <f>G173+'19'!H173</f>
        <v>3</v>
      </c>
      <c r="I173" s="155"/>
      <c r="J173" s="178">
        <f>H173/DAY(B2)</f>
        <v>0.15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'19'!F174</f>
        <v>38114</v>
      </c>
      <c r="F174" s="157">
        <v>38131</v>
      </c>
      <c r="G174" s="155">
        <f t="shared" ref="G174:G175" si="14">F174-E174</f>
        <v>17</v>
      </c>
      <c r="H174" s="99">
        <f>G174+'19'!H174</f>
        <v>329</v>
      </c>
      <c r="I174" s="155"/>
      <c r="J174" s="178">
        <f>H174/DAY(B2)</f>
        <v>16.45</v>
      </c>
    </row>
    <row r="175" spans="1:10" ht="27.75" x14ac:dyDescent="0.5">
      <c r="A175" s="831" t="s">
        <v>76</v>
      </c>
      <c r="B175" s="833"/>
      <c r="C175" s="832"/>
      <c r="D175" s="228" t="s">
        <v>142</v>
      </c>
      <c r="E175" s="95">
        <f>'19'!F175</f>
        <v>21380</v>
      </c>
      <c r="F175" s="155">
        <v>21392</v>
      </c>
      <c r="G175" s="155">
        <f t="shared" si="14"/>
        <v>12</v>
      </c>
      <c r="H175" s="99">
        <f>G175+'19'!H175</f>
        <v>255</v>
      </c>
      <c r="I175" s="155"/>
      <c r="J175" s="178">
        <f>H175/DAY(B2)</f>
        <v>12.75</v>
      </c>
    </row>
    <row r="176" spans="1:10" ht="27.75" x14ac:dyDescent="0.5">
      <c r="A176" s="867" t="s">
        <v>196</v>
      </c>
      <c r="B176" s="868"/>
      <c r="C176" s="529"/>
      <c r="D176" s="228" t="s">
        <v>142</v>
      </c>
      <c r="E176" s="95"/>
      <c r="F176" s="155"/>
      <c r="G176" s="155">
        <f>SUM(G173:G175)</f>
        <v>29</v>
      </c>
      <c r="H176" s="99">
        <f>G176+'19'!H176</f>
        <v>587</v>
      </c>
      <c r="I176" s="155"/>
      <c r="J176" s="178">
        <f>H176/DAY(B2)</f>
        <v>29.35</v>
      </c>
    </row>
    <row r="177" spans="1:10" ht="27.75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831" t="s">
        <v>210</v>
      </c>
      <c r="B178" s="832"/>
      <c r="C178" s="335"/>
      <c r="D178" s="228" t="s">
        <v>142</v>
      </c>
      <c r="E178" s="95">
        <f>'19'!F178</f>
        <v>78788</v>
      </c>
      <c r="F178" s="155">
        <v>78855</v>
      </c>
      <c r="G178" s="155">
        <f>F178-E178</f>
        <v>67</v>
      </c>
      <c r="H178" s="99">
        <f>G178+'19'!H178</f>
        <v>1503</v>
      </c>
      <c r="I178" s="155"/>
      <c r="J178" s="178">
        <f>H178/DAY(B2)</f>
        <v>75.150000000000006</v>
      </c>
    </row>
    <row r="179" spans="1:10" ht="27.75" x14ac:dyDescent="0.5">
      <c r="A179" s="831" t="s">
        <v>211</v>
      </c>
      <c r="B179" s="832"/>
      <c r="C179" s="335"/>
      <c r="D179" s="228" t="s">
        <v>142</v>
      </c>
      <c r="E179" s="95">
        <f>'19'!F179</f>
        <v>33915</v>
      </c>
      <c r="F179" s="155">
        <v>33915</v>
      </c>
      <c r="G179" s="155">
        <f t="shared" ref="G179:G180" si="15">F179-E179</f>
        <v>0</v>
      </c>
      <c r="H179" s="99">
        <f>G179+'19'!H179</f>
        <v>29</v>
      </c>
      <c r="I179" s="155"/>
      <c r="J179" s="178">
        <f>H179/DAY(B2)</f>
        <v>1.45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'19'!F180</f>
        <v>5397</v>
      </c>
      <c r="F180" s="155">
        <v>5398</v>
      </c>
      <c r="G180" s="155">
        <f t="shared" si="15"/>
        <v>1</v>
      </c>
      <c r="H180" s="99">
        <f>G180+'19'!H180</f>
        <v>125</v>
      </c>
      <c r="I180" s="155"/>
      <c r="J180" s="178">
        <f>H180/DAY(B2)</f>
        <v>6.25</v>
      </c>
    </row>
    <row r="181" spans="1:10" ht="24.75" customHeight="1" x14ac:dyDescent="0.5">
      <c r="A181" s="872" t="s">
        <v>108</v>
      </c>
      <c r="B181" s="873"/>
      <c r="C181" s="529"/>
      <c r="D181" s="228" t="s">
        <v>142</v>
      </c>
      <c r="E181" s="95"/>
      <c r="F181" s="155"/>
      <c r="G181" s="155">
        <f>SUM(G178:G180)</f>
        <v>68</v>
      </c>
      <c r="H181" s="99">
        <f>G181+'19'!H181</f>
        <v>1657</v>
      </c>
      <c r="I181" s="155"/>
      <c r="J181" s="178">
        <f>H181/DAY(B2)</f>
        <v>82.85</v>
      </c>
    </row>
    <row r="182" spans="1:10" ht="24.75" customHeight="1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831" t="s">
        <v>214</v>
      </c>
      <c r="B183" s="832"/>
      <c r="C183" s="336"/>
      <c r="D183" s="228" t="s">
        <v>142</v>
      </c>
      <c r="E183" s="95">
        <f>'19'!F183</f>
        <v>14773</v>
      </c>
      <c r="F183" s="157">
        <v>14781</v>
      </c>
      <c r="G183" s="157">
        <f>F183-E183</f>
        <v>8</v>
      </c>
      <c r="H183" s="99">
        <f>G183+'19'!H183</f>
        <v>285</v>
      </c>
      <c r="I183" s="155"/>
      <c r="J183" s="178">
        <f>H183/DAY(B2)</f>
        <v>14.25</v>
      </c>
    </row>
    <row r="184" spans="1:10" ht="24.75" customHeight="1" x14ac:dyDescent="0.5">
      <c r="A184" s="831" t="s">
        <v>215</v>
      </c>
      <c r="B184" s="832"/>
      <c r="C184" s="336"/>
      <c r="D184" s="228" t="s">
        <v>142</v>
      </c>
      <c r="E184" s="95">
        <f>'19'!F184</f>
        <v>10212</v>
      </c>
      <c r="F184" s="157">
        <v>10216</v>
      </c>
      <c r="G184" s="157">
        <f t="shared" ref="G184:G185" si="16">F184-E184</f>
        <v>4</v>
      </c>
      <c r="H184" s="99">
        <f>G184+'19'!H184</f>
        <v>185</v>
      </c>
      <c r="I184" s="155"/>
      <c r="J184" s="178">
        <f>H184/DAY(B2)</f>
        <v>9.25</v>
      </c>
    </row>
    <row r="185" spans="1:10" ht="24.75" customHeight="1" x14ac:dyDescent="0.5">
      <c r="A185" s="831" t="s">
        <v>216</v>
      </c>
      <c r="B185" s="832"/>
      <c r="C185" s="336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867" t="s">
        <v>196</v>
      </c>
      <c r="B186" s="868"/>
      <c r="C186" s="528"/>
      <c r="D186" s="228" t="s">
        <v>142</v>
      </c>
      <c r="E186" s="95"/>
      <c r="F186" s="157"/>
      <c r="G186" s="157">
        <f>SUM(G183:G185)</f>
        <v>12</v>
      </c>
      <c r="H186" s="99">
        <f>G186+'19'!H186</f>
        <v>470</v>
      </c>
      <c r="I186" s="157"/>
      <c r="J186" s="178">
        <f>H186/DAY(B2)</f>
        <v>23.5</v>
      </c>
    </row>
    <row r="187" spans="1:10" ht="27.75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506">
        <f>G62+G19</f>
        <v>177</v>
      </c>
      <c r="H187" s="99">
        <f>G187+'19'!H187</f>
        <v>3555</v>
      </c>
      <c r="I187" s="158"/>
      <c r="J187" s="179">
        <f>H187/DAY(B2)</f>
        <v>177.75</v>
      </c>
    </row>
    <row r="188" spans="1:10" ht="27.75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136</v>
      </c>
      <c r="H188" s="99">
        <f>G188+'19'!H188</f>
        <v>1047</v>
      </c>
      <c r="I188" s="158"/>
      <c r="J188" s="179">
        <f>H188/DAY(B2)</f>
        <v>52.35</v>
      </c>
    </row>
    <row r="189" spans="1:10" ht="27.75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68</v>
      </c>
      <c r="H189" s="99">
        <f>G189+'19'!H189</f>
        <v>143</v>
      </c>
      <c r="I189" s="158"/>
      <c r="J189" s="179">
        <f>H189/DAY(B2)</f>
        <v>7.15</v>
      </c>
    </row>
    <row r="190" spans="1:10" ht="27.75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145" zoomScale="60" zoomScaleNormal="60" zoomScalePageLayoutView="20" workbookViewId="0">
      <selection activeCell="F135" sqref="F13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356</v>
      </c>
      <c r="B2" s="262">
        <v>44551</v>
      </c>
      <c r="C2" s="350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867249.51</v>
      </c>
      <c r="F7" s="95">
        <v>888078.07</v>
      </c>
      <c r="G7" s="112">
        <f>F7-E7</f>
        <v>20828.559999999939</v>
      </c>
      <c r="H7" s="99">
        <f>G7+'20'!H7</f>
        <v>487236.06999999995</v>
      </c>
      <c r="I7" s="113">
        <f>'1'!I7</f>
        <v>12000</v>
      </c>
      <c r="J7" s="175">
        <f>H7/DAY(B2)</f>
        <v>23201.717619047617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911130.31</v>
      </c>
      <c r="F8" s="95">
        <v>932171.11</v>
      </c>
      <c r="G8" s="115">
        <f>F8-E8</f>
        <v>21040.79999999993</v>
      </c>
      <c r="H8" s="99">
        <f>G8+'20'!H8</f>
        <v>493876.11</v>
      </c>
      <c r="I8" s="116"/>
      <c r="J8" s="175">
        <f>H8/DAY(B2)</f>
        <v>23517.91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2073900.3</v>
      </c>
      <c r="F9" s="659">
        <v>2091410.3</v>
      </c>
      <c r="G9" s="112">
        <f>F9-E9</f>
        <v>17510</v>
      </c>
      <c r="H9" s="99">
        <f>G9+'20'!H9</f>
        <v>372312.60000000009</v>
      </c>
      <c r="I9" s="124">
        <f>I7-J7</f>
        <v>-11201.717619047617</v>
      </c>
      <c r="J9" s="175">
        <f>H9/DAY(B2)</f>
        <v>17729.171428571433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504844.23</v>
      </c>
      <c r="F10" s="355">
        <v>507566.07</v>
      </c>
      <c r="G10" s="112">
        <f t="shared" ref="G10:G12" si="0">F10-E10</f>
        <v>2721.8400000000256</v>
      </c>
      <c r="H10" s="99">
        <f>G10+'20'!H10</f>
        <v>101483.64000000001</v>
      </c>
      <c r="I10" s="282"/>
      <c r="J10" s="175">
        <f>H10/DAY(B2)</f>
        <v>4832.5542857142864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37000</v>
      </c>
      <c r="F11" s="95">
        <v>37000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20231.840000000026</v>
      </c>
      <c r="H13" s="99">
        <f>G13+'20'!H13</f>
        <v>451745.37000000005</v>
      </c>
      <c r="I13" s="120">
        <f>G7-G13</f>
        <v>596.71999999991385</v>
      </c>
      <c r="J13" s="175">
        <f>H13/DAY(B2)</f>
        <v>21511.684285714287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'20'!F15</f>
        <v>1866541.81</v>
      </c>
      <c r="F15" s="123">
        <v>1867657.38</v>
      </c>
      <c r="G15" s="112">
        <f>(F15-E15)</f>
        <v>1115.5699999998324</v>
      </c>
      <c r="H15" s="99">
        <f>G15+'20'!H15</f>
        <v>24509.379999999888</v>
      </c>
      <c r="I15" s="113">
        <f>'1'!I15</f>
        <v>800</v>
      </c>
      <c r="J15" s="175">
        <f>H15/DAY(B2)</f>
        <v>1167.113333333328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-367.113333333328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'20'!F18</f>
        <v>22</v>
      </c>
      <c r="F18" s="122">
        <v>22</v>
      </c>
      <c r="G18" s="119">
        <f>F18*10</f>
        <v>220</v>
      </c>
      <c r="H18" s="99">
        <f>G18+'20'!H18</f>
        <v>4460</v>
      </c>
      <c r="I18" s="113">
        <f>'1'!I18</f>
        <v>65</v>
      </c>
      <c r="J18" s="175">
        <f>H18/DAY(B2)</f>
        <v>212.38095238095238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'20'!F19</f>
        <v>151642</v>
      </c>
      <c r="F19" s="122">
        <v>151693</v>
      </c>
      <c r="G19" s="112">
        <f t="shared" ref="G19" si="1">F19-E19</f>
        <v>51</v>
      </c>
      <c r="H19" s="99">
        <f>G19+'20'!H19</f>
        <v>1109</v>
      </c>
      <c r="I19" s="337"/>
      <c r="J19" s="175">
        <f>H19/DAY(B2)</f>
        <v>52.80952380952381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G20+'20'!H20</f>
        <v>5569</v>
      </c>
      <c r="I20" s="338">
        <f>I18-J20</f>
        <v>-200.1904761904762</v>
      </c>
      <c r="J20" s="175">
        <f>H20/DAY(B2)</f>
        <v>265.1904761904762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21040.79999999993</v>
      </c>
      <c r="F27" s="136">
        <v>9</v>
      </c>
      <c r="G27" s="137">
        <f>E27*F27</f>
        <v>189367.19999999937</v>
      </c>
      <c r="H27" s="99">
        <f>G27+'20'!H27</f>
        <v>4444884.9899999993</v>
      </c>
      <c r="I27" s="138"/>
      <c r="J27" s="175">
        <f>H27/DAY(B2)</f>
        <v>211661.18999999997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1115.5699999998324</v>
      </c>
      <c r="F28" s="136">
        <v>52</v>
      </c>
      <c r="G28" s="137">
        <f>E28*F28</f>
        <v>58009.639999991283</v>
      </c>
      <c r="H28" s="99">
        <f>G28+'20'!H28</f>
        <v>1274487.7599999942</v>
      </c>
      <c r="I28" s="140"/>
      <c r="J28" s="175">
        <f>H28/DAY(B2)</f>
        <v>60689.893333333057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G30+'20'!H30</f>
        <v>161914</v>
      </c>
      <c r="I30" s="140"/>
      <c r="J30" s="175">
        <f>H30/DAY(B2)</f>
        <v>7710.1904761904761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G31+'20'!H31</f>
        <v>356800</v>
      </c>
      <c r="I31" s="140"/>
      <c r="J31" s="175">
        <f>H31/DAY(B2)</f>
        <v>16990.476190476191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272422.83999999065</v>
      </c>
      <c r="H32" s="99">
        <f>G32+'20'!H32</f>
        <v>6238086.7499999935</v>
      </c>
      <c r="I32" s="144"/>
      <c r="J32" s="175">
        <f>H32/DAY(B2)</f>
        <v>297051.74999999971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133715.63</v>
      </c>
      <c r="F35" s="145">
        <v>135332.18</v>
      </c>
      <c r="G35" s="112">
        <f t="shared" ref="G35:G46" si="3">F35-E35</f>
        <v>1616.5499999999884</v>
      </c>
      <c r="H35" s="99">
        <f>G35+'20'!H35</f>
        <v>41797.549999999988</v>
      </c>
      <c r="I35" s="95"/>
      <c r="J35" s="175">
        <f>H35/DAY(B2)</f>
        <v>1990.3595238095234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11187.36</v>
      </c>
      <c r="F36" s="145">
        <v>12225.39</v>
      </c>
      <c r="G36" s="112">
        <f t="shared" si="3"/>
        <v>1038.0299999999988</v>
      </c>
      <c r="H36" s="99">
        <f>G36+'20'!H36</f>
        <v>22491.690000000006</v>
      </c>
      <c r="I36" s="95"/>
      <c r="J36" s="175">
        <f>H36/DAY(B2)</f>
        <v>1071.0328571428574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177881.65</v>
      </c>
      <c r="F37" s="548">
        <v>179507.15</v>
      </c>
      <c r="G37" s="112">
        <f t="shared" si="3"/>
        <v>1625.5</v>
      </c>
      <c r="H37" s="99">
        <f>G37+'20'!H37</f>
        <v>34000.410000000003</v>
      </c>
      <c r="I37" s="95"/>
      <c r="J37" s="175">
        <f>H37/DAY(B2)</f>
        <v>1619.0671428571429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211328.03</v>
      </c>
      <c r="F38" s="108">
        <v>213221.87</v>
      </c>
      <c r="G38" s="112">
        <f t="shared" si="3"/>
        <v>1893.8399999999965</v>
      </c>
      <c r="H38" s="99">
        <f>G38+'20'!H38</f>
        <v>42217.820000000007</v>
      </c>
      <c r="I38" s="95"/>
      <c r="J38" s="175">
        <f>H38/DAY(B2)</f>
        <v>2010.3723809523813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380625.63</v>
      </c>
      <c r="F39" s="548">
        <v>383436.23</v>
      </c>
      <c r="G39" s="112">
        <f t="shared" si="3"/>
        <v>2810.5999999999767</v>
      </c>
      <c r="H39" s="99">
        <f>G39+'20'!H39</f>
        <v>61772.94</v>
      </c>
      <c r="I39" s="95"/>
      <c r="J39" s="175">
        <f>H39/DAY(B2)</f>
        <v>2941.5685714285714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206.68</v>
      </c>
      <c r="F40" s="145">
        <v>863.05</v>
      </c>
      <c r="G40" s="112">
        <f t="shared" si="3"/>
        <v>656.36999999999989</v>
      </c>
      <c r="H40" s="99">
        <f>G40+'20'!H40</f>
        <v>1291.98</v>
      </c>
      <c r="I40" s="95"/>
      <c r="J40" s="175">
        <f>H40/DAY(B2)</f>
        <v>61.522857142857141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0</v>
      </c>
      <c r="F41" s="145">
        <v>0</v>
      </c>
      <c r="G41" s="112">
        <f t="shared" si="3"/>
        <v>0</v>
      </c>
      <c r="H41" s="99">
        <f>G41+'20'!H41</f>
        <v>9386.2900000000373</v>
      </c>
      <c r="I41" s="95"/>
      <c r="J41" s="175">
        <f>H41/DAY(B2)</f>
        <v>446.96619047619225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29584.51</v>
      </c>
      <c r="F42" s="145">
        <v>34250.589999999997</v>
      </c>
      <c r="G42" s="112">
        <f t="shared" si="3"/>
        <v>4666.0799999999981</v>
      </c>
      <c r="H42" s="99">
        <f>G42+'20'!H42</f>
        <v>75856.600000000006</v>
      </c>
      <c r="I42" s="95"/>
      <c r="J42" s="175">
        <f>H42/DAY(B2)</f>
        <v>3612.2190476190481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18230.59</v>
      </c>
      <c r="F43" s="145">
        <v>20922.75</v>
      </c>
      <c r="G43" s="112">
        <f t="shared" si="3"/>
        <v>2692.16</v>
      </c>
      <c r="H43" s="99">
        <f>G43+'20'!H43</f>
        <v>57005.149999999907</v>
      </c>
      <c r="I43" s="95"/>
      <c r="J43" s="175">
        <f>H43/DAY(B2)</f>
        <v>2714.5309523809478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16999.129999999957</v>
      </c>
      <c r="H47" s="99">
        <f>G47+'20'!H47</f>
        <v>345820.42999999993</v>
      </c>
      <c r="I47" s="95"/>
      <c r="J47" s="175">
        <f>H47/DAY(B2)</f>
        <v>16467.639523809521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255613.45</v>
      </c>
      <c r="F49" s="145">
        <v>257146.11</v>
      </c>
      <c r="G49" s="112">
        <f t="shared" ref="G49:G58" si="4">F49-E49</f>
        <v>1532.6599999999744</v>
      </c>
      <c r="H49" s="99">
        <f>G49+'20'!H49</f>
        <v>36632.78</v>
      </c>
      <c r="I49" s="95"/>
      <c r="J49" s="175">
        <f>H49/DAY(B2)</f>
        <v>1744.4180952380952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11973.2</v>
      </c>
      <c r="F50" s="145">
        <v>13089.88</v>
      </c>
      <c r="G50" s="112">
        <f t="shared" si="4"/>
        <v>1116.6799999999985</v>
      </c>
      <c r="H50" s="99">
        <f>G50+'20'!H50</f>
        <v>28941.690000000061</v>
      </c>
      <c r="I50" s="95"/>
      <c r="J50" s="175">
        <f>H50/DAY(B2)</f>
        <v>1378.1757142857173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3135.28</v>
      </c>
      <c r="F54" s="145">
        <v>3139.76</v>
      </c>
      <c r="G54" s="112">
        <f t="shared" si="4"/>
        <v>4.4800000000000182</v>
      </c>
      <c r="H54" s="99">
        <f>G54+'20'!H54</f>
        <v>108.48000000000002</v>
      </c>
      <c r="I54" s="95"/>
      <c r="J54" s="175">
        <f>H54/DAY(B2)</f>
        <v>5.1657142857142864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0</v>
      </c>
      <c r="F55" s="145">
        <v>0</v>
      </c>
      <c r="G55" s="112">
        <f t="shared" si="4"/>
        <v>0</v>
      </c>
      <c r="H55" s="99">
        <f>G55+'20'!H55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8610.5400000000009</v>
      </c>
      <c r="F56" s="548">
        <v>8610.5400000000009</v>
      </c>
      <c r="G56" s="112">
        <f t="shared" si="4"/>
        <v>0</v>
      </c>
      <c r="H56" s="99">
        <f>G56+'20'!H56</f>
        <v>30160.589999999986</v>
      </c>
      <c r="I56" s="95"/>
      <c r="J56" s="175">
        <f>H56/DAY(B2)</f>
        <v>1436.2185714285708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89908.87</v>
      </c>
      <c r="F58" s="145">
        <v>90130.03</v>
      </c>
      <c r="G58" s="112">
        <f t="shared" si="4"/>
        <v>221.16000000000349</v>
      </c>
      <c r="H58" s="99">
        <f>G58+'20'!H58</f>
        <v>4805.179999999993</v>
      </c>
      <c r="I58" s="95"/>
      <c r="J58" s="175">
        <f>H58/DAY(B2)</f>
        <v>228.81809523809491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2874.9799999999764</v>
      </c>
      <c r="H59" s="99">
        <f>G59+'20'!H59</f>
        <v>100648.72000000004</v>
      </c>
      <c r="I59" s="95">
        <f>G7-G60</f>
        <v>954.45000000000437</v>
      </c>
      <c r="J59" s="175">
        <f>H59/DAY(B2)</f>
        <v>4792.7961904761924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19874.109999999935</v>
      </c>
      <c r="H60" s="99">
        <f>G60+'20'!H60</f>
        <v>446469.15</v>
      </c>
      <c r="I60" s="95">
        <f>G13-G60</f>
        <v>357.73000000009051</v>
      </c>
      <c r="J60" s="175">
        <f>H60/DAY(B2)</f>
        <v>21260.435714285715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'20'!F62</f>
        <v>265962</v>
      </c>
      <c r="F62" s="122">
        <v>266079</v>
      </c>
      <c r="G62" s="112">
        <f t="shared" ref="G62:G63" si="5">F62-E62</f>
        <v>117</v>
      </c>
      <c r="H62" s="99">
        <f>G62+'20'!H62</f>
        <v>2614</v>
      </c>
      <c r="I62" s="118"/>
      <c r="J62" s="175">
        <f>H62/DAY(B2)</f>
        <v>124.47619047619048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'20'!F63</f>
        <v>211496</v>
      </c>
      <c r="F63" s="150">
        <v>211568</v>
      </c>
      <c r="G63" s="112">
        <f t="shared" si="5"/>
        <v>72</v>
      </c>
      <c r="H63" s="99">
        <f>G63+'20'!H63</f>
        <v>2193</v>
      </c>
      <c r="I63" s="118"/>
      <c r="J63" s="175">
        <f>H63/DAY(B2)</f>
        <v>104.42857142857143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'20'!F64</f>
        <v>0</v>
      </c>
      <c r="F64" s="122"/>
      <c r="G64" s="112">
        <f>G62+G63</f>
        <v>189</v>
      </c>
      <c r="H64" s="99">
        <f>G64+'20'!H64</f>
        <v>4807</v>
      </c>
      <c r="I64" s="118"/>
      <c r="J64" s="175">
        <f>H64/DAY(B2)</f>
        <v>228.9047619047619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'20'!F65</f>
        <v>431486</v>
      </c>
      <c r="F65" s="122">
        <v>431583</v>
      </c>
      <c r="G65" s="112">
        <f t="shared" ref="G65:G70" si="6">F65-E65</f>
        <v>97</v>
      </c>
      <c r="H65" s="99">
        <f>G65+'20'!H65</f>
        <v>2220</v>
      </c>
      <c r="I65" s="118"/>
      <c r="J65" s="175">
        <f>H65/DAY(B2)</f>
        <v>105.71428571428571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'20'!F66</f>
        <v>106990</v>
      </c>
      <c r="F66" s="122">
        <v>107007</v>
      </c>
      <c r="G66" s="112">
        <f t="shared" si="6"/>
        <v>17</v>
      </c>
      <c r="H66" s="99">
        <f>G66+'20'!H66</f>
        <v>408</v>
      </c>
      <c r="I66" s="118"/>
      <c r="J66" s="175">
        <f>H66/DAY(B2)</f>
        <v>19.428571428571427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'20'!F67</f>
        <v>103598</v>
      </c>
      <c r="F67" s="122">
        <v>103625</v>
      </c>
      <c r="G67" s="112">
        <f t="shared" si="6"/>
        <v>27</v>
      </c>
      <c r="H67" s="99">
        <f>G67+'20'!H67</f>
        <v>614</v>
      </c>
      <c r="I67" s="118"/>
      <c r="J67" s="175">
        <f>H67/DAY(B2)</f>
        <v>29.238095238095237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'20'!F68</f>
        <v>156249</v>
      </c>
      <c r="F68" s="122">
        <v>156284</v>
      </c>
      <c r="G68" s="112">
        <f t="shared" si="6"/>
        <v>35</v>
      </c>
      <c r="H68" s="99">
        <f>G68+'20'!H68</f>
        <v>844</v>
      </c>
      <c r="I68" s="118"/>
      <c r="J68" s="175">
        <f>H68/DAY(B2)</f>
        <v>40.19047619047619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'20'!F69</f>
        <v>10078</v>
      </c>
      <c r="F69" s="122">
        <v>10087</v>
      </c>
      <c r="G69" s="112">
        <f t="shared" si="6"/>
        <v>9</v>
      </c>
      <c r="H69" s="99">
        <f>G69+'20'!H69</f>
        <v>244</v>
      </c>
      <c r="I69" s="118"/>
      <c r="J69" s="175">
        <f>H69/DAY(B2)</f>
        <v>11.619047619047619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'20'!F70</f>
        <v>7763</v>
      </c>
      <c r="F70" s="122">
        <v>7771</v>
      </c>
      <c r="G70" s="112">
        <f t="shared" si="6"/>
        <v>8</v>
      </c>
      <c r="H70" s="99">
        <f>G70+'20'!H70</f>
        <v>229</v>
      </c>
      <c r="I70" s="118"/>
      <c r="J70" s="175">
        <f>H70/DAY(B2)</f>
        <v>10.904761904761905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193</v>
      </c>
      <c r="H71" s="99">
        <f>G71+'20'!H71</f>
        <v>4559</v>
      </c>
      <c r="I71" s="154"/>
      <c r="J71" s="175">
        <f>H71/DAY(B2)</f>
        <v>217.0952380952381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'20'!F74</f>
        <v>888574</v>
      </c>
      <c r="F74" s="123">
        <v>888895.21</v>
      </c>
      <c r="G74" s="112">
        <f t="shared" ref="G74:G78" si="7">F74-E74</f>
        <v>321.20999999996275</v>
      </c>
      <c r="H74" s="99">
        <f>G74+'20'!H74</f>
        <v>6642.1609999999637</v>
      </c>
      <c r="I74" s="154"/>
      <c r="J74" s="175">
        <f>H74/DAY(B2)</f>
        <v>316.29338095237921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243.88999999999942</v>
      </c>
      <c r="I75" s="154"/>
      <c r="J75" s="175">
        <f>H75/DAY(B2)</f>
        <v>11.613809523809497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'20'!F76</f>
        <v>166014.25</v>
      </c>
      <c r="F76" s="123">
        <v>166125.73000000001</v>
      </c>
      <c r="G76" s="112">
        <f t="shared" si="7"/>
        <v>111.48000000001048</v>
      </c>
      <c r="H76" s="99">
        <f>G76+'20'!H76</f>
        <v>2741.7300000000105</v>
      </c>
      <c r="I76" s="154"/>
      <c r="J76" s="175">
        <f>H76/DAY(B2)</f>
        <v>130.55857142857192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'20'!F77</f>
        <v>39796</v>
      </c>
      <c r="F77" s="123">
        <v>39851</v>
      </c>
      <c r="G77" s="112">
        <f t="shared" si="7"/>
        <v>55</v>
      </c>
      <c r="H77" s="99">
        <f>G77+'20'!H77</f>
        <v>1041</v>
      </c>
      <c r="I77" s="154"/>
      <c r="J77" s="175">
        <f>H77/DAY(B2)</f>
        <v>49.571428571428569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'20'!F78</f>
        <v>9466</v>
      </c>
      <c r="F78" s="123">
        <v>9467</v>
      </c>
      <c r="G78" s="112">
        <f t="shared" si="7"/>
        <v>1</v>
      </c>
      <c r="H78" s="99">
        <f>G78+'20'!H78</f>
        <v>55</v>
      </c>
      <c r="I78" s="118"/>
      <c r="J78" s="175">
        <f>H78/DAY(B2)</f>
        <v>2.6190476190476191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'20'!F79</f>
        <v>0</v>
      </c>
      <c r="F79" s="123"/>
      <c r="G79" s="112">
        <f>G15-SUM(G74:G78)</f>
        <v>626.87999999985914</v>
      </c>
      <c r="H79" s="99">
        <f>G79+'20'!H79</f>
        <v>13785.598999999915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1115.5699999998324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'20'!F84</f>
        <v>41675.4</v>
      </c>
      <c r="F84" s="164">
        <v>41675.4</v>
      </c>
      <c r="G84" s="112">
        <f t="shared" si="8"/>
        <v>0</v>
      </c>
      <c r="H84" s="99">
        <f>G84+'20'!H84</f>
        <v>46.840000000003783</v>
      </c>
      <c r="I84" s="118"/>
      <c r="J84" s="175">
        <f>H84/DAY(B2)</f>
        <v>2.2304761904763706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'20'!F85</f>
        <v>1868</v>
      </c>
      <c r="F85" s="164">
        <v>1892.37</v>
      </c>
      <c r="G85" s="112">
        <f t="shared" si="8"/>
        <v>24.369999999999891</v>
      </c>
      <c r="H85" s="99">
        <f>G85+'20'!H85</f>
        <v>388.80999999999995</v>
      </c>
      <c r="I85" s="118">
        <f>G82+G83+G84+G85</f>
        <v>24.369999999999891</v>
      </c>
      <c r="J85" s="175">
        <f>H85/DAY(B2)</f>
        <v>18.514761904761901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'20'!F86</f>
        <v>42826.47</v>
      </c>
      <c r="F86" s="164">
        <v>42826.47</v>
      </c>
      <c r="G86" s="112">
        <f t="shared" si="8"/>
        <v>0</v>
      </c>
      <c r="H86" s="99">
        <f>G86+'20'!H86</f>
        <v>0.47000000000116415</v>
      </c>
      <c r="I86" s="118"/>
      <c r="J86" s="175">
        <f>H86/DAY(B2)</f>
        <v>2.2380952381007818E-2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178.15000000000146</v>
      </c>
      <c r="I87" s="118"/>
      <c r="J87" s="175">
        <f>H87/DAY(B2)</f>
        <v>8.4833333333334018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'20'!F88</f>
        <v>24005.53</v>
      </c>
      <c r="F88" s="164">
        <v>24005.53</v>
      </c>
      <c r="G88" s="112">
        <f t="shared" si="8"/>
        <v>0</v>
      </c>
      <c r="H88" s="99">
        <f>G88+'20'!H88</f>
        <v>53.039999999997235</v>
      </c>
      <c r="I88" s="118">
        <f>G86+G87+G88</f>
        <v>0</v>
      </c>
      <c r="J88" s="175">
        <f>H88/DAY(B2)</f>
        <v>2.5257142857141539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'20'!F89</f>
        <v>25595.63</v>
      </c>
      <c r="F89" s="164">
        <v>25606.26</v>
      </c>
      <c r="G89" s="112">
        <f t="shared" si="8"/>
        <v>10.629999999997381</v>
      </c>
      <c r="H89" s="99">
        <f>G89+'20'!H89</f>
        <v>178.7699999999968</v>
      </c>
      <c r="I89" s="118"/>
      <c r="J89" s="175">
        <f>H89/DAY(B2)</f>
        <v>8.5128571428569906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'20'!F90</f>
        <v>70969.11</v>
      </c>
      <c r="F90" s="164">
        <v>70975.42</v>
      </c>
      <c r="G90" s="112">
        <f t="shared" si="8"/>
        <v>6.3099999999976717</v>
      </c>
      <c r="H90" s="99">
        <f>G90+'20'!H90</f>
        <v>147.14999999999418</v>
      </c>
      <c r="I90" s="118">
        <f>G89+G90</f>
        <v>16.939999999995052</v>
      </c>
      <c r="J90" s="175">
        <f>H90/DAY(B2)</f>
        <v>7.00714285714258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0.32000000000016371</v>
      </c>
      <c r="I91" s="165"/>
      <c r="J91" s="175">
        <f>H91/DAY(B2)</f>
        <v>1.5238095238103034E-2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'20'!F92</f>
        <v>5317.4</v>
      </c>
      <c r="F92" s="122">
        <v>5328.57</v>
      </c>
      <c r="G92" s="112">
        <f t="shared" si="8"/>
        <v>11.170000000000073</v>
      </c>
      <c r="H92" s="99">
        <f>G92+'20'!H92</f>
        <v>232.67000000000007</v>
      </c>
      <c r="I92" s="165"/>
      <c r="J92" s="175">
        <f>H92/DAY(B2)</f>
        <v>11.079523809523813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5841.3699999999626</v>
      </c>
      <c r="H94" s="99">
        <f>G94+'20'!H94</f>
        <v>135435.47999999989</v>
      </c>
      <c r="I94" s="118"/>
      <c r="J94" s="175">
        <f>H94/DAY(B2)</f>
        <v>6449.3085714285662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0.2804500167078271</v>
      </c>
      <c r="H95" s="99">
        <f>G95+'20'!H95</f>
        <v>5.841914433422291</v>
      </c>
      <c r="I95" s="167"/>
      <c r="J95" s="175">
        <f>H95/DAY(B2)</f>
        <v>0.27818640159153768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4666.0799999999981</v>
      </c>
      <c r="H96" s="99">
        <f>G96+'20'!H96</f>
        <v>115403.48000000001</v>
      </c>
      <c r="I96" s="118"/>
      <c r="J96" s="175">
        <f>H96/DAY(B2)</f>
        <v>5495.4038095238102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0.22402316818829587</v>
      </c>
      <c r="H97" s="99">
        <f>G97+'20'!H97</f>
        <v>4.9606287876516308</v>
      </c>
      <c r="I97" s="167"/>
      <c r="J97" s="175">
        <f>H97/DAY(B2)</f>
        <v>0.23622041845960146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2810.5999999999767</v>
      </c>
      <c r="H98" s="99">
        <f>G98+'20'!H98</f>
        <v>61772.94</v>
      </c>
      <c r="I98" s="168"/>
      <c r="J98" s="175">
        <f>H98/DAY(B2)</f>
        <v>2941.5685714285714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0.13493971738804722</v>
      </c>
      <c r="H99" s="99">
        <f>G99+'20'!H99</f>
        <v>2.6672152428222842</v>
      </c>
      <c r="I99" s="168"/>
      <c r="J99" s="175">
        <f>H99/DAY(B2)</f>
        <v>0.12701024965820401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1893.8399999999965</v>
      </c>
      <c r="H100" s="99">
        <f>G100+'20'!H100</f>
        <v>42217.820000000007</v>
      </c>
      <c r="I100" s="118"/>
      <c r="J100" s="175">
        <f>H100/DAY(B2)</f>
        <v>2010.3723809523813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9.0925152771002993E-2</v>
      </c>
      <c r="H101" s="99">
        <f>G101+'20'!H101</f>
        <v>1.8223436111005737</v>
      </c>
      <c r="I101" s="168"/>
      <c r="J101" s="175">
        <f>H101/DAY(B2)</f>
        <v>8.6778267195265421E-2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2154.7099999999973</v>
      </c>
      <c r="H102" s="99">
        <f>G102+'20'!H102</f>
        <v>51433.380000000056</v>
      </c>
      <c r="I102" s="168"/>
      <c r="J102" s="175">
        <f>H102/DAY(B2)</f>
        <v>2449.208571428574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0.1034497824141469</v>
      </c>
      <c r="H103" s="99">
        <f>G103+'20'!H103</f>
        <v>2.2169893902185911</v>
      </c>
      <c r="I103" s="118"/>
      <c r="J103" s="175">
        <f>H103/DAY(B2)</f>
        <v>0.10557092334374243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1625.5</v>
      </c>
      <c r="H104" s="99">
        <f>G104+'20'!H104</f>
        <v>34000.410000000003</v>
      </c>
      <c r="I104" s="118"/>
      <c r="J104" s="175">
        <f>H104/DAY(B2)</f>
        <v>1619.0671428571429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7.8041880955764809E-2</v>
      </c>
      <c r="H105" s="99">
        <f>G105+'20'!H105</f>
        <v>1.4688347953365879</v>
      </c>
      <c r="I105" s="187"/>
      <c r="J105" s="188">
        <f>H105/DAY(B2)</f>
        <v>6.9944514063647045E-2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'20'!F112</f>
        <v>54909.440000000002</v>
      </c>
      <c r="F112" s="237">
        <v>54981.62</v>
      </c>
      <c r="G112" s="112">
        <f t="shared" ref="G112:G123" si="9">F112-E112</f>
        <v>72.180000000000291</v>
      </c>
      <c r="H112" s="99">
        <f>G112+'20'!H112</f>
        <v>1629.6100000000006</v>
      </c>
      <c r="I112" s="165"/>
      <c r="J112" s="330">
        <f>H112/DAY(B2)</f>
        <v>77.600476190476215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'20'!F113</f>
        <v>27206.95</v>
      </c>
      <c r="F113" s="658">
        <v>27650.66</v>
      </c>
      <c r="G113" s="112">
        <f t="shared" si="9"/>
        <v>443.70999999999913</v>
      </c>
      <c r="H113" s="99">
        <f>G113+'20'!H113</f>
        <v>9694.130000000001</v>
      </c>
      <c r="I113" s="165"/>
      <c r="J113" s="330">
        <f>H113/DAY(B2)</f>
        <v>461.62523809523816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'20'!F114</f>
        <v>21535.19</v>
      </c>
      <c r="F114" s="237">
        <v>21811.75</v>
      </c>
      <c r="G114" s="112">
        <f t="shared" si="9"/>
        <v>276.56000000000131</v>
      </c>
      <c r="H114" s="99">
        <f>G114+'20'!H114</f>
        <v>7727.4699999999975</v>
      </c>
      <c r="I114" s="165"/>
      <c r="J114" s="330">
        <f>H114/DAY(B2)</f>
        <v>367.97476190476181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'20'!F115</f>
        <v>8654.93</v>
      </c>
      <c r="F115" s="237">
        <v>8664.44</v>
      </c>
      <c r="G115" s="112">
        <f t="shared" si="9"/>
        <v>9.5100000000002183</v>
      </c>
      <c r="H115" s="99">
        <f>G115+'20'!H115</f>
        <v>240.76000000000022</v>
      </c>
      <c r="I115" s="165"/>
      <c r="J115" s="330">
        <f>H115/DAY(B2)</f>
        <v>11.464761904761914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'20'!F117</f>
        <v>2341.16</v>
      </c>
      <c r="F117" s="237">
        <v>2366.94</v>
      </c>
      <c r="G117" s="112">
        <f t="shared" si="9"/>
        <v>25.7800000000002</v>
      </c>
      <c r="H117" s="99">
        <f>G117+'20'!H117</f>
        <v>425.86000000000013</v>
      </c>
      <c r="I117" s="165"/>
      <c r="J117" s="330">
        <f>H117/DAY(B2)</f>
        <v>20.279047619047624</v>
      </c>
      <c r="Q117" s="839" t="s">
        <v>312</v>
      </c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'20'!F118</f>
        <v>237382.29</v>
      </c>
      <c r="F118" s="237">
        <v>237795.19</v>
      </c>
      <c r="G118" s="112">
        <f t="shared" si="9"/>
        <v>412.89999999999418</v>
      </c>
      <c r="H118" s="99">
        <f>G118+'20'!H118</f>
        <v>7957.4599999999919</v>
      </c>
      <c r="I118" s="165"/>
      <c r="J118" s="330">
        <f>H118/DAY(B2)</f>
        <v>378.92666666666628</v>
      </c>
      <c r="Q118" s="839" t="s">
        <v>311</v>
      </c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'20'!F119</f>
        <v>240489.23</v>
      </c>
      <c r="F119" s="237">
        <v>240915.45</v>
      </c>
      <c r="G119" s="112">
        <f t="shared" si="9"/>
        <v>426.22000000000116</v>
      </c>
      <c r="H119" s="99">
        <f>G119+'20'!H119</f>
        <v>9188.9200000000128</v>
      </c>
      <c r="I119" s="165"/>
      <c r="J119" s="330">
        <f>H119/DAY(B2)</f>
        <v>437.56761904761964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'20'!F120</f>
        <v>25493.41</v>
      </c>
      <c r="F120" s="658">
        <v>25910.3</v>
      </c>
      <c r="G120" s="112">
        <f t="shared" si="9"/>
        <v>416.88999999999942</v>
      </c>
      <c r="H120" s="99">
        <f>G120+'20'!H120</f>
        <v>8724.98</v>
      </c>
      <c r="I120" s="165"/>
      <c r="J120" s="330">
        <f>H120/DAY(B2)</f>
        <v>415.47523809523807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'20'!F121</f>
        <v>367913.71</v>
      </c>
      <c r="F121" s="237">
        <v>368697.51</v>
      </c>
      <c r="G121" s="112">
        <f t="shared" si="9"/>
        <v>783.79999999998836</v>
      </c>
      <c r="H121" s="99">
        <f>G121+'20'!H121</f>
        <v>15643.280000000028</v>
      </c>
      <c r="I121" s="165"/>
      <c r="J121" s="330">
        <f>H121/DAY(B2)</f>
        <v>744.91809523809661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'20'!F122</f>
        <v>117612.63</v>
      </c>
      <c r="F122" s="237">
        <v>117870.13</v>
      </c>
      <c r="G122" s="112">
        <f t="shared" si="9"/>
        <v>257.5</v>
      </c>
      <c r="H122" s="99">
        <f>G122+'20'!H122</f>
        <v>6860.3400000000111</v>
      </c>
      <c r="I122" s="165"/>
      <c r="J122" s="330">
        <f>H122/DAY(B2)</f>
        <v>326.68285714285764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'20'!F123</f>
        <v>141264.28</v>
      </c>
      <c r="F123" s="237">
        <v>141648.82999999999</v>
      </c>
      <c r="G123" s="112">
        <f t="shared" si="9"/>
        <v>384.54999999998836</v>
      </c>
      <c r="H123" s="99">
        <f>G123+'20'!H123</f>
        <v>7282.8299999999872</v>
      </c>
      <c r="I123" s="165"/>
      <c r="J123" s="330">
        <f>H123/DAY(B2)</f>
        <v>346.80142857142795</v>
      </c>
    </row>
    <row r="124" spans="1:18" ht="29.25" customHeight="1" x14ac:dyDescent="0.5">
      <c r="A124" s="864"/>
      <c r="B124" s="865"/>
      <c r="C124" s="866"/>
      <c r="D124" s="165"/>
      <c r="E124" s="165"/>
      <c r="F124" s="165"/>
      <c r="G124" s="329"/>
      <c r="H124" s="99">
        <f>G124+'20'!H124</f>
        <v>0</v>
      </c>
      <c r="I124" s="165"/>
      <c r="J124" s="329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3509.5999999999726</v>
      </c>
      <c r="H125" s="156"/>
      <c r="I125" s="329">
        <f>G125-(G39+G53)</f>
        <v>698.99999999999591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G127+'20'!H127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'20'!F128</f>
        <v>34356.51</v>
      </c>
      <c r="F128" s="165">
        <v>34682.300000000003</v>
      </c>
      <c r="G128" s="112">
        <f t="shared" ref="G128:G134" si="10">F128-E128</f>
        <v>325.79000000000087</v>
      </c>
      <c r="H128" s="99">
        <f>G128+'20'!H128</f>
        <v>7077.9300000000039</v>
      </c>
      <c r="I128" s="165"/>
      <c r="J128" s="330">
        <f>H128/DAY(B2)</f>
        <v>337.04428571428588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'20'!F129</f>
        <v>17955.68</v>
      </c>
      <c r="F129" s="165">
        <v>18118.53</v>
      </c>
      <c r="G129" s="112">
        <f t="shared" si="10"/>
        <v>162.84999999999854</v>
      </c>
      <c r="H129" s="99">
        <f>G129+'20'!H129</f>
        <v>5370.9399999999987</v>
      </c>
      <c r="I129" s="165"/>
      <c r="J129" s="330">
        <f>H129/DAY(B2)</f>
        <v>255.75904761904755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'20'!F130</f>
        <v>10100.120000000001</v>
      </c>
      <c r="F130" s="647">
        <v>10812.36</v>
      </c>
      <c r="G130" s="112">
        <f t="shared" si="10"/>
        <v>712.23999999999978</v>
      </c>
      <c r="H130" s="99">
        <f>G130+'20'!H130</f>
        <v>8755.25</v>
      </c>
      <c r="I130" s="165"/>
      <c r="J130" s="330">
        <f>H130/DAY(B2)</f>
        <v>416.91666666666669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'20'!F131</f>
        <v>12095.78</v>
      </c>
      <c r="F131" s="165">
        <v>12207.84</v>
      </c>
      <c r="G131" s="112">
        <f t="shared" si="10"/>
        <v>112.05999999999949</v>
      </c>
      <c r="H131" s="99">
        <f>G131+'20'!H131</f>
        <v>3038.49</v>
      </c>
      <c r="I131" s="165"/>
      <c r="J131" s="330">
        <f>H131/DAY(B2)</f>
        <v>144.69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v>35647.980000000003</v>
      </c>
      <c r="F132" s="165">
        <v>36160.97</v>
      </c>
      <c r="G132" s="112">
        <f t="shared" si="10"/>
        <v>512.98999999999796</v>
      </c>
      <c r="H132" s="99">
        <f>G132+'20'!H132</f>
        <v>8367.6099999999969</v>
      </c>
      <c r="I132" s="165"/>
      <c r="J132" s="330">
        <f>H132/DAY(B2)</f>
        <v>398.45761904761889</v>
      </c>
    </row>
    <row r="133" spans="1:15" ht="27.75" x14ac:dyDescent="0.5">
      <c r="A133" s="839" t="s">
        <v>363</v>
      </c>
      <c r="B133" s="840"/>
      <c r="C133" s="841"/>
      <c r="D133" s="151" t="s">
        <v>183</v>
      </c>
      <c r="E133" s="95">
        <f>'20'!F133</f>
        <v>80371.27</v>
      </c>
      <c r="F133" s="165">
        <v>81077.960000000006</v>
      </c>
      <c r="G133" s="112">
        <f t="shared" si="10"/>
        <v>706.69000000000233</v>
      </c>
      <c r="H133" s="99">
        <f>G133+'20'!H133</f>
        <v>17603.540000000008</v>
      </c>
      <c r="I133" s="165"/>
      <c r="J133" s="330">
        <f>H133/DAY(B2)</f>
        <v>838.26380952380987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'20'!F134</f>
        <v>663357</v>
      </c>
      <c r="F134" s="165">
        <v>663614</v>
      </c>
      <c r="G134" s="112">
        <f t="shared" si="10"/>
        <v>257</v>
      </c>
      <c r="H134" s="99">
        <f>G134+'20'!H134</f>
        <v>12407</v>
      </c>
      <c r="I134" s="165"/>
      <c r="J134" s="330">
        <f>H134/DAY(B2)</f>
        <v>590.80952380952385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2789.619999999999</v>
      </c>
      <c r="H135" s="99">
        <f>G135+'10'!H135</f>
        <v>32321.539999999997</v>
      </c>
      <c r="I135" s="329">
        <f>G135-(G35+G49)</f>
        <v>-359.58999999996377</v>
      </c>
      <c r="J135" s="330"/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'20'!F138</f>
        <v>862944</v>
      </c>
      <c r="F138" s="147">
        <v>863035</v>
      </c>
      <c r="G138" s="112">
        <f t="shared" ref="G138:G152" si="11">F138-E138</f>
        <v>91</v>
      </c>
      <c r="H138" s="99">
        <f>G138+'20'!H138</f>
        <v>1773</v>
      </c>
      <c r="I138" s="118"/>
      <c r="J138" s="330">
        <f>H138/DAY(B2)</f>
        <v>84.428571428571431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'20'!F139</f>
        <v>886456</v>
      </c>
      <c r="F139" s="148">
        <v>886459</v>
      </c>
      <c r="G139" s="112">
        <f t="shared" si="11"/>
        <v>3</v>
      </c>
      <c r="H139" s="99">
        <f>G139+'20'!H139</f>
        <v>260</v>
      </c>
      <c r="I139" s="118"/>
      <c r="J139" s="330">
        <f>H139/DAY(B2)</f>
        <v>12.380952380952381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'20'!F140</f>
        <v>88880.6</v>
      </c>
      <c r="F140" s="149">
        <v>88881.2</v>
      </c>
      <c r="G140" s="112">
        <f t="shared" si="11"/>
        <v>0.59999999999126885</v>
      </c>
      <c r="H140" s="99">
        <f>G140+'20'!H140</f>
        <v>32.19999999999709</v>
      </c>
      <c r="I140" s="118"/>
      <c r="J140" s="330">
        <f>H140/DAY(B2)</f>
        <v>1.5333333333331947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'20'!F141</f>
        <v>47124.61</v>
      </c>
      <c r="F141" s="149">
        <v>47324.58</v>
      </c>
      <c r="G141" s="112">
        <f t="shared" si="11"/>
        <v>199.97000000000116</v>
      </c>
      <c r="H141" s="99">
        <f>G141+'20'!H141</f>
        <v>4197.8499999999985</v>
      </c>
      <c r="I141" s="118"/>
      <c r="J141" s="330">
        <f>H141/DAY(B2)</f>
        <v>199.89761904761897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'20'!F142</f>
        <v>18179.09</v>
      </c>
      <c r="F142" s="148">
        <v>18252.310000000001</v>
      </c>
      <c r="G142" s="112">
        <f t="shared" si="11"/>
        <v>73.220000000001164</v>
      </c>
      <c r="H142" s="99">
        <f>G142+'20'!H142</f>
        <v>791.81000000000131</v>
      </c>
      <c r="I142" s="140"/>
      <c r="J142" s="330">
        <f>H142/DAY(B2)</f>
        <v>37.705238095238158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'20'!F143</f>
        <v>2802.07</v>
      </c>
      <c r="F143" s="149">
        <v>2827.6</v>
      </c>
      <c r="G143" s="112">
        <f t="shared" si="11"/>
        <v>25.529999999999745</v>
      </c>
      <c r="H143" s="99">
        <f>G143+'20'!H143</f>
        <v>626.19999999999982</v>
      </c>
      <c r="I143" s="140"/>
      <c r="J143" s="330">
        <f>H143/DAY(B2)</f>
        <v>29.819047619047609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'20'!F144</f>
        <v>867024</v>
      </c>
      <c r="F144" s="147">
        <v>867266</v>
      </c>
      <c r="G144" s="112">
        <f t="shared" si="11"/>
        <v>242</v>
      </c>
      <c r="H144" s="99">
        <f>G144+'20'!H144</f>
        <v>4871</v>
      </c>
      <c r="I144" s="140"/>
      <c r="J144" s="330">
        <f>H144/DAY(B2)</f>
        <v>231.95238095238096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'20'!F145</f>
        <v>4365.04</v>
      </c>
      <c r="F145" s="147">
        <v>4388.93</v>
      </c>
      <c r="G145" s="112">
        <f t="shared" si="11"/>
        <v>23.890000000000327</v>
      </c>
      <c r="H145" s="99">
        <f>G145+'20'!H145</f>
        <v>969.93000000000029</v>
      </c>
      <c r="I145" s="140"/>
      <c r="J145" s="330">
        <f>H145/DAY(B2)</f>
        <v>46.187142857142874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'20'!F146</f>
        <v>719483</v>
      </c>
      <c r="F146" s="148">
        <v>719980</v>
      </c>
      <c r="G146" s="112">
        <f t="shared" si="11"/>
        <v>497</v>
      </c>
      <c r="H146" s="99">
        <f>G146+'20'!H146</f>
        <v>9095</v>
      </c>
      <c r="I146" s="140"/>
      <c r="J146" s="330">
        <f>H146/DAY(B2)</f>
        <v>433.09523809523807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'20'!F147</f>
        <v>610730.52</v>
      </c>
      <c r="F147" s="148">
        <v>611137.48</v>
      </c>
      <c r="G147" s="112">
        <f t="shared" si="11"/>
        <v>406.95999999996275</v>
      </c>
      <c r="H147" s="99">
        <f>G147+'20'!H147</f>
        <v>9152.4399999999441</v>
      </c>
      <c r="I147" s="140"/>
      <c r="J147" s="330">
        <f>H147/DAY(B2)</f>
        <v>435.83047619047352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'20'!F148</f>
        <v>679800.4</v>
      </c>
      <c r="F148" s="150">
        <v>680078.48</v>
      </c>
      <c r="G148" s="112">
        <f t="shared" si="11"/>
        <v>278.07999999995809</v>
      </c>
      <c r="H148" s="99">
        <f>G148+'20'!H148</f>
        <v>6288.7999999999302</v>
      </c>
      <c r="I148" s="124"/>
      <c r="J148" s="330">
        <f>H148/DAY(B2)</f>
        <v>299.46666666666334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'20'!F149</f>
        <v>4621.4799999999996</v>
      </c>
      <c r="F149" s="146">
        <v>5177.62</v>
      </c>
      <c r="G149" s="112">
        <f t="shared" si="11"/>
        <v>556.14000000000033</v>
      </c>
      <c r="H149" s="99">
        <f>G149+'20'!H149</f>
        <v>97395.62</v>
      </c>
      <c r="I149" s="119"/>
      <c r="J149" s="330">
        <f>H149/DAY(B2)</f>
        <v>4637.8866666666663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'20'!F150</f>
        <v>1555.79</v>
      </c>
      <c r="F150" s="233">
        <v>1784.62</v>
      </c>
      <c r="G150" s="112">
        <f t="shared" si="11"/>
        <v>228.82999999999993</v>
      </c>
      <c r="H150" s="99">
        <f>G150+'20'!H150</f>
        <v>1592.62</v>
      </c>
      <c r="I150" s="119"/>
      <c r="J150" s="330">
        <f>H150/DAY(B2)</f>
        <v>75.839047619047619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'20'!F151</f>
        <v>75645</v>
      </c>
      <c r="F151" s="152">
        <v>75859</v>
      </c>
      <c r="G151" s="112">
        <f t="shared" si="11"/>
        <v>214</v>
      </c>
      <c r="H151" s="99">
        <f>G151+'20'!H151</f>
        <v>5137</v>
      </c>
      <c r="I151" s="119"/>
      <c r="J151" s="330">
        <f>H151/DAY(B2)</f>
        <v>244.61904761904762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'20'!F152</f>
        <v>578.74</v>
      </c>
      <c r="F152" s="233">
        <v>638.66999999999996</v>
      </c>
      <c r="G152" s="112">
        <f t="shared" si="11"/>
        <v>59.92999999999995</v>
      </c>
      <c r="H152" s="99">
        <f>G152+'20'!H152</f>
        <v>638.66999999999996</v>
      </c>
      <c r="I152" s="119"/>
      <c r="J152" s="330">
        <f>H152/DAY(B2)</f>
        <v>30.412857142857142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2900.1499999999146</v>
      </c>
      <c r="H153" s="365"/>
      <c r="I153" s="119">
        <f>G153-(G38+G52)</f>
        <v>1006.3099999999181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'20'!F155</f>
        <v>5454.77</v>
      </c>
      <c r="F155" s="376">
        <v>6155.09</v>
      </c>
      <c r="G155" s="112">
        <f t="shared" ref="G155:G158" si="12">F155-E155</f>
        <v>700.31999999999971</v>
      </c>
      <c r="H155" s="99">
        <f>G155+'20'!H155</f>
        <v>6248.09</v>
      </c>
      <c r="I155" s="366"/>
      <c r="J155" s="330">
        <f>H155/DAY(B2)</f>
        <v>297.52809523809526</v>
      </c>
    </row>
    <row r="156" spans="1:10" ht="27.75" x14ac:dyDescent="0.5">
      <c r="A156" s="838" t="s">
        <v>347</v>
      </c>
      <c r="B156" s="838"/>
      <c r="C156" s="838"/>
      <c r="D156" s="117" t="s">
        <v>130</v>
      </c>
      <c r="E156" s="95">
        <f>'20'!F156</f>
        <v>442</v>
      </c>
      <c r="F156" s="155">
        <v>491.41</v>
      </c>
      <c r="G156" s="112">
        <f t="shared" si="12"/>
        <v>49.410000000000025</v>
      </c>
      <c r="H156" s="99">
        <f>G156+'20'!H156</f>
        <v>491.41</v>
      </c>
      <c r="I156" s="165"/>
      <c r="J156" s="330">
        <f>H156/DAY(B2)</f>
        <v>23.400476190476191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>
        <f>'20'!F157</f>
        <v>488.7</v>
      </c>
      <c r="F157" s="155">
        <v>556.39</v>
      </c>
      <c r="G157" s="112">
        <f t="shared" si="12"/>
        <v>67.69</v>
      </c>
      <c r="H157" s="99">
        <f>G157+'20'!H157</f>
        <v>136.26</v>
      </c>
      <c r="I157" s="165"/>
      <c r="J157" s="330">
        <f>H157/DAY(B2)</f>
        <v>6.4885714285714284</v>
      </c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>
        <f>'20'!F158</f>
        <v>0.83</v>
      </c>
      <c r="F158" s="155">
        <v>0.93</v>
      </c>
      <c r="G158" s="112">
        <f t="shared" si="12"/>
        <v>0.10000000000000009</v>
      </c>
      <c r="H158" s="99">
        <f>G158+'20'!H158</f>
        <v>0.93</v>
      </c>
      <c r="I158" s="165"/>
      <c r="J158" s="330">
        <f>H158/DAY(B2)</f>
        <v>4.4285714285714289E-2</v>
      </c>
    </row>
    <row r="159" spans="1:10" ht="27.75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471143.8</v>
      </c>
      <c r="F161" s="235">
        <v>471146.76</v>
      </c>
      <c r="G161" s="238">
        <f t="shared" ref="G161:G165" si="13">F161-E161</f>
        <v>2.9600000000209548</v>
      </c>
      <c r="H161" s="99">
        <f>G161+'20'!H161</f>
        <v>170.64000000001397</v>
      </c>
      <c r="I161" s="236"/>
      <c r="J161" s="239">
        <f>H161/DAY(B2)</f>
        <v>8.1257142857149507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87247.8</v>
      </c>
      <c r="F162" s="235">
        <v>87281.5</v>
      </c>
      <c r="G162" s="238">
        <f t="shared" si="13"/>
        <v>33.69999999999709</v>
      </c>
      <c r="H162" s="99">
        <f>G162+'20'!H162</f>
        <v>679.80000000000291</v>
      </c>
      <c r="I162" s="236"/>
      <c r="J162" s="239">
        <f>H162/DAY(B2)</f>
        <v>32.371428571428709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77106.8</v>
      </c>
      <c r="F163" s="699">
        <v>77185.7</v>
      </c>
      <c r="G163" s="238">
        <f t="shared" si="13"/>
        <v>78.899999999994179</v>
      </c>
      <c r="H163" s="99">
        <f>G163+'20'!H163</f>
        <v>1725.8999999999942</v>
      </c>
      <c r="I163" s="236"/>
      <c r="J163" s="239">
        <f>H163/DAY(B2)</f>
        <v>82.185714285714013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4200.8</v>
      </c>
      <c r="F164" s="699">
        <v>4207.1000000000004</v>
      </c>
      <c r="G164" s="238">
        <f t="shared" si="13"/>
        <v>6.3000000000001819</v>
      </c>
      <c r="H164" s="99">
        <f>G164+'20'!H164</f>
        <v>109.20000000000073</v>
      </c>
      <c r="I164" s="236"/>
      <c r="J164" s="239">
        <f>H164/DAY(B2)</f>
        <v>5.2000000000000348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29569.55</v>
      </c>
      <c r="F165" s="235">
        <v>29577.54</v>
      </c>
      <c r="G165" s="238">
        <f t="shared" si="13"/>
        <v>7.9900000000016007</v>
      </c>
      <c r="H165" s="99">
        <f>G165+'20'!H165</f>
        <v>148.60880000000179</v>
      </c>
      <c r="I165" s="236"/>
      <c r="J165" s="239">
        <f>H165/DAY(B2)</f>
        <v>7.0766095238096094</v>
      </c>
    </row>
    <row r="166" spans="1:10" ht="29.25" x14ac:dyDescent="0.5">
      <c r="A166" s="870"/>
      <c r="B166" s="870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'20'!F173</f>
        <v>8110</v>
      </c>
      <c r="F173" s="155">
        <v>8110</v>
      </c>
      <c r="G173" s="155">
        <f>F173-E173</f>
        <v>0</v>
      </c>
      <c r="H173" s="99">
        <f>G173+'20'!H173</f>
        <v>3</v>
      </c>
      <c r="I173" s="155"/>
      <c r="J173" s="178">
        <f>H173/DAY(B2)</f>
        <v>0.14285714285714285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'20'!F174</f>
        <v>38131</v>
      </c>
      <c r="F174" s="157">
        <v>38147</v>
      </c>
      <c r="G174" s="155">
        <f t="shared" ref="G174:G175" si="14">F174-E174</f>
        <v>16</v>
      </c>
      <c r="H174" s="99">
        <f>G174+'20'!H174</f>
        <v>345</v>
      </c>
      <c r="I174" s="155"/>
      <c r="J174" s="178">
        <f>H174/DAY(B2)</f>
        <v>16.428571428571427</v>
      </c>
    </row>
    <row r="175" spans="1:10" ht="27.75" x14ac:dyDescent="0.5">
      <c r="A175" s="831" t="s">
        <v>76</v>
      </c>
      <c r="B175" s="833"/>
      <c r="C175" s="832"/>
      <c r="D175" s="228" t="s">
        <v>142</v>
      </c>
      <c r="E175" s="95">
        <f>'20'!F175</f>
        <v>21392</v>
      </c>
      <c r="F175" s="155">
        <v>21405</v>
      </c>
      <c r="G175" s="155">
        <f t="shared" si="14"/>
        <v>13</v>
      </c>
      <c r="H175" s="99">
        <f>G175+'20'!H175</f>
        <v>268</v>
      </c>
      <c r="I175" s="155"/>
      <c r="J175" s="178">
        <f>H175/DAY(B2)</f>
        <v>12.761904761904763</v>
      </c>
    </row>
    <row r="176" spans="1:10" ht="27.75" x14ac:dyDescent="0.5">
      <c r="A176" s="867" t="s">
        <v>196</v>
      </c>
      <c r="B176" s="868"/>
      <c r="C176" s="529"/>
      <c r="D176" s="228" t="s">
        <v>142</v>
      </c>
      <c r="E176" s="95"/>
      <c r="F176" s="155"/>
      <c r="G176" s="155">
        <f>SUM(G173:G175)</f>
        <v>29</v>
      </c>
      <c r="H176" s="99">
        <f>G176+'20'!H176</f>
        <v>616</v>
      </c>
      <c r="I176" s="155"/>
      <c r="J176" s="178">
        <f>H176/DAY(B2)</f>
        <v>29.333333333333332</v>
      </c>
    </row>
    <row r="177" spans="1:10" ht="27.75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831" t="s">
        <v>210</v>
      </c>
      <c r="B178" s="832"/>
      <c r="C178" s="335"/>
      <c r="D178" s="228" t="s">
        <v>142</v>
      </c>
      <c r="E178" s="95">
        <f>'20'!F178</f>
        <v>78855</v>
      </c>
      <c r="F178" s="155">
        <v>78915</v>
      </c>
      <c r="G178" s="155">
        <f>F178-E178</f>
        <v>60</v>
      </c>
      <c r="H178" s="99">
        <f>G178+'20'!H178</f>
        <v>1563</v>
      </c>
      <c r="I178" s="155"/>
      <c r="J178" s="178">
        <f>H178/DAY(B2)</f>
        <v>74.428571428571431</v>
      </c>
    </row>
    <row r="179" spans="1:10" ht="27.75" x14ac:dyDescent="0.5">
      <c r="A179" s="831" t="s">
        <v>211</v>
      </c>
      <c r="B179" s="832"/>
      <c r="C179" s="335"/>
      <c r="D179" s="228" t="s">
        <v>142</v>
      </c>
      <c r="E179" s="95">
        <f>'20'!F179</f>
        <v>33915</v>
      </c>
      <c r="F179" s="155">
        <v>33915</v>
      </c>
      <c r="G179" s="155">
        <f t="shared" ref="G179:G180" si="15">F179-E179</f>
        <v>0</v>
      </c>
      <c r="H179" s="99">
        <f>G179+'20'!H179</f>
        <v>29</v>
      </c>
      <c r="I179" s="155"/>
      <c r="J179" s="178">
        <f>H179/DAY(B2)</f>
        <v>1.3809523809523809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'20'!F180</f>
        <v>5398</v>
      </c>
      <c r="F180" s="155">
        <v>5409</v>
      </c>
      <c r="G180" s="155">
        <f t="shared" si="15"/>
        <v>11</v>
      </c>
      <c r="H180" s="99">
        <f>G180+'20'!H180</f>
        <v>136</v>
      </c>
      <c r="I180" s="155"/>
      <c r="J180" s="178">
        <f>H180/DAY(B2)</f>
        <v>6.4761904761904763</v>
      </c>
    </row>
    <row r="181" spans="1:10" ht="27.75" x14ac:dyDescent="0.5">
      <c r="A181" s="872" t="s">
        <v>108</v>
      </c>
      <c r="B181" s="873"/>
      <c r="C181" s="529"/>
      <c r="D181" s="228" t="s">
        <v>142</v>
      </c>
      <c r="E181" s="95"/>
      <c r="F181" s="155"/>
      <c r="G181" s="155">
        <f>SUM(G178:G180)</f>
        <v>71</v>
      </c>
      <c r="H181" s="99">
        <f>G181+'20'!H181</f>
        <v>1728</v>
      </c>
      <c r="I181" s="155"/>
      <c r="J181" s="178">
        <f>H181/DAY(B2)</f>
        <v>82.285714285714292</v>
      </c>
    </row>
    <row r="182" spans="1:10" ht="27.75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'20'!F183</f>
        <v>14781</v>
      </c>
      <c r="F183" s="157">
        <v>14793</v>
      </c>
      <c r="G183" s="157">
        <f>F183-E183</f>
        <v>12</v>
      </c>
      <c r="H183" s="99">
        <f>G183+'20'!H183</f>
        <v>297</v>
      </c>
      <c r="I183" s="155"/>
      <c r="J183" s="178">
        <f>H183/DAY(B2)</f>
        <v>14.142857142857142</v>
      </c>
    </row>
    <row r="184" spans="1:10" ht="27.75" x14ac:dyDescent="0.5">
      <c r="A184" s="831" t="s">
        <v>215</v>
      </c>
      <c r="B184" s="832"/>
      <c r="C184" s="336"/>
      <c r="D184" s="228" t="s">
        <v>142</v>
      </c>
      <c r="E184" s="95">
        <f>'20'!F184</f>
        <v>10216</v>
      </c>
      <c r="F184" s="157">
        <v>10225</v>
      </c>
      <c r="G184" s="157">
        <f t="shared" ref="G184:G185" si="16">F184-E184</f>
        <v>9</v>
      </c>
      <c r="H184" s="99">
        <f>G184+'20'!H184</f>
        <v>194</v>
      </c>
      <c r="I184" s="155"/>
      <c r="J184" s="178">
        <f>H184/DAY(B2)</f>
        <v>9.2380952380952372</v>
      </c>
    </row>
    <row r="185" spans="1:10" ht="32.25" customHeight="1" x14ac:dyDescent="0.5">
      <c r="A185" s="831" t="s">
        <v>216</v>
      </c>
      <c r="B185" s="832"/>
      <c r="C185" s="336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867" t="s">
        <v>196</v>
      </c>
      <c r="B186" s="868"/>
      <c r="C186" s="528"/>
      <c r="D186" s="228" t="s">
        <v>142</v>
      </c>
      <c r="E186" s="95"/>
      <c r="F186" s="157"/>
      <c r="G186" s="157">
        <f>SUM(G183:G185)</f>
        <v>21</v>
      </c>
      <c r="H186" s="99">
        <f>G186+'20'!H186</f>
        <v>491</v>
      </c>
      <c r="I186" s="157"/>
      <c r="J186" s="178">
        <f>H186/DAY(B2)</f>
        <v>23.38095238095238</v>
      </c>
    </row>
    <row r="187" spans="1:10" ht="27.75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506">
        <f>G62+G19</f>
        <v>168</v>
      </c>
      <c r="H187" s="99">
        <f>G187+'20'!H187</f>
        <v>3723</v>
      </c>
      <c r="I187" s="158"/>
      <c r="J187" s="179">
        <f>H187/DAY(B2)</f>
        <v>177.28571428571428</v>
      </c>
    </row>
    <row r="188" spans="1:10" ht="27.75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158</v>
      </c>
      <c r="H188" s="99">
        <f>G188+'20'!H188</f>
        <v>1205</v>
      </c>
      <c r="I188" s="158"/>
      <c r="J188" s="179">
        <f>H188/DAY(B2)</f>
        <v>57.38095238095238</v>
      </c>
    </row>
    <row r="189" spans="1:10" ht="21" customHeight="1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71</v>
      </c>
      <c r="H189" s="99">
        <f>G189+'20'!H189</f>
        <v>214</v>
      </c>
      <c r="I189" s="158"/>
      <c r="J189" s="179">
        <f>H189/DAY(B2)</f>
        <v>10.19047619047619</v>
      </c>
    </row>
    <row r="190" spans="1:10" ht="27.75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42" zoomScale="50" zoomScaleNormal="71" zoomScaleSheetLayoutView="50" workbookViewId="0">
      <selection activeCell="E157" sqref="E157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356</v>
      </c>
      <c r="B2" s="262">
        <v>44552</v>
      </c>
      <c r="C2" s="350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888078.07</v>
      </c>
      <c r="F7" s="95">
        <v>908693.59</v>
      </c>
      <c r="G7" s="112">
        <f>F7-E7</f>
        <v>20615.520000000019</v>
      </c>
      <c r="H7" s="99">
        <f>G7+'21'!H7</f>
        <v>507851.58999999997</v>
      </c>
      <c r="I7" s="113">
        <f>'1'!I7</f>
        <v>12000</v>
      </c>
      <c r="J7" s="175">
        <f>H7/DAY(B2)</f>
        <v>23084.163181818181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932171.11</v>
      </c>
      <c r="F8" s="95">
        <v>952949.19</v>
      </c>
      <c r="G8" s="115">
        <f>F8-E8</f>
        <v>20778.079999999958</v>
      </c>
      <c r="H8" s="99">
        <f>G8+'21'!H8</f>
        <v>514654.18999999994</v>
      </c>
      <c r="I8" s="116"/>
      <c r="J8" s="175">
        <f>H8/DAY(B2)</f>
        <v>23393.372272727269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2091410.3</v>
      </c>
      <c r="F9" s="659">
        <v>2108701.9</v>
      </c>
      <c r="G9" s="112">
        <f>F9-E9</f>
        <v>17291.59999999986</v>
      </c>
      <c r="H9" s="99">
        <f>G9+'21'!H9</f>
        <v>389604.19999999995</v>
      </c>
      <c r="I9" s="124">
        <f>I7-J7</f>
        <v>-11084.163181818181</v>
      </c>
      <c r="J9" s="175">
        <f>H9/DAY(B2)</f>
        <v>17709.281818181815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507566.07</v>
      </c>
      <c r="F10" s="355">
        <v>510301.83</v>
      </c>
      <c r="G10" s="112">
        <f t="shared" ref="G10:G12" si="0">F10-E10</f>
        <v>2735.7600000000093</v>
      </c>
      <c r="H10" s="99">
        <f>G10+'21'!H10</f>
        <v>104219.40000000002</v>
      </c>
      <c r="I10" s="282"/>
      <c r="J10" s="175">
        <f>H10/DAY(B2)</f>
        <v>4737.2454545454557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37000</v>
      </c>
      <c r="F11" s="95">
        <v>37000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20027.35999999987</v>
      </c>
      <c r="H13" s="99">
        <f>G13+'21'!H13</f>
        <v>471772.72999999992</v>
      </c>
      <c r="I13" s="120">
        <f>G7-G13</f>
        <v>588.16000000014901</v>
      </c>
      <c r="J13" s="175">
        <f>H13/DAY(B2)</f>
        <v>21444.214999999997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'21'!F15</f>
        <v>1867657.38</v>
      </c>
      <c r="F15" s="123">
        <v>1868719.84</v>
      </c>
      <c r="G15" s="112">
        <f>(F15-E15)</f>
        <v>1062.4600000001956</v>
      </c>
      <c r="H15" s="99">
        <f>G15+'21'!H15</f>
        <v>25571.840000000084</v>
      </c>
      <c r="I15" s="113">
        <f>'1'!I15</f>
        <v>800</v>
      </c>
      <c r="J15" s="175">
        <f>H15/DAY(B2)</f>
        <v>1162.3563636363674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-362.3563636363674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'21'!F18</f>
        <v>22</v>
      </c>
      <c r="F18" s="122">
        <v>19</v>
      </c>
      <c r="G18" s="119">
        <f>F18*10</f>
        <v>190</v>
      </c>
      <c r="H18" s="99">
        <f>G18+'21'!H18</f>
        <v>4650</v>
      </c>
      <c r="I18" s="113">
        <f>'1'!I18</f>
        <v>65</v>
      </c>
      <c r="J18" s="175">
        <f>H18/DAY(B2)</f>
        <v>211.36363636363637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'21'!F19</f>
        <v>151693</v>
      </c>
      <c r="F19" s="122">
        <v>151744</v>
      </c>
      <c r="G19" s="112">
        <f t="shared" ref="G19" si="1">F19-E19</f>
        <v>51</v>
      </c>
      <c r="H19" s="99">
        <f>G19+'21'!H19</f>
        <v>1160</v>
      </c>
      <c r="I19" s="337"/>
      <c r="J19" s="175">
        <f>H19/DAY(B2)</f>
        <v>52.727272727272727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241</v>
      </c>
      <c r="H20" s="99">
        <f>G20+'21'!H20</f>
        <v>5810</v>
      </c>
      <c r="I20" s="338">
        <f>I18-J20</f>
        <v>-199.09090909090907</v>
      </c>
      <c r="J20" s="175">
        <f>H20/DAY(B2)</f>
        <v>264.09090909090907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20778.079999999958</v>
      </c>
      <c r="F27" s="136">
        <v>9</v>
      </c>
      <c r="G27" s="137">
        <f>E27*F27</f>
        <v>187002.71999999962</v>
      </c>
      <c r="H27" s="99">
        <f>G27+'21'!H27</f>
        <v>4631887.709999999</v>
      </c>
      <c r="I27" s="138"/>
      <c r="J27" s="175">
        <f>H27/DAY(B2)</f>
        <v>210540.35045454541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1062.4600000001956</v>
      </c>
      <c r="F28" s="136">
        <v>52</v>
      </c>
      <c r="G28" s="137">
        <f>E28*F28</f>
        <v>55247.92000001017</v>
      </c>
      <c r="H28" s="99">
        <f>G28+'21'!H28</f>
        <v>1329735.6800000044</v>
      </c>
      <c r="I28" s="140"/>
      <c r="J28" s="175">
        <f>H28/DAY(B2)</f>
        <v>60442.530909091111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G30+'21'!H30</f>
        <v>169360</v>
      </c>
      <c r="I30" s="140"/>
      <c r="J30" s="175">
        <f>H30/DAY(B2)</f>
        <v>7698.181818181818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G31+'21'!H31</f>
        <v>372000</v>
      </c>
      <c r="I31" s="140"/>
      <c r="J31" s="175">
        <f>H31/DAY(B2)</f>
        <v>16909.090909090908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264896.64000000979</v>
      </c>
      <c r="H32" s="99">
        <f>G32+'21'!H32</f>
        <v>6502983.3900000034</v>
      </c>
      <c r="I32" s="144"/>
      <c r="J32" s="175">
        <f>H32/DAY(B2)</f>
        <v>295590.15409090923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135332.18</v>
      </c>
      <c r="F35" s="548">
        <v>136855.21</v>
      </c>
      <c r="G35" s="112">
        <f t="shared" ref="G35:G46" si="3">F35-E35</f>
        <v>1523.0299999999988</v>
      </c>
      <c r="H35" s="99">
        <f>G35+'21'!H35</f>
        <v>43320.579999999987</v>
      </c>
      <c r="I35" s="95"/>
      <c r="J35" s="175">
        <f>H35/DAY(B2)</f>
        <v>1969.1172727272722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12225.39</v>
      </c>
      <c r="F36" s="145">
        <v>13145.36</v>
      </c>
      <c r="G36" s="112">
        <f t="shared" si="3"/>
        <v>919.97000000000116</v>
      </c>
      <c r="H36" s="99">
        <f>G36+'21'!H36</f>
        <v>23411.660000000007</v>
      </c>
      <c r="I36" s="95"/>
      <c r="J36" s="175">
        <f>H36/DAY(B2)</f>
        <v>1064.1663636363639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179507.15</v>
      </c>
      <c r="F37" s="548">
        <v>181097.29</v>
      </c>
      <c r="G37" s="112">
        <f t="shared" si="3"/>
        <v>1590.140000000014</v>
      </c>
      <c r="H37" s="99">
        <f>G37+'21'!H37</f>
        <v>35590.550000000017</v>
      </c>
      <c r="I37" s="95"/>
      <c r="J37" s="175">
        <f>H37/DAY(B2)</f>
        <v>1617.7522727272735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213221.87</v>
      </c>
      <c r="F38" s="108">
        <v>215136.45</v>
      </c>
      <c r="G38" s="112">
        <f t="shared" si="3"/>
        <v>1914.5800000000163</v>
      </c>
      <c r="H38" s="99">
        <f>G38+'21'!H38</f>
        <v>44132.400000000023</v>
      </c>
      <c r="I38" s="95"/>
      <c r="J38" s="175">
        <f>H38/DAY(B2)</f>
        <v>2006.0181818181829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383436.23</v>
      </c>
      <c r="F39" s="548">
        <v>386212.15</v>
      </c>
      <c r="G39" s="112">
        <f t="shared" si="3"/>
        <v>2775.9200000000419</v>
      </c>
      <c r="H39" s="99">
        <f>G39+'21'!H39</f>
        <v>64548.860000000044</v>
      </c>
      <c r="I39" s="95"/>
      <c r="J39" s="175">
        <f>H39/DAY(B2)</f>
        <v>2934.0390909090929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863.05</v>
      </c>
      <c r="F40" s="145">
        <v>1228.6199999999999</v>
      </c>
      <c r="G40" s="112">
        <f t="shared" si="3"/>
        <v>365.56999999999994</v>
      </c>
      <c r="H40" s="99">
        <f>G40+'21'!H40</f>
        <v>1657.55</v>
      </c>
      <c r="I40" s="95"/>
      <c r="J40" s="175">
        <f>H40/DAY(B2)</f>
        <v>75.343181818181819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0</v>
      </c>
      <c r="F41" s="145">
        <v>0</v>
      </c>
      <c r="G41" s="112">
        <f t="shared" si="3"/>
        <v>0</v>
      </c>
      <c r="H41" s="99">
        <f>G41+'21'!H41</f>
        <v>9386.2900000000373</v>
      </c>
      <c r="I41" s="95"/>
      <c r="J41" s="175">
        <f>H41/DAY(B2)</f>
        <v>426.64954545454714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34250.589999999997</v>
      </c>
      <c r="F42" s="145">
        <v>38987.9</v>
      </c>
      <c r="G42" s="112">
        <f t="shared" si="3"/>
        <v>4737.3100000000049</v>
      </c>
      <c r="H42" s="99">
        <f>G42+'21'!H42</f>
        <v>80593.91</v>
      </c>
      <c r="I42" s="95"/>
      <c r="J42" s="175">
        <f>H42/DAY(B2)</f>
        <v>3663.3595454545457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20922.75</v>
      </c>
      <c r="F43" s="145">
        <v>23615.5</v>
      </c>
      <c r="G43" s="112">
        <f t="shared" si="3"/>
        <v>2692.75</v>
      </c>
      <c r="H43" s="99">
        <f>G43+'21'!H43</f>
        <v>59697.899999999907</v>
      </c>
      <c r="I43" s="95"/>
      <c r="J43" s="175">
        <f>H43/DAY(B2)</f>
        <v>2713.5409090909047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16519.270000000077</v>
      </c>
      <c r="H47" s="99">
        <f>G47+'21'!H47</f>
        <v>362339.7</v>
      </c>
      <c r="I47" s="95"/>
      <c r="J47" s="175">
        <f>H47/DAY(B2)</f>
        <v>16469.986363636363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257146.11</v>
      </c>
      <c r="F49" s="145">
        <v>258707.57</v>
      </c>
      <c r="G49" s="112">
        <f t="shared" ref="G49:G58" si="4">F49-E49</f>
        <v>1561.460000000021</v>
      </c>
      <c r="H49" s="99">
        <f>G49+'21'!H49</f>
        <v>38194.24000000002</v>
      </c>
      <c r="I49" s="95"/>
      <c r="J49" s="175">
        <f>H49/DAY(B2)</f>
        <v>1736.101818181819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13089.88</v>
      </c>
      <c r="F50" s="145">
        <v>14197.89</v>
      </c>
      <c r="G50" s="112">
        <f t="shared" si="4"/>
        <v>1108.0100000000002</v>
      </c>
      <c r="H50" s="99">
        <f>G50+'21'!H50</f>
        <v>30049.700000000063</v>
      </c>
      <c r="I50" s="95"/>
      <c r="J50" s="175">
        <f>H50/DAY(B2)</f>
        <v>1365.8954545454574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3139.76</v>
      </c>
      <c r="F54" s="145">
        <v>3144.2</v>
      </c>
      <c r="G54" s="112">
        <f t="shared" si="4"/>
        <v>4.4399999999995998</v>
      </c>
      <c r="H54" s="99">
        <f>G54+'21'!H54</f>
        <v>112.91999999999962</v>
      </c>
      <c r="I54" s="95"/>
      <c r="J54" s="175">
        <f>H54/DAY(B2)</f>
        <v>5.132727272727255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0</v>
      </c>
      <c r="F55" s="548">
        <v>0</v>
      </c>
      <c r="G55" s="112">
        <f t="shared" si="4"/>
        <v>0</v>
      </c>
      <c r="H55" s="99">
        <f>G55+'21'!H55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8610.5400000000009</v>
      </c>
      <c r="F56" s="548">
        <v>8610.5400000000009</v>
      </c>
      <c r="G56" s="112">
        <f>F56-E56</f>
        <v>0</v>
      </c>
      <c r="H56" s="99">
        <f>G56+'21'!H56</f>
        <v>30160.589999999986</v>
      </c>
      <c r="I56" s="95"/>
      <c r="J56" s="175">
        <f>H56/DAY(B2)</f>
        <v>1370.9359090909084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90130.03</v>
      </c>
      <c r="F58" s="145">
        <v>90345.04</v>
      </c>
      <c r="G58" s="112">
        <f t="shared" si="4"/>
        <v>215.00999999999476</v>
      </c>
      <c r="H58" s="99">
        <f>G58+'21'!H58</f>
        <v>5020.1899999999878</v>
      </c>
      <c r="I58" s="95"/>
      <c r="J58" s="175">
        <f>H58/DAY(B2)</f>
        <v>228.190454545454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2888.9200000000155</v>
      </c>
      <c r="H59" s="99">
        <f>G59+'21'!H59</f>
        <v>103537.64000000006</v>
      </c>
      <c r="I59" s="95">
        <f>G7-G60</f>
        <v>1207.3299999999253</v>
      </c>
      <c r="J59" s="175">
        <f>H59/DAY(B2)</f>
        <v>4706.2563636363666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19408.190000000093</v>
      </c>
      <c r="H60" s="99">
        <f>G60+'21'!H60</f>
        <v>465877.34000000014</v>
      </c>
      <c r="I60" s="95">
        <f>G13-G60</f>
        <v>619.16999999977634</v>
      </c>
      <c r="J60" s="175">
        <f>H60/DAY(B2)</f>
        <v>21176.242727272733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'21'!F62</f>
        <v>266079</v>
      </c>
      <c r="F62" s="122">
        <v>266199</v>
      </c>
      <c r="G62" s="112">
        <f t="shared" ref="G62:G63" si="5">F62-E62</f>
        <v>120</v>
      </c>
      <c r="H62" s="99">
        <f>G62+'21'!H62</f>
        <v>2734</v>
      </c>
      <c r="I62" s="118"/>
      <c r="J62" s="175">
        <f>H62/DAY(B2)</f>
        <v>124.27272727272727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'21'!F63</f>
        <v>211568</v>
      </c>
      <c r="F63" s="122">
        <v>211648</v>
      </c>
      <c r="G63" s="112">
        <f t="shared" si="5"/>
        <v>80</v>
      </c>
      <c r="H63" s="99">
        <f>G63+'21'!H63</f>
        <v>2273</v>
      </c>
      <c r="I63" s="118"/>
      <c r="J63" s="175">
        <f>H63/DAY(B2)</f>
        <v>103.31818181818181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'21'!F64</f>
        <v>0</v>
      </c>
      <c r="F64" s="122"/>
      <c r="G64" s="112">
        <f>G62+G63</f>
        <v>200</v>
      </c>
      <c r="H64" s="99">
        <f>G64+'21'!H64</f>
        <v>5007</v>
      </c>
      <c r="I64" s="118"/>
      <c r="J64" s="175">
        <f>H64/DAY(B2)</f>
        <v>227.59090909090909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'21'!F65</f>
        <v>431583</v>
      </c>
      <c r="F65" s="122">
        <v>431688</v>
      </c>
      <c r="G65" s="112">
        <f t="shared" ref="G65:G70" si="6">F65-E65</f>
        <v>105</v>
      </c>
      <c r="H65" s="99">
        <f>G65+'21'!H65</f>
        <v>2325</v>
      </c>
      <c r="I65" s="118"/>
      <c r="J65" s="175">
        <f>H65/DAY(B2)</f>
        <v>105.68181818181819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'21'!F66</f>
        <v>107007</v>
      </c>
      <c r="F66" s="122">
        <v>107025</v>
      </c>
      <c r="G66" s="112">
        <f t="shared" si="6"/>
        <v>18</v>
      </c>
      <c r="H66" s="99">
        <f>G66+'21'!H66</f>
        <v>426</v>
      </c>
      <c r="I66" s="118"/>
      <c r="J66" s="175">
        <f>H66/DAY(B2)</f>
        <v>19.363636363636363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'21'!F67</f>
        <v>103625</v>
      </c>
      <c r="F67" s="122">
        <v>103652</v>
      </c>
      <c r="G67" s="112">
        <f t="shared" si="6"/>
        <v>27</v>
      </c>
      <c r="H67" s="99">
        <f>G67+'21'!H67</f>
        <v>641</v>
      </c>
      <c r="I67" s="118"/>
      <c r="J67" s="175">
        <f>H67/DAY(B2)</f>
        <v>29.136363636363637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'21'!F68</f>
        <v>156284</v>
      </c>
      <c r="F68" s="122">
        <v>156316</v>
      </c>
      <c r="G68" s="112">
        <f t="shared" si="6"/>
        <v>32</v>
      </c>
      <c r="H68" s="99">
        <f>G68+'21'!H68</f>
        <v>876</v>
      </c>
      <c r="I68" s="118"/>
      <c r="J68" s="175">
        <f>H68/DAY(B2)</f>
        <v>39.81818181818182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'21'!F69</f>
        <v>10087</v>
      </c>
      <c r="F69" s="122">
        <v>10095</v>
      </c>
      <c r="G69" s="112">
        <f t="shared" si="6"/>
        <v>8</v>
      </c>
      <c r="H69" s="99">
        <f>G69+'21'!H69</f>
        <v>252</v>
      </c>
      <c r="I69" s="118"/>
      <c r="J69" s="175">
        <f>H69/DAY(B2)</f>
        <v>11.454545454545455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'21'!F70</f>
        <v>7771</v>
      </c>
      <c r="F70" s="122">
        <v>7780</v>
      </c>
      <c r="G70" s="112">
        <f t="shared" si="6"/>
        <v>9</v>
      </c>
      <c r="H70" s="99">
        <f>G70+'21'!H70</f>
        <v>238</v>
      </c>
      <c r="I70" s="118"/>
      <c r="J70" s="175">
        <f>H70/DAY(B2)</f>
        <v>10.818181818181818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199</v>
      </c>
      <c r="H71" s="99">
        <f>G71+'21'!H71</f>
        <v>4758</v>
      </c>
      <c r="I71" s="154"/>
      <c r="J71" s="175">
        <f>H71/DAY(B2)</f>
        <v>216.27272727272728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'21'!F74</f>
        <v>888895.21</v>
      </c>
      <c r="F74" s="123">
        <v>889227.52</v>
      </c>
      <c r="G74" s="112">
        <f t="shared" ref="G74:G78" si="7">F74-E74</f>
        <v>332.31000000005588</v>
      </c>
      <c r="H74" s="99">
        <f>G74+'21'!H74</f>
        <v>6974.4710000000196</v>
      </c>
      <c r="I74" s="154"/>
      <c r="J74" s="175">
        <f>H74/DAY(B2)</f>
        <v>317.02140909090997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243.88999999999942</v>
      </c>
      <c r="I75" s="154"/>
      <c r="J75" s="175">
        <f>H75/DAY(B2)</f>
        <v>11.085909090909064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'21'!F76</f>
        <v>166125.73000000001</v>
      </c>
      <c r="F76" s="123">
        <v>166217.79999999999</v>
      </c>
      <c r="G76" s="112">
        <f t="shared" si="7"/>
        <v>92.069999999977881</v>
      </c>
      <c r="H76" s="99">
        <f>G76+'21'!H76</f>
        <v>2833.7999999999884</v>
      </c>
      <c r="I76" s="154"/>
      <c r="J76" s="175">
        <f>H76/DAY(B2)</f>
        <v>128.80909090909037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'21'!F77</f>
        <v>39851</v>
      </c>
      <c r="F77" s="123">
        <v>39898.9</v>
      </c>
      <c r="G77" s="112">
        <f t="shared" si="7"/>
        <v>47.900000000001455</v>
      </c>
      <c r="H77" s="99">
        <f>G77+'21'!H77</f>
        <v>1088.9000000000015</v>
      </c>
      <c r="I77" s="154"/>
      <c r="J77" s="175">
        <f>H77/DAY(B2)</f>
        <v>49.495454545454614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'21'!F78</f>
        <v>9467</v>
      </c>
      <c r="F78" s="123">
        <v>9468.7000000000007</v>
      </c>
      <c r="G78" s="112">
        <f t="shared" si="7"/>
        <v>1.7000000000007276</v>
      </c>
      <c r="H78" s="99">
        <f>G78+'21'!H78</f>
        <v>56.700000000000728</v>
      </c>
      <c r="I78" s="118"/>
      <c r="J78" s="175">
        <f>H78/DAY(B2)</f>
        <v>2.5772727272727605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'21'!F79</f>
        <v>0</v>
      </c>
      <c r="F79" s="123"/>
      <c r="G79" s="112">
        <f>G15-SUM(G74:G78)</f>
        <v>588.48000000015963</v>
      </c>
      <c r="H79" s="99">
        <f>G79+'21'!H79</f>
        <v>14374.079000000074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1062.4600000001956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46.840000000003783</v>
      </c>
      <c r="I84" s="118"/>
      <c r="J84" s="175">
        <f>H84/DAY(B2)</f>
        <v>2.1290909090910812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'21'!F85</f>
        <v>1892.37</v>
      </c>
      <c r="F85" s="164">
        <v>1916.37</v>
      </c>
      <c r="G85" s="112">
        <f t="shared" si="8"/>
        <v>24</v>
      </c>
      <c r="H85" s="99">
        <f>G85+'21'!H85</f>
        <v>412.80999999999995</v>
      </c>
      <c r="I85" s="118">
        <f>G82+G83+G84+G85</f>
        <v>24</v>
      </c>
      <c r="J85" s="175">
        <f>H85/DAY(B2)</f>
        <v>18.764090909090907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'21'!F86</f>
        <v>42826.47</v>
      </c>
      <c r="F86" s="164">
        <v>42826.47</v>
      </c>
      <c r="G86" s="112">
        <f t="shared" si="8"/>
        <v>0</v>
      </c>
      <c r="H86" s="99">
        <f>G86+'21'!H86</f>
        <v>0.47000000000116415</v>
      </c>
      <c r="I86" s="118"/>
      <c r="J86" s="175">
        <f>H86/DAY(B2)</f>
        <v>2.1363636363689278E-2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178.15000000000146</v>
      </c>
      <c r="I87" s="118"/>
      <c r="J87" s="175">
        <f>H87/DAY(B2)</f>
        <v>8.0977272727273384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'21'!F88</f>
        <v>24005.53</v>
      </c>
      <c r="F88" s="164">
        <v>24005.53</v>
      </c>
      <c r="G88" s="112">
        <f t="shared" si="8"/>
        <v>0</v>
      </c>
      <c r="H88" s="99">
        <f>G88+'21'!H88</f>
        <v>53.039999999997235</v>
      </c>
      <c r="I88" s="118">
        <f>G86+G87+G88</f>
        <v>0</v>
      </c>
      <c r="J88" s="175">
        <f>H88/DAY(B2)</f>
        <v>2.4109090909089654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'21'!F89</f>
        <v>25606.26</v>
      </c>
      <c r="F89" s="164">
        <v>25616.27</v>
      </c>
      <c r="G89" s="112">
        <f t="shared" si="8"/>
        <v>10.010000000002037</v>
      </c>
      <c r="H89" s="99">
        <f>G89+'21'!H89</f>
        <v>188.77999999999884</v>
      </c>
      <c r="I89" s="118"/>
      <c r="J89" s="175">
        <f>H89/DAY(B2)</f>
        <v>8.5809090909090386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'21'!F90</f>
        <v>70975.42</v>
      </c>
      <c r="F90" s="164">
        <v>70981.08</v>
      </c>
      <c r="G90" s="112">
        <f t="shared" si="8"/>
        <v>5.6600000000034925</v>
      </c>
      <c r="H90" s="99">
        <f>G90+'21'!H90</f>
        <v>152.80999999999767</v>
      </c>
      <c r="I90" s="118">
        <f>G89+G90</f>
        <v>15.67000000000553</v>
      </c>
      <c r="J90" s="175">
        <f>H90/DAY(B2)</f>
        <v>6.9459090909089847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0.32000000000016371</v>
      </c>
      <c r="I91" s="165"/>
      <c r="J91" s="175">
        <f>H91/DAY(B2)</f>
        <v>1.4545454545461987E-2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'21'!F92</f>
        <v>5328.57</v>
      </c>
      <c r="F92" s="122">
        <v>5340.01</v>
      </c>
      <c r="G92" s="112">
        <f t="shared" si="8"/>
        <v>11.440000000000509</v>
      </c>
      <c r="H92" s="99">
        <f>G92+'21'!H92</f>
        <v>244.11000000000058</v>
      </c>
      <c r="I92" s="165"/>
      <c r="J92" s="175">
        <f>H92/DAY(B2)</f>
        <v>11.095909090909117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5777.2400000000198</v>
      </c>
      <c r="H94" s="99">
        <f>G94+'21'!H94</f>
        <v>141212.71999999991</v>
      </c>
      <c r="I94" s="118"/>
      <c r="J94" s="175">
        <f>H94/DAY(B2)</f>
        <v>6418.7599999999957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0.28023741336624131</v>
      </c>
      <c r="H95" s="99">
        <f>G95+'21'!H95</f>
        <v>6.1221518467885323</v>
      </c>
      <c r="I95" s="167"/>
      <c r="J95" s="175">
        <f>H95/DAY(B2)</f>
        <v>0.27827962939947876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4737.3100000000049</v>
      </c>
      <c r="H96" s="99">
        <f>G96+'21'!H96</f>
        <v>120140.79000000001</v>
      </c>
      <c r="I96" s="118"/>
      <c r="J96" s="175">
        <f>H96/DAY(B2)</f>
        <v>5460.9450000000006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0.22979337896885457</v>
      </c>
      <c r="H97" s="99">
        <f>G97+'21'!H97</f>
        <v>5.1904221666204853</v>
      </c>
      <c r="I97" s="167"/>
      <c r="J97" s="175">
        <f>H97/DAY(B2)</f>
        <v>0.23592828030093116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2775.9200000000419</v>
      </c>
      <c r="H98" s="99">
        <f>G98+'21'!H98</f>
        <v>64548.860000000044</v>
      </c>
      <c r="I98" s="168"/>
      <c r="J98" s="175">
        <f>H98/DAY(B2)</f>
        <v>2934.0390909090929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0.13465195153942464</v>
      </c>
      <c r="H99" s="99">
        <f>G99+'21'!H99</f>
        <v>2.8018671943617086</v>
      </c>
      <c r="I99" s="168"/>
      <c r="J99" s="175">
        <f>H99/DAY(B2)</f>
        <v>0.12735759974371402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1914.5800000000163</v>
      </c>
      <c r="H100" s="99">
        <f>G100+'21'!H100</f>
        <v>44132.400000000023</v>
      </c>
      <c r="I100" s="118"/>
      <c r="J100" s="175">
        <f>H100/DAY(B2)</f>
        <v>2006.0181818181829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9.2870808012604805E-2</v>
      </c>
      <c r="H101" s="99">
        <f>G101+'21'!H101</f>
        <v>1.9152144191131786</v>
      </c>
      <c r="I101" s="168"/>
      <c r="J101" s="175">
        <f>H101/DAY(B2)</f>
        <v>8.7055200868780838E-2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2027.9800000000014</v>
      </c>
      <c r="H102" s="99">
        <f>G102+'21'!H102</f>
        <v>53461.360000000059</v>
      </c>
      <c r="I102" s="168"/>
      <c r="J102" s="175">
        <f>H102/DAY(B2)</f>
        <v>2430.0618181818209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9.8371518157194165E-2</v>
      </c>
      <c r="H103" s="99">
        <f>G103+'21'!H103</f>
        <v>2.3153609083757853</v>
      </c>
      <c r="I103" s="118"/>
      <c r="J103" s="175">
        <f>H103/DAY(B2)</f>
        <v>0.10524367765344479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1590.140000000014</v>
      </c>
      <c r="H104" s="99">
        <f>G104+'21'!H104</f>
        <v>35590.550000000017</v>
      </c>
      <c r="I104" s="118"/>
      <c r="J104" s="175">
        <f>H104/DAY(B2)</f>
        <v>1617.7522727272735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7.7133150170357698E-2</v>
      </c>
      <c r="H105" s="99">
        <f>G105+'21'!H105</f>
        <v>1.5459679455069455</v>
      </c>
      <c r="I105" s="187"/>
      <c r="J105" s="188">
        <f>H105/DAY(B2)</f>
        <v>7.0271270250315709E-2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'21'!F112</f>
        <v>54981.62</v>
      </c>
      <c r="F112" s="237">
        <v>55052.68</v>
      </c>
      <c r="G112" s="112">
        <f t="shared" ref="G112:G123" si="9">F112-E112</f>
        <v>71.059999999997672</v>
      </c>
      <c r="H112" s="99">
        <f>G112+'21'!H112</f>
        <v>1700.6699999999983</v>
      </c>
      <c r="I112" s="165"/>
      <c r="J112" s="330">
        <f>H112/DAY(B2)</f>
        <v>77.303181818181741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'21'!F113</f>
        <v>27650.66</v>
      </c>
      <c r="F113" s="237">
        <v>28103.25</v>
      </c>
      <c r="G113" s="112">
        <f t="shared" si="9"/>
        <v>452.59000000000015</v>
      </c>
      <c r="H113" s="99">
        <f>G113+'21'!H113</f>
        <v>10146.720000000001</v>
      </c>
      <c r="I113" s="165"/>
      <c r="J113" s="330">
        <f>H113/DAY(B2)</f>
        <v>461.21454545454549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'21'!F114</f>
        <v>21811.75</v>
      </c>
      <c r="F114" s="237">
        <v>22093.16</v>
      </c>
      <c r="G114" s="112">
        <f t="shared" si="9"/>
        <v>281.40999999999985</v>
      </c>
      <c r="H114" s="99">
        <f>G114+'21'!H114</f>
        <v>8008.8799999999974</v>
      </c>
      <c r="I114" s="165"/>
      <c r="J114" s="330">
        <f>H114/DAY(B2)</f>
        <v>364.03999999999991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'21'!F115</f>
        <v>8664.44</v>
      </c>
      <c r="F115" s="237">
        <v>8676.44</v>
      </c>
      <c r="G115" s="112">
        <f t="shared" si="9"/>
        <v>12</v>
      </c>
      <c r="H115" s="99">
        <f>G115+'21'!H115</f>
        <v>252.76000000000022</v>
      </c>
      <c r="I115" s="165"/>
      <c r="J115" s="330">
        <f>H115/DAY(B2)</f>
        <v>11.489090909090919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30">
        <f>H116/DAY(B2)</f>
        <v>0</v>
      </c>
      <c r="Q116" s="839"/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'21'!F117</f>
        <v>2366.94</v>
      </c>
      <c r="F117" s="237">
        <v>2381.9299999999998</v>
      </c>
      <c r="G117" s="112">
        <f t="shared" si="9"/>
        <v>14.989999999999782</v>
      </c>
      <c r="H117" s="99">
        <f>G117+'21'!H117</f>
        <v>440.84999999999991</v>
      </c>
      <c r="I117" s="165"/>
      <c r="J117" s="330">
        <f>H117/DAY(B2)</f>
        <v>20.03863636363636</v>
      </c>
      <c r="Q117" s="839"/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'21'!F118</f>
        <v>237795.19</v>
      </c>
      <c r="F118" s="237">
        <v>238200.89</v>
      </c>
      <c r="G118" s="112">
        <f t="shared" si="9"/>
        <v>405.70000000001164</v>
      </c>
      <c r="H118" s="99">
        <f>G118+'21'!H118</f>
        <v>8363.1600000000035</v>
      </c>
      <c r="I118" s="165"/>
      <c r="J118" s="330">
        <f>H118/DAY(B2)</f>
        <v>380.14363636363652</v>
      </c>
      <c r="Q118" s="839"/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'21'!F119</f>
        <v>240915.45</v>
      </c>
      <c r="F119" s="237">
        <v>241342.97</v>
      </c>
      <c r="G119" s="112">
        <f t="shared" si="9"/>
        <v>427.51999999998952</v>
      </c>
      <c r="H119" s="99">
        <f>G119+'21'!H119</f>
        <v>9616.4400000000023</v>
      </c>
      <c r="I119" s="165"/>
      <c r="J119" s="330">
        <f>H119/DAY(B2)</f>
        <v>437.11090909090922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'21'!F120</f>
        <v>25910.3</v>
      </c>
      <c r="F120" s="237">
        <v>26322.51</v>
      </c>
      <c r="G120" s="112">
        <f t="shared" si="9"/>
        <v>412.20999999999913</v>
      </c>
      <c r="H120" s="99">
        <f>G120+'21'!H120</f>
        <v>9137.1899999999987</v>
      </c>
      <c r="I120" s="165"/>
      <c r="J120" s="330">
        <f>H120/DAY(B2)</f>
        <v>415.32681818181811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'21'!F121</f>
        <v>368697.51</v>
      </c>
      <c r="F121" s="237">
        <v>369474.35</v>
      </c>
      <c r="G121" s="112">
        <f t="shared" si="9"/>
        <v>776.8399999999674</v>
      </c>
      <c r="H121" s="99">
        <f>G121+'21'!H121</f>
        <v>16420.119999999995</v>
      </c>
      <c r="I121" s="165"/>
      <c r="J121" s="330">
        <f>H121/DAY(B2)</f>
        <v>746.36909090909069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'21'!F122</f>
        <v>117870.13</v>
      </c>
      <c r="F122" s="237">
        <v>118105.71</v>
      </c>
      <c r="G122" s="112">
        <f t="shared" si="9"/>
        <v>235.58000000000175</v>
      </c>
      <c r="H122" s="99">
        <f>G122+'21'!H122</f>
        <v>7095.9200000000128</v>
      </c>
      <c r="I122" s="165"/>
      <c r="J122" s="330">
        <f>H122/DAY(B2)</f>
        <v>322.54181818181877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'21'!F123</f>
        <v>141648.82999999999</v>
      </c>
      <c r="F123" s="237">
        <v>142003.64000000001</v>
      </c>
      <c r="G123" s="112">
        <f t="shared" si="9"/>
        <v>354.81000000002678</v>
      </c>
      <c r="H123" s="99">
        <f>G123+'21'!H123</f>
        <v>7637.640000000014</v>
      </c>
      <c r="I123" s="165"/>
      <c r="J123" s="330">
        <f>H123/DAY(B2)</f>
        <v>347.16545454545519</v>
      </c>
    </row>
    <row r="124" spans="1:18" ht="29.25" customHeight="1" x14ac:dyDescent="0.5">
      <c r="A124" s="864"/>
      <c r="B124" s="865"/>
      <c r="C124" s="866"/>
      <c r="D124" s="165"/>
      <c r="E124" s="95">
        <f>'21'!F124</f>
        <v>0</v>
      </c>
      <c r="F124" s="165"/>
      <c r="G124" s="329"/>
      <c r="H124" s="99">
        <f>G124+'21'!H124</f>
        <v>0</v>
      </c>
      <c r="I124" s="165"/>
      <c r="J124" s="329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3444.7099999999937</v>
      </c>
      <c r="H125" s="156"/>
      <c r="I125" s="329">
        <f>G125-(G39+G53)</f>
        <v>668.78999999995176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G127+'21'!H127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'21'!F128</f>
        <v>34682.300000000003</v>
      </c>
      <c r="F128" s="165">
        <v>34988.19</v>
      </c>
      <c r="G128" s="112">
        <f t="shared" ref="G128:G134" si="10">F128-E128</f>
        <v>305.88999999999942</v>
      </c>
      <c r="H128" s="99">
        <f>G128+'21'!H128</f>
        <v>7383.8200000000033</v>
      </c>
      <c r="I128" s="165"/>
      <c r="J128" s="330">
        <f>H128/DAY(B2)</f>
        <v>335.62818181818199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'21'!F129</f>
        <v>18118.53</v>
      </c>
      <c r="F129" s="165">
        <v>18368.71</v>
      </c>
      <c r="G129" s="112">
        <f t="shared" si="10"/>
        <v>250.18000000000029</v>
      </c>
      <c r="H129" s="99">
        <f>G129+'21'!H129</f>
        <v>5621.119999999999</v>
      </c>
      <c r="I129" s="165"/>
      <c r="J129" s="330">
        <f>H129/DAY(B2)</f>
        <v>255.50545454545451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'21'!F130</f>
        <v>10812.36</v>
      </c>
      <c r="F130" s="165">
        <v>11513.11</v>
      </c>
      <c r="G130" s="112">
        <f t="shared" si="10"/>
        <v>700.75</v>
      </c>
      <c r="H130" s="99">
        <f>G130+'21'!H130</f>
        <v>9456</v>
      </c>
      <c r="I130" s="165"/>
      <c r="J130" s="330">
        <f>H130/DAY(B2)</f>
        <v>429.81818181818181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'21'!F131</f>
        <v>12207.84</v>
      </c>
      <c r="F131" s="165">
        <v>12305.57</v>
      </c>
      <c r="G131" s="112">
        <f t="shared" si="10"/>
        <v>97.729999999999563</v>
      </c>
      <c r="H131" s="99">
        <f>G131+'21'!H131</f>
        <v>3136.2199999999993</v>
      </c>
      <c r="I131" s="165"/>
      <c r="J131" s="330">
        <f>H131/DAY(B2)</f>
        <v>142.55545454545452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'21'!F132</f>
        <v>36160.97</v>
      </c>
      <c r="F132" s="165">
        <v>36673.07</v>
      </c>
      <c r="G132" s="112">
        <f t="shared" si="10"/>
        <v>512.09999999999854</v>
      </c>
      <c r="H132" s="99">
        <f>G132+'21'!H132</f>
        <v>8879.7099999999955</v>
      </c>
      <c r="I132" s="165"/>
      <c r="J132" s="330">
        <f>H132/DAY(B2)</f>
        <v>403.62318181818159</v>
      </c>
    </row>
    <row r="133" spans="1:15" ht="27.75" x14ac:dyDescent="0.5">
      <c r="A133" s="839" t="s">
        <v>363</v>
      </c>
      <c r="B133" s="840"/>
      <c r="C133" s="841"/>
      <c r="D133" s="151" t="s">
        <v>183</v>
      </c>
      <c r="E133" s="95">
        <f>'21'!F133</f>
        <v>81077.960000000006</v>
      </c>
      <c r="F133" s="165">
        <v>81727.06</v>
      </c>
      <c r="G133" s="112">
        <f t="shared" si="10"/>
        <v>649.09999999999127</v>
      </c>
      <c r="H133" s="99">
        <f>G133+'21'!H133</f>
        <v>18252.64</v>
      </c>
      <c r="I133" s="165"/>
      <c r="J133" s="330">
        <f>H133/DAY(B2)</f>
        <v>829.66545454545451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'21'!F134</f>
        <v>663614</v>
      </c>
      <c r="F134" s="165">
        <v>663872</v>
      </c>
      <c r="G134" s="112">
        <f t="shared" si="10"/>
        <v>258</v>
      </c>
      <c r="H134" s="99">
        <f>G134+'21'!H134</f>
        <v>12665</v>
      </c>
      <c r="I134" s="165"/>
      <c r="J134" s="330">
        <f>H134/DAY(B2)</f>
        <v>575.68181818181813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2773.7499999999891</v>
      </c>
      <c r="H135" s="99">
        <f>G135+'10'!H135</f>
        <v>32305.669999999987</v>
      </c>
      <c r="I135" s="329">
        <f>G135-(G35+G49)</f>
        <v>-310.7400000000307</v>
      </c>
      <c r="J135" s="330"/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'21'!F138</f>
        <v>863035</v>
      </c>
      <c r="F138" s="147">
        <v>863144</v>
      </c>
      <c r="G138" s="112">
        <f t="shared" ref="G138:G152" si="11">F138-E138</f>
        <v>109</v>
      </c>
      <c r="H138" s="99">
        <f>G138+'21'!H138</f>
        <v>1882</v>
      </c>
      <c r="I138" s="118"/>
      <c r="J138" s="330">
        <f>H138/DAY(B2)</f>
        <v>85.545454545454547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'21'!F139</f>
        <v>886459</v>
      </c>
      <c r="F139" s="148">
        <v>886463</v>
      </c>
      <c r="G139" s="112">
        <f t="shared" si="11"/>
        <v>4</v>
      </c>
      <c r="H139" s="99">
        <f>G139+'21'!H139</f>
        <v>264</v>
      </c>
      <c r="I139" s="118"/>
      <c r="J139" s="330">
        <f>H139/DAY(B2)</f>
        <v>12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'21'!F140</f>
        <v>88881.2</v>
      </c>
      <c r="F140" s="149">
        <v>88882.4</v>
      </c>
      <c r="G140" s="112">
        <f t="shared" si="11"/>
        <v>1.1999999999970896</v>
      </c>
      <c r="H140" s="99">
        <f>G140+'21'!H140</f>
        <v>33.399999999994179</v>
      </c>
      <c r="I140" s="118"/>
      <c r="J140" s="330">
        <f>H140/DAY(B2)</f>
        <v>1.5181818181815536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'21'!F141</f>
        <v>47324.58</v>
      </c>
      <c r="F141" s="149">
        <v>47522.02</v>
      </c>
      <c r="G141" s="112">
        <f t="shared" si="11"/>
        <v>197.43999999999505</v>
      </c>
      <c r="H141" s="99">
        <f>G141+'21'!H141</f>
        <v>4395.2899999999936</v>
      </c>
      <c r="I141" s="118"/>
      <c r="J141" s="330">
        <f>H141/DAY(B2)</f>
        <v>199.7859090909088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'21'!F142</f>
        <v>18252.310000000001</v>
      </c>
      <c r="F142" s="148">
        <v>18326.689999999999</v>
      </c>
      <c r="G142" s="112">
        <f t="shared" si="11"/>
        <v>74.379999999997381</v>
      </c>
      <c r="H142" s="99">
        <f>G142+'21'!H142</f>
        <v>866.18999999999869</v>
      </c>
      <c r="I142" s="140"/>
      <c r="J142" s="330">
        <f>H142/DAY(B2)</f>
        <v>39.372272727272666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'21'!F143</f>
        <v>2827.6</v>
      </c>
      <c r="F143" s="149">
        <v>2855.02</v>
      </c>
      <c r="G143" s="112">
        <f t="shared" si="11"/>
        <v>27.420000000000073</v>
      </c>
      <c r="H143" s="99">
        <f>G143+'21'!H143</f>
        <v>653.61999999999989</v>
      </c>
      <c r="I143" s="140"/>
      <c r="J143" s="330">
        <f>H143/DAY(B2)</f>
        <v>29.709999999999994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'21'!F144</f>
        <v>867266</v>
      </c>
      <c r="F144" s="149">
        <v>867517</v>
      </c>
      <c r="G144" s="112">
        <f t="shared" si="11"/>
        <v>251</v>
      </c>
      <c r="H144" s="99">
        <f>G144+'21'!H144</f>
        <v>5122</v>
      </c>
      <c r="I144" s="140"/>
      <c r="J144" s="330">
        <f>H144/DAY(B2)</f>
        <v>232.81818181818181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'21'!F145</f>
        <v>4388.93</v>
      </c>
      <c r="F145" s="149">
        <v>4414.07</v>
      </c>
      <c r="G145" s="112">
        <f t="shared" si="11"/>
        <v>25.139999999999418</v>
      </c>
      <c r="H145" s="99">
        <f>G145+'21'!H145</f>
        <v>995.06999999999971</v>
      </c>
      <c r="I145" s="140"/>
      <c r="J145" s="330">
        <f>H145/DAY(B2)</f>
        <v>45.230454545454535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'21'!F146</f>
        <v>719980</v>
      </c>
      <c r="F146" s="148">
        <v>720480</v>
      </c>
      <c r="G146" s="112">
        <f t="shared" si="11"/>
        <v>500</v>
      </c>
      <c r="H146" s="99">
        <f>G146+'21'!H146</f>
        <v>9595</v>
      </c>
      <c r="I146" s="140"/>
      <c r="J146" s="330">
        <f>H146/DAY(B2)</f>
        <v>436.13636363636363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'21'!F147</f>
        <v>611137.48</v>
      </c>
      <c r="F147" s="148">
        <v>611540.12</v>
      </c>
      <c r="G147" s="112">
        <f t="shared" si="11"/>
        <v>402.64000000001397</v>
      </c>
      <c r="H147" s="99">
        <f>G147+'21'!H147</f>
        <v>9555.0799999999581</v>
      </c>
      <c r="I147" s="140"/>
      <c r="J147" s="330">
        <f>H147/DAY(B2)</f>
        <v>434.3218181818163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'21'!F148</f>
        <v>680078.48</v>
      </c>
      <c r="F148" s="150">
        <v>680376.24</v>
      </c>
      <c r="G148" s="112">
        <f t="shared" si="11"/>
        <v>297.76000000000931</v>
      </c>
      <c r="H148" s="99">
        <f>G148+'21'!H148</f>
        <v>6586.5599999999395</v>
      </c>
      <c r="I148" s="124"/>
      <c r="J148" s="330">
        <f>H148/DAY(B2)</f>
        <v>299.38909090908817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'21'!F149</f>
        <v>5177.62</v>
      </c>
      <c r="F149" s="146">
        <v>5720.08</v>
      </c>
      <c r="G149" s="112">
        <f t="shared" si="11"/>
        <v>542.46</v>
      </c>
      <c r="H149" s="99">
        <f>G149+'21'!H149</f>
        <v>97938.08</v>
      </c>
      <c r="I149" s="119"/>
      <c r="J149" s="330">
        <f>H149/DAY(B2)</f>
        <v>4451.7309090909093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'21'!F150</f>
        <v>1784.62</v>
      </c>
      <c r="F150" s="233">
        <v>2012.94</v>
      </c>
      <c r="G150" s="112">
        <f t="shared" si="11"/>
        <v>228.32000000000016</v>
      </c>
      <c r="H150" s="99">
        <f>G150+'21'!H150</f>
        <v>1820.94</v>
      </c>
      <c r="I150" s="119"/>
      <c r="J150" s="330">
        <f>H150/DAY(B2)</f>
        <v>82.77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'21'!F151</f>
        <v>75859</v>
      </c>
      <c r="F151" s="233">
        <v>76084</v>
      </c>
      <c r="G151" s="112">
        <f t="shared" si="11"/>
        <v>225</v>
      </c>
      <c r="H151" s="99">
        <f>G151+'21'!H151</f>
        <v>5362</v>
      </c>
      <c r="I151" s="119"/>
      <c r="J151" s="330">
        <f>H151/DAY(B2)</f>
        <v>243.72727272727272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'21'!F152</f>
        <v>638.66999999999996</v>
      </c>
      <c r="F152" s="233">
        <v>687.58</v>
      </c>
      <c r="G152" s="112">
        <f t="shared" si="11"/>
        <v>48.910000000000082</v>
      </c>
      <c r="H152" s="99">
        <f>G152+'21'!H152</f>
        <v>687.58</v>
      </c>
      <c r="I152" s="119"/>
      <c r="J152" s="330">
        <f>H152/DAY(B2)</f>
        <v>31.253636363636364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2934.6700000000128</v>
      </c>
      <c r="H153" s="365"/>
      <c r="I153" s="119">
        <f>G153-(G38+G52)</f>
        <v>1020.0899999999965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'21'!F155</f>
        <v>6155.09</v>
      </c>
      <c r="F155" s="376">
        <v>6848.03</v>
      </c>
      <c r="G155" s="112">
        <f t="shared" ref="G155:G156" si="12">F155-E155</f>
        <v>692.9399999999996</v>
      </c>
      <c r="H155" s="99">
        <f>G155+'21'!H155</f>
        <v>6941.03</v>
      </c>
      <c r="I155" s="366"/>
      <c r="J155" s="330">
        <f>H155/DAY(B2)</f>
        <v>315.50136363636364</v>
      </c>
    </row>
    <row r="156" spans="1:10" ht="27.75" x14ac:dyDescent="0.5">
      <c r="A156" s="838" t="s">
        <v>347</v>
      </c>
      <c r="B156" s="838"/>
      <c r="C156" s="838"/>
      <c r="D156" s="117" t="s">
        <v>130</v>
      </c>
      <c r="E156" s="95">
        <f>'21'!F156</f>
        <v>491.41</v>
      </c>
      <c r="F156" s="155">
        <v>542.41</v>
      </c>
      <c r="G156" s="112">
        <f t="shared" si="12"/>
        <v>50.999999999999943</v>
      </c>
      <c r="H156" s="99">
        <f>G156+'21'!H156</f>
        <v>542.41</v>
      </c>
      <c r="I156" s="165"/>
      <c r="J156" s="330">
        <f>H156/DAY(B2)</f>
        <v>24.654999999999998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/>
      <c r="F157" s="165"/>
      <c r="G157" s="112"/>
      <c r="H157" s="99"/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/>
      <c r="F158" s="165"/>
      <c r="G158" s="112"/>
      <c r="H158" s="99"/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471146.76</v>
      </c>
      <c r="F161" s="235">
        <v>471149.04</v>
      </c>
      <c r="G161" s="238">
        <f t="shared" ref="G161:G165" si="13">F161-E161</f>
        <v>2.279999999969732</v>
      </c>
      <c r="H161" s="99">
        <f>G161+'21'!H161</f>
        <v>172.9199999999837</v>
      </c>
      <c r="I161" s="236"/>
      <c r="J161" s="239">
        <f>H161/DAY(B2)</f>
        <v>7.8599999999992596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87281.5</v>
      </c>
      <c r="F162" s="235">
        <v>87322.5</v>
      </c>
      <c r="G162" s="238">
        <f t="shared" si="13"/>
        <v>41</v>
      </c>
      <c r="H162" s="99">
        <f>G162+'21'!H162</f>
        <v>720.80000000000291</v>
      </c>
      <c r="I162" s="236"/>
      <c r="J162" s="239">
        <f>H162/DAY(B2)</f>
        <v>32.763636363636493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77185.7</v>
      </c>
      <c r="F163" s="235">
        <v>77264.399999999994</v>
      </c>
      <c r="G163" s="238">
        <f t="shared" si="13"/>
        <v>78.69999999999709</v>
      </c>
      <c r="H163" s="99">
        <f>G163+'21'!H163</f>
        <v>1804.5999999999913</v>
      </c>
      <c r="I163" s="236"/>
      <c r="J163" s="239">
        <f>H163/DAY(B2)</f>
        <v>82.027272727272333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4207.1000000000004</v>
      </c>
      <c r="F164" s="235">
        <v>4213.1000000000004</v>
      </c>
      <c r="G164" s="238">
        <f t="shared" si="13"/>
        <v>6</v>
      </c>
      <c r="H164" s="99">
        <f>G164+'21'!H164</f>
        <v>115.20000000000073</v>
      </c>
      <c r="I164" s="236"/>
      <c r="J164" s="239">
        <f>H164/DAY(B2)</f>
        <v>5.2363636363636692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29577.54</v>
      </c>
      <c r="F165" s="235">
        <v>29584.99</v>
      </c>
      <c r="G165" s="238">
        <f t="shared" si="13"/>
        <v>7.4500000000007276</v>
      </c>
      <c r="H165" s="99">
        <f>G165+'21'!H165</f>
        <v>156.05880000000252</v>
      </c>
      <c r="I165" s="236"/>
      <c r="J165" s="239">
        <f>H165/DAY(B2)</f>
        <v>7.0935818181819323</v>
      </c>
    </row>
    <row r="166" spans="1:10" ht="21.95" customHeight="1" x14ac:dyDescent="0.5">
      <c r="A166" s="870"/>
      <c r="B166" s="870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870"/>
      <c r="B167" s="870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870"/>
      <c r="B168" s="870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'21'!F173</f>
        <v>8110</v>
      </c>
      <c r="F173" s="155">
        <v>8126</v>
      </c>
      <c r="G173" s="155">
        <f>F173-E173</f>
        <v>16</v>
      </c>
      <c r="H173" s="99">
        <f>G173+'21'!H173</f>
        <v>19</v>
      </c>
      <c r="I173" s="155"/>
      <c r="J173" s="178">
        <f>H173/DAY(B2)</f>
        <v>0.86363636363636365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'21'!F174</f>
        <v>38147</v>
      </c>
      <c r="F174" s="157">
        <v>38161</v>
      </c>
      <c r="G174" s="155">
        <f t="shared" ref="G174:G175" si="14">F174-E174</f>
        <v>14</v>
      </c>
      <c r="H174" s="99">
        <f>G174+'21'!H174</f>
        <v>359</v>
      </c>
      <c r="I174" s="155"/>
      <c r="J174" s="178">
        <f>H174/DAY(B2)</f>
        <v>16.318181818181817</v>
      </c>
    </row>
    <row r="175" spans="1:10" ht="27.75" x14ac:dyDescent="0.5">
      <c r="A175" s="831" t="s">
        <v>76</v>
      </c>
      <c r="B175" s="833"/>
      <c r="C175" s="832"/>
      <c r="D175" s="228" t="s">
        <v>142</v>
      </c>
      <c r="E175" s="95">
        <f>'21'!F175</f>
        <v>21405</v>
      </c>
      <c r="F175" s="155">
        <v>21415</v>
      </c>
      <c r="G175" s="155">
        <f t="shared" si="14"/>
        <v>10</v>
      </c>
      <c r="H175" s="99">
        <f>G175+'21'!H175</f>
        <v>278</v>
      </c>
      <c r="I175" s="155"/>
      <c r="J175" s="178">
        <f>H175/DAY(B2)</f>
        <v>12.636363636363637</v>
      </c>
    </row>
    <row r="176" spans="1:10" ht="27.75" x14ac:dyDescent="0.5">
      <c r="A176" s="867" t="s">
        <v>196</v>
      </c>
      <c r="B176" s="868"/>
      <c r="C176" s="529"/>
      <c r="D176" s="228" t="s">
        <v>142</v>
      </c>
      <c r="E176" s="95"/>
      <c r="F176" s="155"/>
      <c r="G176" s="155">
        <f>SUM(G173:G175)</f>
        <v>40</v>
      </c>
      <c r="H176" s="99">
        <f>G176+'21'!H176</f>
        <v>656</v>
      </c>
      <c r="I176" s="155"/>
      <c r="J176" s="178">
        <f>H176/DAY(B2)</f>
        <v>29.818181818181817</v>
      </c>
    </row>
    <row r="177" spans="1:10" ht="27.75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831" t="s">
        <v>210</v>
      </c>
      <c r="B178" s="832"/>
      <c r="C178" s="335"/>
      <c r="D178" s="228" t="s">
        <v>142</v>
      </c>
      <c r="E178" s="95">
        <f>'21'!F178</f>
        <v>78915</v>
      </c>
      <c r="F178" s="155">
        <v>78972</v>
      </c>
      <c r="G178" s="155">
        <f>F178-E178</f>
        <v>57</v>
      </c>
      <c r="H178" s="99">
        <f>G178+'21'!H178</f>
        <v>1620</v>
      </c>
      <c r="I178" s="155"/>
      <c r="J178" s="178">
        <f>H178/DAY(B2)</f>
        <v>73.63636363636364</v>
      </c>
    </row>
    <row r="179" spans="1:10" ht="27.75" x14ac:dyDescent="0.5">
      <c r="A179" s="831" t="s">
        <v>211</v>
      </c>
      <c r="B179" s="832"/>
      <c r="C179" s="335"/>
      <c r="D179" s="228" t="s">
        <v>142</v>
      </c>
      <c r="E179" s="95">
        <f>'21'!F179</f>
        <v>33915</v>
      </c>
      <c r="F179" s="155">
        <v>33915</v>
      </c>
      <c r="G179" s="155">
        <f t="shared" ref="G179:G180" si="15">F179-E179</f>
        <v>0</v>
      </c>
      <c r="H179" s="99">
        <f>G179+'21'!H179</f>
        <v>29</v>
      </c>
      <c r="I179" s="155"/>
      <c r="J179" s="178">
        <f>H179/DAY(B2)</f>
        <v>1.3181818181818181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'21'!F180</f>
        <v>5409</v>
      </c>
      <c r="F180" s="155">
        <v>5421</v>
      </c>
      <c r="G180" s="376">
        <f t="shared" si="15"/>
        <v>12</v>
      </c>
      <c r="H180" s="99">
        <f>G180+'21'!H180</f>
        <v>148</v>
      </c>
      <c r="I180" s="155"/>
      <c r="J180" s="178">
        <f>H180/DAY(B2)</f>
        <v>6.7272727272727275</v>
      </c>
    </row>
    <row r="181" spans="1:10" ht="27.75" customHeight="1" x14ac:dyDescent="0.5">
      <c r="A181" s="872" t="s">
        <v>108</v>
      </c>
      <c r="B181" s="873"/>
      <c r="C181" s="529"/>
      <c r="D181" s="228" t="s">
        <v>142</v>
      </c>
      <c r="E181" s="95"/>
      <c r="F181" s="155"/>
      <c r="G181" s="155">
        <f>SUM(G178:G180)</f>
        <v>69</v>
      </c>
      <c r="H181" s="99">
        <f>G181+'21'!H181</f>
        <v>1797</v>
      </c>
      <c r="I181" s="155"/>
      <c r="J181" s="178">
        <f>H181/DAY(B2)</f>
        <v>81.681818181818187</v>
      </c>
    </row>
    <row r="182" spans="1:10" ht="27.75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'21'!F183</f>
        <v>14793</v>
      </c>
      <c r="F183" s="157">
        <v>14803</v>
      </c>
      <c r="G183" s="157">
        <f>F183-E183</f>
        <v>10</v>
      </c>
      <c r="H183" s="99">
        <f>G183+'21'!H183</f>
        <v>307</v>
      </c>
      <c r="I183" s="155"/>
      <c r="J183" s="178">
        <f>H183/DAY(B2)</f>
        <v>13.954545454545455</v>
      </c>
    </row>
    <row r="184" spans="1:10" ht="27.75" x14ac:dyDescent="0.5">
      <c r="A184" s="831" t="s">
        <v>215</v>
      </c>
      <c r="B184" s="832"/>
      <c r="C184" s="336"/>
      <c r="D184" s="228" t="s">
        <v>142</v>
      </c>
      <c r="E184" s="95">
        <f>'21'!F184</f>
        <v>10225</v>
      </c>
      <c r="F184" s="157">
        <v>10231</v>
      </c>
      <c r="G184" s="157">
        <f t="shared" ref="G184:G185" si="16">F184-E184</f>
        <v>6</v>
      </c>
      <c r="H184" s="99">
        <f>G184+'21'!H184</f>
        <v>200</v>
      </c>
      <c r="I184" s="155"/>
      <c r="J184" s="178">
        <f>H184/DAY(B2)</f>
        <v>9.0909090909090917</v>
      </c>
    </row>
    <row r="185" spans="1:10" ht="27.75" x14ac:dyDescent="0.5">
      <c r="A185" s="831" t="s">
        <v>216</v>
      </c>
      <c r="B185" s="832"/>
      <c r="C185" s="336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867" t="s">
        <v>196</v>
      </c>
      <c r="B186" s="868"/>
      <c r="C186" s="528"/>
      <c r="D186" s="228" t="s">
        <v>142</v>
      </c>
      <c r="E186" s="95"/>
      <c r="F186" s="157"/>
      <c r="G186" s="157">
        <f>SUM(G183:G185)</f>
        <v>16</v>
      </c>
      <c r="H186" s="99">
        <f>G186+'21'!H186</f>
        <v>507</v>
      </c>
      <c r="I186" s="157"/>
      <c r="J186" s="178">
        <f>H186/DAY(B2)</f>
        <v>23.045454545454547</v>
      </c>
    </row>
    <row r="187" spans="1:10" ht="27.75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506">
        <f>G62+G19</f>
        <v>171</v>
      </c>
      <c r="H187" s="99">
        <f>G187+'21'!H187</f>
        <v>3894</v>
      </c>
      <c r="I187" s="158"/>
      <c r="J187" s="179">
        <f>H187/DAY(B2)</f>
        <v>177</v>
      </c>
    </row>
    <row r="188" spans="1:10" ht="27.75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167</v>
      </c>
      <c r="H188" s="99">
        <f>G188+'21'!H188</f>
        <v>1372</v>
      </c>
      <c r="I188" s="158"/>
      <c r="J188" s="179">
        <f>H188/DAY(B2)</f>
        <v>62.363636363636367</v>
      </c>
    </row>
    <row r="189" spans="1:10" ht="27.75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69</v>
      </c>
      <c r="H189" s="99">
        <f>G189+'21'!H189</f>
        <v>283</v>
      </c>
      <c r="I189" s="158"/>
      <c r="J189" s="179">
        <f>H189/DAY(B2)</f>
        <v>12.863636363636363</v>
      </c>
    </row>
    <row r="190" spans="1:10" ht="27.75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9.25" x14ac:dyDescent="0.5"/>
    <row r="192" spans="1:10" ht="29.25" x14ac:dyDescent="0.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133" zoomScale="50" zoomScaleNormal="80" zoomScaleSheetLayoutView="50" workbookViewId="0">
      <selection activeCell="J155" sqref="J155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30.75" customHeight="1" x14ac:dyDescent="0.5">
      <c r="A2" s="191" t="s">
        <v>357</v>
      </c>
      <c r="B2" s="262">
        <v>44553</v>
      </c>
      <c r="C2" s="350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50" t="s">
        <v>118</v>
      </c>
      <c r="D3" s="219">
        <v>24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908693.59</v>
      </c>
      <c r="F7" s="95">
        <v>928839</v>
      </c>
      <c r="G7" s="112">
        <f>F7-E7</f>
        <v>20145.410000000033</v>
      </c>
      <c r="H7" s="99">
        <f>G7+'22'!H7</f>
        <v>527997</v>
      </c>
      <c r="I7" s="113">
        <f>'1'!I7</f>
        <v>12000</v>
      </c>
      <c r="J7" s="175">
        <f>H7/DAY(B2)</f>
        <v>22956.391304347828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952949.19</v>
      </c>
      <c r="F8" s="95">
        <v>973318</v>
      </c>
      <c r="G8" s="115">
        <f>F8-E8</f>
        <v>20368.810000000056</v>
      </c>
      <c r="H8" s="99">
        <f>G8+'22'!H8</f>
        <v>535023</v>
      </c>
      <c r="I8" s="116"/>
      <c r="J8" s="175">
        <f>H8/DAY(B2)</f>
        <v>23261.869565217392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2108701.9</v>
      </c>
      <c r="F9" s="659">
        <v>2125563</v>
      </c>
      <c r="G9" s="112">
        <f>F9-E9</f>
        <v>16861.100000000093</v>
      </c>
      <c r="H9" s="99">
        <f>G9+'22'!H9</f>
        <v>406465.30000000005</v>
      </c>
      <c r="I9" s="124">
        <f>I7-J7</f>
        <v>-10956.391304347828</v>
      </c>
      <c r="J9" s="175">
        <f>H9/DAY(B2)</f>
        <v>17672.40434782609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510301.83</v>
      </c>
      <c r="F10" s="355">
        <v>513006</v>
      </c>
      <c r="G10" s="112">
        <f t="shared" ref="G10:G12" si="0">F10-E10</f>
        <v>2704.1699999999837</v>
      </c>
      <c r="H10" s="99">
        <f>G10+'22'!H10</f>
        <v>106923.57</v>
      </c>
      <c r="I10" s="282"/>
      <c r="J10" s="175">
        <f>H10/DAY(B2)</f>
        <v>4648.8508695652181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37000</v>
      </c>
      <c r="F11" s="95">
        <v>37000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19565.270000000077</v>
      </c>
      <c r="H13" s="99">
        <f>G13+'22'!H13</f>
        <v>491338</v>
      </c>
      <c r="I13" s="120">
        <f>G7-G13</f>
        <v>580.13999999995576</v>
      </c>
      <c r="J13" s="175">
        <f>H13/DAY(B2)</f>
        <v>21362.521739130436</v>
      </c>
      <c r="K13" s="79"/>
      <c r="L13" s="66"/>
      <c r="N13" s="87"/>
      <c r="O13" s="71"/>
    </row>
    <row r="14" spans="1:15" ht="30.75" customHeight="1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7" t="s">
        <v>138</v>
      </c>
      <c r="B15" s="205"/>
      <c r="C15" s="205"/>
      <c r="D15" s="151" t="s">
        <v>139</v>
      </c>
      <c r="E15" s="95">
        <f>'22'!F15</f>
        <v>1868719.84</v>
      </c>
      <c r="F15" s="123">
        <v>1869786</v>
      </c>
      <c r="G15" s="112">
        <f>(F15-E15)</f>
        <v>1066.1599999999162</v>
      </c>
      <c r="H15" s="99">
        <f>G15+'22'!H15</f>
        <v>26638</v>
      </c>
      <c r="I15" s="113">
        <f>'1'!I15</f>
        <v>800</v>
      </c>
      <c r="J15" s="175">
        <f>H15/DAY(B2)</f>
        <v>1158.1739130434783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-358.17391304347825</v>
      </c>
      <c r="J16" s="176"/>
      <c r="K16" s="79"/>
      <c r="L16" s="66"/>
      <c r="N16" s="87"/>
      <c r="O16" s="71"/>
    </row>
    <row r="17" spans="1:15" ht="30.75" customHeight="1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09" t="s">
        <v>141</v>
      </c>
      <c r="B18" s="810"/>
      <c r="C18" s="811"/>
      <c r="D18" s="151" t="s">
        <v>142</v>
      </c>
      <c r="E18" s="95">
        <f>'22'!F18</f>
        <v>19</v>
      </c>
      <c r="F18" s="122">
        <v>20</v>
      </c>
      <c r="G18" s="119">
        <f>F18*10</f>
        <v>200</v>
      </c>
      <c r="H18" s="99">
        <f>G18+'22'!H18</f>
        <v>4850</v>
      </c>
      <c r="I18" s="113">
        <f>'1'!I18</f>
        <v>65</v>
      </c>
      <c r="J18" s="175">
        <f>H18/DAY(B2)</f>
        <v>210.86956521739131</v>
      </c>
      <c r="K18" s="79"/>
      <c r="L18" s="66"/>
      <c r="N18" s="87"/>
      <c r="O18" s="71"/>
    </row>
    <row r="19" spans="1:15" ht="30.75" customHeight="1" x14ac:dyDescent="0.5">
      <c r="A19" s="809" t="s">
        <v>69</v>
      </c>
      <c r="B19" s="810"/>
      <c r="C19" s="811"/>
      <c r="D19" s="151" t="s">
        <v>142</v>
      </c>
      <c r="E19" s="95">
        <f>'22'!F19</f>
        <v>151744</v>
      </c>
      <c r="F19" s="122">
        <v>151793</v>
      </c>
      <c r="G19" s="112">
        <f t="shared" ref="G19" si="1">F19-E19</f>
        <v>49</v>
      </c>
      <c r="H19" s="99">
        <f>G19+'22'!H19</f>
        <v>1209</v>
      </c>
      <c r="I19" s="337"/>
      <c r="J19" s="175">
        <f>H19/DAY(B2)</f>
        <v>52.565217391304351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249</v>
      </c>
      <c r="H20" s="99">
        <f>G20+'22'!H20</f>
        <v>6059</v>
      </c>
      <c r="I20" s="338">
        <f>I18-J20</f>
        <v>-198.43478260869563</v>
      </c>
      <c r="J20" s="175">
        <f>H20/DAY(B2)</f>
        <v>263.43478260869563</v>
      </c>
      <c r="K20" s="79"/>
      <c r="L20" s="66"/>
      <c r="N20" s="87"/>
      <c r="O20" s="71"/>
    </row>
    <row r="21" spans="1:15" ht="30.75" customHeight="1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7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7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20368.810000000056</v>
      </c>
      <c r="F27" s="136">
        <v>9</v>
      </c>
      <c r="G27" s="137">
        <f>E27*F27</f>
        <v>183319.2900000005</v>
      </c>
      <c r="H27" s="99">
        <f>G27+'22'!H27</f>
        <v>4815207</v>
      </c>
      <c r="I27" s="138"/>
      <c r="J27" s="175">
        <f>H27/DAY(B2)</f>
        <v>209356.82608695651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1066.1599999999162</v>
      </c>
      <c r="F28" s="136">
        <v>52</v>
      </c>
      <c r="G28" s="137">
        <f>E28*F28</f>
        <v>55440.319999995641</v>
      </c>
      <c r="H28" s="99">
        <f>G28+'22'!H28</f>
        <v>1385176</v>
      </c>
      <c r="I28" s="140"/>
      <c r="J28" s="175">
        <f>H28/DAY(B2)</f>
        <v>60225.043478260872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146</v>
      </c>
      <c r="G30" s="137">
        <f>E30*F30</f>
        <v>7154</v>
      </c>
      <c r="H30" s="99">
        <f>G30+'22'!H30</f>
        <v>176514</v>
      </c>
      <c r="I30" s="140"/>
      <c r="J30" s="175">
        <f>H30/DAY(B2)</f>
        <v>7674.521739130435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G31+'22'!H31</f>
        <v>388000</v>
      </c>
      <c r="I31" s="140"/>
      <c r="J31" s="175">
        <f>H31/DAY(B2)</f>
        <v>16869.565217391304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261913.60999999614</v>
      </c>
      <c r="H32" s="99">
        <f>G32+'22'!H32</f>
        <v>6764897</v>
      </c>
      <c r="I32" s="144"/>
      <c r="J32" s="175">
        <f>H32/DAY(B2)</f>
        <v>294125.95652173914</v>
      </c>
      <c r="K32" s="63"/>
      <c r="L32" s="89"/>
      <c r="N32" s="87"/>
      <c r="O32" s="71"/>
    </row>
    <row r="33" spans="1:15" ht="30.7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136855.21</v>
      </c>
      <c r="F35" s="145">
        <v>138344</v>
      </c>
      <c r="G35" s="112">
        <f t="shared" ref="G35:G46" si="3">F35-E35</f>
        <v>1488.7900000000081</v>
      </c>
      <c r="H35" s="99">
        <f>G35+'22'!H35</f>
        <v>44809.369999999995</v>
      </c>
      <c r="I35" s="95"/>
      <c r="J35" s="175">
        <f>H35/DAY(B2)</f>
        <v>1948.2334782608693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13145.36</v>
      </c>
      <c r="F36" s="145">
        <v>13967</v>
      </c>
      <c r="G36" s="112">
        <f t="shared" si="3"/>
        <v>821.63999999999942</v>
      </c>
      <c r="H36" s="99">
        <f>G36+'22'!H36</f>
        <v>24233.300000000007</v>
      </c>
      <c r="I36" s="95"/>
      <c r="J36" s="175">
        <f>H36/DAY(B2)</f>
        <v>1053.6217391304351</v>
      </c>
      <c r="K36" s="79"/>
      <c r="L36" s="66"/>
      <c r="N36" s="87"/>
      <c r="O36" s="346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181097.29</v>
      </c>
      <c r="F37" s="145">
        <v>182684</v>
      </c>
      <c r="G37" s="112">
        <f t="shared" si="3"/>
        <v>1586.7099999999919</v>
      </c>
      <c r="H37" s="99">
        <f>G37+'22'!H37</f>
        <v>37177.260000000009</v>
      </c>
      <c r="I37" s="95"/>
      <c r="J37" s="175">
        <f>H37/DAY(B2)</f>
        <v>1616.4026086956526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215136.45</v>
      </c>
      <c r="F38" s="108">
        <v>217070</v>
      </c>
      <c r="G38" s="112">
        <f t="shared" si="3"/>
        <v>1933.5499999999884</v>
      </c>
      <c r="H38" s="99">
        <f>G38+'22'!H38</f>
        <v>46065.950000000012</v>
      </c>
      <c r="I38" s="95"/>
      <c r="J38" s="175">
        <f>H38/DAY(B2)</f>
        <v>2002.8673913043483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386212.15</v>
      </c>
      <c r="F39" s="145">
        <v>388956</v>
      </c>
      <c r="G39" s="112">
        <f t="shared" si="3"/>
        <v>2743.8499999999767</v>
      </c>
      <c r="H39" s="99">
        <f>G39+'22'!H39</f>
        <v>67292.710000000021</v>
      </c>
      <c r="I39" s="95"/>
      <c r="J39" s="175">
        <f>H39/DAY(B2)</f>
        <v>2925.7700000000009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1228.6199999999999</v>
      </c>
      <c r="F40" s="145">
        <v>1817</v>
      </c>
      <c r="G40" s="112">
        <f t="shared" si="3"/>
        <v>588.38000000000011</v>
      </c>
      <c r="H40" s="99">
        <f>G40+'22'!H40</f>
        <v>2245.9300000000003</v>
      </c>
      <c r="I40" s="95"/>
      <c r="J40" s="175">
        <f>H40/DAY(B2)</f>
        <v>97.64913043478262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0</v>
      </c>
      <c r="F41" s="145">
        <v>0</v>
      </c>
      <c r="G41" s="112">
        <f t="shared" si="3"/>
        <v>0</v>
      </c>
      <c r="H41" s="99">
        <f>G41+'22'!H41</f>
        <v>9386.2900000000373</v>
      </c>
      <c r="I41" s="95"/>
      <c r="J41" s="175">
        <f>H41/DAY(B2)</f>
        <v>408.09956521739292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38987.9</v>
      </c>
      <c r="F42" s="145">
        <v>43442</v>
      </c>
      <c r="G42" s="112">
        <f t="shared" si="3"/>
        <v>4454.0999999999985</v>
      </c>
      <c r="H42" s="99">
        <f>G42+'22'!H42</f>
        <v>85048.010000000009</v>
      </c>
      <c r="I42" s="95"/>
      <c r="J42" s="175">
        <f>H42/DAY(B2)</f>
        <v>3697.7395652173918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23615.5</v>
      </c>
      <c r="F43" s="145">
        <v>26293</v>
      </c>
      <c r="G43" s="112">
        <f t="shared" si="3"/>
        <v>2677.5</v>
      </c>
      <c r="H43" s="99">
        <f>G43+'22'!H43</f>
        <v>62375.399999999907</v>
      </c>
      <c r="I43" s="95"/>
      <c r="J43" s="175">
        <f>H43/DAY(B2)</f>
        <v>2711.9739130434741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16294.519999999964</v>
      </c>
      <c r="H47" s="99">
        <f>G47+'22'!H47</f>
        <v>378634.22</v>
      </c>
      <c r="I47" s="95"/>
      <c r="J47" s="175">
        <f>H47/DAY(B2)</f>
        <v>16462.357391304347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258707.57</v>
      </c>
      <c r="F49" s="145">
        <v>260245</v>
      </c>
      <c r="G49" s="112">
        <f t="shared" ref="G49:G58" si="4">F49-E49</f>
        <v>1537.429999999993</v>
      </c>
      <c r="H49" s="99">
        <f>G49+'22'!H49</f>
        <v>39731.670000000013</v>
      </c>
      <c r="I49" s="95"/>
      <c r="J49" s="175">
        <f>H49/DAY(B2)</f>
        <v>1727.4639130434789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14197.89</v>
      </c>
      <c r="F50" s="145">
        <v>15275</v>
      </c>
      <c r="G50" s="112">
        <f t="shared" si="4"/>
        <v>1077.1100000000006</v>
      </c>
      <c r="H50" s="99">
        <f>G50+'22'!H50</f>
        <v>31126.810000000063</v>
      </c>
      <c r="I50" s="95"/>
      <c r="J50" s="175">
        <f>H50/DAY(B2)</f>
        <v>1353.339565217394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3144.2</v>
      </c>
      <c r="F54" s="145">
        <v>3148</v>
      </c>
      <c r="G54" s="112">
        <f t="shared" si="4"/>
        <v>3.8000000000001819</v>
      </c>
      <c r="H54" s="99">
        <f>G54+'22'!H54</f>
        <v>116.7199999999998</v>
      </c>
      <c r="I54" s="95"/>
      <c r="J54" s="175">
        <f>H54/DAY(B2)</f>
        <v>5.0747826086956431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0</v>
      </c>
      <c r="F55" s="145">
        <v>0</v>
      </c>
      <c r="G55" s="112">
        <f t="shared" si="4"/>
        <v>0</v>
      </c>
      <c r="H55" s="99">
        <f>G55+'22'!H55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8610.5400000000009</v>
      </c>
      <c r="F56" s="145">
        <v>8610.5400000000009</v>
      </c>
      <c r="G56" s="112">
        <f t="shared" si="4"/>
        <v>0</v>
      </c>
      <c r="H56" s="99">
        <f>G56+'22'!H56</f>
        <v>30160.589999999986</v>
      </c>
      <c r="I56" s="95"/>
      <c r="J56" s="175">
        <f>H56/DAY(B2)</f>
        <v>1311.3299999999995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90345.04</v>
      </c>
      <c r="F58" s="145">
        <v>90581</v>
      </c>
      <c r="G58" s="112">
        <f t="shared" si="4"/>
        <v>235.9600000000064</v>
      </c>
      <c r="H58" s="99">
        <f>G58+'22'!H58</f>
        <v>5256.1499999999942</v>
      </c>
      <c r="I58" s="95"/>
      <c r="J58" s="175">
        <f>H58/DAY(B2)</f>
        <v>228.52826086956497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2854.3</v>
      </c>
      <c r="H59" s="99">
        <f>G59+'22'!H59</f>
        <v>106391.94000000006</v>
      </c>
      <c r="I59" s="95">
        <f>G7-G60</f>
        <v>996.59000000006927</v>
      </c>
      <c r="J59" s="175">
        <f>H59/DAY(B2)</f>
        <v>4625.7365217391334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19148.819999999963</v>
      </c>
      <c r="H60" s="99">
        <f>G60+'22'!H60</f>
        <v>485026.16000000009</v>
      </c>
      <c r="I60" s="95">
        <f>G13-G60</f>
        <v>416.4500000001135</v>
      </c>
      <c r="J60" s="175">
        <f>H60/DAY(B2)</f>
        <v>21088.093913043482</v>
      </c>
      <c r="K60" s="79"/>
      <c r="L60" s="66"/>
      <c r="N60" s="87"/>
      <c r="O60" s="71"/>
    </row>
    <row r="61" spans="1:15" s="68" customFormat="1" ht="30.75" customHeight="1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30.75" customHeight="1" x14ac:dyDescent="0.5">
      <c r="A62" s="809" t="s">
        <v>198</v>
      </c>
      <c r="B62" s="810"/>
      <c r="C62" s="811"/>
      <c r="D62" s="151" t="s">
        <v>142</v>
      </c>
      <c r="E62" s="95">
        <f>'22'!F62</f>
        <v>266199</v>
      </c>
      <c r="F62" s="122">
        <v>266319</v>
      </c>
      <c r="G62" s="112">
        <f t="shared" ref="G62:G63" si="5">F62-E62</f>
        <v>120</v>
      </c>
      <c r="H62" s="99">
        <f>G62+'22'!H62</f>
        <v>2854</v>
      </c>
      <c r="I62" s="118"/>
      <c r="J62" s="175">
        <f>H62/DAY(B2)</f>
        <v>124.08695652173913</v>
      </c>
      <c r="K62" s="80"/>
      <c r="L62" s="66"/>
      <c r="N62" s="87"/>
      <c r="O62" s="71"/>
    </row>
    <row r="63" spans="1:15" ht="30.75" customHeight="1" x14ac:dyDescent="0.5">
      <c r="A63" s="809" t="s">
        <v>199</v>
      </c>
      <c r="B63" s="810"/>
      <c r="C63" s="811"/>
      <c r="D63" s="151" t="s">
        <v>142</v>
      </c>
      <c r="E63" s="95">
        <f>'22'!F63</f>
        <v>211648</v>
      </c>
      <c r="F63" s="122">
        <v>211714</v>
      </c>
      <c r="G63" s="112">
        <f t="shared" si="5"/>
        <v>66</v>
      </c>
      <c r="H63" s="99">
        <f>G63+'22'!H63</f>
        <v>2339</v>
      </c>
      <c r="I63" s="118"/>
      <c r="J63" s="175">
        <f>H63/DAY(B2)</f>
        <v>101.69565217391305</v>
      </c>
      <c r="K63" s="69"/>
      <c r="L63" s="66"/>
      <c r="N63" s="87"/>
      <c r="O63" s="71"/>
    </row>
    <row r="64" spans="1:15" ht="30.75" customHeight="1" x14ac:dyDescent="0.5">
      <c r="A64" s="806" t="s">
        <v>200</v>
      </c>
      <c r="B64" s="807"/>
      <c r="C64" s="808"/>
      <c r="D64" s="151"/>
      <c r="E64" s="95">
        <f>'22'!F64</f>
        <v>0</v>
      </c>
      <c r="F64" s="122"/>
      <c r="G64" s="112">
        <f>G62+G63</f>
        <v>186</v>
      </c>
      <c r="H64" s="99">
        <f>G64+'22'!H64</f>
        <v>5193</v>
      </c>
      <c r="I64" s="118"/>
      <c r="J64" s="175">
        <f>H64/DAY(B2)</f>
        <v>225.78260869565219</v>
      </c>
      <c r="K64" s="69"/>
      <c r="L64" s="66"/>
      <c r="N64" s="87"/>
      <c r="O64" s="71"/>
    </row>
    <row r="65" spans="1:15" ht="30.75" customHeight="1" x14ac:dyDescent="0.5">
      <c r="A65" s="809" t="s">
        <v>201</v>
      </c>
      <c r="B65" s="810"/>
      <c r="C65" s="811"/>
      <c r="D65" s="151" t="s">
        <v>142</v>
      </c>
      <c r="E65" s="95">
        <f>'22'!F65</f>
        <v>431688</v>
      </c>
      <c r="F65" s="122">
        <v>431787</v>
      </c>
      <c r="G65" s="112">
        <f t="shared" ref="G65:G70" si="6">F65-E65</f>
        <v>99</v>
      </c>
      <c r="H65" s="99">
        <f>G65+'22'!H65</f>
        <v>2424</v>
      </c>
      <c r="I65" s="118"/>
      <c r="J65" s="175">
        <f>H65/DAY(B2)</f>
        <v>105.39130434782609</v>
      </c>
      <c r="K65" s="69"/>
      <c r="L65" s="66"/>
      <c r="N65" s="87"/>
      <c r="O65" s="71"/>
    </row>
    <row r="66" spans="1:15" ht="30.75" customHeight="1" x14ac:dyDescent="0.5">
      <c r="A66" s="347" t="s">
        <v>202</v>
      </c>
      <c r="B66" s="348"/>
      <c r="C66" s="348"/>
      <c r="D66" s="151" t="s">
        <v>142</v>
      </c>
      <c r="E66" s="95">
        <f>'22'!F66</f>
        <v>107025</v>
      </c>
      <c r="F66" s="122">
        <v>107050</v>
      </c>
      <c r="G66" s="112">
        <f t="shared" si="6"/>
        <v>25</v>
      </c>
      <c r="H66" s="99">
        <f>G66+'22'!H66</f>
        <v>451</v>
      </c>
      <c r="I66" s="118"/>
      <c r="J66" s="175">
        <f>H66/DAY(B2)</f>
        <v>19.608695652173914</v>
      </c>
      <c r="K66" s="78"/>
      <c r="L66" s="66"/>
      <c r="N66" s="87"/>
      <c r="O66" s="71"/>
    </row>
    <row r="67" spans="1:15" ht="30.75" customHeight="1" x14ac:dyDescent="0.5">
      <c r="A67" s="347" t="s">
        <v>203</v>
      </c>
      <c r="B67" s="348"/>
      <c r="C67" s="348"/>
      <c r="D67" s="151" t="s">
        <v>142</v>
      </c>
      <c r="E67" s="95">
        <f>'22'!F67</f>
        <v>103652</v>
      </c>
      <c r="F67" s="150">
        <v>103680</v>
      </c>
      <c r="G67" s="112">
        <f t="shared" si="6"/>
        <v>28</v>
      </c>
      <c r="H67" s="99">
        <f>G67+'22'!H67</f>
        <v>669</v>
      </c>
      <c r="I67" s="118"/>
      <c r="J67" s="175">
        <f>H67/DAY(B2)</f>
        <v>29.086956521739129</v>
      </c>
      <c r="K67" s="81"/>
      <c r="L67" s="66"/>
      <c r="N67" s="87"/>
      <c r="O67" s="71"/>
    </row>
    <row r="68" spans="1:15" ht="30.75" customHeight="1" x14ac:dyDescent="0.5">
      <c r="A68" s="347" t="s">
        <v>204</v>
      </c>
      <c r="B68" s="348"/>
      <c r="C68" s="348"/>
      <c r="D68" s="151" t="s">
        <v>142</v>
      </c>
      <c r="E68" s="95">
        <f>'22'!F68</f>
        <v>156316</v>
      </c>
      <c r="F68" s="122">
        <v>156345</v>
      </c>
      <c r="G68" s="112">
        <f t="shared" si="6"/>
        <v>29</v>
      </c>
      <c r="H68" s="99">
        <f>G68+'22'!H68</f>
        <v>905</v>
      </c>
      <c r="I68" s="118"/>
      <c r="J68" s="175">
        <f>H68/DAY(B2)</f>
        <v>39.347826086956523</v>
      </c>
      <c r="K68" s="69"/>
      <c r="L68" s="66"/>
      <c r="N68" s="87"/>
      <c r="O68" s="71"/>
    </row>
    <row r="69" spans="1:15" ht="30.75" customHeight="1" x14ac:dyDescent="0.5">
      <c r="A69" s="347" t="s">
        <v>205</v>
      </c>
      <c r="B69" s="348"/>
      <c r="C69" s="348"/>
      <c r="D69" s="151" t="s">
        <v>142</v>
      </c>
      <c r="E69" s="95">
        <f>'22'!F69</f>
        <v>10095</v>
      </c>
      <c r="F69" s="122">
        <v>10106</v>
      </c>
      <c r="G69" s="112">
        <f t="shared" si="6"/>
        <v>11</v>
      </c>
      <c r="H69" s="99">
        <f>G69+'22'!H69</f>
        <v>263</v>
      </c>
      <c r="I69" s="118"/>
      <c r="J69" s="175">
        <f>H69/DAY(B2)</f>
        <v>11.434782608695652</v>
      </c>
      <c r="K69" s="69"/>
      <c r="L69" s="66"/>
      <c r="N69" s="87"/>
      <c r="O69" s="71"/>
    </row>
    <row r="70" spans="1:15" ht="30.75" customHeight="1" x14ac:dyDescent="0.5">
      <c r="A70" s="347" t="s">
        <v>206</v>
      </c>
      <c r="B70" s="348"/>
      <c r="C70" s="348"/>
      <c r="D70" s="151" t="s">
        <v>142</v>
      </c>
      <c r="E70" s="95">
        <f>'22'!F70</f>
        <v>7780</v>
      </c>
      <c r="F70" s="150">
        <v>7791</v>
      </c>
      <c r="G70" s="112">
        <f t="shared" si="6"/>
        <v>11</v>
      </c>
      <c r="H70" s="99">
        <f>G70+'22'!H70</f>
        <v>249</v>
      </c>
      <c r="I70" s="118"/>
      <c r="J70" s="175">
        <f>H70/DAY(B2)</f>
        <v>10.826086956521738</v>
      </c>
      <c r="K70" s="69"/>
      <c r="L70" s="66"/>
      <c r="N70" s="87"/>
      <c r="O70" s="71"/>
    </row>
    <row r="71" spans="1:15" ht="30.75" customHeight="1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203</v>
      </c>
      <c r="H71" s="99">
        <f>G71+'22'!H71</f>
        <v>4961</v>
      </c>
      <c r="I71" s="154"/>
      <c r="J71" s="175">
        <f>H71/DAY(B2)</f>
        <v>215.69565217391303</v>
      </c>
      <c r="K71" s="69"/>
      <c r="L71" s="66"/>
      <c r="N71" s="87"/>
      <c r="O71" s="71"/>
    </row>
    <row r="72" spans="1:15" s="88" customFormat="1" ht="30.75" customHeight="1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30.75" customHeight="1" x14ac:dyDescent="0.5">
      <c r="A74" s="809" t="s">
        <v>220</v>
      </c>
      <c r="B74" s="810"/>
      <c r="C74" s="811"/>
      <c r="D74" s="151" t="s">
        <v>139</v>
      </c>
      <c r="E74" s="95">
        <f>'22'!F74</f>
        <v>889227.52</v>
      </c>
      <c r="F74" s="117">
        <v>889529</v>
      </c>
      <c r="G74" s="112">
        <f t="shared" ref="G74:G78" si="7">F74-E74</f>
        <v>301.47999999998137</v>
      </c>
      <c r="H74" s="99">
        <f>G74+'22'!H74</f>
        <v>7275.9510000000009</v>
      </c>
      <c r="I74" s="154"/>
      <c r="J74" s="175">
        <f>H74/DAY(B2)</f>
        <v>316.34569565217396</v>
      </c>
      <c r="K74" s="69"/>
      <c r="L74" s="66"/>
      <c r="N74" s="87"/>
      <c r="O74" s="71"/>
    </row>
    <row r="75" spans="1:15" ht="30.75" customHeight="1" x14ac:dyDescent="0.5">
      <c r="A75" s="809" t="s">
        <v>221</v>
      </c>
      <c r="B75" s="810"/>
      <c r="C75" s="811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243.88999999999942</v>
      </c>
      <c r="I75" s="154"/>
      <c r="J75" s="175">
        <f>H75/DAY(B2)</f>
        <v>10.603913043478235</v>
      </c>
      <c r="K75" s="69"/>
      <c r="L75" s="66"/>
      <c r="N75" s="87"/>
      <c r="O75" s="71"/>
    </row>
    <row r="76" spans="1:15" ht="30.75" customHeight="1" x14ac:dyDescent="0.5">
      <c r="A76" s="850" t="s">
        <v>222</v>
      </c>
      <c r="B76" s="836"/>
      <c r="C76" s="837"/>
      <c r="D76" s="151" t="s">
        <v>139</v>
      </c>
      <c r="E76" s="95">
        <f>'22'!F76</f>
        <v>166217.79999999999</v>
      </c>
      <c r="F76" s="123">
        <v>166338</v>
      </c>
      <c r="G76" s="112">
        <f t="shared" si="7"/>
        <v>120.20000000001164</v>
      </c>
      <c r="H76" s="99">
        <f>G76+'22'!H76</f>
        <v>2954</v>
      </c>
      <c r="I76" s="154"/>
      <c r="J76" s="175">
        <f>H76/DAY(B2)</f>
        <v>128.43478260869566</v>
      </c>
      <c r="K76" s="69"/>
      <c r="L76" s="66"/>
      <c r="N76" s="87"/>
      <c r="O76" s="71"/>
    </row>
    <row r="77" spans="1:15" ht="30.75" customHeight="1" x14ac:dyDescent="0.5">
      <c r="A77" s="850" t="s">
        <v>223</v>
      </c>
      <c r="B77" s="836"/>
      <c r="C77" s="837"/>
      <c r="D77" s="151" t="s">
        <v>139</v>
      </c>
      <c r="E77" s="95">
        <f>'22'!F77</f>
        <v>39898.9</v>
      </c>
      <c r="F77" s="123">
        <v>39940</v>
      </c>
      <c r="G77" s="112">
        <f t="shared" si="7"/>
        <v>41.099999999998545</v>
      </c>
      <c r="H77" s="99">
        <f>G77+'22'!H77</f>
        <v>1130</v>
      </c>
      <c r="I77" s="154"/>
      <c r="J77" s="175">
        <f>H77/DAY(B2)</f>
        <v>49.130434782608695</v>
      </c>
      <c r="K77" s="69"/>
      <c r="L77" s="66"/>
      <c r="N77" s="87"/>
      <c r="O77" s="71"/>
    </row>
    <row r="78" spans="1:15" ht="30.75" customHeight="1" x14ac:dyDescent="0.5">
      <c r="A78" s="850" t="s">
        <v>224</v>
      </c>
      <c r="B78" s="836"/>
      <c r="C78" s="837"/>
      <c r="D78" s="151" t="s">
        <v>139</v>
      </c>
      <c r="E78" s="95">
        <f>'22'!F78</f>
        <v>9468.7000000000007</v>
      </c>
      <c r="F78" s="123">
        <v>9470</v>
      </c>
      <c r="G78" s="112">
        <f t="shared" si="7"/>
        <v>1.2999999999992724</v>
      </c>
      <c r="H78" s="99">
        <f>G78+'22'!H78</f>
        <v>58</v>
      </c>
      <c r="I78" s="118"/>
      <c r="J78" s="175">
        <f>H78/DAY(B2)</f>
        <v>2.5217391304347827</v>
      </c>
      <c r="K78" s="69"/>
      <c r="L78" s="66"/>
      <c r="N78" s="87"/>
      <c r="O78" s="71"/>
    </row>
    <row r="79" spans="1:15" s="57" customFormat="1" ht="30.75" customHeight="1" x14ac:dyDescent="0.5">
      <c r="A79" s="850" t="s">
        <v>225</v>
      </c>
      <c r="B79" s="836"/>
      <c r="C79" s="837"/>
      <c r="D79" s="151"/>
      <c r="E79" s="95">
        <f>'22'!F79</f>
        <v>0</v>
      </c>
      <c r="F79" s="123"/>
      <c r="G79" s="112">
        <f>G15-SUM(G74:G78)</f>
        <v>602.07999999992535</v>
      </c>
      <c r="H79" s="99">
        <f>G79+'22'!H79</f>
        <v>14976.159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1066.1599999999162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7" t="s">
        <v>227</v>
      </c>
      <c r="B82" s="348"/>
      <c r="C82" s="348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7" t="s">
        <v>229</v>
      </c>
      <c r="B83" s="348"/>
      <c r="C83" s="348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7" t="s">
        <v>230</v>
      </c>
      <c r="B84" s="348"/>
      <c r="C84" s="348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46.840000000003783</v>
      </c>
      <c r="I84" s="118"/>
      <c r="J84" s="175">
        <f>H84/DAY(B2)</f>
        <v>2.0365217391305994</v>
      </c>
      <c r="O84" s="71"/>
    </row>
    <row r="85" spans="1:15" ht="30.75" customHeight="1" x14ac:dyDescent="0.5">
      <c r="A85" s="347" t="s">
        <v>231</v>
      </c>
      <c r="B85" s="348"/>
      <c r="C85" s="348"/>
      <c r="D85" s="151" t="s">
        <v>228</v>
      </c>
      <c r="E85" s="95">
        <f>'22'!F85</f>
        <v>1916.37</v>
      </c>
      <c r="F85" s="164">
        <v>1940</v>
      </c>
      <c r="G85" s="112">
        <f t="shared" si="8"/>
        <v>23.630000000000109</v>
      </c>
      <c r="H85" s="99">
        <f>G85+'22'!H85</f>
        <v>436.44000000000005</v>
      </c>
      <c r="I85" s="118">
        <f>G82+G83+G84+G85</f>
        <v>23.630000000000109</v>
      </c>
      <c r="J85" s="175">
        <f>H85/DAY(B2)</f>
        <v>18.975652173913044</v>
      </c>
      <c r="O85" s="71"/>
    </row>
    <row r="86" spans="1:15" ht="30.75" customHeight="1" x14ac:dyDescent="0.5">
      <c r="A86" s="347" t="s">
        <v>232</v>
      </c>
      <c r="B86" s="348"/>
      <c r="C86" s="348"/>
      <c r="D86" s="151" t="s">
        <v>228</v>
      </c>
      <c r="E86" s="95">
        <f>'22'!F86</f>
        <v>42826.47</v>
      </c>
      <c r="F86" s="164">
        <v>42826.47</v>
      </c>
      <c r="G86" s="112">
        <f t="shared" si="8"/>
        <v>0</v>
      </c>
      <c r="H86" s="99">
        <f>G86+'22'!H86</f>
        <v>0.47000000000116415</v>
      </c>
      <c r="I86" s="118"/>
      <c r="J86" s="175">
        <f>H86/DAY(B2)</f>
        <v>2.0434782608746267E-2</v>
      </c>
      <c r="O86" s="71"/>
    </row>
    <row r="87" spans="1:15" ht="30.75" customHeight="1" x14ac:dyDescent="0.5">
      <c r="A87" s="347" t="s">
        <v>233</v>
      </c>
      <c r="B87" s="348"/>
      <c r="C87" s="348"/>
      <c r="D87" s="151" t="s">
        <v>228</v>
      </c>
      <c r="E87" s="95">
        <f>'22'!F87</f>
        <v>34598.550000000003</v>
      </c>
      <c r="F87" s="164">
        <v>34598.550000000003</v>
      </c>
      <c r="G87" s="112">
        <f t="shared" si="8"/>
        <v>0</v>
      </c>
      <c r="H87" s="99">
        <f>G87+'22'!H87</f>
        <v>178.15000000000146</v>
      </c>
      <c r="I87" s="118"/>
      <c r="J87" s="175">
        <f>H87/DAY(B2)</f>
        <v>7.7456521739131068</v>
      </c>
      <c r="O87" s="71"/>
    </row>
    <row r="88" spans="1:15" ht="30.75" customHeight="1" x14ac:dyDescent="0.5">
      <c r="A88" s="347" t="s">
        <v>234</v>
      </c>
      <c r="B88" s="348"/>
      <c r="C88" s="348"/>
      <c r="D88" s="151" t="s">
        <v>228</v>
      </c>
      <c r="E88" s="95">
        <f>'22'!F88</f>
        <v>24005.53</v>
      </c>
      <c r="F88" s="164">
        <v>24005.53</v>
      </c>
      <c r="G88" s="112">
        <f t="shared" si="8"/>
        <v>0</v>
      </c>
      <c r="H88" s="99">
        <f>G88+'22'!H88</f>
        <v>53.039999999997235</v>
      </c>
      <c r="I88" s="118">
        <f>G86+G87+G88</f>
        <v>0</v>
      </c>
      <c r="J88" s="175">
        <f>H88/DAY(B2)</f>
        <v>2.3060869565216189</v>
      </c>
      <c r="O88" s="71"/>
    </row>
    <row r="89" spans="1:15" ht="30.75" customHeight="1" x14ac:dyDescent="0.5">
      <c r="A89" s="347" t="s">
        <v>235</v>
      </c>
      <c r="B89" s="348"/>
      <c r="C89" s="348"/>
      <c r="D89" s="151" t="s">
        <v>228</v>
      </c>
      <c r="E89" s="95">
        <f>'22'!F89</f>
        <v>25616.27</v>
      </c>
      <c r="F89" s="164">
        <v>25626.69</v>
      </c>
      <c r="G89" s="112">
        <f t="shared" si="8"/>
        <v>10.419999999998254</v>
      </c>
      <c r="H89" s="99">
        <f>G89+'22'!H89</f>
        <v>199.19999999999709</v>
      </c>
      <c r="I89" s="118"/>
      <c r="J89" s="175">
        <f>H89/DAY(B2)</f>
        <v>8.6608695652172649</v>
      </c>
      <c r="O89" s="71"/>
    </row>
    <row r="90" spans="1:15" ht="30.75" customHeight="1" x14ac:dyDescent="0.5">
      <c r="A90" s="347" t="s">
        <v>236</v>
      </c>
      <c r="B90" s="348"/>
      <c r="C90" s="348"/>
      <c r="D90" s="151" t="s">
        <v>228</v>
      </c>
      <c r="E90" s="95">
        <f>'22'!F90</f>
        <v>70981.08</v>
      </c>
      <c r="F90" s="164">
        <v>70986.62</v>
      </c>
      <c r="G90" s="112">
        <f t="shared" si="8"/>
        <v>5.5399999999935972</v>
      </c>
      <c r="H90" s="99">
        <f>G90+'22'!H90</f>
        <v>158.34999999999127</v>
      </c>
      <c r="I90" s="118">
        <f>G89+G90</f>
        <v>15.959999999991851</v>
      </c>
      <c r="J90" s="175">
        <f>H90/DAY(B2)</f>
        <v>6.8847826086952724</v>
      </c>
      <c r="O90" s="71"/>
    </row>
    <row r="91" spans="1:15" ht="30.75" customHeight="1" x14ac:dyDescent="0.5">
      <c r="A91" s="347" t="s">
        <v>237</v>
      </c>
      <c r="B91" s="348"/>
      <c r="C91" s="348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0.32000000000016371</v>
      </c>
      <c r="I91" s="165"/>
      <c r="J91" s="175">
        <f>H91/DAY(B2)</f>
        <v>1.3913043478267988E-2</v>
      </c>
      <c r="O91" s="71"/>
    </row>
    <row r="92" spans="1:15" ht="30.75" customHeight="1" x14ac:dyDescent="0.5">
      <c r="A92" s="347" t="s">
        <v>238</v>
      </c>
      <c r="B92" s="348"/>
      <c r="C92" s="348"/>
      <c r="D92" s="151" t="s">
        <v>228</v>
      </c>
      <c r="E92" s="95">
        <f>'22'!F92</f>
        <v>5340.01</v>
      </c>
      <c r="F92" s="122">
        <v>5350.74</v>
      </c>
      <c r="G92" s="112">
        <f t="shared" si="8"/>
        <v>10.729999999999563</v>
      </c>
      <c r="H92" s="99">
        <f>G92+'22'!H92</f>
        <v>254.84000000000015</v>
      </c>
      <c r="I92" s="165"/>
      <c r="J92" s="175">
        <f>H92/DAY(B2)</f>
        <v>11.080000000000007</v>
      </c>
      <c r="O92" s="71"/>
    </row>
    <row r="93" spans="1:15" ht="30.75" customHeight="1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5703.7200000000012</v>
      </c>
      <c r="H94" s="99">
        <f>G94+'22'!H94</f>
        <v>146916.43999999992</v>
      </c>
      <c r="I94" s="118"/>
      <c r="J94" s="175">
        <f>H94/DAY(B2)</f>
        <v>6387.6713043478221</v>
      </c>
      <c r="K94" s="69"/>
      <c r="L94" s="66"/>
      <c r="O94" s="71"/>
    </row>
    <row r="95" spans="1:15" ht="30.75" customHeight="1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0.28312752135598096</v>
      </c>
      <c r="H95" s="99">
        <f>G95+'22'!H95</f>
        <v>6.4052793681445133</v>
      </c>
      <c r="I95" s="167"/>
      <c r="J95" s="175">
        <f>H95/DAY(B2)</f>
        <v>0.27849040731063102</v>
      </c>
      <c r="K95" s="69"/>
      <c r="L95" s="66"/>
      <c r="O95" s="71"/>
    </row>
    <row r="96" spans="1:15" ht="30.75" customHeight="1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4454.0999999999985</v>
      </c>
      <c r="H96" s="99">
        <f>G96+'22'!H96</f>
        <v>124594.89000000001</v>
      </c>
      <c r="I96" s="118"/>
      <c r="J96" s="175">
        <f>H96/DAY(B2)</f>
        <v>5417.1691304347833</v>
      </c>
      <c r="K96" s="69"/>
      <c r="L96" s="66"/>
      <c r="O96" s="71"/>
    </row>
    <row r="97" spans="1:15" ht="30.75" customHeight="1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0.22109751054954907</v>
      </c>
      <c r="H97" s="99">
        <f>G97+'22'!H97</f>
        <v>5.411519677170034</v>
      </c>
      <c r="I97" s="167"/>
      <c r="J97" s="175">
        <f>H97/DAY(B2)</f>
        <v>0.23528346422478408</v>
      </c>
      <c r="K97" s="69"/>
      <c r="L97" s="66"/>
      <c r="O97" s="71"/>
    </row>
    <row r="98" spans="1:15" ht="30.75" customHeight="1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2743.8499999999767</v>
      </c>
      <c r="H98" s="99">
        <f>G98+'22'!H98</f>
        <v>67292.710000000021</v>
      </c>
      <c r="I98" s="168"/>
      <c r="J98" s="175">
        <f>H98/DAY(B2)</f>
        <v>2925.7700000000009</v>
      </c>
      <c r="K98" s="69"/>
      <c r="L98" s="66"/>
      <c r="O98" s="71"/>
    </row>
    <row r="99" spans="1:15" ht="30.75" customHeight="1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0.13620224160242816</v>
      </c>
      <c r="H99" s="99">
        <f>G99+'22'!H99</f>
        <v>2.9380694359641368</v>
      </c>
      <c r="I99" s="168"/>
      <c r="J99" s="175">
        <f>H99/DAY(B2)</f>
        <v>0.12774214938974507</v>
      </c>
      <c r="O99" s="71"/>
    </row>
    <row r="100" spans="1:15" ht="30.75" customHeight="1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1933.5499999999884</v>
      </c>
      <c r="H100" s="99">
        <f>G100+'22'!H100</f>
        <v>46065.950000000012</v>
      </c>
      <c r="I100" s="118"/>
      <c r="J100" s="175">
        <f>H100/DAY(B2)</f>
        <v>2002.8673913043483</v>
      </c>
      <c r="K100" s="70"/>
      <c r="O100" s="71"/>
    </row>
    <row r="101" spans="1:15" ht="30.75" customHeight="1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9.5979679738460777E-2</v>
      </c>
      <c r="H101" s="99">
        <f>G101+'22'!H101</f>
        <v>2.0111940988516395</v>
      </c>
      <c r="I101" s="168"/>
      <c r="J101" s="175">
        <f>H101/DAY(B2)</f>
        <v>8.7443221689201711E-2</v>
      </c>
      <c r="O101" s="71"/>
    </row>
    <row r="102" spans="1:15" ht="30.75" customHeight="1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1898.75</v>
      </c>
      <c r="H102" s="99">
        <f>G102+'22'!H102</f>
        <v>55360.110000000059</v>
      </c>
      <c r="I102" s="168"/>
      <c r="J102" s="175">
        <f>H102/DAY(B2)</f>
        <v>2406.9613043478284</v>
      </c>
      <c r="O102" s="71"/>
    </row>
    <row r="103" spans="1:15" ht="30.75" customHeight="1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9.4252239095654888E-2</v>
      </c>
      <c r="H103" s="99">
        <f>G103+'22'!H103</f>
        <v>2.4096131474714402</v>
      </c>
      <c r="I103" s="118"/>
      <c r="J103" s="175">
        <f>H103/DAY(B2)</f>
        <v>0.10476578902049739</v>
      </c>
      <c r="O103" s="71"/>
    </row>
    <row r="104" spans="1:15" ht="30.75" customHeight="1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1586.7099999999919</v>
      </c>
      <c r="H104" s="99">
        <f>G104+'22'!H104</f>
        <v>37177.260000000009</v>
      </c>
      <c r="I104" s="118"/>
      <c r="J104" s="175">
        <f>H104/DAY(B2)</f>
        <v>1616.4026086956526</v>
      </c>
      <c r="O104" s="71"/>
    </row>
    <row r="105" spans="1:15" ht="30.75" customHeight="1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7.8762854665156451E-2</v>
      </c>
      <c r="H105" s="99">
        <f>G105+'22'!H105</f>
        <v>1.6247308001721019</v>
      </c>
      <c r="I105" s="187"/>
      <c r="J105" s="188">
        <f>H105/DAY(B2)</f>
        <v>7.0640469572700079E-2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30.75" customHeight="1" x14ac:dyDescent="0.5">
      <c r="A109" s="845"/>
      <c r="B109" s="845"/>
    </row>
    <row r="110" spans="1:15" ht="30.75" customHeight="1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30.75" customHeight="1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30.75" customHeight="1" x14ac:dyDescent="0.5">
      <c r="A112" s="839" t="s">
        <v>252</v>
      </c>
      <c r="B112" s="840"/>
      <c r="C112" s="841"/>
      <c r="D112" s="146" t="s">
        <v>183</v>
      </c>
      <c r="E112" s="95">
        <f>'22'!F112</f>
        <v>55052.68</v>
      </c>
      <c r="F112" s="237">
        <v>55121</v>
      </c>
      <c r="G112" s="112">
        <f t="shared" ref="G112:G123" si="9">F112-E112</f>
        <v>68.319999999999709</v>
      </c>
      <c r="H112" s="99">
        <f>G112+'22'!H112</f>
        <v>1768.989999999998</v>
      </c>
      <c r="I112" s="165"/>
      <c r="J112" s="330">
        <f>H112/DAY(B2)</f>
        <v>76.912608695652082</v>
      </c>
    </row>
    <row r="113" spans="1:18" ht="30.75" customHeight="1" x14ac:dyDescent="0.5">
      <c r="A113" s="839" t="s">
        <v>253</v>
      </c>
      <c r="B113" s="840"/>
      <c r="C113" s="841"/>
      <c r="D113" s="146" t="s">
        <v>183</v>
      </c>
      <c r="E113" s="95">
        <f>'22'!F113</f>
        <v>28103.25</v>
      </c>
      <c r="F113" s="237">
        <v>28553</v>
      </c>
      <c r="G113" s="112">
        <f t="shared" si="9"/>
        <v>449.75</v>
      </c>
      <c r="H113" s="99">
        <f>G113+'22'!H113</f>
        <v>10596.470000000001</v>
      </c>
      <c r="I113" s="165"/>
      <c r="J113" s="330">
        <f>H113/DAY(B2)</f>
        <v>460.71608695652179</v>
      </c>
    </row>
    <row r="114" spans="1:18" ht="30.75" customHeight="1" x14ac:dyDescent="0.5">
      <c r="A114" s="839" t="s">
        <v>254</v>
      </c>
      <c r="B114" s="840"/>
      <c r="C114" s="841"/>
      <c r="D114" s="146" t="s">
        <v>183</v>
      </c>
      <c r="E114" s="95">
        <f>'22'!F114</f>
        <v>22093.16</v>
      </c>
      <c r="F114" s="237">
        <v>22386</v>
      </c>
      <c r="G114" s="112">
        <f t="shared" si="9"/>
        <v>292.84000000000015</v>
      </c>
      <c r="H114" s="99">
        <f>G114+'22'!H114</f>
        <v>8301.7199999999975</v>
      </c>
      <c r="I114" s="165"/>
      <c r="J114" s="330">
        <f>H114/DAY(B2)</f>
        <v>360.94434782608687</v>
      </c>
    </row>
    <row r="115" spans="1:18" ht="30.75" customHeight="1" x14ac:dyDescent="0.5">
      <c r="A115" s="839" t="s">
        <v>255</v>
      </c>
      <c r="B115" s="840"/>
      <c r="C115" s="841"/>
      <c r="D115" s="146" t="s">
        <v>183</v>
      </c>
      <c r="E115" s="95">
        <f>'22'!F115</f>
        <v>8676.44</v>
      </c>
      <c r="F115" s="237">
        <v>8687</v>
      </c>
      <c r="G115" s="112">
        <f t="shared" si="9"/>
        <v>10.559999999999491</v>
      </c>
      <c r="H115" s="99">
        <f>G115+'22'!H115</f>
        <v>263.31999999999971</v>
      </c>
      <c r="I115" s="165"/>
      <c r="J115" s="330">
        <f>H115/DAY(B2)</f>
        <v>11.4486956521739</v>
      </c>
    </row>
    <row r="116" spans="1:18" ht="30.75" customHeight="1" x14ac:dyDescent="0.5">
      <c r="A116" s="857" t="s">
        <v>96</v>
      </c>
      <c r="B116" s="858"/>
      <c r="C116" s="859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30.75" customHeight="1" x14ac:dyDescent="0.5">
      <c r="A117" s="857" t="s">
        <v>184</v>
      </c>
      <c r="B117" s="858"/>
      <c r="C117" s="859"/>
      <c r="D117" s="146" t="s">
        <v>183</v>
      </c>
      <c r="E117" s="95">
        <f>'22'!F117</f>
        <v>2381.9299999999998</v>
      </c>
      <c r="F117" s="237">
        <v>2397</v>
      </c>
      <c r="G117" s="112">
        <f t="shared" si="9"/>
        <v>15.070000000000164</v>
      </c>
      <c r="H117" s="99">
        <f>G117+'22'!H117</f>
        <v>455.92000000000007</v>
      </c>
      <c r="I117" s="165"/>
      <c r="J117" s="330">
        <f>H117/DAY(B2)</f>
        <v>19.822608695652178</v>
      </c>
      <c r="Q117" s="839" t="s">
        <v>312</v>
      </c>
      <c r="R117" s="841"/>
    </row>
    <row r="118" spans="1:18" ht="30.75" customHeight="1" x14ac:dyDescent="0.5">
      <c r="A118" s="834" t="s">
        <v>97</v>
      </c>
      <c r="B118" s="834"/>
      <c r="C118" s="834"/>
      <c r="D118" s="151" t="s">
        <v>183</v>
      </c>
      <c r="E118" s="95">
        <f>'22'!F118</f>
        <v>238200.89</v>
      </c>
      <c r="F118" s="237">
        <v>238577</v>
      </c>
      <c r="G118" s="112">
        <f t="shared" si="9"/>
        <v>376.10999999998603</v>
      </c>
      <c r="H118" s="99">
        <f>G118+'22'!H118</f>
        <v>8739.2699999999895</v>
      </c>
      <c r="I118" s="165"/>
      <c r="J118" s="330">
        <f>H118/DAY(B2)</f>
        <v>379.96826086956474</v>
      </c>
      <c r="Q118" s="839" t="s">
        <v>311</v>
      </c>
      <c r="R118" s="841"/>
    </row>
    <row r="119" spans="1:18" ht="30.75" customHeight="1" x14ac:dyDescent="0.5">
      <c r="A119" s="834" t="s">
        <v>98</v>
      </c>
      <c r="B119" s="834"/>
      <c r="C119" s="834"/>
      <c r="D119" s="151" t="s">
        <v>183</v>
      </c>
      <c r="E119" s="95">
        <f>'22'!F119</f>
        <v>241342.97</v>
      </c>
      <c r="F119" s="237">
        <v>241781</v>
      </c>
      <c r="G119" s="112">
        <f t="shared" si="9"/>
        <v>438.02999999999884</v>
      </c>
      <c r="H119" s="99">
        <f>G119+'22'!H119</f>
        <v>10054.470000000001</v>
      </c>
      <c r="I119" s="165"/>
      <c r="J119" s="330">
        <f>H119/DAY(B2)</f>
        <v>437.15086956521742</v>
      </c>
    </row>
    <row r="120" spans="1:18" ht="30.75" customHeight="1" x14ac:dyDescent="0.5">
      <c r="A120" s="834" t="s">
        <v>99</v>
      </c>
      <c r="B120" s="834"/>
      <c r="C120" s="834"/>
      <c r="D120" s="151" t="s">
        <v>183</v>
      </c>
      <c r="E120" s="95">
        <f>'22'!F120</f>
        <v>26322.51</v>
      </c>
      <c r="F120" s="237">
        <v>26758</v>
      </c>
      <c r="G120" s="112">
        <f t="shared" si="9"/>
        <v>435.4900000000016</v>
      </c>
      <c r="H120" s="99">
        <f>G120+'22'!H120</f>
        <v>9572.68</v>
      </c>
      <c r="I120" s="165"/>
      <c r="J120" s="330">
        <f>H120/DAY(B2)</f>
        <v>416.20347826086959</v>
      </c>
    </row>
    <row r="121" spans="1:18" ht="30.75" customHeight="1" x14ac:dyDescent="0.5">
      <c r="A121" s="834" t="s">
        <v>100</v>
      </c>
      <c r="B121" s="834"/>
      <c r="C121" s="834"/>
      <c r="D121" s="151" t="s">
        <v>183</v>
      </c>
      <c r="E121" s="95">
        <f>'22'!F121</f>
        <v>369474.35</v>
      </c>
      <c r="F121" s="237">
        <v>370233</v>
      </c>
      <c r="G121" s="112">
        <f t="shared" si="9"/>
        <v>758.65000000002328</v>
      </c>
      <c r="H121" s="99">
        <f>G121+'22'!H121</f>
        <v>17178.770000000019</v>
      </c>
      <c r="I121" s="165"/>
      <c r="J121" s="330">
        <f>H121/DAY(B2)</f>
        <v>746.90304347826168</v>
      </c>
    </row>
    <row r="122" spans="1:18" ht="30.75" customHeight="1" x14ac:dyDescent="0.5">
      <c r="A122" s="834" t="s">
        <v>101</v>
      </c>
      <c r="B122" s="834"/>
      <c r="C122" s="834"/>
      <c r="D122" s="151" t="s">
        <v>183</v>
      </c>
      <c r="E122" s="95">
        <f>'22'!F122</f>
        <v>118105.71</v>
      </c>
      <c r="F122" s="237">
        <v>118297</v>
      </c>
      <c r="G122" s="112">
        <f t="shared" si="9"/>
        <v>191.2899999999936</v>
      </c>
      <c r="H122" s="99">
        <f>G122+'22'!H122</f>
        <v>7287.2100000000064</v>
      </c>
      <c r="I122" s="165"/>
      <c r="J122" s="330">
        <f>H122/DAY(B2)</f>
        <v>316.83521739130464</v>
      </c>
    </row>
    <row r="123" spans="1:18" ht="30.75" customHeight="1" x14ac:dyDescent="0.5">
      <c r="A123" s="834" t="s">
        <v>102</v>
      </c>
      <c r="B123" s="834"/>
      <c r="C123" s="834"/>
      <c r="D123" s="151" t="s">
        <v>183</v>
      </c>
      <c r="E123" s="95">
        <f>'22'!F123</f>
        <v>142003.64000000001</v>
      </c>
      <c r="F123" s="237">
        <v>142355</v>
      </c>
      <c r="G123" s="112">
        <f t="shared" si="9"/>
        <v>351.35999999998603</v>
      </c>
      <c r="H123" s="99">
        <f>G123+'22'!H123</f>
        <v>7989</v>
      </c>
      <c r="I123" s="165"/>
      <c r="J123" s="330">
        <f>H123/DAY(B2)</f>
        <v>347.3478260869565</v>
      </c>
    </row>
    <row r="124" spans="1:18" ht="30.75" customHeight="1" x14ac:dyDescent="0.5">
      <c r="A124" s="864"/>
      <c r="B124" s="865"/>
      <c r="C124" s="866"/>
      <c r="D124" s="165"/>
      <c r="E124" s="95">
        <f>'22'!F124</f>
        <v>0</v>
      </c>
      <c r="F124" s="165"/>
      <c r="G124" s="329"/>
      <c r="H124" s="99">
        <f>G124+'22'!H124</f>
        <v>0</v>
      </c>
      <c r="I124" s="165"/>
      <c r="J124" s="329"/>
    </row>
    <row r="125" spans="1:18" ht="30.75" customHeight="1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3387.4699999999889</v>
      </c>
      <c r="H125" s="156"/>
      <c r="I125" s="329">
        <f>G125-(G39+G53)</f>
        <v>643.62000000001217</v>
      </c>
      <c r="J125" s="329"/>
    </row>
    <row r="126" spans="1:18" ht="30.75" customHeight="1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30.75" customHeight="1" x14ac:dyDescent="0.5">
      <c r="A127" s="870"/>
      <c r="B127" s="870"/>
      <c r="C127" s="245"/>
      <c r="D127" s="307"/>
      <c r="E127" s="308"/>
      <c r="F127" s="308"/>
      <c r="G127" s="309"/>
      <c r="H127" s="99">
        <f>G127+'22'!H127</f>
        <v>0</v>
      </c>
      <c r="I127" s="165"/>
      <c r="J127" s="330">
        <f>H127/DAY(B2)</f>
        <v>0</v>
      </c>
    </row>
    <row r="128" spans="1:18" ht="30.75" customHeight="1" x14ac:dyDescent="0.5">
      <c r="A128" s="839" t="s">
        <v>318</v>
      </c>
      <c r="B128" s="840"/>
      <c r="C128" s="841"/>
      <c r="D128" s="151" t="s">
        <v>183</v>
      </c>
      <c r="E128" s="95">
        <f>'22'!F128</f>
        <v>34988.19</v>
      </c>
      <c r="F128" s="155">
        <v>35320</v>
      </c>
      <c r="G128" s="112">
        <f t="shared" ref="G128:G134" si="10">F128-E128</f>
        <v>331.80999999999767</v>
      </c>
      <c r="H128" s="99">
        <f>G128+'22'!H128</f>
        <v>7715.630000000001</v>
      </c>
      <c r="I128" s="165"/>
      <c r="J128" s="330">
        <f>H128/DAY(B2)</f>
        <v>335.4621739130435</v>
      </c>
    </row>
    <row r="129" spans="1:15" ht="30.75" customHeight="1" x14ac:dyDescent="0.5">
      <c r="A129" s="331" t="s">
        <v>319</v>
      </c>
      <c r="B129" s="332"/>
      <c r="C129" s="333"/>
      <c r="D129" s="151" t="s">
        <v>183</v>
      </c>
      <c r="E129" s="95">
        <f>'22'!F129</f>
        <v>18368.71</v>
      </c>
      <c r="F129" s="155">
        <v>18568</v>
      </c>
      <c r="G129" s="112">
        <f t="shared" si="10"/>
        <v>199.29000000000087</v>
      </c>
      <c r="H129" s="99">
        <f>G129+'22'!H129</f>
        <v>5820.41</v>
      </c>
      <c r="I129" s="165"/>
      <c r="J129" s="330">
        <f>H129/DAY(B2)</f>
        <v>253.06130434782608</v>
      </c>
      <c r="N129" s="240"/>
      <c r="O129" s="241"/>
    </row>
    <row r="130" spans="1:15" ht="30.75" customHeight="1" x14ac:dyDescent="0.5">
      <c r="A130" s="331" t="s">
        <v>320</v>
      </c>
      <c r="B130" s="332"/>
      <c r="C130" s="333"/>
      <c r="D130" s="151" t="s">
        <v>183</v>
      </c>
      <c r="E130" s="95">
        <f>'22'!F130</f>
        <v>11513.11</v>
      </c>
      <c r="F130" s="155">
        <v>12146</v>
      </c>
      <c r="G130" s="112">
        <f t="shared" si="10"/>
        <v>632.88999999999942</v>
      </c>
      <c r="H130" s="99">
        <f>G130+'22'!H130</f>
        <v>10088.89</v>
      </c>
      <c r="I130" s="165"/>
      <c r="J130" s="330">
        <f>H130/DAY(B2)</f>
        <v>438.64739130434782</v>
      </c>
      <c r="N130" s="240"/>
      <c r="O130" s="241"/>
    </row>
    <row r="131" spans="1:15" ht="30.75" customHeight="1" x14ac:dyDescent="0.5">
      <c r="A131" s="839" t="s">
        <v>321</v>
      </c>
      <c r="B131" s="840"/>
      <c r="C131" s="841"/>
      <c r="D131" s="151" t="s">
        <v>183</v>
      </c>
      <c r="E131" s="95">
        <f>'22'!F131</f>
        <v>12305.57</v>
      </c>
      <c r="F131" s="155">
        <v>12405</v>
      </c>
      <c r="G131" s="112">
        <f t="shared" si="10"/>
        <v>99.430000000000291</v>
      </c>
      <c r="H131" s="99">
        <f>G131+'22'!H131</f>
        <v>3235.6499999999996</v>
      </c>
      <c r="I131" s="165"/>
      <c r="J131" s="330">
        <f>H131/DAY(B2)</f>
        <v>140.68043478260867</v>
      </c>
      <c r="N131" s="240"/>
      <c r="O131" s="241"/>
    </row>
    <row r="132" spans="1:15" ht="30.75" customHeight="1" x14ac:dyDescent="0.5">
      <c r="A132" s="839" t="s">
        <v>322</v>
      </c>
      <c r="B132" s="840"/>
      <c r="C132" s="841"/>
      <c r="D132" s="151" t="s">
        <v>183</v>
      </c>
      <c r="E132" s="95">
        <f>'22'!F132</f>
        <v>36673.07</v>
      </c>
      <c r="F132" s="155">
        <v>37178</v>
      </c>
      <c r="G132" s="112">
        <f t="shared" si="10"/>
        <v>504.93000000000029</v>
      </c>
      <c r="H132" s="99">
        <f>G132+'22'!H132</f>
        <v>9384.6399999999958</v>
      </c>
      <c r="I132" s="165"/>
      <c r="J132" s="330">
        <f>H132/DAY(B2)</f>
        <v>408.02782608695634</v>
      </c>
    </row>
    <row r="133" spans="1:15" ht="30.75" customHeight="1" x14ac:dyDescent="0.5">
      <c r="A133" s="839" t="s">
        <v>363</v>
      </c>
      <c r="B133" s="840"/>
      <c r="C133" s="841"/>
      <c r="D133" s="151" t="s">
        <v>183</v>
      </c>
      <c r="E133" s="95">
        <f>'22'!F133</f>
        <v>81727.06</v>
      </c>
      <c r="F133" s="155">
        <v>82391</v>
      </c>
      <c r="G133" s="112">
        <f t="shared" si="10"/>
        <v>663.94000000000233</v>
      </c>
      <c r="H133" s="99">
        <f>G133+'22'!H133</f>
        <v>18916.580000000002</v>
      </c>
      <c r="I133" s="165"/>
      <c r="J133" s="330">
        <f>H133/DAY(B2)</f>
        <v>822.46</v>
      </c>
    </row>
    <row r="134" spans="1:15" ht="30.75" customHeight="1" x14ac:dyDescent="0.5">
      <c r="A134" s="839" t="s">
        <v>340</v>
      </c>
      <c r="B134" s="840"/>
      <c r="C134" s="841"/>
      <c r="D134" s="151" t="s">
        <v>183</v>
      </c>
      <c r="E134" s="95">
        <f>'22'!F134</f>
        <v>663872</v>
      </c>
      <c r="F134" s="376">
        <v>664239</v>
      </c>
      <c r="G134" s="112">
        <f t="shared" si="10"/>
        <v>367</v>
      </c>
      <c r="H134" s="99">
        <f>G134+'22'!H134</f>
        <v>13032</v>
      </c>
      <c r="I134" s="165"/>
      <c r="J134" s="330">
        <f>H134/DAY(B2)</f>
        <v>566.60869565217388</v>
      </c>
    </row>
    <row r="135" spans="1:15" ht="30.75" customHeight="1" x14ac:dyDescent="0.5">
      <c r="A135" s="867" t="s">
        <v>196</v>
      </c>
      <c r="B135" s="868"/>
      <c r="C135" s="333"/>
      <c r="D135" s="151"/>
      <c r="E135" s="95"/>
      <c r="F135" s="647"/>
      <c r="G135" s="112">
        <f>SUM(G128:G134)</f>
        <v>2799.2900000000009</v>
      </c>
      <c r="H135" s="99">
        <f>G135+'10'!H135</f>
        <v>32331.21</v>
      </c>
      <c r="I135" s="329">
        <f>G135-(G35+G49)</f>
        <v>-226.93000000000029</v>
      </c>
      <c r="J135" s="330"/>
    </row>
    <row r="136" spans="1:15" ht="30.75" customHeight="1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30.75" customHeight="1" x14ac:dyDescent="0.5">
      <c r="A138" s="834" t="s">
        <v>185</v>
      </c>
      <c r="B138" s="834"/>
      <c r="C138" s="834"/>
      <c r="D138" s="151" t="s">
        <v>183</v>
      </c>
      <c r="E138" s="95">
        <f>'22'!F138</f>
        <v>863144</v>
      </c>
      <c r="F138" s="147">
        <v>863269</v>
      </c>
      <c r="G138" s="112">
        <f t="shared" ref="G138:G152" si="11">F138-E138</f>
        <v>125</v>
      </c>
      <c r="H138" s="99">
        <f>G138+'22'!H138</f>
        <v>2007</v>
      </c>
      <c r="I138" s="118"/>
      <c r="J138" s="330">
        <f>H138/DAY(B2)</f>
        <v>87.260869565217391</v>
      </c>
    </row>
    <row r="139" spans="1:15" ht="30.75" customHeight="1" x14ac:dyDescent="0.5">
      <c r="A139" s="834" t="s">
        <v>186</v>
      </c>
      <c r="B139" s="834"/>
      <c r="C139" s="834"/>
      <c r="D139" s="151" t="s">
        <v>183</v>
      </c>
      <c r="E139" s="95">
        <f>'22'!F139</f>
        <v>886463</v>
      </c>
      <c r="F139" s="148">
        <v>886477</v>
      </c>
      <c r="G139" s="112">
        <f t="shared" si="11"/>
        <v>14</v>
      </c>
      <c r="H139" s="99">
        <f>G139+'22'!H139</f>
        <v>278</v>
      </c>
      <c r="I139" s="118"/>
      <c r="J139" s="330">
        <f>H139/DAY(B2)</f>
        <v>12.086956521739131</v>
      </c>
    </row>
    <row r="140" spans="1:15" ht="30.75" customHeight="1" x14ac:dyDescent="0.5">
      <c r="A140" s="834" t="s">
        <v>187</v>
      </c>
      <c r="B140" s="834"/>
      <c r="C140" s="834"/>
      <c r="D140" s="151" t="s">
        <v>183</v>
      </c>
      <c r="E140" s="95">
        <f>'22'!F140</f>
        <v>88882.4</v>
      </c>
      <c r="F140" s="149">
        <v>88882.4</v>
      </c>
      <c r="G140" s="112">
        <f t="shared" si="11"/>
        <v>0</v>
      </c>
      <c r="H140" s="99">
        <f>G140+'22'!H140</f>
        <v>33.399999999994179</v>
      </c>
      <c r="I140" s="118"/>
      <c r="J140" s="330">
        <f>H140/DAY(B2)</f>
        <v>1.4521739130432252</v>
      </c>
    </row>
    <row r="141" spans="1:15" ht="30.75" customHeight="1" x14ac:dyDescent="0.5">
      <c r="A141" s="838" t="s">
        <v>188</v>
      </c>
      <c r="B141" s="838"/>
      <c r="C141" s="838"/>
      <c r="D141" s="151" t="s">
        <v>183</v>
      </c>
      <c r="E141" s="95">
        <f>'22'!F141</f>
        <v>47522.02</v>
      </c>
      <c r="F141" s="149">
        <v>47721</v>
      </c>
      <c r="G141" s="112">
        <f t="shared" si="11"/>
        <v>198.9800000000032</v>
      </c>
      <c r="H141" s="99">
        <f>G141+'22'!H141</f>
        <v>4594.2699999999968</v>
      </c>
      <c r="I141" s="118"/>
      <c r="J141" s="330">
        <f>H141/DAY(B2)</f>
        <v>199.75086956521724</v>
      </c>
    </row>
    <row r="142" spans="1:15" ht="30.75" customHeight="1" x14ac:dyDescent="0.5">
      <c r="A142" s="838" t="s">
        <v>189</v>
      </c>
      <c r="B142" s="838"/>
      <c r="C142" s="838"/>
      <c r="D142" s="151" t="s">
        <v>183</v>
      </c>
      <c r="E142" s="95">
        <f>'22'!F142</f>
        <v>18326.689999999999</v>
      </c>
      <c r="F142" s="148">
        <v>18398</v>
      </c>
      <c r="G142" s="112">
        <f t="shared" si="11"/>
        <v>71.31000000000131</v>
      </c>
      <c r="H142" s="99">
        <f>G142+'22'!H142</f>
        <v>937.5</v>
      </c>
      <c r="I142" s="140"/>
      <c r="J142" s="330">
        <f>H142/DAY(B2)</f>
        <v>40.760869565217391</v>
      </c>
    </row>
    <row r="143" spans="1:15" ht="30.75" customHeight="1" x14ac:dyDescent="0.5">
      <c r="A143" s="834" t="s">
        <v>91</v>
      </c>
      <c r="B143" s="834"/>
      <c r="C143" s="834"/>
      <c r="D143" s="151" t="s">
        <v>183</v>
      </c>
      <c r="E143" s="95">
        <f>'22'!F143</f>
        <v>2855.02</v>
      </c>
      <c r="F143" s="149">
        <v>2877</v>
      </c>
      <c r="G143" s="112">
        <f t="shared" si="11"/>
        <v>21.980000000000018</v>
      </c>
      <c r="H143" s="99">
        <f>G143+'22'!H143</f>
        <v>675.59999999999991</v>
      </c>
      <c r="I143" s="140"/>
      <c r="J143" s="330">
        <f>H143/DAY(B2)</f>
        <v>29.373913043478257</v>
      </c>
    </row>
    <row r="144" spans="1:15" ht="30.75" customHeight="1" x14ac:dyDescent="0.5">
      <c r="A144" s="838" t="s">
        <v>90</v>
      </c>
      <c r="B144" s="838"/>
      <c r="C144" s="838"/>
      <c r="D144" s="151" t="s">
        <v>183</v>
      </c>
      <c r="E144" s="95">
        <f>'22'!F144</f>
        <v>867517</v>
      </c>
      <c r="F144" s="149">
        <v>867751</v>
      </c>
      <c r="G144" s="112">
        <f t="shared" si="11"/>
        <v>234</v>
      </c>
      <c r="H144" s="99">
        <f>G144+'22'!H144</f>
        <v>5356</v>
      </c>
      <c r="I144" s="140"/>
      <c r="J144" s="330">
        <f>H144/DAY(B2)</f>
        <v>232.86956521739131</v>
      </c>
    </row>
    <row r="145" spans="1:10" ht="30.75" customHeight="1" x14ac:dyDescent="0.5">
      <c r="A145" s="834" t="s">
        <v>190</v>
      </c>
      <c r="B145" s="834"/>
      <c r="C145" s="834"/>
      <c r="D145" s="152" t="s">
        <v>183</v>
      </c>
      <c r="E145" s="95">
        <f>'22'!F145</f>
        <v>4414.07</v>
      </c>
      <c r="F145" s="149">
        <v>4439</v>
      </c>
      <c r="G145" s="112">
        <f t="shared" si="11"/>
        <v>24.930000000000291</v>
      </c>
      <c r="H145" s="99">
        <f>G145+'22'!H145</f>
        <v>1020</v>
      </c>
      <c r="I145" s="140"/>
      <c r="J145" s="330">
        <f>H145/DAY(B2)</f>
        <v>44.347826086956523</v>
      </c>
    </row>
    <row r="146" spans="1:10" ht="30.75" customHeight="1" x14ac:dyDescent="0.5">
      <c r="A146" s="835" t="s">
        <v>191</v>
      </c>
      <c r="B146" s="836"/>
      <c r="C146" s="837"/>
      <c r="D146" s="152" t="s">
        <v>183</v>
      </c>
      <c r="E146" s="95">
        <f>'22'!F146</f>
        <v>720480</v>
      </c>
      <c r="F146" s="148">
        <v>720962</v>
      </c>
      <c r="G146" s="112">
        <f t="shared" si="11"/>
        <v>482</v>
      </c>
      <c r="H146" s="99">
        <f>G146+'22'!H146</f>
        <v>10077</v>
      </c>
      <c r="I146" s="140"/>
      <c r="J146" s="330">
        <f>H146/DAY(B2)</f>
        <v>438.13043478260869</v>
      </c>
    </row>
    <row r="147" spans="1:10" ht="30.75" customHeight="1" x14ac:dyDescent="0.5">
      <c r="A147" s="838" t="s">
        <v>192</v>
      </c>
      <c r="B147" s="838"/>
      <c r="C147" s="838"/>
      <c r="D147" s="152" t="s">
        <v>183</v>
      </c>
      <c r="E147" s="95">
        <f>'22'!F147</f>
        <v>611540.12</v>
      </c>
      <c r="F147" s="148">
        <v>611914</v>
      </c>
      <c r="G147" s="112">
        <f t="shared" si="11"/>
        <v>373.88000000000466</v>
      </c>
      <c r="H147" s="99">
        <f>G147+'22'!H147</f>
        <v>9928.9599999999627</v>
      </c>
      <c r="I147" s="140"/>
      <c r="J147" s="330">
        <f>H147/DAY(B2)</f>
        <v>431.69391304347664</v>
      </c>
    </row>
    <row r="148" spans="1:10" ht="30.75" customHeight="1" x14ac:dyDescent="0.5">
      <c r="A148" s="794" t="s">
        <v>193</v>
      </c>
      <c r="B148" s="795"/>
      <c r="C148" s="796"/>
      <c r="D148" s="123" t="s">
        <v>130</v>
      </c>
      <c r="E148" s="95">
        <f>'22'!F148</f>
        <v>680376.24</v>
      </c>
      <c r="F148" s="150">
        <v>680640</v>
      </c>
      <c r="G148" s="112">
        <f t="shared" si="11"/>
        <v>263.76000000000931</v>
      </c>
      <c r="H148" s="99">
        <f>G148+'22'!H148</f>
        <v>6850.3199999999488</v>
      </c>
      <c r="I148" s="124"/>
      <c r="J148" s="330">
        <f>H148/DAY(B2)</f>
        <v>297.83999999999776</v>
      </c>
    </row>
    <row r="149" spans="1:10" ht="30.75" customHeight="1" x14ac:dyDescent="0.5">
      <c r="A149" s="794" t="s">
        <v>336</v>
      </c>
      <c r="B149" s="795"/>
      <c r="C149" s="796"/>
      <c r="D149" s="227" t="s">
        <v>130</v>
      </c>
      <c r="E149" s="95">
        <f>'22'!F149</f>
        <v>5720.08</v>
      </c>
      <c r="F149" s="700">
        <v>6290</v>
      </c>
      <c r="G149" s="112">
        <f t="shared" si="11"/>
        <v>569.92000000000007</v>
      </c>
      <c r="H149" s="99">
        <f>G149+'22'!H149</f>
        <v>98508</v>
      </c>
      <c r="I149" s="119"/>
      <c r="J149" s="330">
        <f>H149/DAY(B2)</f>
        <v>4282.95652173913</v>
      </c>
    </row>
    <row r="150" spans="1:10" ht="30.75" customHeight="1" x14ac:dyDescent="0.5">
      <c r="A150" s="794" t="s">
        <v>337</v>
      </c>
      <c r="B150" s="795"/>
      <c r="C150" s="796"/>
      <c r="D150" s="117" t="s">
        <v>130</v>
      </c>
      <c r="E150" s="95">
        <f>'22'!F150</f>
        <v>2012.94</v>
      </c>
      <c r="F150" s="233">
        <v>2235</v>
      </c>
      <c r="G150" s="112">
        <f t="shared" si="11"/>
        <v>222.05999999999995</v>
      </c>
      <c r="H150" s="99">
        <f>G150+'22'!H150</f>
        <v>2043</v>
      </c>
      <c r="I150" s="119"/>
      <c r="J150" s="330">
        <f>H150/DAY(B2)</f>
        <v>88.826086956521735</v>
      </c>
    </row>
    <row r="151" spans="1:10" ht="30.75" customHeight="1" x14ac:dyDescent="0.5">
      <c r="A151" s="794" t="s">
        <v>338</v>
      </c>
      <c r="B151" s="795"/>
      <c r="C151" s="796"/>
      <c r="D151" s="117" t="s">
        <v>130</v>
      </c>
      <c r="E151" s="95">
        <f>'22'!F151</f>
        <v>76084</v>
      </c>
      <c r="F151" s="233">
        <v>76296</v>
      </c>
      <c r="G151" s="112">
        <f t="shared" si="11"/>
        <v>212</v>
      </c>
      <c r="H151" s="99">
        <f>G151+'22'!H151</f>
        <v>5574</v>
      </c>
      <c r="I151" s="119"/>
      <c r="J151" s="330">
        <f>H151/DAY(B2)</f>
        <v>242.34782608695653</v>
      </c>
    </row>
    <row r="152" spans="1:10" ht="30.75" customHeight="1" x14ac:dyDescent="0.5">
      <c r="A152" s="794" t="s">
        <v>339</v>
      </c>
      <c r="B152" s="795"/>
      <c r="C152" s="796"/>
      <c r="D152" s="117" t="s">
        <v>130</v>
      </c>
      <c r="E152" s="95">
        <f>'22'!F152</f>
        <v>687.58</v>
      </c>
      <c r="F152" s="233">
        <v>736</v>
      </c>
      <c r="G152" s="112">
        <f t="shared" si="11"/>
        <v>48.419999999999959</v>
      </c>
      <c r="H152" s="99">
        <f>G152+'22'!H152</f>
        <v>736</v>
      </c>
      <c r="I152" s="119"/>
      <c r="J152" s="330">
        <f>H152/DAY(B2)</f>
        <v>32</v>
      </c>
    </row>
    <row r="153" spans="1:10" ht="30.75" customHeight="1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2862.2400000000189</v>
      </c>
      <c r="H153" s="365"/>
      <c r="I153" s="119">
        <f>G153-(G38+G52)</f>
        <v>928.69000000003052</v>
      </c>
      <c r="J153" s="368"/>
    </row>
    <row r="154" spans="1:10" ht="30.75" customHeight="1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0.75" customHeight="1" x14ac:dyDescent="0.55000000000000004">
      <c r="A155" s="838" t="s">
        <v>345</v>
      </c>
      <c r="B155" s="838"/>
      <c r="C155" s="838"/>
      <c r="D155" s="117" t="s">
        <v>130</v>
      </c>
      <c r="E155" s="95">
        <f>'22'!F155</f>
        <v>6848.03</v>
      </c>
      <c r="F155" s="376">
        <v>7467</v>
      </c>
      <c r="G155" s="112">
        <f t="shared" ref="G155:G158" si="12">F155-E155</f>
        <v>618.97000000000025</v>
      </c>
      <c r="H155" s="99">
        <f>G155+'22'!H155</f>
        <v>7560</v>
      </c>
      <c r="I155" s="366"/>
      <c r="J155" s="161">
        <v>329</v>
      </c>
    </row>
    <row r="156" spans="1:10" ht="30.75" customHeight="1" x14ac:dyDescent="0.5">
      <c r="A156" s="838" t="s">
        <v>347</v>
      </c>
      <c r="B156" s="838"/>
      <c r="C156" s="838"/>
      <c r="D156" s="117" t="s">
        <v>130</v>
      </c>
      <c r="E156" s="95">
        <f>'22'!F156</f>
        <v>542.41</v>
      </c>
      <c r="F156" s="606">
        <v>595</v>
      </c>
      <c r="G156" s="112">
        <f t="shared" si="12"/>
        <v>52.590000000000032</v>
      </c>
      <c r="H156" s="99">
        <f>G156+'22'!H156</f>
        <v>595</v>
      </c>
      <c r="I156" s="165"/>
      <c r="J156" s="330">
        <f>H156/DAY(B2)</f>
        <v>25.869565217391305</v>
      </c>
    </row>
    <row r="157" spans="1:10" ht="30.75" customHeight="1" x14ac:dyDescent="0.5">
      <c r="A157" s="794" t="s">
        <v>365</v>
      </c>
      <c r="B157" s="795"/>
      <c r="C157" s="796"/>
      <c r="D157" s="117" t="s">
        <v>130</v>
      </c>
      <c r="E157" s="95">
        <v>0</v>
      </c>
      <c r="F157" s="95">
        <v>712</v>
      </c>
      <c r="G157" s="112">
        <f t="shared" si="12"/>
        <v>712</v>
      </c>
      <c r="H157" s="99">
        <f>G157+'22'!H157</f>
        <v>712</v>
      </c>
      <c r="I157" s="165"/>
      <c r="J157" s="330"/>
    </row>
    <row r="158" spans="1:10" ht="30.75" customHeight="1" x14ac:dyDescent="0.5">
      <c r="A158" s="794" t="s">
        <v>366</v>
      </c>
      <c r="B158" s="795"/>
      <c r="C158" s="796"/>
      <c r="D158" s="117" t="s">
        <v>130</v>
      </c>
      <c r="E158" s="95">
        <v>0</v>
      </c>
      <c r="F158" s="95">
        <v>1.08</v>
      </c>
      <c r="G158" s="112">
        <f t="shared" si="12"/>
        <v>1.08</v>
      </c>
      <c r="H158" s="99">
        <f>G158+'22'!H158</f>
        <v>1.08</v>
      </c>
      <c r="I158" s="165"/>
      <c r="J158" s="330"/>
    </row>
    <row r="159" spans="1:10" ht="30.75" customHeight="1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30.75" customHeight="1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471149.04</v>
      </c>
      <c r="F161" s="235">
        <v>471149</v>
      </c>
      <c r="G161" s="238">
        <f t="shared" ref="G161:G165" si="13">F161-E161</f>
        <v>-3.9999999979045242E-2</v>
      </c>
      <c r="H161" s="99">
        <f>G161+'22'!H161</f>
        <v>172.88000000000466</v>
      </c>
      <c r="I161" s="236"/>
      <c r="J161" s="239">
        <f>H161/DAY(B2)</f>
        <v>7.5165217391306376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87322.5</v>
      </c>
      <c r="F162" s="235">
        <v>87360</v>
      </c>
      <c r="G162" s="238">
        <f t="shared" si="13"/>
        <v>37.5</v>
      </c>
      <c r="H162" s="99">
        <f>G162+'22'!H162</f>
        <v>758.30000000000291</v>
      </c>
      <c r="I162" s="236"/>
      <c r="J162" s="239">
        <f>H162/DAY(B2)</f>
        <v>32.969565217391434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77264.399999999994</v>
      </c>
      <c r="F163" s="235">
        <v>77324</v>
      </c>
      <c r="G163" s="238">
        <f t="shared" si="13"/>
        <v>59.600000000005821</v>
      </c>
      <c r="H163" s="99">
        <f>G163+'22'!H163</f>
        <v>1864.1999999999971</v>
      </c>
      <c r="I163" s="236"/>
      <c r="J163" s="239">
        <f>H163/DAY(B2)</f>
        <v>81.052173913043347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4213.1000000000004</v>
      </c>
      <c r="F164" s="235">
        <v>4217</v>
      </c>
      <c r="G164" s="238">
        <f t="shared" si="13"/>
        <v>3.8999999999996362</v>
      </c>
      <c r="H164" s="99">
        <f>G164+'22'!H164</f>
        <v>119.10000000000036</v>
      </c>
      <c r="I164" s="236"/>
      <c r="J164" s="239">
        <f>H164/DAY(B2)</f>
        <v>5.178260869565233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29584.99</v>
      </c>
      <c r="F165" s="235">
        <v>29592</v>
      </c>
      <c r="G165" s="238">
        <f t="shared" si="13"/>
        <v>7.0099999999983993</v>
      </c>
      <c r="H165" s="99">
        <f>G165+'22'!H165</f>
        <v>163.06880000000092</v>
      </c>
      <c r="I165" s="236"/>
      <c r="J165" s="239">
        <f>H165/DAY(B2)</f>
        <v>7.0899478260869966</v>
      </c>
    </row>
    <row r="166" spans="1:10" ht="30.75" customHeight="1" x14ac:dyDescent="0.5">
      <c r="A166" s="870"/>
      <c r="B166" s="870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870"/>
      <c r="B167" s="870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870"/>
      <c r="B168" s="870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30.75" customHeight="1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31" t="s">
        <v>209</v>
      </c>
      <c r="B173" s="832"/>
      <c r="C173" s="335"/>
      <c r="D173" s="228" t="s">
        <v>142</v>
      </c>
      <c r="E173" s="95">
        <f>'22'!F173</f>
        <v>8126</v>
      </c>
      <c r="F173" s="155">
        <v>8126</v>
      </c>
      <c r="G173" s="155">
        <f>F173-E173</f>
        <v>0</v>
      </c>
      <c r="H173" s="99">
        <f>G173+'22'!H173</f>
        <v>19</v>
      </c>
      <c r="I173" s="155"/>
      <c r="J173" s="178">
        <f>H173/DAY(B2)</f>
        <v>0.82608695652173914</v>
      </c>
    </row>
    <row r="174" spans="1:10" ht="30.75" customHeight="1" x14ac:dyDescent="0.5">
      <c r="A174" s="831" t="s">
        <v>75</v>
      </c>
      <c r="B174" s="832"/>
      <c r="C174" s="335"/>
      <c r="D174" s="228" t="s">
        <v>142</v>
      </c>
      <c r="E174" s="95">
        <f>'22'!F174</f>
        <v>38161</v>
      </c>
      <c r="F174" s="157">
        <v>38176</v>
      </c>
      <c r="G174" s="155">
        <f t="shared" ref="G174:G175" si="14">F174-E174</f>
        <v>15</v>
      </c>
      <c r="H174" s="99">
        <f>G174+'22'!H174</f>
        <v>374</v>
      </c>
      <c r="I174" s="155"/>
      <c r="J174" s="178">
        <f>H174/DAY(B2)</f>
        <v>16.260869565217391</v>
      </c>
    </row>
    <row r="175" spans="1:10" ht="30.75" customHeight="1" x14ac:dyDescent="0.5">
      <c r="A175" s="831" t="s">
        <v>76</v>
      </c>
      <c r="B175" s="833"/>
      <c r="C175" s="832"/>
      <c r="D175" s="228" t="s">
        <v>142</v>
      </c>
      <c r="E175" s="95">
        <f>'22'!F175</f>
        <v>21415</v>
      </c>
      <c r="F175" s="155">
        <v>21427</v>
      </c>
      <c r="G175" s="155">
        <f t="shared" si="14"/>
        <v>12</v>
      </c>
      <c r="H175" s="99">
        <f>G175+'22'!H175</f>
        <v>290</v>
      </c>
      <c r="I175" s="155"/>
      <c r="J175" s="178">
        <f>H175/DAY(B2)</f>
        <v>12.608695652173912</v>
      </c>
    </row>
    <row r="176" spans="1:10" ht="30.75" customHeight="1" x14ac:dyDescent="0.5">
      <c r="A176" s="867" t="s">
        <v>196</v>
      </c>
      <c r="B176" s="868"/>
      <c r="C176" s="529"/>
      <c r="D176" s="228"/>
      <c r="E176" s="95"/>
      <c r="F176" s="155"/>
      <c r="G176" s="155">
        <f>SUM(G173:G175)</f>
        <v>27</v>
      </c>
      <c r="H176" s="99">
        <f>G176+'22'!H176</f>
        <v>683</v>
      </c>
      <c r="I176" s="155"/>
      <c r="J176" s="178">
        <f>H176/DAY(B2)</f>
        <v>29.695652173913043</v>
      </c>
    </row>
    <row r="177" spans="1:10" ht="30.75" customHeight="1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831" t="s">
        <v>210</v>
      </c>
      <c r="B178" s="832"/>
      <c r="C178" s="335"/>
      <c r="D178" s="228" t="s">
        <v>142</v>
      </c>
      <c r="E178" s="95">
        <f>'22'!F178</f>
        <v>78972</v>
      </c>
      <c r="F178" s="155">
        <v>79028</v>
      </c>
      <c r="G178" s="155">
        <f>F178-E178</f>
        <v>56</v>
      </c>
      <c r="H178" s="99">
        <f>G178+'22'!H178</f>
        <v>1676</v>
      </c>
      <c r="I178" s="155"/>
      <c r="J178" s="178">
        <f>H178/DAY(B2)</f>
        <v>72.869565217391298</v>
      </c>
    </row>
    <row r="179" spans="1:10" ht="30.75" customHeight="1" x14ac:dyDescent="0.5">
      <c r="A179" s="831" t="s">
        <v>211</v>
      </c>
      <c r="B179" s="832"/>
      <c r="C179" s="335"/>
      <c r="D179" s="228" t="s">
        <v>142</v>
      </c>
      <c r="E179" s="95">
        <f>'22'!F179</f>
        <v>33915</v>
      </c>
      <c r="F179" s="155">
        <v>33915</v>
      </c>
      <c r="G179" s="155">
        <f t="shared" ref="G179:G180" si="15">F179-E179</f>
        <v>0</v>
      </c>
      <c r="H179" s="99">
        <f>G179+'22'!H179</f>
        <v>29</v>
      </c>
      <c r="I179" s="155"/>
      <c r="J179" s="178">
        <f>H179/DAY(B2)</f>
        <v>1.2608695652173914</v>
      </c>
    </row>
    <row r="180" spans="1:10" ht="30.75" customHeight="1" x14ac:dyDescent="0.5">
      <c r="A180" s="831" t="s">
        <v>212</v>
      </c>
      <c r="B180" s="832"/>
      <c r="C180" s="335"/>
      <c r="D180" s="228" t="s">
        <v>142</v>
      </c>
      <c r="E180" s="95">
        <f>'22'!F180</f>
        <v>5421</v>
      </c>
      <c r="F180" s="155">
        <v>5428</v>
      </c>
      <c r="G180" s="155">
        <f t="shared" si="15"/>
        <v>7</v>
      </c>
      <c r="H180" s="99">
        <f>G180+'22'!H180</f>
        <v>155</v>
      </c>
      <c r="I180" s="155"/>
      <c r="J180" s="178">
        <f>H180/DAY(B2)</f>
        <v>6.7391304347826084</v>
      </c>
    </row>
    <row r="181" spans="1:10" ht="30.75" customHeight="1" x14ac:dyDescent="0.5">
      <c r="A181" s="872" t="s">
        <v>108</v>
      </c>
      <c r="B181" s="873"/>
      <c r="C181" s="529"/>
      <c r="D181" s="228"/>
      <c r="E181" s="95"/>
      <c r="F181" s="155"/>
      <c r="G181" s="155">
        <f>SUM(G178:G180)</f>
        <v>63</v>
      </c>
      <c r="H181" s="99">
        <f>G181+'22'!H181</f>
        <v>1860</v>
      </c>
      <c r="I181" s="155"/>
      <c r="J181" s="178">
        <f>H181/DAY(B2)</f>
        <v>80.869565217391298</v>
      </c>
    </row>
    <row r="182" spans="1:10" ht="30.75" customHeight="1" x14ac:dyDescent="0.5">
      <c r="A182" s="831" t="s">
        <v>213</v>
      </c>
      <c r="B182" s="832"/>
      <c r="C182" s="335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831" t="s">
        <v>214</v>
      </c>
      <c r="B183" s="832"/>
      <c r="C183" s="336"/>
      <c r="D183" s="228" t="s">
        <v>142</v>
      </c>
      <c r="E183" s="95">
        <f>'22'!F183</f>
        <v>14803</v>
      </c>
      <c r="F183" s="157">
        <v>14817</v>
      </c>
      <c r="G183" s="157">
        <f>F183-E183</f>
        <v>14</v>
      </c>
      <c r="H183" s="99">
        <f>G183+'22'!H183</f>
        <v>321</v>
      </c>
      <c r="I183" s="155"/>
      <c r="J183" s="178">
        <f>H183/DAY(B2)</f>
        <v>13.956521739130435</v>
      </c>
    </row>
    <row r="184" spans="1:10" ht="30.75" customHeight="1" x14ac:dyDescent="0.5">
      <c r="A184" s="831" t="s">
        <v>215</v>
      </c>
      <c r="B184" s="832"/>
      <c r="C184" s="336"/>
      <c r="D184" s="228" t="s">
        <v>142</v>
      </c>
      <c r="E184" s="95">
        <f>'22'!F184</f>
        <v>10231</v>
      </c>
      <c r="F184" s="157">
        <v>10240</v>
      </c>
      <c r="G184" s="157">
        <f t="shared" ref="G184:G185" si="16">F184-E184</f>
        <v>9</v>
      </c>
      <c r="H184" s="99">
        <f>G184+'22'!H184</f>
        <v>209</v>
      </c>
      <c r="I184" s="155"/>
      <c r="J184" s="178">
        <f>H184/DAY(B2)</f>
        <v>9.0869565217391308</v>
      </c>
    </row>
    <row r="185" spans="1:10" ht="30.75" customHeight="1" x14ac:dyDescent="0.5">
      <c r="A185" s="831" t="s">
        <v>216</v>
      </c>
      <c r="B185" s="832"/>
      <c r="C185" s="336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867" t="s">
        <v>196</v>
      </c>
      <c r="B186" s="868"/>
      <c r="C186" s="528"/>
      <c r="D186" s="229"/>
      <c r="E186" s="95"/>
      <c r="F186" s="157"/>
      <c r="G186" s="157">
        <f>SUM(G183:G185)</f>
        <v>23</v>
      </c>
      <c r="H186" s="99">
        <f>G186+'22'!H186</f>
        <v>530</v>
      </c>
      <c r="I186" s="157"/>
      <c r="J186" s="178">
        <f>H186/DAY(B2)</f>
        <v>23.043478260869566</v>
      </c>
    </row>
    <row r="187" spans="1:10" ht="30.75" customHeight="1" x14ac:dyDescent="0.5">
      <c r="A187" s="876" t="s">
        <v>217</v>
      </c>
      <c r="B187" s="877"/>
      <c r="C187" s="335"/>
      <c r="D187" s="230" t="s">
        <v>142</v>
      </c>
      <c r="E187" s="95"/>
      <c r="F187" s="159"/>
      <c r="G187" s="506">
        <f>G62+G19</f>
        <v>169</v>
      </c>
      <c r="H187" s="99">
        <f>G187+'22'!H187</f>
        <v>4063</v>
      </c>
      <c r="I187" s="158"/>
      <c r="J187" s="179">
        <f>H187/DAY(B2)</f>
        <v>176.65217391304347</v>
      </c>
    </row>
    <row r="188" spans="1:10" ht="30.75" customHeight="1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174</v>
      </c>
      <c r="H188" s="99">
        <f>G188+'22'!H188</f>
        <v>1546</v>
      </c>
      <c r="I188" s="158"/>
      <c r="J188" s="179">
        <f>H188/DAY(B2)</f>
        <v>67.217391304347828</v>
      </c>
    </row>
    <row r="189" spans="1:10" ht="30.75" customHeight="1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63</v>
      </c>
      <c r="H189" s="99">
        <f>G189+'22'!H189</f>
        <v>346</v>
      </c>
      <c r="I189" s="158"/>
      <c r="J189" s="179">
        <f>H189/DAY(B2)</f>
        <v>15.043478260869565</v>
      </c>
    </row>
    <row r="190" spans="1:10" ht="30.75" customHeight="1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42" zoomScale="60" zoomScaleNormal="44" workbookViewId="0">
      <selection activeCell="G164" sqref="G164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357</v>
      </c>
      <c r="B2" s="262">
        <v>44554</v>
      </c>
      <c r="C2" s="350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24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928839</v>
      </c>
      <c r="F7" s="95">
        <v>949322</v>
      </c>
      <c r="G7" s="112">
        <f>F7-E7</f>
        <v>20483</v>
      </c>
      <c r="H7" s="99">
        <f>G7+'23'!H7</f>
        <v>548480</v>
      </c>
      <c r="I7" s="113">
        <f>'1'!I7</f>
        <v>12000</v>
      </c>
      <c r="J7" s="175">
        <f>H7/DAY(B2)</f>
        <v>22853.333333333332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973318</v>
      </c>
      <c r="F8" s="95">
        <v>994022</v>
      </c>
      <c r="G8" s="115">
        <f>F8-E8</f>
        <v>20704</v>
      </c>
      <c r="H8" s="99">
        <f>G8+'23'!H8</f>
        <v>555727</v>
      </c>
      <c r="I8" s="116"/>
      <c r="J8" s="175">
        <f>H8/DAY(B2)</f>
        <v>23155.291666666668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2125563</v>
      </c>
      <c r="F9" s="659">
        <v>2142794</v>
      </c>
      <c r="G9" s="112">
        <f>F9-E9</f>
        <v>17231</v>
      </c>
      <c r="H9" s="99">
        <f>G9+'23'!H9</f>
        <v>423696.30000000005</v>
      </c>
      <c r="I9" s="124">
        <f>I7-J7</f>
        <v>-10853.333333333332</v>
      </c>
      <c r="J9" s="175">
        <f>H9/DAY(B2)</f>
        <v>17654.012500000001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513006</v>
      </c>
      <c r="F10" s="355">
        <v>515672</v>
      </c>
      <c r="G10" s="112">
        <f t="shared" ref="G10:G12" si="0">F10-E10</f>
        <v>2666</v>
      </c>
      <c r="H10" s="99">
        <f>G10+'23'!H10</f>
        <v>109589.57</v>
      </c>
      <c r="I10" s="282"/>
      <c r="J10" s="175">
        <f>H10/DAY(B2)</f>
        <v>4566.2320833333333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37000</v>
      </c>
      <c r="F11" s="95">
        <v>37000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19897</v>
      </c>
      <c r="H13" s="99">
        <f>G13+'23'!H13</f>
        <v>511235</v>
      </c>
      <c r="I13" s="120">
        <f>G7-G13</f>
        <v>586</v>
      </c>
      <c r="J13" s="175">
        <f>H13/DAY(B2)</f>
        <v>21301.458333333332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'23'!F15</f>
        <v>1869786</v>
      </c>
      <c r="F15" s="123">
        <v>1870862</v>
      </c>
      <c r="G15" s="112">
        <f>(F15-E15)</f>
        <v>1076</v>
      </c>
      <c r="H15" s="99">
        <f>G15+'23'!H15</f>
        <v>27714</v>
      </c>
      <c r="I15" s="113">
        <f>'1'!I15</f>
        <v>800</v>
      </c>
      <c r="J15" s="175">
        <f>H15/DAY(B2)</f>
        <v>1154.75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-354.75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'23'!F18</f>
        <v>20</v>
      </c>
      <c r="F18" s="122">
        <v>18</v>
      </c>
      <c r="G18" s="119">
        <f>F18*10</f>
        <v>180</v>
      </c>
      <c r="H18" s="99">
        <f>G18+'23'!H18</f>
        <v>5030</v>
      </c>
      <c r="I18" s="113">
        <f>'1'!I18</f>
        <v>65</v>
      </c>
      <c r="J18" s="175">
        <f>H18/DAY(B2)</f>
        <v>209.58333333333334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'23'!F19</f>
        <v>151793</v>
      </c>
      <c r="F19" s="122">
        <v>151847</v>
      </c>
      <c r="G19" s="112">
        <f t="shared" ref="G19" si="1">F19-E19</f>
        <v>54</v>
      </c>
      <c r="H19" s="99">
        <f>G19+'23'!H19</f>
        <v>1263</v>
      </c>
      <c r="I19" s="337"/>
      <c r="J19" s="175">
        <f>H19/DAY(B2)</f>
        <v>52.625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234</v>
      </c>
      <c r="H20" s="99">
        <f>G20+'23'!H20</f>
        <v>6293</v>
      </c>
      <c r="I20" s="338">
        <f>I18-J20</f>
        <v>-197.20833333333331</v>
      </c>
      <c r="J20" s="175">
        <f>H20/DAY(B2)</f>
        <v>262.20833333333331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20704</v>
      </c>
      <c r="F27" s="136">
        <v>9</v>
      </c>
      <c r="G27" s="137">
        <f>E27*F27</f>
        <v>186336</v>
      </c>
      <c r="H27" s="99">
        <f>G27+'23'!H27</f>
        <v>5001543</v>
      </c>
      <c r="I27" s="138"/>
      <c r="J27" s="175">
        <f>H27/DAY(B2)</f>
        <v>208397.625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1076</v>
      </c>
      <c r="F28" s="136">
        <v>52</v>
      </c>
      <c r="G28" s="137">
        <f>E28*F28</f>
        <v>55952</v>
      </c>
      <c r="H28" s="99">
        <f>G28+'23'!H28</f>
        <v>1441128</v>
      </c>
      <c r="I28" s="140"/>
      <c r="J28" s="175">
        <f>H28/DAY(B2)</f>
        <v>60047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G30+'23'!H30</f>
        <v>184398</v>
      </c>
      <c r="I30" s="140"/>
      <c r="J30" s="175">
        <f>H30/DAY(B2)</f>
        <v>7683.25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G31+'23'!H31</f>
        <v>402400</v>
      </c>
      <c r="I31" s="140"/>
      <c r="J31" s="175">
        <f>H31/DAY(B2)</f>
        <v>16766.666666666668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264572</v>
      </c>
      <c r="H32" s="99">
        <f>G32+'23'!H32</f>
        <v>7029469</v>
      </c>
      <c r="I32" s="144"/>
      <c r="J32" s="175">
        <f>H32/DAY(B2)</f>
        <v>292894.54166666669</v>
      </c>
      <c r="K32" s="63"/>
      <c r="L32" s="89"/>
      <c r="N32" s="87"/>
      <c r="O32" s="71"/>
    </row>
    <row r="33" spans="1:15" ht="25.5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138344</v>
      </c>
      <c r="F35" s="145">
        <v>139879</v>
      </c>
      <c r="G35" s="112">
        <f t="shared" ref="G35:G46" si="3">F35-E35</f>
        <v>1535</v>
      </c>
      <c r="H35" s="99">
        <f>G35+'23'!H35</f>
        <v>46344.369999999995</v>
      </c>
      <c r="I35" s="95"/>
      <c r="J35" s="175">
        <f>H35/DAY(B2)</f>
        <v>1931.0154166666664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13967</v>
      </c>
      <c r="F36" s="145">
        <v>14922</v>
      </c>
      <c r="G36" s="112">
        <f t="shared" si="3"/>
        <v>955</v>
      </c>
      <c r="H36" s="99">
        <f>G36+'23'!H36</f>
        <v>25188.300000000007</v>
      </c>
      <c r="I36" s="95"/>
      <c r="J36" s="175">
        <f>H36/DAY(B2)</f>
        <v>1049.5125000000003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182684</v>
      </c>
      <c r="F37" s="145">
        <v>184300</v>
      </c>
      <c r="G37" s="112">
        <f t="shared" si="3"/>
        <v>1616</v>
      </c>
      <c r="H37" s="99">
        <f>G37+'23'!H37</f>
        <v>38793.260000000009</v>
      </c>
      <c r="I37" s="95"/>
      <c r="J37" s="175">
        <f>H37/DAY(B2)</f>
        <v>1616.3858333333337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217070</v>
      </c>
      <c r="F38" s="108">
        <v>219024</v>
      </c>
      <c r="G38" s="112">
        <f t="shared" si="3"/>
        <v>1954</v>
      </c>
      <c r="H38" s="99">
        <f>G38+'23'!H38</f>
        <v>48019.950000000012</v>
      </c>
      <c r="I38" s="95"/>
      <c r="J38" s="175">
        <f>H38/DAY(B2)</f>
        <v>2000.8312500000004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388956</v>
      </c>
      <c r="F39" s="145">
        <v>391702</v>
      </c>
      <c r="G39" s="112">
        <f t="shared" si="3"/>
        <v>2746</v>
      </c>
      <c r="H39" s="99">
        <f>G39+'23'!H39</f>
        <v>70038.710000000021</v>
      </c>
      <c r="I39" s="95"/>
      <c r="J39" s="175">
        <f>H39/DAY(B2)</f>
        <v>2918.2795833333344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1817</v>
      </c>
      <c r="F40" s="145">
        <v>2406</v>
      </c>
      <c r="G40" s="112">
        <f t="shared" si="3"/>
        <v>589</v>
      </c>
      <c r="H40" s="99">
        <f>G40+'23'!H40</f>
        <v>2834.9300000000003</v>
      </c>
      <c r="I40" s="95"/>
      <c r="J40" s="175">
        <f>H40/DAY(B2)</f>
        <v>118.12208333333335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0</v>
      </c>
      <c r="F41" s="145">
        <v>0</v>
      </c>
      <c r="G41" s="112">
        <f t="shared" si="3"/>
        <v>0</v>
      </c>
      <c r="H41" s="99">
        <f>G41+'23'!H41</f>
        <v>9386.2900000000373</v>
      </c>
      <c r="I41" s="95"/>
      <c r="J41" s="175">
        <f>H41/DAY(B2)</f>
        <v>391.0954166666682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43442</v>
      </c>
      <c r="F42" s="145">
        <v>48063</v>
      </c>
      <c r="G42" s="112">
        <f t="shared" si="3"/>
        <v>4621</v>
      </c>
      <c r="H42" s="99">
        <f>G42+'23'!H42</f>
        <v>89669.010000000009</v>
      </c>
      <c r="I42" s="95"/>
      <c r="J42" s="175">
        <f>H42/DAY(B2)</f>
        <v>3736.2087500000002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26293</v>
      </c>
      <c r="F43" s="145">
        <v>28980</v>
      </c>
      <c r="G43" s="112">
        <f t="shared" si="3"/>
        <v>2687</v>
      </c>
      <c r="H43" s="99">
        <f>G43+'23'!H43</f>
        <v>65062.399999999907</v>
      </c>
      <c r="I43" s="95"/>
      <c r="J43" s="175">
        <f>H43/DAY(B2)</f>
        <v>2710.9333333333293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16703</v>
      </c>
      <c r="H47" s="99">
        <f>G47+'23'!H47</f>
        <v>395337.22</v>
      </c>
      <c r="I47" s="95"/>
      <c r="J47" s="175">
        <f>H47/DAY(B2)</f>
        <v>16472.384166666667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260245</v>
      </c>
      <c r="F49" s="145">
        <v>261805</v>
      </c>
      <c r="G49" s="112">
        <f t="shared" ref="G49:G58" si="4">F49-E49</f>
        <v>1560</v>
      </c>
      <c r="H49" s="99">
        <f>G49+'23'!H49</f>
        <v>41291.670000000013</v>
      </c>
      <c r="I49" s="95"/>
      <c r="J49" s="175">
        <f>H49/DAY(B2)</f>
        <v>1720.4862500000006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15275</v>
      </c>
      <c r="F50" s="145">
        <v>16307</v>
      </c>
      <c r="G50" s="112">
        <f t="shared" si="4"/>
        <v>1032</v>
      </c>
      <c r="H50" s="99">
        <f>G50+'23'!H50</f>
        <v>32158.810000000063</v>
      </c>
      <c r="I50" s="95"/>
      <c r="J50" s="175">
        <f>H50/DAY(B2)</f>
        <v>1339.9504166666693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3148</v>
      </c>
      <c r="F54" s="145">
        <v>3153</v>
      </c>
      <c r="G54" s="112">
        <f t="shared" si="4"/>
        <v>5</v>
      </c>
      <c r="H54" s="99">
        <f>G54+'23'!H54</f>
        <v>121.7199999999998</v>
      </c>
      <c r="I54" s="95"/>
      <c r="J54" s="175">
        <f>H54/DAY(B2)</f>
        <v>5.0716666666666583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0</v>
      </c>
      <c r="F55" s="145">
        <v>0</v>
      </c>
      <c r="G55" s="112">
        <f t="shared" si="4"/>
        <v>0</v>
      </c>
      <c r="H55" s="99">
        <f>G55+'23'!H55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8610.5400000000009</v>
      </c>
      <c r="F56" s="145">
        <v>8610.5400000000009</v>
      </c>
      <c r="G56" s="112">
        <f t="shared" si="4"/>
        <v>0</v>
      </c>
      <c r="H56" s="99">
        <f>G56+'23'!H56</f>
        <v>30160.589999999986</v>
      </c>
      <c r="I56" s="95"/>
      <c r="J56" s="175">
        <f>H56/DAY(B2)</f>
        <v>1256.6912499999994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90581</v>
      </c>
      <c r="F58" s="145">
        <v>90799</v>
      </c>
      <c r="G58" s="112">
        <f t="shared" si="4"/>
        <v>218</v>
      </c>
      <c r="H58" s="99">
        <f>G58+'23'!H58</f>
        <v>5474.1499999999942</v>
      </c>
      <c r="I58" s="95"/>
      <c r="J58" s="175">
        <f>H58/DAY(B2)</f>
        <v>228.08958333333308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2815</v>
      </c>
      <c r="H59" s="99">
        <f>G59+'23'!H59</f>
        <v>109206.94000000006</v>
      </c>
      <c r="I59" s="95">
        <f>G7-G60</f>
        <v>965</v>
      </c>
      <c r="J59" s="175">
        <f>H59/DAY(B2)</f>
        <v>4550.2891666666692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19518</v>
      </c>
      <c r="H60" s="99">
        <f>G60+'23'!H60</f>
        <v>504544.16000000009</v>
      </c>
      <c r="I60" s="95">
        <f>G13-G60</f>
        <v>379</v>
      </c>
      <c r="J60" s="175">
        <f>H60/DAY(B2)</f>
        <v>21022.673333333336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'23'!F62</f>
        <v>266319</v>
      </c>
      <c r="F62" s="122">
        <v>266429</v>
      </c>
      <c r="G62" s="112">
        <f t="shared" ref="G62:G63" si="5">F62-E62</f>
        <v>110</v>
      </c>
      <c r="H62" s="99">
        <f>G62+'23'!H62</f>
        <v>2964</v>
      </c>
      <c r="I62" s="118"/>
      <c r="J62" s="175">
        <f>H62/DAY(B2)</f>
        <v>123.5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'23'!F63</f>
        <v>211714</v>
      </c>
      <c r="F63" s="122">
        <v>211785</v>
      </c>
      <c r="G63" s="112">
        <f t="shared" si="5"/>
        <v>71</v>
      </c>
      <c r="H63" s="99">
        <f>G63+'23'!H63</f>
        <v>2410</v>
      </c>
      <c r="I63" s="118"/>
      <c r="J63" s="175">
        <f>H63/DAY(B2)</f>
        <v>100.41666666666667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'23'!F64</f>
        <v>0</v>
      </c>
      <c r="F64" s="122"/>
      <c r="G64" s="112">
        <f>G62+G63</f>
        <v>181</v>
      </c>
      <c r="H64" s="99">
        <f>G64+'23'!H64</f>
        <v>5374</v>
      </c>
      <c r="I64" s="118"/>
      <c r="J64" s="175">
        <f>H64/DAY(B2)</f>
        <v>223.91666666666666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'23'!F65</f>
        <v>431787</v>
      </c>
      <c r="F65" s="122">
        <v>431876</v>
      </c>
      <c r="G65" s="112">
        <f t="shared" ref="G65:G70" si="6">F65-E65</f>
        <v>89</v>
      </c>
      <c r="H65" s="99">
        <f>G65+'23'!H65</f>
        <v>2513</v>
      </c>
      <c r="I65" s="118"/>
      <c r="J65" s="175">
        <f>H65/DAY(B2)</f>
        <v>104.70833333333333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'23'!F66</f>
        <v>107050</v>
      </c>
      <c r="F66" s="122">
        <v>107070</v>
      </c>
      <c r="G66" s="112">
        <f t="shared" si="6"/>
        <v>20</v>
      </c>
      <c r="H66" s="99">
        <f>G66+'23'!H66</f>
        <v>471</v>
      </c>
      <c r="I66" s="118"/>
      <c r="J66" s="175">
        <f>H66/DAY(B2)</f>
        <v>19.625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'23'!F67</f>
        <v>103680</v>
      </c>
      <c r="F67" s="122">
        <v>103711</v>
      </c>
      <c r="G67" s="112">
        <f t="shared" si="6"/>
        <v>31</v>
      </c>
      <c r="H67" s="99">
        <f>G67+'23'!H67</f>
        <v>700</v>
      </c>
      <c r="I67" s="118"/>
      <c r="J67" s="175">
        <f>H67/DAY(B2)</f>
        <v>29.166666666666668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'23'!F68</f>
        <v>156345</v>
      </c>
      <c r="F68" s="122">
        <v>156386</v>
      </c>
      <c r="G68" s="112">
        <f t="shared" si="6"/>
        <v>41</v>
      </c>
      <c r="H68" s="99">
        <f>G68+'23'!H68</f>
        <v>946</v>
      </c>
      <c r="I68" s="118"/>
      <c r="J68" s="175">
        <f>H68/DAY(B2)</f>
        <v>39.416666666666664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'23'!F69</f>
        <v>10106</v>
      </c>
      <c r="F69" s="122">
        <v>10118</v>
      </c>
      <c r="G69" s="112">
        <f t="shared" si="6"/>
        <v>12</v>
      </c>
      <c r="H69" s="99">
        <f>G69+'23'!H69</f>
        <v>275</v>
      </c>
      <c r="I69" s="118"/>
      <c r="J69" s="175">
        <f>H69/DAY(B2)</f>
        <v>11.458333333333334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'23'!F70</f>
        <v>7791</v>
      </c>
      <c r="F70" s="122">
        <v>7801</v>
      </c>
      <c r="G70" s="112">
        <f t="shared" si="6"/>
        <v>10</v>
      </c>
      <c r="H70" s="99">
        <f>G70+'23'!H70</f>
        <v>259</v>
      </c>
      <c r="I70" s="118"/>
      <c r="J70" s="175">
        <f>H70/DAY(B2)</f>
        <v>10.791666666666666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203</v>
      </c>
      <c r="H71" s="99">
        <f>G71+'23'!H71</f>
        <v>5164</v>
      </c>
      <c r="I71" s="154"/>
      <c r="J71" s="175">
        <f>H71/DAY(B2)</f>
        <v>215.16666666666666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'23'!F74</f>
        <v>889529</v>
      </c>
      <c r="F74" s="117">
        <v>889828</v>
      </c>
      <c r="G74" s="112">
        <f t="shared" ref="G74:G78" si="7">F74-E74</f>
        <v>299</v>
      </c>
      <c r="H74" s="99">
        <f>G74+'23'!H74</f>
        <v>7574.9510000000009</v>
      </c>
      <c r="I74" s="154"/>
      <c r="J74" s="175">
        <f>H74/DAY(B2)</f>
        <v>315.62295833333337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243.88999999999942</v>
      </c>
      <c r="I75" s="154"/>
      <c r="J75" s="175">
        <f>H75/DAY(B2)</f>
        <v>10.162083333333308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'23'!F76</f>
        <v>166338</v>
      </c>
      <c r="F76" s="123">
        <v>166459</v>
      </c>
      <c r="G76" s="112">
        <f t="shared" si="7"/>
        <v>121</v>
      </c>
      <c r="H76" s="99">
        <f>G76+'23'!H76</f>
        <v>3075</v>
      </c>
      <c r="I76" s="154"/>
      <c r="J76" s="175">
        <f>H76/DAY(B2)</f>
        <v>128.125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'23'!F77</f>
        <v>39940</v>
      </c>
      <c r="F77" s="123">
        <v>39983</v>
      </c>
      <c r="G77" s="112">
        <f t="shared" si="7"/>
        <v>43</v>
      </c>
      <c r="H77" s="99">
        <f>G77+'23'!H77</f>
        <v>1173</v>
      </c>
      <c r="I77" s="154"/>
      <c r="J77" s="175">
        <f>H77/DAY(B2)</f>
        <v>48.875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'23'!F78</f>
        <v>9470</v>
      </c>
      <c r="F78" s="123">
        <v>9472</v>
      </c>
      <c r="G78" s="112">
        <f t="shared" si="7"/>
        <v>2</v>
      </c>
      <c r="H78" s="99">
        <f>G78+'23'!H78</f>
        <v>60</v>
      </c>
      <c r="I78" s="118"/>
      <c r="J78" s="175">
        <f>H78/DAY(B2)</f>
        <v>2.5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'23'!F79</f>
        <v>0</v>
      </c>
      <c r="F79" s="117"/>
      <c r="G79" s="112">
        <f>G15-SUM(G74:G78)</f>
        <v>611</v>
      </c>
      <c r="H79" s="99">
        <f>G79+'23'!H79</f>
        <v>15587.159</v>
      </c>
      <c r="I79" s="118"/>
      <c r="J79" s="175">
        <f>H79/DAY(B2)</f>
        <v>649.46495833333336</v>
      </c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1076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'23'!F84</f>
        <v>41675.4</v>
      </c>
      <c r="F84" s="164">
        <v>41675.4</v>
      </c>
      <c r="G84" s="112">
        <f t="shared" si="8"/>
        <v>0</v>
      </c>
      <c r="H84" s="99">
        <f>G84+'23'!H84</f>
        <v>46.840000000003783</v>
      </c>
      <c r="I84" s="118"/>
      <c r="J84" s="175">
        <f>H84/DAY(B2)</f>
        <v>1.9516666666668243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'23'!F85</f>
        <v>1940</v>
      </c>
      <c r="F85" s="164">
        <v>1964</v>
      </c>
      <c r="G85" s="112">
        <f t="shared" si="8"/>
        <v>24</v>
      </c>
      <c r="H85" s="99">
        <f>G85+'23'!H85</f>
        <v>460.44000000000005</v>
      </c>
      <c r="I85" s="118">
        <f>G82+G83+G84+G85</f>
        <v>24</v>
      </c>
      <c r="J85" s="175">
        <f>H85/DAY(B2)</f>
        <v>19.185000000000002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'23'!F86</f>
        <v>42826.47</v>
      </c>
      <c r="F86" s="164">
        <v>42826.47</v>
      </c>
      <c r="G86" s="112">
        <f t="shared" si="8"/>
        <v>0</v>
      </c>
      <c r="H86" s="99">
        <f>G86+'23'!H86</f>
        <v>0.47000000000116415</v>
      </c>
      <c r="I86" s="118"/>
      <c r="J86" s="175">
        <f>H86/DAY(B2)</f>
        <v>1.9583333333381841E-2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'23'!F87</f>
        <v>34598.550000000003</v>
      </c>
      <c r="F87" s="164">
        <v>34598.550000000003</v>
      </c>
      <c r="G87" s="112">
        <f t="shared" si="8"/>
        <v>0</v>
      </c>
      <c r="H87" s="99">
        <f>G87+'23'!H87</f>
        <v>178.15000000000146</v>
      </c>
      <c r="I87" s="118"/>
      <c r="J87" s="175">
        <f>H87/DAY(B2)</f>
        <v>7.422916666666727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'23'!F88</f>
        <v>24005.53</v>
      </c>
      <c r="F88" s="164">
        <v>24007.97</v>
      </c>
      <c r="G88" s="112">
        <f t="shared" si="8"/>
        <v>2.4400000000023283</v>
      </c>
      <c r="H88" s="99">
        <f>G88+'23'!H88</f>
        <v>55.479999999999563</v>
      </c>
      <c r="I88" s="118">
        <f>G86+G87+G88</f>
        <v>2.4400000000023283</v>
      </c>
      <c r="J88" s="175">
        <f>H88/DAY(B2)</f>
        <v>2.3116666666666483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'23'!F89</f>
        <v>25626.69</v>
      </c>
      <c r="F89" s="164">
        <v>25634</v>
      </c>
      <c r="G89" s="112">
        <f t="shared" si="8"/>
        <v>7.3100000000013097</v>
      </c>
      <c r="H89" s="99">
        <f>G89+'23'!H89</f>
        <v>206.5099999999984</v>
      </c>
      <c r="I89" s="118"/>
      <c r="J89" s="175">
        <f>H89/DAY(B2)</f>
        <v>8.6045833333332666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'23'!F90</f>
        <v>70986.62</v>
      </c>
      <c r="F90" s="164">
        <v>70991.8</v>
      </c>
      <c r="G90" s="112">
        <f t="shared" si="8"/>
        <v>5.180000000007567</v>
      </c>
      <c r="H90" s="99">
        <f>G90+'23'!H90</f>
        <v>163.52999999999884</v>
      </c>
      <c r="I90" s="118">
        <f>G89+G90</f>
        <v>12.490000000008877</v>
      </c>
      <c r="J90" s="175">
        <f>H90/DAY(B2)</f>
        <v>6.8137499999999518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0.32000000000016371</v>
      </c>
      <c r="I91" s="165"/>
      <c r="J91" s="175">
        <f>H91/DAY(B2)</f>
        <v>1.3333333333340155E-2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'23'!F92</f>
        <v>5350.74</v>
      </c>
      <c r="F92" s="122">
        <v>5361</v>
      </c>
      <c r="G92" s="112">
        <f t="shared" si="8"/>
        <v>10.260000000000218</v>
      </c>
      <c r="H92" s="99">
        <f>G92+'23'!H92</f>
        <v>265.10000000000036</v>
      </c>
      <c r="I92" s="165"/>
      <c r="J92" s="175">
        <f>H92/DAY(B2)</f>
        <v>11.045833333333348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5782</v>
      </c>
      <c r="H94" s="99">
        <f>G94+'23'!H94</f>
        <v>152698.43999999992</v>
      </c>
      <c r="I94" s="118"/>
      <c r="J94" s="175">
        <f>H94/DAY(B2)</f>
        <v>6362.4349999999968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0.28228286872040226</v>
      </c>
      <c r="H95" s="99">
        <f>G95+'23'!H95</f>
        <v>6.6875622368649159</v>
      </c>
      <c r="I95" s="167"/>
      <c r="J95" s="175">
        <f>H95/DAY(B2)</f>
        <v>0.27864842653603816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4621</v>
      </c>
      <c r="H96" s="99">
        <f>G96+'23'!H96</f>
        <v>129215.89000000001</v>
      </c>
      <c r="I96" s="118"/>
      <c r="J96" s="175">
        <f>H96/DAY(B2)</f>
        <v>5383.9954166666676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0.22560171849826685</v>
      </c>
      <c r="H97" s="99">
        <f>G97+'23'!H97</f>
        <v>5.6371213956683013</v>
      </c>
      <c r="I97" s="167"/>
      <c r="J97" s="175">
        <f>H97/DAY(B2)</f>
        <v>0.23488005815284588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2746</v>
      </c>
      <c r="H98" s="99">
        <f>G98+'23'!H98</f>
        <v>70038.710000000021</v>
      </c>
      <c r="I98" s="168"/>
      <c r="J98" s="175">
        <f>H98/DAY(B2)</f>
        <v>2918.2795833333344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0.1340623932041205</v>
      </c>
      <c r="H99" s="99">
        <f>G99+'23'!H99</f>
        <v>3.0721318291682573</v>
      </c>
      <c r="I99" s="168"/>
      <c r="J99" s="175">
        <f>H99/DAY(B2)</f>
        <v>0.12800549288201071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1954</v>
      </c>
      <c r="H100" s="99">
        <f>G100+'23'!H100</f>
        <v>48019.950000000012</v>
      </c>
      <c r="I100" s="118"/>
      <c r="J100" s="175">
        <f>H100/DAY(B2)</f>
        <v>2000.8312500000004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9.5396182199873059E-2</v>
      </c>
      <c r="H101" s="99">
        <f>G101+'23'!H101</f>
        <v>2.1065902810515125</v>
      </c>
      <c r="I101" s="168"/>
      <c r="J101" s="175">
        <f>H101/DAY(B2)</f>
        <v>8.777459504381302E-2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1987</v>
      </c>
      <c r="H102" s="99">
        <f>G102+'23'!H102</f>
        <v>57347.110000000059</v>
      </c>
      <c r="I102" s="168"/>
      <c r="J102" s="175">
        <f>H102/DAY(B2)</f>
        <v>2389.4629166666691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9.7007274325050047E-2</v>
      </c>
      <c r="H103" s="99">
        <f>G103+'23'!H103</f>
        <v>2.50662042179649</v>
      </c>
      <c r="I103" s="118"/>
      <c r="J103" s="175">
        <f>H103/DAY(B2)</f>
        <v>0.10444251757485375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1616</v>
      </c>
      <c r="H104" s="99">
        <f>G104+'23'!H104</f>
        <v>38793.260000000009</v>
      </c>
      <c r="I104" s="118"/>
      <c r="J104" s="175">
        <f>H104/DAY(B2)</f>
        <v>1616.3858333333337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7.889469316018162E-2</v>
      </c>
      <c r="H105" s="99">
        <f>G105+'23'!H105</f>
        <v>1.7036254933322836</v>
      </c>
      <c r="I105" s="187"/>
      <c r="J105" s="188">
        <f>H105/DAY(B2)</f>
        <v>7.0984395555511823E-2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'23'!F112</f>
        <v>55121</v>
      </c>
      <c r="F112" s="237">
        <v>55191</v>
      </c>
      <c r="G112" s="112">
        <f t="shared" ref="G112:G123" si="9">F112-E112</f>
        <v>70</v>
      </c>
      <c r="H112" s="99">
        <f>G112+'23'!H112</f>
        <v>1838.989999999998</v>
      </c>
      <c r="I112" s="165"/>
      <c r="J112" s="330">
        <f>H112/DAY(B2)</f>
        <v>76.624583333333248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'23'!F113</f>
        <v>28553</v>
      </c>
      <c r="F113" s="237">
        <v>29010</v>
      </c>
      <c r="G113" s="112">
        <f t="shared" si="9"/>
        <v>457</v>
      </c>
      <c r="H113" s="99">
        <f>G113+'23'!H113</f>
        <v>11053.470000000001</v>
      </c>
      <c r="I113" s="165"/>
      <c r="J113" s="330">
        <f>H113/DAY(B2)</f>
        <v>460.56125000000003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'23'!F114</f>
        <v>22386</v>
      </c>
      <c r="F114" s="237">
        <v>22647</v>
      </c>
      <c r="G114" s="112">
        <f t="shared" si="9"/>
        <v>261</v>
      </c>
      <c r="H114" s="99">
        <f>G114+'23'!H114</f>
        <v>8562.7199999999975</v>
      </c>
      <c r="I114" s="165"/>
      <c r="J114" s="330">
        <f>H114/DAY(B2)</f>
        <v>356.77999999999992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'23'!F115</f>
        <v>8687</v>
      </c>
      <c r="F115" s="237">
        <v>8699</v>
      </c>
      <c r="G115" s="112">
        <f t="shared" si="9"/>
        <v>12</v>
      </c>
      <c r="H115" s="99">
        <f>G115+'23'!H115</f>
        <v>275.31999999999971</v>
      </c>
      <c r="I115" s="165"/>
      <c r="J115" s="330">
        <f>H115/DAY(B2)</f>
        <v>11.471666666666655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30">
        <f>H116/DAY(B2)</f>
        <v>0</v>
      </c>
      <c r="Q116" s="839"/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'23'!F117</f>
        <v>2397</v>
      </c>
      <c r="F117" s="237">
        <v>2412</v>
      </c>
      <c r="G117" s="112">
        <f t="shared" si="9"/>
        <v>15</v>
      </c>
      <c r="H117" s="99">
        <f>G117+'23'!H117</f>
        <v>470.92000000000007</v>
      </c>
      <c r="I117" s="165"/>
      <c r="J117" s="330">
        <f>H117/DAY(B2)</f>
        <v>19.62166666666667</v>
      </c>
      <c r="Q117" s="839"/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'23'!F118</f>
        <v>238577</v>
      </c>
      <c r="F118" s="237">
        <v>238965</v>
      </c>
      <c r="G118" s="112">
        <f t="shared" si="9"/>
        <v>388</v>
      </c>
      <c r="H118" s="99">
        <f>G118+'23'!H118</f>
        <v>9127.2699999999895</v>
      </c>
      <c r="I118" s="165"/>
      <c r="J118" s="330">
        <f>H118/DAY(B2)</f>
        <v>380.30291666666625</v>
      </c>
      <c r="Q118" s="839"/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'23'!F119</f>
        <v>241781</v>
      </c>
      <c r="F119" s="237">
        <v>242198</v>
      </c>
      <c r="G119" s="112">
        <f t="shared" si="9"/>
        <v>417</v>
      </c>
      <c r="H119" s="99">
        <f>G119+'23'!H119</f>
        <v>10471.470000000001</v>
      </c>
      <c r="I119" s="165"/>
      <c r="J119" s="330">
        <f>H119/DAY(B2)</f>
        <v>436.31125000000003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'23'!F120</f>
        <v>26758</v>
      </c>
      <c r="F120" s="237">
        <v>27196</v>
      </c>
      <c r="G120" s="112">
        <f t="shared" si="9"/>
        <v>438</v>
      </c>
      <c r="H120" s="99">
        <f>G120+'23'!H120</f>
        <v>10010.68</v>
      </c>
      <c r="I120" s="165"/>
      <c r="J120" s="330">
        <f>H120/DAY(B2)</f>
        <v>417.11166666666668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'23'!F121</f>
        <v>370233</v>
      </c>
      <c r="F121" s="237">
        <v>371027</v>
      </c>
      <c r="G121" s="112">
        <f t="shared" si="9"/>
        <v>794</v>
      </c>
      <c r="H121" s="99">
        <f>G121+'23'!H121</f>
        <v>17972.770000000019</v>
      </c>
      <c r="I121" s="165"/>
      <c r="J121" s="330">
        <f>H121/DAY(B2)</f>
        <v>748.86541666666744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'23'!F122</f>
        <v>118297</v>
      </c>
      <c r="F122" s="237">
        <v>118488</v>
      </c>
      <c r="G122" s="112">
        <f t="shared" si="9"/>
        <v>191</v>
      </c>
      <c r="H122" s="99">
        <f>G122+'23'!H122</f>
        <v>7478.2100000000064</v>
      </c>
      <c r="I122" s="165"/>
      <c r="J122" s="330">
        <f>H122/DAY(B2)</f>
        <v>311.59208333333362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'23'!F123</f>
        <v>142355</v>
      </c>
      <c r="F123" s="237">
        <v>142703</v>
      </c>
      <c r="G123" s="112">
        <f t="shared" si="9"/>
        <v>348</v>
      </c>
      <c r="H123" s="99">
        <f>G123+'23'!H123</f>
        <v>8337</v>
      </c>
      <c r="I123" s="165"/>
      <c r="J123" s="330">
        <f>H123/DAY(B2)</f>
        <v>347.375</v>
      </c>
    </row>
    <row r="124" spans="1:18" ht="29.25" customHeight="1" x14ac:dyDescent="0.5">
      <c r="A124" s="864"/>
      <c r="B124" s="865"/>
      <c r="C124" s="866"/>
      <c r="D124" s="165"/>
      <c r="E124" s="95">
        <f>'23'!F124</f>
        <v>0</v>
      </c>
      <c r="F124" s="165"/>
      <c r="G124" s="329"/>
      <c r="H124" s="156"/>
      <c r="I124" s="165"/>
      <c r="J124" s="329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3391</v>
      </c>
      <c r="H125" s="156"/>
      <c r="I125" s="329">
        <f>G125-(G39+G53)</f>
        <v>645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G127+'23'!H127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'23'!F128</f>
        <v>35320</v>
      </c>
      <c r="F128" s="165">
        <v>35649</v>
      </c>
      <c r="G128" s="112">
        <f t="shared" ref="G128:G134" si="10">F128-E128</f>
        <v>329</v>
      </c>
      <c r="H128" s="99">
        <f>G128+'23'!H128</f>
        <v>8044.630000000001</v>
      </c>
      <c r="I128" s="165"/>
      <c r="J128" s="330">
        <f>H128/DAY(B2)</f>
        <v>335.19291666666669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'23'!F129</f>
        <v>18568</v>
      </c>
      <c r="F129" s="165">
        <v>18793</v>
      </c>
      <c r="G129" s="112">
        <f t="shared" si="10"/>
        <v>225</v>
      </c>
      <c r="H129" s="99">
        <f>G129+'23'!H129</f>
        <v>6045.41</v>
      </c>
      <c r="I129" s="165"/>
      <c r="J129" s="330">
        <f>H129/DAY(B2)</f>
        <v>251.89208333333332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'23'!F130</f>
        <v>12146</v>
      </c>
      <c r="F130" s="165">
        <v>12830</v>
      </c>
      <c r="G130" s="112">
        <f t="shared" si="10"/>
        <v>684</v>
      </c>
      <c r="H130" s="99">
        <f>G130+'23'!H130</f>
        <v>10772.89</v>
      </c>
      <c r="I130" s="165"/>
      <c r="J130" s="330">
        <f>H130/DAY(B2)</f>
        <v>448.87041666666664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'23'!F131</f>
        <v>12405</v>
      </c>
      <c r="F131" s="165">
        <v>12511</v>
      </c>
      <c r="G131" s="112">
        <f t="shared" si="10"/>
        <v>106</v>
      </c>
      <c r="H131" s="99">
        <f>G131+'23'!H131</f>
        <v>3341.6499999999996</v>
      </c>
      <c r="I131" s="165"/>
      <c r="J131" s="330">
        <f>H131/DAY(B2)</f>
        <v>139.23541666666665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'23'!F132</f>
        <v>37178</v>
      </c>
      <c r="F132" s="165">
        <v>37692</v>
      </c>
      <c r="G132" s="112">
        <f t="shared" si="10"/>
        <v>514</v>
      </c>
      <c r="H132" s="99">
        <f>G132+'23'!H132</f>
        <v>9898.6399999999958</v>
      </c>
      <c r="I132" s="165"/>
      <c r="J132" s="330">
        <f>H132/DAY(B2)</f>
        <v>412.44333333333316</v>
      </c>
    </row>
    <row r="133" spans="1:15" ht="27.75" x14ac:dyDescent="0.5">
      <c r="A133" s="839" t="s">
        <v>363</v>
      </c>
      <c r="B133" s="840"/>
      <c r="C133" s="841"/>
      <c r="D133" s="151" t="s">
        <v>183</v>
      </c>
      <c r="E133" s="95">
        <f>'23'!F133</f>
        <v>82391</v>
      </c>
      <c r="F133" s="165">
        <v>83070</v>
      </c>
      <c r="G133" s="112">
        <f t="shared" si="10"/>
        <v>679</v>
      </c>
      <c r="H133" s="99">
        <f>G133+'23'!H133</f>
        <v>19595.580000000002</v>
      </c>
      <c r="I133" s="165"/>
      <c r="J133" s="330">
        <f>H133/DAY(B2)</f>
        <v>816.48250000000007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'23'!F134</f>
        <v>664239</v>
      </c>
      <c r="F134" s="546">
        <v>664602</v>
      </c>
      <c r="G134" s="112">
        <f t="shared" si="10"/>
        <v>363</v>
      </c>
      <c r="H134" s="99">
        <f>G134+'23'!H134</f>
        <v>13395</v>
      </c>
      <c r="I134" s="165"/>
      <c r="J134" s="330">
        <f>H134/DAY(B2)</f>
        <v>558.125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2900</v>
      </c>
      <c r="H135" s="99">
        <f>G135+'23'!H135</f>
        <v>35231.21</v>
      </c>
      <c r="I135" s="329">
        <f>G135-(G35+G49)</f>
        <v>-195</v>
      </c>
      <c r="J135" s="330"/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'23'!F138</f>
        <v>863269</v>
      </c>
      <c r="F138" s="147">
        <v>863387</v>
      </c>
      <c r="G138" s="112">
        <f t="shared" ref="G138:G152" si="11">F138-E138</f>
        <v>118</v>
      </c>
      <c r="H138" s="99">
        <f>G138+'23'!H138</f>
        <v>2125</v>
      </c>
      <c r="I138" s="118"/>
      <c r="J138" s="330">
        <f>H138/DAY(B2)</f>
        <v>88.541666666666671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'23'!F139</f>
        <v>886477</v>
      </c>
      <c r="F139" s="148">
        <v>886484</v>
      </c>
      <c r="G139" s="112">
        <f t="shared" si="11"/>
        <v>7</v>
      </c>
      <c r="H139" s="99">
        <f>G139+'23'!H139</f>
        <v>285</v>
      </c>
      <c r="I139" s="118"/>
      <c r="J139" s="330">
        <f>H139/DAY(B2)</f>
        <v>11.875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'23'!F140</f>
        <v>88882.4</v>
      </c>
      <c r="F140" s="149">
        <v>88882</v>
      </c>
      <c r="G140" s="112">
        <f t="shared" si="11"/>
        <v>-0.39999999999417923</v>
      </c>
      <c r="H140" s="99">
        <f>G140+'23'!H140</f>
        <v>33</v>
      </c>
      <c r="I140" s="118"/>
      <c r="J140" s="330">
        <f>H140/DAY(B2)</f>
        <v>1.375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'23'!F141</f>
        <v>47721</v>
      </c>
      <c r="F141" s="149">
        <v>47929</v>
      </c>
      <c r="G141" s="112">
        <f t="shared" si="11"/>
        <v>208</v>
      </c>
      <c r="H141" s="99">
        <f>G141+'23'!H141</f>
        <v>4802.2699999999968</v>
      </c>
      <c r="I141" s="118"/>
      <c r="J141" s="330">
        <f>H141/DAY(B2)</f>
        <v>200.09458333333319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'23'!F142</f>
        <v>18398</v>
      </c>
      <c r="F142" s="148">
        <v>18476</v>
      </c>
      <c r="G142" s="112">
        <f t="shared" si="11"/>
        <v>78</v>
      </c>
      <c r="H142" s="99">
        <f>G142+'23'!H142</f>
        <v>1015.5</v>
      </c>
      <c r="I142" s="140"/>
      <c r="J142" s="330">
        <f>H142/DAY(B2)</f>
        <v>42.3125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'23'!F143</f>
        <v>2877</v>
      </c>
      <c r="F143" s="149">
        <v>2900</v>
      </c>
      <c r="G143" s="112">
        <f t="shared" si="11"/>
        <v>23</v>
      </c>
      <c r="H143" s="99">
        <f>G143+'23'!H143</f>
        <v>698.59999999999991</v>
      </c>
      <c r="I143" s="140"/>
      <c r="J143" s="330">
        <f>H143/DAY(B2)</f>
        <v>29.108333333333331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'23'!F144</f>
        <v>867751</v>
      </c>
      <c r="F144" s="149">
        <v>867996</v>
      </c>
      <c r="G144" s="112">
        <f t="shared" si="11"/>
        <v>245</v>
      </c>
      <c r="H144" s="99">
        <f>G144+'23'!H144</f>
        <v>5601</v>
      </c>
      <c r="I144" s="140"/>
      <c r="J144" s="330">
        <f>H144/DAY(B2)</f>
        <v>233.375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'23'!F145</f>
        <v>4439</v>
      </c>
      <c r="F145" s="149">
        <v>4459</v>
      </c>
      <c r="G145" s="112">
        <f t="shared" si="11"/>
        <v>20</v>
      </c>
      <c r="H145" s="99">
        <f>G145+'23'!H145</f>
        <v>1040</v>
      </c>
      <c r="I145" s="140"/>
      <c r="J145" s="330">
        <f>H145/DAY(B2)</f>
        <v>43.333333333333336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'23'!F146</f>
        <v>720962</v>
      </c>
      <c r="F146" s="148">
        <v>721410</v>
      </c>
      <c r="G146" s="112">
        <f t="shared" si="11"/>
        <v>448</v>
      </c>
      <c r="H146" s="99">
        <f>G146+'23'!H146</f>
        <v>10525</v>
      </c>
      <c r="I146" s="140"/>
      <c r="J146" s="330">
        <f>H146/DAY(B2)</f>
        <v>438.54166666666669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'23'!F147</f>
        <v>611914</v>
      </c>
      <c r="F147" s="148">
        <v>612294</v>
      </c>
      <c r="G147" s="112">
        <f t="shared" si="11"/>
        <v>380</v>
      </c>
      <c r="H147" s="99">
        <f>G147+'23'!H147</f>
        <v>10308.959999999963</v>
      </c>
      <c r="I147" s="140"/>
      <c r="J147" s="330">
        <f>H147/DAY(B2)</f>
        <v>429.53999999999843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'23'!F148</f>
        <v>680640</v>
      </c>
      <c r="F148" s="150">
        <v>680925</v>
      </c>
      <c r="G148" s="112">
        <f t="shared" si="11"/>
        <v>285</v>
      </c>
      <c r="H148" s="99">
        <f>G148+'23'!H148</f>
        <v>7135.3199999999488</v>
      </c>
      <c r="I148" s="124"/>
      <c r="J148" s="330">
        <f>H148/DAY(B2)</f>
        <v>297.30499999999785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'23'!F149</f>
        <v>6290</v>
      </c>
      <c r="F149" s="146">
        <v>6843</v>
      </c>
      <c r="G149" s="112">
        <f t="shared" si="11"/>
        <v>553</v>
      </c>
      <c r="H149" s="99">
        <f>G149+'23'!H149</f>
        <v>99061</v>
      </c>
      <c r="I149" s="119"/>
      <c r="J149" s="330">
        <f>H149/DAY(B2)</f>
        <v>4127.541666666667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'23'!F150</f>
        <v>2235</v>
      </c>
      <c r="F150" s="233">
        <v>2464</v>
      </c>
      <c r="G150" s="112">
        <f t="shared" si="11"/>
        <v>229</v>
      </c>
      <c r="H150" s="99">
        <f>G150+'23'!H150</f>
        <v>2272</v>
      </c>
      <c r="I150" s="119"/>
      <c r="J150" s="330">
        <f>H150/DAY(B2)</f>
        <v>94.666666666666671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'23'!F151</f>
        <v>76296</v>
      </c>
      <c r="F151" s="233">
        <v>76543</v>
      </c>
      <c r="G151" s="112">
        <f t="shared" si="11"/>
        <v>247</v>
      </c>
      <c r="H151" s="99">
        <f>G151+'23'!H151</f>
        <v>5821</v>
      </c>
      <c r="I151" s="119"/>
      <c r="J151" s="330">
        <f>H151/DAY(B2)</f>
        <v>242.54166666666666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'23'!F152</f>
        <v>736</v>
      </c>
      <c r="F152" s="233">
        <v>789</v>
      </c>
      <c r="G152" s="112">
        <f t="shared" si="11"/>
        <v>53</v>
      </c>
      <c r="H152" s="99">
        <f>G152+'23'!H152</f>
        <v>789</v>
      </c>
      <c r="I152" s="119"/>
      <c r="J152" s="330">
        <f>H152/DAY(B2)</f>
        <v>32.875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2893.6000000000058</v>
      </c>
      <c r="H153" s="365"/>
      <c r="I153" s="119">
        <f>G153-(G38+G52)</f>
        <v>939.60000000000582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'23'!F155</f>
        <v>7467</v>
      </c>
      <c r="F155" s="549">
        <v>8074</v>
      </c>
      <c r="G155" s="112">
        <f t="shared" ref="G155:G158" si="12">F155-E155</f>
        <v>607</v>
      </c>
      <c r="H155" s="99">
        <f>G155+'23'!H155</f>
        <v>8167</v>
      </c>
      <c r="I155" s="366"/>
      <c r="J155" s="330">
        <f>H155/DAY(B2)</f>
        <v>340.29166666666669</v>
      </c>
    </row>
    <row r="156" spans="1:10" ht="27.75" x14ac:dyDescent="0.5">
      <c r="A156" s="838" t="s">
        <v>347</v>
      </c>
      <c r="B156" s="838"/>
      <c r="C156" s="838"/>
      <c r="D156" s="117" t="s">
        <v>130</v>
      </c>
      <c r="E156" s="95">
        <f>'23'!F156</f>
        <v>595</v>
      </c>
      <c r="F156" s="155">
        <v>646</v>
      </c>
      <c r="G156" s="112">
        <f t="shared" si="12"/>
        <v>51</v>
      </c>
      <c r="H156" s="99">
        <f>G156+'23'!H156</f>
        <v>646</v>
      </c>
      <c r="I156" s="165"/>
      <c r="J156" s="330">
        <f>H156/DAY(B2)</f>
        <v>26.916666666666668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>
        <v>712</v>
      </c>
      <c r="F157" s="155">
        <v>767</v>
      </c>
      <c r="G157" s="112">
        <f t="shared" si="12"/>
        <v>55</v>
      </c>
      <c r="H157" s="99">
        <f>G157+'23'!H157</f>
        <v>767</v>
      </c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>
        <v>1.08</v>
      </c>
      <c r="F158" s="155">
        <v>1.19</v>
      </c>
      <c r="G158" s="112">
        <f t="shared" si="12"/>
        <v>0.10999999999999988</v>
      </c>
      <c r="H158" s="99">
        <f>G158+'23'!H158</f>
        <v>1.19</v>
      </c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471149</v>
      </c>
      <c r="F161" s="235">
        <v>471149</v>
      </c>
      <c r="G161" s="238">
        <f t="shared" ref="G161:G165" si="13">F161-E161</f>
        <v>0</v>
      </c>
      <c r="H161" s="99">
        <f>G161+'23'!H161</f>
        <v>172.88000000000466</v>
      </c>
      <c r="I161" s="236"/>
      <c r="J161" s="239">
        <f>H161/DAY(B2)</f>
        <v>7.2033333333335277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87360</v>
      </c>
      <c r="F162" s="235">
        <v>87391</v>
      </c>
      <c r="G162" s="238">
        <f t="shared" si="13"/>
        <v>31</v>
      </c>
      <c r="H162" s="99">
        <f>G162+'23'!H162</f>
        <v>789.30000000000291</v>
      </c>
      <c r="I162" s="236"/>
      <c r="J162" s="239">
        <f>H162/DAY(B2)</f>
        <v>32.887500000000124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77324</v>
      </c>
      <c r="F163" s="235">
        <v>77385</v>
      </c>
      <c r="G163" s="238">
        <f t="shared" si="13"/>
        <v>61</v>
      </c>
      <c r="H163" s="99">
        <f>G163+'23'!H163</f>
        <v>1925.1999999999971</v>
      </c>
      <c r="I163" s="236"/>
      <c r="J163" s="239">
        <f>H163/DAY(B2)</f>
        <v>80.216666666666541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4217</v>
      </c>
      <c r="F164" s="235">
        <v>4223</v>
      </c>
      <c r="G164" s="238">
        <f t="shared" si="13"/>
        <v>6</v>
      </c>
      <c r="H164" s="99">
        <f>G164+'23'!H164</f>
        <v>125.10000000000036</v>
      </c>
      <c r="I164" s="236"/>
      <c r="J164" s="239">
        <f>H164/DAY(B2)</f>
        <v>5.2125000000000155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29592</v>
      </c>
      <c r="F165" s="235">
        <v>29602</v>
      </c>
      <c r="G165" s="238">
        <f t="shared" si="13"/>
        <v>10</v>
      </c>
      <c r="H165" s="99">
        <f>G165+'23'!H165</f>
        <v>173.06880000000092</v>
      </c>
      <c r="I165" s="236"/>
      <c r="J165" s="239">
        <f>H165/DAY(B2)</f>
        <v>7.211200000000038</v>
      </c>
    </row>
    <row r="166" spans="1:10" ht="29.25" x14ac:dyDescent="0.5">
      <c r="A166" s="870"/>
      <c r="B166" s="870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1.75" customHeight="1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831" t="s">
        <v>209</v>
      </c>
      <c r="B173" s="832"/>
      <c r="C173" s="335"/>
      <c r="D173" s="228" t="s">
        <v>142</v>
      </c>
      <c r="E173" s="95">
        <f>'23'!F173</f>
        <v>8126</v>
      </c>
      <c r="F173" s="155">
        <v>8126</v>
      </c>
      <c r="G173" s="155">
        <f>F173-E173</f>
        <v>0</v>
      </c>
      <c r="H173" s="99">
        <f>G173+'23'!H173</f>
        <v>19</v>
      </c>
      <c r="I173" s="155"/>
      <c r="J173" s="178">
        <f>H173/DAY(B2)</f>
        <v>0.79166666666666663</v>
      </c>
    </row>
    <row r="174" spans="1:10" ht="27" customHeight="1" x14ac:dyDescent="0.5">
      <c r="A174" s="831" t="s">
        <v>75</v>
      </c>
      <c r="B174" s="832"/>
      <c r="C174" s="335"/>
      <c r="D174" s="228" t="s">
        <v>142</v>
      </c>
      <c r="E174" s="95">
        <f>'23'!F174</f>
        <v>38176</v>
      </c>
      <c r="F174" s="157">
        <v>38190</v>
      </c>
      <c r="G174" s="155">
        <f t="shared" ref="G174:G175" si="14">F174-E174</f>
        <v>14</v>
      </c>
      <c r="H174" s="99">
        <f>G174+'23'!H174</f>
        <v>388</v>
      </c>
      <c r="I174" s="155"/>
      <c r="J174" s="178">
        <f>H174/DAY(B2)</f>
        <v>16.166666666666668</v>
      </c>
    </row>
    <row r="175" spans="1:10" ht="27" customHeight="1" x14ac:dyDescent="0.5">
      <c r="A175" s="831" t="s">
        <v>76</v>
      </c>
      <c r="B175" s="833"/>
      <c r="C175" s="832"/>
      <c r="D175" s="228" t="s">
        <v>142</v>
      </c>
      <c r="E175" s="95">
        <f>'23'!F175</f>
        <v>21427</v>
      </c>
      <c r="F175" s="155">
        <v>21438</v>
      </c>
      <c r="G175" s="155">
        <f t="shared" si="14"/>
        <v>11</v>
      </c>
      <c r="H175" s="99">
        <f>G175+'23'!H175</f>
        <v>301</v>
      </c>
      <c r="I175" s="155"/>
      <c r="J175" s="178">
        <f>H175/DAY(B2)</f>
        <v>12.541666666666666</v>
      </c>
    </row>
    <row r="176" spans="1:10" ht="21.75" customHeight="1" x14ac:dyDescent="0.5">
      <c r="A176" s="867" t="s">
        <v>196</v>
      </c>
      <c r="B176" s="868"/>
      <c r="C176" s="529"/>
      <c r="D176" s="228" t="s">
        <v>142</v>
      </c>
      <c r="E176" s="95"/>
      <c r="F176" s="155"/>
      <c r="G176" s="155">
        <f>SUM(G173:G175)</f>
        <v>25</v>
      </c>
      <c r="H176" s="99">
        <f>G176+'23'!H176</f>
        <v>708</v>
      </c>
      <c r="I176" s="155"/>
      <c r="J176" s="178">
        <f>H176/DAY(B2)</f>
        <v>29.5</v>
      </c>
    </row>
    <row r="177" spans="1:10" ht="21.75" customHeight="1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831" t="s">
        <v>210</v>
      </c>
      <c r="B178" s="832"/>
      <c r="C178" s="335"/>
      <c r="D178" s="228" t="s">
        <v>142</v>
      </c>
      <c r="E178" s="95">
        <f>'23'!F178</f>
        <v>79028</v>
      </c>
      <c r="F178" s="155">
        <v>79127</v>
      </c>
      <c r="G178" s="155">
        <f>F178-E178</f>
        <v>99</v>
      </c>
      <c r="H178" s="99">
        <f>G178+'23'!H178</f>
        <v>1775</v>
      </c>
      <c r="I178" s="155"/>
      <c r="J178" s="178">
        <f>H178/DAY(B2)</f>
        <v>73.958333333333329</v>
      </c>
    </row>
    <row r="179" spans="1:10" ht="24" customHeight="1" x14ac:dyDescent="0.5">
      <c r="A179" s="831" t="s">
        <v>211</v>
      </c>
      <c r="B179" s="832"/>
      <c r="C179" s="335"/>
      <c r="D179" s="228" t="s">
        <v>142</v>
      </c>
      <c r="E179" s="95">
        <f>'23'!F179</f>
        <v>33915</v>
      </c>
      <c r="F179" s="155">
        <v>33915</v>
      </c>
      <c r="G179" s="155">
        <f t="shared" ref="G179:G180" si="15">F179-E179</f>
        <v>0</v>
      </c>
      <c r="H179" s="99">
        <f>G179+'23'!H179</f>
        <v>29</v>
      </c>
      <c r="I179" s="155"/>
      <c r="J179" s="178">
        <f>H179/DAY(B2)</f>
        <v>1.2083333333333333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'23'!F180</f>
        <v>5428</v>
      </c>
      <c r="F180" s="155">
        <v>5437</v>
      </c>
      <c r="G180" s="155">
        <f t="shared" si="15"/>
        <v>9</v>
      </c>
      <c r="H180" s="99">
        <f>G180+'23'!H180</f>
        <v>164</v>
      </c>
      <c r="I180" s="155"/>
      <c r="J180" s="178">
        <f>H180/DAY(B2)</f>
        <v>6.833333333333333</v>
      </c>
    </row>
    <row r="181" spans="1:10" ht="27.75" x14ac:dyDescent="0.5">
      <c r="A181" s="872" t="s">
        <v>108</v>
      </c>
      <c r="B181" s="873"/>
      <c r="C181" s="529"/>
      <c r="D181" s="228" t="s">
        <v>142</v>
      </c>
      <c r="E181" s="95"/>
      <c r="F181" s="155"/>
      <c r="G181" s="155">
        <f>SUM(G178:G180)</f>
        <v>108</v>
      </c>
      <c r="H181" s="99">
        <f>G181+'23'!H181</f>
        <v>1968</v>
      </c>
      <c r="I181" s="155"/>
      <c r="J181" s="178">
        <f>H181/DAY(B2)</f>
        <v>82</v>
      </c>
    </row>
    <row r="182" spans="1:10" ht="27.75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'23'!F183</f>
        <v>14817</v>
      </c>
      <c r="F183" s="157">
        <v>14832</v>
      </c>
      <c r="G183" s="157">
        <f>F183-E183</f>
        <v>15</v>
      </c>
      <c r="H183" s="99">
        <f>G183+'23'!H183</f>
        <v>336</v>
      </c>
      <c r="I183" s="155"/>
      <c r="J183" s="178">
        <f>H183/DAY(B2)</f>
        <v>14</v>
      </c>
    </row>
    <row r="184" spans="1:10" ht="27.75" x14ac:dyDescent="0.5">
      <c r="A184" s="831" t="s">
        <v>215</v>
      </c>
      <c r="B184" s="832"/>
      <c r="C184" s="336"/>
      <c r="D184" s="228" t="s">
        <v>142</v>
      </c>
      <c r="E184" s="95">
        <f>'23'!F184</f>
        <v>10240</v>
      </c>
      <c r="F184" s="157">
        <v>10248</v>
      </c>
      <c r="G184" s="157">
        <f t="shared" ref="G184:G185" si="16">F184-E184</f>
        <v>8</v>
      </c>
      <c r="H184" s="99">
        <f>G184+'23'!H184</f>
        <v>217</v>
      </c>
      <c r="I184" s="155"/>
      <c r="J184" s="178">
        <f>H184/DAY(B2)</f>
        <v>9.0416666666666661</v>
      </c>
    </row>
    <row r="185" spans="1:10" ht="26.25" customHeight="1" x14ac:dyDescent="0.5">
      <c r="A185" s="831" t="s">
        <v>216</v>
      </c>
      <c r="B185" s="832"/>
      <c r="C185" s="336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867" t="s">
        <v>196</v>
      </c>
      <c r="B186" s="868"/>
      <c r="C186" s="528"/>
      <c r="D186" s="228" t="s">
        <v>142</v>
      </c>
      <c r="E186" s="95"/>
      <c r="F186" s="157"/>
      <c r="G186" s="157">
        <f>SUM(G183:G185)</f>
        <v>23</v>
      </c>
      <c r="H186" s="99">
        <f>G186+'23'!H186</f>
        <v>553</v>
      </c>
      <c r="I186" s="157"/>
      <c r="J186" s="178">
        <f>H186/DAY(B2)</f>
        <v>23.041666666666668</v>
      </c>
    </row>
    <row r="187" spans="1:10" ht="27.75" x14ac:dyDescent="0.5">
      <c r="A187" s="876" t="s">
        <v>217</v>
      </c>
      <c r="B187" s="877"/>
      <c r="C187" s="335"/>
      <c r="D187" s="230" t="s">
        <v>142</v>
      </c>
      <c r="E187" s="95">
        <f>'23'!F187</f>
        <v>0</v>
      </c>
      <c r="F187" s="159"/>
      <c r="G187" s="506">
        <f>G62+G19</f>
        <v>164</v>
      </c>
      <c r="H187" s="99">
        <f>G187+'23'!H187</f>
        <v>4227</v>
      </c>
      <c r="I187" s="158"/>
      <c r="J187" s="179">
        <f>H187/DAY(B2)</f>
        <v>176.125</v>
      </c>
    </row>
    <row r="188" spans="1:10" ht="27.75" x14ac:dyDescent="0.5">
      <c r="A188" s="876" t="s">
        <v>218</v>
      </c>
      <c r="B188" s="877"/>
      <c r="C188" s="335"/>
      <c r="D188" s="230" t="s">
        <v>142</v>
      </c>
      <c r="E188" s="95">
        <f>'23'!F188</f>
        <v>0</v>
      </c>
      <c r="F188" s="159"/>
      <c r="G188" s="506">
        <f>G65+G66+G67+G69+G70</f>
        <v>162</v>
      </c>
      <c r="H188" s="99">
        <f>G188+'23'!H188</f>
        <v>1708</v>
      </c>
      <c r="I188" s="158"/>
      <c r="J188" s="179">
        <f>H188/DAY(B2)</f>
        <v>71.166666666666671</v>
      </c>
    </row>
    <row r="189" spans="1:10" ht="27.75" x14ac:dyDescent="0.5">
      <c r="A189" s="876" t="s">
        <v>219</v>
      </c>
      <c r="B189" s="877"/>
      <c r="C189" s="335"/>
      <c r="D189" s="230" t="s">
        <v>142</v>
      </c>
      <c r="E189" s="95">
        <f>'23'!F189</f>
        <v>0</v>
      </c>
      <c r="F189" s="157"/>
      <c r="G189" s="503">
        <f>G181</f>
        <v>108</v>
      </c>
      <c r="H189" s="99">
        <f>G189+'23'!H189</f>
        <v>454</v>
      </c>
      <c r="I189" s="158"/>
      <c r="J189" s="179">
        <f>H189/DAY(B2)</f>
        <v>18.916666666666668</v>
      </c>
    </row>
    <row r="190" spans="1:10" ht="27.75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33" zoomScale="55" zoomScaleNormal="49" zoomScaleSheetLayoutView="55" workbookViewId="0">
      <selection activeCell="G159" sqref="G159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357</v>
      </c>
      <c r="B2" s="262">
        <v>44555</v>
      </c>
      <c r="C2" s="350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24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949322</v>
      </c>
      <c r="F7" s="95">
        <v>971217</v>
      </c>
      <c r="G7" s="112">
        <f>F7-E7</f>
        <v>21895</v>
      </c>
      <c r="H7" s="99">
        <f>G7+'24'!H7</f>
        <v>570375</v>
      </c>
      <c r="I7" s="113">
        <f>'1'!I7</f>
        <v>12000</v>
      </c>
      <c r="J7" s="175">
        <f>H7/DAY(B2)</f>
        <v>22815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v>0</v>
      </c>
      <c r="F8" s="666">
        <v>22043</v>
      </c>
      <c r="G8" s="115">
        <f>F8-E8</f>
        <v>22043</v>
      </c>
      <c r="H8" s="99">
        <f>G8+'24'!H8</f>
        <v>577770</v>
      </c>
      <c r="I8" s="116"/>
      <c r="J8" s="175">
        <f>H8/DAY(B2)</f>
        <v>23110.799999999999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2142794</v>
      </c>
      <c r="F9" s="659">
        <v>2161018</v>
      </c>
      <c r="G9" s="112">
        <f>F9-E9</f>
        <v>18224</v>
      </c>
      <c r="H9" s="99">
        <f>G9+'24'!H9</f>
        <v>441920.30000000005</v>
      </c>
      <c r="I9" s="124">
        <f>I7-J7</f>
        <v>-10815</v>
      </c>
      <c r="J9" s="175">
        <f>H9/DAY(B2)</f>
        <v>17676.812000000002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515672</v>
      </c>
      <c r="F10" s="355">
        <v>518725</v>
      </c>
      <c r="G10" s="112">
        <f t="shared" ref="G10:G12" si="0">F10-E10</f>
        <v>3053</v>
      </c>
      <c r="H10" s="99">
        <f>G10+'24'!H10</f>
        <v>112642.57</v>
      </c>
      <c r="I10" s="282"/>
      <c r="J10" s="175">
        <f>H10/DAY(B2)</f>
        <v>4505.7028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37000</v>
      </c>
      <c r="F11" s="95">
        <v>37000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21277</v>
      </c>
      <c r="H13" s="99">
        <f>G13+'24'!H13</f>
        <v>532512</v>
      </c>
      <c r="I13" s="120">
        <f>G7-G13</f>
        <v>618</v>
      </c>
      <c r="J13" s="175">
        <f>H13/DAY(B2)</f>
        <v>21300.48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'24'!F15</f>
        <v>1870862</v>
      </c>
      <c r="F15" s="123">
        <v>1872039</v>
      </c>
      <c r="G15" s="112">
        <f>(F15-E15)</f>
        <v>1177</v>
      </c>
      <c r="H15" s="99">
        <f>G15+'24'!H15</f>
        <v>28891</v>
      </c>
      <c r="I15" s="113">
        <f>'1'!I15</f>
        <v>800</v>
      </c>
      <c r="J15" s="175">
        <f>H15/DAY(B2)</f>
        <v>1155.6400000000001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-355.6400000000001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'24'!F18</f>
        <v>18</v>
      </c>
      <c r="F18" s="122">
        <v>20</v>
      </c>
      <c r="G18" s="119">
        <f>F18*10</f>
        <v>200</v>
      </c>
      <c r="H18" s="99">
        <f>G18+'24'!H18</f>
        <v>5230</v>
      </c>
      <c r="I18" s="113">
        <f>'1'!I18</f>
        <v>65</v>
      </c>
      <c r="J18" s="175">
        <f>H18/DAY(B2)</f>
        <v>209.2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'24'!F19</f>
        <v>151847</v>
      </c>
      <c r="F19" s="122">
        <v>151899</v>
      </c>
      <c r="G19" s="112">
        <f t="shared" ref="G19" si="1">F19-E19</f>
        <v>52</v>
      </c>
      <c r="H19" s="99">
        <f>G19+'24'!H19</f>
        <v>1315</v>
      </c>
      <c r="I19" s="337"/>
      <c r="J19" s="175">
        <f>H19/DAY(B2)</f>
        <v>52.6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252</v>
      </c>
      <c r="H20" s="99">
        <f>G20+'24'!H20</f>
        <v>6545</v>
      </c>
      <c r="I20" s="338">
        <f>I18-J20</f>
        <v>-196.8</v>
      </c>
      <c r="J20" s="175">
        <f>H20/DAY(B2)</f>
        <v>261.8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22043</v>
      </c>
      <c r="F27" s="136">
        <v>9</v>
      </c>
      <c r="G27" s="137">
        <f>E27*F27</f>
        <v>198387</v>
      </c>
      <c r="H27" s="99">
        <f>G27+'24'!H27</f>
        <v>5199930</v>
      </c>
      <c r="I27" s="138"/>
      <c r="J27" s="175">
        <f>H27/DAY(B2)</f>
        <v>207997.2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1177</v>
      </c>
      <c r="F28" s="136">
        <v>52</v>
      </c>
      <c r="G28" s="137">
        <f>E28*F28</f>
        <v>61204</v>
      </c>
      <c r="H28" s="99">
        <f>G28+'24'!H28</f>
        <v>1502332</v>
      </c>
      <c r="I28" s="140"/>
      <c r="J28" s="175">
        <f>H28/DAY(B2)</f>
        <v>60093.279999999999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G30+'24'!H30</f>
        <v>191990</v>
      </c>
      <c r="I30" s="140"/>
      <c r="J30" s="175">
        <f>H30/DAY(B2)</f>
        <v>7679.6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G31+'24'!H31</f>
        <v>418400</v>
      </c>
      <c r="I31" s="140"/>
      <c r="J31" s="175">
        <f>H31/DAY(B2)</f>
        <v>16736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283183</v>
      </c>
      <c r="H32" s="99">
        <f>G32+'24'!H32</f>
        <v>7312652</v>
      </c>
      <c r="I32" s="144"/>
      <c r="J32" s="175">
        <f>H32/DAY(B2)</f>
        <v>292506.08</v>
      </c>
      <c r="K32" s="63"/>
      <c r="L32" s="89"/>
      <c r="N32" s="87"/>
      <c r="O32" s="71"/>
    </row>
    <row r="33" spans="1:15" ht="25.5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139879</v>
      </c>
      <c r="F35" s="145">
        <v>141529</v>
      </c>
      <c r="G35" s="112">
        <f t="shared" ref="G35:G46" si="3">F35-E35</f>
        <v>1650</v>
      </c>
      <c r="H35" s="99">
        <f>G35+'24'!H35</f>
        <v>47994.369999999995</v>
      </c>
      <c r="I35" s="95"/>
      <c r="J35" s="175">
        <f>H35/DAY(B2)</f>
        <v>1919.7747999999999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14922</v>
      </c>
      <c r="F36" s="145">
        <v>16090</v>
      </c>
      <c r="G36" s="112">
        <f t="shared" si="3"/>
        <v>1168</v>
      </c>
      <c r="H36" s="99">
        <f>G36+'24'!H36</f>
        <v>26356.300000000007</v>
      </c>
      <c r="I36" s="95"/>
      <c r="J36" s="175">
        <f>H36/DAY(B2)</f>
        <v>1054.2520000000002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184300</v>
      </c>
      <c r="F37" s="145">
        <v>185932</v>
      </c>
      <c r="G37" s="112">
        <f t="shared" si="3"/>
        <v>1632</v>
      </c>
      <c r="H37" s="99">
        <f>G37+'24'!H37</f>
        <v>40425.260000000009</v>
      </c>
      <c r="I37" s="95"/>
      <c r="J37" s="175">
        <f>H37/DAY(B2)</f>
        <v>1617.0104000000003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219024</v>
      </c>
      <c r="F38" s="108">
        <v>221059</v>
      </c>
      <c r="G38" s="112">
        <f t="shared" si="3"/>
        <v>2035</v>
      </c>
      <c r="H38" s="99">
        <f>G38+'24'!H38</f>
        <v>50054.950000000012</v>
      </c>
      <c r="I38" s="95"/>
      <c r="J38" s="175">
        <f>H38/DAY(B2)</f>
        <v>2002.1980000000005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391702</v>
      </c>
      <c r="F39" s="145">
        <v>394552</v>
      </c>
      <c r="G39" s="112">
        <f t="shared" si="3"/>
        <v>2850</v>
      </c>
      <c r="H39" s="99">
        <f>G39+'24'!H39</f>
        <v>72888.710000000021</v>
      </c>
      <c r="I39" s="95"/>
      <c r="J39" s="175">
        <f>H39/DAY(B2)</f>
        <v>2915.548400000001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2406</v>
      </c>
      <c r="F40" s="145">
        <v>2887</v>
      </c>
      <c r="G40" s="112">
        <f t="shared" si="3"/>
        <v>481</v>
      </c>
      <c r="H40" s="99">
        <f>G40+'24'!H40</f>
        <v>3315.9300000000003</v>
      </c>
      <c r="I40" s="95"/>
      <c r="J40" s="175">
        <f>H40/DAY(B2)</f>
        <v>132.63720000000001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0</v>
      </c>
      <c r="F41" s="145">
        <v>0</v>
      </c>
      <c r="G41" s="112">
        <f t="shared" si="3"/>
        <v>0</v>
      </c>
      <c r="H41" s="99">
        <f>G41+'24'!H41</f>
        <v>9386.2900000000373</v>
      </c>
      <c r="I41" s="95"/>
      <c r="J41" s="175">
        <f>H41/DAY(B2)</f>
        <v>375.45160000000146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48063</v>
      </c>
      <c r="F42" s="145">
        <v>53055</v>
      </c>
      <c r="G42" s="112">
        <f t="shared" si="3"/>
        <v>4992</v>
      </c>
      <c r="H42" s="99">
        <f>G42+'24'!H42</f>
        <v>94661.010000000009</v>
      </c>
      <c r="I42" s="95"/>
      <c r="J42" s="175">
        <f>H42/DAY(B2)</f>
        <v>3786.4404000000004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28980</v>
      </c>
      <c r="F43" s="145">
        <v>31665</v>
      </c>
      <c r="G43" s="112">
        <f t="shared" si="3"/>
        <v>2685</v>
      </c>
      <c r="H43" s="99">
        <f>G43+'24'!H43</f>
        <v>67747.399999999907</v>
      </c>
      <c r="I43" s="95"/>
      <c r="J43" s="175">
        <f>H43/DAY(B2)</f>
        <v>2709.8959999999961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17493</v>
      </c>
      <c r="H47" s="99">
        <f>G47+'24'!H47</f>
        <v>412830.22</v>
      </c>
      <c r="I47" s="95"/>
      <c r="J47" s="175">
        <f>H47/DAY(B2)</f>
        <v>16513.2088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261805</v>
      </c>
      <c r="F49" s="145">
        <v>263398</v>
      </c>
      <c r="G49" s="112">
        <f t="shared" ref="G49:G58" si="4">F49-E49</f>
        <v>1593</v>
      </c>
      <c r="H49" s="99">
        <f>G49+'24'!H49</f>
        <v>42884.670000000013</v>
      </c>
      <c r="I49" s="95"/>
      <c r="J49" s="175">
        <f>H49/DAY(B2)</f>
        <v>1715.3868000000004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16307</v>
      </c>
      <c r="F50" s="145">
        <v>17700</v>
      </c>
      <c r="G50" s="112">
        <f t="shared" si="4"/>
        <v>1393</v>
      </c>
      <c r="H50" s="99">
        <f>G50+'24'!H50</f>
        <v>33551.810000000063</v>
      </c>
      <c r="I50" s="95"/>
      <c r="J50" s="175">
        <f>H50/DAY(B2)</f>
        <v>1342.0724000000025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3153</v>
      </c>
      <c r="F54" s="145">
        <v>3157</v>
      </c>
      <c r="G54" s="112">
        <f t="shared" si="4"/>
        <v>4</v>
      </c>
      <c r="H54" s="99">
        <f>G54+'24'!H54</f>
        <v>125.7199999999998</v>
      </c>
      <c r="I54" s="95"/>
      <c r="J54" s="175">
        <f>H54/DAY(B2)</f>
        <v>5.0287999999999924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0</v>
      </c>
      <c r="F55" s="145">
        <v>0</v>
      </c>
      <c r="G55" s="112">
        <f t="shared" si="4"/>
        <v>0</v>
      </c>
      <c r="H55" s="99">
        <f>G55+'24'!H55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8610.5400000000009</v>
      </c>
      <c r="F56" s="145">
        <v>8610.5400000000009</v>
      </c>
      <c r="G56" s="112">
        <f t="shared" si="4"/>
        <v>0</v>
      </c>
      <c r="H56" s="99">
        <f>G56+'24'!H56</f>
        <v>30160.589999999986</v>
      </c>
      <c r="I56" s="95"/>
      <c r="J56" s="175">
        <f>H56/DAY(B2)</f>
        <v>1206.4235999999994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90799</v>
      </c>
      <c r="F58" s="145">
        <v>91011</v>
      </c>
      <c r="G58" s="112">
        <f t="shared" si="4"/>
        <v>212</v>
      </c>
      <c r="H58" s="99">
        <f>G58+'24'!H58</f>
        <v>5686.1499999999942</v>
      </c>
      <c r="I58" s="95"/>
      <c r="J58" s="175">
        <f>H58/DAY(B2)</f>
        <v>227.44599999999977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3202</v>
      </c>
      <c r="H59" s="99">
        <f>G59+'24'!H59</f>
        <v>112408.94000000006</v>
      </c>
      <c r="I59" s="95">
        <f>G7-G60</f>
        <v>1200</v>
      </c>
      <c r="J59" s="175">
        <f>H59/DAY(B2)</f>
        <v>4496.3576000000021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20695</v>
      </c>
      <c r="H60" s="99">
        <f>G60+'24'!H60</f>
        <v>525239.16000000015</v>
      </c>
      <c r="I60" s="95">
        <f>G13-G60</f>
        <v>582</v>
      </c>
      <c r="J60" s="175">
        <f>H60/DAY(B2)</f>
        <v>21009.566400000007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'24'!F62</f>
        <v>266429</v>
      </c>
      <c r="F62" s="122">
        <v>266550</v>
      </c>
      <c r="G62" s="112">
        <f t="shared" ref="G62:G63" si="5">F62-E62</f>
        <v>121</v>
      </c>
      <c r="H62" s="99">
        <f>G62+'24'!H62</f>
        <v>3085</v>
      </c>
      <c r="I62" s="118"/>
      <c r="J62" s="175">
        <f>H62/DAY(B2)</f>
        <v>123.4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'24'!F63</f>
        <v>211785</v>
      </c>
      <c r="F63" s="122">
        <v>211910</v>
      </c>
      <c r="G63" s="112">
        <f t="shared" si="5"/>
        <v>125</v>
      </c>
      <c r="H63" s="99">
        <f>G63+'24'!H63</f>
        <v>2535</v>
      </c>
      <c r="I63" s="118"/>
      <c r="J63" s="175">
        <f>H63/DAY(B2)</f>
        <v>101.4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'24'!F64</f>
        <v>0</v>
      </c>
      <c r="F64" s="122"/>
      <c r="G64" s="112">
        <f>G62+G63</f>
        <v>246</v>
      </c>
      <c r="H64" s="99">
        <f>G64+'24'!H64</f>
        <v>5620</v>
      </c>
      <c r="I64" s="118"/>
      <c r="J64" s="175">
        <f>H64/DAY(B2)</f>
        <v>224.8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'24'!F65</f>
        <v>431876</v>
      </c>
      <c r="F65" s="122">
        <v>431967</v>
      </c>
      <c r="G65" s="112">
        <f t="shared" ref="G65:G70" si="6">F65-E65</f>
        <v>91</v>
      </c>
      <c r="H65" s="99">
        <f>G65+'24'!H65</f>
        <v>2604</v>
      </c>
      <c r="I65" s="118"/>
      <c r="J65" s="175">
        <f>H65/DAY(B2)</f>
        <v>104.16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'24'!F66</f>
        <v>107070</v>
      </c>
      <c r="F66" s="122">
        <v>107094</v>
      </c>
      <c r="G66" s="112">
        <f t="shared" si="6"/>
        <v>24</v>
      </c>
      <c r="H66" s="99">
        <f>G66+'24'!H66</f>
        <v>495</v>
      </c>
      <c r="I66" s="118"/>
      <c r="J66" s="175">
        <f>H66/DAY(B2)</f>
        <v>19.8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'24'!F67</f>
        <v>103711</v>
      </c>
      <c r="F67" s="122">
        <v>103749</v>
      </c>
      <c r="G67" s="112">
        <f t="shared" si="6"/>
        <v>38</v>
      </c>
      <c r="H67" s="99">
        <f>G67+'24'!H67</f>
        <v>738</v>
      </c>
      <c r="I67" s="118"/>
      <c r="J67" s="175">
        <f>H67/DAY(B2)</f>
        <v>29.52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'24'!F68</f>
        <v>156386</v>
      </c>
      <c r="F68" s="122">
        <v>156414</v>
      </c>
      <c r="G68" s="112">
        <f t="shared" si="6"/>
        <v>28</v>
      </c>
      <c r="H68" s="99">
        <f>G68+'24'!H68</f>
        <v>974</v>
      </c>
      <c r="I68" s="118"/>
      <c r="J68" s="175">
        <f>H68/DAY(B2)</f>
        <v>38.96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'24'!F69</f>
        <v>10118</v>
      </c>
      <c r="F69" s="122">
        <v>10132</v>
      </c>
      <c r="G69" s="112">
        <f t="shared" si="6"/>
        <v>14</v>
      </c>
      <c r="H69" s="99">
        <f>G69+'24'!H69</f>
        <v>289</v>
      </c>
      <c r="I69" s="118"/>
      <c r="J69" s="175">
        <f>H69/DAY(B2)</f>
        <v>11.56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'24'!F70</f>
        <v>7801</v>
      </c>
      <c r="F70" s="122">
        <v>7811</v>
      </c>
      <c r="G70" s="112">
        <f t="shared" si="6"/>
        <v>10</v>
      </c>
      <c r="H70" s="99">
        <f>G70+'24'!H70</f>
        <v>269</v>
      </c>
      <c r="I70" s="118"/>
      <c r="J70" s="175">
        <f>H70/DAY(B2)</f>
        <v>10.76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205</v>
      </c>
      <c r="H71" s="99">
        <f>G71+'24'!H71</f>
        <v>5369</v>
      </c>
      <c r="I71" s="154"/>
      <c r="J71" s="175">
        <f>H71/DAY(B2)</f>
        <v>214.76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'24'!F74</f>
        <v>889828</v>
      </c>
      <c r="F74" s="123">
        <v>890157</v>
      </c>
      <c r="G74" s="112">
        <f t="shared" ref="G74:G78" si="7">F74-E74</f>
        <v>329</v>
      </c>
      <c r="H74" s="99">
        <f>G74+'24'!H74</f>
        <v>7903.9510000000009</v>
      </c>
      <c r="I74" s="154"/>
      <c r="J74" s="175">
        <f>H74/DAY(B2)</f>
        <v>316.15804000000003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243.88999999999942</v>
      </c>
      <c r="I75" s="154"/>
      <c r="J75" s="175">
        <f>H75/DAY(B2)</f>
        <v>9.7555999999999763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'24'!F76</f>
        <v>166459</v>
      </c>
      <c r="F76" s="123">
        <v>166582</v>
      </c>
      <c r="G76" s="112">
        <f t="shared" si="7"/>
        <v>123</v>
      </c>
      <c r="H76" s="99">
        <f>G76+'24'!H76</f>
        <v>3198</v>
      </c>
      <c r="I76" s="154"/>
      <c r="J76" s="175">
        <f>H76/DAY(B2)</f>
        <v>127.92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'24'!F77</f>
        <v>39983</v>
      </c>
      <c r="F77" s="232">
        <v>40066</v>
      </c>
      <c r="G77" s="112">
        <f t="shared" si="7"/>
        <v>83</v>
      </c>
      <c r="H77" s="99">
        <f>G77+'24'!H77</f>
        <v>1256</v>
      </c>
      <c r="I77" s="154"/>
      <c r="J77" s="175">
        <f>H77/DAY(B2)</f>
        <v>50.24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'24'!F78</f>
        <v>9472</v>
      </c>
      <c r="F78" s="123">
        <v>9476</v>
      </c>
      <c r="G78" s="112">
        <f t="shared" si="7"/>
        <v>4</v>
      </c>
      <c r="H78" s="99">
        <f>G78+'24'!H78</f>
        <v>64</v>
      </c>
      <c r="I78" s="118"/>
      <c r="J78" s="175">
        <f>H78/DAY(B2)</f>
        <v>2.56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'24'!F79</f>
        <v>0</v>
      </c>
      <c r="F79" s="117"/>
      <c r="G79" s="112">
        <f>G15-SUM(G74:G78)</f>
        <v>638</v>
      </c>
      <c r="H79" s="99">
        <f>G79+'24'!H79</f>
        <v>16225.159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1177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'24'!F84</f>
        <v>41675.4</v>
      </c>
      <c r="F84" s="164">
        <v>41675.4</v>
      </c>
      <c r="G84" s="112">
        <f t="shared" si="8"/>
        <v>0</v>
      </c>
      <c r="H84" s="99">
        <f>G84+'24'!H84</f>
        <v>46.840000000003783</v>
      </c>
      <c r="I84" s="118"/>
      <c r="J84" s="175">
        <f>H84/DAY(B2)</f>
        <v>1.8736000000001514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'24'!F85</f>
        <v>1964</v>
      </c>
      <c r="F85" s="164">
        <v>1988</v>
      </c>
      <c r="G85" s="112">
        <f t="shared" si="8"/>
        <v>24</v>
      </c>
      <c r="H85" s="99">
        <f>G85+'24'!H85</f>
        <v>484.44000000000005</v>
      </c>
      <c r="I85" s="118">
        <f>G82+G83+G84+G85</f>
        <v>24</v>
      </c>
      <c r="J85" s="175">
        <f>H85/DAY(B2)</f>
        <v>19.377600000000001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'24'!F86</f>
        <v>42826.47</v>
      </c>
      <c r="F86" s="164">
        <v>42826.47</v>
      </c>
      <c r="G86" s="112">
        <f t="shared" si="8"/>
        <v>0</v>
      </c>
      <c r="H86" s="99">
        <f>G86+'24'!H86</f>
        <v>0.47000000000116415</v>
      </c>
      <c r="I86" s="118"/>
      <c r="J86" s="175">
        <f>H86/DAY(B2)</f>
        <v>1.8800000000046568E-2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'24'!F87</f>
        <v>34598.550000000003</v>
      </c>
      <c r="F87" s="164">
        <v>34598.550000000003</v>
      </c>
      <c r="G87" s="112">
        <f t="shared" si="8"/>
        <v>0</v>
      </c>
      <c r="H87" s="99">
        <f>G87+'24'!H87</f>
        <v>178.15000000000146</v>
      </c>
      <c r="I87" s="118"/>
      <c r="J87" s="175">
        <f>H87/DAY(B2)</f>
        <v>7.1260000000000581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'24'!F88</f>
        <v>24007.97</v>
      </c>
      <c r="F88" s="164">
        <v>24017</v>
      </c>
      <c r="G88" s="112">
        <f t="shared" si="8"/>
        <v>9.0299999999988358</v>
      </c>
      <c r="H88" s="99">
        <f>G88+'24'!H88</f>
        <v>64.509999999998399</v>
      </c>
      <c r="I88" s="118">
        <f>G86+G87+G88</f>
        <v>9.0299999999988358</v>
      </c>
      <c r="J88" s="175">
        <f>H88/DAY(B2)</f>
        <v>2.5803999999999361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'24'!F89</f>
        <v>25634</v>
      </c>
      <c r="F89" s="164">
        <v>25634</v>
      </c>
      <c r="G89" s="112">
        <f t="shared" si="8"/>
        <v>0</v>
      </c>
      <c r="H89" s="99">
        <f>G89+'24'!H89</f>
        <v>206.5099999999984</v>
      </c>
      <c r="I89" s="118"/>
      <c r="J89" s="175">
        <f>H89/DAY(B2)</f>
        <v>8.2603999999999367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'24'!F90</f>
        <v>70991.8</v>
      </c>
      <c r="F90" s="164">
        <v>70999.649999999994</v>
      </c>
      <c r="G90" s="112">
        <f t="shared" si="8"/>
        <v>7.8499999999912689</v>
      </c>
      <c r="H90" s="99">
        <f>G90+'24'!H90</f>
        <v>171.3799999999901</v>
      </c>
      <c r="I90" s="118">
        <f>G89+G90</f>
        <v>7.8499999999912689</v>
      </c>
      <c r="J90" s="175">
        <f>H90/DAY(B2)</f>
        <v>6.8551999999996038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'24'!F92</f>
        <v>5361</v>
      </c>
      <c r="F92" s="122">
        <v>5373</v>
      </c>
      <c r="G92" s="112">
        <f t="shared" si="8"/>
        <v>12</v>
      </c>
      <c r="H92" s="99">
        <f>G92+'24'!H92</f>
        <v>277.10000000000036</v>
      </c>
      <c r="I92" s="165"/>
      <c r="J92" s="175">
        <f>H92/DAY(B2)</f>
        <v>11.084000000000014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5928</v>
      </c>
      <c r="H94" s="99">
        <f>G94+'24'!H94</f>
        <v>158626.43999999992</v>
      </c>
      <c r="I94" s="118"/>
      <c r="J94" s="175">
        <f>H94/DAY(B2)</f>
        <v>6345.0575999999965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0.27074674583238184</v>
      </c>
      <c r="H95" s="99">
        <f>G95+'24'!H95</f>
        <v>6.9583089826972975</v>
      </c>
      <c r="I95" s="167"/>
      <c r="J95" s="175">
        <f>H95/DAY(B2)</f>
        <v>0.27833235930789191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4992</v>
      </c>
      <c r="H96" s="99">
        <f>G96+'24'!H96</f>
        <v>134207.89000000001</v>
      </c>
      <c r="I96" s="118"/>
      <c r="J96" s="175">
        <f>H96/DAY(B2)</f>
        <v>5368.3156000000008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0.22799725964832154</v>
      </c>
      <c r="H97" s="99">
        <f>G97+'24'!H97</f>
        <v>5.865118655316623</v>
      </c>
      <c r="I97" s="167"/>
      <c r="J97" s="175">
        <f>H97/DAY(B2)</f>
        <v>0.23460474621266492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2850</v>
      </c>
      <c r="H98" s="99">
        <f>G98+'24'!H98</f>
        <v>72888.710000000021</v>
      </c>
      <c r="I98" s="168"/>
      <c r="J98" s="175">
        <f>H98/DAY(B2)</f>
        <v>2915.548400000001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0.13016670472710665</v>
      </c>
      <c r="H99" s="99">
        <f>G99+'24'!H99</f>
        <v>3.2022985338953638</v>
      </c>
      <c r="I99" s="168"/>
      <c r="J99" s="175">
        <f>H99/DAY(B2)</f>
        <v>0.12809194135581456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2035</v>
      </c>
      <c r="H100" s="99">
        <f>G100+'24'!H100</f>
        <v>50054.950000000012</v>
      </c>
      <c r="I100" s="118"/>
      <c r="J100" s="175">
        <f>H100/DAY(B2)</f>
        <v>2002.1980000000005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9.2943594427951581E-2</v>
      </c>
      <c r="H101" s="99">
        <f>G101+'24'!H101</f>
        <v>2.1995338754794642</v>
      </c>
      <c r="I101" s="168"/>
      <c r="J101" s="175">
        <f>H101/DAY(B2)</f>
        <v>8.7981355019178573E-2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2561</v>
      </c>
      <c r="H102" s="99">
        <f>G102+'24'!H102</f>
        <v>59908.110000000059</v>
      </c>
      <c r="I102" s="168"/>
      <c r="J102" s="175">
        <f>H102/DAY(B2)</f>
        <v>2396.3244000000022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0.11696734414249829</v>
      </c>
      <c r="H103" s="99">
        <f>G103+'24'!H103</f>
        <v>2.6235877659389883</v>
      </c>
      <c r="I103" s="118"/>
      <c r="J103" s="175">
        <f>H103/DAY(B2)</f>
        <v>0.10494351063755954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1632</v>
      </c>
      <c r="H104" s="99">
        <f>G104+'24'!H104</f>
        <v>40425.260000000009</v>
      </c>
      <c r="I104" s="118"/>
      <c r="J104" s="175">
        <f>H104/DAY(B2)</f>
        <v>1617.0104000000003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7.4537565654258967E-2</v>
      </c>
      <c r="H105" s="99">
        <f>G105+'24'!H105</f>
        <v>1.7781630589865427</v>
      </c>
      <c r="I105" s="187"/>
      <c r="J105" s="188">
        <f>H105/DAY(B2)</f>
        <v>7.1126522359461708E-2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'24'!F112</f>
        <v>55191</v>
      </c>
      <c r="F112" s="237">
        <v>55261</v>
      </c>
      <c r="G112" s="112">
        <f t="shared" ref="G112:G123" si="9">F112-E112</f>
        <v>70</v>
      </c>
      <c r="H112" s="99">
        <f>G112+'24'!H112</f>
        <v>1908.989999999998</v>
      </c>
      <c r="I112" s="165"/>
      <c r="J112" s="330">
        <f>H112/DAY(B2)</f>
        <v>76.359599999999915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'24'!F113</f>
        <v>29010</v>
      </c>
      <c r="F113" s="237">
        <v>29469</v>
      </c>
      <c r="G113" s="112">
        <f t="shared" si="9"/>
        <v>459</v>
      </c>
      <c r="H113" s="99">
        <f>G113+'24'!H113</f>
        <v>11512.470000000001</v>
      </c>
      <c r="I113" s="165"/>
      <c r="J113" s="330">
        <f>H113/DAY(B2)</f>
        <v>460.49880000000007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'24'!F114</f>
        <v>22647</v>
      </c>
      <c r="F114" s="237">
        <v>23051</v>
      </c>
      <c r="G114" s="112">
        <f t="shared" si="9"/>
        <v>404</v>
      </c>
      <c r="H114" s="99">
        <f>G114+'24'!H114</f>
        <v>8966.7199999999975</v>
      </c>
      <c r="I114" s="165"/>
      <c r="J114" s="330">
        <f>H114/DAY(B2)</f>
        <v>358.66879999999992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'24'!F115</f>
        <v>8699</v>
      </c>
      <c r="F115" s="237">
        <v>8716</v>
      </c>
      <c r="G115" s="112">
        <f t="shared" si="9"/>
        <v>17</v>
      </c>
      <c r="H115" s="99">
        <f>G115+'24'!H115</f>
        <v>292.31999999999971</v>
      </c>
      <c r="I115" s="165"/>
      <c r="J115" s="330">
        <f>H115/DAY(B2)</f>
        <v>11.692799999999988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30">
        <f>H116/DAY(B2)</f>
        <v>0</v>
      </c>
      <c r="Q116" s="839"/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'24'!F117</f>
        <v>2412</v>
      </c>
      <c r="F117" s="237">
        <v>2444</v>
      </c>
      <c r="G117" s="112">
        <f t="shared" si="9"/>
        <v>32</v>
      </c>
      <c r="H117" s="99">
        <f>G117+'24'!H117</f>
        <v>502.92000000000007</v>
      </c>
      <c r="I117" s="165"/>
      <c r="J117" s="330">
        <f>H117/DAY(B2)</f>
        <v>20.116800000000001</v>
      </c>
      <c r="Q117" s="839"/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'24'!F118</f>
        <v>238965</v>
      </c>
      <c r="F118" s="237">
        <v>239308</v>
      </c>
      <c r="G118" s="112">
        <f t="shared" si="9"/>
        <v>343</v>
      </c>
      <c r="H118" s="99">
        <f>G118+'24'!H118</f>
        <v>9470.2699999999895</v>
      </c>
      <c r="I118" s="165"/>
      <c r="J118" s="330">
        <f>H118/DAY(B2)</f>
        <v>378.81079999999957</v>
      </c>
      <c r="Q118" s="839"/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'24'!F119</f>
        <v>242198</v>
      </c>
      <c r="F119" s="237">
        <v>242623</v>
      </c>
      <c r="G119" s="112">
        <f t="shared" si="9"/>
        <v>425</v>
      </c>
      <c r="H119" s="99">
        <f>G119+'24'!H119</f>
        <v>10896.470000000001</v>
      </c>
      <c r="I119" s="165"/>
      <c r="J119" s="330">
        <f>H119/DAY(B2)</f>
        <v>435.85880000000003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'24'!F120</f>
        <v>27196</v>
      </c>
      <c r="F120" s="237">
        <v>27612</v>
      </c>
      <c r="G120" s="112">
        <f t="shared" si="9"/>
        <v>416</v>
      </c>
      <c r="H120" s="99">
        <f>G120+'24'!H120</f>
        <v>10426.68</v>
      </c>
      <c r="I120" s="165"/>
      <c r="J120" s="330">
        <f>H120/DAY(B2)</f>
        <v>417.06720000000001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'24'!F121</f>
        <v>371027</v>
      </c>
      <c r="F121" s="237">
        <v>371856</v>
      </c>
      <c r="G121" s="112">
        <f t="shared" si="9"/>
        <v>829</v>
      </c>
      <c r="H121" s="99">
        <f>G121+'24'!H121</f>
        <v>18801.770000000019</v>
      </c>
      <c r="I121" s="165"/>
      <c r="J121" s="330">
        <f>H121/DAY(B2)</f>
        <v>752.07080000000076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'24'!F122</f>
        <v>118488</v>
      </c>
      <c r="F122" s="237">
        <v>118690</v>
      </c>
      <c r="G122" s="112">
        <f t="shared" si="9"/>
        <v>202</v>
      </c>
      <c r="H122" s="99">
        <f>G122+'24'!H122</f>
        <v>7680.2100000000064</v>
      </c>
      <c r="I122" s="165"/>
      <c r="J122" s="330">
        <f>H122/DAY(B2)</f>
        <v>307.20840000000027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'24'!F123</f>
        <v>142703</v>
      </c>
      <c r="F123" s="237">
        <v>143063</v>
      </c>
      <c r="G123" s="112">
        <f t="shared" si="9"/>
        <v>360</v>
      </c>
      <c r="H123" s="99">
        <f>G123+'24'!H123</f>
        <v>8697</v>
      </c>
      <c r="I123" s="165"/>
      <c r="J123" s="330">
        <f>H123/DAY(B2)</f>
        <v>347.88</v>
      </c>
    </row>
    <row r="124" spans="1:18" ht="29.25" customHeight="1" x14ac:dyDescent="0.5">
      <c r="A124" s="864"/>
      <c r="B124" s="865"/>
      <c r="C124" s="866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3557</v>
      </c>
      <c r="H125" s="156"/>
      <c r="I125" s="329">
        <f>G125-(G39+G53)</f>
        <v>707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G127+'24'!H127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'24'!F128</f>
        <v>35649</v>
      </c>
      <c r="F128" s="155">
        <v>35990</v>
      </c>
      <c r="G128" s="112">
        <f t="shared" ref="G128:G134" si="10">F128-E128</f>
        <v>341</v>
      </c>
      <c r="H128" s="99">
        <f>G128+'24'!H128</f>
        <v>8385.630000000001</v>
      </c>
      <c r="I128" s="165"/>
      <c r="J128" s="330">
        <f>H128/DAY(B2)</f>
        <v>335.42520000000002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'24'!F129</f>
        <v>18793</v>
      </c>
      <c r="F129" s="155">
        <v>19024</v>
      </c>
      <c r="G129" s="112">
        <f t="shared" si="10"/>
        <v>231</v>
      </c>
      <c r="H129" s="99">
        <f>G129+'24'!H129</f>
        <v>6276.41</v>
      </c>
      <c r="I129" s="165"/>
      <c r="J129" s="330">
        <f>H129/DAY(B2)</f>
        <v>251.0564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'24'!F130</f>
        <v>12830</v>
      </c>
      <c r="F130" s="155">
        <v>13552</v>
      </c>
      <c r="G130" s="112">
        <f t="shared" si="10"/>
        <v>722</v>
      </c>
      <c r="H130" s="99">
        <f>G130+'24'!H130</f>
        <v>11494.89</v>
      </c>
      <c r="I130" s="165"/>
      <c r="J130" s="330">
        <f>H130/DAY(B2)</f>
        <v>459.79559999999998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'24'!F131</f>
        <v>12511</v>
      </c>
      <c r="F131" s="155">
        <v>12601</v>
      </c>
      <c r="G131" s="112">
        <f t="shared" si="10"/>
        <v>90</v>
      </c>
      <c r="H131" s="99">
        <f>G131+'24'!H131</f>
        <v>3431.6499999999996</v>
      </c>
      <c r="I131" s="165"/>
      <c r="J131" s="330">
        <f>H131/DAY(B2)</f>
        <v>137.26599999999999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'24'!F132</f>
        <v>37692</v>
      </c>
      <c r="F132" s="155">
        <v>38204</v>
      </c>
      <c r="G132" s="112">
        <f t="shared" si="10"/>
        <v>512</v>
      </c>
      <c r="H132" s="99">
        <f>G132+'24'!H132</f>
        <v>10410.639999999996</v>
      </c>
      <c r="I132" s="165"/>
      <c r="J132" s="330">
        <f>H132/DAY(B2)</f>
        <v>416.4255999999998</v>
      </c>
    </row>
    <row r="133" spans="1:15" ht="27.75" x14ac:dyDescent="0.5">
      <c r="A133" s="839" t="s">
        <v>363</v>
      </c>
      <c r="B133" s="840"/>
      <c r="C133" s="841"/>
      <c r="D133" s="151" t="s">
        <v>183</v>
      </c>
      <c r="E133" s="95">
        <f>'24'!F133</f>
        <v>83070</v>
      </c>
      <c r="F133" s="155">
        <v>83772</v>
      </c>
      <c r="G133" s="112">
        <f t="shared" si="10"/>
        <v>702</v>
      </c>
      <c r="H133" s="99">
        <f>G133+'24'!H133</f>
        <v>20297.580000000002</v>
      </c>
      <c r="I133" s="165"/>
      <c r="J133" s="330">
        <f>H133/DAY(B2)</f>
        <v>811.90320000000008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'24'!F134</f>
        <v>664602</v>
      </c>
      <c r="F134" s="155">
        <v>665129</v>
      </c>
      <c r="G134" s="112">
        <f t="shared" si="10"/>
        <v>527</v>
      </c>
      <c r="H134" s="99">
        <f>G134+'24'!H134</f>
        <v>13922</v>
      </c>
      <c r="I134" s="165"/>
      <c r="J134" s="330">
        <f>H134/DAY(B2)</f>
        <v>556.88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3125</v>
      </c>
      <c r="H135" s="99">
        <f>G135+'23'!H135</f>
        <v>35456.21</v>
      </c>
      <c r="I135" s="329">
        <f>G135-(G35+G49)</f>
        <v>-118</v>
      </c>
      <c r="J135" s="330"/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'24'!F138</f>
        <v>863387</v>
      </c>
      <c r="F138" s="147">
        <v>863524</v>
      </c>
      <c r="G138" s="112">
        <f t="shared" ref="G138:G152" si="11">F138-E138</f>
        <v>137</v>
      </c>
      <c r="H138" s="99">
        <f>G138+'24'!H138</f>
        <v>2262</v>
      </c>
      <c r="I138" s="118"/>
      <c r="J138" s="330">
        <f>H138/DAY(B2)</f>
        <v>90.48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'24'!F139</f>
        <v>886484</v>
      </c>
      <c r="F139" s="148">
        <v>886523</v>
      </c>
      <c r="G139" s="112">
        <f t="shared" si="11"/>
        <v>39</v>
      </c>
      <c r="H139" s="99">
        <f>G139+'24'!H139</f>
        <v>324</v>
      </c>
      <c r="I139" s="118"/>
      <c r="J139" s="330">
        <f>H139/DAY(B2)</f>
        <v>12.96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'24'!F140</f>
        <v>88882</v>
      </c>
      <c r="F140" s="149">
        <v>88882</v>
      </c>
      <c r="G140" s="112">
        <f t="shared" si="11"/>
        <v>0</v>
      </c>
      <c r="H140" s="99">
        <f>G140+'24'!H140</f>
        <v>33</v>
      </c>
      <c r="I140" s="118"/>
      <c r="J140" s="330">
        <f>H140/DAY(B2)</f>
        <v>1.32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'24'!F141</f>
        <v>47929</v>
      </c>
      <c r="F141" s="149">
        <v>48151</v>
      </c>
      <c r="G141" s="112">
        <f t="shared" si="11"/>
        <v>222</v>
      </c>
      <c r="H141" s="99">
        <f>G141+'24'!H141</f>
        <v>5024.2699999999968</v>
      </c>
      <c r="I141" s="118"/>
      <c r="J141" s="330">
        <f>H141/DAY(B2)</f>
        <v>200.97079999999988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'24'!F142</f>
        <v>18476</v>
      </c>
      <c r="F142" s="148">
        <v>18558</v>
      </c>
      <c r="G142" s="112">
        <f t="shared" si="11"/>
        <v>82</v>
      </c>
      <c r="H142" s="99">
        <f>G142+'24'!H142</f>
        <v>1097.5</v>
      </c>
      <c r="I142" s="140"/>
      <c r="J142" s="330">
        <f>H142/DAY(B2)</f>
        <v>43.9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'24'!F143</f>
        <v>2900</v>
      </c>
      <c r="F143" s="149">
        <v>2924</v>
      </c>
      <c r="G143" s="112">
        <f t="shared" si="11"/>
        <v>24</v>
      </c>
      <c r="H143" s="99">
        <f>G143+'24'!H143</f>
        <v>722.59999999999991</v>
      </c>
      <c r="I143" s="140"/>
      <c r="J143" s="330">
        <f>H143/DAY(B2)</f>
        <v>28.903999999999996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'24'!F144</f>
        <v>867996</v>
      </c>
      <c r="F144" s="149">
        <v>868238</v>
      </c>
      <c r="G144" s="112">
        <f t="shared" si="11"/>
        <v>242</v>
      </c>
      <c r="H144" s="99">
        <f>G144+'24'!H144</f>
        <v>5843</v>
      </c>
      <c r="I144" s="140"/>
      <c r="J144" s="330">
        <f>H144/DAY(B2)</f>
        <v>233.72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'24'!F145</f>
        <v>4459</v>
      </c>
      <c r="F145" s="149">
        <v>4474</v>
      </c>
      <c r="G145" s="112">
        <f t="shared" si="11"/>
        <v>15</v>
      </c>
      <c r="H145" s="99">
        <f>G145+'24'!H145</f>
        <v>1055</v>
      </c>
      <c r="I145" s="140"/>
      <c r="J145" s="330">
        <f>H145/DAY(B2)</f>
        <v>42.2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'24'!F146</f>
        <v>721410</v>
      </c>
      <c r="F146" s="148">
        <v>722039</v>
      </c>
      <c r="G146" s="112">
        <f t="shared" si="11"/>
        <v>629</v>
      </c>
      <c r="H146" s="99">
        <f>G146+'24'!H146</f>
        <v>11154</v>
      </c>
      <c r="I146" s="140"/>
      <c r="J146" s="330">
        <f>H146/DAY(B2)</f>
        <v>446.16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'24'!F147</f>
        <v>612294</v>
      </c>
      <c r="F147" s="148">
        <v>612768</v>
      </c>
      <c r="G147" s="112">
        <f t="shared" si="11"/>
        <v>474</v>
      </c>
      <c r="H147" s="99">
        <f>G147+'24'!H147</f>
        <v>10782.959999999963</v>
      </c>
      <c r="I147" s="140"/>
      <c r="J147" s="330">
        <f>H147/DAY(B2)</f>
        <v>431.31839999999852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'24'!F148</f>
        <v>680925</v>
      </c>
      <c r="F148" s="532">
        <v>681323</v>
      </c>
      <c r="G148" s="112">
        <f t="shared" si="11"/>
        <v>398</v>
      </c>
      <c r="H148" s="99">
        <f>G148+'24'!H148</f>
        <v>7533.3199999999488</v>
      </c>
      <c r="I148" s="124"/>
      <c r="J148" s="330">
        <f>H148/DAY(B2)</f>
        <v>301.33279999999797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'24'!F149</f>
        <v>6843</v>
      </c>
      <c r="F149" s="146">
        <v>7419</v>
      </c>
      <c r="G149" s="112">
        <f t="shared" si="11"/>
        <v>576</v>
      </c>
      <c r="H149" s="99">
        <f>G149+'24'!H149</f>
        <v>99637</v>
      </c>
      <c r="I149" s="119"/>
      <c r="J149" s="330">
        <f>H149/DAY(B2)</f>
        <v>3985.48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'24'!F150</f>
        <v>2464</v>
      </c>
      <c r="F150" s="233">
        <v>2697</v>
      </c>
      <c r="G150" s="112">
        <f t="shared" si="11"/>
        <v>233</v>
      </c>
      <c r="H150" s="99">
        <f>G150+'24'!H150</f>
        <v>2505</v>
      </c>
      <c r="I150" s="119"/>
      <c r="J150" s="330">
        <f>H150/DAY(B2)</f>
        <v>100.2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'24'!F151</f>
        <v>76543</v>
      </c>
      <c r="F151" s="233">
        <v>76788</v>
      </c>
      <c r="G151" s="112">
        <f t="shared" si="11"/>
        <v>245</v>
      </c>
      <c r="H151" s="99">
        <f>G151+'24'!H151</f>
        <v>6066</v>
      </c>
      <c r="I151" s="119"/>
      <c r="J151" s="330">
        <f>H151/DAY(B2)</f>
        <v>242.64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'24'!F152</f>
        <v>789</v>
      </c>
      <c r="F152" s="233">
        <v>837</v>
      </c>
      <c r="G152" s="112">
        <f t="shared" si="11"/>
        <v>48</v>
      </c>
      <c r="H152" s="99">
        <f>G152+'24'!H152</f>
        <v>837</v>
      </c>
      <c r="I152" s="119"/>
      <c r="J152" s="330">
        <f>H152/DAY(B2)</f>
        <v>33.479999999999997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3364</v>
      </c>
      <c r="H153" s="365"/>
      <c r="I153" s="119">
        <f>G153-(G38+G52)</f>
        <v>1329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'24'!F155</f>
        <v>8074</v>
      </c>
      <c r="F155" s="366">
        <v>8800</v>
      </c>
      <c r="G155" s="112">
        <f t="shared" ref="G155:G158" si="12">F155-E155</f>
        <v>726</v>
      </c>
      <c r="H155" s="99">
        <f>G155+'24'!H155</f>
        <v>8893</v>
      </c>
      <c r="I155" s="366"/>
      <c r="J155" s="330">
        <f>H155/DAY(B2)</f>
        <v>355.72</v>
      </c>
    </row>
    <row r="156" spans="1:10" ht="27.75" x14ac:dyDescent="0.5">
      <c r="A156" s="838" t="s">
        <v>347</v>
      </c>
      <c r="B156" s="838"/>
      <c r="C156" s="838"/>
      <c r="D156" s="117" t="s">
        <v>130</v>
      </c>
      <c r="E156" s="95">
        <f>'24'!F156</f>
        <v>646</v>
      </c>
      <c r="F156" s="155">
        <v>700</v>
      </c>
      <c r="G156" s="112">
        <f t="shared" si="12"/>
        <v>54</v>
      </c>
      <c r="H156" s="99">
        <f>G156+'24'!H156</f>
        <v>700</v>
      </c>
      <c r="I156" s="165"/>
      <c r="J156" s="330">
        <f>H156/DAY(B2)</f>
        <v>28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>
        <v>767</v>
      </c>
      <c r="F157" s="155">
        <v>821</v>
      </c>
      <c r="G157" s="112">
        <f t="shared" si="12"/>
        <v>54</v>
      </c>
      <c r="H157" s="99">
        <f>G157+'24'!H157</f>
        <v>821</v>
      </c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>
        <v>1.27</v>
      </c>
      <c r="F158" s="155">
        <v>1.36</v>
      </c>
      <c r="G158" s="112">
        <f t="shared" si="12"/>
        <v>9.000000000000008E-2</v>
      </c>
      <c r="H158" s="99">
        <f>G158+'24'!H158</f>
        <v>1.28</v>
      </c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471149</v>
      </c>
      <c r="F161" s="235">
        <v>471149</v>
      </c>
      <c r="G161" s="238">
        <f t="shared" ref="G161:G165" si="13">F161-E161</f>
        <v>0</v>
      </c>
      <c r="H161" s="99">
        <f>G161+'24'!H161</f>
        <v>172.88000000000466</v>
      </c>
      <c r="I161" s="236"/>
      <c r="J161" s="239">
        <f>H161/DAY(B2)</f>
        <v>6.9152000000001861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87391</v>
      </c>
      <c r="F162" s="235">
        <v>87410</v>
      </c>
      <c r="G162" s="238">
        <f t="shared" si="13"/>
        <v>19</v>
      </c>
      <c r="H162" s="99">
        <f>G162+'24'!H162</f>
        <v>808.30000000000291</v>
      </c>
      <c r="I162" s="236"/>
      <c r="J162" s="239">
        <f>H162/DAY(B2)</f>
        <v>32.332000000000114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77385</v>
      </c>
      <c r="F163" s="235">
        <v>77422</v>
      </c>
      <c r="G163" s="238">
        <f t="shared" si="13"/>
        <v>37</v>
      </c>
      <c r="H163" s="99">
        <f>G163+'24'!H163</f>
        <v>1962.1999999999971</v>
      </c>
      <c r="I163" s="236"/>
      <c r="J163" s="239">
        <f>H163/DAY(B2)</f>
        <v>78.487999999999886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4223</v>
      </c>
      <c r="F164" s="235">
        <v>4225</v>
      </c>
      <c r="G164" s="238">
        <f t="shared" si="13"/>
        <v>2</v>
      </c>
      <c r="H164" s="99">
        <f>G164+'24'!H164</f>
        <v>127.10000000000036</v>
      </c>
      <c r="I164" s="236"/>
      <c r="J164" s="239">
        <f>H164/DAY(B2)</f>
        <v>5.0840000000000147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29602</v>
      </c>
      <c r="F165" s="235">
        <v>29608</v>
      </c>
      <c r="G165" s="238">
        <f t="shared" si="13"/>
        <v>6</v>
      </c>
      <c r="H165" s="99">
        <f>G165+'24'!H165</f>
        <v>179.06880000000092</v>
      </c>
      <c r="I165" s="236"/>
      <c r="J165" s="239">
        <f>H165/DAY(B2)</f>
        <v>7.1627520000000366</v>
      </c>
    </row>
    <row r="166" spans="1:10" ht="29.25" x14ac:dyDescent="0.5">
      <c r="A166" s="870"/>
      <c r="B166" s="870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9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9"/>
    </row>
    <row r="171" spans="1:10" ht="21.75" customHeight="1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1.75" customHeight="1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831" t="s">
        <v>209</v>
      </c>
      <c r="B173" s="832"/>
      <c r="C173" s="335"/>
      <c r="D173" s="228" t="s">
        <v>142</v>
      </c>
      <c r="E173" s="95">
        <f>'24'!F173</f>
        <v>8126</v>
      </c>
      <c r="F173" s="155">
        <v>8126</v>
      </c>
      <c r="G173" s="155">
        <f>F173-E173</f>
        <v>0</v>
      </c>
      <c r="H173" s="99">
        <f>G173+'24'!H173</f>
        <v>19</v>
      </c>
      <c r="I173" s="155"/>
      <c r="J173" s="178">
        <f>H173/DAY(B2)</f>
        <v>0.76</v>
      </c>
    </row>
    <row r="174" spans="1:10" ht="27.75" customHeight="1" x14ac:dyDescent="0.5">
      <c r="A174" s="831" t="s">
        <v>75</v>
      </c>
      <c r="B174" s="832"/>
      <c r="C174" s="335"/>
      <c r="D174" s="228" t="s">
        <v>142</v>
      </c>
      <c r="E174" s="95">
        <f>'24'!F174</f>
        <v>38190</v>
      </c>
      <c r="F174" s="157">
        <v>38205</v>
      </c>
      <c r="G174" s="155">
        <f t="shared" ref="G174:G175" si="14">F174-E174</f>
        <v>15</v>
      </c>
      <c r="H174" s="99">
        <f>G174+'24'!H174</f>
        <v>403</v>
      </c>
      <c r="I174" s="155"/>
      <c r="J174" s="178">
        <f>H174/DAY(B2)</f>
        <v>16.12</v>
      </c>
    </row>
    <row r="175" spans="1:10" ht="21.75" customHeight="1" x14ac:dyDescent="0.5">
      <c r="A175" s="831" t="s">
        <v>76</v>
      </c>
      <c r="B175" s="833"/>
      <c r="C175" s="832"/>
      <c r="D175" s="228" t="s">
        <v>142</v>
      </c>
      <c r="E175" s="95">
        <f>'24'!F175</f>
        <v>21438</v>
      </c>
      <c r="F175" s="155">
        <v>21451</v>
      </c>
      <c r="G175" s="155">
        <f t="shared" si="14"/>
        <v>13</v>
      </c>
      <c r="H175" s="99">
        <f>G175+'24'!H175</f>
        <v>314</v>
      </c>
      <c r="I175" s="155"/>
      <c r="J175" s="178">
        <f>H175/DAY(B2)</f>
        <v>12.56</v>
      </c>
    </row>
    <row r="176" spans="1:10" ht="23.25" customHeight="1" x14ac:dyDescent="0.5">
      <c r="A176" s="867" t="s">
        <v>196</v>
      </c>
      <c r="B176" s="868"/>
      <c r="C176" s="529"/>
      <c r="D176" s="228" t="s">
        <v>142</v>
      </c>
      <c r="E176" s="95"/>
      <c r="F176" s="155"/>
      <c r="G176" s="155">
        <f>SUM(G173:G175)</f>
        <v>28</v>
      </c>
      <c r="H176" s="99">
        <f>G176+'24'!H176</f>
        <v>736</v>
      </c>
      <c r="I176" s="155"/>
      <c r="J176" s="178">
        <f>H176/DAY(B2)</f>
        <v>29.44</v>
      </c>
    </row>
    <row r="177" spans="1:10" ht="21.75" customHeight="1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831" t="s">
        <v>210</v>
      </c>
      <c r="B178" s="832"/>
      <c r="C178" s="335"/>
      <c r="D178" s="228" t="s">
        <v>142</v>
      </c>
      <c r="E178" s="95">
        <f>'24'!F178</f>
        <v>79127</v>
      </c>
      <c r="F178" s="155">
        <v>79212</v>
      </c>
      <c r="G178" s="155">
        <f>F178-E178</f>
        <v>85</v>
      </c>
      <c r="H178" s="99">
        <f>G178+'24'!H178</f>
        <v>1860</v>
      </c>
      <c r="I178" s="155"/>
      <c r="J178" s="178">
        <f>H178/DAY(B2)</f>
        <v>74.400000000000006</v>
      </c>
    </row>
    <row r="179" spans="1:10" ht="24" customHeight="1" x14ac:dyDescent="0.5">
      <c r="A179" s="831" t="s">
        <v>211</v>
      </c>
      <c r="B179" s="832"/>
      <c r="C179" s="335"/>
      <c r="D179" s="228" t="s">
        <v>142</v>
      </c>
      <c r="E179" s="95">
        <f>'24'!F179</f>
        <v>33915</v>
      </c>
      <c r="F179" s="155">
        <v>33915</v>
      </c>
      <c r="G179" s="155">
        <f t="shared" ref="G179:G180" si="15">F179-E179</f>
        <v>0</v>
      </c>
      <c r="H179" s="99">
        <f>G179+'24'!H179</f>
        <v>29</v>
      </c>
      <c r="I179" s="155"/>
      <c r="J179" s="178">
        <f>H179/DAY(B2)</f>
        <v>1.1599999999999999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'24'!F180</f>
        <v>5437</v>
      </c>
      <c r="F180" s="155">
        <v>5448</v>
      </c>
      <c r="G180" s="155">
        <f t="shared" si="15"/>
        <v>11</v>
      </c>
      <c r="H180" s="99">
        <f>G180+'24'!H180</f>
        <v>175</v>
      </c>
      <c r="I180" s="155"/>
      <c r="J180" s="178">
        <f>H180/DAY(B2)</f>
        <v>7</v>
      </c>
    </row>
    <row r="181" spans="1:10" ht="27.75" x14ac:dyDescent="0.5">
      <c r="A181" s="872" t="s">
        <v>108</v>
      </c>
      <c r="B181" s="873"/>
      <c r="C181" s="529"/>
      <c r="D181" s="228" t="s">
        <v>142</v>
      </c>
      <c r="E181" s="95"/>
      <c r="F181" s="155"/>
      <c r="G181" s="155">
        <f>SUM(G178:G180)</f>
        <v>96</v>
      </c>
      <c r="H181" s="99">
        <f>G181+'24'!H181</f>
        <v>2064</v>
      </c>
      <c r="I181" s="155"/>
      <c r="J181" s="178">
        <f>H181/DAY(B2)</f>
        <v>82.56</v>
      </c>
    </row>
    <row r="182" spans="1:10" ht="27.75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'24'!F183</f>
        <v>14832</v>
      </c>
      <c r="F183" s="157">
        <v>14848</v>
      </c>
      <c r="G183" s="157">
        <f>F183-E183</f>
        <v>16</v>
      </c>
      <c r="H183" s="99">
        <f>G183+'24'!H183</f>
        <v>352</v>
      </c>
      <c r="I183" s="155"/>
      <c r="J183" s="178">
        <f>H183/DAY(B2)</f>
        <v>14.08</v>
      </c>
    </row>
    <row r="184" spans="1:10" ht="30.75" customHeight="1" x14ac:dyDescent="0.5">
      <c r="A184" s="831" t="s">
        <v>215</v>
      </c>
      <c r="B184" s="832"/>
      <c r="C184" s="336"/>
      <c r="D184" s="228" t="s">
        <v>142</v>
      </c>
      <c r="E184" s="95">
        <f>'24'!F184</f>
        <v>10248</v>
      </c>
      <c r="F184" s="157">
        <v>10257</v>
      </c>
      <c r="G184" s="157">
        <f t="shared" ref="G184:G185" si="16">F184-E184</f>
        <v>9</v>
      </c>
      <c r="H184" s="99">
        <f>G184+'24'!H184</f>
        <v>226</v>
      </c>
      <c r="I184" s="155"/>
      <c r="J184" s="178">
        <f>H184/DAY(B2)</f>
        <v>9.0399999999999991</v>
      </c>
    </row>
    <row r="185" spans="1:10" ht="23.25" customHeight="1" x14ac:dyDescent="0.5">
      <c r="A185" s="831" t="s">
        <v>216</v>
      </c>
      <c r="B185" s="832"/>
      <c r="C185" s="336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867" t="s">
        <v>196</v>
      </c>
      <c r="B186" s="868"/>
      <c r="C186" s="528"/>
      <c r="D186" s="228" t="s">
        <v>142</v>
      </c>
      <c r="E186" s="95"/>
      <c r="F186" s="157">
        <v>0</v>
      </c>
      <c r="G186" s="157">
        <f>SUM(G183:G185)</f>
        <v>25</v>
      </c>
      <c r="H186" s="99">
        <f>G186+'24'!H186</f>
        <v>578</v>
      </c>
      <c r="I186" s="157"/>
      <c r="J186" s="178">
        <f>H186/DAY(B2)</f>
        <v>23.12</v>
      </c>
    </row>
    <row r="187" spans="1:10" ht="27.75" x14ac:dyDescent="0.5">
      <c r="A187" s="876" t="s">
        <v>217</v>
      </c>
      <c r="B187" s="877"/>
      <c r="C187" s="335"/>
      <c r="D187" s="228" t="s">
        <v>142</v>
      </c>
      <c r="E187" s="95">
        <f>'24'!F187</f>
        <v>0</v>
      </c>
      <c r="F187" s="159"/>
      <c r="G187" s="506">
        <f>G62+G19</f>
        <v>173</v>
      </c>
      <c r="H187" s="99">
        <f>G187+'24'!H187</f>
        <v>4400</v>
      </c>
      <c r="I187" s="158"/>
      <c r="J187" s="179">
        <f>H187/DAY(B2)</f>
        <v>176</v>
      </c>
    </row>
    <row r="188" spans="1:10" ht="27.75" x14ac:dyDescent="0.5">
      <c r="A188" s="876" t="s">
        <v>218</v>
      </c>
      <c r="B188" s="877"/>
      <c r="C188" s="335"/>
      <c r="D188" s="230" t="s">
        <v>142</v>
      </c>
      <c r="E188" s="95">
        <f>'24'!F188</f>
        <v>0</v>
      </c>
      <c r="F188" s="159"/>
      <c r="G188" s="506">
        <f>G65+G66+G67+G69+G70</f>
        <v>177</v>
      </c>
      <c r="H188" s="99">
        <f>G188+'24'!H188</f>
        <v>1885</v>
      </c>
      <c r="I188" s="158"/>
      <c r="J188" s="179">
        <f>H188/DAY(B2)</f>
        <v>75.400000000000006</v>
      </c>
    </row>
    <row r="189" spans="1:10" ht="27.75" x14ac:dyDescent="0.5">
      <c r="A189" s="876" t="s">
        <v>219</v>
      </c>
      <c r="B189" s="877"/>
      <c r="C189" s="335"/>
      <c r="D189" s="230" t="s">
        <v>142</v>
      </c>
      <c r="E189" s="95">
        <f>'24'!F189</f>
        <v>0</v>
      </c>
      <c r="F189" s="157"/>
      <c r="G189" s="503">
        <f>G181</f>
        <v>96</v>
      </c>
      <c r="H189" s="99">
        <f>G189+'24'!H189</f>
        <v>550</v>
      </c>
      <c r="I189" s="158"/>
      <c r="J189" s="179">
        <f>H189/DAY(B2)</f>
        <v>22</v>
      </c>
    </row>
    <row r="190" spans="1:10" ht="27.75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G146" sqref="G14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357</v>
      </c>
      <c r="B2" s="262">
        <v>44556</v>
      </c>
      <c r="C2" s="350" t="s">
        <v>67</v>
      </c>
      <c r="D2" s="218">
        <v>0.83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24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971217</v>
      </c>
      <c r="F7" s="95">
        <v>993154</v>
      </c>
      <c r="G7" s="112">
        <f>F7-E7</f>
        <v>21937</v>
      </c>
      <c r="H7" s="99">
        <f>G7+'25'!H7</f>
        <v>592312</v>
      </c>
      <c r="I7" s="113">
        <f>'1'!I7</f>
        <v>12000</v>
      </c>
      <c r="J7" s="175">
        <f>H7/DAY(B2)</f>
        <v>22781.23076923077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v>16065</v>
      </c>
      <c r="F8" s="95">
        <v>38214</v>
      </c>
      <c r="G8" s="115">
        <f>F8-E8</f>
        <v>22149</v>
      </c>
      <c r="H8" s="99">
        <f>G8+'25'!H8</f>
        <v>599919</v>
      </c>
      <c r="I8" s="116"/>
      <c r="J8" s="175">
        <f>H8/DAY(B2)</f>
        <v>23073.807692307691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2161018</v>
      </c>
      <c r="F9" s="659">
        <v>2179277</v>
      </c>
      <c r="G9" s="112">
        <f>F9-E9</f>
        <v>18259</v>
      </c>
      <c r="H9" s="99">
        <f>G9+'25'!H9</f>
        <v>460179.30000000005</v>
      </c>
      <c r="I9" s="124">
        <f>I7-J7</f>
        <v>-10781.23076923077</v>
      </c>
      <c r="J9" s="175">
        <f>H9/DAY(B2)</f>
        <v>17699.203846153847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518725</v>
      </c>
      <c r="F10" s="355">
        <v>521790</v>
      </c>
      <c r="G10" s="112">
        <f t="shared" ref="G10:G12" si="0">F10-E10</f>
        <v>3065</v>
      </c>
      <c r="H10" s="99">
        <f>G10+'25'!H10</f>
        <v>115707.57</v>
      </c>
      <c r="I10" s="282"/>
      <c r="J10" s="175">
        <f>H10/DAY(B2)</f>
        <v>4450.291153846154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37000</v>
      </c>
      <c r="F11" s="95">
        <v>37000</v>
      </c>
      <c r="G11" s="11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21324</v>
      </c>
      <c r="H13" s="99">
        <f>G13+'25'!H13</f>
        <v>553836</v>
      </c>
      <c r="I13" s="120">
        <f>G7-G13</f>
        <v>613</v>
      </c>
      <c r="J13" s="175">
        <f>H13/DAY(B2)</f>
        <v>21301.384615384617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'25'!F15</f>
        <v>1872039</v>
      </c>
      <c r="F15" s="123">
        <v>1873276</v>
      </c>
      <c r="G15" s="112">
        <f>(F15-E15)</f>
        <v>1237</v>
      </c>
      <c r="H15" s="99">
        <f>G15+'25'!H15</f>
        <v>30128</v>
      </c>
      <c r="I15" s="113">
        <f>'1'!I15</f>
        <v>800</v>
      </c>
      <c r="J15" s="175">
        <f>H15/DAY(B2)</f>
        <v>1158.7692307692307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-358.76923076923072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'25'!F18</f>
        <v>20</v>
      </c>
      <c r="F18" s="122">
        <v>22</v>
      </c>
      <c r="G18" s="119">
        <f>F18*10</f>
        <v>220</v>
      </c>
      <c r="H18" s="99">
        <f>G18+'25'!H18</f>
        <v>5450</v>
      </c>
      <c r="I18" s="113">
        <f>'1'!I18</f>
        <v>65</v>
      </c>
      <c r="J18" s="175">
        <f>H18/DAY(B2)</f>
        <v>209.61538461538461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'25'!F19</f>
        <v>151899</v>
      </c>
      <c r="F19" s="122">
        <v>151952</v>
      </c>
      <c r="G19" s="112">
        <f t="shared" ref="G19" si="1">F19-E19</f>
        <v>53</v>
      </c>
      <c r="H19" s="99">
        <f>G19+'25'!H19</f>
        <v>1368</v>
      </c>
      <c r="I19" s="337"/>
      <c r="J19" s="175">
        <f>H19/DAY(B2)</f>
        <v>52.615384615384613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273</v>
      </c>
      <c r="H20" s="99">
        <f>G20+'25'!H20</f>
        <v>6818</v>
      </c>
      <c r="I20" s="338">
        <f>I18-J20</f>
        <v>-197.23076923076923</v>
      </c>
      <c r="J20" s="175">
        <f>H20/DAY(B2)</f>
        <v>262.23076923076923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22149</v>
      </c>
      <c r="F27" s="136">
        <v>9</v>
      </c>
      <c r="G27" s="137">
        <f>E27*F27</f>
        <v>199341</v>
      </c>
      <c r="H27" s="99">
        <f>G27+'25'!H27</f>
        <v>5399271</v>
      </c>
      <c r="I27" s="138"/>
      <c r="J27" s="175">
        <f>H27/DAY(B2)</f>
        <v>207664.26923076922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1237</v>
      </c>
      <c r="F28" s="136">
        <v>52</v>
      </c>
      <c r="G28" s="137">
        <f>E28*F28</f>
        <v>64324</v>
      </c>
      <c r="H28" s="99">
        <f>G28+'25'!H28</f>
        <v>1566656</v>
      </c>
      <c r="I28" s="140"/>
      <c r="J28" s="175">
        <f>H28/DAY(B2)</f>
        <v>60256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G30+'25'!H30</f>
        <v>199728</v>
      </c>
      <c r="I30" s="140"/>
      <c r="J30" s="175">
        <f>H30/DAY(B2)</f>
        <v>7681.8461538461543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G31+'25'!H31</f>
        <v>436000</v>
      </c>
      <c r="I31" s="140"/>
      <c r="J31" s="175">
        <f>H31/DAY(B2)</f>
        <v>16769.23076923077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289003</v>
      </c>
      <c r="H32" s="99">
        <f>G32+'25'!H32</f>
        <v>7601655</v>
      </c>
      <c r="I32" s="144"/>
      <c r="J32" s="175">
        <f>H32/DAY(B2)</f>
        <v>292371.34615384613</v>
      </c>
      <c r="K32" s="63"/>
      <c r="L32" s="89"/>
      <c r="N32" s="87"/>
      <c r="O32" s="71"/>
    </row>
    <row r="33" spans="1:15" ht="25.5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141529</v>
      </c>
      <c r="F35" s="145">
        <v>143345</v>
      </c>
      <c r="G35" s="112">
        <f t="shared" ref="G35:G46" si="3">F35-E35</f>
        <v>1816</v>
      </c>
      <c r="H35" s="99">
        <f>G35+'25'!H35</f>
        <v>49810.369999999995</v>
      </c>
      <c r="I35" s="95"/>
      <c r="J35" s="175">
        <f>H35/DAY(B2)</f>
        <v>1915.7834615384613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16090</v>
      </c>
      <c r="F36" s="145">
        <v>17358</v>
      </c>
      <c r="G36" s="112">
        <f t="shared" si="3"/>
        <v>1268</v>
      </c>
      <c r="H36" s="99">
        <f>G36+'25'!H36</f>
        <v>27624.300000000007</v>
      </c>
      <c r="I36" s="95"/>
      <c r="J36" s="175">
        <f>H36/DAY(B2)</f>
        <v>1062.4730769230771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185932</v>
      </c>
      <c r="F37" s="145">
        <v>187529</v>
      </c>
      <c r="G37" s="112">
        <f t="shared" si="3"/>
        <v>1597</v>
      </c>
      <c r="H37" s="99">
        <f>G37+'25'!H37</f>
        <v>42022.260000000009</v>
      </c>
      <c r="I37" s="95"/>
      <c r="J37" s="175">
        <f>H37/DAY(B2)</f>
        <v>1616.2407692307695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221059</v>
      </c>
      <c r="F38" s="108">
        <v>223025</v>
      </c>
      <c r="G38" s="112">
        <f t="shared" si="3"/>
        <v>1966</v>
      </c>
      <c r="H38" s="99">
        <f>G38+'25'!H38</f>
        <v>52020.950000000012</v>
      </c>
      <c r="I38" s="95"/>
      <c r="J38" s="175">
        <f>H38/DAY(B2)</f>
        <v>2000.8057692307698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394552</v>
      </c>
      <c r="F39" s="145">
        <v>397280</v>
      </c>
      <c r="G39" s="112">
        <f t="shared" si="3"/>
        <v>2728</v>
      </c>
      <c r="H39" s="99">
        <f>G39+'25'!H39</f>
        <v>75616.710000000021</v>
      </c>
      <c r="I39" s="95"/>
      <c r="J39" s="175">
        <f>H39/DAY(B2)</f>
        <v>2908.3350000000009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2887</v>
      </c>
      <c r="F40" s="145">
        <v>3311</v>
      </c>
      <c r="G40" s="112">
        <f t="shared" si="3"/>
        <v>424</v>
      </c>
      <c r="H40" s="99">
        <f>G40+'25'!H40</f>
        <v>3739.9300000000003</v>
      </c>
      <c r="I40" s="95"/>
      <c r="J40" s="175">
        <f>H40/DAY(B2)</f>
        <v>143.84346153846155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0</v>
      </c>
      <c r="F41" s="145">
        <v>0</v>
      </c>
      <c r="G41" s="112">
        <f t="shared" si="3"/>
        <v>0</v>
      </c>
      <c r="H41" s="99">
        <f>G41+'25'!H41</f>
        <v>9386.2900000000373</v>
      </c>
      <c r="I41" s="95"/>
      <c r="J41" s="175">
        <f>H41/DAY(B2)</f>
        <v>361.01115384615525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53055</v>
      </c>
      <c r="F42" s="145">
        <v>58144</v>
      </c>
      <c r="G42" s="112">
        <f t="shared" si="3"/>
        <v>5089</v>
      </c>
      <c r="H42" s="99">
        <f>G42+'25'!H42</f>
        <v>99750.010000000009</v>
      </c>
      <c r="I42" s="95"/>
      <c r="J42" s="175">
        <f>H42/DAY(B2)</f>
        <v>3836.5388461538464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31665</v>
      </c>
      <c r="F43" s="145">
        <v>34347</v>
      </c>
      <c r="G43" s="112">
        <f t="shared" si="3"/>
        <v>2682</v>
      </c>
      <c r="H43" s="99">
        <f>G43+'25'!H43</f>
        <v>70429.399999999907</v>
      </c>
      <c r="I43" s="95"/>
      <c r="J43" s="175">
        <f>H43/DAY(B2)</f>
        <v>2708.8230769230731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17570</v>
      </c>
      <c r="H47" s="99">
        <f>G47+'25'!H47</f>
        <v>430400.22</v>
      </c>
      <c r="I47" s="95"/>
      <c r="J47" s="175">
        <f>H47/DAY(B2)</f>
        <v>16553.854615384615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263398</v>
      </c>
      <c r="F49" s="145">
        <v>264925</v>
      </c>
      <c r="G49" s="112">
        <f t="shared" ref="G49:G58" si="4">F49-E49</f>
        <v>1527</v>
      </c>
      <c r="H49" s="99">
        <f>G49+'25'!H49</f>
        <v>44411.670000000013</v>
      </c>
      <c r="I49" s="95"/>
      <c r="J49" s="175">
        <f>H49/DAY(B2)</f>
        <v>1708.1411538461543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17700</v>
      </c>
      <c r="F50" s="145">
        <v>19128</v>
      </c>
      <c r="G50" s="112">
        <f t="shared" si="4"/>
        <v>1428</v>
      </c>
      <c r="H50" s="99">
        <f>G50+'25'!H50</f>
        <v>34979.810000000063</v>
      </c>
      <c r="I50" s="95"/>
      <c r="J50" s="175">
        <f>H50/DAY(B2)</f>
        <v>1345.3773076923101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3157</v>
      </c>
      <c r="F54" s="145">
        <v>3162</v>
      </c>
      <c r="G54" s="112">
        <f t="shared" si="4"/>
        <v>5</v>
      </c>
      <c r="H54" s="99">
        <f>G54+'25'!H54</f>
        <v>130.7199999999998</v>
      </c>
      <c r="I54" s="95"/>
      <c r="J54" s="175">
        <f>H54/DAY(B2)</f>
        <v>5.0276923076923001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0</v>
      </c>
      <c r="F55" s="145">
        <v>0</v>
      </c>
      <c r="G55" s="112">
        <f t="shared" si="4"/>
        <v>0</v>
      </c>
      <c r="H55" s="99">
        <f>G55+'25'!H55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8610.5400000000009</v>
      </c>
      <c r="F56" s="145">
        <v>8610.5400000000009</v>
      </c>
      <c r="G56" s="112">
        <f t="shared" si="4"/>
        <v>0</v>
      </c>
      <c r="H56" s="99">
        <f>G56+'25'!H56</f>
        <v>30160.589999999986</v>
      </c>
      <c r="I56" s="95"/>
      <c r="J56" s="175">
        <f>H56/DAY(B2)</f>
        <v>1160.0226923076918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91011</v>
      </c>
      <c r="F58" s="145">
        <v>91261</v>
      </c>
      <c r="G58" s="112">
        <f t="shared" si="4"/>
        <v>250</v>
      </c>
      <c r="H58" s="99">
        <f>G58+'25'!H58</f>
        <v>5936.1499999999942</v>
      </c>
      <c r="I58" s="95"/>
      <c r="J58" s="175">
        <f>H58/DAY(B2)</f>
        <v>228.31346153846133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3210</v>
      </c>
      <c r="H59" s="99">
        <f>G59+'25'!H59</f>
        <v>115618.94000000006</v>
      </c>
      <c r="I59" s="95">
        <f>G7-G60</f>
        <v>1157</v>
      </c>
      <c r="J59" s="175">
        <f>H59/DAY(B2)</f>
        <v>4446.88230769231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20780</v>
      </c>
      <c r="H60" s="99">
        <f>G60+'25'!H60</f>
        <v>546019.16000000015</v>
      </c>
      <c r="I60" s="95">
        <f>G13-G60</f>
        <v>544</v>
      </c>
      <c r="J60" s="175">
        <f>H60/DAY(B2)</f>
        <v>21000.736923076929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'25'!F62</f>
        <v>266550</v>
      </c>
      <c r="F62" s="122">
        <v>266695</v>
      </c>
      <c r="G62" s="112">
        <f t="shared" ref="G62:G63" si="5">F62-E62</f>
        <v>145</v>
      </c>
      <c r="H62" s="99">
        <f>G62+'25'!H62</f>
        <v>3230</v>
      </c>
      <c r="I62" s="118"/>
      <c r="J62" s="175">
        <f>H62/DAY(B2)</f>
        <v>124.23076923076923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'25'!F63</f>
        <v>211910</v>
      </c>
      <c r="F63" s="122">
        <v>212004</v>
      </c>
      <c r="G63" s="112">
        <f t="shared" si="5"/>
        <v>94</v>
      </c>
      <c r="H63" s="99">
        <f>G63+'25'!H63</f>
        <v>2629</v>
      </c>
      <c r="I63" s="118"/>
      <c r="J63" s="175">
        <f>H63/DAY(B2)</f>
        <v>101.11538461538461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'25'!F64</f>
        <v>0</v>
      </c>
      <c r="F64" s="122"/>
      <c r="G64" s="112">
        <f>G62+G63</f>
        <v>239</v>
      </c>
      <c r="H64" s="99">
        <f>G64+'25'!H64</f>
        <v>5859</v>
      </c>
      <c r="I64" s="118"/>
      <c r="J64" s="175">
        <f>H64/DAY(B2)</f>
        <v>225.34615384615384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'25'!F65</f>
        <v>431967</v>
      </c>
      <c r="F65" s="122">
        <v>432084</v>
      </c>
      <c r="G65" s="112">
        <f t="shared" ref="G65:G70" si="6">F65-E65</f>
        <v>117</v>
      </c>
      <c r="H65" s="99">
        <f>G65+'25'!H65</f>
        <v>2721</v>
      </c>
      <c r="I65" s="118"/>
      <c r="J65" s="175">
        <f>H65/DAY(B2)</f>
        <v>104.65384615384616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'25'!F66</f>
        <v>107094</v>
      </c>
      <c r="F66" s="122">
        <v>107122</v>
      </c>
      <c r="G66" s="112">
        <f t="shared" si="6"/>
        <v>28</v>
      </c>
      <c r="H66" s="99">
        <f>G66+'25'!H66</f>
        <v>523</v>
      </c>
      <c r="I66" s="118"/>
      <c r="J66" s="175">
        <f>H66/DAY(B2)</f>
        <v>20.115384615384617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'25'!F67</f>
        <v>103749</v>
      </c>
      <c r="F67" s="122">
        <v>103780</v>
      </c>
      <c r="G67" s="112">
        <f t="shared" si="6"/>
        <v>31</v>
      </c>
      <c r="H67" s="99">
        <f>G67+'25'!H67</f>
        <v>769</v>
      </c>
      <c r="I67" s="118"/>
      <c r="J67" s="175">
        <f>H67/DAY(B2)</f>
        <v>29.576923076923077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'25'!F68</f>
        <v>156414</v>
      </c>
      <c r="F68" s="122">
        <v>156446</v>
      </c>
      <c r="G68" s="112">
        <f t="shared" si="6"/>
        <v>32</v>
      </c>
      <c r="H68" s="99">
        <f>G68+'25'!H68</f>
        <v>1006</v>
      </c>
      <c r="I68" s="118"/>
      <c r="J68" s="175">
        <f>H68/DAY(B2)</f>
        <v>38.692307692307693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'25'!F69</f>
        <v>10132</v>
      </c>
      <c r="F69" s="122">
        <v>10151</v>
      </c>
      <c r="G69" s="112">
        <f t="shared" si="6"/>
        <v>19</v>
      </c>
      <c r="H69" s="99">
        <f>G69+'25'!H69</f>
        <v>308</v>
      </c>
      <c r="I69" s="118"/>
      <c r="J69" s="175">
        <f>H69/DAY(B2)</f>
        <v>11.846153846153847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'25'!F70</f>
        <v>7811</v>
      </c>
      <c r="F70" s="122">
        <v>7823</v>
      </c>
      <c r="G70" s="112">
        <f t="shared" si="6"/>
        <v>12</v>
      </c>
      <c r="H70" s="99">
        <f>G70+'25'!H70</f>
        <v>281</v>
      </c>
      <c r="I70" s="118"/>
      <c r="J70" s="175">
        <f>H70/DAY(B2)</f>
        <v>10.807692307692308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239</v>
      </c>
      <c r="H71" s="99">
        <f>G71+'25'!H71</f>
        <v>5608</v>
      </c>
      <c r="I71" s="154"/>
      <c r="J71" s="175">
        <f>H71/DAY(B2)</f>
        <v>215.69230769230768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'25'!F74</f>
        <v>890157</v>
      </c>
      <c r="F74" s="123">
        <v>890493</v>
      </c>
      <c r="G74" s="112">
        <f t="shared" ref="G74:G78" si="7">F74-E74</f>
        <v>336</v>
      </c>
      <c r="H74" s="99">
        <f>G74+'25'!H74</f>
        <v>8239.9510000000009</v>
      </c>
      <c r="I74" s="154"/>
      <c r="J74" s="175">
        <f>H74/DAY(B2)</f>
        <v>316.92119230769237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243.88999999999942</v>
      </c>
      <c r="I75" s="154"/>
      <c r="J75" s="175">
        <f>H75/DAY(B2)</f>
        <v>9.3803846153845925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'25'!F76</f>
        <v>166582</v>
      </c>
      <c r="F76" s="123">
        <v>166712</v>
      </c>
      <c r="G76" s="112">
        <f t="shared" si="7"/>
        <v>130</v>
      </c>
      <c r="H76" s="99">
        <f>G76+'25'!H76</f>
        <v>3328</v>
      </c>
      <c r="I76" s="154"/>
      <c r="J76" s="175">
        <f>H76/DAY(B2)</f>
        <v>128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'25'!F77</f>
        <v>40066</v>
      </c>
      <c r="F77" s="123">
        <v>40112</v>
      </c>
      <c r="G77" s="112">
        <f t="shared" si="7"/>
        <v>46</v>
      </c>
      <c r="H77" s="99">
        <f>G77+'25'!H77</f>
        <v>1302</v>
      </c>
      <c r="I77" s="154"/>
      <c r="J77" s="175">
        <f>H77/DAY(B2)</f>
        <v>50.07692307692308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'25'!F78</f>
        <v>9476</v>
      </c>
      <c r="F78" s="123">
        <v>9478</v>
      </c>
      <c r="G78" s="112">
        <f t="shared" si="7"/>
        <v>2</v>
      </c>
      <c r="H78" s="99">
        <f>G78+'25'!H78</f>
        <v>66</v>
      </c>
      <c r="I78" s="118"/>
      <c r="J78" s="175">
        <f>H78/DAY(B2)</f>
        <v>2.5384615384615383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'25'!F79</f>
        <v>0</v>
      </c>
      <c r="F79" s="117"/>
      <c r="G79" s="112">
        <f>G15-SUM(G74:G78)</f>
        <v>723</v>
      </c>
      <c r="H79" s="99">
        <f>G79+'25'!H79</f>
        <v>16948.159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1237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46.840000000003783</v>
      </c>
      <c r="I84" s="118"/>
      <c r="J84" s="175">
        <f>H84/DAY(B2)</f>
        <v>1.801538461538607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'25'!F85</f>
        <v>1988</v>
      </c>
      <c r="F85" s="164">
        <v>2012.32</v>
      </c>
      <c r="G85" s="112">
        <f t="shared" si="8"/>
        <v>24.319999999999936</v>
      </c>
      <c r="H85" s="99">
        <f>G85+'25'!H85</f>
        <v>508.76</v>
      </c>
      <c r="I85" s="118">
        <f>G82+G83+G84+G85</f>
        <v>24.319999999999936</v>
      </c>
      <c r="J85" s="175">
        <f>H85/DAY(B2)</f>
        <v>19.567692307692308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'25'!F86</f>
        <v>42826.47</v>
      </c>
      <c r="F86" s="164">
        <v>42826.47</v>
      </c>
      <c r="G86" s="112">
        <f t="shared" si="8"/>
        <v>0</v>
      </c>
      <c r="H86" s="99">
        <f>G86+'25'!H86</f>
        <v>0.47000000000116415</v>
      </c>
      <c r="I86" s="118"/>
      <c r="J86" s="175">
        <f>H86/DAY(B2)</f>
        <v>1.807692307696785E-2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'25'!F87</f>
        <v>34598.550000000003</v>
      </c>
      <c r="F87" s="164">
        <v>34598.550000000003</v>
      </c>
      <c r="G87" s="112">
        <f t="shared" si="8"/>
        <v>0</v>
      </c>
      <c r="H87" s="99">
        <f>G87+'25'!H87</f>
        <v>178.15000000000146</v>
      </c>
      <c r="I87" s="118"/>
      <c r="J87" s="175">
        <f>H87/DAY(B2)</f>
        <v>6.851923076923133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'25'!F88</f>
        <v>24017</v>
      </c>
      <c r="F88" s="164">
        <v>24028</v>
      </c>
      <c r="G88" s="112">
        <f t="shared" si="8"/>
        <v>11</v>
      </c>
      <c r="H88" s="99">
        <f>G88+'25'!H88</f>
        <v>75.509999999998399</v>
      </c>
      <c r="I88" s="118">
        <f>G86+G87+G88</f>
        <v>11</v>
      </c>
      <c r="J88" s="175">
        <f>H88/DAY(B2)</f>
        <v>2.9042307692307077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'25'!F89</f>
        <v>25634</v>
      </c>
      <c r="F89" s="164">
        <v>25634</v>
      </c>
      <c r="G89" s="112">
        <f t="shared" si="8"/>
        <v>0</v>
      </c>
      <c r="H89" s="99">
        <f>G89+'25'!H89</f>
        <v>206.5099999999984</v>
      </c>
      <c r="I89" s="118"/>
      <c r="J89" s="175">
        <f>H89/DAY(B2)</f>
        <v>7.942692307692246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'25'!F90</f>
        <v>70999.649999999994</v>
      </c>
      <c r="F90" s="164">
        <v>71005.539999999994</v>
      </c>
      <c r="G90" s="112">
        <f t="shared" si="8"/>
        <v>5.8899999999994179</v>
      </c>
      <c r="H90" s="99">
        <f>G90+'25'!H90</f>
        <v>177.26999999998952</v>
      </c>
      <c r="I90" s="118">
        <f>G89+G90</f>
        <v>5.8899999999994179</v>
      </c>
      <c r="J90" s="175">
        <f>H90/DAY(B2)</f>
        <v>6.8180769230765197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'25'!F92</f>
        <v>5373</v>
      </c>
      <c r="F92" s="122">
        <v>5384</v>
      </c>
      <c r="G92" s="112">
        <f t="shared" si="8"/>
        <v>11</v>
      </c>
      <c r="H92" s="99">
        <f>G92+'25'!H92</f>
        <v>288.10000000000036</v>
      </c>
      <c r="I92" s="165"/>
      <c r="J92" s="175">
        <f>H92/DAY(B2)</f>
        <v>11.080769230769246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6025</v>
      </c>
      <c r="H94" s="99">
        <f>G94+'25'!H94</f>
        <v>164651.43999999992</v>
      </c>
      <c r="I94" s="118"/>
      <c r="J94" s="175">
        <f>H94/DAY(B2)</f>
        <v>6332.7476923076892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0.27465013447599945</v>
      </c>
      <c r="H95" s="99">
        <f>G95+'25'!H95</f>
        <v>7.232959117173297</v>
      </c>
      <c r="I95" s="167"/>
      <c r="J95" s="175">
        <f>H95/DAY(B2)</f>
        <v>0.27819073527589605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5089</v>
      </c>
      <c r="H96" s="99">
        <f>G96+'25'!H96</f>
        <v>139296.89000000001</v>
      </c>
      <c r="I96" s="118"/>
      <c r="J96" s="175">
        <f>H96/DAY(B2)</f>
        <v>5357.5726923076927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0.23198249532752882</v>
      </c>
      <c r="H97" s="99">
        <f>G97+'25'!H97</f>
        <v>6.0971011506441517</v>
      </c>
      <c r="I97" s="167"/>
      <c r="J97" s="175">
        <f>H97/DAY(B2)</f>
        <v>0.23450389040939046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2728</v>
      </c>
      <c r="H98" s="99">
        <f>G98+'25'!H98</f>
        <v>75616.710000000021</v>
      </c>
      <c r="I98" s="168"/>
      <c r="J98" s="175">
        <f>H98/DAY(B2)</f>
        <v>2908.3350000000009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0.12435611068058532</v>
      </c>
      <c r="H99" s="99">
        <f>G99+'25'!H99</f>
        <v>3.3266546445759491</v>
      </c>
      <c r="I99" s="168"/>
      <c r="J99" s="175">
        <f>H99/DAY(B2)</f>
        <v>0.12794825556061343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1966</v>
      </c>
      <c r="H100" s="99">
        <f>G100+'25'!H100</f>
        <v>52020.950000000012</v>
      </c>
      <c r="I100" s="118"/>
      <c r="J100" s="175">
        <f>H100/DAY(B2)</f>
        <v>2000.8057692307698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8.9620276245612432E-2</v>
      </c>
      <c r="H101" s="99">
        <f>G101+'25'!H101</f>
        <v>2.2891541517250769</v>
      </c>
      <c r="I101" s="168"/>
      <c r="J101" s="175">
        <f>H101/DAY(B2)</f>
        <v>8.8044390450964488E-2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2696</v>
      </c>
      <c r="H102" s="99">
        <f>G102+'25'!H102</f>
        <v>62604.110000000059</v>
      </c>
      <c r="I102" s="168"/>
      <c r="J102" s="175">
        <f>H102/DAY(B2)</f>
        <v>2407.8503846153867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0.12289738797465469</v>
      </c>
      <c r="H103" s="99">
        <f>G103+'25'!H103</f>
        <v>2.746485153913643</v>
      </c>
      <c r="I103" s="118"/>
      <c r="J103" s="175">
        <f>H103/DAY(B2)</f>
        <v>0.10563404438129397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1597</v>
      </c>
      <c r="H104" s="99">
        <f>G104+'25'!H104</f>
        <v>42022.260000000009</v>
      </c>
      <c r="I104" s="118"/>
      <c r="J104" s="175">
        <f>H104/DAY(B2)</f>
        <v>1616.2407692307695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7.2799380042849984E-2</v>
      </c>
      <c r="H105" s="99">
        <f>G105+'25'!H105</f>
        <v>1.8509624390293926</v>
      </c>
      <c r="I105" s="187"/>
      <c r="J105" s="188">
        <f>H105/DAY(B2)</f>
        <v>7.1190863039592017E-2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'25'!F112</f>
        <v>55261</v>
      </c>
      <c r="F112" s="237">
        <v>55331</v>
      </c>
      <c r="G112" s="112">
        <f t="shared" ref="G112:G123" si="9">F112-E112</f>
        <v>70</v>
      </c>
      <c r="H112" s="99">
        <f>G112+'25'!H112</f>
        <v>1978.989999999998</v>
      </c>
      <c r="I112" s="165"/>
      <c r="J112" s="330">
        <f>H112/DAY(B2)</f>
        <v>76.114999999999924</v>
      </c>
    </row>
    <row r="113" spans="1:18" ht="27.75" x14ac:dyDescent="0.5">
      <c r="A113" s="839" t="s">
        <v>253</v>
      </c>
      <c r="B113" s="840"/>
      <c r="C113" s="841"/>
      <c r="D113" s="146" t="s">
        <v>183</v>
      </c>
      <c r="E113" s="95">
        <f>'25'!F113</f>
        <v>29469</v>
      </c>
      <c r="F113" s="237">
        <v>29930</v>
      </c>
      <c r="G113" s="112">
        <f t="shared" si="9"/>
        <v>461</v>
      </c>
      <c r="H113" s="99">
        <f>G113+'25'!H113</f>
        <v>11973.470000000001</v>
      </c>
      <c r="I113" s="165"/>
      <c r="J113" s="330">
        <f>H113/DAY(B2)</f>
        <v>460.51807692307699</v>
      </c>
    </row>
    <row r="114" spans="1:18" ht="27.75" x14ac:dyDescent="0.5">
      <c r="A114" s="839" t="s">
        <v>254</v>
      </c>
      <c r="B114" s="840"/>
      <c r="C114" s="841"/>
      <c r="D114" s="146" t="s">
        <v>183</v>
      </c>
      <c r="E114" s="95">
        <f>'25'!F114</f>
        <v>23051</v>
      </c>
      <c r="F114" s="237">
        <v>23348</v>
      </c>
      <c r="G114" s="112">
        <f t="shared" si="9"/>
        <v>297</v>
      </c>
      <c r="H114" s="99">
        <f>G114+'25'!H114</f>
        <v>9263.7199999999975</v>
      </c>
      <c r="I114" s="165"/>
      <c r="J114" s="330">
        <f>H114/DAY(B2)</f>
        <v>356.29692307692301</v>
      </c>
    </row>
    <row r="115" spans="1:18" ht="27.75" x14ac:dyDescent="0.5">
      <c r="A115" s="839" t="s">
        <v>255</v>
      </c>
      <c r="B115" s="840"/>
      <c r="C115" s="841"/>
      <c r="D115" s="146" t="s">
        <v>183</v>
      </c>
      <c r="E115" s="95">
        <f>'25'!F115</f>
        <v>8716</v>
      </c>
      <c r="F115" s="237">
        <v>8732</v>
      </c>
      <c r="G115" s="112">
        <f t="shared" si="9"/>
        <v>16</v>
      </c>
      <c r="H115" s="99">
        <f>G115+'25'!H115</f>
        <v>308.31999999999971</v>
      </c>
      <c r="I115" s="165"/>
      <c r="J115" s="330">
        <f>H115/DAY(B2)</f>
        <v>11.858461538461528</v>
      </c>
    </row>
    <row r="116" spans="1:18" ht="27.75" x14ac:dyDescent="0.5">
      <c r="A116" s="857" t="s">
        <v>96</v>
      </c>
      <c r="B116" s="858"/>
      <c r="C116" s="859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27.75" x14ac:dyDescent="0.5">
      <c r="A117" s="857" t="s">
        <v>184</v>
      </c>
      <c r="B117" s="858"/>
      <c r="C117" s="859"/>
      <c r="D117" s="146" t="s">
        <v>183</v>
      </c>
      <c r="E117" s="95">
        <f>'25'!F117</f>
        <v>2444</v>
      </c>
      <c r="F117" s="237">
        <v>2485</v>
      </c>
      <c r="G117" s="112">
        <f t="shared" si="9"/>
        <v>41</v>
      </c>
      <c r="H117" s="99">
        <f>G117+'25'!H117</f>
        <v>543.92000000000007</v>
      </c>
      <c r="I117" s="165"/>
      <c r="J117" s="330">
        <f>H117/DAY(B2)</f>
        <v>20.92</v>
      </c>
      <c r="Q117" s="839" t="s">
        <v>312</v>
      </c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'25'!F118</f>
        <v>239308</v>
      </c>
      <c r="F118" s="237">
        <v>239648</v>
      </c>
      <c r="G118" s="112">
        <f t="shared" si="9"/>
        <v>340</v>
      </c>
      <c r="H118" s="99">
        <f>G118+'25'!H118</f>
        <v>9810.2699999999895</v>
      </c>
      <c r="I118" s="165"/>
      <c r="J118" s="330">
        <f>H118/DAY(B2)</f>
        <v>377.31807692307655</v>
      </c>
      <c r="Q118" s="839" t="s">
        <v>311</v>
      </c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'25'!F119</f>
        <v>242623</v>
      </c>
      <c r="F119" s="237">
        <v>243057</v>
      </c>
      <c r="G119" s="112">
        <f t="shared" si="9"/>
        <v>434</v>
      </c>
      <c r="H119" s="99">
        <f>G119+'25'!H119</f>
        <v>11330.470000000001</v>
      </c>
      <c r="I119" s="165"/>
      <c r="J119" s="330">
        <f>H119/DAY(B2)</f>
        <v>435.78730769230776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'25'!F120</f>
        <v>27612</v>
      </c>
      <c r="F120" s="237">
        <v>28021</v>
      </c>
      <c r="G120" s="112">
        <f t="shared" si="9"/>
        <v>409</v>
      </c>
      <c r="H120" s="99">
        <f>G120+'25'!H120</f>
        <v>10835.68</v>
      </c>
      <c r="I120" s="165"/>
      <c r="J120" s="330">
        <f>H120/DAY(B2)</f>
        <v>416.7569230769231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'25'!F121</f>
        <v>371856</v>
      </c>
      <c r="F121" s="237">
        <v>372629</v>
      </c>
      <c r="G121" s="112">
        <f t="shared" si="9"/>
        <v>773</v>
      </c>
      <c r="H121" s="99">
        <f>G121+'25'!H121</f>
        <v>19574.770000000019</v>
      </c>
      <c r="I121" s="165"/>
      <c r="J121" s="330">
        <f>H121/DAY(B2)</f>
        <v>752.87576923076995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'25'!F122</f>
        <v>118690</v>
      </c>
      <c r="F122" s="237">
        <v>118921</v>
      </c>
      <c r="G122" s="112">
        <f t="shared" si="9"/>
        <v>231</v>
      </c>
      <c r="H122" s="99">
        <f>G122+'25'!H122</f>
        <v>7911.2100000000064</v>
      </c>
      <c r="I122" s="165"/>
      <c r="J122" s="330">
        <f>H122/DAY(B2)</f>
        <v>304.27730769230794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'25'!F123</f>
        <v>143063</v>
      </c>
      <c r="F123" s="237">
        <v>143418</v>
      </c>
      <c r="G123" s="112">
        <f t="shared" si="9"/>
        <v>355</v>
      </c>
      <c r="H123" s="99">
        <f>G123+'25'!H123</f>
        <v>9052</v>
      </c>
      <c r="I123" s="165"/>
      <c r="J123" s="330">
        <f>H123/DAY(B2)</f>
        <v>348.15384615384613</v>
      </c>
    </row>
    <row r="124" spans="1:18" ht="27.75" x14ac:dyDescent="0.5">
      <c r="A124" s="864"/>
      <c r="B124" s="865"/>
      <c r="C124" s="866"/>
      <c r="D124" s="165"/>
      <c r="E124" s="95">
        <f>'25'!F124</f>
        <v>0</v>
      </c>
      <c r="F124" s="165"/>
      <c r="G124" s="329"/>
      <c r="H124" s="156"/>
      <c r="I124" s="165"/>
      <c r="J124" s="329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3427</v>
      </c>
      <c r="H125" s="156"/>
      <c r="I125" s="329">
        <f>G125-(G39+G53)</f>
        <v>699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G127+'25'!H127</f>
        <v>0</v>
      </c>
      <c r="I127" s="165"/>
      <c r="J127" s="330">
        <f>H127/DAY(B2)</f>
        <v>0</v>
      </c>
    </row>
    <row r="128" spans="1:18" ht="27.75" x14ac:dyDescent="0.5">
      <c r="A128" s="839" t="s">
        <v>318</v>
      </c>
      <c r="B128" s="840"/>
      <c r="C128" s="841"/>
      <c r="D128" s="151" t="s">
        <v>183</v>
      </c>
      <c r="E128" s="95">
        <f>'25'!F128</f>
        <v>35990</v>
      </c>
      <c r="F128" s="165">
        <v>36310</v>
      </c>
      <c r="G128" s="112">
        <f t="shared" ref="G128:G134" si="10">F128-E128</f>
        <v>320</v>
      </c>
      <c r="H128" s="99">
        <f>G128+'25'!H128</f>
        <v>8705.630000000001</v>
      </c>
      <c r="I128" s="165"/>
      <c r="J128" s="330">
        <f>H128/DAY(B2)</f>
        <v>334.83192307692309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'25'!F129</f>
        <v>19024</v>
      </c>
      <c r="F129" s="165">
        <v>19235</v>
      </c>
      <c r="G129" s="112">
        <f t="shared" si="10"/>
        <v>211</v>
      </c>
      <c r="H129" s="99">
        <f>G129+'25'!H129</f>
        <v>6487.41</v>
      </c>
      <c r="I129" s="165"/>
      <c r="J129" s="330">
        <f>H129/DAY(B2)</f>
        <v>249.51576923076922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'25'!F130</f>
        <v>13552</v>
      </c>
      <c r="F130" s="165">
        <v>14307</v>
      </c>
      <c r="G130" s="112">
        <f t="shared" si="10"/>
        <v>755</v>
      </c>
      <c r="H130" s="99">
        <f>G130+'25'!H130</f>
        <v>12249.89</v>
      </c>
      <c r="I130" s="165"/>
      <c r="J130" s="330">
        <f>H130/DAY(B2)</f>
        <v>471.14961538461534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'25'!F131</f>
        <v>12601</v>
      </c>
      <c r="F131" s="165">
        <v>12700</v>
      </c>
      <c r="G131" s="112">
        <f t="shared" si="10"/>
        <v>99</v>
      </c>
      <c r="H131" s="99">
        <f>G131+'25'!H131</f>
        <v>3530.6499999999996</v>
      </c>
      <c r="I131" s="165"/>
      <c r="J131" s="330">
        <f>H131/DAY(B2)</f>
        <v>135.79423076923075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'25'!F132</f>
        <v>38204</v>
      </c>
      <c r="F132" s="165">
        <v>38721</v>
      </c>
      <c r="G132" s="112">
        <f t="shared" si="10"/>
        <v>517</v>
      </c>
      <c r="H132" s="99">
        <f>G132+'25'!H132</f>
        <v>10927.639999999996</v>
      </c>
      <c r="I132" s="165"/>
      <c r="J132" s="330">
        <f>H132/DAY(B2)</f>
        <v>420.293846153846</v>
      </c>
    </row>
    <row r="133" spans="1:15" ht="27.75" x14ac:dyDescent="0.5">
      <c r="A133" s="839" t="s">
        <v>363</v>
      </c>
      <c r="B133" s="840"/>
      <c r="C133" s="841"/>
      <c r="D133" s="151" t="s">
        <v>183</v>
      </c>
      <c r="E133" s="95">
        <f>'25'!F133</f>
        <v>83772</v>
      </c>
      <c r="F133" s="165">
        <v>84445</v>
      </c>
      <c r="G133" s="112">
        <f t="shared" si="10"/>
        <v>673</v>
      </c>
      <c r="H133" s="99">
        <f>G133+'25'!H133</f>
        <v>20970.580000000002</v>
      </c>
      <c r="I133" s="165"/>
      <c r="J133" s="330">
        <f>H133/DAY(B2)</f>
        <v>806.56076923076932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'25'!F134</f>
        <v>665129</v>
      </c>
      <c r="F134" s="165">
        <v>665751</v>
      </c>
      <c r="G134" s="112">
        <f t="shared" si="10"/>
        <v>622</v>
      </c>
      <c r="H134" s="99">
        <f>G134+'25'!H134</f>
        <v>14544</v>
      </c>
      <c r="I134" s="165"/>
      <c r="J134" s="330">
        <f>H134/DAY(B2)</f>
        <v>559.38461538461536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3197</v>
      </c>
      <c r="H135" s="99">
        <f>G135+'23'!H135</f>
        <v>35528.21</v>
      </c>
      <c r="I135" s="329">
        <f>G135-(G35+G49)</f>
        <v>-146</v>
      </c>
      <c r="J135" s="330"/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'25'!F138</f>
        <v>863524</v>
      </c>
      <c r="F138" s="147">
        <v>863642</v>
      </c>
      <c r="G138" s="112">
        <f t="shared" ref="G138:G152" si="11">F138-E138</f>
        <v>118</v>
      </c>
      <c r="H138" s="99">
        <f>G138+'25'!H138</f>
        <v>2380</v>
      </c>
      <c r="I138" s="118"/>
      <c r="J138" s="330">
        <f>H138/DAY(B2)</f>
        <v>91.538461538461533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'25'!F139</f>
        <v>886523</v>
      </c>
      <c r="F139" s="148">
        <v>886525</v>
      </c>
      <c r="G139" s="112">
        <f t="shared" si="11"/>
        <v>2</v>
      </c>
      <c r="H139" s="99">
        <f>G139+'25'!H139</f>
        <v>326</v>
      </c>
      <c r="I139" s="118"/>
      <c r="J139" s="330">
        <f>H139/DAY(B2)</f>
        <v>12.538461538461538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'25'!F140</f>
        <v>88882</v>
      </c>
      <c r="F140" s="149">
        <v>88882</v>
      </c>
      <c r="G140" s="112">
        <f t="shared" si="11"/>
        <v>0</v>
      </c>
      <c r="H140" s="99">
        <f>G140+'25'!H140</f>
        <v>33</v>
      </c>
      <c r="I140" s="118"/>
      <c r="J140" s="330">
        <f>H140/DAY(B2)</f>
        <v>1.2692307692307692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'25'!F141</f>
        <v>48151</v>
      </c>
      <c r="F141" s="149">
        <v>48352</v>
      </c>
      <c r="G141" s="112">
        <f t="shared" si="11"/>
        <v>201</v>
      </c>
      <c r="H141" s="99">
        <f>G141+'25'!H141</f>
        <v>5225.2699999999968</v>
      </c>
      <c r="I141" s="118"/>
      <c r="J141" s="330">
        <f>H141/DAY(B2)</f>
        <v>200.97192307692296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'25'!F142</f>
        <v>18558</v>
      </c>
      <c r="F142" s="148">
        <v>18631</v>
      </c>
      <c r="G142" s="112">
        <f t="shared" si="11"/>
        <v>73</v>
      </c>
      <c r="H142" s="99">
        <f>G142+'25'!H142</f>
        <v>1170.5</v>
      </c>
      <c r="I142" s="140"/>
      <c r="J142" s="330">
        <f>H142/DAY(B2)</f>
        <v>45.019230769230766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'25'!F143</f>
        <v>2924</v>
      </c>
      <c r="F143" s="149">
        <v>2946</v>
      </c>
      <c r="G143" s="112">
        <f t="shared" si="11"/>
        <v>22</v>
      </c>
      <c r="H143" s="99">
        <f>G143+'25'!H143</f>
        <v>744.59999999999991</v>
      </c>
      <c r="I143" s="140"/>
      <c r="J143" s="330">
        <f>H143/DAY(B2)</f>
        <v>28.638461538461534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'25'!F144</f>
        <v>868238</v>
      </c>
      <c r="F144" s="149">
        <v>868486</v>
      </c>
      <c r="G144" s="112">
        <f t="shared" si="11"/>
        <v>248</v>
      </c>
      <c r="H144" s="99">
        <f>G144+'25'!H144</f>
        <v>6091</v>
      </c>
      <c r="I144" s="140"/>
      <c r="J144" s="330">
        <f>H144/DAY(B2)</f>
        <v>234.26923076923077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'25'!F145</f>
        <v>4474</v>
      </c>
      <c r="F145" s="149">
        <v>4491</v>
      </c>
      <c r="G145" s="112">
        <f t="shared" si="11"/>
        <v>17</v>
      </c>
      <c r="H145" s="99">
        <f>G145+'25'!H145</f>
        <v>1072</v>
      </c>
      <c r="I145" s="140"/>
      <c r="J145" s="330">
        <f>H145/DAY(B2)</f>
        <v>41.230769230769234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'25'!F146</f>
        <v>722039</v>
      </c>
      <c r="F146" s="148">
        <v>722504</v>
      </c>
      <c r="G146" s="112">
        <f t="shared" si="11"/>
        <v>465</v>
      </c>
      <c r="H146" s="99">
        <f>G146+'25'!H146</f>
        <v>11619</v>
      </c>
      <c r="I146" s="140"/>
      <c r="J146" s="330">
        <f>H146/DAY(B2)</f>
        <v>446.88461538461536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'25'!F147</f>
        <v>612768</v>
      </c>
      <c r="F147" s="148">
        <v>613642</v>
      </c>
      <c r="G147" s="112">
        <f t="shared" si="11"/>
        <v>874</v>
      </c>
      <c r="H147" s="99">
        <f>G147+'25'!H147</f>
        <v>11656.959999999963</v>
      </c>
      <c r="I147" s="140"/>
      <c r="J147" s="330">
        <f>H147/DAY(B2)</f>
        <v>448.34461538461397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'25'!F148</f>
        <v>681323</v>
      </c>
      <c r="F148" s="150">
        <v>681670</v>
      </c>
      <c r="G148" s="112">
        <f t="shared" si="11"/>
        <v>347</v>
      </c>
      <c r="H148" s="99">
        <f>G148+'25'!H148</f>
        <v>7880.3199999999488</v>
      </c>
      <c r="I148" s="124"/>
      <c r="J148" s="330">
        <f>H148/DAY(B2)</f>
        <v>303.08923076922878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'25'!F149</f>
        <v>7419</v>
      </c>
      <c r="F149" s="146">
        <v>8034</v>
      </c>
      <c r="G149" s="112">
        <f t="shared" si="11"/>
        <v>615</v>
      </c>
      <c r="H149" s="99">
        <f>G149+'25'!H149</f>
        <v>100252</v>
      </c>
      <c r="I149" s="119"/>
      <c r="J149" s="330">
        <f>H149/DAY(B2)</f>
        <v>3855.8461538461538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'25'!F150</f>
        <v>2697</v>
      </c>
      <c r="F150" s="233">
        <v>2930</v>
      </c>
      <c r="G150" s="112">
        <f t="shared" si="11"/>
        <v>233</v>
      </c>
      <c r="H150" s="99">
        <f>G150+'25'!H150</f>
        <v>2738</v>
      </c>
      <c r="I150" s="119"/>
      <c r="J150" s="330">
        <f>H150/DAY(B2)</f>
        <v>105.30769230769231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'25'!F151</f>
        <v>76788</v>
      </c>
      <c r="F151" s="233">
        <v>77013</v>
      </c>
      <c r="G151" s="112">
        <f t="shared" si="11"/>
        <v>225</v>
      </c>
      <c r="H151" s="99">
        <f>G151+'25'!H151</f>
        <v>6291</v>
      </c>
      <c r="I151" s="119"/>
      <c r="J151" s="330">
        <f>H151/DAY(B2)</f>
        <v>241.96153846153845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'25'!F152</f>
        <v>837</v>
      </c>
      <c r="F152" s="233">
        <v>886</v>
      </c>
      <c r="G152" s="112">
        <f t="shared" si="11"/>
        <v>49</v>
      </c>
      <c r="H152" s="99">
        <f>G152+'25'!H152</f>
        <v>886</v>
      </c>
      <c r="I152" s="119"/>
      <c r="J152" s="330">
        <f>H152/DAY(B2)</f>
        <v>34.07692307692308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3489</v>
      </c>
      <c r="H153" s="365"/>
      <c r="I153" s="119">
        <f>G153-(G38+G52)</f>
        <v>1523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'25'!F155</f>
        <v>8800</v>
      </c>
      <c r="F155" s="648">
        <v>9494</v>
      </c>
      <c r="G155" s="112">
        <f t="shared" ref="G155:G158" si="12">F155-E155</f>
        <v>694</v>
      </c>
      <c r="H155" s="99">
        <f>G155+'25'!H155</f>
        <v>9587</v>
      </c>
      <c r="I155" s="366"/>
      <c r="J155" s="330">
        <f>H155/DAY(B2)</f>
        <v>368.73076923076923</v>
      </c>
    </row>
    <row r="156" spans="1:10" ht="27.75" x14ac:dyDescent="0.5">
      <c r="A156" s="838" t="s">
        <v>347</v>
      </c>
      <c r="B156" s="838"/>
      <c r="C156" s="838"/>
      <c r="D156" s="117" t="s">
        <v>130</v>
      </c>
      <c r="E156" s="95">
        <f>'25'!F156</f>
        <v>700</v>
      </c>
      <c r="F156" s="155">
        <v>756</v>
      </c>
      <c r="G156" s="112">
        <f t="shared" si="12"/>
        <v>56</v>
      </c>
      <c r="H156" s="99">
        <f>G156+'25'!H156</f>
        <v>756</v>
      </c>
      <c r="I156" s="165"/>
      <c r="J156" s="330">
        <f>H156/DAY(B2)</f>
        <v>29.076923076923077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>
        <f>'25'!F157</f>
        <v>821</v>
      </c>
      <c r="F157" s="155">
        <v>880</v>
      </c>
      <c r="G157" s="112">
        <f t="shared" si="12"/>
        <v>59</v>
      </c>
      <c r="H157" s="99">
        <f>G157+'25'!H157</f>
        <v>880</v>
      </c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>
        <f>'25'!F158</f>
        <v>1.36</v>
      </c>
      <c r="F158" s="155">
        <v>1.36</v>
      </c>
      <c r="G158" s="112">
        <f t="shared" si="12"/>
        <v>0</v>
      </c>
      <c r="H158" s="99">
        <f>G158+'25'!H158</f>
        <v>1.28</v>
      </c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471149</v>
      </c>
      <c r="F161" s="235">
        <v>471149</v>
      </c>
      <c r="G161" s="238">
        <f t="shared" ref="G161:G165" si="13">F161-E161</f>
        <v>0</v>
      </c>
      <c r="H161" s="99">
        <f>G161+'25'!H161</f>
        <v>172.88000000000466</v>
      </c>
      <c r="I161" s="236"/>
      <c r="J161" s="239">
        <f>H161/DAY(B2)</f>
        <v>6.6492307692309485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87410</v>
      </c>
      <c r="F162" s="235">
        <v>87424</v>
      </c>
      <c r="G162" s="238">
        <f t="shared" si="13"/>
        <v>14</v>
      </c>
      <c r="H162" s="99">
        <f>G162+'25'!H162</f>
        <v>822.30000000000291</v>
      </c>
      <c r="I162" s="236"/>
      <c r="J162" s="239">
        <f>H162/DAY(B2)</f>
        <v>31.626923076923187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77422</v>
      </c>
      <c r="F163" s="235">
        <v>77457</v>
      </c>
      <c r="G163" s="238">
        <f t="shared" si="13"/>
        <v>35</v>
      </c>
      <c r="H163" s="99">
        <f>G163+'25'!H163</f>
        <v>1997.1999999999971</v>
      </c>
      <c r="I163" s="236"/>
      <c r="J163" s="239">
        <f>H163/DAY(B2)</f>
        <v>76.815384615384502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4225</v>
      </c>
      <c r="F164" s="235">
        <v>4226</v>
      </c>
      <c r="G164" s="238">
        <f t="shared" si="13"/>
        <v>1</v>
      </c>
      <c r="H164" s="99">
        <f>G164+'25'!H164</f>
        <v>128.10000000000036</v>
      </c>
      <c r="I164" s="236"/>
      <c r="J164" s="239">
        <f>H164/DAY(B2)</f>
        <v>4.9269230769230905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29608</v>
      </c>
      <c r="F165" s="235">
        <v>29613</v>
      </c>
      <c r="G165" s="238">
        <f t="shared" si="13"/>
        <v>5</v>
      </c>
      <c r="H165" s="99">
        <f>G165+'25'!H165</f>
        <v>184.06880000000092</v>
      </c>
      <c r="I165" s="236"/>
      <c r="J165" s="239">
        <f>H165/DAY(B2)</f>
        <v>7.0795692307692661</v>
      </c>
    </row>
    <row r="166" spans="1:10" ht="29.25" x14ac:dyDescent="0.5">
      <c r="A166" s="870"/>
      <c r="B166" s="870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'25'!F173</f>
        <v>8126</v>
      </c>
      <c r="F173" s="155">
        <v>8126</v>
      </c>
      <c r="G173" s="155">
        <f>F173-E173</f>
        <v>0</v>
      </c>
      <c r="H173" s="99">
        <f>G173+'25'!H173</f>
        <v>19</v>
      </c>
      <c r="I173" s="155"/>
      <c r="J173" s="178">
        <f>H173/DAY(B2)</f>
        <v>0.73076923076923073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'25'!F174</f>
        <v>38205</v>
      </c>
      <c r="F174" s="157">
        <v>38221</v>
      </c>
      <c r="G174" s="155">
        <f t="shared" ref="G174:G175" si="14">F174-E174</f>
        <v>16</v>
      </c>
      <c r="H174" s="99">
        <f>G174+'25'!H174</f>
        <v>419</v>
      </c>
      <c r="I174" s="155"/>
      <c r="J174" s="178">
        <f>H174/DAY(B2)</f>
        <v>16.115384615384617</v>
      </c>
    </row>
    <row r="175" spans="1:10" ht="27.75" x14ac:dyDescent="0.5">
      <c r="A175" s="831" t="s">
        <v>76</v>
      </c>
      <c r="B175" s="833"/>
      <c r="C175" s="832"/>
      <c r="D175" s="228" t="s">
        <v>142</v>
      </c>
      <c r="E175" s="95">
        <f>'25'!F175</f>
        <v>21451</v>
      </c>
      <c r="F175" s="155">
        <v>21463</v>
      </c>
      <c r="G175" s="155">
        <f t="shared" si="14"/>
        <v>12</v>
      </c>
      <c r="H175" s="99">
        <f>G175+'25'!H175</f>
        <v>326</v>
      </c>
      <c r="I175" s="155"/>
      <c r="J175" s="178">
        <f>H175/DAY(B2)</f>
        <v>12.538461538461538</v>
      </c>
    </row>
    <row r="176" spans="1:10" ht="27.75" x14ac:dyDescent="0.5">
      <c r="A176" s="867" t="s">
        <v>196</v>
      </c>
      <c r="B176" s="868"/>
      <c r="C176" s="529"/>
      <c r="D176" s="228" t="s">
        <v>142</v>
      </c>
      <c r="E176" s="95"/>
      <c r="F176" s="155"/>
      <c r="G176" s="155">
        <f>SUM(G173:G175)</f>
        <v>28</v>
      </c>
      <c r="H176" s="99">
        <f>G176+'25'!H176</f>
        <v>764</v>
      </c>
      <c r="I176" s="155"/>
      <c r="J176" s="178">
        <f>H176/DAY(B2)</f>
        <v>29.384615384615383</v>
      </c>
    </row>
    <row r="177" spans="1:10" ht="27.75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831" t="s">
        <v>210</v>
      </c>
      <c r="B178" s="832"/>
      <c r="C178" s="335"/>
      <c r="D178" s="228" t="s">
        <v>142</v>
      </c>
      <c r="E178" s="95">
        <f>'25'!F178</f>
        <v>79212</v>
      </c>
      <c r="F178" s="155">
        <v>79276</v>
      </c>
      <c r="G178" s="155">
        <f>F178-E178</f>
        <v>64</v>
      </c>
      <c r="H178" s="99">
        <f>G178+'25'!H178</f>
        <v>1924</v>
      </c>
      <c r="I178" s="155"/>
      <c r="J178" s="178">
        <f>H178/DAY(B2)</f>
        <v>74</v>
      </c>
    </row>
    <row r="179" spans="1:10" ht="27.75" x14ac:dyDescent="0.5">
      <c r="A179" s="831" t="s">
        <v>211</v>
      </c>
      <c r="B179" s="832"/>
      <c r="C179" s="335"/>
      <c r="D179" s="228" t="s">
        <v>142</v>
      </c>
      <c r="E179" s="95">
        <f>'25'!F179</f>
        <v>33915</v>
      </c>
      <c r="F179" s="155">
        <v>33915</v>
      </c>
      <c r="G179" s="155">
        <f t="shared" ref="G179:G180" si="15">F179-E179</f>
        <v>0</v>
      </c>
      <c r="H179" s="99">
        <f>G179+'25'!H179</f>
        <v>29</v>
      </c>
      <c r="I179" s="155"/>
      <c r="J179" s="178">
        <f>H179/DAY(B2)</f>
        <v>1.1153846153846154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'25'!F180</f>
        <v>5448</v>
      </c>
      <c r="F180" s="155">
        <v>5449</v>
      </c>
      <c r="G180" s="155">
        <f t="shared" si="15"/>
        <v>1</v>
      </c>
      <c r="H180" s="99">
        <f>G180+'25'!H180</f>
        <v>176</v>
      </c>
      <c r="I180" s="155"/>
      <c r="J180" s="178">
        <f>H180/DAY(B2)</f>
        <v>6.7692307692307692</v>
      </c>
    </row>
    <row r="181" spans="1:10" ht="27.75" x14ac:dyDescent="0.5">
      <c r="A181" s="872" t="s">
        <v>108</v>
      </c>
      <c r="B181" s="873"/>
      <c r="C181" s="529"/>
      <c r="D181" s="228" t="s">
        <v>142</v>
      </c>
      <c r="E181" s="95"/>
      <c r="F181" s="155"/>
      <c r="G181" s="155">
        <f>SUM(G178:G180)</f>
        <v>65</v>
      </c>
      <c r="H181" s="99">
        <f>G181+'25'!H181</f>
        <v>2129</v>
      </c>
      <c r="I181" s="155"/>
      <c r="J181" s="178">
        <f>H181/DAY(B2)</f>
        <v>81.884615384615387</v>
      </c>
    </row>
    <row r="182" spans="1:10" ht="27.75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'25'!F183</f>
        <v>14848</v>
      </c>
      <c r="F183" s="157">
        <v>14872</v>
      </c>
      <c r="G183" s="157">
        <f>F183-E183</f>
        <v>24</v>
      </c>
      <c r="H183" s="99">
        <f>G183+'25'!H183</f>
        <v>376</v>
      </c>
      <c r="I183" s="155"/>
      <c r="J183" s="178">
        <f>H183/DAY(B2)</f>
        <v>14.461538461538462</v>
      </c>
    </row>
    <row r="184" spans="1:10" ht="27.75" x14ac:dyDescent="0.5">
      <c r="A184" s="831" t="s">
        <v>215</v>
      </c>
      <c r="B184" s="832"/>
      <c r="C184" s="336"/>
      <c r="D184" s="228" t="s">
        <v>142</v>
      </c>
      <c r="E184" s="95">
        <f>'25'!F184</f>
        <v>10257</v>
      </c>
      <c r="F184" s="157">
        <v>10265</v>
      </c>
      <c r="G184" s="157">
        <f t="shared" ref="G184:G185" si="16">F184-E184</f>
        <v>8</v>
      </c>
      <c r="H184" s="99">
        <f>G184+'25'!H184</f>
        <v>234</v>
      </c>
      <c r="I184" s="155"/>
      <c r="J184" s="178">
        <f>H184/DAY(B2)</f>
        <v>9</v>
      </c>
    </row>
    <row r="185" spans="1:10" ht="27.75" x14ac:dyDescent="0.5">
      <c r="A185" s="831" t="s">
        <v>216</v>
      </c>
      <c r="B185" s="832"/>
      <c r="C185" s="336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867" t="s">
        <v>196</v>
      </c>
      <c r="B186" s="868"/>
      <c r="C186" s="528"/>
      <c r="D186" s="228" t="s">
        <v>142</v>
      </c>
      <c r="E186" s="95"/>
      <c r="F186" s="157"/>
      <c r="G186" s="157">
        <f>SUM(G183:G185)</f>
        <v>32</v>
      </c>
      <c r="H186" s="99">
        <f>G186+'25'!H186</f>
        <v>610</v>
      </c>
      <c r="I186" s="157"/>
      <c r="J186" s="178">
        <f>H186/DAY(B2)</f>
        <v>23.46153846153846</v>
      </c>
    </row>
    <row r="187" spans="1:10" ht="27.75" x14ac:dyDescent="0.5">
      <c r="A187" s="876" t="s">
        <v>217</v>
      </c>
      <c r="B187" s="877"/>
      <c r="C187" s="335"/>
      <c r="D187" s="228" t="s">
        <v>142</v>
      </c>
      <c r="E187" s="95">
        <f>'25'!F187</f>
        <v>0</v>
      </c>
      <c r="F187" s="159"/>
      <c r="G187" s="506">
        <f>G62+G19</f>
        <v>198</v>
      </c>
      <c r="H187" s="99">
        <f>G187+'25'!H187</f>
        <v>4598</v>
      </c>
      <c r="I187" s="158"/>
      <c r="J187" s="179">
        <f>H187/DAY(B2)</f>
        <v>176.84615384615384</v>
      </c>
    </row>
    <row r="188" spans="1:10" ht="27.75" x14ac:dyDescent="0.5">
      <c r="A188" s="876" t="s">
        <v>218</v>
      </c>
      <c r="B188" s="877"/>
      <c r="C188" s="335"/>
      <c r="D188" s="228" t="s">
        <v>142</v>
      </c>
      <c r="E188" s="95">
        <f>'25'!F188</f>
        <v>0</v>
      </c>
      <c r="F188" s="159"/>
      <c r="G188" s="506">
        <f>G65+G66+G67+G69+G70</f>
        <v>207</v>
      </c>
      <c r="H188" s="99">
        <f>G188+'25'!H188</f>
        <v>2092</v>
      </c>
      <c r="I188" s="158"/>
      <c r="J188" s="179">
        <f>H188/DAY(B2)</f>
        <v>80.461538461538467</v>
      </c>
    </row>
    <row r="189" spans="1:10" ht="27.75" x14ac:dyDescent="0.5">
      <c r="A189" s="876" t="s">
        <v>219</v>
      </c>
      <c r="B189" s="877"/>
      <c r="C189" s="335"/>
      <c r="D189" s="228" t="s">
        <v>142</v>
      </c>
      <c r="E189" s="95">
        <f>'25'!F189</f>
        <v>0</v>
      </c>
      <c r="F189" s="157"/>
      <c r="G189" s="503">
        <f>G181</f>
        <v>65</v>
      </c>
      <c r="H189" s="99">
        <f>G189+'25'!H189</f>
        <v>615</v>
      </c>
      <c r="I189" s="158"/>
      <c r="J189" s="179">
        <f>H189/DAY(B2)</f>
        <v>23.653846153846153</v>
      </c>
    </row>
    <row r="190" spans="1:10" ht="27.75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G146" sqref="G14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357</v>
      </c>
      <c r="B2" s="262">
        <v>44557</v>
      </c>
      <c r="C2" s="350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25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0</v>
      </c>
      <c r="F7" s="95">
        <v>21552</v>
      </c>
      <c r="G7" s="112">
        <f>F7-E7</f>
        <v>21552</v>
      </c>
      <c r="H7" s="99">
        <f>G7+'26'!H7</f>
        <v>613864</v>
      </c>
      <c r="I7" s="113">
        <f>'1'!I7</f>
        <v>12000</v>
      </c>
      <c r="J7" s="175">
        <f>H7/DAY(B2)</f>
        <v>22735.703703703704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38214</v>
      </c>
      <c r="F8" s="95">
        <v>59975</v>
      </c>
      <c r="G8" s="115">
        <f>F8-E8</f>
        <v>21761</v>
      </c>
      <c r="H8" s="99">
        <f>G8+'26'!H8</f>
        <v>621680</v>
      </c>
      <c r="I8" s="116"/>
      <c r="J8" s="175">
        <f>H8/DAY(B2)</f>
        <v>23025.185185185186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2179277</v>
      </c>
      <c r="F9" s="659">
        <v>2197302</v>
      </c>
      <c r="G9" s="112">
        <f>F9-E9</f>
        <v>18025</v>
      </c>
      <c r="H9" s="99">
        <f>G9+'26'!H9</f>
        <v>478204.30000000005</v>
      </c>
      <c r="I9" s="124">
        <f>I7-J7</f>
        <v>-10735.703703703704</v>
      </c>
      <c r="J9" s="175">
        <f>H9/DAY(B2)</f>
        <v>17711.270370370374</v>
      </c>
      <c r="K9" s="79">
        <f>K8-100</f>
        <v>1715817</v>
      </c>
      <c r="L9" s="66"/>
      <c r="N9" s="87"/>
      <c r="O9" s="71">
        <f>G8-G7</f>
        <v>209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521790</v>
      </c>
      <c r="F10" s="355">
        <v>524694</v>
      </c>
      <c r="G10" s="112">
        <f t="shared" ref="G10:G12" si="0">F10-E10</f>
        <v>2904</v>
      </c>
      <c r="H10" s="99">
        <f>G10+'26'!H10</f>
        <v>118611.57</v>
      </c>
      <c r="I10" s="282"/>
      <c r="J10" s="175">
        <f>H10/DAY(B2)</f>
        <v>4393.0211111111112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37000</v>
      </c>
      <c r="F11" s="95">
        <v>37000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20929</v>
      </c>
      <c r="H13" s="99">
        <f>G13+'26'!H13</f>
        <v>574765</v>
      </c>
      <c r="I13" s="120">
        <f>G7-G13</f>
        <v>623</v>
      </c>
      <c r="J13" s="175">
        <f>H13/DAY(B2)</f>
        <v>21287.592592592591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'26'!F15</f>
        <v>1873276</v>
      </c>
      <c r="F15" s="123">
        <v>1874401</v>
      </c>
      <c r="G15" s="112">
        <f>(F15-E15)</f>
        <v>1125</v>
      </c>
      <c r="H15" s="99">
        <f>G15+'26'!H15</f>
        <v>31253</v>
      </c>
      <c r="I15" s="113">
        <f>'1'!I15</f>
        <v>800</v>
      </c>
      <c r="J15" s="175">
        <f>H15/DAY(B2)</f>
        <v>1157.5185185185185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-357.51851851851848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'26'!F18</f>
        <v>22</v>
      </c>
      <c r="F18" s="122">
        <v>20</v>
      </c>
      <c r="G18" s="119">
        <f>F18*10</f>
        <v>200</v>
      </c>
      <c r="H18" s="99">
        <f>G18+'26'!H18</f>
        <v>5650</v>
      </c>
      <c r="I18" s="113">
        <f>'1'!I18</f>
        <v>65</v>
      </c>
      <c r="J18" s="175">
        <f>H18/DAY(B2)</f>
        <v>209.25925925925927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'26'!F19</f>
        <v>151952</v>
      </c>
      <c r="F19" s="122">
        <v>152009</v>
      </c>
      <c r="G19" s="112">
        <f t="shared" ref="G19" si="1">F19-E19</f>
        <v>57</v>
      </c>
      <c r="H19" s="99">
        <f>G19+'26'!H19</f>
        <v>1425</v>
      </c>
      <c r="I19" s="337"/>
      <c r="J19" s="175">
        <f>H19/DAY(B2)</f>
        <v>52.777777777777779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257</v>
      </c>
      <c r="H20" s="99">
        <f>G20+'26'!H20</f>
        <v>7075</v>
      </c>
      <c r="I20" s="338">
        <f>I18-J20</f>
        <v>-197.03703703703701</v>
      </c>
      <c r="J20" s="175">
        <f>H20/DAY(B2)</f>
        <v>262.03703703703701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21761</v>
      </c>
      <c r="F27" s="136">
        <v>9</v>
      </c>
      <c r="G27" s="137">
        <f>E27*F27</f>
        <v>195849</v>
      </c>
      <c r="H27" s="99">
        <f>G27+'26'!H27</f>
        <v>5595120</v>
      </c>
      <c r="I27" s="138"/>
      <c r="J27" s="175">
        <f>H27/DAY(B2)</f>
        <v>207226.66666666666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1125</v>
      </c>
      <c r="F28" s="136">
        <v>52</v>
      </c>
      <c r="G28" s="137">
        <f>E28*F28</f>
        <v>58500</v>
      </c>
      <c r="H28" s="99">
        <f>G28+'26'!H28</f>
        <v>1625156</v>
      </c>
      <c r="I28" s="140"/>
      <c r="J28" s="175">
        <f>H28/DAY(B2)</f>
        <v>60190.962962962964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G30+'26'!H30</f>
        <v>208050</v>
      </c>
      <c r="I30" s="140"/>
      <c r="J30" s="175">
        <f>H30/DAY(B2)</f>
        <v>7705.5555555555557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G31+'26'!H31</f>
        <v>452000</v>
      </c>
      <c r="I31" s="140"/>
      <c r="J31" s="175">
        <f>H31/DAY(B2)</f>
        <v>16740.740740740741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278671</v>
      </c>
      <c r="H32" s="99">
        <f>G32+'26'!H32</f>
        <v>7880326</v>
      </c>
      <c r="I32" s="144"/>
      <c r="J32" s="175">
        <f>H32/DAY(B2)</f>
        <v>291863.9259259259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143345</v>
      </c>
      <c r="F35" s="145">
        <v>145179</v>
      </c>
      <c r="G35" s="112">
        <f t="shared" ref="G35:G46" si="3">F35-E35</f>
        <v>1834</v>
      </c>
      <c r="H35" s="99">
        <f>G35+'26'!H35</f>
        <v>51644.369999999995</v>
      </c>
      <c r="I35" s="95"/>
      <c r="J35" s="175">
        <f>H35/DAY(B2)</f>
        <v>1912.7544444444443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17358</v>
      </c>
      <c r="F36" s="145">
        <v>18238</v>
      </c>
      <c r="G36" s="112">
        <f t="shared" si="3"/>
        <v>880</v>
      </c>
      <c r="H36" s="99">
        <f>G36+'26'!H36</f>
        <v>28504.300000000007</v>
      </c>
      <c r="I36" s="95"/>
      <c r="J36" s="175">
        <f>H36/DAY(B2)</f>
        <v>1055.7148148148151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187529</v>
      </c>
      <c r="F37" s="145">
        <v>189109</v>
      </c>
      <c r="G37" s="112">
        <f t="shared" si="3"/>
        <v>1580</v>
      </c>
      <c r="H37" s="99">
        <f>G37+'26'!H37</f>
        <v>43602.260000000009</v>
      </c>
      <c r="I37" s="95"/>
      <c r="J37" s="175">
        <f>H37/DAY(B2)</f>
        <v>1614.8985185185188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223025</v>
      </c>
      <c r="F38" s="108">
        <v>224984</v>
      </c>
      <c r="G38" s="112">
        <f t="shared" si="3"/>
        <v>1959</v>
      </c>
      <c r="H38" s="99">
        <f>G38+'26'!H38</f>
        <v>53979.950000000012</v>
      </c>
      <c r="I38" s="95"/>
      <c r="J38" s="175">
        <f>H38/DAY(B2)</f>
        <v>1999.2574074074078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397280</v>
      </c>
      <c r="F39" s="145">
        <v>400137</v>
      </c>
      <c r="G39" s="112">
        <f t="shared" si="3"/>
        <v>2857</v>
      </c>
      <c r="H39" s="99">
        <f>G39+'26'!H39</f>
        <v>78473.710000000021</v>
      </c>
      <c r="I39" s="95"/>
      <c r="J39" s="175">
        <f>H39/DAY(B2)</f>
        <v>2906.4337037037044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3311</v>
      </c>
      <c r="F40" s="145">
        <v>4084</v>
      </c>
      <c r="G40" s="112">
        <f t="shared" si="3"/>
        <v>773</v>
      </c>
      <c r="H40" s="99">
        <f>G40+'26'!H40</f>
        <v>4512.93</v>
      </c>
      <c r="I40" s="95"/>
      <c r="J40" s="175">
        <f>H40/DAY(B2)</f>
        <v>167.14555555555557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0</v>
      </c>
      <c r="F41" s="145">
        <v>0</v>
      </c>
      <c r="G41" s="112">
        <f t="shared" si="3"/>
        <v>0</v>
      </c>
      <c r="H41" s="99">
        <f>G41+'26'!H41</f>
        <v>9386.2900000000373</v>
      </c>
      <c r="I41" s="95"/>
      <c r="J41" s="175">
        <f>H41/DAY(B2)</f>
        <v>347.64037037037173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58144</v>
      </c>
      <c r="F42" s="145">
        <v>63114</v>
      </c>
      <c r="G42" s="112">
        <f t="shared" si="3"/>
        <v>4970</v>
      </c>
      <c r="H42" s="99">
        <f>G42+'26'!H42</f>
        <v>104720.01000000001</v>
      </c>
      <c r="I42" s="95"/>
      <c r="J42" s="175">
        <f>H42/DAY(B2)</f>
        <v>3878.5188888888893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34347</v>
      </c>
      <c r="F43" s="145">
        <v>37050</v>
      </c>
      <c r="G43" s="112">
        <f t="shared" si="3"/>
        <v>2703</v>
      </c>
      <c r="H43" s="99">
        <f>G43+'26'!H43</f>
        <v>73132.399999999907</v>
      </c>
      <c r="I43" s="95"/>
      <c r="J43" s="175">
        <f>H43/DAY(B2)</f>
        <v>2708.607407407404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17556</v>
      </c>
      <c r="H47" s="99">
        <f>G47+'26'!H47</f>
        <v>447956.22</v>
      </c>
      <c r="I47" s="95"/>
      <c r="J47" s="175">
        <f>H47/DAY(B2)</f>
        <v>16590.97111111111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264925</v>
      </c>
      <c r="F49" s="145">
        <v>266456</v>
      </c>
      <c r="G49" s="112">
        <f t="shared" ref="G49:G58" si="4">F49-E49</f>
        <v>1531</v>
      </c>
      <c r="H49" s="99">
        <f>G49+'26'!H49</f>
        <v>45942.670000000013</v>
      </c>
      <c r="I49" s="95"/>
      <c r="J49" s="175">
        <f>H49/DAY(B2)</f>
        <v>1701.5803703703709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19128</v>
      </c>
      <c r="F50" s="145">
        <v>20426</v>
      </c>
      <c r="G50" s="112">
        <f t="shared" si="4"/>
        <v>1298</v>
      </c>
      <c r="H50" s="99">
        <f>G50+'26'!H50</f>
        <v>36277.810000000063</v>
      </c>
      <c r="I50" s="95"/>
      <c r="J50" s="175">
        <f>H50/DAY(B2)</f>
        <v>1343.6225925925949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3162</v>
      </c>
      <c r="F54" s="145">
        <v>3166</v>
      </c>
      <c r="G54" s="112">
        <f t="shared" si="4"/>
        <v>4</v>
      </c>
      <c r="H54" s="99">
        <f>G54+'26'!H54</f>
        <v>134.7199999999998</v>
      </c>
      <c r="I54" s="95"/>
      <c r="J54" s="175">
        <f>H54/DAY(B2)</f>
        <v>4.9896296296296221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0</v>
      </c>
      <c r="F55" s="145">
        <v>0</v>
      </c>
      <c r="G55" s="112">
        <f t="shared" si="4"/>
        <v>0</v>
      </c>
      <c r="H55" s="99">
        <f>G55+'26'!H55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8610.5400000000009</v>
      </c>
      <c r="F56" s="145">
        <v>8610.5400000000009</v>
      </c>
      <c r="G56" s="112">
        <f t="shared" si="4"/>
        <v>0</v>
      </c>
      <c r="H56" s="99">
        <f>G56+'26'!H56</f>
        <v>30160.589999999986</v>
      </c>
      <c r="I56" s="95"/>
      <c r="J56" s="175">
        <f>H56/DAY(B2)</f>
        <v>1117.0588888888883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91261</v>
      </c>
      <c r="F58" s="145">
        <v>91484</v>
      </c>
      <c r="G58" s="112">
        <f t="shared" si="4"/>
        <v>223</v>
      </c>
      <c r="H58" s="99">
        <f>G58+'26'!H58</f>
        <v>6159.1499999999942</v>
      </c>
      <c r="I58" s="95"/>
      <c r="J58" s="175">
        <f>H58/DAY(B2)</f>
        <v>228.11666666666645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3056</v>
      </c>
      <c r="H59" s="99">
        <f>G59+'26'!H59</f>
        <v>118674.94000000006</v>
      </c>
      <c r="I59" s="95">
        <f>G7-G60</f>
        <v>940</v>
      </c>
      <c r="J59" s="175">
        <f>H59/DAY(B2)</f>
        <v>4395.3681481481508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20612</v>
      </c>
      <c r="H60" s="99">
        <f>G60+'26'!H60</f>
        <v>566631.16000000015</v>
      </c>
      <c r="I60" s="95">
        <f>G13-G60</f>
        <v>317</v>
      </c>
      <c r="J60" s="175">
        <f>H60/DAY(B2)</f>
        <v>20986.339259259265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'26'!F62</f>
        <v>266695</v>
      </c>
      <c r="F62" s="122">
        <v>266818</v>
      </c>
      <c r="G62" s="112">
        <f t="shared" ref="G62:G63" si="5">F62-E62</f>
        <v>123</v>
      </c>
      <c r="H62" s="99">
        <f>G62+'26'!H62</f>
        <v>3353</v>
      </c>
      <c r="I62" s="118"/>
      <c r="J62" s="175">
        <f>H62/DAY(B2)</f>
        <v>124.18518518518519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'26'!F63</f>
        <v>212004</v>
      </c>
      <c r="F63" s="122">
        <v>212062</v>
      </c>
      <c r="G63" s="112">
        <f t="shared" si="5"/>
        <v>58</v>
      </c>
      <c r="H63" s="99">
        <f>G63+'26'!H63</f>
        <v>2687</v>
      </c>
      <c r="I63" s="118"/>
      <c r="J63" s="175">
        <f>H63/DAY(B2)</f>
        <v>99.518518518518519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'26'!F64</f>
        <v>0</v>
      </c>
      <c r="F64" s="122"/>
      <c r="G64" s="112">
        <f>G62+G63</f>
        <v>181</v>
      </c>
      <c r="H64" s="99">
        <f>G64+'26'!H64</f>
        <v>6040</v>
      </c>
      <c r="I64" s="118"/>
      <c r="J64" s="175">
        <f>H64/DAY(B2)</f>
        <v>223.7037037037037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'26'!F65</f>
        <v>432084</v>
      </c>
      <c r="F65" s="122">
        <v>432179</v>
      </c>
      <c r="G65" s="112">
        <f t="shared" ref="G65:G70" si="6">F65-E65</f>
        <v>95</v>
      </c>
      <c r="H65" s="99">
        <f>G65+'26'!H65</f>
        <v>2816</v>
      </c>
      <c r="I65" s="118"/>
      <c r="J65" s="175">
        <f>H65/DAY(B2)</f>
        <v>104.29629629629629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'26'!F66</f>
        <v>107122</v>
      </c>
      <c r="F66" s="122">
        <v>107141</v>
      </c>
      <c r="G66" s="112">
        <f t="shared" si="6"/>
        <v>19</v>
      </c>
      <c r="H66" s="99">
        <f>G66+'26'!H66</f>
        <v>542</v>
      </c>
      <c r="I66" s="118"/>
      <c r="J66" s="175">
        <f>H66/DAY(B2)</f>
        <v>20.074074074074073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'26'!F67</f>
        <v>103780</v>
      </c>
      <c r="F67" s="122">
        <v>103808</v>
      </c>
      <c r="G67" s="112">
        <f t="shared" si="6"/>
        <v>28</v>
      </c>
      <c r="H67" s="99">
        <f>G67+'26'!H67</f>
        <v>797</v>
      </c>
      <c r="I67" s="118"/>
      <c r="J67" s="175">
        <f>H67/DAY(B2)</f>
        <v>29.518518518518519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'26'!F68</f>
        <v>156446</v>
      </c>
      <c r="F68" s="122">
        <v>156480</v>
      </c>
      <c r="G68" s="112">
        <f t="shared" si="6"/>
        <v>34</v>
      </c>
      <c r="H68" s="99">
        <f>G68+'26'!H68</f>
        <v>1040</v>
      </c>
      <c r="I68" s="118"/>
      <c r="J68" s="175">
        <f>H68/DAY(B2)</f>
        <v>38.518518518518519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'26'!F69</f>
        <v>10151</v>
      </c>
      <c r="F69" s="122">
        <v>10159</v>
      </c>
      <c r="G69" s="112">
        <f t="shared" si="6"/>
        <v>8</v>
      </c>
      <c r="H69" s="99">
        <f>G69+'26'!H69</f>
        <v>316</v>
      </c>
      <c r="I69" s="118"/>
      <c r="J69" s="175">
        <f>H69/DAY(B2)</f>
        <v>11.703703703703704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'26'!F70</f>
        <v>7823</v>
      </c>
      <c r="F70" s="122">
        <v>7837</v>
      </c>
      <c r="G70" s="112">
        <f t="shared" si="6"/>
        <v>14</v>
      </c>
      <c r="H70" s="99">
        <f>G70+'26'!H70</f>
        <v>295</v>
      </c>
      <c r="I70" s="118"/>
      <c r="J70" s="175">
        <f>H70/DAY(B2)</f>
        <v>10.925925925925926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198</v>
      </c>
      <c r="H71" s="99">
        <f>G71+'26'!H71</f>
        <v>5806</v>
      </c>
      <c r="I71" s="154"/>
      <c r="J71" s="175">
        <f>H71/DAY(B2)</f>
        <v>215.03703703703704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'26'!F74</f>
        <v>890493</v>
      </c>
      <c r="F74" s="117">
        <v>890804</v>
      </c>
      <c r="G74" s="112">
        <f t="shared" ref="G74:G78" si="7">F74-E74</f>
        <v>311</v>
      </c>
      <c r="H74" s="99">
        <f>G74+'26'!H74</f>
        <v>8550.9510000000009</v>
      </c>
      <c r="I74" s="154"/>
      <c r="J74" s="175">
        <f>H74/DAY(B2)</f>
        <v>316.7018888888889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243.88999999999942</v>
      </c>
      <c r="I75" s="154"/>
      <c r="J75" s="175">
        <f>H75/DAY(B2)</f>
        <v>9.0329629629629409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'26'!F76</f>
        <v>166712</v>
      </c>
      <c r="F76" s="123">
        <v>166821</v>
      </c>
      <c r="G76" s="112">
        <f t="shared" si="7"/>
        <v>109</v>
      </c>
      <c r="H76" s="99">
        <f>G76+'26'!H76</f>
        <v>3437</v>
      </c>
      <c r="I76" s="154"/>
      <c r="J76" s="175">
        <f>H76/DAY(B2)</f>
        <v>127.29629629629629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'26'!F77</f>
        <v>40112</v>
      </c>
      <c r="F77" s="123">
        <v>40160</v>
      </c>
      <c r="G77" s="112">
        <f t="shared" si="7"/>
        <v>48</v>
      </c>
      <c r="H77" s="99">
        <f>G77+'26'!H77</f>
        <v>1350</v>
      </c>
      <c r="I77" s="154"/>
      <c r="J77" s="175">
        <f>H77/DAY(B2)</f>
        <v>50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'26'!F78</f>
        <v>9478</v>
      </c>
      <c r="F78" s="123">
        <v>9479</v>
      </c>
      <c r="G78" s="112">
        <f t="shared" si="7"/>
        <v>1</v>
      </c>
      <c r="H78" s="99">
        <f>G78+'26'!H78</f>
        <v>67</v>
      </c>
      <c r="I78" s="118"/>
      <c r="J78" s="175">
        <f>H78/DAY(B2)</f>
        <v>2.4814814814814814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'26'!F79</f>
        <v>0</v>
      </c>
      <c r="F79" s="123"/>
      <c r="G79" s="112">
        <f>G15-SUM(G74:G78)</f>
        <v>656</v>
      </c>
      <c r="H79" s="99">
        <f>G79+'26'!H79</f>
        <v>17604.159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1125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46.840000000003783</v>
      </c>
      <c r="I84" s="118"/>
      <c r="J84" s="175">
        <f>H84/DAY(B2)</f>
        <v>1.7348148148149549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'26'!F85</f>
        <v>2012.32</v>
      </c>
      <c r="F85" s="164">
        <v>2036</v>
      </c>
      <c r="G85" s="112">
        <f t="shared" si="8"/>
        <v>23.680000000000064</v>
      </c>
      <c r="H85" s="99">
        <f>G85+'26'!H85</f>
        <v>532.44000000000005</v>
      </c>
      <c r="I85" s="118">
        <f>G82+G83+G84+G85</f>
        <v>23.680000000000064</v>
      </c>
      <c r="J85" s="175">
        <f>H85/DAY(B2)</f>
        <v>19.720000000000002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'26'!F86</f>
        <v>42826.47</v>
      </c>
      <c r="F86" s="164">
        <v>42826.47</v>
      </c>
      <c r="G86" s="112">
        <f t="shared" si="8"/>
        <v>0</v>
      </c>
      <c r="H86" s="99">
        <f>G86+'26'!H86</f>
        <v>0.47000000000116415</v>
      </c>
      <c r="I86" s="118"/>
      <c r="J86" s="175">
        <f>H86/DAY(B2)</f>
        <v>1.7407407407450524E-2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'26'!F87</f>
        <v>34598.550000000003</v>
      </c>
      <c r="F87" s="164">
        <v>34598.550000000003</v>
      </c>
      <c r="G87" s="112">
        <f t="shared" si="8"/>
        <v>0</v>
      </c>
      <c r="H87" s="99">
        <f>G87+'26'!H87</f>
        <v>178.15000000000146</v>
      </c>
      <c r="I87" s="118"/>
      <c r="J87" s="175">
        <f>H87/DAY(B2)</f>
        <v>6.5981481481482023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'26'!F88</f>
        <v>24028</v>
      </c>
      <c r="F88" s="164">
        <v>24039</v>
      </c>
      <c r="G88" s="112">
        <f t="shared" si="8"/>
        <v>11</v>
      </c>
      <c r="H88" s="99">
        <f>G88+'26'!H88</f>
        <v>86.509999999998399</v>
      </c>
      <c r="I88" s="118">
        <f>G86+G87+G88</f>
        <v>11</v>
      </c>
      <c r="J88" s="175">
        <f>H88/DAY(B2)</f>
        <v>3.2040740740740148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'26'!F89</f>
        <v>25634</v>
      </c>
      <c r="F89" s="164">
        <v>25634</v>
      </c>
      <c r="G89" s="112">
        <f t="shared" si="8"/>
        <v>0</v>
      </c>
      <c r="H89" s="99">
        <f>G89+'26'!H89</f>
        <v>206.5099999999984</v>
      </c>
      <c r="I89" s="118"/>
      <c r="J89" s="175">
        <f>H89/DAY(B2)</f>
        <v>7.6485185185184594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'26'!F90</f>
        <v>71005.539999999994</v>
      </c>
      <c r="F90" s="164">
        <v>71011</v>
      </c>
      <c r="G90" s="112">
        <f t="shared" si="8"/>
        <v>5.4600000000064028</v>
      </c>
      <c r="H90" s="99">
        <v>23</v>
      </c>
      <c r="I90" s="118">
        <f>G89+G90</f>
        <v>5.4600000000064028</v>
      </c>
      <c r="J90" s="175">
        <f>H90/DAY(B2)</f>
        <v>0.85185185185185186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'26'!F92</f>
        <v>5384</v>
      </c>
      <c r="F92" s="122">
        <v>5395</v>
      </c>
      <c r="G92" s="112">
        <f t="shared" si="8"/>
        <v>11</v>
      </c>
      <c r="H92" s="99">
        <f>G92+'26'!H92</f>
        <v>299.10000000000036</v>
      </c>
      <c r="I92" s="165"/>
      <c r="J92" s="175">
        <f>H92/DAY(B2)</f>
        <v>11.077777777777792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6068</v>
      </c>
      <c r="H94" s="99">
        <f>G94+'26'!H94</f>
        <v>170719.43999999992</v>
      </c>
      <c r="I94" s="118"/>
      <c r="J94" s="175">
        <f>H94/DAY(B2)</f>
        <v>6322.9422222222192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0.28155159613956943</v>
      </c>
      <c r="H95" s="99">
        <f>G95+'26'!H95</f>
        <v>7.5145107133128661</v>
      </c>
      <c r="I95" s="167"/>
      <c r="J95" s="175">
        <f>H95/DAY(B2)</f>
        <v>0.27831521160418021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4970</v>
      </c>
      <c r="H96" s="99">
        <f>G96+'26'!H96</f>
        <v>144266.89000000001</v>
      </c>
      <c r="I96" s="118"/>
      <c r="J96" s="175">
        <f>H96/DAY(B2)</f>
        <v>5343.2181481481484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0.23060504825538233</v>
      </c>
      <c r="H97" s="99">
        <f>G97+'26'!H97</f>
        <v>6.3277061988995342</v>
      </c>
      <c r="I97" s="167"/>
      <c r="J97" s="175">
        <f>H97/DAY(B2)</f>
        <v>0.2343594888481309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2857</v>
      </c>
      <c r="H98" s="99">
        <f>G98+'26'!H98</f>
        <v>78473.710000000021</v>
      </c>
      <c r="I98" s="168"/>
      <c r="J98" s="175">
        <f>H98/DAY(B2)</f>
        <v>2906.4337037037044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0.13256310319227915</v>
      </c>
      <c r="H99" s="99">
        <f>G99+'26'!H99</f>
        <v>3.4592177477682284</v>
      </c>
      <c r="I99" s="168"/>
      <c r="J99" s="175">
        <f>H99/DAY(B2)</f>
        <v>0.12811917584326771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1959</v>
      </c>
      <c r="H100" s="99">
        <f>G100+'26'!H100</f>
        <v>53979.950000000012</v>
      </c>
      <c r="I100" s="118"/>
      <c r="J100" s="175">
        <f>H100/DAY(B2)</f>
        <v>1999.2574074074078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9.0896436525612467E-2</v>
      </c>
      <c r="H101" s="99">
        <f>G101+'26'!H101</f>
        <v>2.3800505882506893</v>
      </c>
      <c r="I101" s="168"/>
      <c r="J101" s="175">
        <f>H101/DAY(B2)</f>
        <v>8.8150021787062563E-2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2178</v>
      </c>
      <c r="H102" s="99">
        <f>G102+'26'!H102</f>
        <v>64782.110000000059</v>
      </c>
      <c r="I102" s="168"/>
      <c r="J102" s="175">
        <f>H102/DAY(B2)</f>
        <v>2399.3374074074095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0.10105790645879732</v>
      </c>
      <c r="H103" s="99">
        <f>G103+'26'!H103</f>
        <v>2.8475430603724403</v>
      </c>
      <c r="I103" s="118"/>
      <c r="J103" s="175">
        <f>H103/DAY(B2)</f>
        <v>0.10546455779157186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1580</v>
      </c>
      <c r="H104" s="99">
        <f>G104+'26'!H104</f>
        <v>43602.260000000009</v>
      </c>
      <c r="I104" s="118"/>
      <c r="J104" s="175">
        <f>H104/DAY(B2)</f>
        <v>1614.8985185185188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7.3311061618411291E-2</v>
      </c>
      <c r="H105" s="99">
        <f>G105+'26'!H105</f>
        <v>1.924273500647804</v>
      </c>
      <c r="I105" s="187"/>
      <c r="J105" s="188">
        <f>H105/DAY(B2)</f>
        <v>7.1269388912881634E-2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'26'!F112</f>
        <v>55331</v>
      </c>
      <c r="F112" s="237">
        <v>55401</v>
      </c>
      <c r="G112" s="112">
        <f t="shared" ref="G112:G123" si="9">F112-E112</f>
        <v>70</v>
      </c>
      <c r="H112" s="99">
        <f>G112+'26'!H112</f>
        <v>2048.989999999998</v>
      </c>
      <c r="I112" s="165"/>
      <c r="J112" s="330">
        <f>H112/DAY(B2)</f>
        <v>75.888518518518438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'26'!F113</f>
        <v>29930</v>
      </c>
      <c r="F113" s="237">
        <v>30408</v>
      </c>
      <c r="G113" s="112">
        <f t="shared" si="9"/>
        <v>478</v>
      </c>
      <c r="H113" s="99">
        <f>G113+'26'!H113</f>
        <v>12451.470000000001</v>
      </c>
      <c r="I113" s="165"/>
      <c r="J113" s="330">
        <f>H113/DAY(B2)</f>
        <v>461.16555555555561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'26'!F114</f>
        <v>23348</v>
      </c>
      <c r="F114" s="237">
        <v>23479</v>
      </c>
      <c r="G114" s="112">
        <f t="shared" si="9"/>
        <v>131</v>
      </c>
      <c r="H114" s="99">
        <f>G114+'26'!H114</f>
        <v>9394.7199999999975</v>
      </c>
      <c r="I114" s="165"/>
      <c r="J114" s="330">
        <f>H114/DAY(B2)</f>
        <v>347.95259259259251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'26'!F115</f>
        <v>8732</v>
      </c>
      <c r="F115" s="237">
        <v>8749</v>
      </c>
      <c r="G115" s="112">
        <f t="shared" si="9"/>
        <v>17</v>
      </c>
      <c r="H115" s="99">
        <f>G115+'26'!H115</f>
        <v>325.31999999999971</v>
      </c>
      <c r="I115" s="165"/>
      <c r="J115" s="330">
        <f>H115/DAY(B2)</f>
        <v>12.048888888888879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'26'!F117</f>
        <v>2485</v>
      </c>
      <c r="F117" s="237">
        <v>2505</v>
      </c>
      <c r="G117" s="112">
        <f t="shared" si="9"/>
        <v>20</v>
      </c>
      <c r="H117" s="99">
        <f>G117+'26'!H117</f>
        <v>563.92000000000007</v>
      </c>
      <c r="I117" s="165"/>
      <c r="J117" s="330">
        <f>H117/DAY(B2)</f>
        <v>20.885925925925928</v>
      </c>
      <c r="Q117" s="839" t="s">
        <v>312</v>
      </c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'26'!F118</f>
        <v>239648</v>
      </c>
      <c r="F118" s="237">
        <v>240064</v>
      </c>
      <c r="G118" s="112">
        <f t="shared" si="9"/>
        <v>416</v>
      </c>
      <c r="H118" s="99">
        <f>G118+'26'!H118</f>
        <v>10226.26999999999</v>
      </c>
      <c r="I118" s="165"/>
      <c r="J118" s="330">
        <f>H118/DAY(B2)</f>
        <v>378.75074074074035</v>
      </c>
      <c r="Q118" s="839" t="s">
        <v>311</v>
      </c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'26'!F119</f>
        <v>243057</v>
      </c>
      <c r="F119" s="237">
        <v>243480</v>
      </c>
      <c r="G119" s="112">
        <f t="shared" si="9"/>
        <v>423</v>
      </c>
      <c r="H119" s="99">
        <f>G119+'26'!H119</f>
        <v>11753.470000000001</v>
      </c>
      <c r="I119" s="165"/>
      <c r="J119" s="330">
        <f>H119/DAY(B2)</f>
        <v>435.31370370370377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'26'!F120</f>
        <v>28021</v>
      </c>
      <c r="F120" s="237">
        <v>28427</v>
      </c>
      <c r="G120" s="112">
        <f t="shared" si="9"/>
        <v>406</v>
      </c>
      <c r="H120" s="99">
        <f>G120+'26'!H120</f>
        <v>11241.68</v>
      </c>
      <c r="I120" s="165"/>
      <c r="J120" s="330">
        <f>H120/DAY(B2)</f>
        <v>416.35851851851851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'26'!F121</f>
        <v>372629</v>
      </c>
      <c r="F121" s="237">
        <v>373420</v>
      </c>
      <c r="G121" s="112">
        <f t="shared" si="9"/>
        <v>791</v>
      </c>
      <c r="H121" s="99">
        <f>G121+'26'!H121</f>
        <v>20365.770000000019</v>
      </c>
      <c r="I121" s="165"/>
      <c r="J121" s="330">
        <f>H121/DAY(B2)</f>
        <v>754.2877777777785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'26'!F122</f>
        <v>118921</v>
      </c>
      <c r="F122" s="237">
        <v>119141</v>
      </c>
      <c r="G122" s="112">
        <f t="shared" si="9"/>
        <v>220</v>
      </c>
      <c r="H122" s="99">
        <f>G122+'26'!H122</f>
        <v>8131.2100000000064</v>
      </c>
      <c r="I122" s="165"/>
      <c r="J122" s="330">
        <f>H122/DAY(B2)</f>
        <v>301.15592592592617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'26'!F123</f>
        <v>143418</v>
      </c>
      <c r="F123" s="237">
        <v>143766</v>
      </c>
      <c r="G123" s="112">
        <f t="shared" si="9"/>
        <v>348</v>
      </c>
      <c r="H123" s="99">
        <f>G123+'26'!H123</f>
        <v>9400</v>
      </c>
      <c r="I123" s="165"/>
      <c r="J123" s="330">
        <f>H123/DAY(B2)</f>
        <v>348.14814814814815</v>
      </c>
    </row>
    <row r="124" spans="1:18" ht="29.25" customHeight="1" x14ac:dyDescent="0.5">
      <c r="A124" s="864"/>
      <c r="B124" s="865"/>
      <c r="C124" s="866"/>
      <c r="D124" s="165"/>
      <c r="E124" s="95">
        <f>'26'!F124</f>
        <v>0</v>
      </c>
      <c r="F124" s="165"/>
      <c r="G124" s="329"/>
      <c r="H124" s="99">
        <f>G124+'26'!H124</f>
        <v>0</v>
      </c>
      <c r="I124" s="165"/>
      <c r="J124" s="329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3320</v>
      </c>
      <c r="H125" s="156"/>
      <c r="I125" s="329">
        <f>G125-(G39+G53)</f>
        <v>463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G127+'26'!H127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'26'!F128</f>
        <v>36310</v>
      </c>
      <c r="F128" s="155">
        <v>36625</v>
      </c>
      <c r="G128" s="112">
        <f t="shared" ref="G128:G134" si="10">F128-E128</f>
        <v>315</v>
      </c>
      <c r="H128" s="99">
        <f>G128+'26'!H128</f>
        <v>9020.630000000001</v>
      </c>
      <c r="I128" s="165"/>
      <c r="J128" s="330">
        <f>H128/DAY(B2)</f>
        <v>334.09740740740745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'26'!F129</f>
        <v>19235</v>
      </c>
      <c r="F129" s="155">
        <v>19441</v>
      </c>
      <c r="G129" s="112">
        <f t="shared" si="10"/>
        <v>206</v>
      </c>
      <c r="H129" s="99">
        <f>G129+'26'!H129</f>
        <v>6693.41</v>
      </c>
      <c r="I129" s="165"/>
      <c r="J129" s="330">
        <f>H129/DAY(B2)</f>
        <v>247.90407407407406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'26'!F130</f>
        <v>14307</v>
      </c>
      <c r="F130" s="155">
        <v>15070</v>
      </c>
      <c r="G130" s="112">
        <f t="shared" si="10"/>
        <v>763</v>
      </c>
      <c r="H130" s="99">
        <f>G130+'26'!H130</f>
        <v>13012.89</v>
      </c>
      <c r="I130" s="165"/>
      <c r="J130" s="330">
        <f>H130/DAY(B2)</f>
        <v>481.95888888888885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'26'!F131</f>
        <v>12700</v>
      </c>
      <c r="F131" s="155">
        <v>12802</v>
      </c>
      <c r="G131" s="112">
        <f t="shared" si="10"/>
        <v>102</v>
      </c>
      <c r="H131" s="99">
        <f>G131+'26'!H131</f>
        <v>3632.6499999999996</v>
      </c>
      <c r="I131" s="165"/>
      <c r="J131" s="330">
        <f>H131/DAY(B2)</f>
        <v>134.54259259259257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'26'!F132</f>
        <v>38721</v>
      </c>
      <c r="F132" s="155">
        <v>39228</v>
      </c>
      <c r="G132" s="112">
        <f t="shared" si="10"/>
        <v>507</v>
      </c>
      <c r="H132" s="99">
        <f>G132+'26'!H132</f>
        <v>11434.639999999996</v>
      </c>
      <c r="I132" s="165"/>
      <c r="J132" s="330">
        <f>H132/DAY(B2)</f>
        <v>423.50518518518504</v>
      </c>
    </row>
    <row r="133" spans="1:15" ht="27.75" x14ac:dyDescent="0.5">
      <c r="A133" s="839" t="s">
        <v>363</v>
      </c>
      <c r="B133" s="840"/>
      <c r="C133" s="841"/>
      <c r="D133" s="151" t="s">
        <v>183</v>
      </c>
      <c r="E133" s="95">
        <f>'26'!F133</f>
        <v>84445</v>
      </c>
      <c r="F133" s="155">
        <v>85102</v>
      </c>
      <c r="G133" s="112">
        <f t="shared" si="10"/>
        <v>657</v>
      </c>
      <c r="H133" s="99">
        <f>G133+'26'!H133</f>
        <v>21627.58</v>
      </c>
      <c r="I133" s="165"/>
      <c r="J133" s="330">
        <f>H133/DAY(B2)</f>
        <v>801.0214814814816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'26'!F134</f>
        <v>665751</v>
      </c>
      <c r="F134" s="155">
        <v>666384</v>
      </c>
      <c r="G134" s="112">
        <f t="shared" si="10"/>
        <v>633</v>
      </c>
      <c r="H134" s="99">
        <f>G134+'26'!H134</f>
        <v>15177</v>
      </c>
      <c r="I134" s="165"/>
      <c r="J134" s="330">
        <f>H134/DAY(B2)</f>
        <v>562.11111111111109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3183</v>
      </c>
      <c r="H135" s="99">
        <f>G135+'23'!H135</f>
        <v>35514.21</v>
      </c>
      <c r="I135" s="329">
        <f>G135-(G35+G49)</f>
        <v>-182</v>
      </c>
      <c r="J135" s="330"/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'26'!F138</f>
        <v>863642</v>
      </c>
      <c r="F138" s="147">
        <v>863742</v>
      </c>
      <c r="G138" s="112">
        <f t="shared" ref="G138:G152" si="11">F138-E138</f>
        <v>100</v>
      </c>
      <c r="H138" s="99">
        <f>G138+'26'!H138</f>
        <v>2480</v>
      </c>
      <c r="I138" s="118"/>
      <c r="J138" s="330">
        <f>H138/DAY(B2)</f>
        <v>91.851851851851848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'26'!F139</f>
        <v>886525</v>
      </c>
      <c r="F139" s="148">
        <v>886542</v>
      </c>
      <c r="G139" s="112">
        <f t="shared" si="11"/>
        <v>17</v>
      </c>
      <c r="H139" s="99">
        <f>G139+'26'!H139</f>
        <v>343</v>
      </c>
      <c r="I139" s="118"/>
      <c r="J139" s="330">
        <f>H139/DAY(B2)</f>
        <v>12.703703703703704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'26'!F140</f>
        <v>88882</v>
      </c>
      <c r="F140" s="149">
        <v>88882</v>
      </c>
      <c r="G140" s="112">
        <f t="shared" si="11"/>
        <v>0</v>
      </c>
      <c r="H140" s="99">
        <f>G140+'26'!H140</f>
        <v>33</v>
      </c>
      <c r="I140" s="118"/>
      <c r="J140" s="330">
        <f>H140/DAY(B2)</f>
        <v>1.2222222222222223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'26'!F141</f>
        <v>48352</v>
      </c>
      <c r="F141" s="149">
        <v>48555</v>
      </c>
      <c r="G141" s="112">
        <f t="shared" si="11"/>
        <v>203</v>
      </c>
      <c r="H141" s="99">
        <f>G141+'26'!H141</f>
        <v>5428.2699999999968</v>
      </c>
      <c r="I141" s="118"/>
      <c r="J141" s="330">
        <f>H141/DAY(B2)</f>
        <v>201.04703703703692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'26'!F142</f>
        <v>18631</v>
      </c>
      <c r="F142" s="148">
        <v>18702</v>
      </c>
      <c r="G142" s="112">
        <f t="shared" si="11"/>
        <v>71</v>
      </c>
      <c r="H142" s="99">
        <f>G142+'26'!H142</f>
        <v>1241.5</v>
      </c>
      <c r="I142" s="140"/>
      <c r="J142" s="330">
        <f>H142/DAY(B2)</f>
        <v>45.981481481481481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'26'!F143</f>
        <v>2946</v>
      </c>
      <c r="F143" s="149">
        <v>2968</v>
      </c>
      <c r="G143" s="112">
        <f t="shared" si="11"/>
        <v>22</v>
      </c>
      <c r="H143" s="99">
        <f>G143+'26'!H143</f>
        <v>766.59999999999991</v>
      </c>
      <c r="I143" s="140"/>
      <c r="J143" s="330">
        <f>H143/DAY(B2)</f>
        <v>28.392592592592589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'26'!F144</f>
        <v>868486</v>
      </c>
      <c r="F144" s="149">
        <v>868722</v>
      </c>
      <c r="G144" s="112">
        <f t="shared" si="11"/>
        <v>236</v>
      </c>
      <c r="H144" s="99">
        <f>G144+'26'!H144</f>
        <v>6327</v>
      </c>
      <c r="I144" s="140"/>
      <c r="J144" s="330">
        <f>H144/DAY(B2)</f>
        <v>234.33333333333334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'26'!F145</f>
        <v>4491</v>
      </c>
      <c r="F145" s="149">
        <v>4506</v>
      </c>
      <c r="G145" s="112">
        <f t="shared" si="11"/>
        <v>15</v>
      </c>
      <c r="H145" s="99">
        <f>G145+'26'!H145</f>
        <v>1087</v>
      </c>
      <c r="I145" s="140"/>
      <c r="J145" s="330">
        <f>H145/DAY(B2)</f>
        <v>40.25925925925926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'26'!F146</f>
        <v>722504</v>
      </c>
      <c r="F146" s="148">
        <v>722992</v>
      </c>
      <c r="G146" s="112">
        <f t="shared" si="11"/>
        <v>488</v>
      </c>
      <c r="H146" s="99">
        <f>G146+'26'!H146</f>
        <v>12107</v>
      </c>
      <c r="I146" s="140"/>
      <c r="J146" s="330">
        <f>H146/DAY(B2)</f>
        <v>448.40740740740739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'26'!F147</f>
        <v>613642</v>
      </c>
      <c r="F147" s="148">
        <v>613648</v>
      </c>
      <c r="G147" s="112">
        <f t="shared" si="11"/>
        <v>6</v>
      </c>
      <c r="H147" s="99">
        <f>G147+'26'!H147</f>
        <v>11662.959999999963</v>
      </c>
      <c r="I147" s="140"/>
      <c r="J147" s="330">
        <f>H147/DAY(B2)</f>
        <v>431.96148148148012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'26'!F148</f>
        <v>681670</v>
      </c>
      <c r="F148" s="150">
        <v>681948</v>
      </c>
      <c r="G148" s="112">
        <f t="shared" si="11"/>
        <v>278</v>
      </c>
      <c r="H148" s="99">
        <f>G148+'26'!H148</f>
        <v>8158.3199999999488</v>
      </c>
      <c r="I148" s="124"/>
      <c r="J148" s="330">
        <f>H148/DAY(B2)</f>
        <v>302.15999999999809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'26'!F149</f>
        <v>8034</v>
      </c>
      <c r="F149" s="146">
        <v>8605</v>
      </c>
      <c r="G149" s="112">
        <f t="shared" si="11"/>
        <v>571</v>
      </c>
      <c r="H149" s="99">
        <f>G149+'26'!H149</f>
        <v>100823</v>
      </c>
      <c r="I149" s="119"/>
      <c r="J149" s="330">
        <f>H149/DAY(B2)</f>
        <v>3734.1851851851852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'26'!F150</f>
        <v>2930</v>
      </c>
      <c r="F150" s="233">
        <v>3160</v>
      </c>
      <c r="G150" s="112">
        <f t="shared" si="11"/>
        <v>230</v>
      </c>
      <c r="H150" s="99">
        <f>G150+'26'!H150</f>
        <v>2968</v>
      </c>
      <c r="I150" s="119"/>
      <c r="J150" s="330">
        <f>H150/DAY(B2)</f>
        <v>109.92592592592592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'26'!F151</f>
        <v>77013</v>
      </c>
      <c r="F151" s="233">
        <v>77224</v>
      </c>
      <c r="G151" s="112">
        <f t="shared" si="11"/>
        <v>211</v>
      </c>
      <c r="H151" s="99">
        <f>G151+'26'!H151</f>
        <v>6502</v>
      </c>
      <c r="I151" s="119"/>
      <c r="J151" s="330">
        <f>H151/DAY(B2)</f>
        <v>240.81481481481481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'26'!F152</f>
        <v>886</v>
      </c>
      <c r="F152" s="233">
        <v>934</v>
      </c>
      <c r="G152" s="112">
        <f t="shared" si="11"/>
        <v>48</v>
      </c>
      <c r="H152" s="99">
        <f>G152+'26'!H152</f>
        <v>934</v>
      </c>
      <c r="I152" s="119"/>
      <c r="J152" s="330">
        <f>H152/DAY(B2)</f>
        <v>34.592592592592595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2496</v>
      </c>
      <c r="H153" s="365"/>
      <c r="I153" s="119">
        <f>G153-(G38+G52)</f>
        <v>537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'26'!F155</f>
        <v>9494</v>
      </c>
      <c r="F155" s="517">
        <v>10144</v>
      </c>
      <c r="G155" s="112">
        <f t="shared" ref="G155:G158" si="12">F155-E155</f>
        <v>650</v>
      </c>
      <c r="H155" s="99">
        <f>G155+'26'!H155</f>
        <v>10237</v>
      </c>
      <c r="I155" s="366"/>
      <c r="J155" s="330">
        <f>H155/DAY(B2)</f>
        <v>379.14814814814815</v>
      </c>
    </row>
    <row r="156" spans="1:10" ht="27.75" x14ac:dyDescent="0.5">
      <c r="A156" s="838" t="s">
        <v>347</v>
      </c>
      <c r="B156" s="838"/>
      <c r="C156" s="838"/>
      <c r="D156" s="117" t="s">
        <v>130</v>
      </c>
      <c r="E156" s="95">
        <f>'26'!F156</f>
        <v>756</v>
      </c>
      <c r="F156" s="155">
        <v>812</v>
      </c>
      <c r="G156" s="112">
        <f t="shared" si="12"/>
        <v>56</v>
      </c>
      <c r="H156" s="99">
        <f>G156+'26'!H156</f>
        <v>812</v>
      </c>
      <c r="I156" s="165"/>
      <c r="J156" s="330">
        <f>H156/DAY(B2)</f>
        <v>30.074074074074073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>
        <f>'26'!F157</f>
        <v>880</v>
      </c>
      <c r="F157" s="155">
        <v>942</v>
      </c>
      <c r="G157" s="112">
        <f t="shared" si="12"/>
        <v>62</v>
      </c>
      <c r="H157" s="99">
        <f>G157+'26'!H157</f>
        <v>942</v>
      </c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>
        <f>'26'!F158</f>
        <v>1.36</v>
      </c>
      <c r="F158" s="155">
        <v>1.43</v>
      </c>
      <c r="G158" s="112">
        <f t="shared" si="12"/>
        <v>6.999999999999984E-2</v>
      </c>
      <c r="H158" s="99">
        <f>G158+'26'!H158</f>
        <v>1.3499999999999999</v>
      </c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471149</v>
      </c>
      <c r="F161" s="235">
        <v>471151</v>
      </c>
      <c r="G161" s="238">
        <f t="shared" ref="G161:G165" si="13">F161-E161</f>
        <v>2</v>
      </c>
      <c r="H161" s="99">
        <f>G161+'26'!H161</f>
        <v>174.88000000000466</v>
      </c>
      <c r="I161" s="236"/>
      <c r="J161" s="239">
        <f>H161/DAY(B2)</f>
        <v>6.4770370370372099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87424</v>
      </c>
      <c r="F162" s="235">
        <v>87454</v>
      </c>
      <c r="G162" s="238">
        <f t="shared" si="13"/>
        <v>30</v>
      </c>
      <c r="H162" s="99">
        <f>G162+'26'!H162</f>
        <v>852.30000000000291</v>
      </c>
      <c r="I162" s="236"/>
      <c r="J162" s="239">
        <f>H162/DAY(B2)</f>
        <v>31.566666666666773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77457</v>
      </c>
      <c r="F163" s="235">
        <v>77551</v>
      </c>
      <c r="G163" s="238">
        <f t="shared" si="13"/>
        <v>94</v>
      </c>
      <c r="H163" s="99">
        <f>G163+'26'!H163</f>
        <v>2091.1999999999971</v>
      </c>
      <c r="I163" s="236"/>
      <c r="J163" s="239">
        <f>H163/DAY(B2)</f>
        <v>77.451851851851742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4226</v>
      </c>
      <c r="F164" s="235">
        <v>4230</v>
      </c>
      <c r="G164" s="238">
        <f t="shared" si="13"/>
        <v>4</v>
      </c>
      <c r="H164" s="99">
        <f>G164+'26'!H164</f>
        <v>132.10000000000036</v>
      </c>
      <c r="I164" s="236"/>
      <c r="J164" s="239">
        <f>H164/DAY(B2)</f>
        <v>4.8925925925926057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29613</v>
      </c>
      <c r="F165" s="235">
        <v>29619</v>
      </c>
      <c r="G165" s="238">
        <f t="shared" si="13"/>
        <v>6</v>
      </c>
      <c r="H165" s="99">
        <f>G165+'26'!H165</f>
        <v>190.06880000000092</v>
      </c>
      <c r="I165" s="236"/>
      <c r="J165" s="239">
        <f>H165/DAY(B2)</f>
        <v>7.0395851851852189</v>
      </c>
    </row>
    <row r="166" spans="1:10" ht="29.25" x14ac:dyDescent="0.5">
      <c r="A166" s="870"/>
      <c r="B166" s="870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'26'!F173</f>
        <v>8126</v>
      </c>
      <c r="F173" s="155">
        <v>8126</v>
      </c>
      <c r="G173" s="155">
        <f>F173-E173</f>
        <v>0</v>
      </c>
      <c r="H173" s="99">
        <f>G173+'26'!H173</f>
        <v>19</v>
      </c>
      <c r="I173" s="155"/>
      <c r="J173" s="178">
        <f>H173/DAY(B2)</f>
        <v>0.70370370370370372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'26'!F174</f>
        <v>38221</v>
      </c>
      <c r="F174" s="157">
        <v>38236</v>
      </c>
      <c r="G174" s="155">
        <f t="shared" ref="G174:G175" si="14">F174-E174</f>
        <v>15</v>
      </c>
      <c r="H174" s="99">
        <f>G174+'26'!H174</f>
        <v>434</v>
      </c>
      <c r="I174" s="155"/>
      <c r="J174" s="178">
        <f>H174/DAY(B2)</f>
        <v>16.074074074074073</v>
      </c>
    </row>
    <row r="175" spans="1:10" ht="27.75" x14ac:dyDescent="0.5">
      <c r="A175" s="831" t="s">
        <v>76</v>
      </c>
      <c r="B175" s="833"/>
      <c r="C175" s="832"/>
      <c r="D175" s="228" t="s">
        <v>142</v>
      </c>
      <c r="E175" s="95">
        <f>'26'!F175</f>
        <v>21463</v>
      </c>
      <c r="F175" s="155">
        <v>21475</v>
      </c>
      <c r="G175" s="155">
        <f t="shared" si="14"/>
        <v>12</v>
      </c>
      <c r="H175" s="99">
        <f>G175+'26'!H175</f>
        <v>338</v>
      </c>
      <c r="I175" s="155"/>
      <c r="J175" s="178">
        <f>H175/DAY(B2)</f>
        <v>12.518518518518519</v>
      </c>
    </row>
    <row r="176" spans="1:10" ht="27.75" x14ac:dyDescent="0.5">
      <c r="A176" s="867" t="s">
        <v>196</v>
      </c>
      <c r="B176" s="868"/>
      <c r="C176" s="529"/>
      <c r="D176" s="228" t="s">
        <v>142</v>
      </c>
      <c r="E176" s="95"/>
      <c r="F176" s="155"/>
      <c r="G176" s="155">
        <f>SUM(G173:G175)</f>
        <v>27</v>
      </c>
      <c r="H176" s="99">
        <f>G176+'26'!H176</f>
        <v>791</v>
      </c>
      <c r="I176" s="155"/>
      <c r="J176" s="178">
        <f>H176/DAY(B2)</f>
        <v>29.296296296296298</v>
      </c>
    </row>
    <row r="177" spans="1:10" ht="27.75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831" t="s">
        <v>210</v>
      </c>
      <c r="B178" s="832"/>
      <c r="C178" s="335"/>
      <c r="D178" s="228" t="s">
        <v>142</v>
      </c>
      <c r="E178" s="95">
        <f>'26'!F178</f>
        <v>79276</v>
      </c>
      <c r="F178" s="155">
        <v>79338</v>
      </c>
      <c r="G178" s="155">
        <f>F178-E178</f>
        <v>62</v>
      </c>
      <c r="H178" s="99">
        <f>G178+'26'!H178</f>
        <v>1986</v>
      </c>
      <c r="I178" s="155"/>
      <c r="J178" s="178">
        <f>H178/DAY(B2)</f>
        <v>73.555555555555557</v>
      </c>
    </row>
    <row r="179" spans="1:10" ht="27.75" x14ac:dyDescent="0.5">
      <c r="A179" s="831" t="s">
        <v>211</v>
      </c>
      <c r="B179" s="832"/>
      <c r="C179" s="335"/>
      <c r="D179" s="228" t="s">
        <v>142</v>
      </c>
      <c r="E179" s="95">
        <f>'26'!F179</f>
        <v>33915</v>
      </c>
      <c r="F179" s="155">
        <v>33915</v>
      </c>
      <c r="G179" s="155">
        <f t="shared" ref="G179:G180" si="15">F179-E179</f>
        <v>0</v>
      </c>
      <c r="H179" s="99">
        <f>G179+'26'!H179</f>
        <v>29</v>
      </c>
      <c r="I179" s="155"/>
      <c r="J179" s="178">
        <f>H179/DAY(B2)</f>
        <v>1.0740740740740742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'26'!F180</f>
        <v>5449</v>
      </c>
      <c r="F180" s="155">
        <v>5457</v>
      </c>
      <c r="G180" s="155">
        <f t="shared" si="15"/>
        <v>8</v>
      </c>
      <c r="H180" s="99">
        <f>G180+'26'!H180</f>
        <v>184</v>
      </c>
      <c r="I180" s="155"/>
      <c r="J180" s="178">
        <f>H180/DAY(B2)</f>
        <v>6.8148148148148149</v>
      </c>
    </row>
    <row r="181" spans="1:10" ht="27.75" x14ac:dyDescent="0.5">
      <c r="A181" s="872" t="s">
        <v>108</v>
      </c>
      <c r="B181" s="873"/>
      <c r="C181" s="529"/>
      <c r="D181" s="228" t="s">
        <v>142</v>
      </c>
      <c r="E181" s="95"/>
      <c r="F181" s="155"/>
      <c r="G181" s="155">
        <f>SUM(G178:G180)</f>
        <v>70</v>
      </c>
      <c r="H181" s="99">
        <f>G181+'26'!H181</f>
        <v>2199</v>
      </c>
      <c r="I181" s="155"/>
      <c r="J181" s="178">
        <f>H181/DAY(B2)</f>
        <v>81.444444444444443</v>
      </c>
    </row>
    <row r="182" spans="1:10" ht="27.75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'26'!F183</f>
        <v>14872</v>
      </c>
      <c r="F183" s="157">
        <v>14881</v>
      </c>
      <c r="G183" s="157">
        <f>F183-E183</f>
        <v>9</v>
      </c>
      <c r="H183" s="99">
        <f>G183+'26'!H183</f>
        <v>385</v>
      </c>
      <c r="I183" s="155"/>
      <c r="J183" s="178">
        <f>H183/DAY(B2)</f>
        <v>14.25925925925926</v>
      </c>
    </row>
    <row r="184" spans="1:10" ht="27.75" x14ac:dyDescent="0.5">
      <c r="A184" s="831" t="s">
        <v>215</v>
      </c>
      <c r="B184" s="832"/>
      <c r="C184" s="336"/>
      <c r="D184" s="228" t="s">
        <v>142</v>
      </c>
      <c r="E184" s="95">
        <f>'26'!F184</f>
        <v>10265</v>
      </c>
      <c r="F184" s="157">
        <v>10279</v>
      </c>
      <c r="G184" s="157">
        <f t="shared" ref="G184:G185" si="16">F184-E184</f>
        <v>14</v>
      </c>
      <c r="H184" s="99">
        <f>G184+'26'!H184</f>
        <v>248</v>
      </c>
      <c r="I184" s="155"/>
      <c r="J184" s="178">
        <f>H184/DAY(B2)</f>
        <v>9.1851851851851851</v>
      </c>
    </row>
    <row r="185" spans="1:10" ht="25.5" customHeight="1" x14ac:dyDescent="0.5">
      <c r="A185" s="831" t="s">
        <v>216</v>
      </c>
      <c r="B185" s="832"/>
      <c r="C185" s="336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867" t="s">
        <v>196</v>
      </c>
      <c r="B186" s="868"/>
      <c r="C186" s="528"/>
      <c r="D186" s="228" t="s">
        <v>142</v>
      </c>
      <c r="E186" s="95"/>
      <c r="F186" s="157"/>
      <c r="G186" s="157">
        <f>SUM(G183:G185)</f>
        <v>23</v>
      </c>
      <c r="H186" s="99">
        <f>G186+'26'!H186</f>
        <v>633</v>
      </c>
      <c r="I186" s="157"/>
      <c r="J186" s="178">
        <f>H186/DAY(B2)</f>
        <v>23.444444444444443</v>
      </c>
    </row>
    <row r="187" spans="1:10" ht="27.75" x14ac:dyDescent="0.5">
      <c r="A187" s="876" t="s">
        <v>217</v>
      </c>
      <c r="B187" s="877"/>
      <c r="C187" s="335"/>
      <c r="D187" s="228" t="s">
        <v>142</v>
      </c>
      <c r="E187" s="95">
        <f>'26'!F187</f>
        <v>0</v>
      </c>
      <c r="F187" s="159"/>
      <c r="G187" s="506">
        <f>G62+G19</f>
        <v>180</v>
      </c>
      <c r="H187" s="99">
        <f>G187+'26'!H187</f>
        <v>4778</v>
      </c>
      <c r="I187" s="158"/>
      <c r="J187" s="179">
        <f>H187/DAY(B2)</f>
        <v>176.96296296296296</v>
      </c>
    </row>
    <row r="188" spans="1:10" ht="27.75" x14ac:dyDescent="0.5">
      <c r="A188" s="876" t="s">
        <v>218</v>
      </c>
      <c r="B188" s="877"/>
      <c r="C188" s="335"/>
      <c r="D188" s="228" t="s">
        <v>142</v>
      </c>
      <c r="E188" s="95">
        <f>'26'!F188</f>
        <v>0</v>
      </c>
      <c r="F188" s="159"/>
      <c r="G188" s="506">
        <f>G65+G66+G67+G69+G70</f>
        <v>164</v>
      </c>
      <c r="H188" s="99">
        <f>G188+'26'!H188</f>
        <v>2256</v>
      </c>
      <c r="I188" s="158"/>
      <c r="J188" s="179">
        <f>H188/DAY(B2)</f>
        <v>83.555555555555557</v>
      </c>
    </row>
    <row r="189" spans="1:10" ht="27.75" x14ac:dyDescent="0.5">
      <c r="A189" s="876" t="s">
        <v>219</v>
      </c>
      <c r="B189" s="877"/>
      <c r="C189" s="335"/>
      <c r="D189" s="230" t="s">
        <v>142</v>
      </c>
      <c r="E189" s="95">
        <f>'26'!F189</f>
        <v>0</v>
      </c>
      <c r="F189" s="157"/>
      <c r="G189" s="503">
        <f>G181</f>
        <v>70</v>
      </c>
      <c r="H189" s="99">
        <f>G189+'26'!H189</f>
        <v>685</v>
      </c>
      <c r="I189" s="158"/>
      <c r="J189" s="179">
        <f>H189/DAY(B2)</f>
        <v>25.37037037037037</v>
      </c>
    </row>
    <row r="190" spans="1:10" ht="27.75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139" zoomScale="55" zoomScaleNormal="80" zoomScaleSheetLayoutView="55" workbookViewId="0">
      <selection activeCell="G156" sqref="G15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350</v>
      </c>
      <c r="B2" s="262">
        <v>44528</v>
      </c>
      <c r="C2" s="350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21552</v>
      </c>
      <c r="F7" s="95">
        <v>35407.620000000003</v>
      </c>
      <c r="G7" s="112">
        <f>F7-E7+7214</f>
        <v>21069.620000000003</v>
      </c>
      <c r="H7" s="99">
        <f>G7+'27'!H7</f>
        <v>634933.62</v>
      </c>
      <c r="I7" s="113">
        <f>'1'!I7</f>
        <v>12000</v>
      </c>
      <c r="J7" s="175">
        <f>H7/DAY(B2)</f>
        <v>22676.200714285715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59975</v>
      </c>
      <c r="F8" s="95">
        <v>81220.88</v>
      </c>
      <c r="G8" s="115">
        <f>F8-E8</f>
        <v>21245.880000000005</v>
      </c>
      <c r="H8" s="99">
        <f>G8+'27'!H8</f>
        <v>642925.88</v>
      </c>
      <c r="I8" s="116"/>
      <c r="J8" s="175">
        <f>H8/DAY(B2)</f>
        <v>22961.638571428572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21045.880000000005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2197302</v>
      </c>
      <c r="F9" s="659">
        <v>2214383.9</v>
      </c>
      <c r="G9" s="112">
        <f>F9-E9</f>
        <v>17081.899999999907</v>
      </c>
      <c r="H9" s="99">
        <f>G9+'27'!H9</f>
        <v>495286.19999999995</v>
      </c>
      <c r="I9" s="124">
        <f>I7-J7</f>
        <v>-10676.200714285715</v>
      </c>
      <c r="J9" s="175">
        <f>H9/DAY(B2)</f>
        <v>17688.792857142857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524694</v>
      </c>
      <c r="F10" s="355">
        <v>527426.55000000005</v>
      </c>
      <c r="G10" s="112">
        <f t="shared" ref="G10:G12" si="0">F10-E10</f>
        <v>2732.5500000000466</v>
      </c>
      <c r="H10" s="99">
        <f>G10+'27'!H10</f>
        <v>121344.12000000005</v>
      </c>
      <c r="I10" s="282"/>
      <c r="J10" s="175">
        <f>H10/DAY(B2)</f>
        <v>4333.7185714285733</v>
      </c>
      <c r="K10" s="79"/>
      <c r="L10" s="66"/>
      <c r="N10" s="87"/>
      <c r="O10" s="71">
        <f>F7-O8</f>
        <v>14361.739999999998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37000</v>
      </c>
      <c r="F11" s="95">
        <v>37000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23.739999999997963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19814.449999999953</v>
      </c>
      <c r="H13" s="99">
        <f>G13+'27'!H13</f>
        <v>594579.44999999995</v>
      </c>
      <c r="I13" s="120">
        <f>G7-G13</f>
        <v>1255.1700000000492</v>
      </c>
      <c r="J13" s="175">
        <f>H13/DAY(B2)</f>
        <v>21234.980357142857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'27'!F15</f>
        <v>1874401</v>
      </c>
      <c r="F15" s="123">
        <v>1875427.03</v>
      </c>
      <c r="G15" s="112">
        <f>(F15-E15)</f>
        <v>1026.0300000000279</v>
      </c>
      <c r="H15" s="99">
        <f>G15+'27'!H15</f>
        <v>32279.030000000028</v>
      </c>
      <c r="I15" s="113">
        <f>'1'!I15</f>
        <v>800</v>
      </c>
      <c r="J15" s="175">
        <f>H15/DAY(B2)</f>
        <v>1152.8225000000009</v>
      </c>
      <c r="K15" s="79"/>
      <c r="L15" s="66"/>
      <c r="N15" s="87"/>
      <c r="O15" s="71">
        <f>G8-200</f>
        <v>21045.880000000005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-352.8225000000009</v>
      </c>
      <c r="J16" s="176"/>
      <c r="K16" s="79"/>
      <c r="L16" s="66"/>
      <c r="N16" s="87"/>
      <c r="O16" s="71"/>
    </row>
    <row r="17" spans="1:16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809" t="s">
        <v>141</v>
      </c>
      <c r="B18" s="810"/>
      <c r="C18" s="811"/>
      <c r="D18" s="151" t="s">
        <v>142</v>
      </c>
      <c r="E18" s="95">
        <f>'27'!F18</f>
        <v>20</v>
      </c>
      <c r="F18" s="122">
        <v>24</v>
      </c>
      <c r="G18" s="119">
        <f>F18*10</f>
        <v>240</v>
      </c>
      <c r="H18" s="99">
        <f>G18+'27'!H18</f>
        <v>5890</v>
      </c>
      <c r="I18" s="113">
        <f>'1'!I18</f>
        <v>65</v>
      </c>
      <c r="J18" s="175">
        <f>H18/DAY(B2)</f>
        <v>210.35714285714286</v>
      </c>
      <c r="K18" s="79"/>
      <c r="L18" s="66"/>
      <c r="N18" s="87"/>
      <c r="O18" s="71"/>
    </row>
    <row r="19" spans="1:16" ht="27.75" x14ac:dyDescent="0.5">
      <c r="A19" s="809" t="s">
        <v>69</v>
      </c>
      <c r="B19" s="810"/>
      <c r="C19" s="811"/>
      <c r="D19" s="151" t="s">
        <v>142</v>
      </c>
      <c r="E19" s="95">
        <f>'27'!F19</f>
        <v>152009</v>
      </c>
      <c r="F19" s="122">
        <v>152060</v>
      </c>
      <c r="G19" s="112">
        <f t="shared" ref="G19" si="1">F19-E19</f>
        <v>51</v>
      </c>
      <c r="H19" s="99">
        <f>G19+'27'!H19</f>
        <v>1476</v>
      </c>
      <c r="I19" s="337"/>
      <c r="J19" s="175">
        <f>H19/DAY(B2)</f>
        <v>52.714285714285715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291</v>
      </c>
      <c r="H20" s="99">
        <f>G20+'27'!H20</f>
        <v>7366</v>
      </c>
      <c r="I20" s="338">
        <f>I18-J20</f>
        <v>-198.07142857142856</v>
      </c>
      <c r="J20" s="175">
        <f>H20/DAY(B2)</f>
        <v>263.07142857142856</v>
      </c>
      <c r="K20" s="79"/>
      <c r="L20" s="66"/>
      <c r="N20" s="87"/>
      <c r="O20" s="71"/>
    </row>
    <row r="21" spans="1:16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7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7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21245.880000000005</v>
      </c>
      <c r="F27" s="136">
        <v>9</v>
      </c>
      <c r="G27" s="137">
        <f>E27*F27</f>
        <v>191212.92000000004</v>
      </c>
      <c r="H27" s="99">
        <f>G27+'27'!H27</f>
        <v>5786332.9199999999</v>
      </c>
      <c r="I27" s="138"/>
      <c r="J27" s="175">
        <f>H27/DAY(B2)</f>
        <v>206654.74714285714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1026.0300000000279</v>
      </c>
      <c r="F28" s="136">
        <v>52</v>
      </c>
      <c r="G28" s="137">
        <f>E28*F28</f>
        <v>53353.560000001453</v>
      </c>
      <c r="H28" s="99">
        <f>G28+'27'!H28</f>
        <v>1678509.5600000015</v>
      </c>
      <c r="I28" s="140"/>
      <c r="J28" s="175">
        <f>H28/DAY(B2)</f>
        <v>59946.770000000055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G30+'27'!H30</f>
        <v>215496</v>
      </c>
      <c r="I30" s="140"/>
      <c r="J30" s="175">
        <f>H30/DAY(B2)</f>
        <v>7696.2857142857147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G31+'27'!H31</f>
        <v>471200</v>
      </c>
      <c r="I31" s="140"/>
      <c r="J31" s="175">
        <f>H31/DAY(B2)</f>
        <v>16828.571428571428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271212.48000000149</v>
      </c>
      <c r="H32" s="99">
        <f>G32+'27'!H32</f>
        <v>8151538.4800000014</v>
      </c>
      <c r="I32" s="144"/>
      <c r="J32" s="175">
        <f>H32/DAY(B2)</f>
        <v>291126.37428571435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145179</v>
      </c>
      <c r="F35" s="145">
        <v>147015.26999999999</v>
      </c>
      <c r="G35" s="112">
        <f t="shared" ref="G35:G46" si="3">F35-E35</f>
        <v>1836.2699999999895</v>
      </c>
      <c r="H35" s="99">
        <f>G35+'27'!H35</f>
        <v>53480.639999999985</v>
      </c>
      <c r="I35" s="95"/>
      <c r="J35" s="175">
        <f>H35/DAY(B2)</f>
        <v>1910.0228571428565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18238</v>
      </c>
      <c r="F36" s="145">
        <v>19004.939999999999</v>
      </c>
      <c r="G36" s="112">
        <f t="shared" si="3"/>
        <v>766.93999999999869</v>
      </c>
      <c r="H36" s="99">
        <f>G36+'27'!H36</f>
        <v>29271.240000000005</v>
      </c>
      <c r="I36" s="95"/>
      <c r="J36" s="175">
        <f>H36/DAY(B2)</f>
        <v>1045.4014285714288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189109</v>
      </c>
      <c r="F37" s="145">
        <v>190645.23</v>
      </c>
      <c r="G37" s="112">
        <f t="shared" si="3"/>
        <v>1536.2300000000105</v>
      </c>
      <c r="H37" s="99">
        <f>G37+'27'!H37</f>
        <v>45138.49000000002</v>
      </c>
      <c r="I37" s="95"/>
      <c r="J37" s="175">
        <f>H37/DAY(B2)</f>
        <v>1612.0889285714293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224984</v>
      </c>
      <c r="F38" s="108">
        <v>226951.49</v>
      </c>
      <c r="G38" s="112">
        <f t="shared" si="3"/>
        <v>1967.4899999999907</v>
      </c>
      <c r="H38" s="99">
        <f>G38+'27'!H38</f>
        <v>55947.44</v>
      </c>
      <c r="I38" s="95"/>
      <c r="J38" s="175">
        <f>H38/DAY(B2)</f>
        <v>1998.1228571428571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400137</v>
      </c>
      <c r="F39" s="145">
        <v>402877.43</v>
      </c>
      <c r="G39" s="112">
        <f t="shared" si="3"/>
        <v>2740.429999999993</v>
      </c>
      <c r="H39" s="99">
        <f>G39+'27'!H39</f>
        <v>81214.140000000014</v>
      </c>
      <c r="I39" s="95"/>
      <c r="J39" s="175">
        <f>H39/DAY(B2)</f>
        <v>2900.5050000000006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4084</v>
      </c>
      <c r="F40" s="145">
        <v>5066.7700000000004</v>
      </c>
      <c r="G40" s="112">
        <f t="shared" si="3"/>
        <v>982.77000000000044</v>
      </c>
      <c r="H40" s="99">
        <f>G40+'27'!H40</f>
        <v>5495.7000000000007</v>
      </c>
      <c r="I40" s="95"/>
      <c r="J40" s="175">
        <f>H40/DAY(B2)</f>
        <v>196.27500000000003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0</v>
      </c>
      <c r="F41" s="145">
        <v>0</v>
      </c>
      <c r="G41" s="112">
        <f t="shared" si="3"/>
        <v>0</v>
      </c>
      <c r="H41" s="99">
        <f>G41+'27'!H41</f>
        <v>9386.2900000000373</v>
      </c>
      <c r="I41" s="95"/>
      <c r="J41" s="175">
        <f>H41/DAY(B2)</f>
        <v>335.2246428571442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63114</v>
      </c>
      <c r="F42" s="145">
        <v>67675.429999999993</v>
      </c>
      <c r="G42" s="112">
        <f t="shared" si="3"/>
        <v>4561.429999999993</v>
      </c>
      <c r="H42" s="99">
        <f>G42+'27'!H42</f>
        <v>109281.44</v>
      </c>
      <c r="I42" s="95"/>
      <c r="J42" s="175">
        <f>H42/DAY(B2)</f>
        <v>3902.9085714285716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37050</v>
      </c>
      <c r="F43" s="145">
        <v>39532.07</v>
      </c>
      <c r="G43" s="112">
        <f t="shared" si="3"/>
        <v>2482.0699999999997</v>
      </c>
      <c r="H43" s="99">
        <f>G43+'27'!H43</f>
        <v>75614.469999999914</v>
      </c>
      <c r="I43" s="95"/>
      <c r="J43" s="175">
        <f>H43/DAY(B2)</f>
        <v>2700.5167857142828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16873.629999999976</v>
      </c>
      <c r="H47" s="99">
        <f>G47+'27'!H47</f>
        <v>464829.85</v>
      </c>
      <c r="I47" s="95"/>
      <c r="J47" s="175">
        <f>H47/DAY(B2)</f>
        <v>16601.06607142857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266456</v>
      </c>
      <c r="F49" s="145">
        <v>267940.40999999997</v>
      </c>
      <c r="G49" s="112">
        <f t="shared" ref="G49:G58" si="4">F49-E49</f>
        <v>1484.4099999999744</v>
      </c>
      <c r="H49" s="99">
        <f>G49+'27'!H49</f>
        <v>47427.079999999987</v>
      </c>
      <c r="I49" s="95"/>
      <c r="J49" s="175">
        <f>H49/DAY(B2)</f>
        <v>1693.8242857142852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20426</v>
      </c>
      <c r="F50" s="145">
        <v>21574.2</v>
      </c>
      <c r="G50" s="112">
        <f t="shared" si="4"/>
        <v>1148.2000000000007</v>
      </c>
      <c r="H50" s="99">
        <f>G50+'27'!H50</f>
        <v>37426.010000000068</v>
      </c>
      <c r="I50" s="95"/>
      <c r="J50" s="175">
        <f>H50/DAY(B2)</f>
        <v>1336.6432142857168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3166</v>
      </c>
      <c r="F54" s="145">
        <v>3170.4</v>
      </c>
      <c r="G54" s="112">
        <f t="shared" si="4"/>
        <v>4.4000000000000909</v>
      </c>
      <c r="H54" s="99">
        <f>G54+'27'!H54</f>
        <v>139.11999999999989</v>
      </c>
      <c r="I54" s="95"/>
      <c r="J54" s="175">
        <f>H54/DAY(B2)</f>
        <v>4.9685714285714244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0</v>
      </c>
      <c r="F55" s="145">
        <v>0</v>
      </c>
      <c r="G55" s="112">
        <f t="shared" si="4"/>
        <v>0</v>
      </c>
      <c r="H55" s="99">
        <f>G55+'27'!H55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8610.5400000000009</v>
      </c>
      <c r="F56" s="145">
        <v>8610.5400000000009</v>
      </c>
      <c r="G56" s="112">
        <f t="shared" si="4"/>
        <v>0</v>
      </c>
      <c r="H56" s="99">
        <f>G56+'27'!H56</f>
        <v>30160.589999999986</v>
      </c>
      <c r="I56" s="95"/>
      <c r="J56" s="175">
        <f>H56/DAY(B2)</f>
        <v>1077.163928571428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91484</v>
      </c>
      <c r="F58" s="145">
        <v>91702.32</v>
      </c>
      <c r="G58" s="112">
        <f t="shared" si="4"/>
        <v>218.32000000000698</v>
      </c>
      <c r="H58" s="99">
        <f>G58+'27'!H58</f>
        <v>6377.4700000000012</v>
      </c>
      <c r="I58" s="95"/>
      <c r="J58" s="175">
        <f>H58/DAY(B2)</f>
        <v>227.76678571428576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2855.3299999999822</v>
      </c>
      <c r="H59" s="99">
        <f>G59+'27'!H59</f>
        <v>121530.27000000005</v>
      </c>
      <c r="I59" s="95">
        <f>G7-G60</f>
        <v>1340.6600000000435</v>
      </c>
      <c r="J59" s="175">
        <f>H59/DAY(B2)</f>
        <v>4340.3667857142873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19728.959999999959</v>
      </c>
      <c r="H60" s="99">
        <f>G60+'27'!H60</f>
        <v>586360.12000000011</v>
      </c>
      <c r="I60" s="95">
        <f>G13-G60</f>
        <v>85.489999999994325</v>
      </c>
      <c r="J60" s="175">
        <f>H60/DAY(B2)</f>
        <v>20941.43285714286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'27'!F62</f>
        <v>266818</v>
      </c>
      <c r="F62" s="122">
        <v>266956</v>
      </c>
      <c r="G62" s="112">
        <f t="shared" ref="G62:G63" si="5">F62-E62</f>
        <v>138</v>
      </c>
      <c r="H62" s="99">
        <f>G62+'27'!H62</f>
        <v>3491</v>
      </c>
      <c r="I62" s="118"/>
      <c r="J62" s="175">
        <f>H62/DAY(B2)</f>
        <v>124.67857142857143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'27'!F63</f>
        <v>212062</v>
      </c>
      <c r="F63" s="122">
        <v>212166.1</v>
      </c>
      <c r="G63" s="112">
        <f t="shared" si="5"/>
        <v>104.10000000000582</v>
      </c>
      <c r="H63" s="99">
        <f>G63+'27'!H63</f>
        <v>2791.1000000000058</v>
      </c>
      <c r="I63" s="118"/>
      <c r="J63" s="175">
        <f>H63/DAY(B2)</f>
        <v>99.682142857143063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'27'!F64</f>
        <v>0</v>
      </c>
      <c r="F64" s="122"/>
      <c r="G64" s="112">
        <f>G62+G63</f>
        <v>242.10000000000582</v>
      </c>
      <c r="H64" s="99">
        <f>G64+'27'!H64</f>
        <v>6282.1000000000058</v>
      </c>
      <c r="I64" s="118"/>
      <c r="J64" s="175">
        <f>H64/DAY(B2)</f>
        <v>224.36071428571449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'27'!F65</f>
        <v>432179</v>
      </c>
      <c r="F65" s="122">
        <v>432313</v>
      </c>
      <c r="G65" s="112">
        <f t="shared" ref="G65:G70" si="6">F65-E65</f>
        <v>134</v>
      </c>
      <c r="H65" s="99">
        <f>G65+'27'!H65</f>
        <v>2950</v>
      </c>
      <c r="I65" s="118"/>
      <c r="J65" s="175">
        <f>H65/DAY(B2)</f>
        <v>105.35714285714286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'27'!F66</f>
        <v>107141</v>
      </c>
      <c r="F66" s="122">
        <v>107157</v>
      </c>
      <c r="G66" s="112">
        <f t="shared" si="6"/>
        <v>16</v>
      </c>
      <c r="H66" s="99">
        <f>G66+'27'!H66</f>
        <v>558</v>
      </c>
      <c r="I66" s="118"/>
      <c r="J66" s="175">
        <f>H66/DAY(B2)</f>
        <v>19.928571428571427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'27'!F67</f>
        <v>103808</v>
      </c>
      <c r="F67" s="122">
        <v>103834</v>
      </c>
      <c r="G67" s="112">
        <f t="shared" si="6"/>
        <v>26</v>
      </c>
      <c r="H67" s="99">
        <f>G67+'27'!H67</f>
        <v>823</v>
      </c>
      <c r="I67" s="118"/>
      <c r="J67" s="175">
        <f>H67/DAY(B2)</f>
        <v>29.392857142857142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'27'!F68</f>
        <v>156480</v>
      </c>
      <c r="F68" s="122">
        <v>156520</v>
      </c>
      <c r="G68" s="112">
        <f t="shared" si="6"/>
        <v>40</v>
      </c>
      <c r="H68" s="99">
        <f>G68+'27'!H68</f>
        <v>1080</v>
      </c>
      <c r="I68" s="118"/>
      <c r="J68" s="175">
        <f>H68/DAY(B2)</f>
        <v>38.571428571428569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'27'!F69</f>
        <v>10159</v>
      </c>
      <c r="F69" s="122">
        <v>10176</v>
      </c>
      <c r="G69" s="112">
        <f t="shared" si="6"/>
        <v>17</v>
      </c>
      <c r="H69" s="99">
        <f>G69+'27'!H69</f>
        <v>333</v>
      </c>
      <c r="I69" s="118"/>
      <c r="J69" s="175">
        <f>H69/DAY(B2)</f>
        <v>11.892857142857142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'27'!F70</f>
        <v>7837</v>
      </c>
      <c r="F70" s="122">
        <v>7843</v>
      </c>
      <c r="G70" s="112">
        <f t="shared" si="6"/>
        <v>6</v>
      </c>
      <c r="H70" s="99">
        <f>G70+'27'!H70</f>
        <v>301</v>
      </c>
      <c r="I70" s="118"/>
      <c r="J70" s="175">
        <f>H70/DAY(B2)</f>
        <v>10.75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239</v>
      </c>
      <c r="H71" s="99">
        <f>G71+'27'!H71</f>
        <v>6045</v>
      </c>
      <c r="I71" s="154"/>
      <c r="J71" s="175">
        <f>H71/DAY(B2)</f>
        <v>215.89285714285714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'27'!F74</f>
        <v>890804</v>
      </c>
      <c r="F74" s="117">
        <v>891129.92099999997</v>
      </c>
      <c r="G74" s="112">
        <f t="shared" ref="G74:G78" si="7">F74-E74</f>
        <v>325.92099999997299</v>
      </c>
      <c r="H74" s="99">
        <f>G74+'27'!H74</f>
        <v>8876.8719999999739</v>
      </c>
      <c r="I74" s="154"/>
      <c r="J74" s="175">
        <f>H74/DAY(B2)</f>
        <v>317.0311428571419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243.88999999999942</v>
      </c>
      <c r="I75" s="154"/>
      <c r="J75" s="175">
        <f>H75/DAY(B2)</f>
        <v>8.7103571428571218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'27'!F76</f>
        <v>166821</v>
      </c>
      <c r="F76" s="123">
        <v>166906.94</v>
      </c>
      <c r="G76" s="112">
        <f t="shared" si="7"/>
        <v>85.940000000002328</v>
      </c>
      <c r="H76" s="99">
        <f>G76+'27'!H76</f>
        <v>3522.9400000000023</v>
      </c>
      <c r="I76" s="154"/>
      <c r="J76" s="175">
        <f>H76/DAY(B2)</f>
        <v>125.8192857142858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'27'!F77</f>
        <v>40160</v>
      </c>
      <c r="F77" s="123">
        <v>40190</v>
      </c>
      <c r="G77" s="112">
        <f t="shared" si="7"/>
        <v>30</v>
      </c>
      <c r="H77" s="99">
        <f>G77+'27'!H77</f>
        <v>1380</v>
      </c>
      <c r="I77" s="154"/>
      <c r="J77" s="175">
        <f>H77/DAY(B2)</f>
        <v>49.285714285714285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'27'!F78</f>
        <v>9479</v>
      </c>
      <c r="F78" s="123">
        <v>9479.9</v>
      </c>
      <c r="G78" s="112">
        <f t="shared" si="7"/>
        <v>0.8999999999996362</v>
      </c>
      <c r="H78" s="99">
        <f>G78+'27'!H78</f>
        <v>67.899999999999636</v>
      </c>
      <c r="I78" s="118"/>
      <c r="J78" s="175">
        <f>H78/DAY(B2)</f>
        <v>2.4249999999999869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'27'!F79</f>
        <v>0</v>
      </c>
      <c r="F79" s="123"/>
      <c r="G79" s="112">
        <f>G15-SUM(G74:G78)</f>
        <v>583.26900000005298</v>
      </c>
      <c r="H79" s="99">
        <f>G79+'27'!H79</f>
        <v>18187.428000000051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1026.0300000000279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'27'!F84</f>
        <v>41675.4</v>
      </c>
      <c r="F84" s="164">
        <v>41675.25</v>
      </c>
      <c r="G84" s="112">
        <f t="shared" si="8"/>
        <v>-0.15000000000145519</v>
      </c>
      <c r="H84" s="99">
        <f>G84+'27'!H84</f>
        <v>46.690000000002328</v>
      </c>
      <c r="I84" s="118"/>
      <c r="J84" s="175">
        <f>H84/DAY(B2)</f>
        <v>1.6675000000000832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534">
        <f>'27'!F85</f>
        <v>2036</v>
      </c>
      <c r="F85" s="164">
        <v>2060.0700000000002</v>
      </c>
      <c r="G85" s="236">
        <f t="shared" si="8"/>
        <v>24.070000000000164</v>
      </c>
      <c r="H85" s="99">
        <f>G85+'27'!H85</f>
        <v>556.51000000000022</v>
      </c>
      <c r="I85" s="118">
        <f>G82+G83+G84+G85</f>
        <v>23.919999999998709</v>
      </c>
      <c r="J85" s="175">
        <f>H85/DAY(B2)</f>
        <v>19.875357142857151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'27'!F86</f>
        <v>42826.47</v>
      </c>
      <c r="F86" s="164">
        <v>42826</v>
      </c>
      <c r="G86" s="112">
        <f t="shared" si="8"/>
        <v>-0.47000000000116415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'27'!F87</f>
        <v>34598.550000000003</v>
      </c>
      <c r="F87" s="164">
        <v>34598.550000000003</v>
      </c>
      <c r="G87" s="112">
        <f t="shared" si="8"/>
        <v>0</v>
      </c>
      <c r="H87" s="99">
        <f>G87+'27'!H87</f>
        <v>178.15000000000146</v>
      </c>
      <c r="I87" s="118"/>
      <c r="J87" s="175">
        <f>H87/DAY(B2)</f>
        <v>6.3625000000000522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'27'!F88</f>
        <v>24039</v>
      </c>
      <c r="F88" s="164">
        <v>24040.87</v>
      </c>
      <c r="G88" s="112">
        <f t="shared" si="8"/>
        <v>1.8699999999989814</v>
      </c>
      <c r="H88" s="99">
        <f>G88+'27'!H88</f>
        <v>88.379999999997381</v>
      </c>
      <c r="I88" s="118">
        <f>G86+G87+G88</f>
        <v>1.3999999999978172</v>
      </c>
      <c r="J88" s="175">
        <f>H88/DAY(B2)</f>
        <v>3.1564285714284779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'27'!F89</f>
        <v>25634</v>
      </c>
      <c r="F89" s="164">
        <v>25641.94</v>
      </c>
      <c r="G89" s="112">
        <f t="shared" si="8"/>
        <v>7.9399999999986903</v>
      </c>
      <c r="H89" s="99">
        <f>G89+'27'!H89</f>
        <v>214.44999999999709</v>
      </c>
      <c r="I89" s="118"/>
      <c r="J89" s="175">
        <f>H89/DAY(B2)</f>
        <v>7.6589285714284676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'27'!F90</f>
        <v>71011</v>
      </c>
      <c r="F90" s="164">
        <v>71016.929999999993</v>
      </c>
      <c r="G90" s="112">
        <f t="shared" si="8"/>
        <v>5.9299999999930151</v>
      </c>
      <c r="H90" s="99">
        <f>G90+'27'!H90</f>
        <v>28.929999999993015</v>
      </c>
      <c r="I90" s="118">
        <f>G89+G90</f>
        <v>13.869999999991705</v>
      </c>
      <c r="J90" s="175">
        <f>H90/DAY(B2)</f>
        <v>1.0332142857140363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'27'!F91</f>
        <v>3226</v>
      </c>
      <c r="F91" s="122">
        <v>3226</v>
      </c>
      <c r="G91" s="112">
        <v>0</v>
      </c>
      <c r="H91" s="99">
        <f>G91+'27'!H91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'27'!F92</f>
        <v>5395</v>
      </c>
      <c r="F92" s="122">
        <v>5406.68</v>
      </c>
      <c r="G92" s="112">
        <f t="shared" si="8"/>
        <v>11.680000000000291</v>
      </c>
      <c r="H92" s="99">
        <f>G92+'27'!H92</f>
        <v>310.78000000000065</v>
      </c>
      <c r="I92" s="165"/>
      <c r="J92" s="175">
        <f>H92/DAY(B2)</f>
        <v>11.099285714285738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5802.7499999999636</v>
      </c>
      <c r="H94" s="99">
        <f>G94+'27'!H94</f>
        <v>176522.18999999989</v>
      </c>
      <c r="I94" s="118"/>
      <c r="J94" s="175">
        <f>H94/DAY(B2)</f>
        <v>6304.3639285714244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0.27540838420436453</v>
      </c>
      <c r="H95" s="99">
        <f>G95+'27'!H95</f>
        <v>7.789919097517231</v>
      </c>
      <c r="I95" s="167"/>
      <c r="J95" s="175">
        <f>H95/DAY(B2)</f>
        <v>0.27821139633990111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4561.429999999993</v>
      </c>
      <c r="H96" s="99">
        <f>G96+'27'!H96</f>
        <v>148828.32</v>
      </c>
      <c r="I96" s="118"/>
      <c r="J96" s="175">
        <f>H96/DAY(B2)</f>
        <v>5315.2971428571427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0.21649322579144722</v>
      </c>
      <c r="H97" s="99">
        <f>G97+'27'!H97</f>
        <v>6.5441994246909818</v>
      </c>
      <c r="I97" s="167"/>
      <c r="J97" s="175">
        <f>H97/DAY(B2)</f>
        <v>0.23372140802467792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2740.429999999993</v>
      </c>
      <c r="H98" s="99">
        <f>G98+'27'!H98</f>
        <v>81214.140000000014</v>
      </c>
      <c r="I98" s="168"/>
      <c r="J98" s="175">
        <f>H98/DAY(B2)</f>
        <v>2900.5050000000006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0.13006546867005636</v>
      </c>
      <c r="H99" s="99">
        <f>G99+'27'!H99</f>
        <v>3.5892832164382846</v>
      </c>
      <c r="I99" s="168"/>
      <c r="J99" s="175">
        <f>H99/DAY(B2)</f>
        <v>0.12818868630136732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1967.4899999999907</v>
      </c>
      <c r="H100" s="99">
        <f>G100+'27'!H100</f>
        <v>55947.44</v>
      </c>
      <c r="I100" s="118"/>
      <c r="J100" s="175">
        <f>H100/DAY(B2)</f>
        <v>1998.1228571428571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9.3380421668733962E-2</v>
      </c>
      <c r="H101" s="99">
        <f>G101+'27'!H101</f>
        <v>2.4734310099194232</v>
      </c>
      <c r="I101" s="168"/>
      <c r="J101" s="175">
        <f>H101/DAY(B2)</f>
        <v>8.8336821782836542E-2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1915.1399999999994</v>
      </c>
      <c r="H102" s="99">
        <f>G102+'27'!H102</f>
        <v>66697.250000000058</v>
      </c>
      <c r="I102" s="168"/>
      <c r="J102" s="175">
        <f>H102/DAY(B2)</f>
        <v>2382.0446428571449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9.0895801632872308E-2</v>
      </c>
      <c r="H103" s="99">
        <f>G103+'27'!H103</f>
        <v>2.9384388620053126</v>
      </c>
      <c r="I103" s="118"/>
      <c r="J103" s="175">
        <f>H103/DAY(B2)</f>
        <v>0.1049442450716183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1536.2300000000105</v>
      </c>
      <c r="H104" s="99">
        <f>G104+'27'!H104</f>
        <v>45138.49000000002</v>
      </c>
      <c r="I104" s="118"/>
      <c r="J104" s="175">
        <f>H104/DAY(B2)</f>
        <v>1612.0889285714293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7.2912088590112695E-2</v>
      </c>
      <c r="H105" s="99">
        <f>G105+'27'!H105</f>
        <v>1.9971855892379167</v>
      </c>
      <c r="I105" s="187"/>
      <c r="J105" s="188">
        <f>H105/DAY(B2)</f>
        <v>7.132805675849703E-2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'27'!F112</f>
        <v>55401</v>
      </c>
      <c r="F112" s="237">
        <v>55471.73</v>
      </c>
      <c r="G112" s="112">
        <f t="shared" ref="G112:G123" si="9">F112-E112</f>
        <v>70.730000000003201</v>
      </c>
      <c r="H112" s="99">
        <f>G112+'27'!H112</f>
        <v>2119.7200000000012</v>
      </c>
      <c r="I112" s="165"/>
      <c r="J112" s="330">
        <f>H112/DAY(B2)</f>
        <v>75.70428571428576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95">
        <f>'27'!F113</f>
        <v>30408</v>
      </c>
      <c r="F113" s="237">
        <v>30853.22</v>
      </c>
      <c r="G113" s="112">
        <f t="shared" si="9"/>
        <v>445.22000000000116</v>
      </c>
      <c r="H113" s="99">
        <f>G113+'27'!H113</f>
        <v>12896.690000000002</v>
      </c>
      <c r="I113" s="165"/>
      <c r="J113" s="330">
        <f>H113/DAY(B2)</f>
        <v>460.59607142857152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95">
        <f>'27'!F114</f>
        <v>23479</v>
      </c>
      <c r="F114" s="237">
        <v>24047.77</v>
      </c>
      <c r="G114" s="112">
        <f t="shared" si="9"/>
        <v>568.77000000000044</v>
      </c>
      <c r="H114" s="99">
        <f>G114+'27'!H114</f>
        <v>9963.489999999998</v>
      </c>
      <c r="I114" s="165"/>
      <c r="J114" s="330">
        <f>H114/DAY(B2)</f>
        <v>355.83892857142848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95">
        <f>'27'!F115</f>
        <v>8749</v>
      </c>
      <c r="F115" s="237">
        <v>8758.1299999999992</v>
      </c>
      <c r="G115" s="112">
        <f t="shared" si="9"/>
        <v>9.1299999999991996</v>
      </c>
      <c r="H115" s="99">
        <f>G115+'27'!H115</f>
        <v>334.44999999999891</v>
      </c>
      <c r="I115" s="165"/>
      <c r="J115" s="330">
        <f>H115/DAY(B2)</f>
        <v>11.944642857142819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30">
        <f>H116/DAY(B2)</f>
        <v>0</v>
      </c>
      <c r="Q116" s="839"/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95">
        <f>'27'!F117</f>
        <v>2505</v>
      </c>
      <c r="F117" s="237">
        <v>2526.06</v>
      </c>
      <c r="G117" s="112">
        <f t="shared" si="9"/>
        <v>21.059999999999945</v>
      </c>
      <c r="H117" s="99">
        <f>G117+'27'!H117</f>
        <v>584.98</v>
      </c>
      <c r="I117" s="165"/>
      <c r="J117" s="330">
        <f>H117/DAY(B2)</f>
        <v>20.892142857142858</v>
      </c>
      <c r="Q117" s="839"/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'27'!F118</f>
        <v>240064</v>
      </c>
      <c r="F118" s="237">
        <v>240490.67</v>
      </c>
      <c r="G118" s="112">
        <f t="shared" si="9"/>
        <v>426.67000000001281</v>
      </c>
      <c r="H118" s="99">
        <f>G118+'27'!H118</f>
        <v>10652.940000000002</v>
      </c>
      <c r="I118" s="165"/>
      <c r="J118" s="330">
        <f>H118/DAY(B2)</f>
        <v>380.46214285714296</v>
      </c>
      <c r="Q118" s="839"/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'27'!F119</f>
        <v>243480</v>
      </c>
      <c r="F119" s="237">
        <v>243904.25</v>
      </c>
      <c r="G119" s="112">
        <f t="shared" si="9"/>
        <v>424.25</v>
      </c>
      <c r="H119" s="99">
        <f>G119+'27'!H119</f>
        <v>12177.720000000001</v>
      </c>
      <c r="I119" s="165"/>
      <c r="J119" s="330">
        <f>H119/DAY(B2)</f>
        <v>434.91857142857145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'27'!F120</f>
        <v>28427</v>
      </c>
      <c r="F120" s="237">
        <v>28841.64</v>
      </c>
      <c r="G120" s="112">
        <f t="shared" si="9"/>
        <v>414.63999999999942</v>
      </c>
      <c r="H120" s="99">
        <f>G120+'27'!H120</f>
        <v>11656.32</v>
      </c>
      <c r="I120" s="165"/>
      <c r="J120" s="330">
        <f>H120/DAY(B2)</f>
        <v>416.29714285714283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'27'!F121</f>
        <v>373420</v>
      </c>
      <c r="F121" s="237">
        <v>374219.141</v>
      </c>
      <c r="G121" s="112">
        <f t="shared" si="9"/>
        <v>799.14100000000326</v>
      </c>
      <c r="H121" s="99">
        <f>G121+'27'!H121</f>
        <v>21164.911000000022</v>
      </c>
      <c r="I121" s="165"/>
      <c r="J121" s="330">
        <f>H121/DAY(B2)</f>
        <v>755.88967857142939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'27'!F122</f>
        <v>119141</v>
      </c>
      <c r="F122" s="237">
        <v>119369.52</v>
      </c>
      <c r="G122" s="112">
        <f t="shared" si="9"/>
        <v>228.52000000000407</v>
      </c>
      <c r="H122" s="99">
        <f>G122+'27'!H122</f>
        <v>8359.7300000000105</v>
      </c>
      <c r="I122" s="165"/>
      <c r="J122" s="330">
        <f>H122/DAY(B2)</f>
        <v>298.56178571428609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'27'!F123</f>
        <v>143766</v>
      </c>
      <c r="F123" s="237">
        <v>144113.63</v>
      </c>
      <c r="G123" s="112">
        <f t="shared" si="9"/>
        <v>347.63000000000466</v>
      </c>
      <c r="H123" s="99">
        <f>G123+'27'!H123</f>
        <v>9747.6300000000047</v>
      </c>
      <c r="I123" s="165"/>
      <c r="J123" s="330">
        <f>H123/DAY(B2)</f>
        <v>348.12964285714304</v>
      </c>
    </row>
    <row r="124" spans="1:18" ht="29.25" customHeight="1" x14ac:dyDescent="0.5">
      <c r="A124" s="864"/>
      <c r="B124" s="865"/>
      <c r="C124" s="866"/>
      <c r="D124" s="165"/>
      <c r="E124" s="95">
        <f>'27'!F124</f>
        <v>0</v>
      </c>
      <c r="F124" s="165"/>
      <c r="G124" s="329"/>
      <c r="H124" s="99">
        <f>G124+'27'!H124</f>
        <v>0</v>
      </c>
      <c r="I124" s="165"/>
      <c r="J124" s="329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3755.7610000000282</v>
      </c>
      <c r="H125" s="156"/>
      <c r="I125" s="329">
        <f>G125-(G39+G53)</f>
        <v>1015.3310000000351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G127+'27'!H127</f>
        <v>0</v>
      </c>
      <c r="I127" s="165"/>
      <c r="J127" s="330">
        <f>H127/DAY(B2)</f>
        <v>0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'27'!F128</f>
        <v>36625</v>
      </c>
      <c r="F128" s="165">
        <v>36930.68</v>
      </c>
      <c r="G128" s="112">
        <f t="shared" ref="G128:G134" si="10">F128-E128</f>
        <v>305.68000000000029</v>
      </c>
      <c r="H128" s="99">
        <f>G128+'27'!H128</f>
        <v>9326.3100000000013</v>
      </c>
      <c r="I128" s="165"/>
      <c r="J128" s="330">
        <f>H128/DAY(B2)</f>
        <v>333.08250000000004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'27'!F129</f>
        <v>19441</v>
      </c>
      <c r="F129" s="165">
        <v>19701.93</v>
      </c>
      <c r="G129" s="112">
        <f t="shared" si="10"/>
        <v>260.93000000000029</v>
      </c>
      <c r="H129" s="99">
        <f>G129+'27'!H129</f>
        <v>6954.34</v>
      </c>
      <c r="I129" s="165"/>
      <c r="J129" s="330">
        <f>H129/DAY(B2)</f>
        <v>248.36928571428572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'27'!F130</f>
        <v>15070</v>
      </c>
      <c r="F130" s="165">
        <v>15841.03</v>
      </c>
      <c r="G130" s="112">
        <f t="shared" si="10"/>
        <v>771.03000000000065</v>
      </c>
      <c r="H130" s="99">
        <f>G130+'27'!H130</f>
        <v>13783.92</v>
      </c>
      <c r="I130" s="165"/>
      <c r="J130" s="330">
        <f>H130/DAY(B2)</f>
        <v>492.28285714285715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'27'!F131</f>
        <v>12802</v>
      </c>
      <c r="F131" s="165">
        <v>12900.78</v>
      </c>
      <c r="G131" s="112">
        <f t="shared" si="10"/>
        <v>98.780000000000655</v>
      </c>
      <c r="H131" s="99">
        <f>G131+'27'!H131</f>
        <v>3731.4300000000003</v>
      </c>
      <c r="I131" s="165"/>
      <c r="J131" s="330">
        <f>H131/DAY(B2)</f>
        <v>133.26535714285714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'27'!F132</f>
        <v>39228</v>
      </c>
      <c r="F132" s="165">
        <v>39678.32</v>
      </c>
      <c r="G132" s="112">
        <f t="shared" si="10"/>
        <v>450.31999999999971</v>
      </c>
      <c r="H132" s="99">
        <f>G132+'27'!H132</f>
        <v>11884.959999999995</v>
      </c>
      <c r="I132" s="165"/>
      <c r="J132" s="330">
        <f>H132/DAY(B2)</f>
        <v>424.46285714285699</v>
      </c>
    </row>
    <row r="133" spans="1:15" ht="27.75" x14ac:dyDescent="0.5">
      <c r="A133" s="839" t="s">
        <v>363</v>
      </c>
      <c r="B133" s="840"/>
      <c r="C133" s="841"/>
      <c r="D133" s="151" t="s">
        <v>183</v>
      </c>
      <c r="E133" s="95">
        <f>'27'!F133</f>
        <v>85102</v>
      </c>
      <c r="F133" s="165">
        <v>85760.93</v>
      </c>
      <c r="G133" s="112">
        <f t="shared" si="10"/>
        <v>658.92999999999302</v>
      </c>
      <c r="H133" s="99">
        <f>G133+'27'!H133</f>
        <v>22286.509999999995</v>
      </c>
      <c r="I133" s="165"/>
      <c r="J133" s="330">
        <f>H133/DAY(B2)</f>
        <v>795.94678571428551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'27'!F134</f>
        <v>666384</v>
      </c>
      <c r="F134" s="158">
        <v>666995</v>
      </c>
      <c r="G134" s="112">
        <f t="shared" si="10"/>
        <v>611</v>
      </c>
      <c r="H134" s="99">
        <f>G134+'27'!H134</f>
        <v>15788</v>
      </c>
      <c r="I134" s="165"/>
      <c r="J134" s="330">
        <f>H134/DAY(B2)</f>
        <v>563.85714285714289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3156.6699999999946</v>
      </c>
      <c r="H135" s="99">
        <f>G135+'23'!H135</f>
        <v>35487.87999999999</v>
      </c>
      <c r="I135" s="329">
        <f>G135-(G35+G49)</f>
        <v>-164.0099999999693</v>
      </c>
      <c r="J135" s="330"/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'27'!F138</f>
        <v>863742</v>
      </c>
      <c r="F138" s="147">
        <v>863869</v>
      </c>
      <c r="G138" s="112">
        <f t="shared" ref="G138:G152" si="11">F138-E138</f>
        <v>127</v>
      </c>
      <c r="H138" s="99">
        <f>G138+'27'!H138</f>
        <v>2607</v>
      </c>
      <c r="I138" s="118"/>
      <c r="J138" s="330">
        <f>H138/DAY(B2)</f>
        <v>93.107142857142861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'27'!F139</f>
        <v>886542</v>
      </c>
      <c r="F139" s="148">
        <v>886544</v>
      </c>
      <c r="G139" s="112">
        <f t="shared" si="11"/>
        <v>2</v>
      </c>
      <c r="H139" s="99">
        <f>G139+'27'!H139</f>
        <v>345</v>
      </c>
      <c r="I139" s="118"/>
      <c r="J139" s="330">
        <f>H139/DAY(B2)</f>
        <v>12.321428571428571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'27'!F140</f>
        <v>88882</v>
      </c>
      <c r="F140" s="149">
        <v>88882</v>
      </c>
      <c r="G140" s="112">
        <f t="shared" si="11"/>
        <v>0</v>
      </c>
      <c r="H140" s="99">
        <f>G140+'27'!H140</f>
        <v>33</v>
      </c>
      <c r="I140" s="118"/>
      <c r="J140" s="330">
        <f>H140/DAY(B2)</f>
        <v>1.1785714285714286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'27'!F141</f>
        <v>48555</v>
      </c>
      <c r="F141" s="149">
        <v>48738.38</v>
      </c>
      <c r="G141" s="112">
        <f t="shared" si="11"/>
        <v>183.37999999999738</v>
      </c>
      <c r="H141" s="99">
        <f>G141+'27'!H141</f>
        <v>5611.6499999999942</v>
      </c>
      <c r="I141" s="118"/>
      <c r="J141" s="330">
        <f>H141/DAY(B2)</f>
        <v>200.41607142857123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'27'!F142</f>
        <v>18702</v>
      </c>
      <c r="F142" s="148">
        <v>18783.34</v>
      </c>
      <c r="G142" s="112">
        <f t="shared" si="11"/>
        <v>81.340000000000146</v>
      </c>
      <c r="H142" s="99">
        <f>G142+'27'!H142</f>
        <v>1322.8400000000001</v>
      </c>
      <c r="I142" s="140"/>
      <c r="J142" s="330">
        <f>H142/DAY(B2)</f>
        <v>47.244285714285716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'27'!F143</f>
        <v>2968</v>
      </c>
      <c r="F143" s="149">
        <v>2992.89</v>
      </c>
      <c r="G143" s="112">
        <f t="shared" si="11"/>
        <v>24.889999999999873</v>
      </c>
      <c r="H143" s="99">
        <f>G143+'27'!H143</f>
        <v>791.48999999999978</v>
      </c>
      <c r="I143" s="140"/>
      <c r="J143" s="330">
        <f>H143/DAY(B2)</f>
        <v>28.267499999999991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'27'!F144</f>
        <v>868722</v>
      </c>
      <c r="F144" s="149">
        <v>868966</v>
      </c>
      <c r="G144" s="112">
        <f t="shared" si="11"/>
        <v>244</v>
      </c>
      <c r="H144" s="99">
        <f>G144+'27'!H144</f>
        <v>6571</v>
      </c>
      <c r="I144" s="140"/>
      <c r="J144" s="330">
        <f>H144/DAY(B2)</f>
        <v>234.67857142857142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'27'!F145</f>
        <v>4506</v>
      </c>
      <c r="F145" s="149">
        <v>4518.78</v>
      </c>
      <c r="G145" s="112">
        <f t="shared" si="11"/>
        <v>12.779999999999745</v>
      </c>
      <c r="H145" s="99">
        <f>G145+'27'!H145</f>
        <v>1099.7799999999997</v>
      </c>
      <c r="I145" s="140"/>
      <c r="J145" s="330">
        <f>H145/DAY(B2)</f>
        <v>39.277857142857137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'27'!F146</f>
        <v>722992</v>
      </c>
      <c r="F146" s="148">
        <v>723472</v>
      </c>
      <c r="G146" s="112">
        <f t="shared" si="11"/>
        <v>480</v>
      </c>
      <c r="H146" s="99">
        <f>G146+'27'!H146</f>
        <v>12587</v>
      </c>
      <c r="I146" s="140"/>
      <c r="J146" s="330">
        <f>H146/DAY(B2)</f>
        <v>449.53571428571428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'27'!F147</f>
        <v>613648</v>
      </c>
      <c r="F147" s="148">
        <v>614078.76</v>
      </c>
      <c r="G147" s="112">
        <f t="shared" si="11"/>
        <v>430.76000000000931</v>
      </c>
      <c r="H147" s="99">
        <f>G147+'27'!H147</f>
        <v>12093.719999999972</v>
      </c>
      <c r="I147" s="140"/>
      <c r="J147" s="330">
        <f>H147/DAY(B2)</f>
        <v>431.91857142857043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'27'!F148</f>
        <v>681948</v>
      </c>
      <c r="F148" s="150">
        <v>682204.08</v>
      </c>
      <c r="G148" s="112">
        <f t="shared" si="11"/>
        <v>256.07999999995809</v>
      </c>
      <c r="H148" s="99">
        <f>G148+'27'!H148</f>
        <v>8414.3999999999069</v>
      </c>
      <c r="I148" s="124"/>
      <c r="J148" s="330">
        <f>H148/DAY(B2)</f>
        <v>300.51428571428238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'27'!F149</f>
        <v>8605</v>
      </c>
      <c r="F149" s="146">
        <v>9193.01</v>
      </c>
      <c r="G149" s="112">
        <f t="shared" si="11"/>
        <v>588.01000000000022</v>
      </c>
      <c r="H149" s="99">
        <f>G149+'27'!H149</f>
        <v>101411.01</v>
      </c>
      <c r="I149" s="119"/>
      <c r="J149" s="330">
        <f>H149/DAY(B2)</f>
        <v>3621.8217857142854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'27'!F150</f>
        <v>3160</v>
      </c>
      <c r="F150" s="233">
        <v>3385.75</v>
      </c>
      <c r="G150" s="112">
        <f t="shared" si="11"/>
        <v>225.75</v>
      </c>
      <c r="H150" s="99">
        <f>G150+'27'!H150</f>
        <v>3193.75</v>
      </c>
      <c r="I150" s="119"/>
      <c r="J150" s="330">
        <f>H150/DAY(B2)</f>
        <v>114.0625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'27'!F151</f>
        <v>77224</v>
      </c>
      <c r="F151" s="233">
        <v>77480</v>
      </c>
      <c r="G151" s="112">
        <f t="shared" si="11"/>
        <v>256</v>
      </c>
      <c r="H151" s="99">
        <f>G151+'27'!H151</f>
        <v>6758</v>
      </c>
      <c r="I151" s="119"/>
      <c r="J151" s="330">
        <f>H151/DAY(B2)</f>
        <v>241.35714285714286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'27'!F152</f>
        <v>934</v>
      </c>
      <c r="F152" s="233">
        <v>983.48</v>
      </c>
      <c r="G152" s="112">
        <f t="shared" si="11"/>
        <v>49.480000000000018</v>
      </c>
      <c r="H152" s="99">
        <f>G152+'27'!H152</f>
        <v>983.48</v>
      </c>
      <c r="I152" s="119"/>
      <c r="J152" s="330">
        <f>H152/DAY(B2)</f>
        <v>35.124285714285712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2961.4699999999648</v>
      </c>
      <c r="H153" s="365"/>
      <c r="I153" s="119">
        <f>G153-(G38+G52)</f>
        <v>993.9799999999741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701">
        <f>'27'!F155</f>
        <v>10144</v>
      </c>
      <c r="F155" s="702">
        <v>10784</v>
      </c>
      <c r="G155" s="112">
        <f t="shared" ref="G155:G158" si="12">F155-E155</f>
        <v>640</v>
      </c>
      <c r="H155" s="99">
        <f>G155+'27'!H155</f>
        <v>10877</v>
      </c>
      <c r="I155" s="366"/>
      <c r="J155" s="330">
        <f>H155/DAY(B2)</f>
        <v>388.46428571428572</v>
      </c>
    </row>
    <row r="156" spans="1:10" ht="27.75" x14ac:dyDescent="0.5">
      <c r="A156" s="838" t="s">
        <v>347</v>
      </c>
      <c r="B156" s="838"/>
      <c r="C156" s="838"/>
      <c r="D156" s="117" t="s">
        <v>130</v>
      </c>
      <c r="E156" s="95">
        <f>'27'!F156</f>
        <v>812</v>
      </c>
      <c r="F156" s="165">
        <v>872</v>
      </c>
      <c r="G156" s="112">
        <f t="shared" si="12"/>
        <v>60</v>
      </c>
      <c r="H156" s="99">
        <f>G156+'27'!H156</f>
        <v>872</v>
      </c>
      <c r="I156" s="165"/>
      <c r="J156" s="330">
        <f>H156/DAY(B2)</f>
        <v>31.142857142857142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534">
        <v>0</v>
      </c>
      <c r="F157" s="158">
        <v>0</v>
      </c>
      <c r="G157" s="112">
        <f t="shared" si="12"/>
        <v>0</v>
      </c>
      <c r="H157" s="99"/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>
        <f>'27'!F158</f>
        <v>1.43</v>
      </c>
      <c r="F158" s="165">
        <v>1.46</v>
      </c>
      <c r="G158" s="112">
        <f t="shared" si="12"/>
        <v>3.0000000000000027E-2</v>
      </c>
      <c r="H158" s="99"/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471151</v>
      </c>
      <c r="F161" s="235">
        <v>471152</v>
      </c>
      <c r="G161" s="238">
        <f t="shared" ref="G161:G165" si="13">F161-E161</f>
        <v>1</v>
      </c>
      <c r="H161" s="99">
        <f>G161+'27'!H161</f>
        <v>175.88000000000466</v>
      </c>
      <c r="I161" s="236"/>
      <c r="J161" s="239">
        <f>H161/DAY(B2)</f>
        <v>6.2814285714287381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87454</v>
      </c>
      <c r="F162" s="235">
        <v>87481.2</v>
      </c>
      <c r="G162" s="238">
        <f t="shared" si="13"/>
        <v>27.19999999999709</v>
      </c>
      <c r="H162" s="99">
        <f>G162+'27'!H162</f>
        <v>879.5</v>
      </c>
      <c r="I162" s="236"/>
      <c r="J162" s="239">
        <f>H162/DAY(B2)</f>
        <v>31.410714285714285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77551</v>
      </c>
      <c r="F163" s="235">
        <v>77645.399999999994</v>
      </c>
      <c r="G163" s="238">
        <f t="shared" si="13"/>
        <v>94.399999999994179</v>
      </c>
      <c r="H163" s="99">
        <f>G163+'27'!H163</f>
        <v>2185.5999999999913</v>
      </c>
      <c r="I163" s="236"/>
      <c r="J163" s="239">
        <f>H163/DAY(B2)</f>
        <v>78.057142857142551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4230</v>
      </c>
      <c r="F164" s="235">
        <v>4235.5</v>
      </c>
      <c r="G164" s="238">
        <f t="shared" si="13"/>
        <v>5.5</v>
      </c>
      <c r="H164" s="99">
        <f>G164+'27'!H164</f>
        <v>137.60000000000036</v>
      </c>
      <c r="I164" s="236"/>
      <c r="J164" s="239">
        <f>H164/DAY(B2)</f>
        <v>4.914285714285727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29619</v>
      </c>
      <c r="F165" s="235">
        <v>29629.22</v>
      </c>
      <c r="G165" s="238">
        <f t="shared" si="13"/>
        <v>10.220000000001164</v>
      </c>
      <c r="H165" s="99">
        <f>G165+'27'!H165</f>
        <v>200.28880000000208</v>
      </c>
      <c r="I165" s="236"/>
      <c r="J165" s="239">
        <f>H165/DAY(B2)</f>
        <v>7.1531714285715031</v>
      </c>
    </row>
    <row r="166" spans="1:10" ht="29.25" x14ac:dyDescent="0.5">
      <c r="A166" s="870"/>
      <c r="B166" s="870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'27'!F173</f>
        <v>8126</v>
      </c>
      <c r="F173" s="155">
        <v>8126</v>
      </c>
      <c r="G173" s="155">
        <f>F173-E173</f>
        <v>0</v>
      </c>
      <c r="H173" s="99">
        <f>G173+'27'!H173</f>
        <v>19</v>
      </c>
      <c r="I173" s="155"/>
      <c r="J173" s="178">
        <f>H173/DAY(B2)</f>
        <v>0.6785714285714286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'27'!F174</f>
        <v>38236</v>
      </c>
      <c r="F174" s="157">
        <v>38252</v>
      </c>
      <c r="G174" s="155">
        <f t="shared" ref="G174:G175" si="14">F174-E174</f>
        <v>16</v>
      </c>
      <c r="H174" s="99">
        <f>G174+'27'!H174</f>
        <v>450</v>
      </c>
      <c r="I174" s="155"/>
      <c r="J174" s="178">
        <f>H174/DAY(B2)</f>
        <v>16.071428571428573</v>
      </c>
    </row>
    <row r="175" spans="1:10" ht="27.75" x14ac:dyDescent="0.5">
      <c r="A175" s="831" t="s">
        <v>76</v>
      </c>
      <c r="B175" s="833"/>
      <c r="C175" s="832"/>
      <c r="D175" s="228" t="s">
        <v>142</v>
      </c>
      <c r="E175" s="95">
        <f>'27'!F175</f>
        <v>21475</v>
      </c>
      <c r="F175" s="155">
        <v>21486</v>
      </c>
      <c r="G175" s="155">
        <f t="shared" si="14"/>
        <v>11</v>
      </c>
      <c r="H175" s="99">
        <f>G175+'27'!H175</f>
        <v>349</v>
      </c>
      <c r="I175" s="155"/>
      <c r="J175" s="178">
        <f>H175/DAY(B2)</f>
        <v>12.464285714285714</v>
      </c>
    </row>
    <row r="176" spans="1:10" ht="27.75" x14ac:dyDescent="0.5">
      <c r="A176" s="867" t="s">
        <v>196</v>
      </c>
      <c r="B176" s="868"/>
      <c r="C176" s="529"/>
      <c r="D176" s="228" t="s">
        <v>142</v>
      </c>
      <c r="E176" s="95"/>
      <c r="F176" s="155"/>
      <c r="G176" s="155">
        <f>SUM(G173:G175)</f>
        <v>27</v>
      </c>
      <c r="H176" s="99">
        <f>G176+'27'!H176</f>
        <v>818</v>
      </c>
      <c r="I176" s="155"/>
      <c r="J176" s="178">
        <f>H176/DAY(B2)</f>
        <v>29.214285714285715</v>
      </c>
    </row>
    <row r="177" spans="1:10" ht="27.75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831" t="s">
        <v>210</v>
      </c>
      <c r="B178" s="832"/>
      <c r="C178" s="335"/>
      <c r="D178" s="228" t="s">
        <v>142</v>
      </c>
      <c r="E178" s="95">
        <f>'27'!F178</f>
        <v>79338</v>
      </c>
      <c r="F178" s="155">
        <v>79402</v>
      </c>
      <c r="G178" s="155">
        <f>F178-E178</f>
        <v>64</v>
      </c>
      <c r="H178" s="99">
        <f>G178+'27'!H178</f>
        <v>2050</v>
      </c>
      <c r="I178" s="155"/>
      <c r="J178" s="178">
        <f>H178/DAY(B2)</f>
        <v>73.214285714285708</v>
      </c>
    </row>
    <row r="179" spans="1:10" ht="27.75" x14ac:dyDescent="0.5">
      <c r="A179" s="831" t="s">
        <v>211</v>
      </c>
      <c r="B179" s="832"/>
      <c r="C179" s="335"/>
      <c r="D179" s="228" t="s">
        <v>142</v>
      </c>
      <c r="E179" s="95">
        <f>'27'!F179</f>
        <v>33915</v>
      </c>
      <c r="F179" s="155">
        <v>33915</v>
      </c>
      <c r="G179" s="155">
        <f t="shared" ref="G179:G180" si="15">F179-E179</f>
        <v>0</v>
      </c>
      <c r="H179" s="99">
        <f>G179+'27'!H179</f>
        <v>29</v>
      </c>
      <c r="I179" s="155"/>
      <c r="J179" s="178">
        <f>H179/DAY(B2)</f>
        <v>1.0357142857142858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'27'!F180</f>
        <v>5457</v>
      </c>
      <c r="F180" s="155">
        <v>5463</v>
      </c>
      <c r="G180" s="155">
        <f t="shared" si="15"/>
        <v>6</v>
      </c>
      <c r="H180" s="99">
        <f>G180+'27'!H180</f>
        <v>190</v>
      </c>
      <c r="I180" s="155"/>
      <c r="J180" s="178">
        <f>H180/DAY(B2)</f>
        <v>6.7857142857142856</v>
      </c>
    </row>
    <row r="181" spans="1:10" ht="27.75" x14ac:dyDescent="0.5">
      <c r="A181" s="872" t="s">
        <v>108</v>
      </c>
      <c r="B181" s="873"/>
      <c r="C181" s="529"/>
      <c r="D181" s="228" t="s">
        <v>142</v>
      </c>
      <c r="E181" s="95"/>
      <c r="F181" s="155"/>
      <c r="G181" s="155">
        <f>SUM(G178:G180)</f>
        <v>70</v>
      </c>
      <c r="H181" s="99">
        <f>G181+'27'!H181</f>
        <v>2269</v>
      </c>
      <c r="I181" s="155"/>
      <c r="J181" s="178">
        <f>H181/DAY(B2)</f>
        <v>81.035714285714292</v>
      </c>
    </row>
    <row r="182" spans="1:10" ht="27.75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'27'!F183</f>
        <v>14881</v>
      </c>
      <c r="F183" s="157">
        <v>14901</v>
      </c>
      <c r="G183" s="157">
        <f>F183-E183</f>
        <v>20</v>
      </c>
      <c r="H183" s="99">
        <f>G183+'27'!H183</f>
        <v>405</v>
      </c>
      <c r="I183" s="155"/>
      <c r="J183" s="178">
        <f>H183/DAY(B2)</f>
        <v>14.464285714285714</v>
      </c>
    </row>
    <row r="184" spans="1:10" ht="27.75" x14ac:dyDescent="0.5">
      <c r="A184" s="831" t="s">
        <v>215</v>
      </c>
      <c r="B184" s="832"/>
      <c r="C184" s="336"/>
      <c r="D184" s="228" t="s">
        <v>142</v>
      </c>
      <c r="E184" s="95">
        <f>'27'!F184</f>
        <v>10279</v>
      </c>
      <c r="F184" s="157">
        <v>10282</v>
      </c>
      <c r="G184" s="157">
        <f t="shared" ref="G184:G185" si="16">F184-E184</f>
        <v>3</v>
      </c>
      <c r="H184" s="99">
        <f>G184+'27'!H184</f>
        <v>251</v>
      </c>
      <c r="I184" s="155"/>
      <c r="J184" s="178">
        <f>H184/DAY(B2)</f>
        <v>8.9642857142857135</v>
      </c>
    </row>
    <row r="185" spans="1:10" ht="27.75" x14ac:dyDescent="0.5">
      <c r="A185" s="831" t="s">
        <v>216</v>
      </c>
      <c r="B185" s="832"/>
      <c r="C185" s="336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867" t="s">
        <v>196</v>
      </c>
      <c r="B186" s="868"/>
      <c r="C186" s="528"/>
      <c r="D186" s="228" t="s">
        <v>142</v>
      </c>
      <c r="E186" s="95"/>
      <c r="F186" s="157"/>
      <c r="G186" s="157">
        <f>SUM(G183:G185)</f>
        <v>23</v>
      </c>
      <c r="H186" s="99">
        <f>G186+'27'!H186</f>
        <v>656</v>
      </c>
      <c r="I186" s="157"/>
      <c r="J186" s="178">
        <f>H186/DAY(B2)</f>
        <v>23.428571428571427</v>
      </c>
    </row>
    <row r="187" spans="1:10" ht="27.75" x14ac:dyDescent="0.5">
      <c r="A187" s="876" t="s">
        <v>217</v>
      </c>
      <c r="B187" s="877"/>
      <c r="C187" s="335"/>
      <c r="D187" s="230" t="s">
        <v>142</v>
      </c>
      <c r="E187" s="95">
        <f>'27'!F187</f>
        <v>0</v>
      </c>
      <c r="F187" s="159"/>
      <c r="G187" s="506">
        <f>G62+G19</f>
        <v>189</v>
      </c>
      <c r="H187" s="99">
        <f>G187+'27'!H187</f>
        <v>4967</v>
      </c>
      <c r="I187" s="158"/>
      <c r="J187" s="179">
        <f>H187/DAY(B2)</f>
        <v>177.39285714285714</v>
      </c>
    </row>
    <row r="188" spans="1:10" ht="27.75" x14ac:dyDescent="0.5">
      <c r="A188" s="876" t="s">
        <v>218</v>
      </c>
      <c r="B188" s="877"/>
      <c r="C188" s="335"/>
      <c r="D188" s="230" t="s">
        <v>142</v>
      </c>
      <c r="E188" s="95">
        <f>'27'!F188</f>
        <v>0</v>
      </c>
      <c r="F188" s="159"/>
      <c r="G188" s="506">
        <f>G65+G66+G67+G69+G70</f>
        <v>199</v>
      </c>
      <c r="H188" s="99">
        <f>G188+'27'!H188</f>
        <v>2455</v>
      </c>
      <c r="I188" s="158"/>
      <c r="J188" s="179">
        <f>H188/DAY(B2)</f>
        <v>87.678571428571431</v>
      </c>
    </row>
    <row r="189" spans="1:10" ht="27.75" x14ac:dyDescent="0.5">
      <c r="A189" s="876" t="s">
        <v>219</v>
      </c>
      <c r="B189" s="877"/>
      <c r="C189" s="335"/>
      <c r="D189" s="230" t="s">
        <v>142</v>
      </c>
      <c r="E189" s="95">
        <f>'27'!F189</f>
        <v>0</v>
      </c>
      <c r="F189" s="157"/>
      <c r="G189" s="503">
        <f>G181</f>
        <v>70</v>
      </c>
      <c r="H189" s="99">
        <f>G189+'27'!H189</f>
        <v>755</v>
      </c>
      <c r="I189" s="158"/>
      <c r="J189" s="179">
        <f>H189/DAY(B2)</f>
        <v>26.964285714285715</v>
      </c>
    </row>
    <row r="190" spans="1:10" ht="27.75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350</v>
      </c>
      <c r="B2" s="262">
        <v>44529</v>
      </c>
      <c r="C2" s="350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'28'!F7</f>
        <v>35407.620000000003</v>
      </c>
      <c r="F7" s="95">
        <v>54739.8</v>
      </c>
      <c r="G7" s="112">
        <f>F7-E7</f>
        <v>19332.18</v>
      </c>
      <c r="H7" s="99">
        <f>G7+'28'!H7</f>
        <v>654265.80000000005</v>
      </c>
      <c r="I7" s="113">
        <f>'1'!I7</f>
        <v>12000</v>
      </c>
      <c r="J7" s="175">
        <f>H7/DAY(B2)</f>
        <v>22560.889655172414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81220.88</v>
      </c>
      <c r="F8" s="95">
        <v>100629.21</v>
      </c>
      <c r="G8" s="115">
        <f>F8-E8</f>
        <v>19408.330000000002</v>
      </c>
      <c r="H8" s="99">
        <f>G8+'28'!H8</f>
        <v>662334.21</v>
      </c>
      <c r="I8" s="116"/>
      <c r="J8" s="175">
        <f>H8/DAY(B2)</f>
        <v>22839.110689655172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2214383.9</v>
      </c>
      <c r="F9" s="659">
        <v>2231017.5</v>
      </c>
      <c r="G9" s="112">
        <f>F9-E9</f>
        <v>16633.600000000093</v>
      </c>
      <c r="H9" s="99">
        <f>G9+'28'!H9</f>
        <v>511919.80000000005</v>
      </c>
      <c r="I9" s="124">
        <f>I7-J7</f>
        <v>-10560.889655172414</v>
      </c>
      <c r="J9" s="175">
        <f>H9/DAY(B2)</f>
        <v>17652.406896551725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527426.55000000005</v>
      </c>
      <c r="F10" s="355">
        <v>529865.79</v>
      </c>
      <c r="G10" s="112">
        <f t="shared" ref="G10:G12" si="0">F10-E10</f>
        <v>2439.2399999999907</v>
      </c>
      <c r="H10" s="99">
        <f>G10+'28'!H10</f>
        <v>123783.36000000004</v>
      </c>
      <c r="I10" s="282"/>
      <c r="J10" s="175">
        <f>H10/DAY(B2)</f>
        <v>4268.3917241379322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37000</v>
      </c>
      <c r="F11" s="95">
        <v>37000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19072.840000000084</v>
      </c>
      <c r="H13" s="99">
        <f>G13+'28'!H13</f>
        <v>613652.29</v>
      </c>
      <c r="I13" s="120">
        <f>G7-G13</f>
        <v>259.33999999991647</v>
      </c>
      <c r="J13" s="175">
        <f>H13/DAY(B2)</f>
        <v>21160.423793103451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7" t="s">
        <v>138</v>
      </c>
      <c r="B15" s="205"/>
      <c r="C15" s="205"/>
      <c r="D15" s="151" t="s">
        <v>139</v>
      </c>
      <c r="E15" s="95">
        <f>'28'!F15</f>
        <v>1875427.03</v>
      </c>
      <c r="F15" s="123">
        <v>1876445.37</v>
      </c>
      <c r="G15" s="112">
        <f>(F15-E15)</f>
        <v>1018.3400000000838</v>
      </c>
      <c r="H15" s="99">
        <f>G15+'28'!H15</f>
        <v>33297.370000000112</v>
      </c>
      <c r="I15" s="113">
        <f>'1'!I15</f>
        <v>800</v>
      </c>
      <c r="J15" s="175">
        <f>H15/DAY(B2)</f>
        <v>1148.1851724137969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-348.18517241379686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'28'!F18</f>
        <v>24</v>
      </c>
      <c r="F18" s="122">
        <v>22</v>
      </c>
      <c r="G18" s="119">
        <f>F18*10</f>
        <v>220</v>
      </c>
      <c r="H18" s="99">
        <f>G18+'28'!H18</f>
        <v>6110</v>
      </c>
      <c r="I18" s="113">
        <f>'1'!I18</f>
        <v>65</v>
      </c>
      <c r="J18" s="175">
        <f>H18/DAY(B2)</f>
        <v>210.68965517241378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'28'!F19</f>
        <v>152060</v>
      </c>
      <c r="F19" s="122">
        <v>152113</v>
      </c>
      <c r="G19" s="112">
        <f t="shared" ref="G19" si="1">F19-E19</f>
        <v>53</v>
      </c>
      <c r="H19" s="99">
        <f>G19+'28'!H19</f>
        <v>1529</v>
      </c>
      <c r="I19" s="337"/>
      <c r="J19" s="175">
        <f>H19/DAY(B2)</f>
        <v>52.724137931034484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273</v>
      </c>
      <c r="H20" s="99">
        <f>G20+'28'!H20</f>
        <v>7639</v>
      </c>
      <c r="I20" s="338">
        <f>I18-J20</f>
        <v>-198.41379310344826</v>
      </c>
      <c r="J20" s="175">
        <f>H20/DAY(B2)</f>
        <v>263.41379310344826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19408.330000000002</v>
      </c>
      <c r="F27" s="136">
        <v>9</v>
      </c>
      <c r="G27" s="137">
        <f>E27*F27</f>
        <v>174674.97000000003</v>
      </c>
      <c r="H27" s="99">
        <f>G27+'28'!H27</f>
        <v>5961007.8899999997</v>
      </c>
      <c r="I27" s="138"/>
      <c r="J27" s="175">
        <f>H27/DAY(B2)</f>
        <v>205551.99620689655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1018.3400000000838</v>
      </c>
      <c r="F28" s="136">
        <v>52</v>
      </c>
      <c r="G28" s="137">
        <f>E28*F28</f>
        <v>52953.680000004359</v>
      </c>
      <c r="H28" s="99">
        <f>G28+'28'!H28</f>
        <v>1731463.2400000058</v>
      </c>
      <c r="I28" s="140"/>
      <c r="J28" s="175">
        <f>H28/DAY(B2)</f>
        <v>59705.628965517441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G30+'28'!H30</f>
        <v>223234</v>
      </c>
      <c r="I30" s="140"/>
      <c r="J30" s="175">
        <f>H30/DAY(B2)</f>
        <v>7697.7241379310344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G31+'28'!H31</f>
        <v>488800</v>
      </c>
      <c r="I31" s="140"/>
      <c r="J31" s="175">
        <f>H31/DAY(B2)</f>
        <v>16855.172413793105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252966.65000000439</v>
      </c>
      <c r="H32" s="99">
        <f>G32+'28'!H32</f>
        <v>8404505.1300000064</v>
      </c>
      <c r="I32" s="144"/>
      <c r="J32" s="175">
        <f>H32/DAY(B2)</f>
        <v>289810.52172413818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147015.26999999999</v>
      </c>
      <c r="F35" s="145">
        <v>148886.99</v>
      </c>
      <c r="G35" s="112">
        <f t="shared" ref="G35:G46" si="3">F35-E35</f>
        <v>1871.7200000000012</v>
      </c>
      <c r="H35" s="99">
        <f>G35+'28'!H35</f>
        <v>55352.359999999986</v>
      </c>
      <c r="I35" s="95"/>
      <c r="J35" s="175">
        <f>H35/DAY(B2)</f>
        <v>1908.7020689655167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19004.939999999999</v>
      </c>
      <c r="F36" s="145">
        <v>19822.169999999998</v>
      </c>
      <c r="G36" s="112">
        <f t="shared" si="3"/>
        <v>817.22999999999956</v>
      </c>
      <c r="H36" s="99">
        <f>G36+'28'!H36</f>
        <v>30088.470000000005</v>
      </c>
      <c r="I36" s="95"/>
      <c r="J36" s="175">
        <f>H36/DAY(B2)</f>
        <v>1037.5334482758622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190645.23</v>
      </c>
      <c r="F37" s="145">
        <v>192189.71</v>
      </c>
      <c r="G37" s="112">
        <f t="shared" si="3"/>
        <v>1544.4799999999814</v>
      </c>
      <c r="H37" s="99">
        <f>G37+'28'!H37</f>
        <v>46682.97</v>
      </c>
      <c r="I37" s="95"/>
      <c r="J37" s="175">
        <f>H37/DAY(B2)</f>
        <v>1609.7575862068966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226951.49</v>
      </c>
      <c r="F38" s="108">
        <v>228822.07</v>
      </c>
      <c r="G38" s="112">
        <f t="shared" si="3"/>
        <v>1870.5800000000163</v>
      </c>
      <c r="H38" s="99">
        <f>G38+'28'!H38</f>
        <v>57818.020000000019</v>
      </c>
      <c r="I38" s="95"/>
      <c r="J38" s="175">
        <f>H38/DAY(B2)</f>
        <v>1993.7248275862075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402877.43</v>
      </c>
      <c r="F39" s="145">
        <v>405604.75</v>
      </c>
      <c r="G39" s="112">
        <f t="shared" si="3"/>
        <v>2727.320000000007</v>
      </c>
      <c r="H39" s="99">
        <f>G39+'28'!H39</f>
        <v>83941.460000000021</v>
      </c>
      <c r="I39" s="95"/>
      <c r="J39" s="175">
        <f>H39/DAY(B2)</f>
        <v>2894.5331034482765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5066.7700000000004</v>
      </c>
      <c r="F40" s="145">
        <v>5448.67</v>
      </c>
      <c r="G40" s="112">
        <f t="shared" si="3"/>
        <v>381.89999999999964</v>
      </c>
      <c r="H40" s="99">
        <f>G40+'28'!H40</f>
        <v>5877.6</v>
      </c>
      <c r="I40" s="95"/>
      <c r="J40" s="175">
        <f>H40/DAY(B2)</f>
        <v>202.67586206896553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0</v>
      </c>
      <c r="F41" s="145">
        <v>0</v>
      </c>
      <c r="G41" s="112">
        <f t="shared" si="3"/>
        <v>0</v>
      </c>
      <c r="H41" s="99">
        <f>G41+'28'!H41</f>
        <v>9386.2900000000373</v>
      </c>
      <c r="I41" s="95"/>
      <c r="J41" s="175">
        <f>H41/DAY(B2)</f>
        <v>323.66517241379438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67675.429999999993</v>
      </c>
      <c r="F42" s="145">
        <v>71900.37</v>
      </c>
      <c r="G42" s="112">
        <f t="shared" si="3"/>
        <v>4224.9400000000023</v>
      </c>
      <c r="H42" s="99">
        <f>G42+'28'!H42</f>
        <v>113506.38</v>
      </c>
      <c r="I42" s="95"/>
      <c r="J42" s="175">
        <f>H42/DAY(B2)</f>
        <v>3914.0131034482761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39532.07</v>
      </c>
      <c r="F43" s="145">
        <v>41991.99</v>
      </c>
      <c r="G43" s="112">
        <f t="shared" si="3"/>
        <v>2459.9199999999983</v>
      </c>
      <c r="H43" s="99">
        <f>G43+'28'!H43</f>
        <v>78074.389999999912</v>
      </c>
      <c r="I43" s="95"/>
      <c r="J43" s="175">
        <f>H43/DAY(B2)</f>
        <v>2692.2203448275832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15898.090000000006</v>
      </c>
      <c r="H47" s="99">
        <f>G47+'28'!H47</f>
        <v>480727.94</v>
      </c>
      <c r="I47" s="95"/>
      <c r="J47" s="175">
        <f>H47/DAY(B2)</f>
        <v>16576.825517241381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267940.40999999997</v>
      </c>
      <c r="F49" s="145">
        <v>269374.25</v>
      </c>
      <c r="G49" s="112">
        <f t="shared" ref="G49:G58" si="4">F49-E49</f>
        <v>1433.8400000000256</v>
      </c>
      <c r="H49" s="99">
        <f>G49+'28'!H49</f>
        <v>48860.920000000013</v>
      </c>
      <c r="I49" s="95"/>
      <c r="J49" s="175">
        <f>H49/DAY(B2)</f>
        <v>1684.8593103448279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21574.2</v>
      </c>
      <c r="F50" s="145">
        <v>22524.6</v>
      </c>
      <c r="G50" s="112">
        <f t="shared" si="4"/>
        <v>950.39999999999782</v>
      </c>
      <c r="H50" s="99">
        <f>G50+'28'!H50</f>
        <v>38376.410000000062</v>
      </c>
      <c r="I50" s="95"/>
      <c r="J50" s="175">
        <f>H50/DAY(B2)</f>
        <v>1323.3244827586227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3170.4</v>
      </c>
      <c r="F54" s="145">
        <v>3174.76</v>
      </c>
      <c r="G54" s="112">
        <f t="shared" si="4"/>
        <v>4.3600000000001273</v>
      </c>
      <c r="H54" s="99">
        <f>G54+'28'!H54</f>
        <v>143.48000000000002</v>
      </c>
      <c r="I54" s="95"/>
      <c r="J54" s="175">
        <f>H54/DAY(B2)</f>
        <v>4.9475862068965526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0</v>
      </c>
      <c r="F55" s="145">
        <v>0</v>
      </c>
      <c r="G55" s="112">
        <f t="shared" si="4"/>
        <v>0</v>
      </c>
      <c r="H55" s="99">
        <f>G55+'28'!H55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8610.5400000000009</v>
      </c>
      <c r="F56" s="145">
        <v>8610</v>
      </c>
      <c r="G56" s="112">
        <f t="shared" si="4"/>
        <v>-0.54000000000087311</v>
      </c>
      <c r="H56" s="99">
        <f>G56+'28'!H56</f>
        <v>30160.049999999985</v>
      </c>
      <c r="I56" s="95"/>
      <c r="J56" s="175">
        <f>H56/DAY(B2)</f>
        <v>1040.0017241379305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91702.32</v>
      </c>
      <c r="F58" s="145">
        <v>91883.6</v>
      </c>
      <c r="G58" s="112">
        <f t="shared" si="4"/>
        <v>181.27999999999884</v>
      </c>
      <c r="H58" s="99">
        <f>G58+'28'!H58</f>
        <v>6558.75</v>
      </c>
      <c r="I58" s="95"/>
      <c r="J58" s="175">
        <f>H58/DAY(B2)</f>
        <v>226.16379310344828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2569.3400000000215</v>
      </c>
      <c r="H59" s="99">
        <f>G59+'28'!H59</f>
        <v>124099.61000000007</v>
      </c>
      <c r="I59" s="95">
        <f>G7-G60</f>
        <v>864.74999999997453</v>
      </c>
      <c r="J59" s="175">
        <f>H59/DAY(B2)</f>
        <v>4279.2968965517266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18467.430000000026</v>
      </c>
      <c r="H60" s="99">
        <f>G60+'28'!H60</f>
        <v>604827.55000000016</v>
      </c>
      <c r="I60" s="95">
        <f>G13-G60</f>
        <v>605.41000000005806</v>
      </c>
      <c r="J60" s="175">
        <f>H60/DAY(B2)</f>
        <v>20856.122413793109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'28'!F62</f>
        <v>266956</v>
      </c>
      <c r="F62" s="122">
        <v>267087</v>
      </c>
      <c r="G62" s="112">
        <f t="shared" ref="G62:G63" si="5">F62-E62</f>
        <v>131</v>
      </c>
      <c r="H62" s="99">
        <f>G62+'28'!H62</f>
        <v>3622</v>
      </c>
      <c r="I62" s="118"/>
      <c r="J62" s="175">
        <f>H62/DAY(B2)</f>
        <v>124.89655172413794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'28'!F63</f>
        <v>212166.1</v>
      </c>
      <c r="F63" s="122">
        <v>212242</v>
      </c>
      <c r="G63" s="112">
        <f t="shared" si="5"/>
        <v>75.899999999994179</v>
      </c>
      <c r="H63" s="99">
        <f>G63+'28'!H63</f>
        <v>2867</v>
      </c>
      <c r="I63" s="118"/>
      <c r="J63" s="175">
        <f>H63/DAY(B2)</f>
        <v>98.862068965517238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'28'!F64</f>
        <v>0</v>
      </c>
      <c r="F64" s="122"/>
      <c r="G64" s="112">
        <f>G62+G63</f>
        <v>206.89999999999418</v>
      </c>
      <c r="H64" s="99">
        <f>G64+'28'!H64</f>
        <v>6489</v>
      </c>
      <c r="I64" s="118"/>
      <c r="J64" s="175">
        <f>H64/DAY(B2)</f>
        <v>223.75862068965517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'28'!F65</f>
        <v>432313</v>
      </c>
      <c r="F65" s="122">
        <v>432417</v>
      </c>
      <c r="G65" s="112">
        <f t="shared" ref="G65:G70" si="6">F65-E65</f>
        <v>104</v>
      </c>
      <c r="H65" s="99">
        <f>G65+'28'!H65</f>
        <v>3054</v>
      </c>
      <c r="I65" s="118"/>
      <c r="J65" s="175">
        <f>H65/DAY(B2)</f>
        <v>105.31034482758621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'28'!F66</f>
        <v>107157</v>
      </c>
      <c r="F66" s="122">
        <v>107177</v>
      </c>
      <c r="G66" s="112">
        <f t="shared" si="6"/>
        <v>20</v>
      </c>
      <c r="H66" s="99">
        <f>G66+'28'!H66</f>
        <v>578</v>
      </c>
      <c r="I66" s="118"/>
      <c r="J66" s="175">
        <f>H66/DAY(B2)</f>
        <v>19.931034482758619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'28'!F67</f>
        <v>103834</v>
      </c>
      <c r="F67" s="122">
        <v>103862</v>
      </c>
      <c r="G67" s="112">
        <f t="shared" si="6"/>
        <v>28</v>
      </c>
      <c r="H67" s="99">
        <f>G67+'28'!H67</f>
        <v>851</v>
      </c>
      <c r="I67" s="118"/>
      <c r="J67" s="175">
        <f>H67/DAY(B2)</f>
        <v>29.344827586206897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'28'!F68</f>
        <v>156520</v>
      </c>
      <c r="F68" s="122">
        <v>156560</v>
      </c>
      <c r="G68" s="112">
        <f t="shared" si="6"/>
        <v>40</v>
      </c>
      <c r="H68" s="99">
        <f>G68+'28'!H68</f>
        <v>1120</v>
      </c>
      <c r="I68" s="118"/>
      <c r="J68" s="175">
        <f>H68/DAY(B2)</f>
        <v>38.620689655172413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'28'!F69</f>
        <v>10176</v>
      </c>
      <c r="F69" s="122">
        <v>10194</v>
      </c>
      <c r="G69" s="112">
        <f t="shared" si="6"/>
        <v>18</v>
      </c>
      <c r="H69" s="99">
        <f>G69+'28'!H69</f>
        <v>351</v>
      </c>
      <c r="I69" s="118"/>
      <c r="J69" s="175">
        <f>H69/DAY(B2)</f>
        <v>12.103448275862069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'28'!F70</f>
        <v>7843</v>
      </c>
      <c r="F70" s="122">
        <v>7849</v>
      </c>
      <c r="G70" s="112">
        <f t="shared" si="6"/>
        <v>6</v>
      </c>
      <c r="H70" s="99">
        <f>G70+'28'!H70</f>
        <v>307</v>
      </c>
      <c r="I70" s="118"/>
      <c r="J70" s="175">
        <f>H70/DAY(B2)</f>
        <v>10.586206896551724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95">
        <f>'28'!F71</f>
        <v>0</v>
      </c>
      <c r="F71" s="152"/>
      <c r="G71" s="153">
        <f>SUM(G65:G70)</f>
        <v>216</v>
      </c>
      <c r="H71" s="99">
        <f>G71+'28'!H71</f>
        <v>6261</v>
      </c>
      <c r="I71" s="154"/>
      <c r="J71" s="175">
        <f>H71/DAY(B2)</f>
        <v>215.89655172413794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'28'!F74</f>
        <v>891129.92099999997</v>
      </c>
      <c r="F74" s="117">
        <v>891456.32</v>
      </c>
      <c r="G74" s="112">
        <f t="shared" ref="G74:G78" si="7">F74-E74</f>
        <v>326.39899999997579</v>
      </c>
      <c r="H74" s="99">
        <f>G74+'28'!H74</f>
        <v>9203.2709999999497</v>
      </c>
      <c r="I74" s="154"/>
      <c r="J74" s="175">
        <f>H74/DAY(B2)</f>
        <v>317.35417241379139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243.88999999999942</v>
      </c>
      <c r="I75" s="154"/>
      <c r="J75" s="175">
        <f>H75/DAY(B2)</f>
        <v>8.4099999999999806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'28'!F76</f>
        <v>166906.94</v>
      </c>
      <c r="F76" s="123">
        <v>167000.53</v>
      </c>
      <c r="G76" s="112">
        <f t="shared" si="7"/>
        <v>93.589999999996508</v>
      </c>
      <c r="H76" s="99">
        <f>G76+'28'!H76</f>
        <v>3616.5299999999988</v>
      </c>
      <c r="I76" s="154"/>
      <c r="J76" s="175">
        <f>H76/DAY(B2)</f>
        <v>124.70793103448271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'28'!F77</f>
        <v>40190</v>
      </c>
      <c r="F77" s="123">
        <v>40226</v>
      </c>
      <c r="G77" s="112">
        <f t="shared" si="7"/>
        <v>36</v>
      </c>
      <c r="H77" s="99">
        <f>G77+'28'!H77</f>
        <v>1416</v>
      </c>
      <c r="I77" s="154"/>
      <c r="J77" s="175">
        <f>H77/DAY(B2)</f>
        <v>48.827586206896555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'28'!F78</f>
        <v>9479.9</v>
      </c>
      <c r="F78" s="123">
        <v>9481.2000000000007</v>
      </c>
      <c r="G78" s="112">
        <f t="shared" si="7"/>
        <v>1.3000000000010914</v>
      </c>
      <c r="H78" s="99">
        <f>G78+'28'!H78</f>
        <v>69.200000000000728</v>
      </c>
      <c r="I78" s="118"/>
      <c r="J78" s="175">
        <f>H78/DAY(B2)</f>
        <v>2.3862068965517493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'28'!F79</f>
        <v>0</v>
      </c>
      <c r="F79" s="117"/>
      <c r="G79" s="112">
        <f>G15-SUM(G74:G78)</f>
        <v>561.05100000011043</v>
      </c>
      <c r="H79" s="99">
        <f>G79+'28'!H79</f>
        <v>18748.479000000159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1018.3400000000838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'28'!F84</f>
        <v>41675.25</v>
      </c>
      <c r="F84" s="164">
        <v>41675.26</v>
      </c>
      <c r="G84" s="112">
        <f t="shared" si="8"/>
        <v>1.0000000002037268E-2</v>
      </c>
      <c r="H84" s="99">
        <f>G84+'28'!H84</f>
        <v>46.700000000004366</v>
      </c>
      <c r="I84" s="118"/>
      <c r="J84" s="175">
        <f>H84/DAY(B2)</f>
        <v>1.6103448275863574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'28'!F85</f>
        <v>2060.0700000000002</v>
      </c>
      <c r="F85" s="164">
        <v>2083.59</v>
      </c>
      <c r="G85" s="112">
        <f t="shared" si="8"/>
        <v>23.519999999999982</v>
      </c>
      <c r="H85" s="99">
        <f>G85+'28'!H85</f>
        <v>580.0300000000002</v>
      </c>
      <c r="I85" s="118">
        <f>G82+G83+G84+G85</f>
        <v>23.530000000002019</v>
      </c>
      <c r="J85" s="175">
        <f>H85/DAY(B2)</f>
        <v>20.001034482758627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'28'!F86</f>
        <v>42826</v>
      </c>
      <c r="F86" s="164">
        <v>42826.07</v>
      </c>
      <c r="G86" s="112">
        <f t="shared" si="8"/>
        <v>6.9999999999708962E-2</v>
      </c>
      <c r="H86" s="99">
        <f>G86+'28'!H86</f>
        <v>6.9999999999708962E-2</v>
      </c>
      <c r="I86" s="118"/>
      <c r="J86" s="175">
        <f>H86/DAY(B2)</f>
        <v>2.4137931034382402E-3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'28'!F87</f>
        <v>34598.550000000003</v>
      </c>
      <c r="F87" s="164">
        <v>34598.550000000003</v>
      </c>
      <c r="G87" s="112">
        <f t="shared" si="8"/>
        <v>0</v>
      </c>
      <c r="H87" s="99">
        <f>G87+'28'!H87</f>
        <v>178.15000000000146</v>
      </c>
      <c r="I87" s="118"/>
      <c r="J87" s="175">
        <f>H87/DAY(B2)</f>
        <v>6.1431034482759124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'28'!F88</f>
        <v>24040.87</v>
      </c>
      <c r="F88" s="164">
        <v>24041.06</v>
      </c>
      <c r="G88" s="112">
        <f t="shared" si="8"/>
        <v>0.19000000000232831</v>
      </c>
      <c r="H88" s="99">
        <f>G88+'28'!H88</f>
        <v>88.569999999999709</v>
      </c>
      <c r="I88" s="118">
        <f>G86+G87+G88</f>
        <v>0.26000000000203727</v>
      </c>
      <c r="J88" s="175">
        <f>H88/DAY(B2)</f>
        <v>3.0541379310344725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'28'!F89</f>
        <v>25641.94</v>
      </c>
      <c r="F89" s="164">
        <v>25651.26</v>
      </c>
      <c r="G89" s="112">
        <f t="shared" si="8"/>
        <v>9.319999999999709</v>
      </c>
      <c r="H89" s="99">
        <f>G89+'28'!H89</f>
        <v>223.7699999999968</v>
      </c>
      <c r="I89" s="118"/>
      <c r="J89" s="175">
        <f>H89/DAY(B2)</f>
        <v>7.716206896551614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'28'!F90</f>
        <v>71016.929999999993</v>
      </c>
      <c r="F90" s="164">
        <v>71022.03</v>
      </c>
      <c r="G90" s="112">
        <f t="shared" si="8"/>
        <v>5.1000000000058208</v>
      </c>
      <c r="H90" s="99">
        <f>G90+'28'!H90</f>
        <v>34.029999999998836</v>
      </c>
      <c r="I90" s="118">
        <f>G89+G90</f>
        <v>14.42000000000553</v>
      </c>
      <c r="J90" s="175">
        <f>H90/DAY(B2)</f>
        <v>1.1734482758620288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'28'!F91</f>
        <v>3226</v>
      </c>
      <c r="F91" s="122">
        <v>3226</v>
      </c>
      <c r="G91" s="112">
        <f t="shared" si="8"/>
        <v>0</v>
      </c>
      <c r="H91" s="99">
        <f>G91+'28'!H91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'28'!F92</f>
        <v>5406.68</v>
      </c>
      <c r="F92" s="122">
        <v>5418.13</v>
      </c>
      <c r="G92" s="112">
        <f t="shared" si="8"/>
        <v>11.449999999999818</v>
      </c>
      <c r="H92" s="99">
        <f>G92+'28'!H92</f>
        <v>322.23000000000047</v>
      </c>
      <c r="I92" s="165"/>
      <c r="J92" s="175">
        <f>H92/DAY(B2)</f>
        <v>11.111379310344844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5765.480000000025</v>
      </c>
      <c r="H94" s="99">
        <f>G94+'28'!H94</f>
        <v>182287.66999999993</v>
      </c>
      <c r="I94" s="118"/>
      <c r="J94" s="175">
        <f>H94/DAY(B2)</f>
        <v>6285.7817241379289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0.29823227385633821</v>
      </c>
      <c r="H95" s="99">
        <f>G95+'28'!H95</f>
        <v>8.08815137137357</v>
      </c>
      <c r="I95" s="167"/>
      <c r="J95" s="175">
        <f>H95/DAY(B2)</f>
        <v>0.27890177142667483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4224.4000000000015</v>
      </c>
      <c r="H96" s="99">
        <f>G96+'28'!H96</f>
        <v>153052.72</v>
      </c>
      <c r="I96" s="118"/>
      <c r="J96" s="175">
        <f>H96/DAY(B2)</f>
        <v>5277.68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0.2185164839143853</v>
      </c>
      <c r="H97" s="99">
        <f>G97+'28'!H97</f>
        <v>6.762715908605367</v>
      </c>
      <c r="I97" s="167"/>
      <c r="J97" s="175">
        <f>H97/DAY(B2)</f>
        <v>0.23319710029673679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2727.320000000007</v>
      </c>
      <c r="H98" s="99">
        <f>G98+'28'!H98</f>
        <v>83941.460000000021</v>
      </c>
      <c r="I98" s="168"/>
      <c r="J98" s="175">
        <f>H98/DAY(B2)</f>
        <v>2894.5331034482765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0.14107669181644319</v>
      </c>
      <c r="H99" s="99">
        <f>G99+'28'!H99</f>
        <v>3.7303599082547279</v>
      </c>
      <c r="I99" s="168"/>
      <c r="J99" s="175">
        <f>H99/DAY(B2)</f>
        <v>0.12863310028464578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1870.5800000000163</v>
      </c>
      <c r="H100" s="99">
        <f>G100+'28'!H100</f>
        <v>57818.020000000019</v>
      </c>
      <c r="I100" s="118"/>
      <c r="J100" s="175">
        <f>H100/DAY(B2)</f>
        <v>1993.7248275862075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9.6759910160158669E-2</v>
      </c>
      <c r="H101" s="99">
        <f>G101+'28'!H101</f>
        <v>2.5701909200795821</v>
      </c>
      <c r="I101" s="168"/>
      <c r="J101" s="175">
        <f>H101/DAY(B2)</f>
        <v>8.8627273106192478E-2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1767.6299999999974</v>
      </c>
      <c r="H102" s="99">
        <f>G102+'28'!H102</f>
        <v>68464.880000000063</v>
      </c>
      <c r="I102" s="168"/>
      <c r="J102" s="175">
        <f>H102/DAY(B2)</f>
        <v>2360.8579310344849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9.1434592477413174E-2</v>
      </c>
      <c r="H103" s="99">
        <f>G103+'28'!H103</f>
        <v>3.0298734544827259</v>
      </c>
      <c r="I103" s="118"/>
      <c r="J103" s="175">
        <f>H103/DAY(B2)</f>
        <v>0.10447839498216296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1544.4799999999814</v>
      </c>
      <c r="H104" s="99">
        <f>G104+'28'!H104</f>
        <v>46682.97</v>
      </c>
      <c r="I104" s="118"/>
      <c r="J104" s="175">
        <f>H104/DAY(B2)</f>
        <v>1609.7575862068966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7.9891662502624194E-2</v>
      </c>
      <c r="H105" s="99">
        <f>G105+'28'!H105</f>
        <v>2.0770772517405409</v>
      </c>
      <c r="I105" s="187"/>
      <c r="J105" s="188">
        <f>H105/DAY(B2)</f>
        <v>7.1623353508294518E-2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'28'!F112</f>
        <v>55471.73</v>
      </c>
      <c r="F112" s="237">
        <v>53273.53</v>
      </c>
      <c r="G112" s="112">
        <v>5541.25</v>
      </c>
      <c r="H112" s="99">
        <f>G112+'28'!H112</f>
        <v>7660.9700000000012</v>
      </c>
      <c r="I112" s="165"/>
      <c r="J112" s="330">
        <f>H112/DAY(B2)</f>
        <v>264.17137931034489</v>
      </c>
    </row>
    <row r="113" spans="1:18" ht="27.75" x14ac:dyDescent="0.5">
      <c r="A113" s="839" t="s">
        <v>253</v>
      </c>
      <c r="B113" s="840"/>
      <c r="C113" s="841"/>
      <c r="D113" s="146" t="s">
        <v>183</v>
      </c>
      <c r="E113" s="95">
        <f>'28'!F113</f>
        <v>30853.22</v>
      </c>
      <c r="F113" s="237">
        <v>31290.99</v>
      </c>
      <c r="G113" s="112">
        <f t="shared" ref="G113:G123" si="9">F113-E113</f>
        <v>437.77000000000044</v>
      </c>
      <c r="H113" s="99">
        <f>G113+'28'!H113</f>
        <v>13334.460000000003</v>
      </c>
      <c r="I113" s="165"/>
      <c r="J113" s="330">
        <f>H113/DAY(B2)</f>
        <v>459.80896551724146</v>
      </c>
    </row>
    <row r="114" spans="1:18" ht="27.75" x14ac:dyDescent="0.5">
      <c r="A114" s="839" t="s">
        <v>254</v>
      </c>
      <c r="B114" s="840"/>
      <c r="C114" s="841"/>
      <c r="D114" s="146" t="s">
        <v>183</v>
      </c>
      <c r="E114" s="95">
        <f>'28'!F114</f>
        <v>24047.77</v>
      </c>
      <c r="F114" s="237">
        <v>24321.7</v>
      </c>
      <c r="G114" s="112">
        <f t="shared" si="9"/>
        <v>273.93000000000029</v>
      </c>
      <c r="H114" s="99">
        <f>G114+'28'!H114</f>
        <v>10237.419999999998</v>
      </c>
      <c r="I114" s="165"/>
      <c r="J114" s="330">
        <f>H114/DAY(B2)</f>
        <v>353.0144827586206</v>
      </c>
    </row>
    <row r="115" spans="1:18" ht="27.75" x14ac:dyDescent="0.5">
      <c r="A115" s="839" t="s">
        <v>255</v>
      </c>
      <c r="B115" s="840"/>
      <c r="C115" s="841"/>
      <c r="D115" s="146" t="s">
        <v>183</v>
      </c>
      <c r="E115" s="95">
        <f>'28'!F115</f>
        <v>8758.1299999999992</v>
      </c>
      <c r="F115" s="237">
        <v>8765.64</v>
      </c>
      <c r="G115" s="112">
        <f t="shared" si="9"/>
        <v>7.5100000000002183</v>
      </c>
      <c r="H115" s="99">
        <f>G115+'28'!H115</f>
        <v>341.95999999999913</v>
      </c>
      <c r="I115" s="165"/>
      <c r="J115" s="330">
        <f>H115/DAY(B2)</f>
        <v>11.791724137931004</v>
      </c>
    </row>
    <row r="116" spans="1:18" ht="27.75" x14ac:dyDescent="0.5">
      <c r="A116" s="857" t="s">
        <v>96</v>
      </c>
      <c r="B116" s="858"/>
      <c r="C116" s="859"/>
      <c r="D116" s="146" t="s">
        <v>183</v>
      </c>
      <c r="E116" s="95">
        <f>'28'!F116</f>
        <v>0</v>
      </c>
      <c r="F116" s="237">
        <v>0</v>
      </c>
      <c r="G116" s="112">
        <f t="shared" si="9"/>
        <v>0</v>
      </c>
      <c r="H116" s="99">
        <f>G116+'28'!H116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27.75" x14ac:dyDescent="0.5">
      <c r="A117" s="857" t="s">
        <v>184</v>
      </c>
      <c r="B117" s="858"/>
      <c r="C117" s="859"/>
      <c r="D117" s="146" t="s">
        <v>183</v>
      </c>
      <c r="E117" s="95">
        <f>'28'!F117</f>
        <v>2526.06</v>
      </c>
      <c r="F117" s="237">
        <v>2547.0100000000002</v>
      </c>
      <c r="G117" s="112">
        <f t="shared" si="9"/>
        <v>20.950000000000273</v>
      </c>
      <c r="H117" s="99">
        <f>G117+'28'!H117</f>
        <v>605.93000000000029</v>
      </c>
      <c r="I117" s="165"/>
      <c r="J117" s="330">
        <f>H117/DAY(B2)</f>
        <v>20.894137931034493</v>
      </c>
      <c r="Q117" s="839" t="s">
        <v>312</v>
      </c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'28'!F118</f>
        <v>240490.67</v>
      </c>
      <c r="F118" s="237">
        <v>240930.71</v>
      </c>
      <c r="G118" s="112">
        <f t="shared" si="9"/>
        <v>440.03999999997905</v>
      </c>
      <c r="H118" s="99">
        <f>G118+'28'!H118</f>
        <v>11092.979999999981</v>
      </c>
      <c r="I118" s="165"/>
      <c r="J118" s="330">
        <f>H118/DAY(B2)</f>
        <v>382.51655172413729</v>
      </c>
      <c r="Q118" s="839" t="s">
        <v>311</v>
      </c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'28'!F119</f>
        <v>243904.25</v>
      </c>
      <c r="F119" s="237">
        <v>244293.29</v>
      </c>
      <c r="G119" s="112">
        <f t="shared" si="9"/>
        <v>389.04000000000815</v>
      </c>
      <c r="H119" s="99">
        <f>G119+'28'!H119</f>
        <v>12566.760000000009</v>
      </c>
      <c r="I119" s="165"/>
      <c r="J119" s="330">
        <f>H119/DAY(B2)</f>
        <v>433.33655172413825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'28'!F120</f>
        <v>28841.64</v>
      </c>
      <c r="F120" s="237">
        <v>29243.51</v>
      </c>
      <c r="G120" s="112">
        <f t="shared" si="9"/>
        <v>401.86999999999898</v>
      </c>
      <c r="H120" s="99">
        <f>G120+'28'!H120</f>
        <v>12058.189999999999</v>
      </c>
      <c r="I120" s="165"/>
      <c r="J120" s="330">
        <f>H120/DAY(B2)</f>
        <v>415.79965517241374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'28'!F121</f>
        <v>374219.141</v>
      </c>
      <c r="F121" s="237">
        <v>374958.61</v>
      </c>
      <c r="G121" s="112">
        <f t="shared" si="9"/>
        <v>739.46899999998277</v>
      </c>
      <c r="H121" s="99">
        <f>G121+'28'!H121</f>
        <v>21904.380000000005</v>
      </c>
      <c r="I121" s="165"/>
      <c r="J121" s="330">
        <f>H121/DAY(B2)</f>
        <v>755.32344827586223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'28'!F122</f>
        <v>119369.52</v>
      </c>
      <c r="F122" s="237">
        <v>119588.07</v>
      </c>
      <c r="G122" s="112">
        <f t="shared" si="9"/>
        <v>218.55000000000291</v>
      </c>
      <c r="H122" s="99">
        <f>G122+'28'!H122</f>
        <v>8578.2800000000134</v>
      </c>
      <c r="I122" s="165"/>
      <c r="J122" s="330">
        <f>H122/DAY(B2)</f>
        <v>295.8027586206901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'28'!F123</f>
        <v>144113.63</v>
      </c>
      <c r="F123" s="237">
        <v>144462.63</v>
      </c>
      <c r="G123" s="112">
        <f t="shared" si="9"/>
        <v>349</v>
      </c>
      <c r="H123" s="99">
        <f>G123+'28'!H123</f>
        <v>10096.630000000005</v>
      </c>
      <c r="I123" s="165"/>
      <c r="J123" s="330">
        <f>H123/DAY(B2)</f>
        <v>348.15965517241398</v>
      </c>
    </row>
    <row r="124" spans="1:18" ht="27.75" x14ac:dyDescent="0.5">
      <c r="A124" s="864"/>
      <c r="B124" s="865"/>
      <c r="C124" s="866"/>
      <c r="D124" s="165"/>
      <c r="E124" s="95">
        <f>'28'!F124</f>
        <v>0</v>
      </c>
      <c r="F124" s="165"/>
      <c r="G124" s="329"/>
      <c r="H124" s="99">
        <f>G124+'28'!H124</f>
        <v>0</v>
      </c>
      <c r="I124" s="165"/>
      <c r="J124" s="329"/>
    </row>
    <row r="125" spans="1:18" ht="27.75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8819.3789999999735</v>
      </c>
      <c r="H125" s="156"/>
      <c r="I125" s="329">
        <f>G125-(G39+G53)</f>
        <v>6092.0589999999665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G127+'28'!H127</f>
        <v>0</v>
      </c>
      <c r="I127" s="165"/>
      <c r="J127" s="330">
        <f>H127/DAY(B2)</f>
        <v>0</v>
      </c>
    </row>
    <row r="128" spans="1:18" ht="27.75" x14ac:dyDescent="0.5">
      <c r="A128" s="839" t="s">
        <v>318</v>
      </c>
      <c r="B128" s="840"/>
      <c r="C128" s="841"/>
      <c r="D128" s="151" t="s">
        <v>183</v>
      </c>
      <c r="E128" s="95">
        <f>'28'!F128</f>
        <v>36930.68</v>
      </c>
      <c r="F128" s="165">
        <v>37254.01</v>
      </c>
      <c r="G128" s="112">
        <f t="shared" ref="G128:G134" si="10">F128-E128</f>
        <v>323.33000000000175</v>
      </c>
      <c r="H128" s="99">
        <f>G128+'28'!H128</f>
        <v>9649.6400000000031</v>
      </c>
      <c r="I128" s="165"/>
      <c r="J128" s="330">
        <f>H128/DAY(B2)</f>
        <v>332.74620689655183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'28'!F129</f>
        <v>19701.93</v>
      </c>
      <c r="F129" s="165">
        <v>19911.98</v>
      </c>
      <c r="G129" s="112">
        <f t="shared" si="10"/>
        <v>210.04999999999927</v>
      </c>
      <c r="H129" s="99">
        <f>G129+'28'!H129</f>
        <v>7164.3899999999994</v>
      </c>
      <c r="I129" s="165"/>
      <c r="J129" s="330">
        <f>H129/DAY(B2)</f>
        <v>247.04793103448273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'28'!F130</f>
        <v>15841.03</v>
      </c>
      <c r="F130" s="165">
        <v>16637.02</v>
      </c>
      <c r="G130" s="112">
        <f t="shared" si="10"/>
        <v>795.98999999999978</v>
      </c>
      <c r="H130" s="99">
        <f>G130+'28'!H130</f>
        <v>14579.91</v>
      </c>
      <c r="I130" s="165"/>
      <c r="J130" s="330">
        <f>H130/DAY(B2)</f>
        <v>502.75551724137932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'28'!F131</f>
        <v>12900.78</v>
      </c>
      <c r="F131" s="165">
        <v>13006.7</v>
      </c>
      <c r="G131" s="112">
        <f t="shared" si="10"/>
        <v>105.92000000000007</v>
      </c>
      <c r="H131" s="99">
        <f>G131+'28'!H131</f>
        <v>3837.3500000000004</v>
      </c>
      <c r="I131" s="165"/>
      <c r="J131" s="330">
        <f>H131/DAY(B2)</f>
        <v>132.32241379310346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'28'!F132</f>
        <v>39678.32</v>
      </c>
      <c r="F132" s="165">
        <v>40127.279999999999</v>
      </c>
      <c r="G132" s="112">
        <f t="shared" si="10"/>
        <v>448.95999999999913</v>
      </c>
      <c r="H132" s="99">
        <f>G132+'28'!H132</f>
        <v>12333.919999999995</v>
      </c>
      <c r="I132" s="165"/>
      <c r="J132" s="330">
        <f>H132/DAY(B2)</f>
        <v>425.30758620689636</v>
      </c>
    </row>
    <row r="133" spans="1:15" ht="27.75" x14ac:dyDescent="0.5">
      <c r="A133" s="839" t="s">
        <v>363</v>
      </c>
      <c r="B133" s="840"/>
      <c r="C133" s="841"/>
      <c r="D133" s="151" t="s">
        <v>183</v>
      </c>
      <c r="E133" s="95">
        <f>'28'!F133</f>
        <v>85760.93</v>
      </c>
      <c r="F133" s="165">
        <v>86468.29</v>
      </c>
      <c r="G133" s="112">
        <f t="shared" si="10"/>
        <v>707.36000000000058</v>
      </c>
      <c r="H133" s="99">
        <f>G133+'28'!H133</f>
        <v>22993.869999999995</v>
      </c>
      <c r="I133" s="165"/>
      <c r="J133" s="330">
        <f>H133/DAY(B2)</f>
        <v>792.89206896551707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'28'!F134</f>
        <v>666995</v>
      </c>
      <c r="F134" s="165">
        <v>667634</v>
      </c>
      <c r="G134" s="112">
        <f t="shared" si="10"/>
        <v>639</v>
      </c>
      <c r="H134" s="99">
        <f>G134+'28'!H134</f>
        <v>16427</v>
      </c>
      <c r="I134" s="165"/>
      <c r="J134" s="330">
        <f>H134/DAY(B2)</f>
        <v>566.44827586206895</v>
      </c>
    </row>
    <row r="135" spans="1:15" ht="27.75" x14ac:dyDescent="0.5">
      <c r="A135" s="867" t="s">
        <v>196</v>
      </c>
      <c r="B135" s="868"/>
      <c r="C135" s="333"/>
      <c r="D135" s="151"/>
      <c r="E135" s="95"/>
      <c r="F135" s="165"/>
      <c r="G135" s="112">
        <f>SUM(G127:G134)</f>
        <v>3230.6100000000006</v>
      </c>
      <c r="H135" s="99">
        <f>G135+'23'!H135</f>
        <v>35561.82</v>
      </c>
      <c r="I135" s="329">
        <f>G135-(G35+G49)</f>
        <v>-74.950000000026193</v>
      </c>
      <c r="J135" s="330"/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'28'!F138</f>
        <v>863869</v>
      </c>
      <c r="F138" s="147">
        <v>863973</v>
      </c>
      <c r="G138" s="112">
        <f t="shared" ref="G138:G152" si="11">F138-E138</f>
        <v>104</v>
      </c>
      <c r="H138" s="99">
        <f>G138+'28'!H138</f>
        <v>2711</v>
      </c>
      <c r="I138" s="118"/>
      <c r="J138" s="330">
        <f>H138/DAY(B2)</f>
        <v>93.482758620689651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'28'!F139</f>
        <v>886544</v>
      </c>
      <c r="F139" s="148">
        <v>886545</v>
      </c>
      <c r="G139" s="112">
        <f t="shared" si="11"/>
        <v>1</v>
      </c>
      <c r="H139" s="99">
        <f>G139+'28'!H139</f>
        <v>346</v>
      </c>
      <c r="I139" s="118"/>
      <c r="J139" s="330">
        <f>H139/DAY(B2)</f>
        <v>11.931034482758621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'28'!F140</f>
        <v>88882</v>
      </c>
      <c r="F140" s="149">
        <v>88882</v>
      </c>
      <c r="G140" s="112">
        <f t="shared" si="11"/>
        <v>0</v>
      </c>
      <c r="H140" s="99">
        <f>G140+'28'!H140</f>
        <v>33</v>
      </c>
      <c r="I140" s="118"/>
      <c r="J140" s="330">
        <f>H140/DAY(B2)</f>
        <v>1.1379310344827587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'28'!F141</f>
        <v>48738.38</v>
      </c>
      <c r="F141" s="149">
        <v>48918.58</v>
      </c>
      <c r="G141" s="112">
        <f t="shared" si="11"/>
        <v>180.20000000000437</v>
      </c>
      <c r="H141" s="99">
        <f>G141+'28'!H141</f>
        <v>5791.8499999999985</v>
      </c>
      <c r="I141" s="118"/>
      <c r="J141" s="330">
        <f>H141/DAY(B2)</f>
        <v>199.71896551724132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'28'!F142</f>
        <v>18783.34</v>
      </c>
      <c r="F142" s="148">
        <v>18855.740000000002</v>
      </c>
      <c r="G142" s="112">
        <f t="shared" si="11"/>
        <v>72.400000000001455</v>
      </c>
      <c r="H142" s="99">
        <f>G142+'28'!H142</f>
        <v>1395.2400000000016</v>
      </c>
      <c r="I142" s="140"/>
      <c r="J142" s="330">
        <f>H142/DAY(B2)</f>
        <v>48.111724137931091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'28'!F143</f>
        <v>2992.89</v>
      </c>
      <c r="F143" s="149">
        <v>3016.9</v>
      </c>
      <c r="G143" s="112">
        <f t="shared" si="11"/>
        <v>24.010000000000218</v>
      </c>
      <c r="H143" s="99">
        <f>G143+'28'!H143</f>
        <v>815.5</v>
      </c>
      <c r="I143" s="140"/>
      <c r="J143" s="330">
        <f>H143/DAY(B2)</f>
        <v>28.120689655172413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'28'!F144</f>
        <v>868966</v>
      </c>
      <c r="F144" s="149">
        <v>869213</v>
      </c>
      <c r="G144" s="112">
        <f t="shared" si="11"/>
        <v>247</v>
      </c>
      <c r="H144" s="99">
        <f>G144+'28'!H144</f>
        <v>6818</v>
      </c>
      <c r="I144" s="140"/>
      <c r="J144" s="330">
        <f>H144/DAY(B2)</f>
        <v>235.10344827586206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'28'!F145</f>
        <v>4518.78</v>
      </c>
      <c r="F145" s="149">
        <v>4530</v>
      </c>
      <c r="G145" s="112">
        <f t="shared" si="11"/>
        <v>11.220000000000255</v>
      </c>
      <c r="H145" s="99">
        <f>G145+'28'!H145</f>
        <v>1111</v>
      </c>
      <c r="I145" s="140"/>
      <c r="J145" s="330">
        <f>H145/DAY(B2)</f>
        <v>38.310344827586206</v>
      </c>
    </row>
    <row r="146" spans="1:10" ht="27.75" x14ac:dyDescent="0.5">
      <c r="A146" s="835" t="s">
        <v>191</v>
      </c>
      <c r="B146" s="836"/>
      <c r="C146" s="837"/>
      <c r="D146" s="152" t="s">
        <v>183</v>
      </c>
      <c r="E146" s="95">
        <f>'28'!F146</f>
        <v>723472</v>
      </c>
      <c r="F146" s="148">
        <v>723915</v>
      </c>
      <c r="G146" s="112">
        <f t="shared" si="11"/>
        <v>443</v>
      </c>
      <c r="H146" s="99">
        <f>G146+'28'!H146</f>
        <v>13030</v>
      </c>
      <c r="I146" s="140"/>
      <c r="J146" s="330">
        <f>H146/DAY(B2)</f>
        <v>449.31034482758622</v>
      </c>
    </row>
    <row r="147" spans="1:10" ht="27.75" x14ac:dyDescent="0.5">
      <c r="A147" s="838" t="s">
        <v>192</v>
      </c>
      <c r="B147" s="838"/>
      <c r="C147" s="838"/>
      <c r="D147" s="152" t="s">
        <v>183</v>
      </c>
      <c r="E147" s="95">
        <f>'28'!F147</f>
        <v>614078.76</v>
      </c>
      <c r="F147" s="148">
        <v>614450.28</v>
      </c>
      <c r="G147" s="112">
        <f t="shared" si="11"/>
        <v>371.52000000001863</v>
      </c>
      <c r="H147" s="99">
        <f>G147+'28'!H147</f>
        <v>12465.239999999991</v>
      </c>
      <c r="I147" s="140"/>
      <c r="J147" s="330">
        <f>H147/DAY(B2)</f>
        <v>429.83586206896518</v>
      </c>
    </row>
    <row r="148" spans="1:10" ht="27.75" x14ac:dyDescent="0.5">
      <c r="A148" s="794" t="s">
        <v>193</v>
      </c>
      <c r="B148" s="795"/>
      <c r="C148" s="796"/>
      <c r="D148" s="123" t="s">
        <v>130</v>
      </c>
      <c r="E148" s="95">
        <f>'28'!F148</f>
        <v>682204.08</v>
      </c>
      <c r="F148" s="150">
        <v>682450.96</v>
      </c>
      <c r="G148" s="112">
        <f t="shared" si="11"/>
        <v>246.88000000000466</v>
      </c>
      <c r="H148" s="99">
        <f>G148+'28'!H148</f>
        <v>8661.2799999999115</v>
      </c>
      <c r="I148" s="124"/>
      <c r="J148" s="330">
        <f>H148/DAY(B2)</f>
        <v>298.66482758620384</v>
      </c>
    </row>
    <row r="149" spans="1:10" ht="27.75" x14ac:dyDescent="0.5">
      <c r="A149" s="794" t="s">
        <v>336</v>
      </c>
      <c r="B149" s="795"/>
      <c r="C149" s="796"/>
      <c r="D149" s="227" t="s">
        <v>130</v>
      </c>
      <c r="E149" s="95">
        <f>'28'!F149</f>
        <v>9193.01</v>
      </c>
      <c r="F149" s="146">
        <v>9770.5</v>
      </c>
      <c r="G149" s="112">
        <f t="shared" si="11"/>
        <v>577.48999999999978</v>
      </c>
      <c r="H149" s="99">
        <f>G149+'28'!H149</f>
        <v>101988.5</v>
      </c>
      <c r="I149" s="119"/>
      <c r="J149" s="330">
        <f>H149/DAY(B2)</f>
        <v>3516.844827586207</v>
      </c>
    </row>
    <row r="150" spans="1:10" ht="27.75" x14ac:dyDescent="0.5">
      <c r="A150" s="794" t="s">
        <v>337</v>
      </c>
      <c r="B150" s="795"/>
      <c r="C150" s="796"/>
      <c r="D150" s="117" t="s">
        <v>130</v>
      </c>
      <c r="E150" s="95">
        <f>'28'!F150</f>
        <v>3385.75</v>
      </c>
      <c r="F150" s="233">
        <v>3603.3</v>
      </c>
      <c r="G150" s="112">
        <f t="shared" si="11"/>
        <v>217.55000000000018</v>
      </c>
      <c r="H150" s="99">
        <f>G150+'28'!H150</f>
        <v>3411.3</v>
      </c>
      <c r="I150" s="119"/>
      <c r="J150" s="330">
        <f>H150/DAY(B2)</f>
        <v>117.63103448275862</v>
      </c>
    </row>
    <row r="151" spans="1:10" ht="27.75" x14ac:dyDescent="0.5">
      <c r="A151" s="794" t="s">
        <v>338</v>
      </c>
      <c r="B151" s="795"/>
      <c r="C151" s="796"/>
      <c r="D151" s="117" t="s">
        <v>130</v>
      </c>
      <c r="E151" s="95">
        <f>'28'!F151</f>
        <v>77480</v>
      </c>
      <c r="F151" s="233">
        <v>77703</v>
      </c>
      <c r="G151" s="112">
        <f t="shared" si="11"/>
        <v>223</v>
      </c>
      <c r="H151" s="99">
        <f>G151+'28'!H151</f>
        <v>6981</v>
      </c>
      <c r="I151" s="119"/>
      <c r="J151" s="330">
        <f>H151/DAY(B2)</f>
        <v>240.72413793103448</v>
      </c>
    </row>
    <row r="152" spans="1:10" ht="27.75" x14ac:dyDescent="0.5">
      <c r="A152" s="794" t="s">
        <v>339</v>
      </c>
      <c r="B152" s="795"/>
      <c r="C152" s="796"/>
      <c r="D152" s="117" t="s">
        <v>130</v>
      </c>
      <c r="E152" s="95">
        <f>'28'!F152</f>
        <v>983.48</v>
      </c>
      <c r="F152" s="233">
        <v>1030</v>
      </c>
      <c r="G152" s="112">
        <f t="shared" si="11"/>
        <v>46.519999999999982</v>
      </c>
      <c r="H152" s="99">
        <f>G152+'28'!H152</f>
        <v>1030</v>
      </c>
      <c r="I152" s="119"/>
      <c r="J152" s="330">
        <f>H152/DAY(B2)</f>
        <v>35.517241379310342</v>
      </c>
    </row>
    <row r="153" spans="1:10" ht="27.75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2765.7900000000295</v>
      </c>
      <c r="H153" s="365"/>
      <c r="I153" s="119">
        <f>G153-(G38+G52)</f>
        <v>895.21000000001322</v>
      </c>
      <c r="J153" s="368"/>
    </row>
    <row r="154" spans="1:10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1.5" x14ac:dyDescent="0.55000000000000004">
      <c r="A155" s="838" t="s">
        <v>345</v>
      </c>
      <c r="B155" s="838"/>
      <c r="C155" s="838"/>
      <c r="D155" s="117" t="s">
        <v>130</v>
      </c>
      <c r="E155" s="95">
        <f>'28'!F155</f>
        <v>10784</v>
      </c>
      <c r="F155" s="366">
        <v>77505</v>
      </c>
      <c r="G155" s="112">
        <f t="shared" ref="G155:G158" si="12">F155-E155</f>
        <v>66721</v>
      </c>
      <c r="H155" s="99">
        <f>G155+'28'!H155</f>
        <v>77598</v>
      </c>
      <c r="I155" s="366"/>
      <c r="J155" s="330">
        <f>H155/DAY(B2)</f>
        <v>2675.7931034482758</v>
      </c>
    </row>
    <row r="156" spans="1:10" ht="27.75" x14ac:dyDescent="0.5">
      <c r="A156" s="838" t="s">
        <v>347</v>
      </c>
      <c r="B156" s="838"/>
      <c r="C156" s="838"/>
      <c r="D156" s="117" t="s">
        <v>130</v>
      </c>
      <c r="E156" s="95">
        <f>'28'!F156</f>
        <v>872</v>
      </c>
      <c r="F156" s="165">
        <f>872+61</f>
        <v>933</v>
      </c>
      <c r="G156" s="112">
        <f t="shared" si="12"/>
        <v>61</v>
      </c>
      <c r="H156" s="99">
        <f>G156+'28'!H156</f>
        <v>933</v>
      </c>
      <c r="I156" s="165"/>
      <c r="J156" s="330">
        <f>H156/DAY(B2)</f>
        <v>32.172413793103445</v>
      </c>
    </row>
    <row r="157" spans="1:10" ht="27.75" x14ac:dyDescent="0.5">
      <c r="A157" s="794" t="s">
        <v>365</v>
      </c>
      <c r="B157" s="795"/>
      <c r="C157" s="796"/>
      <c r="D157" s="117" t="s">
        <v>130</v>
      </c>
      <c r="E157" s="95">
        <f>'28'!F157</f>
        <v>0</v>
      </c>
      <c r="F157" s="165">
        <v>0</v>
      </c>
      <c r="G157" s="112">
        <f t="shared" si="12"/>
        <v>0</v>
      </c>
      <c r="H157" s="99"/>
      <c r="I157" s="165"/>
      <c r="J157" s="330"/>
    </row>
    <row r="158" spans="1:10" ht="27.75" x14ac:dyDescent="0.5">
      <c r="A158" s="794" t="s">
        <v>366</v>
      </c>
      <c r="B158" s="795"/>
      <c r="C158" s="796"/>
      <c r="D158" s="117" t="s">
        <v>130</v>
      </c>
      <c r="E158" s="95">
        <f>'28'!F158</f>
        <v>1.46</v>
      </c>
      <c r="F158" s="165">
        <v>1.5</v>
      </c>
      <c r="G158" s="112">
        <f t="shared" si="12"/>
        <v>4.0000000000000036E-2</v>
      </c>
      <c r="H158" s="99"/>
      <c r="I158" s="165"/>
      <c r="J158" s="330"/>
    </row>
    <row r="159" spans="1:10" ht="27.75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471152</v>
      </c>
      <c r="F161" s="235">
        <v>471152.04</v>
      </c>
      <c r="G161" s="238">
        <f t="shared" ref="G161:G165" si="13">F161-E161</f>
        <v>3.9999999979045242E-2</v>
      </c>
      <c r="H161" s="99">
        <f>G161+'28'!H161</f>
        <v>175.9199999999837</v>
      </c>
      <c r="I161" s="236"/>
      <c r="J161" s="239">
        <f>H161/DAY(B2)</f>
        <v>6.0662068965511624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87481.2</v>
      </c>
      <c r="F162" s="235">
        <v>87511.6</v>
      </c>
      <c r="G162" s="238">
        <f t="shared" si="13"/>
        <v>30.400000000008731</v>
      </c>
      <c r="H162" s="99">
        <f>G162+'28'!H162</f>
        <v>909.90000000000873</v>
      </c>
      <c r="I162" s="236"/>
      <c r="J162" s="239">
        <f>H162/DAY(B2)</f>
        <v>31.375862068965819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77645.399999999994</v>
      </c>
      <c r="F163" s="235">
        <v>77753.8</v>
      </c>
      <c r="G163" s="238">
        <f t="shared" si="13"/>
        <v>108.40000000000873</v>
      </c>
      <c r="H163" s="99">
        <f>G163+'28'!H163</f>
        <v>2294</v>
      </c>
      <c r="I163" s="236"/>
      <c r="J163" s="239">
        <f>H163/DAY(B2)</f>
        <v>79.103448275862064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4235.5</v>
      </c>
      <c r="F164" s="235">
        <v>4241.2</v>
      </c>
      <c r="G164" s="238">
        <f t="shared" si="13"/>
        <v>5.6999999999998181</v>
      </c>
      <c r="H164" s="99">
        <f>G164+'28'!H164</f>
        <v>143.30000000000018</v>
      </c>
      <c r="I164" s="236"/>
      <c r="J164" s="239">
        <f>H164/DAY(B2)</f>
        <v>4.9413793103448338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29629.22</v>
      </c>
      <c r="F165" s="235">
        <v>29635.200000000001</v>
      </c>
      <c r="G165" s="238">
        <f t="shared" si="13"/>
        <v>5.9799999999995634</v>
      </c>
      <c r="H165" s="99">
        <f>G165+'28'!H165</f>
        <v>206.26880000000165</v>
      </c>
      <c r="I165" s="236"/>
      <c r="J165" s="239">
        <f>H165/DAY(B2)</f>
        <v>7.1127172413793671</v>
      </c>
    </row>
    <row r="166" spans="1:10" ht="29.25" x14ac:dyDescent="0.5">
      <c r="A166" s="870"/>
      <c r="B166" s="870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'28'!F173</f>
        <v>8126</v>
      </c>
      <c r="F173" s="155">
        <v>8126</v>
      </c>
      <c r="G173" s="155">
        <f>F173-E173</f>
        <v>0</v>
      </c>
      <c r="H173" s="99">
        <f>G173+'28'!H173</f>
        <v>19</v>
      </c>
      <c r="I173" s="155"/>
      <c r="J173" s="178">
        <f>H173/DAY(B2)</f>
        <v>0.65517241379310343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'28'!F174</f>
        <v>38252</v>
      </c>
      <c r="F174" s="157">
        <v>38565</v>
      </c>
      <c r="G174" s="155">
        <f t="shared" ref="G174:G175" si="14">F174-E174</f>
        <v>313</v>
      </c>
      <c r="H174" s="99">
        <f>G174+'28'!H174</f>
        <v>763</v>
      </c>
      <c r="I174" s="155"/>
      <c r="J174" s="178">
        <f>H174/DAY(B2)</f>
        <v>26.310344827586206</v>
      </c>
    </row>
    <row r="175" spans="1:10" ht="27.75" x14ac:dyDescent="0.5">
      <c r="A175" s="831" t="s">
        <v>76</v>
      </c>
      <c r="B175" s="833"/>
      <c r="C175" s="832"/>
      <c r="D175" s="228" t="s">
        <v>142</v>
      </c>
      <c r="E175" s="95">
        <f>'28'!F175</f>
        <v>21486</v>
      </c>
      <c r="F175" s="155">
        <v>21498</v>
      </c>
      <c r="G175" s="155">
        <f t="shared" si="14"/>
        <v>12</v>
      </c>
      <c r="H175" s="99">
        <f>G175+'28'!H175</f>
        <v>361</v>
      </c>
      <c r="I175" s="155"/>
      <c r="J175" s="178">
        <f>H175/DAY(B2)</f>
        <v>12.448275862068966</v>
      </c>
    </row>
    <row r="176" spans="1:10" ht="27.75" x14ac:dyDescent="0.5">
      <c r="A176" s="867" t="s">
        <v>196</v>
      </c>
      <c r="B176" s="868"/>
      <c r="C176" s="529"/>
      <c r="D176" s="228"/>
      <c r="E176" s="95"/>
      <c r="F176" s="155"/>
      <c r="G176" s="155">
        <f>SUM(G173:G175)</f>
        <v>325</v>
      </c>
      <c r="H176" s="99">
        <f>G176+'28'!H176</f>
        <v>1143</v>
      </c>
      <c r="I176" s="155"/>
      <c r="J176" s="178">
        <f>H176/DAY(B2)</f>
        <v>39.413793103448278</v>
      </c>
    </row>
    <row r="177" spans="1:10" ht="27.75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831" t="s">
        <v>210</v>
      </c>
      <c r="B178" s="832"/>
      <c r="C178" s="335"/>
      <c r="D178" s="228" t="s">
        <v>142</v>
      </c>
      <c r="E178" s="95">
        <f>'28'!F178</f>
        <v>79402</v>
      </c>
      <c r="F178" s="155">
        <v>79497</v>
      </c>
      <c r="G178" s="155">
        <f>F178-E178</f>
        <v>95</v>
      </c>
      <c r="H178" s="99">
        <f>G178+'28'!H178</f>
        <v>2145</v>
      </c>
      <c r="I178" s="155"/>
      <c r="J178" s="178">
        <f>H178/DAY(B2)</f>
        <v>73.965517241379317</v>
      </c>
    </row>
    <row r="179" spans="1:10" ht="27.75" x14ac:dyDescent="0.5">
      <c r="A179" s="831" t="s">
        <v>211</v>
      </c>
      <c r="B179" s="832"/>
      <c r="C179" s="335"/>
      <c r="D179" s="228" t="s">
        <v>142</v>
      </c>
      <c r="E179" s="95">
        <f>'28'!F179</f>
        <v>33915</v>
      </c>
      <c r="F179" s="155">
        <v>33915</v>
      </c>
      <c r="G179" s="155">
        <f t="shared" ref="G179:G180" si="15">F179-E179</f>
        <v>0</v>
      </c>
      <c r="H179" s="99">
        <f>G179+'28'!H179</f>
        <v>29</v>
      </c>
      <c r="I179" s="155"/>
      <c r="J179" s="178">
        <f>H179/DAY(B2)</f>
        <v>1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'28'!F180</f>
        <v>5463</v>
      </c>
      <c r="F180" s="155">
        <v>5471</v>
      </c>
      <c r="G180" s="155">
        <f t="shared" si="15"/>
        <v>8</v>
      </c>
      <c r="H180" s="99">
        <f>G180+'28'!H180</f>
        <v>198</v>
      </c>
      <c r="I180" s="155"/>
      <c r="J180" s="178">
        <f>H180/DAY(B2)</f>
        <v>6.8275862068965516</v>
      </c>
    </row>
    <row r="181" spans="1:10" ht="27.75" x14ac:dyDescent="0.5">
      <c r="A181" s="872" t="s">
        <v>108</v>
      </c>
      <c r="B181" s="873"/>
      <c r="C181" s="529"/>
      <c r="D181" s="228"/>
      <c r="E181" s="95"/>
      <c r="F181" s="155"/>
      <c r="G181" s="155">
        <f>SUM(G178:G180)</f>
        <v>103</v>
      </c>
      <c r="H181" s="99">
        <f>G181+'28'!H181</f>
        <v>2372</v>
      </c>
      <c r="I181" s="155"/>
      <c r="J181" s="178">
        <f>H181/DAY(B2)</f>
        <v>81.793103448275858</v>
      </c>
    </row>
    <row r="182" spans="1:10" ht="27.75" x14ac:dyDescent="0.5">
      <c r="A182" s="831" t="s">
        <v>213</v>
      </c>
      <c r="B182" s="832"/>
      <c r="C182" s="335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'28'!F183</f>
        <v>14901</v>
      </c>
      <c r="F183" s="157">
        <v>14923</v>
      </c>
      <c r="G183" s="157">
        <f>F183-E183</f>
        <v>22</v>
      </c>
      <c r="H183" s="99">
        <f>G183+'28'!H183</f>
        <v>427</v>
      </c>
      <c r="I183" s="155"/>
      <c r="J183" s="178">
        <f>H183/DAY(B2)</f>
        <v>14.724137931034482</v>
      </c>
    </row>
    <row r="184" spans="1:10" ht="27.75" x14ac:dyDescent="0.5">
      <c r="A184" s="831" t="s">
        <v>215</v>
      </c>
      <c r="B184" s="832"/>
      <c r="C184" s="336"/>
      <c r="D184" s="228" t="s">
        <v>142</v>
      </c>
      <c r="E184" s="95">
        <f>'28'!F184</f>
        <v>10282</v>
      </c>
      <c r="F184" s="157">
        <v>10289</v>
      </c>
      <c r="G184" s="157">
        <f t="shared" ref="G184:G185" si="16">F184-E184</f>
        <v>7</v>
      </c>
      <c r="H184" s="99">
        <f>G184+'28'!H184</f>
        <v>258</v>
      </c>
      <c r="I184" s="155"/>
      <c r="J184" s="178">
        <f>H184/DAY(B2)</f>
        <v>8.8965517241379306</v>
      </c>
    </row>
    <row r="185" spans="1:10" ht="27.75" x14ac:dyDescent="0.5">
      <c r="A185" s="831" t="s">
        <v>216</v>
      </c>
      <c r="B185" s="832"/>
      <c r="C185" s="336"/>
      <c r="D185" s="228" t="s">
        <v>142</v>
      </c>
      <c r="E185" s="95">
        <f>'28'!F185</f>
        <v>0</v>
      </c>
      <c r="F185" s="157"/>
      <c r="G185" s="157">
        <f t="shared" si="16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867" t="s">
        <v>196</v>
      </c>
      <c r="B186" s="868"/>
      <c r="C186" s="528"/>
      <c r="D186" s="229"/>
      <c r="E186" s="95"/>
      <c r="F186" s="157"/>
      <c r="G186" s="157">
        <f>SUM(G183:G185)</f>
        <v>29</v>
      </c>
      <c r="H186" s="99">
        <f>G186+'28'!H186</f>
        <v>685</v>
      </c>
      <c r="I186" s="157"/>
      <c r="J186" s="178">
        <f>H186/DAY(B2)</f>
        <v>23.620689655172413</v>
      </c>
    </row>
    <row r="187" spans="1:10" ht="27.75" x14ac:dyDescent="0.5">
      <c r="A187" s="876" t="s">
        <v>217</v>
      </c>
      <c r="B187" s="877"/>
      <c r="C187" s="335"/>
      <c r="D187" s="230" t="s">
        <v>142</v>
      </c>
      <c r="E187" s="95">
        <f>'28'!F187</f>
        <v>0</v>
      </c>
      <c r="F187" s="159"/>
      <c r="G187" s="649">
        <f>G62+G19</f>
        <v>184</v>
      </c>
      <c r="H187" s="99">
        <f>G187+'28'!H187</f>
        <v>5151</v>
      </c>
      <c r="I187" s="158"/>
      <c r="J187" s="179">
        <f>H187/DAY(B2)</f>
        <v>177.62068965517241</v>
      </c>
    </row>
    <row r="188" spans="1:10" ht="27.75" x14ac:dyDescent="0.5">
      <c r="A188" s="876" t="s">
        <v>218</v>
      </c>
      <c r="B188" s="877"/>
      <c r="C188" s="335"/>
      <c r="D188" s="230" t="s">
        <v>142</v>
      </c>
      <c r="E188" s="95">
        <f>'28'!F188</f>
        <v>0</v>
      </c>
      <c r="F188" s="159"/>
      <c r="G188" s="649">
        <f>G65+G66+G67+G69+G70</f>
        <v>176</v>
      </c>
      <c r="H188" s="99">
        <f>G188+'28'!H188</f>
        <v>2631</v>
      </c>
      <c r="I188" s="158"/>
      <c r="J188" s="179">
        <f>H188/DAY(B2)</f>
        <v>90.724137931034477</v>
      </c>
    </row>
    <row r="189" spans="1:10" ht="27.75" x14ac:dyDescent="0.5">
      <c r="A189" s="876" t="s">
        <v>219</v>
      </c>
      <c r="B189" s="877"/>
      <c r="C189" s="335"/>
      <c r="D189" s="230" t="s">
        <v>142</v>
      </c>
      <c r="E189" s="95">
        <f>'28'!F189</f>
        <v>0</v>
      </c>
      <c r="F189" s="157"/>
      <c r="G189" s="545">
        <f>G181</f>
        <v>103</v>
      </c>
      <c r="H189" s="99">
        <f>G189+'28'!H189</f>
        <v>858</v>
      </c>
      <c r="I189" s="158"/>
      <c r="J189" s="179">
        <f>H189/DAY(B2)</f>
        <v>29.586206896551722</v>
      </c>
    </row>
    <row r="190" spans="1:10" ht="27.75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130" zoomScale="55" zoomScaleNormal="55" zoomScaleSheetLayoutView="55" workbookViewId="0">
      <selection activeCell="A157" sqref="A157:D158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30.75" customHeight="1" x14ac:dyDescent="0.5">
      <c r="A2" s="191" t="s">
        <v>350</v>
      </c>
      <c r="B2" s="262">
        <v>44530</v>
      </c>
      <c r="C2" s="350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50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54739.8</v>
      </c>
      <c r="F7" s="95">
        <f>E7+24000</f>
        <v>78739.8</v>
      </c>
      <c r="G7" s="112">
        <f>F7-E7</f>
        <v>24000</v>
      </c>
      <c r="H7" s="99">
        <f>G7+'29'!H7</f>
        <v>678265.8</v>
      </c>
      <c r="I7" s="113">
        <f>'1'!I7</f>
        <v>12000</v>
      </c>
      <c r="J7" s="175">
        <f>H7/DAY(B2)</f>
        <v>22608.86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100629.21</v>
      </c>
      <c r="F8" s="95">
        <f>E8+24000</f>
        <v>124629.21</v>
      </c>
      <c r="G8" s="112">
        <f>F8-E8</f>
        <v>24000</v>
      </c>
      <c r="H8" s="99">
        <f>G8+'29'!H8</f>
        <v>686334.21</v>
      </c>
      <c r="I8" s="116"/>
      <c r="J8" s="175">
        <f>H8/DAY(B2)</f>
        <v>22877.806999999997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2231017.5</v>
      </c>
      <c r="F9" s="659">
        <f>E9+15000</f>
        <v>2246017.5</v>
      </c>
      <c r="G9" s="359">
        <f>F9-E9</f>
        <v>15000</v>
      </c>
      <c r="H9" s="99">
        <f>G9+'29'!H9</f>
        <v>526919.80000000005</v>
      </c>
      <c r="I9" s="124">
        <f>I7-J7</f>
        <v>-10608.86</v>
      </c>
      <c r="J9" s="175">
        <f>H9/DAY(B2)</f>
        <v>17563.993333333336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529865.79</v>
      </c>
      <c r="F10" s="355">
        <v>406082.43</v>
      </c>
      <c r="G10" s="112">
        <f t="shared" ref="G10:G12" si="0">F10-E10</f>
        <v>-123783.36000000004</v>
      </c>
      <c r="H10" s="99">
        <f>G10+'29'!H10</f>
        <v>0</v>
      </c>
      <c r="I10" s="282"/>
      <c r="J10" s="175">
        <f>H10/DAY(B2)</f>
        <v>0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37000</v>
      </c>
      <c r="F11" s="95">
        <v>37000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-108783.36000000004</v>
      </c>
      <c r="H13" s="99">
        <f>G13+'29'!H13</f>
        <v>504868.93</v>
      </c>
      <c r="I13" s="120">
        <f>G7-G13</f>
        <v>132783.36000000004</v>
      </c>
      <c r="J13" s="175">
        <f>H13/DAY(B2)</f>
        <v>16828.964333333333</v>
      </c>
      <c r="K13" s="79"/>
      <c r="L13" s="66"/>
      <c r="N13" s="87"/>
      <c r="O13" s="71"/>
    </row>
    <row r="14" spans="1:15" ht="30.75" customHeight="1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7" t="s">
        <v>138</v>
      </c>
      <c r="B15" s="205"/>
      <c r="C15" s="205"/>
      <c r="D15" s="151" t="s">
        <v>139</v>
      </c>
      <c r="E15" s="95">
        <f>'29'!F15</f>
        <v>1876445.37</v>
      </c>
      <c r="F15" s="123">
        <f>E15+1100</f>
        <v>1877545.37</v>
      </c>
      <c r="G15" s="112">
        <f>(F15-E15)</f>
        <v>1100</v>
      </c>
      <c r="H15" s="99">
        <f>G15+'29'!H15</f>
        <v>34397.370000000112</v>
      </c>
      <c r="I15" s="113">
        <f>'1'!I15</f>
        <v>800</v>
      </c>
      <c r="J15" s="175">
        <f>H15/DAY(B2)</f>
        <v>1146.5790000000038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-346.57900000000382</v>
      </c>
      <c r="J16" s="176"/>
      <c r="K16" s="79"/>
      <c r="L16" s="66"/>
      <c r="N16" s="87"/>
      <c r="O16" s="71"/>
    </row>
    <row r="17" spans="1:15" ht="30.75" customHeight="1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09" t="s">
        <v>141</v>
      </c>
      <c r="B18" s="810"/>
      <c r="C18" s="811"/>
      <c r="D18" s="151" t="s">
        <v>142</v>
      </c>
      <c r="E18" s="95">
        <f>'29'!F18</f>
        <v>22</v>
      </c>
      <c r="F18" s="122">
        <v>22</v>
      </c>
      <c r="G18" s="119">
        <f>F18*10</f>
        <v>220</v>
      </c>
      <c r="H18" s="99">
        <f>G18+'29'!H18</f>
        <v>6330</v>
      </c>
      <c r="I18" s="113">
        <f>'1'!I18</f>
        <v>65</v>
      </c>
      <c r="J18" s="175">
        <f>H18/DAY(B2)</f>
        <v>211</v>
      </c>
      <c r="K18" s="79"/>
      <c r="L18" s="66"/>
      <c r="N18" s="87"/>
      <c r="O18" s="71"/>
    </row>
    <row r="19" spans="1:15" ht="30.75" customHeight="1" x14ac:dyDescent="0.5">
      <c r="A19" s="809" t="s">
        <v>69</v>
      </c>
      <c r="B19" s="810"/>
      <c r="C19" s="811"/>
      <c r="D19" s="151" t="s">
        <v>142</v>
      </c>
      <c r="E19" s="95">
        <f>'29'!F19</f>
        <v>152113</v>
      </c>
      <c r="F19" s="122">
        <v>150584</v>
      </c>
      <c r="G19" s="112">
        <f t="shared" ref="G19" si="1">F19-E19</f>
        <v>-1529</v>
      </c>
      <c r="H19" s="99">
        <f>G19+'29'!H19</f>
        <v>0</v>
      </c>
      <c r="I19" s="337"/>
      <c r="J19" s="175">
        <f>H19/DAY(B2)</f>
        <v>0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-1309</v>
      </c>
      <c r="H20" s="99">
        <f>G20+'29'!H20</f>
        <v>6330</v>
      </c>
      <c r="I20" s="338">
        <f>I18-J20</f>
        <v>-146</v>
      </c>
      <c r="J20" s="175">
        <f>H20/DAY(B2)</f>
        <v>211</v>
      </c>
      <c r="K20" s="79"/>
      <c r="L20" s="66"/>
      <c r="N20" s="87"/>
      <c r="O20" s="71"/>
    </row>
    <row r="21" spans="1:15" ht="30.75" customHeight="1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7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7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G27+'29'!H27</f>
        <v>6177007.8899999997</v>
      </c>
      <c r="I27" s="138"/>
      <c r="J27" s="175">
        <f>H27/DAY(B2)</f>
        <v>205900.26299999998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G28+'29'!H28</f>
        <v>1788663.2400000058</v>
      </c>
      <c r="I28" s="140"/>
      <c r="J28" s="175">
        <f>H28/DAY(B2)</f>
        <v>59622.108000000197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-1529</v>
      </c>
      <c r="F30" s="136">
        <v>146</v>
      </c>
      <c r="G30" s="137">
        <f>E30*F30</f>
        <v>-223234</v>
      </c>
      <c r="H30" s="99">
        <f>G30+'29'!H30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G31+'29'!H31</f>
        <v>506400</v>
      </c>
      <c r="I31" s="140"/>
      <c r="J31" s="175">
        <f>H31/DAY(B2)</f>
        <v>16880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67566</v>
      </c>
      <c r="H32" s="99">
        <f>G32+'29'!H32</f>
        <v>8472071.1300000064</v>
      </c>
      <c r="I32" s="144"/>
      <c r="J32" s="175">
        <f>H32/DAY(B2)</f>
        <v>282402.37100000022</v>
      </c>
      <c r="K32" s="63"/>
      <c r="L32" s="89"/>
      <c r="N32" s="87"/>
      <c r="O32" s="71"/>
    </row>
    <row r="33" spans="1:15" ht="30.7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148886.99</v>
      </c>
      <c r="F35" s="145">
        <v>93534.63</v>
      </c>
      <c r="G35" s="112">
        <f t="shared" ref="G35:G46" si="3">F35-E35</f>
        <v>-55352.359999999986</v>
      </c>
      <c r="H35" s="99">
        <f>G35+'29'!H35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19822.169999999998</v>
      </c>
      <c r="F36" s="145">
        <v>79463.7</v>
      </c>
      <c r="G36" s="112">
        <f t="shared" si="3"/>
        <v>59641.53</v>
      </c>
      <c r="H36" s="99">
        <f>G36+'29'!H36</f>
        <v>89730</v>
      </c>
      <c r="I36" s="95"/>
      <c r="J36" s="175">
        <f>H36/DAY(B2)</f>
        <v>2991</v>
      </c>
      <c r="K36" s="79"/>
      <c r="L36" s="66"/>
      <c r="N36" s="87"/>
      <c r="O36" s="346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192189.71</v>
      </c>
      <c r="F37" s="145">
        <v>145506.74</v>
      </c>
      <c r="G37" s="112">
        <f t="shared" si="3"/>
        <v>-46682.97</v>
      </c>
      <c r="H37" s="99">
        <f>G37+'29'!H37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228822.07</v>
      </c>
      <c r="F38" s="108">
        <v>171004.05</v>
      </c>
      <c r="G38" s="112">
        <f t="shared" si="3"/>
        <v>-57818.020000000019</v>
      </c>
      <c r="H38" s="99">
        <f>G38+'29'!H38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405604.75</v>
      </c>
      <c r="F39" s="145">
        <v>321663.28999999998</v>
      </c>
      <c r="G39" s="112">
        <f t="shared" si="3"/>
        <v>-83941.460000000021</v>
      </c>
      <c r="H39" s="99">
        <f>G39+'29'!H39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5448.67</v>
      </c>
      <c r="F40" s="145">
        <v>111.22</v>
      </c>
      <c r="G40" s="112">
        <f t="shared" si="3"/>
        <v>-5337.45</v>
      </c>
      <c r="H40" s="99">
        <f>G40+'29'!H40</f>
        <v>540.15000000000055</v>
      </c>
      <c r="I40" s="95"/>
      <c r="J40" s="175">
        <f>H40/DAY(B2)</f>
        <v>18.005000000000017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590513.71</v>
      </c>
      <c r="G41" s="112">
        <f t="shared" si="3"/>
        <v>590513.71</v>
      </c>
      <c r="H41" s="99">
        <f>G41+'29'!H41</f>
        <v>599900</v>
      </c>
      <c r="I41" s="95"/>
      <c r="J41" s="175">
        <f>H41/DAY(B2)</f>
        <v>19996.666666666668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71900.37</v>
      </c>
      <c r="F42" s="145">
        <v>316053.99</v>
      </c>
      <c r="G42" s="112">
        <f t="shared" si="3"/>
        <v>244153.62</v>
      </c>
      <c r="H42" s="99">
        <f>G42+'29'!H42</f>
        <v>357660</v>
      </c>
      <c r="I42" s="95"/>
      <c r="J42" s="175">
        <f>H42/DAY(B2)</f>
        <v>11922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41991.99</v>
      </c>
      <c r="F43" s="145">
        <v>1528598.6</v>
      </c>
      <c r="G43" s="112">
        <f t="shared" si="3"/>
        <v>1486606.61</v>
      </c>
      <c r="H43" s="99">
        <f>G43+'29'!H43</f>
        <v>1564681</v>
      </c>
      <c r="I43" s="95"/>
      <c r="J43" s="175">
        <f>H43/DAY(B2)</f>
        <v>52156.033333333333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2131783.21</v>
      </c>
      <c r="H47" s="99">
        <f>G47+'29'!H47</f>
        <v>2612511.15</v>
      </c>
      <c r="I47" s="95"/>
      <c r="J47" s="175">
        <f>H47/DAY(B2)</f>
        <v>87083.705000000002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269374.25</v>
      </c>
      <c r="F49" s="145">
        <v>220513.33</v>
      </c>
      <c r="G49" s="112">
        <f t="shared" ref="G49:G58" si="4">F49-E49</f>
        <v>-48860.920000000013</v>
      </c>
      <c r="H49" s="99">
        <f>G49+'29'!H49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22524.6</v>
      </c>
      <c r="F50" s="145">
        <v>723223.19</v>
      </c>
      <c r="G50" s="112">
        <f t="shared" si="4"/>
        <v>700698.59</v>
      </c>
      <c r="H50" s="99">
        <f>G50+'29'!H50</f>
        <v>739075</v>
      </c>
      <c r="I50" s="95"/>
      <c r="J50" s="175">
        <f>H50/DAY(B2)</f>
        <v>24635.833333333332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3174.76</v>
      </c>
      <c r="F54" s="145">
        <v>3031.28</v>
      </c>
      <c r="G54" s="112">
        <f t="shared" si="4"/>
        <v>-143.48000000000002</v>
      </c>
      <c r="H54" s="99">
        <f>G54+'29'!H54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0</v>
      </c>
      <c r="F55" s="145">
        <v>0</v>
      </c>
      <c r="G55" s="112">
        <f t="shared" si="4"/>
        <v>0</v>
      </c>
      <c r="H55" s="99">
        <f>G55+'29'!H55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'29'!F56</f>
        <v>8610</v>
      </c>
      <c r="F56" s="145">
        <v>190514.95</v>
      </c>
      <c r="G56" s="112">
        <f t="shared" si="4"/>
        <v>181904.95</v>
      </c>
      <c r="H56" s="99">
        <f>G56+'29'!H56</f>
        <v>212065</v>
      </c>
      <c r="I56" s="95"/>
      <c r="J56" s="175">
        <f>H56/DAY(B2)</f>
        <v>7068.833333333333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91883.6</v>
      </c>
      <c r="F58" s="145">
        <v>85324.85</v>
      </c>
      <c r="G58" s="112">
        <f t="shared" si="4"/>
        <v>-6558.75</v>
      </c>
      <c r="H58" s="99">
        <f>G58+'29'!H58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827040.3899999999</v>
      </c>
      <c r="H59" s="99">
        <f>G59+'29'!H59</f>
        <v>951140</v>
      </c>
      <c r="I59" s="95">
        <f>G7-G60</f>
        <v>-2934823.5999999996</v>
      </c>
      <c r="J59" s="175">
        <f>H59/DAY(B2)</f>
        <v>31704.666666666668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2958823.5999999996</v>
      </c>
      <c r="H60" s="99">
        <f>G60+'29'!H60</f>
        <v>3563651.15</v>
      </c>
      <c r="I60" s="95">
        <f>G13-G60</f>
        <v>-3067606.9599999995</v>
      </c>
      <c r="J60" s="175">
        <f>H60/DAY(B2)</f>
        <v>118788.37166666666</v>
      </c>
      <c r="K60" s="79"/>
      <c r="L60" s="66"/>
      <c r="N60" s="87"/>
      <c r="O60" s="71"/>
    </row>
    <row r="61" spans="1:15" s="68" customFormat="1" ht="30.75" customHeight="1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30.75" customHeight="1" x14ac:dyDescent="0.5">
      <c r="A62" s="809" t="s">
        <v>198</v>
      </c>
      <c r="B62" s="810"/>
      <c r="C62" s="811"/>
      <c r="D62" s="151" t="s">
        <v>142</v>
      </c>
      <c r="E62" s="95">
        <f>'29'!F62</f>
        <v>267087</v>
      </c>
      <c r="F62" s="122">
        <v>263465</v>
      </c>
      <c r="G62" s="112">
        <f t="shared" ref="G62:G63" si="5">F62-E62</f>
        <v>-3622</v>
      </c>
      <c r="H62" s="99">
        <f>G62+'29'!H62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30.75" customHeight="1" x14ac:dyDescent="0.5">
      <c r="A63" s="809" t="s">
        <v>199</v>
      </c>
      <c r="B63" s="810"/>
      <c r="C63" s="811"/>
      <c r="D63" s="151" t="s">
        <v>142</v>
      </c>
      <c r="E63" s="95">
        <f>'29'!F63</f>
        <v>212242</v>
      </c>
      <c r="F63" s="122">
        <v>209375</v>
      </c>
      <c r="G63" s="112">
        <f t="shared" si="5"/>
        <v>-2867</v>
      </c>
      <c r="H63" s="99">
        <f>G63+'29'!H63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30.75" customHeight="1" x14ac:dyDescent="0.5">
      <c r="A64" s="806" t="s">
        <v>200</v>
      </c>
      <c r="B64" s="807"/>
      <c r="C64" s="808"/>
      <c r="D64" s="151"/>
      <c r="E64" s="95">
        <f>'29'!F64</f>
        <v>0</v>
      </c>
      <c r="F64" s="122"/>
      <c r="G64" s="112">
        <f>G62+G63</f>
        <v>-6489</v>
      </c>
      <c r="H64" s="99">
        <f>G64+'29'!H64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30.75" customHeight="1" x14ac:dyDescent="0.5">
      <c r="A65" s="809" t="s">
        <v>201</v>
      </c>
      <c r="B65" s="810"/>
      <c r="C65" s="811"/>
      <c r="D65" s="151" t="s">
        <v>142</v>
      </c>
      <c r="E65" s="95">
        <f>'29'!F65</f>
        <v>432417</v>
      </c>
      <c r="F65" s="122">
        <v>429363</v>
      </c>
      <c r="G65" s="112">
        <f t="shared" ref="G65:G70" si="6">F65-E65</f>
        <v>-3054</v>
      </c>
      <c r="H65" s="99">
        <f>G65+'29'!H65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30.75" customHeight="1" x14ac:dyDescent="0.5">
      <c r="A66" s="347" t="s">
        <v>202</v>
      </c>
      <c r="B66" s="348"/>
      <c r="C66" s="348"/>
      <c r="D66" s="151" t="s">
        <v>142</v>
      </c>
      <c r="E66" s="95">
        <f>'29'!F66</f>
        <v>107177</v>
      </c>
      <c r="F66" s="122">
        <v>106599</v>
      </c>
      <c r="G66" s="112">
        <f t="shared" si="6"/>
        <v>-578</v>
      </c>
      <c r="H66" s="99">
        <f>G66+'29'!H66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30.75" customHeight="1" x14ac:dyDescent="0.5">
      <c r="A67" s="347" t="s">
        <v>203</v>
      </c>
      <c r="B67" s="348"/>
      <c r="C67" s="348"/>
      <c r="D67" s="151" t="s">
        <v>142</v>
      </c>
      <c r="E67" s="95">
        <f>'29'!F67</f>
        <v>103862</v>
      </c>
      <c r="F67" s="532">
        <v>103011</v>
      </c>
      <c r="G67" s="112">
        <f t="shared" si="6"/>
        <v>-851</v>
      </c>
      <c r="H67" s="99">
        <f>G67+'29'!H67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 x14ac:dyDescent="0.5">
      <c r="A68" s="347" t="s">
        <v>204</v>
      </c>
      <c r="B68" s="348"/>
      <c r="C68" s="348"/>
      <c r="D68" s="151" t="s">
        <v>142</v>
      </c>
      <c r="E68" s="95">
        <f>'29'!F68</f>
        <v>156560</v>
      </c>
      <c r="F68" s="122">
        <v>155440</v>
      </c>
      <c r="G68" s="112">
        <f t="shared" si="6"/>
        <v>-1120</v>
      </c>
      <c r="H68" s="99">
        <f>G68+'29'!H68</f>
        <v>0</v>
      </c>
      <c r="I68" s="118"/>
      <c r="J68" s="175">
        <f>H68/DAY(B2)</f>
        <v>0</v>
      </c>
      <c r="K68" s="69"/>
      <c r="L68" s="66"/>
      <c r="N68" s="87"/>
      <c r="O68" s="71"/>
    </row>
    <row r="69" spans="1:15" ht="30.75" customHeight="1" x14ac:dyDescent="0.5">
      <c r="A69" s="347" t="s">
        <v>205</v>
      </c>
      <c r="B69" s="348"/>
      <c r="C69" s="348"/>
      <c r="D69" s="151" t="s">
        <v>142</v>
      </c>
      <c r="E69" s="95">
        <f>'29'!F69</f>
        <v>10194</v>
      </c>
      <c r="F69" s="122">
        <v>9843</v>
      </c>
      <c r="G69" s="112">
        <f t="shared" si="6"/>
        <v>-351</v>
      </c>
      <c r="H69" s="99">
        <f>G69+'29'!H69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30.75" customHeight="1" x14ac:dyDescent="0.5">
      <c r="A70" s="347" t="s">
        <v>206</v>
      </c>
      <c r="B70" s="348"/>
      <c r="C70" s="348"/>
      <c r="D70" s="151" t="s">
        <v>142</v>
      </c>
      <c r="E70" s="95">
        <f>'29'!F70</f>
        <v>7849</v>
      </c>
      <c r="F70" s="532">
        <v>7542</v>
      </c>
      <c r="G70" s="112">
        <f t="shared" si="6"/>
        <v>-307</v>
      </c>
      <c r="H70" s="99">
        <f>G70+'29'!H70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30.75" customHeight="1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-6261</v>
      </c>
      <c r="H71" s="99">
        <f>G71+'29'!H71</f>
        <v>0</v>
      </c>
      <c r="I71" s="154"/>
      <c r="J71" s="175">
        <f>H71/DAY(B2)</f>
        <v>0</v>
      </c>
      <c r="K71" s="69"/>
      <c r="L71" s="66"/>
      <c r="N71" s="87"/>
      <c r="O71" s="71"/>
    </row>
    <row r="72" spans="1:15" s="88" customFormat="1" ht="30.75" customHeight="1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30.75" customHeight="1" x14ac:dyDescent="0.5">
      <c r="A74" s="809" t="s">
        <v>220</v>
      </c>
      <c r="B74" s="810"/>
      <c r="C74" s="811"/>
      <c r="D74" s="151" t="s">
        <v>139</v>
      </c>
      <c r="E74" s="95">
        <f>'29'!F74</f>
        <v>891456.32</v>
      </c>
      <c r="F74" s="123">
        <v>882253.049</v>
      </c>
      <c r="G74" s="112">
        <f t="shared" ref="G74:G78" si="7">F74-E74</f>
        <v>-9203.2709999999497</v>
      </c>
      <c r="H74" s="99">
        <f>G74+'29'!H74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30.75" customHeight="1" x14ac:dyDescent="0.5">
      <c r="A75" s="809" t="s">
        <v>221</v>
      </c>
      <c r="B75" s="810"/>
      <c r="C75" s="811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243.88999999999942</v>
      </c>
      <c r="I75" s="154"/>
      <c r="J75" s="175">
        <f>H75/DAY(B2)</f>
        <v>8.1296666666666475</v>
      </c>
      <c r="K75" s="69"/>
      <c r="L75" s="66"/>
      <c r="N75" s="87"/>
      <c r="O75" s="71"/>
    </row>
    <row r="76" spans="1:15" ht="30.75" customHeight="1" x14ac:dyDescent="0.5">
      <c r="A76" s="850" t="s">
        <v>222</v>
      </c>
      <c r="B76" s="836"/>
      <c r="C76" s="837"/>
      <c r="D76" s="151" t="s">
        <v>139</v>
      </c>
      <c r="E76" s="95">
        <f>'29'!F76</f>
        <v>167000.53</v>
      </c>
      <c r="F76" s="123">
        <v>163384</v>
      </c>
      <c r="G76" s="112">
        <f t="shared" si="7"/>
        <v>-3616.5299999999988</v>
      </c>
      <c r="H76" s="99">
        <f>G76+'29'!H76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30.75" customHeight="1" x14ac:dyDescent="0.5">
      <c r="A77" s="850" t="s">
        <v>223</v>
      </c>
      <c r="B77" s="836"/>
      <c r="C77" s="837"/>
      <c r="D77" s="151" t="s">
        <v>139</v>
      </c>
      <c r="E77" s="95">
        <f>'29'!F77</f>
        <v>40226</v>
      </c>
      <c r="F77" s="123">
        <v>38810</v>
      </c>
      <c r="G77" s="112">
        <f t="shared" si="7"/>
        <v>-1416</v>
      </c>
      <c r="H77" s="99">
        <f>G77+'29'!H77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30.75" customHeight="1" x14ac:dyDescent="0.5">
      <c r="A78" s="850" t="s">
        <v>224</v>
      </c>
      <c r="B78" s="836"/>
      <c r="C78" s="837"/>
      <c r="D78" s="151" t="s">
        <v>139</v>
      </c>
      <c r="E78" s="95">
        <f>'29'!F78</f>
        <v>9481.2000000000007</v>
      </c>
      <c r="F78" s="123">
        <v>9412</v>
      </c>
      <c r="G78" s="112">
        <f t="shared" si="7"/>
        <v>-69.200000000000728</v>
      </c>
      <c r="H78" s="99">
        <f>G78+'29'!H78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 x14ac:dyDescent="0.5">
      <c r="A79" s="850" t="s">
        <v>225</v>
      </c>
      <c r="B79" s="836"/>
      <c r="C79" s="837"/>
      <c r="D79" s="151"/>
      <c r="E79" s="95">
        <f>'29'!F79</f>
        <v>0</v>
      </c>
      <c r="F79" s="117"/>
      <c r="G79" s="112">
        <f>G15-SUM(G74:G78)</f>
        <v>15405.000999999949</v>
      </c>
      <c r="H79" s="99">
        <f>G79+'29'!H79</f>
        <v>34153.480000000112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7" t="s">
        <v>227</v>
      </c>
      <c r="B82" s="348"/>
      <c r="C82" s="348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7" t="s">
        <v>229</v>
      </c>
      <c r="B83" s="348"/>
      <c r="C83" s="348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7" t="s">
        <v>230</v>
      </c>
      <c r="B84" s="348"/>
      <c r="C84" s="348"/>
      <c r="D84" s="151" t="s">
        <v>228</v>
      </c>
      <c r="E84" s="95">
        <f>'29'!F84</f>
        <v>41675.26</v>
      </c>
      <c r="F84" s="164">
        <v>41628.559999999998</v>
      </c>
      <c r="G84" s="112">
        <f t="shared" si="8"/>
        <v>-46.700000000004366</v>
      </c>
      <c r="H84" s="99">
        <f>G84+'29'!H84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47" t="s">
        <v>231</v>
      </c>
      <c r="B85" s="348"/>
      <c r="C85" s="348"/>
      <c r="D85" s="151" t="s">
        <v>228</v>
      </c>
      <c r="E85" s="95">
        <f>'29'!F85</f>
        <v>2083.59</v>
      </c>
      <c r="F85" s="164">
        <v>1503.56</v>
      </c>
      <c r="G85" s="112">
        <f t="shared" si="8"/>
        <v>-580.0300000000002</v>
      </c>
      <c r="H85" s="99">
        <f>G85+'29'!H85</f>
        <v>0</v>
      </c>
      <c r="I85" s="118">
        <f>G82+G83+G84+G85</f>
        <v>-626.73000000000457</v>
      </c>
      <c r="J85" s="175">
        <f>H85/DAY(B2)</f>
        <v>0</v>
      </c>
      <c r="O85" s="71"/>
    </row>
    <row r="86" spans="1:15" ht="30.75" customHeight="1" x14ac:dyDescent="0.5">
      <c r="A86" s="347" t="s">
        <v>232</v>
      </c>
      <c r="B86" s="348"/>
      <c r="C86" s="348"/>
      <c r="D86" s="151" t="s">
        <v>228</v>
      </c>
      <c r="E86" s="95">
        <f>'29'!F86</f>
        <v>42826.07</v>
      </c>
      <c r="F86" s="164">
        <v>42826</v>
      </c>
      <c r="G86" s="112">
        <f t="shared" si="8"/>
        <v>-6.9999999999708962E-2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47" t="s">
        <v>233</v>
      </c>
      <c r="B87" s="348"/>
      <c r="C87" s="348"/>
      <c r="D87" s="151" t="s">
        <v>228</v>
      </c>
      <c r="E87" s="95">
        <f>'29'!F87</f>
        <v>34598.550000000003</v>
      </c>
      <c r="F87" s="164">
        <v>34420.400000000001</v>
      </c>
      <c r="G87" s="112">
        <f t="shared" si="8"/>
        <v>-178.15000000000146</v>
      </c>
      <c r="H87" s="99">
        <f>G87+'29'!H87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47" t="s">
        <v>234</v>
      </c>
      <c r="B88" s="348"/>
      <c r="C88" s="348"/>
      <c r="D88" s="151" t="s">
        <v>228</v>
      </c>
      <c r="E88" s="95">
        <f>'29'!F88</f>
        <v>24041.06</v>
      </c>
      <c r="F88" s="164">
        <v>23952.49</v>
      </c>
      <c r="G88" s="112">
        <f t="shared" si="8"/>
        <v>-88.569999999999709</v>
      </c>
      <c r="H88" s="99">
        <f>G88+'29'!H88</f>
        <v>0</v>
      </c>
      <c r="I88" s="118">
        <f>G86+G87+G88</f>
        <v>-266.79000000000087</v>
      </c>
      <c r="J88" s="175">
        <f>H88/DAY(B2)</f>
        <v>0</v>
      </c>
      <c r="O88" s="71"/>
    </row>
    <row r="89" spans="1:15" ht="30.75" customHeight="1" x14ac:dyDescent="0.5">
      <c r="A89" s="347" t="s">
        <v>235</v>
      </c>
      <c r="B89" s="348"/>
      <c r="C89" s="348"/>
      <c r="D89" s="151" t="s">
        <v>228</v>
      </c>
      <c r="E89" s="95">
        <f>'29'!F89</f>
        <v>25651.26</v>
      </c>
      <c r="F89" s="164">
        <v>25427.49</v>
      </c>
      <c r="G89" s="112">
        <f t="shared" si="8"/>
        <v>-223.7699999999968</v>
      </c>
      <c r="H89" s="99">
        <f>G89+'29'!H89</f>
        <v>0</v>
      </c>
      <c r="I89" s="118"/>
      <c r="J89" s="175">
        <f>H89/DAY(B2)</f>
        <v>0</v>
      </c>
      <c r="O89" s="71"/>
    </row>
    <row r="90" spans="1:15" ht="30.75" customHeight="1" x14ac:dyDescent="0.5">
      <c r="A90" s="347" t="s">
        <v>236</v>
      </c>
      <c r="B90" s="348"/>
      <c r="C90" s="348"/>
      <c r="D90" s="151" t="s">
        <v>228</v>
      </c>
      <c r="E90" s="95">
        <f>'29'!F90</f>
        <v>71022.03</v>
      </c>
      <c r="F90" s="164">
        <v>70828.27</v>
      </c>
      <c r="G90" s="112">
        <f t="shared" si="8"/>
        <v>-193.75999999999476</v>
      </c>
      <c r="H90" s="99">
        <f>G90+'29'!H90</f>
        <v>-159.72999999999593</v>
      </c>
      <c r="I90" s="118">
        <f>G89+G90</f>
        <v>-417.52999999999156</v>
      </c>
      <c r="J90" s="175">
        <f>H90/DAY(B2)</f>
        <v>-5.3243333333331977</v>
      </c>
      <c r="O90" s="71"/>
    </row>
    <row r="91" spans="1:15" ht="30.75" customHeight="1" x14ac:dyDescent="0.5">
      <c r="A91" s="347" t="s">
        <v>237</v>
      </c>
      <c r="B91" s="348"/>
      <c r="C91" s="348"/>
      <c r="D91" s="151" t="s">
        <v>228</v>
      </c>
      <c r="E91" s="95">
        <f>'29'!F91</f>
        <v>3226</v>
      </c>
      <c r="F91" s="122">
        <v>3226</v>
      </c>
      <c r="G91" s="112">
        <f t="shared" si="8"/>
        <v>0</v>
      </c>
      <c r="H91" s="99">
        <f>G91+'29'!H91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47" t="s">
        <v>238</v>
      </c>
      <c r="B92" s="348"/>
      <c r="C92" s="348"/>
      <c r="D92" s="151" t="s">
        <v>228</v>
      </c>
      <c r="E92" s="95">
        <f>'29'!F92</f>
        <v>5418.13</v>
      </c>
      <c r="F92" s="122">
        <v>5095.8999999999996</v>
      </c>
      <c r="G92" s="112">
        <f t="shared" si="8"/>
        <v>-322.23000000000047</v>
      </c>
      <c r="H92" s="99">
        <f>G92+'29'!H92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1382393.33</v>
      </c>
      <c r="H94" s="99">
        <f>G94+'29'!H94</f>
        <v>1564681</v>
      </c>
      <c r="I94" s="118"/>
      <c r="J94" s="175">
        <f>H94/DAY(B2)</f>
        <v>52156.033333333333</v>
      </c>
      <c r="K94" s="69"/>
      <c r="L94" s="66"/>
      <c r="O94" s="71"/>
    </row>
    <row r="95" spans="1:15" ht="30.75" customHeight="1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57.599722083333333</v>
      </c>
      <c r="H95" s="99">
        <f>G95+'29'!H95</f>
        <v>65.687873454706903</v>
      </c>
      <c r="I95" s="167"/>
      <c r="J95" s="175">
        <f>H95/DAY(B2)</f>
        <v>2.1895957818235634</v>
      </c>
      <c r="K95" s="69"/>
      <c r="L95" s="66"/>
      <c r="O95" s="71"/>
    </row>
    <row r="96" spans="1:15" ht="30.75" customHeight="1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1016572.28</v>
      </c>
      <c r="H96" s="99">
        <f>G96+'29'!H96</f>
        <v>1169625</v>
      </c>
      <c r="I96" s="118"/>
      <c r="J96" s="175">
        <f>H96/DAY(B2)</f>
        <v>38987.5</v>
      </c>
      <c r="K96" s="69"/>
      <c r="L96" s="66"/>
      <c r="O96" s="71"/>
    </row>
    <row r="97" spans="1:15" ht="30.75" customHeight="1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42.357178333333337</v>
      </c>
      <c r="H97" s="99">
        <f>G97+'29'!H97</f>
        <v>49.119894241938702</v>
      </c>
      <c r="I97" s="167"/>
      <c r="J97" s="175">
        <f>H97/DAY(B2)</f>
        <v>1.6373298080646235</v>
      </c>
      <c r="K97" s="69"/>
      <c r="L97" s="66"/>
      <c r="O97" s="71"/>
    </row>
    <row r="98" spans="1:15" ht="30.75" customHeight="1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-83941.460000000021</v>
      </c>
      <c r="H98" s="99">
        <f>G98+'29'!H98</f>
        <v>0</v>
      </c>
      <c r="I98" s="168"/>
      <c r="J98" s="175">
        <f>H98/DAY(B2)</f>
        <v>0</v>
      </c>
      <c r="K98" s="69"/>
      <c r="L98" s="66"/>
      <c r="O98" s="71"/>
    </row>
    <row r="99" spans="1:15" ht="30.75" customHeight="1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-3.4975608333333343</v>
      </c>
      <c r="H99" s="99">
        <f>G99+'29'!H99</f>
        <v>0.23279907492139351</v>
      </c>
      <c r="I99" s="168"/>
      <c r="J99" s="175">
        <f>H99/DAY(B2)</f>
        <v>7.7599691640464503E-3</v>
      </c>
      <c r="O99" s="71"/>
    </row>
    <row r="100" spans="1:15" ht="30.75" customHeight="1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-57818.020000000019</v>
      </c>
      <c r="H100" s="99">
        <f>G100+'29'!H100</f>
        <v>0</v>
      </c>
      <c r="I100" s="118"/>
      <c r="J100" s="175">
        <f>H100/DAY(B2)</f>
        <v>0</v>
      </c>
      <c r="K100" s="70"/>
      <c r="O100" s="71"/>
    </row>
    <row r="101" spans="1:15" ht="30.75" customHeight="1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-2.4090841666666676</v>
      </c>
      <c r="H101" s="99">
        <f>G101+'29'!H101</f>
        <v>0.16110675341291447</v>
      </c>
      <c r="I101" s="168"/>
      <c r="J101" s="175">
        <f>H101/DAY(B2)</f>
        <v>5.3702251137638154E-3</v>
      </c>
      <c r="O101" s="71"/>
    </row>
    <row r="102" spans="1:15" ht="30.75" customHeight="1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760340.12</v>
      </c>
      <c r="H102" s="99">
        <f>G102+'29'!H102</f>
        <v>828805</v>
      </c>
      <c r="I102" s="168"/>
      <c r="J102" s="175">
        <f>H102/DAY(B2)</f>
        <v>27626.833333333332</v>
      </c>
      <c r="O102" s="71"/>
    </row>
    <row r="103" spans="1:15" ht="30.75" customHeight="1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31.680838333333334</v>
      </c>
      <c r="H103" s="99">
        <f>G103+'29'!H103</f>
        <v>34.710711787816059</v>
      </c>
      <c r="I103" s="118"/>
      <c r="J103" s="175">
        <f>H103/DAY(B2)</f>
        <v>1.1570237262605354</v>
      </c>
      <c r="O103" s="71"/>
    </row>
    <row r="104" spans="1:15" ht="30.75" customHeight="1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-46682.97</v>
      </c>
      <c r="H104" s="99">
        <f>G104+'29'!H104</f>
        <v>0</v>
      </c>
      <c r="I104" s="118"/>
      <c r="J104" s="175">
        <f>H104/DAY(B2)</f>
        <v>0</v>
      </c>
      <c r="O104" s="71"/>
    </row>
    <row r="105" spans="1:15" ht="30.75" customHeight="1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-1.94512375</v>
      </c>
      <c r="H105" s="99">
        <f>G105+'29'!H105</f>
        <v>0.13195350174054088</v>
      </c>
      <c r="I105" s="187"/>
      <c r="J105" s="188">
        <f>H105/DAY(B2)</f>
        <v>4.3984500580180295E-3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30.75" customHeight="1" x14ac:dyDescent="0.5">
      <c r="A109" s="845"/>
      <c r="B109" s="845"/>
    </row>
    <row r="110" spans="1:15" ht="30.75" customHeight="1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30.75" customHeight="1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30.75" customHeight="1" x14ac:dyDescent="0.5">
      <c r="A112" s="839" t="s">
        <v>252</v>
      </c>
      <c r="B112" s="840"/>
      <c r="C112" s="841"/>
      <c r="D112" s="146" t="s">
        <v>183</v>
      </c>
      <c r="E112" s="95">
        <f>'29'!F112</f>
        <v>53273.53</v>
      </c>
      <c r="F112" s="237">
        <v>53352.01</v>
      </c>
      <c r="G112" s="112">
        <f t="shared" ref="G112:G123" si="9">F112-E112</f>
        <v>78.480000000003201</v>
      </c>
      <c r="H112" s="99">
        <f>G112+'29'!H112</f>
        <v>7739.4500000000044</v>
      </c>
      <c r="I112" s="165"/>
      <c r="J112" s="330">
        <f>H112/DAY(B2)</f>
        <v>257.9816666666668</v>
      </c>
    </row>
    <row r="113" spans="1:18" ht="30.75" customHeight="1" x14ac:dyDescent="0.5">
      <c r="A113" s="839" t="s">
        <v>253</v>
      </c>
      <c r="B113" s="840"/>
      <c r="C113" s="841"/>
      <c r="D113" s="146" t="s">
        <v>183</v>
      </c>
      <c r="E113" s="95">
        <f>'29'!F113</f>
        <v>31290.99</v>
      </c>
      <c r="F113" s="237">
        <v>17956.53</v>
      </c>
      <c r="G113" s="112">
        <f t="shared" si="9"/>
        <v>-13334.460000000003</v>
      </c>
      <c r="H113" s="99">
        <f>G113+'29'!H113</f>
        <v>0</v>
      </c>
      <c r="I113" s="165"/>
      <c r="J113" s="330">
        <f>H113/DAY(B2)</f>
        <v>0</v>
      </c>
    </row>
    <row r="114" spans="1:18" ht="30.75" customHeight="1" x14ac:dyDescent="0.5">
      <c r="A114" s="839" t="s">
        <v>254</v>
      </c>
      <c r="B114" s="840"/>
      <c r="C114" s="841"/>
      <c r="D114" s="146" t="s">
        <v>183</v>
      </c>
      <c r="E114" s="95">
        <f>'29'!F114</f>
        <v>24321.7</v>
      </c>
      <c r="F114" s="237">
        <v>13927.1</v>
      </c>
      <c r="G114" s="112">
        <f t="shared" si="9"/>
        <v>-10394.6</v>
      </c>
      <c r="H114" s="99">
        <f>G114+'29'!H114</f>
        <v>-157.18000000000211</v>
      </c>
      <c r="I114" s="165"/>
      <c r="J114" s="330">
        <f>H114/DAY(B2)</f>
        <v>-5.2393333333334038</v>
      </c>
    </row>
    <row r="115" spans="1:18" ht="30.75" customHeight="1" x14ac:dyDescent="0.5">
      <c r="A115" s="839" t="s">
        <v>255</v>
      </c>
      <c r="B115" s="840"/>
      <c r="C115" s="841"/>
      <c r="D115" s="146" t="s">
        <v>183</v>
      </c>
      <c r="E115" s="95">
        <f>'29'!F115</f>
        <v>8765.64</v>
      </c>
      <c r="F115" s="237">
        <v>8423.68</v>
      </c>
      <c r="G115" s="112">
        <f t="shared" si="9"/>
        <v>-341.95999999999913</v>
      </c>
      <c r="H115" s="99">
        <f>G115+'29'!H115</f>
        <v>0</v>
      </c>
      <c r="I115" s="165"/>
      <c r="J115" s="330">
        <f>H115/DAY(B2)</f>
        <v>0</v>
      </c>
    </row>
    <row r="116" spans="1:18" ht="30.75" customHeight="1" x14ac:dyDescent="0.5">
      <c r="A116" s="857" t="s">
        <v>96</v>
      </c>
      <c r="B116" s="858"/>
      <c r="C116" s="859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30">
        <f>H116/DAY(B2)</f>
        <v>0</v>
      </c>
      <c r="Q116" s="839" t="s">
        <v>311</v>
      </c>
      <c r="R116" s="841"/>
    </row>
    <row r="117" spans="1:18" ht="30.75" customHeight="1" x14ac:dyDescent="0.5">
      <c r="A117" s="857" t="s">
        <v>184</v>
      </c>
      <c r="B117" s="858"/>
      <c r="C117" s="859"/>
      <c r="D117" s="146" t="s">
        <v>183</v>
      </c>
      <c r="E117" s="95">
        <f>'29'!F117</f>
        <v>2547.0100000000002</v>
      </c>
      <c r="F117" s="237">
        <v>1941.08</v>
      </c>
      <c r="G117" s="112">
        <f t="shared" si="9"/>
        <v>-605.93000000000029</v>
      </c>
      <c r="H117" s="99">
        <f>G117+'29'!H117</f>
        <v>0</v>
      </c>
      <c r="I117" s="165"/>
      <c r="J117" s="330">
        <f>H117/DAY(B2)</f>
        <v>0</v>
      </c>
      <c r="Q117" s="839" t="s">
        <v>312</v>
      </c>
      <c r="R117" s="841"/>
    </row>
    <row r="118" spans="1:18" ht="30.75" customHeight="1" x14ac:dyDescent="0.5">
      <c r="A118" s="834" t="s">
        <v>97</v>
      </c>
      <c r="B118" s="834"/>
      <c r="C118" s="834"/>
      <c r="D118" s="151" t="s">
        <v>183</v>
      </c>
      <c r="E118" s="95">
        <f>'29'!F118</f>
        <v>240930.71</v>
      </c>
      <c r="F118" s="237">
        <v>229837.73</v>
      </c>
      <c r="G118" s="112">
        <f t="shared" si="9"/>
        <v>-11092.979999999981</v>
      </c>
      <c r="H118" s="99">
        <f>G118+'29'!H118</f>
        <v>0</v>
      </c>
      <c r="I118" s="165"/>
      <c r="J118" s="330">
        <f>H118/DAY(B2)</f>
        <v>0</v>
      </c>
      <c r="Q118" s="839" t="s">
        <v>311</v>
      </c>
      <c r="R118" s="841"/>
    </row>
    <row r="119" spans="1:18" ht="30.75" customHeight="1" x14ac:dyDescent="0.5">
      <c r="A119" s="834" t="s">
        <v>98</v>
      </c>
      <c r="B119" s="834"/>
      <c r="C119" s="834"/>
      <c r="D119" s="151" t="s">
        <v>183</v>
      </c>
      <c r="E119" s="95">
        <f>'29'!F119</f>
        <v>244293.29</v>
      </c>
      <c r="F119" s="237">
        <v>231726.53</v>
      </c>
      <c r="G119" s="112">
        <f t="shared" si="9"/>
        <v>-12566.760000000009</v>
      </c>
      <c r="H119" s="99">
        <f>G119+'29'!H119</f>
        <v>0</v>
      </c>
      <c r="I119" s="165"/>
      <c r="J119" s="330">
        <f>H119/DAY(B2)</f>
        <v>0</v>
      </c>
    </row>
    <row r="120" spans="1:18" ht="30.75" customHeight="1" x14ac:dyDescent="0.5">
      <c r="A120" s="834" t="s">
        <v>99</v>
      </c>
      <c r="B120" s="834"/>
      <c r="C120" s="834"/>
      <c r="D120" s="151" t="s">
        <v>183</v>
      </c>
      <c r="E120" s="95">
        <f>'29'!F120</f>
        <v>29243.51</v>
      </c>
      <c r="F120" s="237">
        <v>17185.32</v>
      </c>
      <c r="G120" s="112">
        <f t="shared" si="9"/>
        <v>-12058.189999999999</v>
      </c>
      <c r="H120" s="99">
        <f>G120+'29'!H120</f>
        <v>0</v>
      </c>
      <c r="I120" s="165"/>
      <c r="J120" s="330">
        <f>H120/DAY(B2)</f>
        <v>0</v>
      </c>
    </row>
    <row r="121" spans="1:18" ht="30.75" customHeight="1" x14ac:dyDescent="0.5">
      <c r="A121" s="834" t="s">
        <v>100</v>
      </c>
      <c r="B121" s="834"/>
      <c r="C121" s="834"/>
      <c r="D121" s="151" t="s">
        <v>183</v>
      </c>
      <c r="E121" s="95">
        <f>'29'!F121</f>
        <v>374958.61</v>
      </c>
      <c r="F121" s="237">
        <v>353054.23</v>
      </c>
      <c r="G121" s="112">
        <f t="shared" si="9"/>
        <v>-21904.380000000005</v>
      </c>
      <c r="H121" s="99">
        <f>G121+'29'!H121</f>
        <v>0</v>
      </c>
      <c r="I121" s="165"/>
      <c r="J121" s="330">
        <f>H121/DAY(B2)</f>
        <v>0</v>
      </c>
    </row>
    <row r="122" spans="1:18" ht="30.75" customHeight="1" x14ac:dyDescent="0.5">
      <c r="A122" s="834" t="s">
        <v>101</v>
      </c>
      <c r="B122" s="834"/>
      <c r="C122" s="834"/>
      <c r="D122" s="151" t="s">
        <v>183</v>
      </c>
      <c r="E122" s="95">
        <f>'29'!F122</f>
        <v>119588.07</v>
      </c>
      <c r="F122" s="237">
        <v>111009.79</v>
      </c>
      <c r="G122" s="112">
        <f t="shared" si="9"/>
        <v>-8578.2800000000134</v>
      </c>
      <c r="H122" s="99">
        <f>G122+'29'!H122</f>
        <v>0</v>
      </c>
      <c r="I122" s="165"/>
      <c r="J122" s="330">
        <f>H122/DAY(B2)</f>
        <v>0</v>
      </c>
    </row>
    <row r="123" spans="1:18" ht="30.75" customHeight="1" x14ac:dyDescent="0.5">
      <c r="A123" s="834" t="s">
        <v>102</v>
      </c>
      <c r="B123" s="834"/>
      <c r="C123" s="834"/>
      <c r="D123" s="151" t="s">
        <v>183</v>
      </c>
      <c r="E123" s="95">
        <f>'29'!F123</f>
        <v>144462.63</v>
      </c>
      <c r="F123" s="237">
        <v>134366</v>
      </c>
      <c r="G123" s="112">
        <f t="shared" si="9"/>
        <v>-10096.630000000005</v>
      </c>
      <c r="H123" s="99">
        <f>G123+'29'!H123</f>
        <v>0</v>
      </c>
      <c r="I123" s="165"/>
      <c r="J123" s="330">
        <f>H123/DAY(B2)</f>
        <v>0</v>
      </c>
    </row>
    <row r="124" spans="1:18" ht="30.75" customHeight="1" x14ac:dyDescent="0.5">
      <c r="A124" s="864"/>
      <c r="B124" s="865"/>
      <c r="C124" s="866"/>
      <c r="D124" s="165"/>
      <c r="E124" s="95">
        <f>'29'!F124</f>
        <v>0</v>
      </c>
      <c r="F124" s="165"/>
      <c r="G124" s="329"/>
      <c r="H124" s="99">
        <f>G124+'29'!H124</f>
        <v>0</v>
      </c>
      <c r="I124" s="165"/>
      <c r="J124" s="329"/>
    </row>
    <row r="125" spans="1:18" ht="30.75" customHeight="1" x14ac:dyDescent="0.5">
      <c r="A125" s="867" t="s">
        <v>196</v>
      </c>
      <c r="B125" s="868"/>
      <c r="C125" s="245"/>
      <c r="D125" s="307"/>
      <c r="E125" s="308"/>
      <c r="F125" s="308"/>
      <c r="G125" s="309">
        <f>SUM(G112:G124)</f>
        <v>-100895.69000000002</v>
      </c>
      <c r="H125" s="156"/>
      <c r="I125" s="329">
        <f>G125-(G39+G53)</f>
        <v>-16954.229999999996</v>
      </c>
      <c r="J125" s="329"/>
    </row>
    <row r="126" spans="1:18" ht="30.75" customHeight="1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30.75" customHeight="1" x14ac:dyDescent="0.5">
      <c r="A127" s="870"/>
      <c r="B127" s="870"/>
      <c r="C127" s="245"/>
      <c r="D127" s="307"/>
      <c r="E127" s="308"/>
      <c r="F127" s="308"/>
      <c r="G127" s="309"/>
      <c r="H127" s="99">
        <f>G127+'29'!H127</f>
        <v>0</v>
      </c>
      <c r="I127" s="165"/>
      <c r="J127" s="330">
        <f>H127/DAY(B2)</f>
        <v>0</v>
      </c>
    </row>
    <row r="128" spans="1:18" ht="30.75" customHeight="1" x14ac:dyDescent="0.5">
      <c r="A128" s="839" t="s">
        <v>318</v>
      </c>
      <c r="B128" s="840"/>
      <c r="C128" s="841"/>
      <c r="D128" s="151" t="s">
        <v>183</v>
      </c>
      <c r="E128" s="95">
        <f>'29'!F128</f>
        <v>37254.01</v>
      </c>
      <c r="F128" s="165">
        <v>27604.37</v>
      </c>
      <c r="G128" s="112">
        <f t="shared" ref="G128:G134" si="10">F128-E128</f>
        <v>-9649.6400000000031</v>
      </c>
      <c r="H128" s="99">
        <f>G128+'29'!H128</f>
        <v>0</v>
      </c>
      <c r="I128" s="165"/>
      <c r="J128" s="330">
        <f>H128/DAY(B2)</f>
        <v>0</v>
      </c>
    </row>
    <row r="129" spans="1:15" ht="30.75" customHeight="1" x14ac:dyDescent="0.5">
      <c r="A129" s="331" t="s">
        <v>319</v>
      </c>
      <c r="B129" s="332"/>
      <c r="C129" s="333"/>
      <c r="D129" s="151" t="s">
        <v>183</v>
      </c>
      <c r="E129" s="95">
        <f>'29'!F129</f>
        <v>19911.98</v>
      </c>
      <c r="F129" s="165">
        <v>12747.59</v>
      </c>
      <c r="G129" s="112">
        <f t="shared" si="10"/>
        <v>-7164.3899999999994</v>
      </c>
      <c r="H129" s="99">
        <f>G129+'29'!H129</f>
        <v>0</v>
      </c>
      <c r="I129" s="165"/>
      <c r="J129" s="330">
        <f>H129/DAY(B2)</f>
        <v>0</v>
      </c>
      <c r="N129" s="240"/>
      <c r="O129" s="241"/>
    </row>
    <row r="130" spans="1:15" ht="30.75" customHeight="1" x14ac:dyDescent="0.5">
      <c r="A130" s="331" t="s">
        <v>320</v>
      </c>
      <c r="B130" s="332"/>
      <c r="C130" s="333"/>
      <c r="D130" s="151" t="s">
        <v>183</v>
      </c>
      <c r="E130" s="95">
        <f>'29'!F130</f>
        <v>16637.02</v>
      </c>
      <c r="F130" s="165">
        <v>2057.11</v>
      </c>
      <c r="G130" s="112">
        <f t="shared" si="10"/>
        <v>-14579.91</v>
      </c>
      <c r="H130" s="99">
        <f>G130+'29'!H130</f>
        <v>0</v>
      </c>
      <c r="I130" s="165"/>
      <c r="J130" s="330">
        <f>H130/DAY(B2)</f>
        <v>0</v>
      </c>
      <c r="N130" s="240"/>
      <c r="O130" s="241"/>
    </row>
    <row r="131" spans="1:15" ht="30.75" customHeight="1" x14ac:dyDescent="0.5">
      <c r="A131" s="839" t="s">
        <v>321</v>
      </c>
      <c r="B131" s="840"/>
      <c r="C131" s="841"/>
      <c r="D131" s="151" t="s">
        <v>183</v>
      </c>
      <c r="E131" s="95">
        <f>'29'!F131</f>
        <v>13006.7</v>
      </c>
      <c r="F131" s="165">
        <v>9169.35</v>
      </c>
      <c r="G131" s="112">
        <f t="shared" si="10"/>
        <v>-3837.3500000000004</v>
      </c>
      <c r="H131" s="99">
        <f>G131+'29'!H131</f>
        <v>0</v>
      </c>
      <c r="I131" s="165"/>
      <c r="J131" s="330">
        <f>H131/DAY(B2)</f>
        <v>0</v>
      </c>
      <c r="N131" s="240"/>
      <c r="O131" s="241"/>
    </row>
    <row r="132" spans="1:15" ht="30.75" customHeight="1" x14ac:dyDescent="0.5">
      <c r="A132" s="839" t="s">
        <v>322</v>
      </c>
      <c r="B132" s="840"/>
      <c r="C132" s="841"/>
      <c r="D132" s="151" t="s">
        <v>183</v>
      </c>
      <c r="E132" s="95">
        <f>'29'!F132</f>
        <v>40127.279999999999</v>
      </c>
      <c r="F132" s="165">
        <v>26180.240000000002</v>
      </c>
      <c r="G132" s="112">
        <f t="shared" si="10"/>
        <v>-13947.039999999997</v>
      </c>
      <c r="H132" s="99">
        <f>G132+'29'!H132</f>
        <v>-1613.1200000000026</v>
      </c>
      <c r="I132" s="165"/>
      <c r="J132" s="330">
        <f>H132/DAY(B2)</f>
        <v>-53.770666666666756</v>
      </c>
    </row>
    <row r="133" spans="1:15" ht="30.75" customHeight="1" x14ac:dyDescent="0.5">
      <c r="A133" s="839" t="s">
        <v>363</v>
      </c>
      <c r="B133" s="840"/>
      <c r="C133" s="841"/>
      <c r="D133" s="151" t="s">
        <v>183</v>
      </c>
      <c r="E133" s="95">
        <f>'29'!F133</f>
        <v>86468.29</v>
      </c>
      <c r="F133" s="165">
        <v>63474.42</v>
      </c>
      <c r="G133" s="112">
        <f t="shared" si="10"/>
        <v>-22993.869999999995</v>
      </c>
      <c r="H133" s="99">
        <f>G133+'29'!H133</f>
        <v>0</v>
      </c>
      <c r="I133" s="165"/>
      <c r="J133" s="330">
        <f>H133/DAY(B2)</f>
        <v>0</v>
      </c>
    </row>
    <row r="134" spans="1:15" ht="30.75" customHeight="1" x14ac:dyDescent="0.5">
      <c r="A134" s="839" t="s">
        <v>340</v>
      </c>
      <c r="B134" s="840"/>
      <c r="C134" s="841"/>
      <c r="D134" s="151" t="s">
        <v>183</v>
      </c>
      <c r="E134" s="95">
        <f>'29'!F134</f>
        <v>667634</v>
      </c>
      <c r="F134" s="651">
        <v>651259</v>
      </c>
      <c r="G134" s="112">
        <f t="shared" si="10"/>
        <v>-16375</v>
      </c>
      <c r="H134" s="99">
        <f>G134+'29'!H134</f>
        <v>52</v>
      </c>
      <c r="I134" s="165"/>
      <c r="J134" s="330">
        <f>H134/DAY(B2)</f>
        <v>1.7333333333333334</v>
      </c>
    </row>
    <row r="135" spans="1:15" ht="30.75" customHeight="1" x14ac:dyDescent="0.5">
      <c r="A135" s="867" t="s">
        <v>196</v>
      </c>
      <c r="B135" s="868"/>
      <c r="C135" s="333"/>
      <c r="D135" s="151"/>
      <c r="E135" s="95"/>
      <c r="F135" s="165"/>
      <c r="G135" s="112">
        <f>SUM(G128:G134)</f>
        <v>-88547.199999999997</v>
      </c>
      <c r="H135" s="99">
        <f>G135+'23'!H135</f>
        <v>-56215.99</v>
      </c>
      <c r="I135" s="329">
        <f>G135-(G35+G49)</f>
        <v>15666.080000000002</v>
      </c>
      <c r="J135" s="330"/>
    </row>
    <row r="136" spans="1:15" ht="30.75" customHeight="1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30.75" customHeight="1" x14ac:dyDescent="0.5">
      <c r="A138" s="834" t="s">
        <v>185</v>
      </c>
      <c r="B138" s="834"/>
      <c r="C138" s="834"/>
      <c r="D138" s="151" t="s">
        <v>183</v>
      </c>
      <c r="E138" s="95">
        <f>'29'!F138</f>
        <v>863973</v>
      </c>
      <c r="F138" s="147">
        <v>861262</v>
      </c>
      <c r="G138" s="112">
        <f t="shared" ref="G138:G152" si="11">F138-E138</f>
        <v>-2711</v>
      </c>
      <c r="H138" s="99">
        <f>G138+'29'!H138</f>
        <v>0</v>
      </c>
      <c r="I138" s="118"/>
      <c r="J138" s="330">
        <f>H138/DAY(B2)</f>
        <v>0</v>
      </c>
    </row>
    <row r="139" spans="1:15" ht="30.75" customHeight="1" x14ac:dyDescent="0.5">
      <c r="A139" s="834" t="s">
        <v>186</v>
      </c>
      <c r="B139" s="834"/>
      <c r="C139" s="834"/>
      <c r="D139" s="151" t="s">
        <v>183</v>
      </c>
      <c r="E139" s="95">
        <f>'29'!F139</f>
        <v>886545</v>
      </c>
      <c r="F139" s="148">
        <v>886199</v>
      </c>
      <c r="G139" s="112">
        <f t="shared" si="11"/>
        <v>-346</v>
      </c>
      <c r="H139" s="99">
        <f>G139+'29'!H139</f>
        <v>0</v>
      </c>
      <c r="I139" s="118"/>
      <c r="J139" s="330">
        <f>H139/DAY(B2)</f>
        <v>0</v>
      </c>
    </row>
    <row r="140" spans="1:15" ht="30.75" customHeight="1" x14ac:dyDescent="0.5">
      <c r="A140" s="834" t="s">
        <v>187</v>
      </c>
      <c r="B140" s="834"/>
      <c r="C140" s="834"/>
      <c r="D140" s="151" t="s">
        <v>183</v>
      </c>
      <c r="E140" s="95">
        <f>'29'!F140</f>
        <v>88882</v>
      </c>
      <c r="F140" s="149">
        <v>88849</v>
      </c>
      <c r="G140" s="112">
        <f t="shared" si="11"/>
        <v>-33</v>
      </c>
      <c r="H140" s="99">
        <f>G140+'29'!H140</f>
        <v>0</v>
      </c>
      <c r="I140" s="118"/>
      <c r="J140" s="330">
        <f>H140/DAY(B2)</f>
        <v>0</v>
      </c>
    </row>
    <row r="141" spans="1:15" ht="30.75" customHeight="1" x14ac:dyDescent="0.5">
      <c r="A141" s="838" t="s">
        <v>188</v>
      </c>
      <c r="B141" s="838"/>
      <c r="C141" s="838"/>
      <c r="D141" s="151" t="s">
        <v>183</v>
      </c>
      <c r="E141" s="95">
        <f>'29'!F141</f>
        <v>48918.58</v>
      </c>
      <c r="F141" s="149">
        <v>43126.73</v>
      </c>
      <c r="G141" s="112">
        <f t="shared" si="11"/>
        <v>-5791.8499999999985</v>
      </c>
      <c r="H141" s="99">
        <f>G141+'29'!H141</f>
        <v>0</v>
      </c>
      <c r="I141" s="118"/>
      <c r="J141" s="330">
        <f>H141/DAY(B2)</f>
        <v>0</v>
      </c>
    </row>
    <row r="142" spans="1:15" ht="30.75" customHeight="1" x14ac:dyDescent="0.5">
      <c r="A142" s="838" t="s">
        <v>189</v>
      </c>
      <c r="B142" s="838"/>
      <c r="C142" s="838"/>
      <c r="D142" s="151" t="s">
        <v>183</v>
      </c>
      <c r="E142" s="95">
        <f>'29'!F142</f>
        <v>18855.740000000002</v>
      </c>
      <c r="F142" s="148">
        <v>17460.5</v>
      </c>
      <c r="G142" s="112">
        <f t="shared" si="11"/>
        <v>-1395.2400000000016</v>
      </c>
      <c r="H142" s="99">
        <f>G142+'29'!H142</f>
        <v>0</v>
      </c>
      <c r="I142" s="140"/>
      <c r="J142" s="330">
        <f>H142/DAY(B2)</f>
        <v>0</v>
      </c>
    </row>
    <row r="143" spans="1:15" ht="30.75" customHeight="1" x14ac:dyDescent="0.5">
      <c r="A143" s="834" t="s">
        <v>91</v>
      </c>
      <c r="B143" s="834"/>
      <c r="C143" s="834"/>
      <c r="D143" s="151" t="s">
        <v>183</v>
      </c>
      <c r="E143" s="95">
        <f>'29'!F143</f>
        <v>3016.9</v>
      </c>
      <c r="F143" s="149">
        <v>2201.4</v>
      </c>
      <c r="G143" s="112">
        <f t="shared" si="11"/>
        <v>-815.5</v>
      </c>
      <c r="H143" s="99">
        <f>G143+'29'!H143</f>
        <v>0</v>
      </c>
      <c r="I143" s="140"/>
      <c r="J143" s="330">
        <f>H143/DAY(B2)</f>
        <v>0</v>
      </c>
    </row>
    <row r="144" spans="1:15" ht="30.75" customHeight="1" x14ac:dyDescent="0.5">
      <c r="A144" s="838" t="s">
        <v>90</v>
      </c>
      <c r="B144" s="838"/>
      <c r="C144" s="838"/>
      <c r="D144" s="151" t="s">
        <v>183</v>
      </c>
      <c r="E144" s="95">
        <f>'29'!F144</f>
        <v>869213</v>
      </c>
      <c r="F144" s="149">
        <v>862395</v>
      </c>
      <c r="G144" s="112">
        <f t="shared" si="11"/>
        <v>-6818</v>
      </c>
      <c r="H144" s="99">
        <f>G144+'29'!H144</f>
        <v>0</v>
      </c>
      <c r="I144" s="140"/>
      <c r="J144" s="330">
        <f>H144/DAY(B2)</f>
        <v>0</v>
      </c>
    </row>
    <row r="145" spans="1:10" ht="30.75" customHeight="1" x14ac:dyDescent="0.5">
      <c r="A145" s="834" t="s">
        <v>190</v>
      </c>
      <c r="B145" s="834"/>
      <c r="C145" s="834"/>
      <c r="D145" s="152" t="s">
        <v>183</v>
      </c>
      <c r="E145" s="95">
        <f>'29'!F145</f>
        <v>4530</v>
      </c>
      <c r="F145" s="149">
        <v>3419</v>
      </c>
      <c r="G145" s="112">
        <f t="shared" si="11"/>
        <v>-1111</v>
      </c>
      <c r="H145" s="99">
        <f>G145+'29'!H145</f>
        <v>0</v>
      </c>
      <c r="I145" s="140"/>
      <c r="J145" s="330">
        <f>H145/DAY(B2)</f>
        <v>0</v>
      </c>
    </row>
    <row r="146" spans="1:10" ht="30.75" customHeight="1" x14ac:dyDescent="0.5">
      <c r="A146" s="835" t="s">
        <v>191</v>
      </c>
      <c r="B146" s="836"/>
      <c r="C146" s="837"/>
      <c r="D146" s="152" t="s">
        <v>183</v>
      </c>
      <c r="E146" s="95">
        <f>'29'!F146</f>
        <v>723915</v>
      </c>
      <c r="F146" s="148">
        <v>710885</v>
      </c>
      <c r="G146" s="112">
        <f t="shared" si="11"/>
        <v>-13030</v>
      </c>
      <c r="H146" s="99">
        <f>G146+'29'!H146</f>
        <v>0</v>
      </c>
      <c r="I146" s="140"/>
      <c r="J146" s="330">
        <f>H146/DAY(B2)</f>
        <v>0</v>
      </c>
    </row>
    <row r="147" spans="1:10" ht="30.75" customHeight="1" x14ac:dyDescent="0.5">
      <c r="A147" s="838" t="s">
        <v>192</v>
      </c>
      <c r="B147" s="838"/>
      <c r="C147" s="838"/>
      <c r="D147" s="152" t="s">
        <v>183</v>
      </c>
      <c r="E147" s="95">
        <f>'29'!F147</f>
        <v>614450.28</v>
      </c>
      <c r="F147" s="148">
        <v>601985.04</v>
      </c>
      <c r="G147" s="112">
        <f t="shared" si="11"/>
        <v>-12465.239999999991</v>
      </c>
      <c r="H147" s="99">
        <f>G147+'29'!H147</f>
        <v>0</v>
      </c>
      <c r="I147" s="140"/>
      <c r="J147" s="330">
        <f>H147/DAY(B2)</f>
        <v>0</v>
      </c>
    </row>
    <row r="148" spans="1:10" ht="30.75" customHeight="1" x14ac:dyDescent="0.5">
      <c r="A148" s="794" t="s">
        <v>193</v>
      </c>
      <c r="B148" s="795"/>
      <c r="C148" s="796"/>
      <c r="D148" s="123" t="s">
        <v>130</v>
      </c>
      <c r="E148" s="95">
        <f>'29'!F148</f>
        <v>682450.96</v>
      </c>
      <c r="F148" s="150">
        <v>673789.68</v>
      </c>
      <c r="G148" s="112">
        <f t="shared" si="11"/>
        <v>-8661.2799999999115</v>
      </c>
      <c r="H148" s="99">
        <f>G148+'29'!H148</f>
        <v>0</v>
      </c>
      <c r="I148" s="124"/>
      <c r="J148" s="330">
        <f>H148/DAY(B2)</f>
        <v>0</v>
      </c>
    </row>
    <row r="149" spans="1:10" ht="30.75" customHeight="1" x14ac:dyDescent="0.5">
      <c r="A149" s="794" t="s">
        <v>336</v>
      </c>
      <c r="B149" s="795"/>
      <c r="C149" s="796"/>
      <c r="D149" s="227" t="s">
        <v>130</v>
      </c>
      <c r="E149" s="95">
        <f>'29'!F149</f>
        <v>9770.5</v>
      </c>
      <c r="F149" s="146">
        <v>95022</v>
      </c>
      <c r="G149" s="112">
        <f t="shared" si="11"/>
        <v>85251.5</v>
      </c>
      <c r="H149" s="99">
        <f>G149+'29'!H149</f>
        <v>187240</v>
      </c>
      <c r="I149" s="119"/>
      <c r="J149" s="330">
        <f>H149/DAY(B2)</f>
        <v>6241.333333333333</v>
      </c>
    </row>
    <row r="150" spans="1:10" ht="30.75" customHeight="1" x14ac:dyDescent="0.5">
      <c r="A150" s="794" t="s">
        <v>337</v>
      </c>
      <c r="B150" s="795"/>
      <c r="C150" s="796"/>
      <c r="D150" s="117" t="s">
        <v>130</v>
      </c>
      <c r="E150" s="95">
        <f>'29'!F150</f>
        <v>3603.3</v>
      </c>
      <c r="F150" s="233">
        <v>7167232</v>
      </c>
      <c r="G150" s="112">
        <f t="shared" si="11"/>
        <v>7163628.7000000002</v>
      </c>
      <c r="H150" s="99">
        <f>G150+'29'!H150</f>
        <v>7167040</v>
      </c>
      <c r="I150" s="119"/>
      <c r="J150" s="330">
        <f>H150/DAY(B2)</f>
        <v>238901.33333333334</v>
      </c>
    </row>
    <row r="151" spans="1:10" ht="30.75" customHeight="1" x14ac:dyDescent="0.5">
      <c r="A151" s="794" t="s">
        <v>338</v>
      </c>
      <c r="B151" s="795"/>
      <c r="C151" s="796"/>
      <c r="D151" s="117" t="s">
        <v>130</v>
      </c>
      <c r="E151" s="95">
        <f>'29'!F151</f>
        <v>77703</v>
      </c>
      <c r="F151" s="233">
        <v>70722</v>
      </c>
      <c r="G151" s="112">
        <f t="shared" si="11"/>
        <v>-6981</v>
      </c>
      <c r="H151" s="99">
        <f>G151+'29'!H151</f>
        <v>0</v>
      </c>
      <c r="I151" s="119"/>
      <c r="J151" s="330">
        <f>H151/DAY(B2)</f>
        <v>0</v>
      </c>
    </row>
    <row r="152" spans="1:10" ht="30.75" customHeight="1" x14ac:dyDescent="0.5">
      <c r="A152" s="794" t="s">
        <v>339</v>
      </c>
      <c r="B152" s="795"/>
      <c r="C152" s="796"/>
      <c r="D152" s="117" t="s">
        <v>130</v>
      </c>
      <c r="E152" s="95">
        <f>'29'!F152</f>
        <v>1030</v>
      </c>
      <c r="F152" s="233">
        <v>0</v>
      </c>
      <c r="G152" s="112">
        <f t="shared" si="11"/>
        <v>-1030</v>
      </c>
      <c r="H152" s="99">
        <f>G152+'29'!H152</f>
        <v>0</v>
      </c>
      <c r="I152" s="119"/>
      <c r="J152" s="330">
        <f>H152/DAY(B2)</f>
        <v>0</v>
      </c>
    </row>
    <row r="153" spans="1:10" ht="30.75" customHeight="1" x14ac:dyDescent="0.5">
      <c r="A153" s="867" t="s">
        <v>196</v>
      </c>
      <c r="B153" s="868"/>
      <c r="C153" s="367"/>
      <c r="D153" s="360"/>
      <c r="E153" s="362"/>
      <c r="F153" s="363"/>
      <c r="G153" s="364">
        <f>SUM(G138:G152)</f>
        <v>7187691.0899999999</v>
      </c>
      <c r="H153" s="365"/>
      <c r="I153" s="119">
        <f>G153-(G38+G52)</f>
        <v>7245509.1099999994</v>
      </c>
      <c r="J153" s="368"/>
    </row>
    <row r="154" spans="1:10" ht="30.75" customHeight="1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0.75" customHeight="1" x14ac:dyDescent="0.55000000000000004">
      <c r="A155" s="838" t="s">
        <v>345</v>
      </c>
      <c r="B155" s="838"/>
      <c r="C155" s="838"/>
      <c r="D155" s="117" t="s">
        <v>130</v>
      </c>
      <c r="E155" s="95">
        <f>'29'!F155</f>
        <v>77505</v>
      </c>
      <c r="F155" s="366">
        <v>77515.600000000006</v>
      </c>
      <c r="G155" s="112">
        <f t="shared" ref="G155:G156" si="12">F155-E155</f>
        <v>10.600000000005821</v>
      </c>
      <c r="H155" s="99">
        <f>G155+'29'!H155</f>
        <v>77608.600000000006</v>
      </c>
      <c r="I155" s="366"/>
      <c r="J155" s="330">
        <f>H155/DAY(B2)</f>
        <v>2586.9533333333334</v>
      </c>
    </row>
    <row r="156" spans="1:10" ht="30.75" customHeight="1" x14ac:dyDescent="0.5">
      <c r="A156" s="838" t="s">
        <v>347</v>
      </c>
      <c r="B156" s="838"/>
      <c r="C156" s="838"/>
      <c r="D156" s="117" t="s">
        <v>130</v>
      </c>
      <c r="E156" s="95">
        <f>'29'!F156</f>
        <v>933</v>
      </c>
      <c r="F156" s="165">
        <v>0</v>
      </c>
      <c r="G156" s="112">
        <f t="shared" si="12"/>
        <v>-933</v>
      </c>
      <c r="H156" s="99">
        <f>G156+'29'!H156</f>
        <v>0</v>
      </c>
      <c r="I156" s="165"/>
      <c r="J156" s="330">
        <f>H156/DAY(B2)</f>
        <v>0</v>
      </c>
    </row>
    <row r="157" spans="1:10" ht="30.75" customHeight="1" x14ac:dyDescent="0.5">
      <c r="A157" s="794" t="s">
        <v>365</v>
      </c>
      <c r="B157" s="795"/>
      <c r="C157" s="796"/>
      <c r="D157" s="117" t="s">
        <v>130</v>
      </c>
      <c r="E157" s="95"/>
      <c r="F157" s="165"/>
      <c r="G157" s="112"/>
      <c r="H157" s="99"/>
      <c r="I157" s="165"/>
      <c r="J157" s="330"/>
    </row>
    <row r="158" spans="1:10" ht="30.75" customHeight="1" x14ac:dyDescent="0.5">
      <c r="A158" s="794" t="s">
        <v>366</v>
      </c>
      <c r="B158" s="795"/>
      <c r="C158" s="796"/>
      <c r="D158" s="117" t="s">
        <v>130</v>
      </c>
      <c r="E158" s="95"/>
      <c r="F158" s="165"/>
      <c r="G158" s="112"/>
      <c r="H158" s="99"/>
      <c r="I158" s="165"/>
      <c r="J158" s="330"/>
    </row>
    <row r="159" spans="1:10" ht="30.75" customHeight="1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0" ht="30.75" customHeight="1" x14ac:dyDescent="0.55000000000000004">
      <c r="A160" s="871"/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471152.04</v>
      </c>
      <c r="F161" s="235">
        <v>470976.12</v>
      </c>
      <c r="G161" s="238">
        <f t="shared" ref="G161:G165" si="13">F161-E161</f>
        <v>-175.9199999999837</v>
      </c>
      <c r="H161" s="99">
        <f>G161+'29'!H161</f>
        <v>0</v>
      </c>
      <c r="I161" s="236"/>
      <c r="J161" s="239">
        <f>H161/DAY(B2)</f>
        <v>0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87511.6</v>
      </c>
      <c r="F162" s="235">
        <v>86601.7</v>
      </c>
      <c r="G162" s="238">
        <f t="shared" si="13"/>
        <v>-909.90000000000873</v>
      </c>
      <c r="H162" s="99">
        <f>G162+'29'!H162</f>
        <v>0</v>
      </c>
      <c r="I162" s="236"/>
      <c r="J162" s="239">
        <f>H162/DAY(B2)</f>
        <v>0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77753.8</v>
      </c>
      <c r="F163" s="235">
        <v>75459.8</v>
      </c>
      <c r="G163" s="238">
        <f t="shared" si="13"/>
        <v>-2294</v>
      </c>
      <c r="H163" s="99">
        <f>G163+'29'!H163</f>
        <v>0</v>
      </c>
      <c r="I163" s="236"/>
      <c r="J163" s="239">
        <f>H163/DAY(B2)</f>
        <v>0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4241.2</v>
      </c>
      <c r="F164" s="235">
        <v>4097.8999999999996</v>
      </c>
      <c r="G164" s="238">
        <f t="shared" si="13"/>
        <v>-143.30000000000018</v>
      </c>
      <c r="H164" s="99">
        <f>G164+'29'!H164</f>
        <v>0</v>
      </c>
      <c r="I164" s="236"/>
      <c r="J164" s="239">
        <f>H164/DAY(B2)</f>
        <v>0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29635.200000000001</v>
      </c>
      <c r="F165" s="235">
        <v>29428.931199999999</v>
      </c>
      <c r="G165" s="238">
        <f t="shared" si="13"/>
        <v>-206.26880000000165</v>
      </c>
      <c r="H165" s="99">
        <f>G165+'29'!H165</f>
        <v>0</v>
      </c>
      <c r="I165" s="236"/>
      <c r="J165" s="239">
        <f>H165/DAY(B2)</f>
        <v>0</v>
      </c>
    </row>
    <row r="166" spans="1:10" ht="30.75" customHeight="1" x14ac:dyDescent="0.5">
      <c r="A166" s="870"/>
      <c r="B166" s="870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870"/>
      <c r="B167" s="870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870"/>
      <c r="B168" s="870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30.75" customHeight="1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31" t="s">
        <v>209</v>
      </c>
      <c r="B173" s="832"/>
      <c r="C173" s="335"/>
      <c r="D173" s="228" t="s">
        <v>142</v>
      </c>
      <c r="E173" s="95">
        <f>'29'!F173</f>
        <v>8126</v>
      </c>
      <c r="F173" s="155">
        <v>8107</v>
      </c>
      <c r="G173" s="155">
        <f>F173-E173</f>
        <v>-19</v>
      </c>
      <c r="H173" s="99">
        <f>G173+'29'!H173</f>
        <v>0</v>
      </c>
      <c r="I173" s="155"/>
      <c r="J173" s="178">
        <f>H173/DAY(B2)</f>
        <v>0</v>
      </c>
    </row>
    <row r="174" spans="1:10" ht="30.75" customHeight="1" x14ac:dyDescent="0.5">
      <c r="A174" s="831" t="s">
        <v>75</v>
      </c>
      <c r="B174" s="832"/>
      <c r="C174" s="335"/>
      <c r="D174" s="228" t="s">
        <v>142</v>
      </c>
      <c r="E174" s="95">
        <f>'29'!F174</f>
        <v>38565</v>
      </c>
      <c r="F174" s="157">
        <v>37808</v>
      </c>
      <c r="G174" s="155">
        <f t="shared" ref="G174:G175" si="14">F174-E174</f>
        <v>-757</v>
      </c>
      <c r="H174" s="99">
        <f>G174+'29'!H174</f>
        <v>6</v>
      </c>
      <c r="I174" s="155"/>
      <c r="J174" s="178">
        <f>H174/DAY(B2)</f>
        <v>0.2</v>
      </c>
    </row>
    <row r="175" spans="1:10" ht="30.75" customHeight="1" x14ac:dyDescent="0.5">
      <c r="A175" s="831" t="s">
        <v>76</v>
      </c>
      <c r="B175" s="833"/>
      <c r="C175" s="832"/>
      <c r="D175" s="228" t="s">
        <v>142</v>
      </c>
      <c r="E175" s="95">
        <f>'29'!F175</f>
        <v>21498</v>
      </c>
      <c r="F175" s="155">
        <v>21137</v>
      </c>
      <c r="G175" s="155">
        <f t="shared" si="14"/>
        <v>-361</v>
      </c>
      <c r="H175" s="99">
        <f>G175+'29'!H175</f>
        <v>0</v>
      </c>
      <c r="I175" s="155"/>
      <c r="J175" s="178">
        <f>H175/DAY(B2)</f>
        <v>0</v>
      </c>
    </row>
    <row r="176" spans="1:10" ht="30.75" customHeight="1" x14ac:dyDescent="0.5">
      <c r="A176" s="867" t="s">
        <v>196</v>
      </c>
      <c r="B176" s="868"/>
      <c r="C176" s="529"/>
      <c r="D176" s="228" t="s">
        <v>142</v>
      </c>
      <c r="E176" s="95"/>
      <c r="F176" s="155"/>
      <c r="G176" s="155">
        <f>SUM(G173:G175)</f>
        <v>-1137</v>
      </c>
      <c r="H176" s="99">
        <f>G176+'29'!H176</f>
        <v>6</v>
      </c>
      <c r="I176" s="155"/>
      <c r="J176" s="178">
        <f>H176/DAY(B2)</f>
        <v>0.2</v>
      </c>
    </row>
    <row r="177" spans="1:10" ht="30.75" customHeight="1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831" t="s">
        <v>210</v>
      </c>
      <c r="B178" s="832"/>
      <c r="C178" s="335"/>
      <c r="D178" s="228" t="s">
        <v>142</v>
      </c>
      <c r="E178" s="95">
        <f>'29'!F178</f>
        <v>79497</v>
      </c>
      <c r="F178" s="155">
        <v>77352</v>
      </c>
      <c r="G178" s="155">
        <f>F178-E178</f>
        <v>-2145</v>
      </c>
      <c r="H178" s="99">
        <f>G178+'29'!H178</f>
        <v>0</v>
      </c>
      <c r="I178" s="155"/>
      <c r="J178" s="178">
        <f>H178/DAY(B2)</f>
        <v>0</v>
      </c>
    </row>
    <row r="179" spans="1:10" ht="30.75" customHeight="1" x14ac:dyDescent="0.5">
      <c r="A179" s="831" t="s">
        <v>211</v>
      </c>
      <c r="B179" s="832"/>
      <c r="C179" s="335"/>
      <c r="D179" s="228" t="s">
        <v>142</v>
      </c>
      <c r="E179" s="95">
        <f>'29'!F179</f>
        <v>33915</v>
      </c>
      <c r="F179" s="155">
        <v>33886</v>
      </c>
      <c r="G179" s="155">
        <f t="shared" ref="G179:G180" si="15">F179-E179</f>
        <v>-29</v>
      </c>
      <c r="H179" s="99">
        <f>G179+'29'!H179</f>
        <v>0</v>
      </c>
      <c r="I179" s="155"/>
      <c r="J179" s="178">
        <f>H179/DAY(B2)</f>
        <v>0</v>
      </c>
    </row>
    <row r="180" spans="1:10" ht="30.75" customHeight="1" x14ac:dyDescent="0.5">
      <c r="A180" s="831" t="s">
        <v>212</v>
      </c>
      <c r="B180" s="832"/>
      <c r="C180" s="335"/>
      <c r="D180" s="228" t="s">
        <v>142</v>
      </c>
      <c r="E180" s="95">
        <f>'29'!F180</f>
        <v>5471</v>
      </c>
      <c r="F180" s="155">
        <v>5273</v>
      </c>
      <c r="G180" s="155">
        <f t="shared" si="15"/>
        <v>-198</v>
      </c>
      <c r="H180" s="99">
        <f>G180+'29'!H180</f>
        <v>0</v>
      </c>
      <c r="I180" s="155"/>
      <c r="J180" s="178">
        <f>H180/DAY(B2)</f>
        <v>0</v>
      </c>
    </row>
    <row r="181" spans="1:10" ht="30.75" customHeight="1" x14ac:dyDescent="0.5">
      <c r="A181" s="872" t="s">
        <v>108</v>
      </c>
      <c r="B181" s="873"/>
      <c r="C181" s="529"/>
      <c r="D181" s="228" t="s">
        <v>142</v>
      </c>
      <c r="E181" s="95"/>
      <c r="F181" s="155"/>
      <c r="G181" s="155">
        <f>SUM(G178:G180)</f>
        <v>-2372</v>
      </c>
      <c r="H181" s="99">
        <f>G181+'29'!H181</f>
        <v>0</v>
      </c>
      <c r="I181" s="155"/>
      <c r="J181" s="178">
        <f>H181/DAY(B2)</f>
        <v>0</v>
      </c>
    </row>
    <row r="182" spans="1:10" ht="30.75" customHeight="1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831" t="s">
        <v>214</v>
      </c>
      <c r="B183" s="832"/>
      <c r="C183" s="336"/>
      <c r="D183" s="228" t="s">
        <v>142</v>
      </c>
      <c r="E183" s="95">
        <f>'29'!F183</f>
        <v>14923</v>
      </c>
      <c r="F183" s="157">
        <v>14496</v>
      </c>
      <c r="G183" s="157">
        <f>F183-E183</f>
        <v>-427</v>
      </c>
      <c r="H183" s="99">
        <f>G183+'29'!H183</f>
        <v>0</v>
      </c>
      <c r="I183" s="155"/>
      <c r="J183" s="178">
        <f>H183/DAY(B2)</f>
        <v>0</v>
      </c>
    </row>
    <row r="184" spans="1:10" ht="30.75" customHeight="1" x14ac:dyDescent="0.5">
      <c r="A184" s="831" t="s">
        <v>215</v>
      </c>
      <c r="B184" s="832"/>
      <c r="C184" s="336"/>
      <c r="D184" s="228" t="s">
        <v>142</v>
      </c>
      <c r="E184" s="95">
        <f>'29'!F184</f>
        <v>10289</v>
      </c>
      <c r="F184" s="157">
        <v>10031</v>
      </c>
      <c r="G184" s="157">
        <f t="shared" ref="G184:G185" si="16">F184-E184</f>
        <v>-258</v>
      </c>
      <c r="H184" s="99">
        <f>G184+'29'!H184</f>
        <v>0</v>
      </c>
      <c r="I184" s="155"/>
      <c r="J184" s="178">
        <f>H184/DAY(B2)</f>
        <v>0</v>
      </c>
    </row>
    <row r="185" spans="1:10" ht="30.75" customHeight="1" x14ac:dyDescent="0.5">
      <c r="A185" s="831" t="s">
        <v>216</v>
      </c>
      <c r="B185" s="832"/>
      <c r="C185" s="336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867" t="s">
        <v>196</v>
      </c>
      <c r="B186" s="868"/>
      <c r="C186" s="528"/>
      <c r="D186" s="228" t="s">
        <v>142</v>
      </c>
      <c r="E186" s="95"/>
      <c r="F186" s="157"/>
      <c r="G186" s="157">
        <f>SUM(G183:G185)</f>
        <v>-685</v>
      </c>
      <c r="H186" s="99">
        <f>G186+'29'!H186</f>
        <v>0</v>
      </c>
      <c r="I186" s="157"/>
      <c r="J186" s="178">
        <f>H186/DAY(B2)</f>
        <v>0</v>
      </c>
    </row>
    <row r="187" spans="1:10" ht="30.75" customHeight="1" x14ac:dyDescent="0.5">
      <c r="A187" s="876" t="s">
        <v>217</v>
      </c>
      <c r="B187" s="877"/>
      <c r="C187" s="335"/>
      <c r="D187" s="228" t="s">
        <v>142</v>
      </c>
      <c r="E187" s="95"/>
      <c r="F187" s="159"/>
      <c r="G187" s="506">
        <f>G62+G19</f>
        <v>-5151</v>
      </c>
      <c r="H187" s="99">
        <f>G187+'29'!H187</f>
        <v>0</v>
      </c>
      <c r="I187" s="158"/>
      <c r="J187" s="179">
        <f>H187/DAY(B2)</f>
        <v>0</v>
      </c>
    </row>
    <row r="188" spans="1:10" ht="30.75" customHeight="1" x14ac:dyDescent="0.5">
      <c r="A188" s="876" t="s">
        <v>218</v>
      </c>
      <c r="B188" s="877"/>
      <c r="C188" s="335"/>
      <c r="D188" s="230" t="s">
        <v>142</v>
      </c>
      <c r="E188" s="95"/>
      <c r="F188" s="159"/>
      <c r="G188" s="506">
        <f>G65+G66+G67+G69+G70</f>
        <v>-5141</v>
      </c>
      <c r="H188" s="99">
        <f>G188+'29'!H188</f>
        <v>-2510</v>
      </c>
      <c r="I188" s="158"/>
      <c r="J188" s="179">
        <f>H188/DAY(B2)</f>
        <v>-83.666666666666671</v>
      </c>
    </row>
    <row r="189" spans="1:10" ht="30.75" customHeight="1" x14ac:dyDescent="0.5">
      <c r="A189" s="876" t="s">
        <v>219</v>
      </c>
      <c r="B189" s="877"/>
      <c r="C189" s="335"/>
      <c r="D189" s="230" t="s">
        <v>142</v>
      </c>
      <c r="E189" s="95"/>
      <c r="F189" s="157"/>
      <c r="G189" s="503">
        <f>G181</f>
        <v>-2372</v>
      </c>
      <c r="H189" s="99">
        <f>G189+'29'!H189</f>
        <v>-1514</v>
      </c>
      <c r="I189" s="158"/>
      <c r="J189" s="179">
        <f>H189/DAY(B2)</f>
        <v>-50.466666666666669</v>
      </c>
    </row>
    <row r="190" spans="1:10" ht="30.75" customHeight="1" x14ac:dyDescent="0.5">
      <c r="A190" s="802" t="s">
        <v>361</v>
      </c>
      <c r="B190" s="803"/>
      <c r="C190" s="527"/>
      <c r="D190" s="524"/>
      <c r="E190" s="524">
        <v>52942.203000000001</v>
      </c>
      <c r="F190" s="524">
        <v>52948.703000000001</v>
      </c>
      <c r="G190" s="524">
        <f>F190-E190</f>
        <v>6.5</v>
      </c>
      <c r="H190" s="525"/>
      <c r="I190" s="524"/>
      <c r="J190" s="526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350</v>
      </c>
      <c r="B2" s="262">
        <v>44500</v>
      </c>
      <c r="C2" s="350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911" t="s">
        <v>129</v>
      </c>
      <c r="B7" s="912"/>
      <c r="C7" s="913"/>
      <c r="D7" s="151" t="s">
        <v>130</v>
      </c>
      <c r="E7" s="95">
        <f>'30'!F7</f>
        <v>78739.8</v>
      </c>
      <c r="F7" s="95">
        <f>E7+24000</f>
        <v>102739.8</v>
      </c>
      <c r="G7" s="112">
        <f>F7-E7</f>
        <v>24000</v>
      </c>
      <c r="H7" s="99">
        <f>G7+'30'!H7</f>
        <v>702265.8</v>
      </c>
      <c r="I7" s="113">
        <f>'1'!I7</f>
        <v>12000</v>
      </c>
      <c r="J7" s="175">
        <f>H7/DAY(B2)</f>
        <v>22653.735483870969</v>
      </c>
      <c r="K7" s="172">
        <v>1375467</v>
      </c>
      <c r="L7" s="66"/>
      <c r="N7" s="87">
        <f>F7-'3'!E7</f>
        <v>-342318.2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124629.21</v>
      </c>
      <c r="F8" s="95">
        <f>E8+24000</f>
        <v>148629.21000000002</v>
      </c>
      <c r="G8" s="115">
        <f>F8-E8</f>
        <v>24000.000000000015</v>
      </c>
      <c r="H8" s="99">
        <f>G8+'30'!H8</f>
        <v>710334.21</v>
      </c>
      <c r="I8" s="116"/>
      <c r="J8" s="175">
        <f>H8/DAY(B2)</f>
        <v>22914.006774193545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914" t="s">
        <v>132</v>
      </c>
      <c r="B9" s="915"/>
      <c r="C9" s="916"/>
      <c r="D9" s="151" t="s">
        <v>130</v>
      </c>
      <c r="E9" s="95">
        <f>'30'!F9</f>
        <v>2246017.5</v>
      </c>
      <c r="F9" s="659">
        <f>E9+15000</f>
        <v>2261017.5</v>
      </c>
      <c r="G9" s="112">
        <f>F9-E9</f>
        <v>15000</v>
      </c>
      <c r="H9" s="99">
        <f>G9+'30'!H9</f>
        <v>541919.80000000005</v>
      </c>
      <c r="I9" s="124">
        <f>I7-J7</f>
        <v>-10653.735483870969</v>
      </c>
      <c r="J9" s="175">
        <f>H9/DAY(B2)</f>
        <v>17481.283870967742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911" t="s">
        <v>133</v>
      </c>
      <c r="B10" s="912"/>
      <c r="C10" s="913"/>
      <c r="D10" s="151" t="s">
        <v>130</v>
      </c>
      <c r="E10" s="95">
        <f>'30'!F10</f>
        <v>406082.43</v>
      </c>
      <c r="F10" s="355">
        <f>E10+21500</f>
        <v>427582.43</v>
      </c>
      <c r="G10" s="112">
        <f t="shared" ref="G10:G12" si="0">F10-E10</f>
        <v>21500</v>
      </c>
      <c r="H10" s="99">
        <f>G10+'30'!H10</f>
        <v>21500</v>
      </c>
      <c r="I10" s="282"/>
      <c r="J10" s="175">
        <f>H10/DAY(B2)</f>
        <v>693.54838709677415</v>
      </c>
      <c r="K10" s="79"/>
      <c r="L10" s="66"/>
      <c r="N10" s="87"/>
      <c r="O10" s="71"/>
    </row>
    <row r="11" spans="1:15" ht="21.95" customHeight="1" x14ac:dyDescent="0.4">
      <c r="A11" s="911" t="s">
        <v>134</v>
      </c>
      <c r="B11" s="912"/>
      <c r="C11" s="913"/>
      <c r="D11" s="151" t="s">
        <v>130</v>
      </c>
      <c r="E11" s="95">
        <f>'30'!F11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911" t="s">
        <v>135</v>
      </c>
      <c r="B12" s="912"/>
      <c r="C12" s="913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36500</v>
      </c>
      <c r="H13" s="99">
        <f>G13+'30'!H13</f>
        <v>541368.92999999993</v>
      </c>
      <c r="I13" s="120">
        <f>G7-G13</f>
        <v>-12500</v>
      </c>
      <c r="J13" s="175">
        <f>H13/DAY(B2)</f>
        <v>17463.513870967741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09" t="s">
        <v>138</v>
      </c>
      <c r="B15" s="810"/>
      <c r="C15" s="811"/>
      <c r="D15" s="151" t="s">
        <v>139</v>
      </c>
      <c r="E15" s="95">
        <f>'30'!F15</f>
        <v>1877545.37</v>
      </c>
      <c r="F15" s="123">
        <f>E15+1100</f>
        <v>1878645.37</v>
      </c>
      <c r="G15" s="112">
        <f>(F15-E15)</f>
        <v>1100</v>
      </c>
      <c r="H15" s="99">
        <f>G15+'30'!H15</f>
        <v>35497.370000000112</v>
      </c>
      <c r="I15" s="113">
        <f>'1'!I15</f>
        <v>800</v>
      </c>
      <c r="J15" s="175">
        <f>H15/DAY(B2)</f>
        <v>1145.0764516129068</v>
      </c>
      <c r="K15" s="79"/>
      <c r="L15" s="66"/>
      <c r="N15" s="87"/>
      <c r="O15" s="71"/>
    </row>
    <row r="16" spans="1:15" ht="21.95" customHeight="1" x14ac:dyDescent="0.4">
      <c r="A16" s="908"/>
      <c r="B16" s="909"/>
      <c r="C16" s="910"/>
      <c r="D16" s="152"/>
      <c r="E16" s="123"/>
      <c r="F16" s="123"/>
      <c r="G16" s="112"/>
      <c r="H16" s="124"/>
      <c r="I16" s="120">
        <f>I15-J15</f>
        <v>-345.07645161290679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'30'!F18</f>
        <v>22</v>
      </c>
      <c r="F18" s="122">
        <v>20</v>
      </c>
      <c r="G18" s="119">
        <f>F18*10</f>
        <v>200</v>
      </c>
      <c r="H18" s="99">
        <f>G18+'30'!H18</f>
        <v>6530</v>
      </c>
      <c r="I18" s="113">
        <f>'1'!I18</f>
        <v>65</v>
      </c>
      <c r="J18" s="175">
        <f>H18/DAY(B2)</f>
        <v>210.64516129032259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'30'!F19</f>
        <v>150584</v>
      </c>
      <c r="F19" s="122">
        <v>148917</v>
      </c>
      <c r="G19" s="112">
        <f t="shared" ref="G19" si="1">F19-E19</f>
        <v>-1667</v>
      </c>
      <c r="H19" s="99">
        <f>G19+'30'!H19</f>
        <v>-1667</v>
      </c>
      <c r="I19" s="337"/>
      <c r="J19" s="175">
        <f>H19/DAY(B2)</f>
        <v>-53.774193548387096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-1467</v>
      </c>
      <c r="H20" s="99">
        <f>G20+'30'!H20</f>
        <v>4863</v>
      </c>
      <c r="I20" s="338">
        <f>I18-J20</f>
        <v>-91.870967741935488</v>
      </c>
      <c r="J20" s="175">
        <f>H20/DAY(B2)</f>
        <v>156.87096774193549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24000.000000000015</v>
      </c>
      <c r="F27" s="136">
        <v>9</v>
      </c>
      <c r="G27" s="137">
        <f>E27*F27</f>
        <v>216000.00000000012</v>
      </c>
      <c r="H27" s="99">
        <f>G27+'30'!H27</f>
        <v>6393007.8899999997</v>
      </c>
      <c r="I27" s="138"/>
      <c r="J27" s="175">
        <f>H27/DAY(B2)</f>
        <v>206226.06096774191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G28+'30'!H28</f>
        <v>1845863.2400000058</v>
      </c>
      <c r="I28" s="140"/>
      <c r="J28" s="175">
        <f>H28/DAY(B2)</f>
        <v>59543.975483871152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-1667</v>
      </c>
      <c r="F30" s="136">
        <v>146</v>
      </c>
      <c r="G30" s="137">
        <f>E30*F30</f>
        <v>-243382</v>
      </c>
      <c r="H30" s="99">
        <f>G30+'30'!H30</f>
        <v>-243382</v>
      </c>
      <c r="I30" s="140"/>
      <c r="J30" s="175">
        <f>H30/DAY(B2)</f>
        <v>-7851.0322580645161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G31+'30'!H31</f>
        <v>522400</v>
      </c>
      <c r="I31" s="140"/>
      <c r="J31" s="175">
        <f>H31/DAY(B2)</f>
        <v>16851.612903225807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45818.000000000116</v>
      </c>
      <c r="H32" s="99">
        <f>G32+'30'!H32</f>
        <v>8517889.1300000064</v>
      </c>
      <c r="I32" s="144"/>
      <c r="J32" s="175">
        <f>H32/DAY(B2)</f>
        <v>274770.6170967744</v>
      </c>
      <c r="K32" s="63"/>
      <c r="L32" s="89"/>
      <c r="N32" s="87"/>
      <c r="O32" s="71"/>
    </row>
    <row r="33" spans="1:15" ht="25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93534.63</v>
      </c>
      <c r="F35" s="145">
        <v>32474.67</v>
      </c>
      <c r="G35" s="112">
        <f t="shared" ref="G35:G46" si="3">F35-E35</f>
        <v>-61059.960000000006</v>
      </c>
      <c r="H35" s="99">
        <f>G35+'30'!H35</f>
        <v>-61059.960000000006</v>
      </c>
      <c r="I35" s="95"/>
      <c r="J35" s="175">
        <f>H35/DAY(B2)</f>
        <v>-1969.6761290322584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79463.7</v>
      </c>
      <c r="F36" s="145">
        <v>49939.67</v>
      </c>
      <c r="G36" s="112">
        <f t="shared" si="3"/>
        <v>-29524.03</v>
      </c>
      <c r="H36" s="99">
        <f>G36+'30'!H36</f>
        <v>60205.97</v>
      </c>
      <c r="I36" s="95"/>
      <c r="J36" s="175">
        <f>H36/DAY(B2)</f>
        <v>1942.1280645161291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145506.74</v>
      </c>
      <c r="F37" s="145">
        <v>97053.83</v>
      </c>
      <c r="G37" s="112">
        <f t="shared" si="3"/>
        <v>-48452.909999999989</v>
      </c>
      <c r="H37" s="99">
        <f>G37+'30'!H37</f>
        <v>-48452.909999999989</v>
      </c>
      <c r="I37" s="95"/>
      <c r="J37" s="175">
        <f>H37/DAY(B2)</f>
        <v>-1562.9970967741931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171004.05</v>
      </c>
      <c r="F38" s="108">
        <v>115223.03999999999</v>
      </c>
      <c r="G38" s="112">
        <f t="shared" si="3"/>
        <v>-55781.009999999995</v>
      </c>
      <c r="H38" s="99">
        <f>G38+'30'!H38</f>
        <v>-55781.009999999995</v>
      </c>
      <c r="I38" s="95"/>
      <c r="J38" s="175">
        <f>H38/DAY(B2)</f>
        <v>-1799.3874193548386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321663.28999999998</v>
      </c>
      <c r="F39" s="145">
        <v>233381.05</v>
      </c>
      <c r="G39" s="112">
        <f t="shared" si="3"/>
        <v>-88282.239999999991</v>
      </c>
      <c r="H39" s="99">
        <f>G39+'30'!H39</f>
        <v>-88282.239999999991</v>
      </c>
      <c r="I39" s="95"/>
      <c r="J39" s="175">
        <f>H39/DAY(B2)</f>
        <v>-2847.8141935483868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111.22</v>
      </c>
      <c r="F40" s="145">
        <v>25.37</v>
      </c>
      <c r="G40" s="112">
        <f t="shared" si="3"/>
        <v>-85.85</v>
      </c>
      <c r="H40" s="99">
        <f>G40+'30'!H40</f>
        <v>454.30000000000052</v>
      </c>
      <c r="I40" s="95"/>
      <c r="J40" s="175">
        <f>H40/DAY(B2)</f>
        <v>14.654838709677437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590513.71</v>
      </c>
      <c r="F41" s="145">
        <v>581858.82999999996</v>
      </c>
      <c r="G41" s="112">
        <f t="shared" si="3"/>
        <v>-8654.8800000000047</v>
      </c>
      <c r="H41" s="99">
        <f>G41+'30'!H41</f>
        <v>591245.12</v>
      </c>
      <c r="I41" s="95"/>
      <c r="J41" s="175">
        <f>H41/DAY(B2)</f>
        <v>19072.423225806451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316053.99</v>
      </c>
      <c r="F42" s="145">
        <v>270969.67</v>
      </c>
      <c r="G42" s="112">
        <f t="shared" si="3"/>
        <v>-45084.320000000007</v>
      </c>
      <c r="H42" s="99">
        <f>G42+'30'!H42</f>
        <v>312575.68</v>
      </c>
      <c r="I42" s="95"/>
      <c r="J42" s="175">
        <f>H42/DAY(B2)</f>
        <v>10083.086451612902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1528598.6</v>
      </c>
      <c r="F43" s="145">
        <v>1446087.4</v>
      </c>
      <c r="G43" s="112">
        <f t="shared" si="3"/>
        <v>-82511.200000000186</v>
      </c>
      <c r="H43" s="99">
        <f>G43+'30'!H43</f>
        <v>1482169.7999999998</v>
      </c>
      <c r="I43" s="95"/>
      <c r="J43" s="175">
        <f>H43/DAY(B2)</f>
        <v>47811.929032258056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-419436.40000000014</v>
      </c>
      <c r="H47" s="99">
        <f>G47+'30'!H47</f>
        <v>2193074.75</v>
      </c>
      <c r="I47" s="95"/>
      <c r="J47" s="175">
        <f>H47/DAY(B2)</f>
        <v>70744.346774193546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220513.33</v>
      </c>
      <c r="F49" s="145">
        <v>172730.39</v>
      </c>
      <c r="G49" s="112">
        <f t="shared" ref="G49:G58" si="4">F49-E49</f>
        <v>-47782.939999999973</v>
      </c>
      <c r="H49" s="99">
        <f>G49+'30'!H49</f>
        <v>-47782.939999999973</v>
      </c>
      <c r="I49" s="95"/>
      <c r="J49" s="175">
        <f>H49/DAY(B2)</f>
        <v>-1541.3851612903218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723223.19</v>
      </c>
      <c r="F50" s="145">
        <v>684362.31</v>
      </c>
      <c r="G50" s="112">
        <f t="shared" si="4"/>
        <v>-38860.879999999888</v>
      </c>
      <c r="H50" s="99">
        <f>G50+'30'!H50</f>
        <v>700214.12000000011</v>
      </c>
      <c r="I50" s="95"/>
      <c r="J50" s="175">
        <f>H50/DAY(B2)</f>
        <v>22587.552258064519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3031.28</v>
      </c>
      <c r="F54" s="145">
        <v>2867.49</v>
      </c>
      <c r="G54" s="112">
        <f t="shared" si="4"/>
        <v>-163.79000000000042</v>
      </c>
      <c r="H54" s="99">
        <f>G54+'30'!H54</f>
        <v>-163.79000000000042</v>
      </c>
      <c r="I54" s="95"/>
      <c r="J54" s="175">
        <f>H54/DAY(B2)</f>
        <v>-5.2835483870967881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0</v>
      </c>
      <c r="G55" s="112">
        <f t="shared" si="4"/>
        <v>0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190514.95</v>
      </c>
      <c r="F56" s="145">
        <v>42840.29</v>
      </c>
      <c r="G56" s="112">
        <f t="shared" si="4"/>
        <v>-147674.66</v>
      </c>
      <c r="H56" s="99">
        <f>G56+'30'!H56</f>
        <v>64390.34</v>
      </c>
      <c r="I56" s="95"/>
      <c r="J56" s="175">
        <f>H56/DAY(B2)</f>
        <v>2077.1077419354838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85324.85</v>
      </c>
      <c r="F58" s="145">
        <v>79019.899999999994</v>
      </c>
      <c r="G58" s="112">
        <f t="shared" si="4"/>
        <v>-6304.9500000000116</v>
      </c>
      <c r="H58" s="99">
        <f>G58+'30'!H58</f>
        <v>-6304.9500000000116</v>
      </c>
      <c r="I58" s="95"/>
      <c r="J58" s="175">
        <f>H58/DAY(B2)</f>
        <v>-203.38548387096813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-240787.21999999986</v>
      </c>
      <c r="H59" s="99">
        <f>G59+'30'!H59</f>
        <v>710352.78000000014</v>
      </c>
      <c r="I59" s="95">
        <f>G7-G60</f>
        <v>684223.62</v>
      </c>
      <c r="J59" s="175">
        <f>H59/DAY(B2)</f>
        <v>22914.605806451618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-660223.62</v>
      </c>
      <c r="H60" s="99">
        <f>G60+'30'!H60</f>
        <v>2903427.53</v>
      </c>
      <c r="I60" s="95">
        <f>G13-G60</f>
        <v>696723.62</v>
      </c>
      <c r="J60" s="175">
        <f>H60/DAY(B2)</f>
        <v>93658.952580645157</v>
      </c>
      <c r="K60" s="79"/>
      <c r="L60" s="66"/>
      <c r="N60" s="87"/>
      <c r="O60" s="71"/>
    </row>
    <row r="61" spans="1:15" s="68" customFormat="1" ht="27.75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'30'!F62</f>
        <v>263465</v>
      </c>
      <c r="F62" s="122">
        <v>259818</v>
      </c>
      <c r="G62" s="112">
        <f t="shared" ref="G62:G63" si="5">F62-E62</f>
        <v>-3647</v>
      </c>
      <c r="H62" s="99">
        <f>G62+'30'!H62</f>
        <v>-3647</v>
      </c>
      <c r="I62" s="118"/>
      <c r="J62" s="175">
        <f>H62/DAY(B2)</f>
        <v>-117.64516129032258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'30'!F63</f>
        <v>209375</v>
      </c>
      <c r="F63" s="122">
        <v>206270</v>
      </c>
      <c r="G63" s="112">
        <f t="shared" si="5"/>
        <v>-3105</v>
      </c>
      <c r="H63" s="99">
        <f>G63+'30'!H63</f>
        <v>-3105</v>
      </c>
      <c r="I63" s="118"/>
      <c r="J63" s="175">
        <f>H63/DAY(B2)</f>
        <v>-100.16129032258064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95">
        <f>'30'!F64</f>
        <v>0</v>
      </c>
      <c r="F64" s="122"/>
      <c r="G64" s="112">
        <f>G62+G63</f>
        <v>-6752</v>
      </c>
      <c r="H64" s="99">
        <f>G64+'30'!H64</f>
        <v>-6752</v>
      </c>
      <c r="I64" s="118"/>
      <c r="J64" s="175">
        <f>H64/DAY(B2)</f>
        <v>-217.80645161290323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'30'!F65</f>
        <v>429363</v>
      </c>
      <c r="F65" s="122">
        <v>426205</v>
      </c>
      <c r="G65" s="112">
        <f t="shared" ref="G65:G70" si="6">F65-E65</f>
        <v>-3158</v>
      </c>
      <c r="H65" s="99">
        <f>G65+'30'!H65</f>
        <v>-3158</v>
      </c>
      <c r="I65" s="118"/>
      <c r="J65" s="175">
        <f>H65/DAY(B2)</f>
        <v>-101.87096774193549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'30'!F66</f>
        <v>106599</v>
      </c>
      <c r="F66" s="122">
        <v>105970</v>
      </c>
      <c r="G66" s="112">
        <f t="shared" si="6"/>
        <v>-629</v>
      </c>
      <c r="H66" s="99">
        <f>G66+'30'!H66</f>
        <v>-629</v>
      </c>
      <c r="I66" s="118"/>
      <c r="J66" s="175">
        <f>H66/DAY(B2)</f>
        <v>-20.29032258064516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'30'!F67</f>
        <v>103011</v>
      </c>
      <c r="F67" s="122">
        <v>102171</v>
      </c>
      <c r="G67" s="112">
        <f t="shared" si="6"/>
        <v>-840</v>
      </c>
      <c r="H67" s="99">
        <f>G67+'30'!H67</f>
        <v>-840</v>
      </c>
      <c r="I67" s="118"/>
      <c r="J67" s="175">
        <f>H67/DAY(B2)</f>
        <v>-27.096774193548388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'30'!F68</f>
        <v>155440</v>
      </c>
      <c r="F68" s="122">
        <v>154496</v>
      </c>
      <c r="G68" s="112">
        <f t="shared" si="6"/>
        <v>-944</v>
      </c>
      <c r="H68" s="99">
        <f>G68+'30'!H68</f>
        <v>-944</v>
      </c>
      <c r="I68" s="118"/>
      <c r="J68" s="175">
        <f>H68/DAY(B2)</f>
        <v>-30.451612903225808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'30'!F69</f>
        <v>9843</v>
      </c>
      <c r="F69" s="122">
        <v>9465</v>
      </c>
      <c r="G69" s="112">
        <f t="shared" si="6"/>
        <v>-378</v>
      </c>
      <c r="H69" s="99">
        <f>G69+'30'!H69</f>
        <v>-378</v>
      </c>
      <c r="I69" s="118"/>
      <c r="J69" s="175">
        <f>H69/DAY(B2)</f>
        <v>-12.193548387096774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'30'!F70</f>
        <v>7542</v>
      </c>
      <c r="F70" s="122">
        <v>7203</v>
      </c>
      <c r="G70" s="112">
        <f t="shared" si="6"/>
        <v>-339</v>
      </c>
      <c r="H70" s="99">
        <f>G70+'30'!H70</f>
        <v>-339</v>
      </c>
      <c r="I70" s="118"/>
      <c r="J70" s="175">
        <f>H70/DAY(B2)</f>
        <v>-10.935483870967742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95">
        <f>'30'!F71</f>
        <v>0</v>
      </c>
      <c r="F71" s="152"/>
      <c r="G71" s="153">
        <f>SUM(G65:G70)</f>
        <v>-6288</v>
      </c>
      <c r="H71" s="99">
        <f>G71+'30'!H71</f>
        <v>-6288</v>
      </c>
      <c r="I71" s="154"/>
      <c r="J71" s="175">
        <f>H71/DAY(B2)</f>
        <v>-202.83870967741936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'30'!F74</f>
        <v>882253.049</v>
      </c>
      <c r="F74" s="123">
        <v>873585.23100000003</v>
      </c>
      <c r="G74" s="112">
        <f t="shared" ref="G74:G78" si="7">F74-E74</f>
        <v>-8667.8179999999702</v>
      </c>
      <c r="H74" s="99">
        <f>G74+'30'!H74</f>
        <v>-8667.8179999999702</v>
      </c>
      <c r="I74" s="154"/>
      <c r="J74" s="175">
        <f>H74/DAY(B2)</f>
        <v>-279.60703225806355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'30'!F75</f>
        <v>73586.8</v>
      </c>
      <c r="F75" s="123">
        <v>73583.399999999994</v>
      </c>
      <c r="G75" s="112">
        <f t="shared" si="7"/>
        <v>-3.4000000000087311</v>
      </c>
      <c r="H75" s="99">
        <f>G75+'30'!H75</f>
        <v>240.48999999999069</v>
      </c>
      <c r="I75" s="154"/>
      <c r="J75" s="175">
        <f>H75/DAY(B2)</f>
        <v>7.7577419354835708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'30'!F76</f>
        <v>163384</v>
      </c>
      <c r="F76" s="123">
        <v>159985.5</v>
      </c>
      <c r="G76" s="112">
        <f t="shared" si="7"/>
        <v>-3398.5</v>
      </c>
      <c r="H76" s="99">
        <f>G76+'30'!H76</f>
        <v>-3398.5</v>
      </c>
      <c r="I76" s="154"/>
      <c r="J76" s="175">
        <f>H76/DAY(B2)</f>
        <v>-109.62903225806451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'30'!F77</f>
        <v>38810</v>
      </c>
      <c r="F77" s="538">
        <v>37497.5</v>
      </c>
      <c r="G77" s="112">
        <f t="shared" si="7"/>
        <v>-1312.5</v>
      </c>
      <c r="H77" s="99">
        <f>G77+'30'!H77</f>
        <v>-1312.5</v>
      </c>
      <c r="I77" s="154"/>
      <c r="J77" s="175">
        <f>H77/DAY(B2)</f>
        <v>-42.338709677419352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'30'!F78</f>
        <v>9412</v>
      </c>
      <c r="F78" s="123">
        <v>9329.4</v>
      </c>
      <c r="G78" s="112">
        <f t="shared" si="7"/>
        <v>-82.600000000000364</v>
      </c>
      <c r="H78" s="99">
        <f>G78+'30'!H78</f>
        <v>-82.600000000000364</v>
      </c>
      <c r="I78" s="118"/>
      <c r="J78" s="175">
        <f>H78/DAY(B2)</f>
        <v>-2.6645161290322696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95">
        <f>'30'!F79</f>
        <v>0</v>
      </c>
      <c r="F79" s="123"/>
      <c r="G79" s="112">
        <f>G15-SUM(G74:G78)</f>
        <v>14564.817999999979</v>
      </c>
      <c r="H79" s="99">
        <f>G79+'30'!H79</f>
        <v>48718.29800000009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'30'!F82</f>
        <v>0</v>
      </c>
      <c r="F82" s="122"/>
      <c r="G82" s="112">
        <f t="shared" ref="G82:G92" si="8">F82-E82</f>
        <v>0</v>
      </c>
      <c r="H82" s="99">
        <f>G82+'30'!H131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'30'!F83</f>
        <v>0</v>
      </c>
      <c r="F83" s="122"/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'30'!F84</f>
        <v>41628.559999999998</v>
      </c>
      <c r="F84" s="164">
        <v>41585.56</v>
      </c>
      <c r="G84" s="112">
        <f t="shared" si="8"/>
        <v>-43</v>
      </c>
      <c r="H84" s="99">
        <f>G84+'30'!H84</f>
        <v>-43</v>
      </c>
      <c r="I84" s="118"/>
      <c r="J84" s="175">
        <f>H84/DAY(B2)</f>
        <v>-1.3870967741935485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'30'!F85</f>
        <v>1503.56</v>
      </c>
      <c r="F85" s="164">
        <v>1305</v>
      </c>
      <c r="G85" s="112">
        <f t="shared" si="8"/>
        <v>-198.55999999999995</v>
      </c>
      <c r="H85" s="99">
        <f>G85+'30'!H85</f>
        <v>-198.55999999999995</v>
      </c>
      <c r="I85" s="118">
        <f>G82+G83+G84+G85</f>
        <v>-241.55999999999995</v>
      </c>
      <c r="J85" s="175">
        <f>H85/DAY(B2)</f>
        <v>-6.405161290322579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'30'!F86</f>
        <v>42826</v>
      </c>
      <c r="F86" s="164">
        <v>42826</v>
      </c>
      <c r="G86" s="112">
        <f t="shared" si="8"/>
        <v>0</v>
      </c>
      <c r="H86" s="99">
        <f>G86+'30'!H86</f>
        <v>0</v>
      </c>
      <c r="I86" s="118"/>
      <c r="J86" s="175">
        <f>H86/DAY(B2)</f>
        <v>0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'30'!F87</f>
        <v>34420.400000000001</v>
      </c>
      <c r="F87" s="164">
        <v>33748</v>
      </c>
      <c r="G87" s="112">
        <f t="shared" si="8"/>
        <v>-672.40000000000146</v>
      </c>
      <c r="H87" s="99">
        <f>G87+'30'!H87</f>
        <v>-672.40000000000146</v>
      </c>
      <c r="I87" s="118"/>
      <c r="J87" s="175">
        <f>H87/DAY(B2)</f>
        <v>-21.690322580645208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'30'!F88</f>
        <v>23952.49</v>
      </c>
      <c r="F88" s="164">
        <v>23833.57</v>
      </c>
      <c r="G88" s="112">
        <f t="shared" si="8"/>
        <v>-118.92000000000189</v>
      </c>
      <c r="H88" s="99">
        <f>G88+'30'!H88</f>
        <v>-118.92000000000189</v>
      </c>
      <c r="I88" s="118">
        <f>G86+G87+G88</f>
        <v>-791.32000000000335</v>
      </c>
      <c r="J88" s="175">
        <f>H88/DAY(B2)</f>
        <v>-3.8361290322581256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'30'!F89</f>
        <v>25427.49</v>
      </c>
      <c r="F89" s="164">
        <v>25245.38</v>
      </c>
      <c r="G89" s="112">
        <f t="shared" si="8"/>
        <v>-182.11000000000058</v>
      </c>
      <c r="H89" s="99">
        <f>G89+'30'!H89</f>
        <v>-182.11000000000058</v>
      </c>
      <c r="I89" s="118"/>
      <c r="J89" s="175">
        <f>H89/DAY(B2)</f>
        <v>-5.8745161290322772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'30'!F90</f>
        <v>70828.27</v>
      </c>
      <c r="F90" s="164">
        <v>70655.41</v>
      </c>
      <c r="G90" s="112">
        <f>F90-E90</f>
        <v>-172.86000000000058</v>
      </c>
      <c r="H90" s="99">
        <f>G90+'30'!H90</f>
        <v>-332.58999999999651</v>
      </c>
      <c r="I90" s="118">
        <f>G89+G90</f>
        <v>-354.97000000000116</v>
      </c>
      <c r="J90" s="175">
        <f>H90/DAY(B2)</f>
        <v>-10.728709677419243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'30'!F91</f>
        <v>3226</v>
      </c>
      <c r="F91" s="122">
        <v>3226.32</v>
      </c>
      <c r="G91" s="112">
        <f t="shared" si="8"/>
        <v>0.32000000000016371</v>
      </c>
      <c r="H91" s="99">
        <f>G91+'30'!H91</f>
        <v>0.32000000000016371</v>
      </c>
      <c r="I91" s="165"/>
      <c r="J91" s="175">
        <f>H91/DAY(B2)</f>
        <v>1.0322580645166571E-2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'30'!F92</f>
        <v>5095.8999999999996</v>
      </c>
      <c r="F92" s="122">
        <v>4791.82</v>
      </c>
      <c r="G92" s="112">
        <f t="shared" si="8"/>
        <v>-304.07999999999993</v>
      </c>
      <c r="H92" s="99">
        <f>G92+'30'!H92</f>
        <v>-304.07999999999993</v>
      </c>
      <c r="I92" s="165"/>
      <c r="J92" s="175">
        <f>H92/DAY(B2)</f>
        <v>-9.809032258064514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-191354.10000000018</v>
      </c>
      <c r="H94" s="99">
        <f>G94+'30'!H94</f>
        <v>1373326.9</v>
      </c>
      <c r="I94" s="118"/>
      <c r="J94" s="175">
        <f>H94/DAY(B2)</f>
        <v>44300.867741935479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-7.9730875000000072</v>
      </c>
      <c r="H95" s="99">
        <f>G95+'30'!H95</f>
        <v>57.714785954706898</v>
      </c>
      <c r="I95" s="167"/>
      <c r="J95" s="175">
        <f>H95/DAY(B2)</f>
        <v>1.8617672888615129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-201413.86000000002</v>
      </c>
      <c r="H96" s="99">
        <f>G96+'30'!H96</f>
        <v>968211.14</v>
      </c>
      <c r="I96" s="118"/>
      <c r="J96" s="175">
        <f>H96/DAY(B2)</f>
        <v>31232.61741935484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-8.3922441666666678</v>
      </c>
      <c r="H97" s="99">
        <f>G97+'30'!H97</f>
        <v>40.727650075272038</v>
      </c>
      <c r="I97" s="167"/>
      <c r="J97" s="175">
        <f>H97/DAY(B2)</f>
        <v>1.3137951637184528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-88282.239999999991</v>
      </c>
      <c r="H98" s="99">
        <f>G98+'30'!H98</f>
        <v>-88282.239999999991</v>
      </c>
      <c r="I98" s="168"/>
      <c r="J98" s="175">
        <f>H98/DAY(B2)</f>
        <v>-2847.8141935483868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-3.6784266666666663</v>
      </c>
      <c r="H99" s="99">
        <f>G99+'30'!H99</f>
        <v>-3.4456275917452728</v>
      </c>
      <c r="I99" s="168"/>
      <c r="J99" s="175">
        <f>H99/DAY(B2)</f>
        <v>-0.11114927715307331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-55781.009999999995</v>
      </c>
      <c r="H100" s="99">
        <f>G100+'30'!H100</f>
        <v>-55781.009999999995</v>
      </c>
      <c r="I100" s="118"/>
      <c r="J100" s="175">
        <f>H100/DAY(B2)</f>
        <v>-1799.3874193548386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-2.3242087499999999</v>
      </c>
      <c r="H101" s="99">
        <f>G101+'30'!H101</f>
        <v>-2.1631019965870855</v>
      </c>
      <c r="I101" s="168"/>
      <c r="J101" s="175">
        <f>H101/DAY(B2)</f>
        <v>-6.9777483760873726E-2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-68384.909999999887</v>
      </c>
      <c r="H102" s="99">
        <f>G102+'30'!H102</f>
        <v>760420.09000000008</v>
      </c>
      <c r="I102" s="168"/>
      <c r="J102" s="175">
        <f>H102/DAY(B2)</f>
        <v>24529.680322580647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-2.8493712499999955</v>
      </c>
      <c r="H103" s="99">
        <f>G103+'30'!H103</f>
        <v>31.861340537816062</v>
      </c>
      <c r="I103" s="118"/>
      <c r="J103" s="175">
        <f>H103/DAY(B2)</f>
        <v>1.0277851786392278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-48452.909999999989</v>
      </c>
      <c r="H104" s="99">
        <f>G104+'30'!H104</f>
        <v>-48452.909999999989</v>
      </c>
      <c r="I104" s="118"/>
      <c r="J104" s="175">
        <f>H104/DAY(B2)</f>
        <v>-1562.9970967741931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-2.0188712499999997</v>
      </c>
      <c r="H105" s="99">
        <f>G105+'30'!H105</f>
        <v>-1.8869177482594588</v>
      </c>
      <c r="I105" s="187"/>
      <c r="J105" s="188">
        <f>H105/DAY(B2)</f>
        <v>-6.0868314459982545E-2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7.75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9" t="s">
        <v>252</v>
      </c>
      <c r="B112" s="840"/>
      <c r="C112" s="841"/>
      <c r="D112" s="146" t="s">
        <v>183</v>
      </c>
      <c r="E112" s="95">
        <f>'30'!F112</f>
        <v>53352.01</v>
      </c>
      <c r="F112" s="237">
        <v>50889.08</v>
      </c>
      <c r="G112" s="112">
        <f t="shared" ref="G112:G123" si="9">F112-E112</f>
        <v>-2462.9300000000003</v>
      </c>
      <c r="H112" s="99">
        <f>G112+'30'!H112</f>
        <v>5276.5200000000041</v>
      </c>
      <c r="I112" s="165"/>
      <c r="J112" s="330">
        <f>H112/DAY(B2)</f>
        <v>170.21032258064528</v>
      </c>
    </row>
    <row r="113" spans="1:18" ht="27.75" x14ac:dyDescent="0.5">
      <c r="A113" s="839" t="s">
        <v>253</v>
      </c>
      <c r="B113" s="840"/>
      <c r="C113" s="841"/>
      <c r="D113" s="146" t="s">
        <v>183</v>
      </c>
      <c r="E113" s="95">
        <f>'30'!F113</f>
        <v>17956.53</v>
      </c>
      <c r="F113" s="237">
        <v>4505.6499999999996</v>
      </c>
      <c r="G113" s="112">
        <f t="shared" si="9"/>
        <v>-13450.88</v>
      </c>
      <c r="H113" s="99">
        <f>G113+'30'!H113</f>
        <v>-13450.88</v>
      </c>
      <c r="I113" s="165"/>
      <c r="J113" s="330">
        <f>H113/DAY(B2)</f>
        <v>-433.89935483870966</v>
      </c>
    </row>
    <row r="114" spans="1:18" ht="27.75" x14ac:dyDescent="0.5">
      <c r="A114" s="839" t="s">
        <v>254</v>
      </c>
      <c r="B114" s="840"/>
      <c r="C114" s="841"/>
      <c r="D114" s="146" t="s">
        <v>183</v>
      </c>
      <c r="E114" s="95">
        <f>'30'!F114</f>
        <v>13927.1</v>
      </c>
      <c r="F114" s="237">
        <v>4577.93</v>
      </c>
      <c r="G114" s="112">
        <f t="shared" si="9"/>
        <v>-9349.17</v>
      </c>
      <c r="H114" s="99">
        <f>G114+'30'!H114</f>
        <v>-9506.3500000000022</v>
      </c>
      <c r="I114" s="165"/>
      <c r="J114" s="330">
        <f>H114/DAY(B2)</f>
        <v>-306.65645161290331</v>
      </c>
    </row>
    <row r="115" spans="1:18" ht="27.75" x14ac:dyDescent="0.5">
      <c r="A115" s="839" t="s">
        <v>255</v>
      </c>
      <c r="B115" s="840"/>
      <c r="C115" s="841"/>
      <c r="D115" s="146" t="s">
        <v>183</v>
      </c>
      <c r="E115" s="95">
        <f>'30'!F115</f>
        <v>8423.68</v>
      </c>
      <c r="F115" s="237">
        <v>8077.41</v>
      </c>
      <c r="G115" s="112">
        <f t="shared" si="9"/>
        <v>-346.27000000000044</v>
      </c>
      <c r="H115" s="99">
        <f>G115+'30'!H115</f>
        <v>-346.27000000000044</v>
      </c>
      <c r="I115" s="165"/>
      <c r="J115" s="330">
        <f>H115/DAY(B2)</f>
        <v>-11.170000000000014</v>
      </c>
    </row>
    <row r="116" spans="1:18" ht="27.75" x14ac:dyDescent="0.5">
      <c r="A116" s="857" t="s">
        <v>96</v>
      </c>
      <c r="B116" s="858"/>
      <c r="C116" s="859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65"/>
      <c r="J116" s="330">
        <f>H116/DAY(B2)</f>
        <v>0</v>
      </c>
      <c r="Q116" s="839"/>
      <c r="R116" s="841"/>
    </row>
    <row r="117" spans="1:18" ht="27.75" x14ac:dyDescent="0.5">
      <c r="A117" s="857" t="s">
        <v>184</v>
      </c>
      <c r="B117" s="858"/>
      <c r="C117" s="859"/>
      <c r="D117" s="146" t="s">
        <v>183</v>
      </c>
      <c r="E117" s="95">
        <f>'30'!F117</f>
        <v>1941.08</v>
      </c>
      <c r="F117" s="237">
        <v>1158.19</v>
      </c>
      <c r="G117" s="112">
        <f t="shared" si="9"/>
        <v>-782.88999999999987</v>
      </c>
      <c r="H117" s="99">
        <f>G117+'30'!H117</f>
        <v>-782.88999999999987</v>
      </c>
      <c r="I117" s="165"/>
      <c r="J117" s="330">
        <f>H117/DAY(B2)</f>
        <v>-25.254516129032254</v>
      </c>
      <c r="Q117" s="839"/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'30'!F118</f>
        <v>229837.73</v>
      </c>
      <c r="F118" s="237">
        <v>218851.93</v>
      </c>
      <c r="G118" s="112">
        <f t="shared" si="9"/>
        <v>-10985.800000000017</v>
      </c>
      <c r="H118" s="99">
        <f>G118+'30'!H118</f>
        <v>-10985.800000000017</v>
      </c>
      <c r="I118" s="165"/>
      <c r="J118" s="330">
        <f>H118/DAY(B2)</f>
        <v>-354.38064516129089</v>
      </c>
      <c r="Q118" s="839"/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'30'!F119</f>
        <v>231726.53</v>
      </c>
      <c r="F119" s="237">
        <v>218811.11</v>
      </c>
      <c r="G119" s="112">
        <f t="shared" si="9"/>
        <v>-12915.420000000013</v>
      </c>
      <c r="H119" s="99">
        <f>G119+'30'!H119</f>
        <v>-12915.420000000013</v>
      </c>
      <c r="I119" s="165"/>
      <c r="J119" s="330">
        <f>H119/DAY(B2)</f>
        <v>-416.62645161290362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'30'!F120</f>
        <v>17185.32</v>
      </c>
      <c r="F120" s="237">
        <v>4307.6000000000004</v>
      </c>
      <c r="G120" s="112">
        <f t="shared" si="9"/>
        <v>-12877.72</v>
      </c>
      <c r="H120" s="99">
        <f>G120+'30'!H120</f>
        <v>-12877.72</v>
      </c>
      <c r="I120" s="165"/>
      <c r="J120" s="330">
        <f>H120/DAY(B2)</f>
        <v>-415.41032258064513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'30'!F121</f>
        <v>353054.23</v>
      </c>
      <c r="F121" s="237">
        <v>331237.51</v>
      </c>
      <c r="G121" s="112">
        <f t="shared" si="9"/>
        <v>-21816.719999999972</v>
      </c>
      <c r="H121" s="99">
        <f>G121+'30'!H121</f>
        <v>-21816.719999999972</v>
      </c>
      <c r="I121" s="165"/>
      <c r="J121" s="330">
        <f>H121/DAY(B2)</f>
        <v>-703.76516129032166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'30'!F122</f>
        <v>111009.79</v>
      </c>
      <c r="F122" s="237">
        <v>101608.88</v>
      </c>
      <c r="G122" s="112">
        <f t="shared" si="9"/>
        <v>-9400.9099999999889</v>
      </c>
      <c r="H122" s="99">
        <f>G122+'30'!H122</f>
        <v>-9400.9099999999889</v>
      </c>
      <c r="I122" s="165"/>
      <c r="J122" s="330">
        <f>H122/DAY(B2)</f>
        <v>-303.25516129032223</v>
      </c>
    </row>
    <row r="123" spans="1:18" ht="27.75" x14ac:dyDescent="0.5">
      <c r="A123" s="834" t="s">
        <v>348</v>
      </c>
      <c r="B123" s="834"/>
      <c r="C123" s="834"/>
      <c r="D123" s="151" t="s">
        <v>183</v>
      </c>
      <c r="E123" s="95">
        <f>'30'!F123</f>
        <v>134366</v>
      </c>
      <c r="F123" s="237">
        <v>125747.76</v>
      </c>
      <c r="G123" s="112">
        <f t="shared" si="9"/>
        <v>-8618.2400000000052</v>
      </c>
      <c r="H123" s="99">
        <f>G123+'30'!H123</f>
        <v>-8618.2400000000052</v>
      </c>
      <c r="I123" s="165"/>
      <c r="J123" s="330">
        <f>H123/DAY(B2)</f>
        <v>-278.00774193548403</v>
      </c>
    </row>
    <row r="124" spans="1:18" ht="27.75" x14ac:dyDescent="0.5">
      <c r="A124" s="864"/>
      <c r="B124" s="865"/>
      <c r="C124" s="866"/>
      <c r="D124" s="165"/>
      <c r="E124" s="95">
        <f>'30'!F124</f>
        <v>0</v>
      </c>
      <c r="F124" s="165"/>
      <c r="G124" s="329"/>
      <c r="H124" s="99">
        <f>G124+'30'!H124</f>
        <v>0</v>
      </c>
      <c r="I124" s="165"/>
      <c r="J124" s="329"/>
    </row>
    <row r="125" spans="1:18" ht="27.75" x14ac:dyDescent="0.5">
      <c r="A125" s="867" t="s">
        <v>196</v>
      </c>
      <c r="B125" s="917"/>
      <c r="C125" s="868"/>
      <c r="D125" s="307"/>
      <c r="E125" s="308"/>
      <c r="F125" s="308"/>
      <c r="G125" s="309">
        <f>SUM(G112:G124)</f>
        <v>-103006.95</v>
      </c>
      <c r="H125" s="156"/>
      <c r="I125" s="329">
        <f>G125-(G39+G53)</f>
        <v>-14724.710000000006</v>
      </c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G127+'30'!H127</f>
        <v>0</v>
      </c>
      <c r="I127" s="165"/>
      <c r="J127" s="330">
        <f>H127/DAY(B2)</f>
        <v>0</v>
      </c>
    </row>
    <row r="128" spans="1:18" ht="27.75" x14ac:dyDescent="0.5">
      <c r="A128" s="839" t="s">
        <v>318</v>
      </c>
      <c r="B128" s="840"/>
      <c r="C128" s="841"/>
      <c r="D128" s="151" t="s">
        <v>183</v>
      </c>
      <c r="E128" s="95">
        <f>'30'!F128</f>
        <v>27604.37</v>
      </c>
      <c r="F128" s="165">
        <v>18023.72</v>
      </c>
      <c r="G128" s="112">
        <f t="shared" ref="G128:G134" si="10">F128-E128</f>
        <v>-9580.6499999999978</v>
      </c>
      <c r="H128" s="99">
        <f>G128+'30'!H128</f>
        <v>-9580.6499999999978</v>
      </c>
      <c r="I128" s="165"/>
      <c r="J128" s="330">
        <f>H128/DAY(B2)</f>
        <v>-309.05322580645156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'30'!F129</f>
        <v>12747.59</v>
      </c>
      <c r="F129" s="165">
        <v>6595.71</v>
      </c>
      <c r="G129" s="112">
        <f t="shared" si="10"/>
        <v>-6151.88</v>
      </c>
      <c r="H129" s="99">
        <f>G129+'30'!H129</f>
        <v>-6151.88</v>
      </c>
      <c r="I129" s="165"/>
      <c r="J129" s="330">
        <f>H129/DAY(B2)</f>
        <v>-198.44774193548386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'30'!F130</f>
        <v>2057.11</v>
      </c>
      <c r="F130" s="165">
        <v>26468.03</v>
      </c>
      <c r="G130" s="112">
        <f t="shared" si="10"/>
        <v>24410.92</v>
      </c>
      <c r="H130" s="99">
        <f>G130+'30'!H130</f>
        <v>24410.92</v>
      </c>
      <c r="I130" s="165"/>
      <c r="J130" s="330">
        <f>H130/DAY(B2)</f>
        <v>787.44903225806445</v>
      </c>
      <c r="N130" s="240"/>
      <c r="O130" s="241"/>
    </row>
    <row r="131" spans="1:15" ht="27.75" x14ac:dyDescent="0.5">
      <c r="A131" s="839" t="s">
        <v>321</v>
      </c>
      <c r="B131" s="840"/>
      <c r="C131" s="841"/>
      <c r="D131" s="151" t="s">
        <v>183</v>
      </c>
      <c r="E131" s="95">
        <f>'30'!F131</f>
        <v>9169.35</v>
      </c>
      <c r="F131" s="165">
        <v>4146.47</v>
      </c>
      <c r="G131" s="112">
        <f t="shared" si="10"/>
        <v>-5022.88</v>
      </c>
      <c r="H131" s="99">
        <f>G131+'30'!H131</f>
        <v>-5022.88</v>
      </c>
      <c r="I131" s="165"/>
      <c r="J131" s="330">
        <f>H131/DAY(B2)</f>
        <v>-162.0283870967742</v>
      </c>
      <c r="N131" s="240"/>
      <c r="O131" s="241"/>
    </row>
    <row r="132" spans="1:15" ht="27.75" x14ac:dyDescent="0.5">
      <c r="A132" s="839" t="s">
        <v>322</v>
      </c>
      <c r="B132" s="840"/>
      <c r="C132" s="841"/>
      <c r="D132" s="151" t="s">
        <v>183</v>
      </c>
      <c r="E132" s="95">
        <f>'30'!F132</f>
        <v>26180.240000000002</v>
      </c>
      <c r="F132" s="165">
        <v>11537.72</v>
      </c>
      <c r="G132" s="112">
        <f t="shared" si="10"/>
        <v>-14642.520000000002</v>
      </c>
      <c r="H132" s="99">
        <f>G132+'30'!H132</f>
        <v>-16255.640000000005</v>
      </c>
      <c r="I132" s="165"/>
      <c r="J132" s="330">
        <f>H132/DAY(B2)</f>
        <v>-524.37548387096786</v>
      </c>
    </row>
    <row r="133" spans="1:15" ht="27.75" x14ac:dyDescent="0.5">
      <c r="A133" s="839" t="s">
        <v>363</v>
      </c>
      <c r="B133" s="840"/>
      <c r="C133" s="841"/>
      <c r="D133" s="151" t="s">
        <v>183</v>
      </c>
      <c r="E133" s="95">
        <f>'30'!F133</f>
        <v>63474.42</v>
      </c>
      <c r="F133" s="165">
        <v>40849.29</v>
      </c>
      <c r="G133" s="112">
        <f t="shared" si="10"/>
        <v>-22625.129999999997</v>
      </c>
      <c r="H133" s="99">
        <f>G133+'30'!H133</f>
        <v>-22625.129999999997</v>
      </c>
      <c r="I133" s="165"/>
      <c r="J133" s="330">
        <f>H133/DAY(B2)</f>
        <v>-729.84290322580637</v>
      </c>
    </row>
    <row r="134" spans="1:15" ht="27.75" x14ac:dyDescent="0.5">
      <c r="A134" s="839" t="s">
        <v>340</v>
      </c>
      <c r="B134" s="840"/>
      <c r="C134" s="841"/>
      <c r="D134" s="151" t="s">
        <v>183</v>
      </c>
      <c r="E134" s="95">
        <f>'30'!F134</f>
        <v>651259</v>
      </c>
      <c r="F134" s="165">
        <v>632231</v>
      </c>
      <c r="G134" s="112">
        <f t="shared" si="10"/>
        <v>-19028</v>
      </c>
      <c r="H134" s="99">
        <f>G134+'30'!H134</f>
        <v>-18976</v>
      </c>
      <c r="I134" s="165"/>
      <c r="J134" s="330">
        <f>H134/DAY(B2)</f>
        <v>-612.12903225806451</v>
      </c>
    </row>
    <row r="135" spans="1:15" ht="27.75" x14ac:dyDescent="0.5">
      <c r="A135" s="867" t="s">
        <v>196</v>
      </c>
      <c r="B135" s="917"/>
      <c r="C135" s="868"/>
      <c r="D135" s="151"/>
      <c r="E135" s="95"/>
      <c r="F135" s="165"/>
      <c r="G135" s="112">
        <f>SUM(G128:G134)</f>
        <v>-52640.14</v>
      </c>
      <c r="H135" s="99">
        <f>G135+'23'!H135</f>
        <v>-20308.93</v>
      </c>
      <c r="I135" s="329">
        <f>G135-(G35+G49)</f>
        <v>56202.75999999998</v>
      </c>
      <c r="J135" s="330"/>
    </row>
    <row r="136" spans="1:15" ht="31.5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'30'!F138</f>
        <v>861262</v>
      </c>
      <c r="F138" s="147">
        <v>859647</v>
      </c>
      <c r="G138" s="112">
        <f t="shared" ref="G138:G152" si="11">F138-E138</f>
        <v>-1615</v>
      </c>
      <c r="H138" s="99">
        <f>G138+'30'!H138</f>
        <v>-1615</v>
      </c>
      <c r="I138" s="118"/>
      <c r="J138" s="330">
        <f>H138/DAY(B2)</f>
        <v>-52.096774193548384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'30'!F139</f>
        <v>886199</v>
      </c>
      <c r="F139" s="148">
        <v>886102</v>
      </c>
      <c r="G139" s="112">
        <f t="shared" si="11"/>
        <v>-97</v>
      </c>
      <c r="H139" s="99">
        <f>G139+'30'!H139</f>
        <v>-97</v>
      </c>
      <c r="I139" s="118"/>
      <c r="J139" s="330">
        <f>H139/DAY(B2)</f>
        <v>-3.129032258064516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'30'!F140</f>
        <v>88849</v>
      </c>
      <c r="F140" s="149">
        <v>88817</v>
      </c>
      <c r="G140" s="112">
        <f t="shared" si="11"/>
        <v>-32</v>
      </c>
      <c r="H140" s="99">
        <f>G140+'30'!H140</f>
        <v>-32</v>
      </c>
      <c r="I140" s="118"/>
      <c r="J140" s="330">
        <f>H140/DAY(B2)</f>
        <v>-1.032258064516129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'30'!F141</f>
        <v>43126.73</v>
      </c>
      <c r="F141" s="149">
        <v>37287.949999999997</v>
      </c>
      <c r="G141" s="112">
        <f t="shared" si="11"/>
        <v>-5838.7800000000061</v>
      </c>
      <c r="H141" s="99">
        <f>G141+'30'!H141</f>
        <v>-5838.7800000000061</v>
      </c>
      <c r="I141" s="118"/>
      <c r="J141" s="330">
        <f>H141/DAY(B2)</f>
        <v>-188.34774193548407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'30'!F142</f>
        <v>17460.5</v>
      </c>
      <c r="F142" s="148">
        <v>16961.87</v>
      </c>
      <c r="G142" s="112">
        <f t="shared" si="11"/>
        <v>-498.63000000000102</v>
      </c>
      <c r="H142" s="99">
        <f>G142+'30'!H142</f>
        <v>-498.63000000000102</v>
      </c>
      <c r="I142" s="140"/>
      <c r="J142" s="330">
        <f>H142/DAY(B2)</f>
        <v>-16.084838709677452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'30'!F143</f>
        <v>2201.4</v>
      </c>
      <c r="F143" s="149">
        <v>1383.18</v>
      </c>
      <c r="G143" s="112">
        <f t="shared" si="11"/>
        <v>-818.22</v>
      </c>
      <c r="H143" s="99">
        <f>G143+'30'!H143</f>
        <v>-818.22</v>
      </c>
      <c r="I143" s="140"/>
      <c r="J143" s="330">
        <f>H143/DAY(B2)</f>
        <v>-26.394193548387097</v>
      </c>
    </row>
    <row r="144" spans="1:15" ht="27.75" x14ac:dyDescent="0.5">
      <c r="A144" s="838" t="s">
        <v>90</v>
      </c>
      <c r="B144" s="838"/>
      <c r="C144" s="838"/>
      <c r="D144" s="151" t="s">
        <v>183</v>
      </c>
      <c r="E144" s="95">
        <f>'30'!F144</f>
        <v>862395</v>
      </c>
      <c r="F144" s="149">
        <v>855369</v>
      </c>
      <c r="G144" s="112">
        <f t="shared" si="11"/>
        <v>-7026</v>
      </c>
      <c r="H144" s="99">
        <f>G144+'30'!H144</f>
        <v>-7026</v>
      </c>
      <c r="I144" s="140"/>
      <c r="J144" s="330">
        <f>H144/DAY(B2)</f>
        <v>-226.64516129032259</v>
      </c>
    </row>
    <row r="145" spans="1:11" ht="27.75" x14ac:dyDescent="0.5">
      <c r="A145" s="834" t="s">
        <v>190</v>
      </c>
      <c r="B145" s="834"/>
      <c r="C145" s="834"/>
      <c r="D145" s="152" t="s">
        <v>183</v>
      </c>
      <c r="E145" s="95">
        <f>'30'!F145</f>
        <v>3419</v>
      </c>
      <c r="F145" s="149">
        <v>2213</v>
      </c>
      <c r="G145" s="112">
        <f t="shared" si="11"/>
        <v>-1206</v>
      </c>
      <c r="H145" s="99">
        <f>G145+'30'!H145</f>
        <v>-1206</v>
      </c>
      <c r="I145" s="140"/>
      <c r="J145" s="330">
        <f>H145/DAY(B2)</f>
        <v>-38.903225806451616</v>
      </c>
    </row>
    <row r="146" spans="1:11" ht="27.75" x14ac:dyDescent="0.5">
      <c r="A146" s="835" t="s">
        <v>191</v>
      </c>
      <c r="B146" s="836"/>
      <c r="C146" s="837"/>
      <c r="D146" s="152" t="s">
        <v>183</v>
      </c>
      <c r="E146" s="95">
        <f>'30'!F146</f>
        <v>710885</v>
      </c>
      <c r="F146" s="148">
        <v>698519</v>
      </c>
      <c r="G146" s="112">
        <f t="shared" si="11"/>
        <v>-12366</v>
      </c>
      <c r="H146" s="99">
        <f>G146+'30'!H146</f>
        <v>-12366</v>
      </c>
      <c r="I146" s="140"/>
      <c r="J146" s="330">
        <f>H146/DAY(B2)</f>
        <v>-398.90322580645159</v>
      </c>
    </row>
    <row r="147" spans="1:11" ht="27.75" x14ac:dyDescent="0.5">
      <c r="A147" s="838" t="s">
        <v>192</v>
      </c>
      <c r="B147" s="838"/>
      <c r="C147" s="838"/>
      <c r="D147" s="152" t="s">
        <v>183</v>
      </c>
      <c r="E147" s="95">
        <f>'30'!F147</f>
        <v>601985.04</v>
      </c>
      <c r="F147" s="148">
        <v>588910.92000000004</v>
      </c>
      <c r="G147" s="112">
        <f t="shared" si="11"/>
        <v>-13074.119999999995</v>
      </c>
      <c r="H147" s="99">
        <f>G147+'30'!H147</f>
        <v>-13074.119999999995</v>
      </c>
      <c r="I147" s="140"/>
      <c r="J147" s="330">
        <f>H147/DAY(B2)</f>
        <v>-421.74580645161274</v>
      </c>
    </row>
    <row r="148" spans="1:11" ht="27.75" x14ac:dyDescent="0.5">
      <c r="A148" s="794" t="s">
        <v>193</v>
      </c>
      <c r="B148" s="795"/>
      <c r="C148" s="796"/>
      <c r="D148" s="123" t="s">
        <v>130</v>
      </c>
      <c r="E148" s="95">
        <f>'30'!F148</f>
        <v>673789.68</v>
      </c>
      <c r="F148" s="150">
        <v>665108.12</v>
      </c>
      <c r="G148" s="112">
        <f t="shared" si="11"/>
        <v>-8681.5600000000559</v>
      </c>
      <c r="H148" s="99">
        <f>G148+'30'!H148</f>
        <v>-8681.5600000000559</v>
      </c>
      <c r="I148" s="124"/>
      <c r="J148" s="330">
        <f>H148/DAY(B2)</f>
        <v>-280.05032258064699</v>
      </c>
    </row>
    <row r="149" spans="1:11" ht="27.75" x14ac:dyDescent="0.5">
      <c r="A149" s="794" t="s">
        <v>336</v>
      </c>
      <c r="B149" s="795"/>
      <c r="C149" s="796"/>
      <c r="D149" s="227" t="s">
        <v>130</v>
      </c>
      <c r="E149" s="95">
        <f>'30'!F149</f>
        <v>95022</v>
      </c>
      <c r="F149" s="146">
        <v>84747</v>
      </c>
      <c r="G149" s="112">
        <f t="shared" si="11"/>
        <v>-10275</v>
      </c>
      <c r="H149" s="99">
        <f>G149+'30'!H149</f>
        <v>176965</v>
      </c>
      <c r="I149" s="119"/>
      <c r="J149" s="330">
        <f>H149/DAY(B2)</f>
        <v>5708.5483870967746</v>
      </c>
    </row>
    <row r="150" spans="1:11" ht="27.75" x14ac:dyDescent="0.5">
      <c r="A150" s="794" t="s">
        <v>337</v>
      </c>
      <c r="B150" s="795"/>
      <c r="C150" s="796"/>
      <c r="D150" s="117" t="s">
        <v>130</v>
      </c>
      <c r="E150" s="95">
        <f>'30'!F150</f>
        <v>7167232</v>
      </c>
      <c r="F150" s="233">
        <v>7167232</v>
      </c>
      <c r="G150" s="112">
        <f t="shared" si="11"/>
        <v>0</v>
      </c>
      <c r="H150" s="99">
        <f>G150+'30'!H150</f>
        <v>7167040</v>
      </c>
      <c r="I150" s="119"/>
      <c r="J150" s="330">
        <f>H150/DAY(B2)</f>
        <v>231194.83870967742</v>
      </c>
    </row>
    <row r="151" spans="1:11" ht="27.75" x14ac:dyDescent="0.5">
      <c r="A151" s="794" t="s">
        <v>338</v>
      </c>
      <c r="B151" s="795"/>
      <c r="C151" s="796"/>
      <c r="D151" s="117" t="s">
        <v>130</v>
      </c>
      <c r="E151" s="95">
        <f>'30'!F151</f>
        <v>70722</v>
      </c>
      <c r="F151" s="233">
        <v>63010</v>
      </c>
      <c r="G151" s="112">
        <f t="shared" si="11"/>
        <v>-7712</v>
      </c>
      <c r="H151" s="99">
        <f>G151+'30'!H151</f>
        <v>-7712</v>
      </c>
      <c r="I151" s="119"/>
      <c r="J151" s="330">
        <f>H151/DAY(B2)</f>
        <v>-248.7741935483871</v>
      </c>
    </row>
    <row r="152" spans="1:11" ht="27.75" x14ac:dyDescent="0.5">
      <c r="A152" s="794" t="s">
        <v>339</v>
      </c>
      <c r="B152" s="795"/>
      <c r="C152" s="796"/>
      <c r="D152" s="117" t="s">
        <v>130</v>
      </c>
      <c r="E152" s="95">
        <f>'30'!F152</f>
        <v>0</v>
      </c>
      <c r="F152" s="233"/>
      <c r="G152" s="112">
        <f t="shared" si="11"/>
        <v>0</v>
      </c>
      <c r="H152" s="99">
        <f>G152+'30'!H152</f>
        <v>0</v>
      </c>
      <c r="I152" s="119"/>
      <c r="J152" s="330">
        <f>H152/DAY(B2)</f>
        <v>0</v>
      </c>
    </row>
    <row r="153" spans="1:11" ht="27.75" x14ac:dyDescent="0.5">
      <c r="A153" s="867" t="s">
        <v>196</v>
      </c>
      <c r="B153" s="917"/>
      <c r="C153" s="868"/>
      <c r="D153" s="360"/>
      <c r="E153" s="362"/>
      <c r="F153" s="363"/>
      <c r="G153" s="364">
        <f>SUM(G138:G152)</f>
        <v>-69240.310000000056</v>
      </c>
      <c r="H153" s="365"/>
      <c r="I153" s="119">
        <f>G153-(G38+G52)</f>
        <v>-13459.300000000061</v>
      </c>
      <c r="J153" s="368"/>
    </row>
    <row r="154" spans="1:11" ht="31.5" x14ac:dyDescent="0.55000000000000004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1" ht="31.5" x14ac:dyDescent="0.55000000000000004">
      <c r="A155" s="838" t="s">
        <v>345</v>
      </c>
      <c r="B155" s="838"/>
      <c r="C155" s="838"/>
      <c r="D155" s="117" t="s">
        <v>130</v>
      </c>
      <c r="E155" s="95">
        <f>'30'!F155</f>
        <v>77515.600000000006</v>
      </c>
      <c r="F155" s="366">
        <v>77266.7</v>
      </c>
      <c r="G155" s="112">
        <f t="shared" ref="G155:G156" si="12">F155-E155</f>
        <v>-248.90000000000873</v>
      </c>
      <c r="H155" s="99">
        <f>G155+'30'!H155</f>
        <v>77359.7</v>
      </c>
      <c r="I155" s="366"/>
      <c r="J155" s="330">
        <f>H155/DAY(B2)</f>
        <v>2495.4741935483871</v>
      </c>
    </row>
    <row r="156" spans="1:11" ht="27.75" x14ac:dyDescent="0.5">
      <c r="A156" s="838" t="s">
        <v>347</v>
      </c>
      <c r="B156" s="838"/>
      <c r="C156" s="838"/>
      <c r="D156" s="117" t="s">
        <v>130</v>
      </c>
      <c r="E156" s="95">
        <f>'30'!F156</f>
        <v>0</v>
      </c>
      <c r="F156" s="165">
        <v>0</v>
      </c>
      <c r="G156" s="112">
        <f t="shared" si="12"/>
        <v>0</v>
      </c>
      <c r="H156" s="99">
        <f>G156+'30'!H156</f>
        <v>0</v>
      </c>
      <c r="I156" s="165"/>
      <c r="J156" s="330">
        <f>H156/DAY(B2)</f>
        <v>0</v>
      </c>
    </row>
    <row r="157" spans="1:11" ht="27.75" x14ac:dyDescent="0.5">
      <c r="A157" s="794" t="s">
        <v>365</v>
      </c>
      <c r="B157" s="795"/>
      <c r="C157" s="796"/>
      <c r="D157" s="117" t="s">
        <v>130</v>
      </c>
      <c r="E157" s="117"/>
      <c r="F157" s="95"/>
      <c r="G157" s="165"/>
      <c r="H157" s="112"/>
      <c r="I157" s="99"/>
      <c r="J157" s="165"/>
      <c r="K157" s="330"/>
    </row>
    <row r="158" spans="1:11" ht="27.75" x14ac:dyDescent="0.5">
      <c r="A158" s="794" t="s">
        <v>366</v>
      </c>
      <c r="B158" s="795"/>
      <c r="C158" s="796"/>
      <c r="D158" s="117" t="s">
        <v>130</v>
      </c>
      <c r="E158" s="95"/>
      <c r="F158" s="165"/>
      <c r="G158" s="112"/>
      <c r="H158" s="99"/>
      <c r="I158" s="165"/>
      <c r="J158" s="330"/>
    </row>
    <row r="159" spans="1:11" ht="27.75" x14ac:dyDescent="0.5">
      <c r="A159" s="887"/>
      <c r="B159" s="888"/>
      <c r="C159" s="889"/>
      <c r="D159" s="117"/>
      <c r="E159" s="95"/>
      <c r="F159" s="165"/>
      <c r="G159" s="112"/>
      <c r="H159" s="99"/>
      <c r="I159" s="165"/>
      <c r="J159" s="330"/>
    </row>
    <row r="160" spans="1:11" ht="31.5" x14ac:dyDescent="0.55000000000000004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470976.12</v>
      </c>
      <c r="F161" s="235">
        <v>469529.04</v>
      </c>
      <c r="G161" s="238">
        <f t="shared" ref="G161:G165" si="13">F161-E161</f>
        <v>-1447.0800000000163</v>
      </c>
      <c r="H161" s="99">
        <f>G161+'30'!H161</f>
        <v>-1447.0800000000163</v>
      </c>
      <c r="I161" s="236"/>
      <c r="J161" s="239">
        <f>H161/DAY(B2)</f>
        <v>-46.680000000000526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86601.7</v>
      </c>
      <c r="F162" s="235">
        <v>85705.600000000006</v>
      </c>
      <c r="G162" s="238">
        <f t="shared" si="13"/>
        <v>-896.09999999999127</v>
      </c>
      <c r="H162" s="99">
        <f>G162+'30'!H162</f>
        <v>-896.09999999999127</v>
      </c>
      <c r="I162" s="236"/>
      <c r="J162" s="239">
        <f>H162/DAY(B2)</f>
        <v>-28.906451612902945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75459.8</v>
      </c>
      <c r="F163" s="235">
        <v>73336.899999999994</v>
      </c>
      <c r="G163" s="238">
        <f t="shared" si="13"/>
        <v>-2122.9000000000087</v>
      </c>
      <c r="H163" s="99">
        <f>G163+'30'!H163</f>
        <v>-2122.9000000000087</v>
      </c>
      <c r="I163" s="236"/>
      <c r="J163" s="239">
        <f>H163/DAY(B2)</f>
        <v>-68.48064516129061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4097.8999999999996</v>
      </c>
      <c r="F164" s="235">
        <v>3973.5</v>
      </c>
      <c r="G164" s="238">
        <f t="shared" si="13"/>
        <v>-124.39999999999964</v>
      </c>
      <c r="H164" s="99">
        <f>G164+'30'!H164</f>
        <v>-124.39999999999964</v>
      </c>
      <c r="I164" s="236"/>
      <c r="J164" s="239">
        <f>H164/DAY(B2)</f>
        <v>-4.0129032258064399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29428.931199999999</v>
      </c>
      <c r="F165" s="235">
        <v>29198.14</v>
      </c>
      <c r="G165" s="238">
        <f t="shared" si="13"/>
        <v>-230.79119999999966</v>
      </c>
      <c r="H165" s="99">
        <f>G165+'30'!H165</f>
        <v>-230.79119999999966</v>
      </c>
      <c r="I165" s="236"/>
      <c r="J165" s="239">
        <f>H165/DAY(B2)</f>
        <v>-7.4448774193548282</v>
      </c>
    </row>
    <row r="166" spans="1:10" ht="29.25" x14ac:dyDescent="0.5">
      <c r="A166" s="870"/>
      <c r="B166" s="870"/>
      <c r="C166" s="246"/>
      <c r="D166" s="244" t="s">
        <v>180</v>
      </c>
      <c r="E166" s="95">
        <f>'30'!F166</f>
        <v>0</v>
      </c>
      <c r="F166" s="165"/>
      <c r="G166" s="165"/>
      <c r="H166" s="99">
        <f>G166+'30'!H166</f>
        <v>0</v>
      </c>
      <c r="I166" s="165"/>
      <c r="J166" s="239">
        <f>H166/DAY(B2)</f>
        <v>0</v>
      </c>
    </row>
    <row r="167" spans="1:10" ht="29.25" x14ac:dyDescent="0.5">
      <c r="A167" s="870"/>
      <c r="B167" s="870"/>
      <c r="C167" s="246"/>
      <c r="D167" s="244" t="s">
        <v>180</v>
      </c>
      <c r="E167" s="95">
        <f>'30'!F167</f>
        <v>0</v>
      </c>
      <c r="F167" s="165"/>
      <c r="G167" s="165"/>
      <c r="H167" s="99">
        <f>G167+'30'!H167</f>
        <v>0</v>
      </c>
      <c r="I167" s="165"/>
      <c r="J167" s="239">
        <f>H167/DAY(B2)</f>
        <v>0</v>
      </c>
    </row>
    <row r="168" spans="1:10" ht="29.25" x14ac:dyDescent="0.5">
      <c r="A168" s="870"/>
      <c r="B168" s="870"/>
      <c r="C168" s="246"/>
      <c r="D168" s="244" t="s">
        <v>180</v>
      </c>
      <c r="E168" s="95">
        <f>'30'!F168</f>
        <v>0</v>
      </c>
      <c r="F168" s="165"/>
      <c r="G168" s="165"/>
      <c r="H168" s="99">
        <f>G168+'30'!H168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7.75" x14ac:dyDescent="0.5">
      <c r="A172" s="874"/>
      <c r="B172" s="875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31" t="s">
        <v>209</v>
      </c>
      <c r="B173" s="832"/>
      <c r="C173" s="335"/>
      <c r="D173" s="228" t="s">
        <v>142</v>
      </c>
      <c r="E173" s="95">
        <f>'30'!F173</f>
        <v>8107</v>
      </c>
      <c r="F173" s="155">
        <v>7998</v>
      </c>
      <c r="G173" s="155">
        <f>F173-E173</f>
        <v>-109</v>
      </c>
      <c r="H173" s="99">
        <f>G173+'30'!H173</f>
        <v>-109</v>
      </c>
      <c r="I173" s="155"/>
      <c r="J173" s="178">
        <f>H173/DAY(B2)</f>
        <v>-3.5161290322580645</v>
      </c>
    </row>
    <row r="174" spans="1:10" ht="27.75" x14ac:dyDescent="0.5">
      <c r="A174" s="831" t="s">
        <v>75</v>
      </c>
      <c r="B174" s="832"/>
      <c r="C174" s="335"/>
      <c r="D174" s="228" t="s">
        <v>142</v>
      </c>
      <c r="E174" s="95">
        <f>'30'!F174</f>
        <v>37808</v>
      </c>
      <c r="F174" s="157">
        <v>37383</v>
      </c>
      <c r="G174" s="155">
        <f t="shared" ref="G174:G175" si="14">F174-E174</f>
        <v>-425</v>
      </c>
      <c r="H174" s="99">
        <f>G174+'30'!H174</f>
        <v>-419</v>
      </c>
      <c r="I174" s="155"/>
      <c r="J174" s="178">
        <f>H174/DAY(B2)</f>
        <v>-13.516129032258064</v>
      </c>
    </row>
    <row r="175" spans="1:10" ht="27.75" x14ac:dyDescent="0.5">
      <c r="A175" s="831" t="s">
        <v>76</v>
      </c>
      <c r="B175" s="833"/>
      <c r="C175" s="832"/>
      <c r="D175" s="228" t="s">
        <v>142</v>
      </c>
      <c r="E175" s="95">
        <f>'30'!F175</f>
        <v>21137</v>
      </c>
      <c r="F175" s="155">
        <v>20788</v>
      </c>
      <c r="G175" s="155">
        <f t="shared" si="14"/>
        <v>-349</v>
      </c>
      <c r="H175" s="99">
        <f>G175+'30'!H175</f>
        <v>-349</v>
      </c>
      <c r="I175" s="155"/>
      <c r="J175" s="178">
        <f>H175/DAY(B2)</f>
        <v>-11.258064516129032</v>
      </c>
    </row>
    <row r="176" spans="1:10" ht="27.75" x14ac:dyDescent="0.5">
      <c r="A176" s="867" t="s">
        <v>196</v>
      </c>
      <c r="B176" s="917"/>
      <c r="C176" s="868"/>
      <c r="D176" s="228" t="s">
        <v>142</v>
      </c>
      <c r="E176" s="95"/>
      <c r="F176" s="155"/>
      <c r="G176" s="155">
        <f>SUM(G173:G175)</f>
        <v>-883</v>
      </c>
      <c r="H176" s="99">
        <f>G176+'30'!H176</f>
        <v>-877</v>
      </c>
      <c r="I176" s="155"/>
      <c r="J176" s="178">
        <f>H176/DAY(B2)</f>
        <v>-28.29032258064516</v>
      </c>
    </row>
    <row r="177" spans="1:10" ht="27.75" x14ac:dyDescent="0.5">
      <c r="A177" s="831" t="s">
        <v>77</v>
      </c>
      <c r="B177" s="832"/>
      <c r="C177" s="335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831" t="s">
        <v>210</v>
      </c>
      <c r="B178" s="832"/>
      <c r="C178" s="335"/>
      <c r="D178" s="228" t="s">
        <v>142</v>
      </c>
      <c r="E178" s="95">
        <f>'30'!F178</f>
        <v>77352</v>
      </c>
      <c r="F178" s="155">
        <v>74619</v>
      </c>
      <c r="G178" s="155">
        <f>F178-E178</f>
        <v>-2733</v>
      </c>
      <c r="H178" s="99">
        <f>G178+'30'!H178</f>
        <v>-2733</v>
      </c>
      <c r="I178" s="155"/>
      <c r="J178" s="178">
        <f>H178/DAY(B2)</f>
        <v>-88.161290322580641</v>
      </c>
    </row>
    <row r="179" spans="1:10" ht="27.75" x14ac:dyDescent="0.5">
      <c r="A179" s="831" t="s">
        <v>211</v>
      </c>
      <c r="B179" s="832"/>
      <c r="C179" s="335"/>
      <c r="D179" s="228" t="s">
        <v>142</v>
      </c>
      <c r="E179" s="95">
        <f>'30'!F179</f>
        <v>33886</v>
      </c>
      <c r="F179" s="155">
        <v>33886</v>
      </c>
      <c r="G179" s="155">
        <f t="shared" ref="G179:G180" si="15">F179-E179</f>
        <v>0</v>
      </c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831" t="s">
        <v>212</v>
      </c>
      <c r="B180" s="832"/>
      <c r="C180" s="335"/>
      <c r="D180" s="228" t="s">
        <v>142</v>
      </c>
      <c r="E180" s="95">
        <f>'30'!F180</f>
        <v>5273</v>
      </c>
      <c r="F180" s="155">
        <v>5041</v>
      </c>
      <c r="G180" s="155">
        <f t="shared" si="15"/>
        <v>-232</v>
      </c>
      <c r="H180" s="99">
        <f>G180+'30'!H180</f>
        <v>-232</v>
      </c>
      <c r="I180" s="155"/>
      <c r="J180" s="178">
        <f>H180/DAY(B2)</f>
        <v>-7.4838709677419351</v>
      </c>
    </row>
    <row r="181" spans="1:10" ht="27.75" x14ac:dyDescent="0.5">
      <c r="A181" s="872" t="s">
        <v>108</v>
      </c>
      <c r="B181" s="873"/>
      <c r="C181" s="529"/>
      <c r="D181" s="228" t="s">
        <v>142</v>
      </c>
      <c r="E181" s="95"/>
      <c r="F181" s="155"/>
      <c r="G181" s="155">
        <f>SUM(G178:G180)</f>
        <v>-2965</v>
      </c>
      <c r="H181" s="99">
        <f>G181+'30'!H181</f>
        <v>-2965</v>
      </c>
      <c r="I181" s="155"/>
      <c r="J181" s="178">
        <f>H181/DAY(B2)</f>
        <v>-95.645161290322577</v>
      </c>
    </row>
    <row r="182" spans="1:10" ht="27.75" x14ac:dyDescent="0.5">
      <c r="A182" s="831" t="s">
        <v>213</v>
      </c>
      <c r="B182" s="832"/>
      <c r="C182" s="335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831" t="s">
        <v>214</v>
      </c>
      <c r="B183" s="832"/>
      <c r="C183" s="336"/>
      <c r="D183" s="228" t="s">
        <v>142</v>
      </c>
      <c r="E183" s="95">
        <f>'30'!F183</f>
        <v>14496</v>
      </c>
      <c r="F183" s="157">
        <v>14031</v>
      </c>
      <c r="G183" s="157">
        <f>F183-E183</f>
        <v>-465</v>
      </c>
      <c r="H183" s="99">
        <f>G183+'30'!H183</f>
        <v>-465</v>
      </c>
      <c r="I183" s="155"/>
      <c r="J183" s="178">
        <f>H183/DAY(B2)</f>
        <v>-15</v>
      </c>
    </row>
    <row r="184" spans="1:10" ht="27.75" x14ac:dyDescent="0.5">
      <c r="A184" s="831" t="s">
        <v>215</v>
      </c>
      <c r="B184" s="832"/>
      <c r="C184" s="336"/>
      <c r="D184" s="228" t="s">
        <v>142</v>
      </c>
      <c r="E184" s="95">
        <f>'30'!F184</f>
        <v>10031</v>
      </c>
      <c r="F184" s="157">
        <v>9754</v>
      </c>
      <c r="G184" s="157">
        <f t="shared" ref="G184:G185" si="16">F184-E184</f>
        <v>-277</v>
      </c>
      <c r="H184" s="99">
        <f>G184+'30'!H184</f>
        <v>-277</v>
      </c>
      <c r="I184" s="155"/>
      <c r="J184" s="178">
        <f>H184/DAY(B2)</f>
        <v>-8.935483870967742</v>
      </c>
    </row>
    <row r="185" spans="1:10" ht="27.75" x14ac:dyDescent="0.5">
      <c r="A185" s="831" t="s">
        <v>216</v>
      </c>
      <c r="B185" s="832"/>
      <c r="C185" s="336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867" t="s">
        <v>196</v>
      </c>
      <c r="B186" s="868"/>
      <c r="C186" s="528"/>
      <c r="D186" s="228" t="s">
        <v>142</v>
      </c>
      <c r="E186" s="95"/>
      <c r="F186" s="157"/>
      <c r="G186" s="157">
        <f>SUM(G183:G185)</f>
        <v>-742</v>
      </c>
      <c r="H186" s="99">
        <f>G186+'30'!H186</f>
        <v>-742</v>
      </c>
      <c r="I186" s="157"/>
      <c r="J186" s="178">
        <f>H186/DAY(B2)</f>
        <v>-23.93548387096774</v>
      </c>
    </row>
    <row r="187" spans="1:10" ht="27.75" x14ac:dyDescent="0.5">
      <c r="A187" s="876" t="s">
        <v>217</v>
      </c>
      <c r="B187" s="877"/>
      <c r="C187" s="335"/>
      <c r="D187" s="230" t="s">
        <v>142</v>
      </c>
      <c r="E187" s="95">
        <f>'30'!F187</f>
        <v>0</v>
      </c>
      <c r="F187" s="159"/>
      <c r="G187" s="506">
        <f>G62+G19</f>
        <v>-5314</v>
      </c>
      <c r="H187" s="99">
        <f>G187+'30'!H187</f>
        <v>-5314</v>
      </c>
      <c r="I187" s="158"/>
      <c r="J187" s="179">
        <f>H187/DAY(B2)</f>
        <v>-171.41935483870967</v>
      </c>
    </row>
    <row r="188" spans="1:10" ht="27.75" x14ac:dyDescent="0.5">
      <c r="A188" s="876" t="s">
        <v>218</v>
      </c>
      <c r="B188" s="877"/>
      <c r="C188" s="335"/>
      <c r="D188" s="230" t="s">
        <v>142</v>
      </c>
      <c r="E188" s="95">
        <f>'30'!F188</f>
        <v>0</v>
      </c>
      <c r="F188" s="159"/>
      <c r="G188" s="506">
        <f>G65+G66+G67+G69+G70</f>
        <v>-5344</v>
      </c>
      <c r="H188" s="99">
        <f>G188+'30'!H188</f>
        <v>-7854</v>
      </c>
      <c r="I188" s="158"/>
      <c r="J188" s="179">
        <f>H188/DAY(B2)</f>
        <v>-253.35483870967741</v>
      </c>
    </row>
    <row r="189" spans="1:10" ht="27.75" x14ac:dyDescent="0.5">
      <c r="A189" s="876" t="s">
        <v>219</v>
      </c>
      <c r="B189" s="877"/>
      <c r="C189" s="335"/>
      <c r="D189" s="230" t="s">
        <v>142</v>
      </c>
      <c r="E189" s="95">
        <f>'30'!F189</f>
        <v>0</v>
      </c>
      <c r="F189" s="157"/>
      <c r="G189" s="503">
        <f>G181</f>
        <v>-2965</v>
      </c>
      <c r="H189" s="99">
        <f>G189+'30'!H189</f>
        <v>-4479</v>
      </c>
      <c r="I189" s="158"/>
      <c r="J189" s="179">
        <f>H189/DAY(B2)</f>
        <v>-144.48387096774192</v>
      </c>
    </row>
    <row r="190" spans="1:10" ht="27.75" x14ac:dyDescent="0.5">
      <c r="A190" s="802"/>
      <c r="B190" s="803"/>
      <c r="C190" s="527"/>
      <c r="D190" s="524"/>
      <c r="E190" s="524" t="s">
        <v>207</v>
      </c>
      <c r="F190" s="524"/>
      <c r="G190" s="524"/>
      <c r="H190" s="525"/>
      <c r="I190" s="524"/>
      <c r="J190" s="526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05"/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07" t="s">
        <v>6</v>
      </c>
      <c r="F2" s="707"/>
      <c r="G2" s="707"/>
      <c r="H2" s="713" t="s">
        <v>14</v>
      </c>
      <c r="I2" s="713"/>
      <c r="J2" s="713"/>
      <c r="K2" s="264" t="s">
        <v>15</v>
      </c>
      <c r="L2" s="713" t="s">
        <v>16</v>
      </c>
      <c r="M2" s="713"/>
      <c r="N2" s="713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461284</v>
      </c>
      <c r="E4" s="19">
        <f>'1'!G97</f>
        <v>0.23819260631727698</v>
      </c>
      <c r="F4" s="19">
        <f>'1'!F142</f>
        <v>17478</v>
      </c>
      <c r="G4" s="21">
        <f>E4*F4</f>
        <v>4163.1303732133674</v>
      </c>
      <c r="H4" s="19">
        <f>'1'!G68</f>
        <v>34</v>
      </c>
      <c r="I4" s="19">
        <f>'1'!G69</f>
        <v>10</v>
      </c>
      <c r="J4" s="19">
        <f>'1'!G70</f>
        <v>6</v>
      </c>
      <c r="K4" s="23">
        <f>H4+I4</f>
        <v>44</v>
      </c>
      <c r="L4" s="19">
        <f>'1'!G71</f>
        <v>179</v>
      </c>
      <c r="M4" s="19">
        <f>'1'!G72</f>
        <v>0</v>
      </c>
      <c r="N4" s="19">
        <v>0</v>
      </c>
      <c r="O4" s="23">
        <f>L4+M4+N4</f>
        <v>179</v>
      </c>
    </row>
    <row r="5" spans="1:15" x14ac:dyDescent="0.25">
      <c r="A5" s="16">
        <v>2</v>
      </c>
      <c r="B5" s="26">
        <v>2</v>
      </c>
      <c r="C5" s="26"/>
      <c r="D5" s="19">
        <f>'2'!F8</f>
        <v>482951</v>
      </c>
      <c r="E5" s="19">
        <f>'2'!G96</f>
        <v>4727.1299999999756</v>
      </c>
      <c r="F5" s="19">
        <f>'2'!F123</f>
        <v>134957.85</v>
      </c>
      <c r="G5" s="21">
        <f t="shared" ref="G5:G18" si="0">E5*F5</f>
        <v>637963301.47049677</v>
      </c>
      <c r="H5" s="19">
        <f>'2'!G68</f>
        <v>33</v>
      </c>
      <c r="I5" s="19">
        <f>'2'!G69</f>
        <v>25</v>
      </c>
      <c r="J5" s="19">
        <f>'2'!G70</f>
        <v>21.199999999999818</v>
      </c>
      <c r="K5" s="23">
        <f t="shared" ref="K5:K18" si="1">H5+I5</f>
        <v>58</v>
      </c>
      <c r="L5" s="19">
        <f>'2'!G71</f>
        <v>227.19999999999982</v>
      </c>
      <c r="M5" s="19">
        <f>'2'!G72</f>
        <v>0</v>
      </c>
      <c r="N5" s="19">
        <v>0</v>
      </c>
      <c r="O5" s="23">
        <f t="shared" ref="O5:O18" si="2">L5+M5+N5</f>
        <v>227.19999999999982</v>
      </c>
    </row>
    <row r="6" spans="1:15" x14ac:dyDescent="0.25">
      <c r="A6" s="16">
        <v>3</v>
      </c>
      <c r="B6" s="26">
        <v>3</v>
      </c>
      <c r="C6" s="26"/>
      <c r="D6" s="19">
        <f>'4'!F8</f>
        <v>531902.91</v>
      </c>
      <c r="E6" s="19">
        <f>'3'!G96</f>
        <v>6111.3000000001048</v>
      </c>
      <c r="F6" s="19">
        <f>'3'!F123</f>
        <v>135269.32999999999</v>
      </c>
      <c r="G6" s="21">
        <f t="shared" si="0"/>
        <v>826671456.42901409</v>
      </c>
      <c r="H6" s="19">
        <f>'4'!G68</f>
        <v>39</v>
      </c>
      <c r="I6" s="19">
        <f>'4'!G69</f>
        <v>12</v>
      </c>
      <c r="J6" s="19">
        <f>'4'!G70</f>
        <v>13</v>
      </c>
      <c r="K6" s="23">
        <f t="shared" si="1"/>
        <v>51</v>
      </c>
      <c r="L6" s="19">
        <f>'4'!G71</f>
        <v>234</v>
      </c>
      <c r="M6" s="19">
        <f>'4'!G72</f>
        <v>0</v>
      </c>
      <c r="N6" s="19">
        <v>0</v>
      </c>
      <c r="O6" s="23">
        <f t="shared" si="2"/>
        <v>234</v>
      </c>
    </row>
    <row r="7" spans="1:15" x14ac:dyDescent="0.25">
      <c r="A7" s="16">
        <v>4</v>
      </c>
      <c r="B7" s="27">
        <v>4</v>
      </c>
      <c r="C7" s="27"/>
      <c r="D7" s="19">
        <f>'3'!F8</f>
        <v>506591.27</v>
      </c>
      <c r="E7" s="19">
        <f>'4'!G96</f>
        <v>6927.1499999999942</v>
      </c>
      <c r="F7" s="19">
        <f>'1'!F142</f>
        <v>17478</v>
      </c>
      <c r="G7" s="21">
        <f t="shared" si="0"/>
        <v>121072727.6999999</v>
      </c>
      <c r="H7" s="19">
        <f>'3'!G68</f>
        <v>39</v>
      </c>
      <c r="I7" s="19">
        <f>'3'!G69</f>
        <v>12</v>
      </c>
      <c r="J7" s="19">
        <f>'3'!G70</f>
        <v>2.8000000000001819</v>
      </c>
      <c r="K7" s="23">
        <f t="shared" si="1"/>
        <v>51</v>
      </c>
      <c r="L7" s="19">
        <f>'3'!G71</f>
        <v>198.80000000000018</v>
      </c>
      <c r="M7" s="19">
        <f>'3'!G72</f>
        <v>0</v>
      </c>
      <c r="N7" s="19">
        <v>0</v>
      </c>
      <c r="O7" s="23">
        <f t="shared" si="2"/>
        <v>198.80000000000018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17478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577365.03</v>
      </c>
      <c r="E9" s="19">
        <f>'6'!G96</f>
        <v>5338.6400000000722</v>
      </c>
      <c r="F9" s="19">
        <f>'1'!F142</f>
        <v>17478</v>
      </c>
      <c r="G9" s="21">
        <f t="shared" si="0"/>
        <v>93308749.920001268</v>
      </c>
      <c r="H9" s="19">
        <f>'6'!G68</f>
        <v>42</v>
      </c>
      <c r="I9" s="19">
        <f>'6'!G69</f>
        <v>14</v>
      </c>
      <c r="J9" s="19">
        <f>'6'!G70</f>
        <v>8</v>
      </c>
      <c r="K9" s="23">
        <f t="shared" si="1"/>
        <v>56</v>
      </c>
      <c r="L9" s="19">
        <f>'6'!G71</f>
        <v>193</v>
      </c>
      <c r="M9" s="19">
        <f>'6'!G72</f>
        <v>0</v>
      </c>
      <c r="N9" s="19">
        <v>0</v>
      </c>
      <c r="O9" s="23">
        <f t="shared" si="2"/>
        <v>193</v>
      </c>
    </row>
    <row r="10" spans="1:15" x14ac:dyDescent="0.25">
      <c r="A10" s="16">
        <v>7</v>
      </c>
      <c r="B10" s="26">
        <v>7</v>
      </c>
      <c r="C10" s="27"/>
      <c r="D10" s="19">
        <f>'7'!F8</f>
        <v>602612.55000000005</v>
      </c>
      <c r="E10" s="19">
        <f>'7'!G96</f>
        <v>6499.3400000000256</v>
      </c>
      <c r="F10" s="19">
        <f>'1'!F142</f>
        <v>17478</v>
      </c>
      <c r="G10" s="21">
        <f t="shared" si="0"/>
        <v>113595464.52000044</v>
      </c>
      <c r="H10" s="19">
        <f>'7'!G68</f>
        <v>39</v>
      </c>
      <c r="I10" s="19">
        <f>'7'!G69</f>
        <v>10</v>
      </c>
      <c r="J10" s="19">
        <f>'7'!G70</f>
        <v>13</v>
      </c>
      <c r="K10" s="23">
        <f t="shared" si="1"/>
        <v>49</v>
      </c>
      <c r="L10" s="19">
        <f>'7'!G71</f>
        <v>212</v>
      </c>
      <c r="M10" s="19">
        <f>'7'!G72</f>
        <v>0</v>
      </c>
      <c r="N10" s="19">
        <v>0</v>
      </c>
      <c r="O10" s="23">
        <f t="shared" si="2"/>
        <v>212</v>
      </c>
    </row>
    <row r="11" spans="1:15" x14ac:dyDescent="0.25">
      <c r="A11" s="16">
        <v>8</v>
      </c>
      <c r="B11" s="26">
        <v>8</v>
      </c>
      <c r="C11" s="18"/>
      <c r="D11" s="19">
        <f>'8'!F8</f>
        <v>627354.87</v>
      </c>
      <c r="E11" s="19">
        <f>'8'!G96</f>
        <v>6030.9800000000105</v>
      </c>
      <c r="F11" s="19">
        <f>'1'!F142</f>
        <v>17478</v>
      </c>
      <c r="G11" s="21">
        <f t="shared" si="0"/>
        <v>105409468.44000018</v>
      </c>
      <c r="H11" s="19">
        <f>'8'!G68</f>
        <v>37</v>
      </c>
      <c r="I11" s="19">
        <f>'8'!G69</f>
        <v>9</v>
      </c>
      <c r="J11" s="19">
        <f>'8'!G70</f>
        <v>9</v>
      </c>
      <c r="K11" s="23">
        <f t="shared" si="1"/>
        <v>46</v>
      </c>
      <c r="L11" s="19">
        <f>'8'!G71</f>
        <v>216</v>
      </c>
      <c r="M11" s="19">
        <f>'8'!G72</f>
        <v>0</v>
      </c>
      <c r="N11" s="19">
        <v>0</v>
      </c>
      <c r="O11" s="23">
        <f t="shared" si="2"/>
        <v>216</v>
      </c>
    </row>
    <row r="12" spans="1:15" x14ac:dyDescent="0.25">
      <c r="A12" s="16">
        <v>9</v>
      </c>
      <c r="B12" s="27">
        <v>9</v>
      </c>
      <c r="C12" s="26"/>
      <c r="D12" s="19">
        <f>'9'!F8</f>
        <v>652782</v>
      </c>
      <c r="E12" s="19">
        <f>'9'!G96</f>
        <v>6457.789999999979</v>
      </c>
      <c r="F12" s="19">
        <f>'1'!F142</f>
        <v>17478</v>
      </c>
      <c r="G12" s="21">
        <f t="shared" si="0"/>
        <v>112869253.61999963</v>
      </c>
      <c r="H12" s="19">
        <f>'9'!G68</f>
        <v>56</v>
      </c>
      <c r="I12" s="19">
        <f>'9'!G69</f>
        <v>15</v>
      </c>
      <c r="J12" s="19">
        <f>'9'!G70</f>
        <v>10</v>
      </c>
      <c r="K12" s="23">
        <f t="shared" si="1"/>
        <v>71</v>
      </c>
      <c r="L12" s="19">
        <f>'9'!G71</f>
        <v>261</v>
      </c>
      <c r="M12" s="19">
        <f>'9'!G72</f>
        <v>0</v>
      </c>
      <c r="N12" s="19">
        <v>0</v>
      </c>
      <c r="O12" s="23">
        <f t="shared" si="2"/>
        <v>261</v>
      </c>
    </row>
    <row r="13" spans="1:15" x14ac:dyDescent="0.25">
      <c r="A13" s="16">
        <v>10</v>
      </c>
      <c r="B13" s="27">
        <v>10</v>
      </c>
      <c r="C13" s="26"/>
      <c r="D13" s="19">
        <f>'10'!F8</f>
        <v>677162</v>
      </c>
      <c r="E13" s="19">
        <f>'10'!G96</f>
        <v>6306</v>
      </c>
      <c r="F13" s="19">
        <f>'1'!F142</f>
        <v>17478</v>
      </c>
      <c r="G13" s="21">
        <f t="shared" si="0"/>
        <v>110216268</v>
      </c>
      <c r="H13" s="19">
        <f>'10'!G68</f>
        <v>43</v>
      </c>
      <c r="I13" s="19">
        <f>'10'!G69</f>
        <v>12</v>
      </c>
      <c r="J13" s="19">
        <f>'10'!G70</f>
        <v>15</v>
      </c>
      <c r="K13" s="23">
        <f t="shared" si="1"/>
        <v>55</v>
      </c>
      <c r="L13" s="19">
        <f>'10'!G71</f>
        <v>219</v>
      </c>
      <c r="M13" s="19">
        <f>'10'!G72</f>
        <v>0</v>
      </c>
      <c r="N13" s="19">
        <v>0</v>
      </c>
      <c r="O13" s="23">
        <f t="shared" si="2"/>
        <v>219</v>
      </c>
    </row>
    <row r="14" spans="1:15" x14ac:dyDescent="0.25">
      <c r="A14" s="16">
        <v>11</v>
      </c>
      <c r="B14" s="17">
        <v>11</v>
      </c>
      <c r="C14" s="27"/>
      <c r="D14" s="19">
        <f>'11'!F8</f>
        <v>701603</v>
      </c>
      <c r="E14" s="19">
        <f>'11'!G96</f>
        <v>5467</v>
      </c>
      <c r="F14" s="19">
        <f>'1'!F142</f>
        <v>17478</v>
      </c>
      <c r="G14" s="21">
        <f t="shared" si="0"/>
        <v>95552226</v>
      </c>
      <c r="H14" s="19">
        <f>'11'!G68</f>
        <v>39</v>
      </c>
      <c r="I14" s="19">
        <f>'11'!G69</f>
        <v>8</v>
      </c>
      <c r="J14" s="19">
        <f>'11'!G70</f>
        <v>11</v>
      </c>
      <c r="K14" s="23">
        <f t="shared" si="1"/>
        <v>47</v>
      </c>
      <c r="L14" s="19">
        <f>'11'!G71</f>
        <v>216</v>
      </c>
      <c r="M14" s="19">
        <f>'11'!G72</f>
        <v>0</v>
      </c>
      <c r="N14" s="19">
        <v>0</v>
      </c>
      <c r="O14" s="23">
        <f t="shared" si="2"/>
        <v>216</v>
      </c>
    </row>
    <row r="15" spans="1:15" x14ac:dyDescent="0.25">
      <c r="A15" s="16">
        <v>12</v>
      </c>
      <c r="B15" s="26">
        <v>12</v>
      </c>
      <c r="C15" s="27"/>
      <c r="D15" s="19">
        <f>'12'!F8</f>
        <v>726641</v>
      </c>
      <c r="E15" s="19">
        <f>'12'!G96</f>
        <v>5511</v>
      </c>
      <c r="F15" s="19">
        <f>'1'!F142</f>
        <v>17478</v>
      </c>
      <c r="G15" s="20">
        <f t="shared" si="0"/>
        <v>96321258</v>
      </c>
      <c r="H15" s="19">
        <f>'12'!G68</f>
        <v>44</v>
      </c>
      <c r="I15" s="19">
        <f>'12'!G69</f>
        <v>7</v>
      </c>
      <c r="J15" s="19">
        <f>'12'!G70</f>
        <v>9</v>
      </c>
      <c r="K15" s="23">
        <f t="shared" si="1"/>
        <v>51</v>
      </c>
      <c r="L15" s="19">
        <f>'12'!G71</f>
        <v>219</v>
      </c>
      <c r="M15" s="19">
        <f>'12'!G72</f>
        <v>0</v>
      </c>
      <c r="N15" s="19">
        <v>0</v>
      </c>
      <c r="O15" s="23">
        <f t="shared" si="2"/>
        <v>219</v>
      </c>
    </row>
    <row r="16" spans="1:15" x14ac:dyDescent="0.25">
      <c r="A16" s="16">
        <v>13</v>
      </c>
      <c r="B16" s="26">
        <v>13</v>
      </c>
      <c r="C16" s="26"/>
      <c r="D16" s="19">
        <f>'13'!F8</f>
        <v>750325</v>
      </c>
      <c r="E16" s="19">
        <f>'13'!G96</f>
        <v>5072</v>
      </c>
      <c r="F16" s="19">
        <f>'1'!F142</f>
        <v>17478</v>
      </c>
      <c r="G16" s="20">
        <f t="shared" si="0"/>
        <v>88648416</v>
      </c>
      <c r="H16" s="19">
        <f>'13'!G68</f>
        <v>46</v>
      </c>
      <c r="I16" s="19">
        <f>'13'!G69</f>
        <v>16</v>
      </c>
      <c r="J16" s="19">
        <f>'13'!G70</f>
        <v>14</v>
      </c>
      <c r="K16" s="23">
        <f t="shared" si="1"/>
        <v>62</v>
      </c>
      <c r="L16" s="19">
        <f>'13'!G71</f>
        <v>277</v>
      </c>
      <c r="M16" s="19">
        <f>'13'!G72</f>
        <v>0</v>
      </c>
      <c r="N16" s="19">
        <v>0</v>
      </c>
      <c r="O16" s="23">
        <f t="shared" si="2"/>
        <v>277</v>
      </c>
    </row>
    <row r="17" spans="1:15" x14ac:dyDescent="0.25">
      <c r="A17" s="16">
        <v>14</v>
      </c>
      <c r="B17" s="17">
        <v>14</v>
      </c>
      <c r="C17" s="27"/>
      <c r="D17" s="19">
        <f>'14'!F8</f>
        <v>773384</v>
      </c>
      <c r="E17" s="19">
        <f>'14'!G96</f>
        <v>3919</v>
      </c>
      <c r="F17" s="19">
        <f>'1'!F142</f>
        <v>17478</v>
      </c>
      <c r="G17" s="20">
        <f t="shared" si="0"/>
        <v>68496282</v>
      </c>
      <c r="H17" s="19">
        <f>'14'!G68</f>
        <v>41</v>
      </c>
      <c r="I17" s="19">
        <f>'14'!G69</f>
        <v>8</v>
      </c>
      <c r="J17" s="19">
        <f>'14'!G71</f>
        <v>213</v>
      </c>
      <c r="K17" s="23">
        <f t="shared" si="1"/>
        <v>49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796968</v>
      </c>
      <c r="E18" s="19">
        <f>'15'!G96</f>
        <v>5187</v>
      </c>
      <c r="F18" s="19">
        <f>'1'!F142</f>
        <v>17478</v>
      </c>
      <c r="G18" s="20">
        <f t="shared" si="0"/>
        <v>90658386</v>
      </c>
      <c r="H18" s="19">
        <f>'15'!G68</f>
        <v>38</v>
      </c>
      <c r="I18" s="19">
        <f>'15'!G69</f>
        <v>8</v>
      </c>
      <c r="J18" s="19">
        <f>'15'!G71</f>
        <v>190</v>
      </c>
      <c r="K18" s="23">
        <f t="shared" si="1"/>
        <v>46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zoomScale="50" zoomScaleNormal="50" workbookViewId="0">
      <selection sqref="A1:XFD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12" t="s">
        <v>115</v>
      </c>
      <c r="B1" s="813"/>
      <c r="C1" s="813"/>
      <c r="D1" s="813"/>
      <c r="E1" s="813"/>
      <c r="F1" s="813"/>
      <c r="G1" s="813"/>
      <c r="H1" s="813"/>
      <c r="I1" s="813"/>
      <c r="J1" s="814"/>
    </row>
    <row r="2" spans="1:15" s="57" customFormat="1" ht="27" x14ac:dyDescent="0.5">
      <c r="A2" s="191" t="s">
        <v>303</v>
      </c>
      <c r="B2" s="262">
        <v>44439</v>
      </c>
      <c r="C2" s="326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26" t="s">
        <v>118</v>
      </c>
      <c r="D3" s="219">
        <v>28</v>
      </c>
      <c r="E3" s="821" t="s">
        <v>119</v>
      </c>
      <c r="F3" s="82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26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15" t="s">
        <v>128</v>
      </c>
      <c r="B6" s="816"/>
      <c r="C6" s="81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'30'!F7</f>
        <v>78739.8</v>
      </c>
      <c r="F7" s="95">
        <v>298691</v>
      </c>
      <c r="G7" s="112">
        <f>F7-E7</f>
        <v>219951.2</v>
      </c>
      <c r="H7" s="99">
        <f>G7+'30'!H7</f>
        <v>898217</v>
      </c>
      <c r="I7" s="113">
        <f>'1'!I7</f>
        <v>12000</v>
      </c>
      <c r="J7" s="175">
        <f>H7/DAY(B2)</f>
        <v>28974.741935483871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124629.21</v>
      </c>
      <c r="F8" s="114">
        <v>309572</v>
      </c>
      <c r="G8" s="115">
        <f>F8-E8</f>
        <v>184942.78999999998</v>
      </c>
      <c r="H8" s="99">
        <f>G8+'30'!H8</f>
        <v>871277</v>
      </c>
      <c r="I8" s="116"/>
      <c r="J8" s="175">
        <f>H8/DAY(B2)</f>
        <v>28105.709677419356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v>62756</v>
      </c>
      <c r="F9" s="117">
        <v>82530</v>
      </c>
      <c r="G9" s="112">
        <f>F9-E9</f>
        <v>19774</v>
      </c>
      <c r="H9" s="99">
        <f>G9+'30'!H9</f>
        <v>546693.80000000005</v>
      </c>
      <c r="I9" s="124">
        <f>I7-J7</f>
        <v>-16974.741935483871</v>
      </c>
      <c r="J9" s="175">
        <f>H9/DAY(B2)</f>
        <v>17635.283870967742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'30'!F10</f>
        <v>406082.43</v>
      </c>
      <c r="F10" s="117">
        <v>2607</v>
      </c>
      <c r="G10" s="112">
        <f t="shared" ref="G10:G12" si="0">F10-E10</f>
        <v>-403475.43</v>
      </c>
      <c r="H10" s="99">
        <f>G10+'30'!H10</f>
        <v>-403475.43</v>
      </c>
      <c r="I10" s="282"/>
      <c r="J10" s="175">
        <f>H10/DAY(B2)</f>
        <v>-13015.336451612902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'5'!E11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'5'!E12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-383701.43</v>
      </c>
      <c r="H13" s="99">
        <f>G13+'30'!H13</f>
        <v>121167.5</v>
      </c>
      <c r="I13" s="120">
        <f>G7-G13</f>
        <v>603652.63</v>
      </c>
      <c r="J13" s="175">
        <f>H13/DAY(B2)</f>
        <v>3908.6290322580644</v>
      </c>
      <c r="K13" s="79"/>
      <c r="L13" s="66"/>
      <c r="N13" s="87"/>
      <c r="O13" s="71"/>
    </row>
    <row r="14" spans="1:15" ht="29.25" x14ac:dyDescent="0.5">
      <c r="A14" s="818" t="s">
        <v>137</v>
      </c>
      <c r="B14" s="819"/>
      <c r="C14" s="82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24" t="s">
        <v>138</v>
      </c>
      <c r="B15" s="205"/>
      <c r="C15" s="205"/>
      <c r="D15" s="151" t="s">
        <v>139</v>
      </c>
      <c r="E15" s="123">
        <v>1755781</v>
      </c>
      <c r="F15" s="123">
        <v>1756530</v>
      </c>
      <c r="G15" s="112">
        <f>(F15-E15)</f>
        <v>749</v>
      </c>
      <c r="H15" s="99">
        <f>G15+'30'!H15</f>
        <v>35146.370000000112</v>
      </c>
      <c r="I15" s="113">
        <f>'1'!I15</f>
        <v>800</v>
      </c>
      <c r="J15" s="175">
        <f>H15/DAY(B2)</f>
        <v>1133.7538709677456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-333.75387096774557</v>
      </c>
      <c r="J16" s="176"/>
      <c r="K16" s="79"/>
      <c r="L16" s="66"/>
      <c r="N16" s="87"/>
      <c r="O16" s="71"/>
    </row>
    <row r="17" spans="1:15" ht="29.25" x14ac:dyDescent="0.5">
      <c r="A17" s="818" t="s">
        <v>140</v>
      </c>
      <c r="B17" s="819"/>
      <c r="C17" s="82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09" t="s">
        <v>141</v>
      </c>
      <c r="B18" s="810"/>
      <c r="C18" s="811"/>
      <c r="D18" s="151" t="s">
        <v>142</v>
      </c>
      <c r="E18" s="95">
        <f>'30'!F18</f>
        <v>22</v>
      </c>
      <c r="F18" s="122">
        <v>14</v>
      </c>
      <c r="G18" s="119">
        <f>F18*10</f>
        <v>140</v>
      </c>
      <c r="H18" s="99">
        <f>G18+'30'!H18</f>
        <v>6470</v>
      </c>
      <c r="I18" s="113">
        <f>'1'!I18</f>
        <v>65</v>
      </c>
      <c r="J18" s="175">
        <f>H18/DAY(B2)</f>
        <v>208.70967741935485</v>
      </c>
      <c r="K18" s="79"/>
      <c r="L18" s="66"/>
      <c r="N18" s="87"/>
      <c r="O18" s="71"/>
    </row>
    <row r="19" spans="1:15" ht="27.75" x14ac:dyDescent="0.5">
      <c r="A19" s="809" t="s">
        <v>69</v>
      </c>
      <c r="B19" s="810"/>
      <c r="C19" s="811"/>
      <c r="D19" s="151" t="s">
        <v>142</v>
      </c>
      <c r="E19" s="95">
        <f>'30'!F19</f>
        <v>150584</v>
      </c>
      <c r="F19" s="122">
        <v>145338</v>
      </c>
      <c r="G19" s="112">
        <f t="shared" ref="G19" si="1">F19-E19</f>
        <v>-5246</v>
      </c>
      <c r="H19" s="99">
        <f>G19+'30'!H19</f>
        <v>-5246</v>
      </c>
      <c r="I19" s="337"/>
      <c r="J19" s="175">
        <f>H19/DAY(B2)</f>
        <v>-169.2258064516129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-5106</v>
      </c>
      <c r="H20" s="99">
        <f>G20+'30'!H20</f>
        <v>1224</v>
      </c>
      <c r="I20" s="338">
        <f>I18-J20</f>
        <v>25.516129032258064</v>
      </c>
      <c r="J20" s="175">
        <f>H20/DAY(B2)</f>
        <v>39.483870967741936</v>
      </c>
      <c r="K20" s="79"/>
      <c r="L20" s="66"/>
      <c r="N20" s="87"/>
      <c r="O20" s="71"/>
    </row>
    <row r="21" spans="1:15" ht="29.25" x14ac:dyDescent="0.5">
      <c r="A21" s="818" t="s">
        <v>144</v>
      </c>
      <c r="B21" s="819"/>
      <c r="C21" s="82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24" t="s">
        <v>145</v>
      </c>
      <c r="B22" s="205"/>
      <c r="C22" s="205"/>
      <c r="D22" s="151" t="s">
        <v>146</v>
      </c>
      <c r="E22" s="122">
        <f>'30'!F22</f>
        <v>2970</v>
      </c>
      <c r="F22" s="122">
        <v>2970</v>
      </c>
      <c r="G22" s="119">
        <f t="shared" ref="G22" si="2">(F22-E22)</f>
        <v>0</v>
      </c>
      <c r="H22" s="99">
        <f>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24" t="s">
        <v>147</v>
      </c>
      <c r="B23" s="205"/>
      <c r="C23" s="205"/>
      <c r="D23" s="151" t="s">
        <v>146</v>
      </c>
      <c r="E23" s="122">
        <f>'30'!F23</f>
        <v>2000</v>
      </c>
      <c r="F23" s="122">
        <v>2000</v>
      </c>
      <c r="G23" s="119">
        <v>0</v>
      </c>
      <c r="H23" s="99">
        <f>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122">
        <f>'30'!F24</f>
        <v>4970</v>
      </c>
      <c r="F24" s="128">
        <v>4970</v>
      </c>
      <c r="G24" s="119">
        <v>0</v>
      </c>
      <c r="H24" s="99">
        <f>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23" t="s">
        <v>149</v>
      </c>
      <c r="B25" s="824"/>
      <c r="C25" s="82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184942.78999999998</v>
      </c>
      <c r="F27" s="136">
        <v>9</v>
      </c>
      <c r="G27" s="137">
        <f>E27*F27</f>
        <v>1664485.1099999999</v>
      </c>
      <c r="H27" s="99">
        <f>G27+'30'!H27</f>
        <v>7841493</v>
      </c>
      <c r="I27" s="138"/>
      <c r="J27" s="175">
        <f>H27/DAY(B2)</f>
        <v>252951.38709677418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749</v>
      </c>
      <c r="F28" s="136">
        <v>52</v>
      </c>
      <c r="G28" s="137">
        <f>E28*F28</f>
        <v>38948</v>
      </c>
      <c r="H28" s="99">
        <f>G28+'30'!H28</f>
        <v>1827611.2400000058</v>
      </c>
      <c r="I28" s="140"/>
      <c r="J28" s="175">
        <f>H28/DAY(B2)</f>
        <v>58955.201290322766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-5246</v>
      </c>
      <c r="F30" s="136">
        <v>146</v>
      </c>
      <c r="G30" s="137">
        <f>E30*F30</f>
        <v>-765916</v>
      </c>
      <c r="H30" s="99">
        <f>G30+'30'!H30</f>
        <v>-765916</v>
      </c>
      <c r="I30" s="140"/>
      <c r="J30" s="175">
        <f>H30/DAY(B2)</f>
        <v>-24706.967741935485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517600</v>
      </c>
      <c r="I31" s="140"/>
      <c r="J31" s="175">
        <f>H31/DAY(B2)</f>
        <v>16696.774193548386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948717.10999999987</v>
      </c>
      <c r="H32" s="99">
        <f>G32+'30'!H32</f>
        <v>9420788.2400000058</v>
      </c>
      <c r="I32" s="144"/>
      <c r="J32" s="175">
        <f>H32/DAY(B2)</f>
        <v>303896.39483870985</v>
      </c>
      <c r="K32" s="63"/>
      <c r="L32" s="89"/>
      <c r="N32" s="87"/>
      <c r="O32" s="71"/>
    </row>
    <row r="33" spans="1:15" ht="34.5" customHeight="1" x14ac:dyDescent="0.35">
      <c r="A33" s="826" t="s">
        <v>331</v>
      </c>
      <c r="B33" s="827"/>
      <c r="C33" s="827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28"/>
      <c r="C34" s="328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1058597</v>
      </c>
      <c r="F35" s="145">
        <v>1058597</v>
      </c>
      <c r="G35" s="112">
        <f t="shared" ref="G35:G46" si="3">F35-E35</f>
        <v>0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1165</v>
      </c>
      <c r="F36" s="145">
        <v>1833</v>
      </c>
      <c r="G36" s="112">
        <f t="shared" si="3"/>
        <v>668</v>
      </c>
      <c r="H36" s="99">
        <f>G36+'30'!H36</f>
        <v>90398</v>
      </c>
      <c r="I36" s="95"/>
      <c r="J36" s="175">
        <f>H36/DAY(B2)</f>
        <v>2916.0645161290322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1612</v>
      </c>
      <c r="F37" s="145">
        <v>2775</v>
      </c>
      <c r="G37" s="112">
        <f t="shared" si="3"/>
        <v>1163</v>
      </c>
      <c r="H37" s="99">
        <f>G37+'30'!H37</f>
        <v>1163</v>
      </c>
      <c r="I37" s="95"/>
      <c r="J37" s="175">
        <f>H37/DAY(B2)</f>
        <v>37.516129032258064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3155</v>
      </c>
      <c r="F38" s="108">
        <v>4823</v>
      </c>
      <c r="G38" s="112">
        <f t="shared" si="3"/>
        <v>1668</v>
      </c>
      <c r="H38" s="99">
        <f>G38+'30'!H38</f>
        <v>1668</v>
      </c>
      <c r="I38" s="95"/>
      <c r="J38" s="175">
        <f>H38/DAY(B2)</f>
        <v>53.806451612903224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634029</v>
      </c>
      <c r="F39" s="145">
        <v>637915</v>
      </c>
      <c r="G39" s="112">
        <f t="shared" si="3"/>
        <v>3886</v>
      </c>
      <c r="H39" s="99">
        <f>G39+'30'!H39</f>
        <v>3886</v>
      </c>
      <c r="I39" s="95"/>
      <c r="J39" s="175">
        <f>H39/DAY(B2)</f>
        <v>125.35483870967742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34221</v>
      </c>
      <c r="F40" s="145">
        <v>34599</v>
      </c>
      <c r="G40" s="112">
        <f t="shared" si="3"/>
        <v>378</v>
      </c>
      <c r="H40" s="99">
        <f>G40+'30'!H40</f>
        <v>918.15000000000055</v>
      </c>
      <c r="I40" s="95"/>
      <c r="J40" s="175">
        <f>H40/DAY(B2)</f>
        <v>29.617741935483888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433281.79</v>
      </c>
      <c r="F41" s="145">
        <v>433281.79</v>
      </c>
      <c r="G41" s="112">
        <f t="shared" si="3"/>
        <v>0</v>
      </c>
      <c r="H41" s="99">
        <f>G41+'30'!H41</f>
        <v>599900</v>
      </c>
      <c r="I41" s="95"/>
      <c r="J41" s="175">
        <f>H41/DAY(B2)</f>
        <v>19351.612903225807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170507</v>
      </c>
      <c r="F42" s="145">
        <v>175112</v>
      </c>
      <c r="G42" s="112">
        <f t="shared" si="3"/>
        <v>4605</v>
      </c>
      <c r="H42" s="99">
        <f>G42+'30'!H42</f>
        <v>362265</v>
      </c>
      <c r="I42" s="95"/>
      <c r="J42" s="175">
        <f>H42/DAY(B2)</f>
        <v>11685.967741935483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1287250</v>
      </c>
      <c r="F43" s="145">
        <v>1289745</v>
      </c>
      <c r="G43" s="112">
        <f t="shared" si="3"/>
        <v>2495</v>
      </c>
      <c r="H43" s="99">
        <f>G43+'30'!H43</f>
        <v>1567176</v>
      </c>
      <c r="I43" s="95"/>
      <c r="J43" s="175">
        <f>H43/DAY(B2)</f>
        <v>50554.06451612903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614</v>
      </c>
      <c r="F45" s="145">
        <v>614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187</v>
      </c>
      <c r="F46" s="145">
        <v>187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14863</v>
      </c>
      <c r="H47" s="99">
        <f>G47+'30'!H47</f>
        <v>2627374.15</v>
      </c>
      <c r="I47" s="95"/>
      <c r="J47" s="175">
        <f>H47/DAY(B2)</f>
        <v>84754.004838709676</v>
      </c>
      <c r="K47" s="79"/>
      <c r="L47" s="66"/>
      <c r="N47" s="87"/>
      <c r="O47" s="71"/>
    </row>
    <row r="48" spans="1:15" ht="29.25" x14ac:dyDescent="0.5">
      <c r="A48" s="214" t="s">
        <v>174</v>
      </c>
      <c r="B48" s="328"/>
      <c r="C48" s="328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220513.33</v>
      </c>
      <c r="F49" s="145">
        <v>419822</v>
      </c>
      <c r="G49" s="112">
        <f t="shared" ref="G49:G58" si="4">F49-E49</f>
        <v>199308.67</v>
      </c>
      <c r="H49" s="99">
        <f>G49+'30'!H49</f>
        <v>199308.67</v>
      </c>
      <c r="I49" s="95"/>
      <c r="J49" s="175">
        <f>H49/DAY(B2)</f>
        <v>6429.3119354838718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723223.19</v>
      </c>
      <c r="F50" s="145">
        <v>607298</v>
      </c>
      <c r="G50" s="112">
        <f t="shared" si="4"/>
        <v>-115925.18999999994</v>
      </c>
      <c r="H50" s="99">
        <f>G50+'30'!H50</f>
        <v>623149.81000000006</v>
      </c>
      <c r="I50" s="95"/>
      <c r="J50" s="175">
        <f>H50/DAY(B2)</f>
        <v>20101.606774193551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144640</v>
      </c>
      <c r="G51" s="112">
        <f t="shared" si="4"/>
        <v>144640</v>
      </c>
      <c r="H51" s="99">
        <f>G51+'30'!H51</f>
        <v>144640</v>
      </c>
      <c r="I51" s="95"/>
      <c r="J51" s="175">
        <f>H51/DAY(B2)</f>
        <v>4665.8064516129034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539606</v>
      </c>
      <c r="G52" s="112">
        <f t="shared" si="4"/>
        <v>539606</v>
      </c>
      <c r="H52" s="99">
        <f>G52+'30'!H52</f>
        <v>539606</v>
      </c>
      <c r="I52" s="95"/>
      <c r="J52" s="175">
        <f>H52/DAY(B2)</f>
        <v>17406.645161290322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434232</v>
      </c>
      <c r="G53" s="112">
        <f t="shared" si="4"/>
        <v>434232</v>
      </c>
      <c r="H53" s="99">
        <f>G53+'30'!H53</f>
        <v>434232</v>
      </c>
      <c r="I53" s="95"/>
      <c r="J53" s="175">
        <f>H53/DAY(B2)</f>
        <v>14007.483870967742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3031.28</v>
      </c>
      <c r="F54" s="145">
        <v>14967</v>
      </c>
      <c r="G54" s="112">
        <f t="shared" si="4"/>
        <v>11935.72</v>
      </c>
      <c r="H54" s="99">
        <f>G54+'30'!H54</f>
        <v>11935.72</v>
      </c>
      <c r="I54" s="95"/>
      <c r="J54" s="175">
        <f>H54/DAY(B2)</f>
        <v>385.02322580645159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306268.99</v>
      </c>
      <c r="G55" s="112">
        <f t="shared" si="4"/>
        <v>306268.99</v>
      </c>
      <c r="H55" s="99">
        <f>G55+'30'!H55</f>
        <v>306268.99</v>
      </c>
      <c r="I55" s="95"/>
      <c r="J55" s="175">
        <f>H55/DAY(B2)</f>
        <v>9879.6448387096771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190514.95</v>
      </c>
      <c r="F56" s="145">
        <v>661019</v>
      </c>
      <c r="G56" s="112">
        <f t="shared" si="4"/>
        <v>470504.05</v>
      </c>
      <c r="H56" s="99">
        <f>G56+'30'!H56</f>
        <v>682569.05</v>
      </c>
      <c r="I56" s="95"/>
      <c r="J56" s="175">
        <f>H56/DAY(B2)</f>
        <v>22018.356451612904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7711</v>
      </c>
      <c r="G57" s="112">
        <f t="shared" si="4"/>
        <v>7711</v>
      </c>
      <c r="H57" s="99">
        <f>G57+'30'!H57</f>
        <v>7711</v>
      </c>
      <c r="I57" s="95"/>
      <c r="J57" s="175">
        <f>H57/DAY(B2)</f>
        <v>248.74193548387098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85324.85</v>
      </c>
      <c r="F58" s="145">
        <v>66014</v>
      </c>
      <c r="G58" s="112">
        <f t="shared" si="4"/>
        <v>-19310.850000000006</v>
      </c>
      <c r="H58" s="99">
        <f>G58+'30'!H58</f>
        <v>-19310.850000000006</v>
      </c>
      <c r="I58" s="95"/>
      <c r="J58" s="175">
        <f>H58/DAY(B2)</f>
        <v>-622.9306451612905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1978970.39</v>
      </c>
      <c r="H59" s="99">
        <f>G59+'30'!H59</f>
        <v>2930110.3899999997</v>
      </c>
      <c r="I59" s="95">
        <f>G7-G60</f>
        <v>-1773882.19</v>
      </c>
      <c r="J59" s="175">
        <f>H59/DAY(B2)</f>
        <v>94519.689999999988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1993833.39</v>
      </c>
      <c r="H60" s="99">
        <f>G60+'30'!H60</f>
        <v>5557484.54</v>
      </c>
      <c r="I60" s="95">
        <f>G13-G60</f>
        <v>-2377534.8199999998</v>
      </c>
      <c r="J60" s="175">
        <f>H60/DAY(B2)</f>
        <v>179273.69483870969</v>
      </c>
      <c r="K60" s="79"/>
      <c r="L60" s="66"/>
      <c r="N60" s="87"/>
      <c r="O60" s="71"/>
    </row>
    <row r="61" spans="1:15" s="68" customFormat="1" ht="29.25" customHeight="1" x14ac:dyDescent="0.5">
      <c r="A61" s="828" t="s">
        <v>332</v>
      </c>
      <c r="B61" s="829"/>
      <c r="C61" s="830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09" t="s">
        <v>198</v>
      </c>
      <c r="B62" s="810"/>
      <c r="C62" s="811"/>
      <c r="D62" s="151" t="s">
        <v>142</v>
      </c>
      <c r="E62" s="95">
        <f>'30'!F93</f>
        <v>0</v>
      </c>
      <c r="F62" s="122">
        <v>253452</v>
      </c>
      <c r="G62" s="112">
        <f t="shared" ref="G62:G63" si="5">F62-E62</f>
        <v>253452</v>
      </c>
      <c r="H62" s="99">
        <f>G62+'30'!H93</f>
        <v>253452</v>
      </c>
      <c r="I62" s="118"/>
      <c r="J62" s="175">
        <f>H62/DAY(B2)</f>
        <v>8175.8709677419356</v>
      </c>
      <c r="K62" s="80"/>
      <c r="L62" s="66"/>
      <c r="N62" s="87"/>
      <c r="O62" s="71"/>
    </row>
    <row r="63" spans="1:15" ht="27.75" x14ac:dyDescent="0.5">
      <c r="A63" s="809" t="s">
        <v>199</v>
      </c>
      <c r="B63" s="810"/>
      <c r="C63" s="811"/>
      <c r="D63" s="151" t="s">
        <v>142</v>
      </c>
      <c r="E63" s="95">
        <f>'30'!F94</f>
        <v>0</v>
      </c>
      <c r="F63" s="122">
        <v>197659</v>
      </c>
      <c r="G63" s="112">
        <f t="shared" si="5"/>
        <v>197659</v>
      </c>
      <c r="H63" s="99">
        <f>G63+'30'!H94</f>
        <v>1762340</v>
      </c>
      <c r="I63" s="118"/>
      <c r="J63" s="175">
        <f>H63/DAY(B2)</f>
        <v>56849.677419354841</v>
      </c>
      <c r="K63" s="69"/>
      <c r="L63" s="66"/>
      <c r="N63" s="87"/>
      <c r="O63" s="71"/>
    </row>
    <row r="64" spans="1:15" ht="29.25" x14ac:dyDescent="0.5">
      <c r="A64" s="806" t="s">
        <v>200</v>
      </c>
      <c r="B64" s="807"/>
      <c r="C64" s="808"/>
      <c r="D64" s="151"/>
      <c r="E64" s="122"/>
      <c r="F64" s="122"/>
      <c r="G64" s="112">
        <f>G62+G63</f>
        <v>451111</v>
      </c>
      <c r="H64" s="99">
        <f>G64+'30'!H95</f>
        <v>451176.68787345471</v>
      </c>
      <c r="I64" s="118"/>
      <c r="J64" s="175">
        <f>H64/DAY(B2)</f>
        <v>14554.086705595313</v>
      </c>
      <c r="K64" s="69"/>
      <c r="L64" s="66"/>
      <c r="N64" s="87"/>
      <c r="O64" s="71"/>
    </row>
    <row r="65" spans="1:15" ht="27.75" x14ac:dyDescent="0.5">
      <c r="A65" s="809" t="s">
        <v>201</v>
      </c>
      <c r="B65" s="810"/>
      <c r="C65" s="811"/>
      <c r="D65" s="151" t="s">
        <v>142</v>
      </c>
      <c r="E65" s="95">
        <f>'30'!F96</f>
        <v>0</v>
      </c>
      <c r="F65" s="122">
        <v>421019</v>
      </c>
      <c r="G65" s="112">
        <f t="shared" ref="G65:G70" si="6">F65-E65</f>
        <v>421019</v>
      </c>
      <c r="H65" s="99">
        <f>G65+'30'!H96</f>
        <v>1590644</v>
      </c>
      <c r="I65" s="118"/>
      <c r="J65" s="175">
        <f>H65/DAY(B2)</f>
        <v>51311.096774193546</v>
      </c>
      <c r="K65" s="69"/>
      <c r="L65" s="66"/>
      <c r="N65" s="87"/>
      <c r="O65" s="71"/>
    </row>
    <row r="66" spans="1:15" ht="27.75" x14ac:dyDescent="0.5">
      <c r="A66" s="324" t="s">
        <v>202</v>
      </c>
      <c r="B66" s="325"/>
      <c r="C66" s="325"/>
      <c r="D66" s="151" t="s">
        <v>142</v>
      </c>
      <c r="E66" s="95">
        <f>'30'!F97</f>
        <v>0</v>
      </c>
      <c r="F66" s="122">
        <v>104636</v>
      </c>
      <c r="G66" s="112">
        <f t="shared" si="6"/>
        <v>104636</v>
      </c>
      <c r="H66" s="99">
        <f>G66+'30'!H97</f>
        <v>104685.11989424194</v>
      </c>
      <c r="I66" s="118"/>
      <c r="J66" s="175">
        <f>H66/DAY(B2)</f>
        <v>3376.9393514271596</v>
      </c>
      <c r="K66" s="78"/>
      <c r="L66" s="66"/>
      <c r="N66" s="87"/>
      <c r="O66" s="71"/>
    </row>
    <row r="67" spans="1:15" ht="27.75" x14ac:dyDescent="0.5">
      <c r="A67" s="324" t="s">
        <v>203</v>
      </c>
      <c r="B67" s="325"/>
      <c r="C67" s="325"/>
      <c r="D67" s="151" t="s">
        <v>142</v>
      </c>
      <c r="E67" s="95">
        <f>'30'!F98</f>
        <v>0</v>
      </c>
      <c r="F67" s="122">
        <v>100370</v>
      </c>
      <c r="G67" s="112">
        <f t="shared" si="6"/>
        <v>100370</v>
      </c>
      <c r="H67" s="99">
        <f>G67+'30'!H98</f>
        <v>100370</v>
      </c>
      <c r="I67" s="118"/>
      <c r="J67" s="175">
        <f>H67/DAY(B2)</f>
        <v>3237.7419354838707</v>
      </c>
      <c r="K67" s="81"/>
      <c r="L67" s="66"/>
      <c r="N67" s="87"/>
      <c r="O67" s="71"/>
    </row>
    <row r="68" spans="1:15" ht="27.75" x14ac:dyDescent="0.5">
      <c r="A68" s="324" t="s">
        <v>204</v>
      </c>
      <c r="B68" s="325"/>
      <c r="C68" s="325"/>
      <c r="D68" s="151" t="s">
        <v>142</v>
      </c>
      <c r="E68" s="95">
        <f>'30'!F99</f>
        <v>0</v>
      </c>
      <c r="F68" s="122">
        <v>152135</v>
      </c>
      <c r="G68" s="112">
        <f t="shared" si="6"/>
        <v>152135</v>
      </c>
      <c r="H68" s="99">
        <f>G68+'30'!H99</f>
        <v>152135.23279907493</v>
      </c>
      <c r="I68" s="118"/>
      <c r="J68" s="175">
        <f>H68/DAY(B2)</f>
        <v>4907.5881548088691</v>
      </c>
      <c r="K68" s="69"/>
      <c r="L68" s="66"/>
      <c r="N68" s="87"/>
      <c r="O68" s="71"/>
    </row>
    <row r="69" spans="1:15" ht="27.75" x14ac:dyDescent="0.5">
      <c r="A69" s="324" t="s">
        <v>205</v>
      </c>
      <c r="B69" s="325"/>
      <c r="C69" s="325"/>
      <c r="D69" s="151" t="s">
        <v>142</v>
      </c>
      <c r="E69" s="95">
        <f>'30'!F100</f>
        <v>0</v>
      </c>
      <c r="F69" s="122">
        <v>8645</v>
      </c>
      <c r="G69" s="112">
        <f t="shared" si="6"/>
        <v>8645</v>
      </c>
      <c r="H69" s="99">
        <f>G69+'30'!H100</f>
        <v>8645</v>
      </c>
      <c r="I69" s="118"/>
      <c r="J69" s="175">
        <f>H69/DAY(B2)</f>
        <v>278.87096774193549</v>
      </c>
      <c r="K69" s="69"/>
      <c r="L69" s="66"/>
      <c r="N69" s="87"/>
      <c r="O69" s="71"/>
    </row>
    <row r="70" spans="1:15" ht="27.75" x14ac:dyDescent="0.5">
      <c r="A70" s="324" t="s">
        <v>206</v>
      </c>
      <c r="B70" s="325"/>
      <c r="C70" s="325"/>
      <c r="D70" s="151" t="s">
        <v>142</v>
      </c>
      <c r="E70" s="95">
        <f>'30'!F101</f>
        <v>0</v>
      </c>
      <c r="F70" s="122">
        <v>6373</v>
      </c>
      <c r="G70" s="112">
        <f t="shared" si="6"/>
        <v>6373</v>
      </c>
      <c r="H70" s="99">
        <f>G70+'30'!H101</f>
        <v>6373.1611067534132</v>
      </c>
      <c r="I70" s="118"/>
      <c r="J70" s="175">
        <f>H70/DAY(B2)</f>
        <v>205.5858421533359</v>
      </c>
      <c r="K70" s="69"/>
      <c r="L70" s="66"/>
      <c r="N70" s="87"/>
      <c r="O70" s="71"/>
    </row>
    <row r="71" spans="1:15" ht="29.25" x14ac:dyDescent="0.5">
      <c r="A71" s="806" t="s">
        <v>208</v>
      </c>
      <c r="B71" s="807"/>
      <c r="C71" s="808"/>
      <c r="D71" s="152"/>
      <c r="E71" s="152"/>
      <c r="F71" s="152"/>
      <c r="G71" s="153">
        <f>SUM(G65:G70)</f>
        <v>793178</v>
      </c>
      <c r="H71" s="99">
        <f>G71+'30'!H102</f>
        <v>1621983</v>
      </c>
      <c r="I71" s="154"/>
      <c r="J71" s="175">
        <f>H71/DAY(B2)</f>
        <v>52322.032258064515</v>
      </c>
      <c r="K71" s="69"/>
      <c r="L71" s="66"/>
      <c r="N71" s="87"/>
      <c r="O71" s="71"/>
    </row>
    <row r="72" spans="1:15" s="88" customFormat="1" ht="27.75" x14ac:dyDescent="0.5">
      <c r="A72" s="849"/>
      <c r="B72" s="841"/>
      <c r="C72" s="323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54" t="s">
        <v>333</v>
      </c>
      <c r="B73" s="855"/>
      <c r="C73" s="856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09" t="s">
        <v>220</v>
      </c>
      <c r="B74" s="810"/>
      <c r="C74" s="811"/>
      <c r="D74" s="151" t="s">
        <v>139</v>
      </c>
      <c r="E74" s="95">
        <f>'30'!F124</f>
        <v>0</v>
      </c>
      <c r="F74" s="117">
        <v>856352</v>
      </c>
      <c r="G74" s="112">
        <f t="shared" ref="G74:G78" si="7">F74-E74</f>
        <v>856352</v>
      </c>
      <c r="H74" s="99">
        <f>G74+'30'!H124</f>
        <v>856352</v>
      </c>
      <c r="I74" s="154"/>
      <c r="J74" s="175">
        <f>H74/DAY(B2)</f>
        <v>27624.258064516129</v>
      </c>
      <c r="K74" s="69"/>
      <c r="L74" s="66"/>
      <c r="N74" s="87"/>
      <c r="O74" s="71"/>
    </row>
    <row r="75" spans="1:15" ht="27.75" x14ac:dyDescent="0.5">
      <c r="A75" s="809" t="s">
        <v>221</v>
      </c>
      <c r="B75" s="810"/>
      <c r="C75" s="811"/>
      <c r="D75" s="151" t="s">
        <v>139</v>
      </c>
      <c r="E75" s="95">
        <f>'30'!F125</f>
        <v>0</v>
      </c>
      <c r="F75" s="232">
        <v>73583.399999999994</v>
      </c>
      <c r="G75" s="112">
        <f t="shared" si="7"/>
        <v>73583.399999999994</v>
      </c>
      <c r="H75" s="99">
        <f>G75+'30'!H125</f>
        <v>73583.399999999994</v>
      </c>
      <c r="I75" s="154"/>
      <c r="J75" s="175">
        <f>H75/DAY(B2)</f>
        <v>2373.6580645161289</v>
      </c>
      <c r="K75" s="69"/>
      <c r="L75" s="66"/>
      <c r="N75" s="87"/>
      <c r="O75" s="71"/>
    </row>
    <row r="76" spans="1:15" ht="27.75" x14ac:dyDescent="0.5">
      <c r="A76" s="850" t="s">
        <v>222</v>
      </c>
      <c r="B76" s="836"/>
      <c r="C76" s="837"/>
      <c r="D76" s="151" t="s">
        <v>139</v>
      </c>
      <c r="E76" s="95">
        <f>'30'!F126</f>
        <v>0</v>
      </c>
      <c r="F76" s="117">
        <v>154077</v>
      </c>
      <c r="G76" s="112">
        <f t="shared" si="7"/>
        <v>154077</v>
      </c>
      <c r="H76" s="99">
        <f>G76+'30'!H126</f>
        <v>154077</v>
      </c>
      <c r="I76" s="154"/>
      <c r="J76" s="175">
        <f>H76/DAY(B2)</f>
        <v>4970.2258064516127</v>
      </c>
      <c r="K76" s="69"/>
      <c r="L76" s="66"/>
      <c r="N76" s="87"/>
      <c r="O76" s="71"/>
    </row>
    <row r="77" spans="1:15" ht="27.75" x14ac:dyDescent="0.5">
      <c r="A77" s="850" t="s">
        <v>223</v>
      </c>
      <c r="B77" s="836"/>
      <c r="C77" s="837"/>
      <c r="D77" s="151" t="s">
        <v>139</v>
      </c>
      <c r="E77" s="95">
        <f>'30'!F127</f>
        <v>0</v>
      </c>
      <c r="F77" s="232">
        <v>34629</v>
      </c>
      <c r="G77" s="112">
        <f t="shared" si="7"/>
        <v>34629</v>
      </c>
      <c r="H77" s="99">
        <f>G77+'30'!H127</f>
        <v>34629</v>
      </c>
      <c r="I77" s="154"/>
      <c r="J77" s="175">
        <f>H77/DAY(B2)</f>
        <v>1117.0645161290322</v>
      </c>
      <c r="K77" s="69"/>
      <c r="L77" s="66"/>
      <c r="N77" s="87"/>
      <c r="O77" s="71"/>
    </row>
    <row r="78" spans="1:15" ht="27.75" x14ac:dyDescent="0.5">
      <c r="A78" s="850" t="s">
        <v>224</v>
      </c>
      <c r="B78" s="836"/>
      <c r="C78" s="837"/>
      <c r="D78" s="151" t="s">
        <v>139</v>
      </c>
      <c r="E78" s="95">
        <f>'30'!F128</f>
        <v>27604.37</v>
      </c>
      <c r="F78" s="232">
        <v>9180</v>
      </c>
      <c r="G78" s="112">
        <f t="shared" si="7"/>
        <v>-18424.37</v>
      </c>
      <c r="H78" s="99">
        <f>G78+'30'!H128</f>
        <v>-18424.37</v>
      </c>
      <c r="I78" s="118"/>
      <c r="J78" s="175">
        <f>H78/DAY(B2)</f>
        <v>-594.33451612903218</v>
      </c>
      <c r="K78" s="69"/>
      <c r="L78" s="66"/>
      <c r="N78" s="87"/>
      <c r="O78" s="71"/>
    </row>
    <row r="79" spans="1:15" s="57" customFormat="1" ht="27.75" x14ac:dyDescent="0.5">
      <c r="A79" s="850" t="s">
        <v>225</v>
      </c>
      <c r="B79" s="836"/>
      <c r="C79" s="837"/>
      <c r="D79" s="151"/>
      <c r="E79" s="117"/>
      <c r="F79" s="117"/>
      <c r="G79" s="112">
        <f>G15-SUM(G74:G78)</f>
        <v>-1099468.0299999998</v>
      </c>
      <c r="H79" s="99">
        <f>G79+'30'!H129</f>
        <v>-1099468.0299999998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06" t="s">
        <v>329</v>
      </c>
      <c r="B80" s="807"/>
      <c r="C80" s="808"/>
      <c r="D80" s="151"/>
      <c r="E80" s="117"/>
      <c r="F80" s="117"/>
      <c r="G80" s="112">
        <f>SUM(G74:G79)</f>
        <v>749</v>
      </c>
      <c r="H80" s="99"/>
      <c r="I80" s="118"/>
      <c r="J80" s="175"/>
      <c r="K80" s="59"/>
      <c r="L80" s="58"/>
      <c r="N80" s="87"/>
      <c r="O80" s="71"/>
    </row>
    <row r="81" spans="1:15" ht="29.25" customHeight="1" x14ac:dyDescent="0.4">
      <c r="A81" s="842" t="s">
        <v>226</v>
      </c>
      <c r="B81" s="843"/>
      <c r="C81" s="84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24" t="s">
        <v>227</v>
      </c>
      <c r="B82" s="325"/>
      <c r="C82" s="325"/>
      <c r="D82" s="151" t="s">
        <v>228</v>
      </c>
      <c r="E82" s="95">
        <f>'30'!F131</f>
        <v>9169.35</v>
      </c>
      <c r="F82" s="122"/>
      <c r="G82" s="112">
        <f t="shared" ref="G82:G92" si="8">F82-E82</f>
        <v>-9169.35</v>
      </c>
      <c r="H82" s="99">
        <f>G82+'30'!H131</f>
        <v>-9169.35</v>
      </c>
      <c r="I82" s="118"/>
      <c r="J82" s="175">
        <f>H82/DAY(B2)</f>
        <v>-295.78548387096777</v>
      </c>
      <c r="O82" s="71"/>
    </row>
    <row r="83" spans="1:15" ht="27.75" x14ac:dyDescent="0.5">
      <c r="A83" s="324" t="s">
        <v>229</v>
      </c>
      <c r="B83" s="325"/>
      <c r="C83" s="325"/>
      <c r="D83" s="151" t="s">
        <v>228</v>
      </c>
      <c r="E83" s="95">
        <f>'30'!F132</f>
        <v>26180.240000000002</v>
      </c>
      <c r="F83" s="122"/>
      <c r="G83" s="112">
        <f t="shared" si="8"/>
        <v>-26180.240000000002</v>
      </c>
      <c r="H83" s="99">
        <f>G83+'30'!H132</f>
        <v>-27793.360000000004</v>
      </c>
      <c r="I83" s="118"/>
      <c r="J83" s="175">
        <f>H83/DAY(B2)</f>
        <v>-896.56000000000017</v>
      </c>
      <c r="O83" s="71"/>
    </row>
    <row r="84" spans="1:15" ht="27.75" x14ac:dyDescent="0.5">
      <c r="A84" s="324" t="s">
        <v>230</v>
      </c>
      <c r="B84" s="325"/>
      <c r="C84" s="325"/>
      <c r="D84" s="151" t="s">
        <v>228</v>
      </c>
      <c r="E84" s="95">
        <f>'30'!F133</f>
        <v>63474.42</v>
      </c>
      <c r="F84" s="164">
        <v>40922</v>
      </c>
      <c r="G84" s="112">
        <f t="shared" si="8"/>
        <v>-22552.42</v>
      </c>
      <c r="H84" s="99">
        <f>G84+'30'!H133</f>
        <v>-22552.42</v>
      </c>
      <c r="I84" s="118"/>
      <c r="J84" s="175">
        <f>H84/DAY(B2)</f>
        <v>-727.4974193548386</v>
      </c>
      <c r="O84" s="71"/>
    </row>
    <row r="85" spans="1:15" ht="27.75" x14ac:dyDescent="0.5">
      <c r="A85" s="324" t="s">
        <v>231</v>
      </c>
      <c r="B85" s="325"/>
      <c r="C85" s="325"/>
      <c r="D85" s="151" t="s">
        <v>228</v>
      </c>
      <c r="E85" s="95">
        <f>'30'!F134</f>
        <v>651259</v>
      </c>
      <c r="F85" s="164">
        <v>856</v>
      </c>
      <c r="G85" s="112">
        <f t="shared" si="8"/>
        <v>-650403</v>
      </c>
      <c r="H85" s="99">
        <f>G85+'30'!H134</f>
        <v>-650351</v>
      </c>
      <c r="I85" s="118">
        <f>G82+G83+G84+G85</f>
        <v>-708305.01</v>
      </c>
      <c r="J85" s="175">
        <f>H85/DAY(B2)</f>
        <v>-20979.064516129034</v>
      </c>
      <c r="O85" s="71"/>
    </row>
    <row r="86" spans="1:15" ht="27.75" x14ac:dyDescent="0.5">
      <c r="A86" s="324" t="s">
        <v>232</v>
      </c>
      <c r="B86" s="325"/>
      <c r="C86" s="325"/>
      <c r="D86" s="151" t="s">
        <v>228</v>
      </c>
      <c r="E86" s="95">
        <f>'30'!F135</f>
        <v>0</v>
      </c>
      <c r="F86" s="164">
        <v>42822</v>
      </c>
      <c r="G86" s="112">
        <f t="shared" si="8"/>
        <v>42822</v>
      </c>
      <c r="H86" s="99">
        <f>G86+'30'!H135</f>
        <v>-13393.989999999998</v>
      </c>
      <c r="I86" s="118"/>
      <c r="J86" s="175">
        <f>H86/DAY(B2)</f>
        <v>-432.06419354838704</v>
      </c>
      <c r="O86" s="71"/>
    </row>
    <row r="87" spans="1:15" ht="27.75" x14ac:dyDescent="0.5">
      <c r="A87" s="324" t="s">
        <v>233</v>
      </c>
      <c r="B87" s="325"/>
      <c r="C87" s="325"/>
      <c r="D87" s="151" t="s">
        <v>228</v>
      </c>
      <c r="E87" s="95">
        <f>'30'!F136</f>
        <v>0</v>
      </c>
      <c r="F87" s="164">
        <v>32928</v>
      </c>
      <c r="G87" s="112">
        <f t="shared" si="8"/>
        <v>32928</v>
      </c>
      <c r="H87" s="99">
        <f>G87+'30'!H136</f>
        <v>32928</v>
      </c>
      <c r="I87" s="118"/>
      <c r="J87" s="175">
        <f>H87/DAY(B2)</f>
        <v>1062.1935483870968</v>
      </c>
      <c r="O87" s="71"/>
    </row>
    <row r="88" spans="1:15" ht="27.75" x14ac:dyDescent="0.5">
      <c r="A88" s="324" t="s">
        <v>234</v>
      </c>
      <c r="B88" s="325"/>
      <c r="C88" s="325"/>
      <c r="D88" s="151" t="s">
        <v>228</v>
      </c>
      <c r="E88" s="95">
        <f>'30'!F137</f>
        <v>0</v>
      </c>
      <c r="F88" s="164">
        <v>23356.43</v>
      </c>
      <c r="G88" s="112">
        <f t="shared" si="8"/>
        <v>23356.43</v>
      </c>
      <c r="H88" s="99">
        <f>G88+'30'!H137</f>
        <v>23356.43</v>
      </c>
      <c r="I88" s="118">
        <f>G86+G87+G88</f>
        <v>99106.43</v>
      </c>
      <c r="J88" s="175">
        <f>H88/DAY(B2)</f>
        <v>753.43322580645167</v>
      </c>
      <c r="O88" s="71"/>
    </row>
    <row r="89" spans="1:15" ht="27.75" x14ac:dyDescent="0.5">
      <c r="A89" s="324" t="s">
        <v>235</v>
      </c>
      <c r="B89" s="325"/>
      <c r="C89" s="325"/>
      <c r="D89" s="151" t="s">
        <v>228</v>
      </c>
      <c r="E89" s="95">
        <f>'30'!F138</f>
        <v>861262</v>
      </c>
      <c r="F89" s="164">
        <v>25132.959999999999</v>
      </c>
      <c r="G89" s="112">
        <f t="shared" si="8"/>
        <v>-836129.04</v>
      </c>
      <c r="H89" s="99">
        <f>G89+'30'!H138</f>
        <v>-836129.04</v>
      </c>
      <c r="I89" s="118"/>
      <c r="J89" s="175">
        <f>H89/DAY(B2)</f>
        <v>-26971.904516129034</v>
      </c>
      <c r="O89" s="71"/>
    </row>
    <row r="90" spans="1:15" ht="27.75" x14ac:dyDescent="0.5">
      <c r="A90" s="324" t="s">
        <v>236</v>
      </c>
      <c r="B90" s="325"/>
      <c r="C90" s="325"/>
      <c r="D90" s="151" t="s">
        <v>228</v>
      </c>
      <c r="E90" s="95">
        <f>'30'!F139</f>
        <v>886199</v>
      </c>
      <c r="F90" s="164">
        <v>70524.55</v>
      </c>
      <c r="G90" s="112">
        <f t="shared" si="8"/>
        <v>-815674.45</v>
      </c>
      <c r="H90" s="99">
        <f>G90+'30'!H139</f>
        <v>-815674.45</v>
      </c>
      <c r="I90" s="118">
        <f>G89+G90</f>
        <v>-1651803.49</v>
      </c>
      <c r="J90" s="175">
        <f>H90/DAY(B2)</f>
        <v>-26312.079032258061</v>
      </c>
      <c r="O90" s="71"/>
    </row>
    <row r="91" spans="1:15" ht="27.75" x14ac:dyDescent="0.5">
      <c r="A91" s="324" t="s">
        <v>237</v>
      </c>
      <c r="B91" s="325"/>
      <c r="C91" s="325"/>
      <c r="D91" s="151" t="s">
        <v>228</v>
      </c>
      <c r="E91" s="95">
        <f>'30'!F140</f>
        <v>88849</v>
      </c>
      <c r="F91" s="122">
        <v>2627.98</v>
      </c>
      <c r="G91" s="112">
        <f t="shared" si="8"/>
        <v>-86221.02</v>
      </c>
      <c r="H91" s="99">
        <f>G91+'30'!H140</f>
        <v>-86221.02</v>
      </c>
      <c r="I91" s="165"/>
      <c r="J91" s="175">
        <f>H91/DAY(B2)</f>
        <v>-2781.3232258064518</v>
      </c>
      <c r="O91" s="71"/>
    </row>
    <row r="92" spans="1:15" ht="27.75" x14ac:dyDescent="0.5">
      <c r="A92" s="324" t="s">
        <v>238</v>
      </c>
      <c r="B92" s="325"/>
      <c r="C92" s="325"/>
      <c r="D92" s="151" t="s">
        <v>228</v>
      </c>
      <c r="E92" s="95">
        <f>'30'!F141</f>
        <v>43126.73</v>
      </c>
      <c r="F92" s="122">
        <v>4754</v>
      </c>
      <c r="G92" s="112">
        <f t="shared" si="8"/>
        <v>-38372.730000000003</v>
      </c>
      <c r="H92" s="99">
        <f>G92+'30'!H141</f>
        <v>-38372.730000000003</v>
      </c>
      <c r="I92" s="165"/>
      <c r="J92" s="175">
        <f>H92/DAY(B2)</f>
        <v>-1237.8300000000002</v>
      </c>
      <c r="O92" s="71"/>
    </row>
    <row r="93" spans="1:15" ht="29.25" x14ac:dyDescent="0.5">
      <c r="A93" s="851" t="s">
        <v>239</v>
      </c>
      <c r="B93" s="852"/>
      <c r="C93" s="85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09" t="s">
        <v>240</v>
      </c>
      <c r="B94" s="810"/>
      <c r="C94" s="811"/>
      <c r="D94" s="151" t="s">
        <v>130</v>
      </c>
      <c r="E94" s="151"/>
      <c r="F94" s="151"/>
      <c r="G94" s="99">
        <f>G35+G43+G49+G57</f>
        <v>209514.67</v>
      </c>
      <c r="H94" s="99">
        <f>G94+'30'!H143</f>
        <v>209514.67</v>
      </c>
      <c r="I94" s="118"/>
      <c r="J94" s="175">
        <f>H94/DAY(B2)</f>
        <v>6758.5377419354845</v>
      </c>
      <c r="K94" s="69"/>
      <c r="L94" s="66"/>
      <c r="O94" s="71"/>
    </row>
    <row r="95" spans="1:15" ht="27.75" x14ac:dyDescent="0.5">
      <c r="A95" s="809" t="s">
        <v>241</v>
      </c>
      <c r="B95" s="810"/>
      <c r="C95" s="811"/>
      <c r="D95" s="151" t="s">
        <v>23</v>
      </c>
      <c r="E95" s="146"/>
      <c r="F95" s="146"/>
      <c r="G95" s="166">
        <f>G94/G7</f>
        <v>0.95255070215575088</v>
      </c>
      <c r="H95" s="99">
        <f>G95+'30'!H144</f>
        <v>0.95255070215575088</v>
      </c>
      <c r="I95" s="167"/>
      <c r="J95" s="175">
        <f>H95/DAY(B2)</f>
        <v>3.0727442005024221E-2</v>
      </c>
      <c r="K95" s="69"/>
      <c r="L95" s="66"/>
      <c r="O95" s="71"/>
    </row>
    <row r="96" spans="1:15" ht="27.75" x14ac:dyDescent="0.5">
      <c r="A96" s="809" t="s">
        <v>242</v>
      </c>
      <c r="B96" s="810"/>
      <c r="C96" s="811"/>
      <c r="D96" s="151" t="s">
        <v>130</v>
      </c>
      <c r="E96" s="95"/>
      <c r="F96" s="95"/>
      <c r="G96" s="99">
        <f>G41+G42+G55+G56</f>
        <v>781378.04</v>
      </c>
      <c r="H96" s="99">
        <f>G96+'30'!H145</f>
        <v>781378.04</v>
      </c>
      <c r="I96" s="118"/>
      <c r="J96" s="175">
        <f>H96/DAY(B2)</f>
        <v>25205.743225806455</v>
      </c>
      <c r="K96" s="69"/>
      <c r="L96" s="66"/>
      <c r="O96" s="71"/>
    </row>
    <row r="97" spans="1:15" ht="27.75" x14ac:dyDescent="0.5">
      <c r="A97" s="809" t="s">
        <v>243</v>
      </c>
      <c r="B97" s="810"/>
      <c r="C97" s="811"/>
      <c r="D97" s="151" t="s">
        <v>23</v>
      </c>
      <c r="E97" s="95"/>
      <c r="F97" s="95"/>
      <c r="G97" s="166">
        <f>G96/G7</f>
        <v>3.5525063741411733</v>
      </c>
      <c r="H97" s="99">
        <f>G97+'30'!H146</f>
        <v>3.5525063741411733</v>
      </c>
      <c r="I97" s="167"/>
      <c r="J97" s="175">
        <f>H97/DAY(B2)</f>
        <v>0.1145969798110056</v>
      </c>
      <c r="K97" s="69"/>
      <c r="L97" s="66"/>
      <c r="O97" s="71"/>
    </row>
    <row r="98" spans="1:15" ht="27.75" x14ac:dyDescent="0.5">
      <c r="A98" s="809" t="s">
        <v>244</v>
      </c>
      <c r="B98" s="810"/>
      <c r="C98" s="811"/>
      <c r="D98" s="151" t="s">
        <v>130</v>
      </c>
      <c r="E98" s="95"/>
      <c r="F98" s="95"/>
      <c r="G98" s="99">
        <f>G39+G53</f>
        <v>438118</v>
      </c>
      <c r="H98" s="99">
        <f>G98+'30'!H147</f>
        <v>438118</v>
      </c>
      <c r="I98" s="168"/>
      <c r="J98" s="175">
        <f>H98/DAY(B2)</f>
        <v>14132.838709677419</v>
      </c>
      <c r="K98" s="69"/>
      <c r="L98" s="66"/>
      <c r="O98" s="71"/>
    </row>
    <row r="99" spans="1:15" ht="27.75" x14ac:dyDescent="0.5">
      <c r="A99" s="809" t="s">
        <v>245</v>
      </c>
      <c r="B99" s="810"/>
      <c r="C99" s="811"/>
      <c r="D99" s="151" t="s">
        <v>23</v>
      </c>
      <c r="E99" s="95"/>
      <c r="F99" s="95"/>
      <c r="G99" s="166">
        <f>G98/G7</f>
        <v>1.9918872913628112</v>
      </c>
      <c r="H99" s="99">
        <f>G99+'30'!H148</f>
        <v>1.9918872913628112</v>
      </c>
      <c r="I99" s="168"/>
      <c r="J99" s="175">
        <f>H99/DAY(B2)</f>
        <v>6.425442875363907E-2</v>
      </c>
      <c r="O99" s="71"/>
    </row>
    <row r="100" spans="1:15" ht="27.75" x14ac:dyDescent="0.5">
      <c r="A100" s="809" t="s">
        <v>246</v>
      </c>
      <c r="B100" s="810"/>
      <c r="C100" s="811"/>
      <c r="D100" s="151" t="s">
        <v>180</v>
      </c>
      <c r="E100" s="95"/>
      <c r="F100" s="95"/>
      <c r="G100" s="99">
        <f>G38+G52</f>
        <v>541274</v>
      </c>
      <c r="H100" s="99">
        <f>G100+'30'!H149</f>
        <v>728514</v>
      </c>
      <c r="I100" s="118"/>
      <c r="J100" s="175">
        <f>H100/DAY(B2)</f>
        <v>23500.451612903227</v>
      </c>
      <c r="K100" s="70"/>
      <c r="O100" s="71"/>
    </row>
    <row r="101" spans="1:15" ht="27.75" x14ac:dyDescent="0.5">
      <c r="A101" s="809" t="s">
        <v>247</v>
      </c>
      <c r="B101" s="810"/>
      <c r="C101" s="811"/>
      <c r="D101" s="151" t="s">
        <v>23</v>
      </c>
      <c r="E101" s="95"/>
      <c r="F101" s="95"/>
      <c r="G101" s="166">
        <f>G100/G7</f>
        <v>2.4608822320587476</v>
      </c>
      <c r="H101" s="99">
        <f>G101+'30'!H150</f>
        <v>7167042.4608822316</v>
      </c>
      <c r="I101" s="168"/>
      <c r="J101" s="175">
        <f>H101/DAY(B2)</f>
        <v>231194.91809297522</v>
      </c>
      <c r="O101" s="71"/>
    </row>
    <row r="102" spans="1:15" ht="27.75" x14ac:dyDescent="0.5">
      <c r="A102" s="809" t="s">
        <v>248</v>
      </c>
      <c r="B102" s="810"/>
      <c r="C102" s="811"/>
      <c r="D102" s="151" t="s">
        <v>180</v>
      </c>
      <c r="E102" s="95"/>
      <c r="F102" s="95"/>
      <c r="G102" s="99">
        <f>G36+G50</f>
        <v>-115257.18999999994</v>
      </c>
      <c r="H102" s="99">
        <f>G102+'30'!H156</f>
        <v>-115257.18999999994</v>
      </c>
      <c r="I102" s="168"/>
      <c r="J102" s="175">
        <f>H102/DAY(B2)</f>
        <v>-3717.9738709677399</v>
      </c>
      <c r="O102" s="71"/>
    </row>
    <row r="103" spans="1:15" ht="27.75" x14ac:dyDescent="0.5">
      <c r="A103" s="809" t="s">
        <v>249</v>
      </c>
      <c r="B103" s="810"/>
      <c r="C103" s="811"/>
      <c r="D103" s="151" t="s">
        <v>23</v>
      </c>
      <c r="E103" s="95"/>
      <c r="F103" s="95"/>
      <c r="G103" s="166">
        <f>G102/G7</f>
        <v>-0.52401255369372812</v>
      </c>
      <c r="H103" s="99">
        <f>G103+'30'!H160</f>
        <v>-0.52401255369372812</v>
      </c>
      <c r="I103" s="118"/>
      <c r="J103" s="175">
        <f>H103/DAY(B2)</f>
        <v>-1.690363076431381E-2</v>
      </c>
      <c r="O103" s="71"/>
    </row>
    <row r="104" spans="1:15" ht="27.75" x14ac:dyDescent="0.5">
      <c r="A104" s="809" t="s">
        <v>250</v>
      </c>
      <c r="B104" s="810"/>
      <c r="C104" s="811"/>
      <c r="D104" s="151" t="s">
        <v>180</v>
      </c>
      <c r="E104" s="95"/>
      <c r="F104" s="95"/>
      <c r="G104" s="99">
        <f>G37+G51</f>
        <v>145803</v>
      </c>
      <c r="H104" s="99">
        <f>G104+'30'!H161</f>
        <v>145803</v>
      </c>
      <c r="I104" s="118"/>
      <c r="J104" s="175">
        <f>H104/DAY(B2)</f>
        <v>4703.322580645161</v>
      </c>
      <c r="O104" s="71"/>
    </row>
    <row r="105" spans="1:15" ht="28.5" thickBot="1" x14ac:dyDescent="0.55000000000000004">
      <c r="A105" s="846" t="s">
        <v>251</v>
      </c>
      <c r="B105" s="847"/>
      <c r="C105" s="848"/>
      <c r="D105" s="231" t="s">
        <v>23</v>
      </c>
      <c r="E105" s="185"/>
      <c r="F105" s="185"/>
      <c r="G105" s="186">
        <f>G104/G7</f>
        <v>0.66288794969065867</v>
      </c>
      <c r="H105" s="99">
        <f>G105+'30'!H162</f>
        <v>0.66288794969065867</v>
      </c>
      <c r="I105" s="187"/>
      <c r="J105" s="188">
        <f>H105/DAY(B2)</f>
        <v>2.1383482248085763E-2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29.25" customHeight="1" x14ac:dyDescent="0.55000000000000004">
      <c r="A108" s="860" t="s">
        <v>324</v>
      </c>
      <c r="B108" s="860"/>
      <c r="C108" s="860"/>
      <c r="D108" s="860"/>
      <c r="E108" s="860"/>
      <c r="F108" s="860"/>
      <c r="G108" s="860"/>
      <c r="H108" s="860"/>
      <c r="I108" s="860"/>
      <c r="J108" s="860"/>
    </row>
    <row r="109" spans="1:15" ht="29.25" x14ac:dyDescent="0.5">
      <c r="A109" s="845"/>
      <c r="B109" s="845"/>
    </row>
    <row r="110" spans="1:15" ht="29.25" customHeight="1" x14ac:dyDescent="0.5">
      <c r="A110" s="861" t="s">
        <v>165</v>
      </c>
      <c r="B110" s="862"/>
      <c r="C110" s="862"/>
      <c r="D110" s="862"/>
      <c r="E110" s="862"/>
      <c r="F110" s="862"/>
      <c r="G110" s="862"/>
      <c r="H110" s="862"/>
      <c r="I110" s="862"/>
      <c r="J110" s="863"/>
    </row>
    <row r="111" spans="1:15" ht="29.25" customHeight="1" x14ac:dyDescent="0.5">
      <c r="A111" s="864"/>
      <c r="B111" s="865"/>
      <c r="C111" s="866"/>
      <c r="D111" s="165"/>
      <c r="E111" s="165"/>
      <c r="F111" s="165"/>
      <c r="G111" s="165"/>
      <c r="H111" s="156"/>
      <c r="I111" s="165"/>
      <c r="J111" s="329"/>
    </row>
    <row r="112" spans="1:15" ht="29.25" customHeight="1" x14ac:dyDescent="0.5">
      <c r="A112" s="839" t="s">
        <v>252</v>
      </c>
      <c r="B112" s="840"/>
      <c r="C112" s="841"/>
      <c r="D112" s="146" t="s">
        <v>183</v>
      </c>
      <c r="E112" s="237">
        <v>0</v>
      </c>
      <c r="F112" s="237">
        <v>38434</v>
      </c>
      <c r="G112" s="112">
        <f t="shared" ref="G112:G123" si="9">F112-E112</f>
        <v>38434</v>
      </c>
      <c r="H112" s="99">
        <f>G112+'30'!H169</f>
        <v>38434</v>
      </c>
      <c r="I112" s="165"/>
      <c r="J112" s="330" t="e">
        <f t="shared" ref="J112:J123" si="10">H112/DAY(B31)</f>
        <v>#DIV/0!</v>
      </c>
    </row>
    <row r="113" spans="1:18" ht="29.25" customHeight="1" x14ac:dyDescent="0.5">
      <c r="A113" s="839" t="s">
        <v>253</v>
      </c>
      <c r="B113" s="840"/>
      <c r="C113" s="841"/>
      <c r="D113" s="146" t="s">
        <v>183</v>
      </c>
      <c r="E113" s="237">
        <v>0</v>
      </c>
      <c r="F113" s="237">
        <v>94790</v>
      </c>
      <c r="G113" s="112">
        <f t="shared" si="9"/>
        <v>94790</v>
      </c>
      <c r="H113" s="99">
        <f>G113+'30'!H170</f>
        <v>94790</v>
      </c>
      <c r="I113" s="165"/>
      <c r="J113" s="330" t="e">
        <f t="shared" si="10"/>
        <v>#DIV/0!</v>
      </c>
    </row>
    <row r="114" spans="1:18" ht="29.25" customHeight="1" x14ac:dyDescent="0.5">
      <c r="A114" s="839" t="s">
        <v>254</v>
      </c>
      <c r="B114" s="840"/>
      <c r="C114" s="841"/>
      <c r="D114" s="146" t="s">
        <v>183</v>
      </c>
      <c r="E114" s="237">
        <v>0</v>
      </c>
      <c r="F114" s="237">
        <v>44933</v>
      </c>
      <c r="G114" s="112">
        <f t="shared" si="9"/>
        <v>44933</v>
      </c>
      <c r="H114" s="99">
        <f>G114+'30'!H171</f>
        <v>44933</v>
      </c>
      <c r="I114" s="165"/>
      <c r="J114" s="330" t="e">
        <f t="shared" si="10"/>
        <v>#DIV/0!</v>
      </c>
    </row>
    <row r="115" spans="1:18" ht="29.25" customHeight="1" x14ac:dyDescent="0.5">
      <c r="A115" s="839" t="s">
        <v>255</v>
      </c>
      <c r="B115" s="840"/>
      <c r="C115" s="841"/>
      <c r="D115" s="146" t="s">
        <v>183</v>
      </c>
      <c r="E115" s="237">
        <v>0</v>
      </c>
      <c r="F115" s="237">
        <v>6560</v>
      </c>
      <c r="G115" s="112">
        <f t="shared" si="9"/>
        <v>6560</v>
      </c>
      <c r="H115" s="99">
        <f>G115+'30'!H172</f>
        <v>6560</v>
      </c>
      <c r="I115" s="165"/>
      <c r="J115" s="330" t="e">
        <f t="shared" si="10"/>
        <v>#DIV/0!</v>
      </c>
    </row>
    <row r="116" spans="1:18" ht="29.25" customHeight="1" x14ac:dyDescent="0.5">
      <c r="A116" s="857" t="s">
        <v>96</v>
      </c>
      <c r="B116" s="858"/>
      <c r="C116" s="859"/>
      <c r="D116" s="146" t="s">
        <v>183</v>
      </c>
      <c r="E116" s="237">
        <v>0</v>
      </c>
      <c r="F116" s="237">
        <v>44933</v>
      </c>
      <c r="G116" s="112">
        <f t="shared" si="9"/>
        <v>44933</v>
      </c>
      <c r="H116" s="99">
        <f>G116+'30'!H173</f>
        <v>44933</v>
      </c>
      <c r="I116" s="165"/>
      <c r="J116" s="330" t="e">
        <f t="shared" si="10"/>
        <v>#DIV/0!</v>
      </c>
      <c r="Q116" s="839" t="s">
        <v>311</v>
      </c>
      <c r="R116" s="841"/>
    </row>
    <row r="117" spans="1:18" ht="29.25" customHeight="1" x14ac:dyDescent="0.5">
      <c r="A117" s="857" t="s">
        <v>184</v>
      </c>
      <c r="B117" s="858"/>
      <c r="C117" s="859"/>
      <c r="D117" s="146" t="s">
        <v>183</v>
      </c>
      <c r="E117" s="237">
        <v>0</v>
      </c>
      <c r="F117" s="237">
        <v>44933</v>
      </c>
      <c r="G117" s="112">
        <f t="shared" si="9"/>
        <v>44933</v>
      </c>
      <c r="H117" s="99">
        <f>G117+'30'!H174</f>
        <v>44939</v>
      </c>
      <c r="I117" s="165"/>
      <c r="J117" s="330" t="e">
        <f t="shared" si="10"/>
        <v>#DIV/0!</v>
      </c>
      <c r="Q117" s="839" t="s">
        <v>312</v>
      </c>
      <c r="R117" s="841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237">
        <v>0</v>
      </c>
      <c r="F118" s="237">
        <v>44933</v>
      </c>
      <c r="G118" s="112">
        <f t="shared" si="9"/>
        <v>44933</v>
      </c>
      <c r="H118" s="99">
        <f>G118+'30'!H175</f>
        <v>44933</v>
      </c>
      <c r="I118" s="165"/>
      <c r="J118" s="330" t="e">
        <f t="shared" si="10"/>
        <v>#DIV/0!</v>
      </c>
      <c r="Q118" s="839" t="s">
        <v>311</v>
      </c>
      <c r="R118" s="841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237">
        <v>0</v>
      </c>
      <c r="F119" s="237">
        <v>44933</v>
      </c>
      <c r="G119" s="112">
        <f t="shared" si="9"/>
        <v>44933</v>
      </c>
      <c r="H119" s="99">
        <f>G119+'30'!H176</f>
        <v>44939</v>
      </c>
      <c r="I119" s="165"/>
      <c r="J119" s="330" t="e">
        <f t="shared" si="10"/>
        <v>#DIV/0!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237">
        <v>0</v>
      </c>
      <c r="F120" s="237">
        <v>44933</v>
      </c>
      <c r="G120" s="112">
        <f t="shared" si="9"/>
        <v>44933</v>
      </c>
      <c r="H120" s="99">
        <f>G120+'30'!H177</f>
        <v>44933</v>
      </c>
      <c r="I120" s="165"/>
      <c r="J120" s="330" t="e">
        <f t="shared" si="10"/>
        <v>#DIV/0!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237">
        <v>0</v>
      </c>
      <c r="F121" s="237">
        <v>44933</v>
      </c>
      <c r="G121" s="112">
        <f t="shared" si="9"/>
        <v>44933</v>
      </c>
      <c r="H121" s="99">
        <f>G121+'30'!H178</f>
        <v>44933</v>
      </c>
      <c r="I121" s="165"/>
      <c r="J121" s="330" t="e">
        <f t="shared" si="10"/>
        <v>#DIV/0!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237">
        <v>0</v>
      </c>
      <c r="F122" s="237">
        <v>44933</v>
      </c>
      <c r="G122" s="112">
        <f t="shared" si="9"/>
        <v>44933</v>
      </c>
      <c r="H122" s="99">
        <f>G122+'30'!H179</f>
        <v>44933</v>
      </c>
      <c r="I122" s="165"/>
      <c r="J122" s="330" t="e">
        <f t="shared" si="10"/>
        <v>#DIV/0!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237">
        <v>0</v>
      </c>
      <c r="F123" s="237">
        <v>44933</v>
      </c>
      <c r="G123" s="112">
        <f t="shared" si="9"/>
        <v>44933</v>
      </c>
      <c r="H123" s="99">
        <f>G123+'30'!H180</f>
        <v>44933</v>
      </c>
      <c r="I123" s="165"/>
      <c r="J123" s="330" t="e">
        <f t="shared" si="10"/>
        <v>#DIV/0!</v>
      </c>
    </row>
    <row r="124" spans="1:18" ht="29.25" customHeight="1" x14ac:dyDescent="0.5">
      <c r="A124" s="864"/>
      <c r="B124" s="865"/>
      <c r="C124" s="866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70"/>
      <c r="B125" s="870"/>
      <c r="C125" s="245"/>
      <c r="D125" s="307"/>
      <c r="E125" s="308"/>
      <c r="F125" s="308"/>
      <c r="G125" s="309"/>
      <c r="H125" s="156"/>
      <c r="I125" s="165"/>
      <c r="J125" s="329"/>
    </row>
    <row r="126" spans="1:18" ht="27.75" x14ac:dyDescent="0.5">
      <c r="A126" s="869" t="s">
        <v>317</v>
      </c>
      <c r="B126" s="869"/>
      <c r="C126" s="869"/>
      <c r="D126" s="869"/>
      <c r="E126" s="869"/>
      <c r="F126" s="869"/>
      <c r="G126" s="869"/>
      <c r="H126" s="869"/>
      <c r="I126" s="869"/>
      <c r="J126" s="869"/>
    </row>
    <row r="127" spans="1:18" ht="27.75" x14ac:dyDescent="0.5">
      <c r="A127" s="870"/>
      <c r="B127" s="870"/>
      <c r="C127" s="245"/>
      <c r="D127" s="307"/>
      <c r="E127" s="308"/>
      <c r="F127" s="308"/>
      <c r="G127" s="309"/>
      <c r="H127" s="99">
        <f>G127+'30'!H184</f>
        <v>0</v>
      </c>
      <c r="I127" s="165"/>
      <c r="J127" s="330" t="e">
        <f t="shared" ref="J127:J135" si="11">H127/DAY(B46)</f>
        <v>#DIV/0!</v>
      </c>
    </row>
    <row r="128" spans="1:18" ht="29.25" customHeight="1" x14ac:dyDescent="0.5">
      <c r="A128" s="839" t="s">
        <v>318</v>
      </c>
      <c r="B128" s="840"/>
      <c r="C128" s="841"/>
      <c r="D128" s="151" t="s">
        <v>183</v>
      </c>
      <c r="E128" s="95">
        <f>'30'!F185</f>
        <v>0</v>
      </c>
      <c r="F128" s="165"/>
      <c r="G128" s="112">
        <f t="shared" ref="G128:G133" si="12">F128-E128</f>
        <v>0</v>
      </c>
      <c r="H128" s="99">
        <f>G128+'30'!H185</f>
        <v>0</v>
      </c>
      <c r="I128" s="165"/>
      <c r="J128" s="330" t="e">
        <f t="shared" si="11"/>
        <v>#DIV/0!</v>
      </c>
    </row>
    <row r="129" spans="1:15" ht="29.25" customHeight="1" x14ac:dyDescent="0.5">
      <c r="A129" s="331" t="s">
        <v>319</v>
      </c>
      <c r="B129" s="332"/>
      <c r="C129" s="333"/>
      <c r="D129" s="151" t="s">
        <v>183</v>
      </c>
      <c r="E129" s="95">
        <f>'30'!F186</f>
        <v>0</v>
      </c>
      <c r="F129" s="165"/>
      <c r="G129" s="112">
        <f t="shared" si="12"/>
        <v>0</v>
      </c>
      <c r="H129" s="99">
        <f>G129+'30'!H186</f>
        <v>0</v>
      </c>
      <c r="I129" s="165"/>
      <c r="J129" s="330" t="e">
        <f t="shared" si="11"/>
        <v>#DIV/0!</v>
      </c>
      <c r="N129" s="240"/>
      <c r="O129" s="241"/>
    </row>
    <row r="130" spans="1:15" ht="29.25" customHeight="1" x14ac:dyDescent="0.5">
      <c r="A130" s="331" t="s">
        <v>320</v>
      </c>
      <c r="B130" s="332"/>
      <c r="C130" s="333"/>
      <c r="D130" s="151" t="s">
        <v>183</v>
      </c>
      <c r="E130" s="95">
        <f>'30'!F187</f>
        <v>0</v>
      </c>
      <c r="F130" s="165"/>
      <c r="G130" s="112">
        <f t="shared" si="12"/>
        <v>0</v>
      </c>
      <c r="H130" s="99">
        <f>G130+'30'!H187</f>
        <v>0</v>
      </c>
      <c r="I130" s="165"/>
      <c r="J130" s="330" t="e">
        <f t="shared" si="11"/>
        <v>#DIV/0!</v>
      </c>
      <c r="N130" s="240"/>
      <c r="O130" s="241"/>
    </row>
    <row r="131" spans="1:15" ht="29.25" customHeight="1" x14ac:dyDescent="0.5">
      <c r="A131" s="839" t="s">
        <v>321</v>
      </c>
      <c r="B131" s="840"/>
      <c r="C131" s="841"/>
      <c r="D131" s="151" t="s">
        <v>183</v>
      </c>
      <c r="E131" s="95">
        <f>'30'!F188</f>
        <v>0</v>
      </c>
      <c r="F131" s="165"/>
      <c r="G131" s="112">
        <f t="shared" si="12"/>
        <v>0</v>
      </c>
      <c r="H131" s="99">
        <f>G131+'30'!H188</f>
        <v>-2510</v>
      </c>
      <c r="I131" s="165"/>
      <c r="J131" s="330" t="e">
        <f t="shared" si="11"/>
        <v>#DIV/0!</v>
      </c>
      <c r="N131" s="240"/>
      <c r="O131" s="241"/>
    </row>
    <row r="132" spans="1:15" ht="29.25" customHeight="1" x14ac:dyDescent="0.5">
      <c r="A132" s="839" t="s">
        <v>322</v>
      </c>
      <c r="B132" s="840"/>
      <c r="C132" s="841"/>
      <c r="D132" s="151" t="s">
        <v>183</v>
      </c>
      <c r="E132" s="95">
        <f>'30'!F189</f>
        <v>0</v>
      </c>
      <c r="F132" s="165"/>
      <c r="G132" s="112">
        <f t="shared" si="12"/>
        <v>0</v>
      </c>
      <c r="H132" s="99">
        <f>G132+'30'!H189</f>
        <v>-1514</v>
      </c>
      <c r="I132" s="165"/>
      <c r="J132" s="330" t="e">
        <f t="shared" si="11"/>
        <v>#DIV/0!</v>
      </c>
    </row>
    <row r="133" spans="1:15" ht="29.25" customHeight="1" x14ac:dyDescent="0.5">
      <c r="A133" s="839" t="s">
        <v>323</v>
      </c>
      <c r="B133" s="840"/>
      <c r="C133" s="841"/>
      <c r="D133" s="151" t="s">
        <v>183</v>
      </c>
      <c r="E133" s="95">
        <f>'30'!F190</f>
        <v>52948.703000000001</v>
      </c>
      <c r="F133" s="165"/>
      <c r="G133" s="112">
        <f t="shared" si="12"/>
        <v>-52948.703000000001</v>
      </c>
      <c r="H133" s="99">
        <f>G133+'30'!H190</f>
        <v>-52948.703000000001</v>
      </c>
      <c r="I133" s="165"/>
      <c r="J133" s="330" t="e">
        <f t="shared" si="11"/>
        <v>#DIV/0!</v>
      </c>
    </row>
    <row r="134" spans="1:15" ht="29.25" customHeight="1" x14ac:dyDescent="0.5">
      <c r="A134" s="864"/>
      <c r="B134" s="865"/>
      <c r="C134" s="866"/>
      <c r="D134" s="151"/>
      <c r="E134" s="95"/>
      <c r="F134" s="165"/>
      <c r="G134" s="112"/>
      <c r="H134" s="99">
        <f>G134+'30'!H191</f>
        <v>0</v>
      </c>
      <c r="I134" s="165"/>
      <c r="J134" s="330" t="e">
        <f t="shared" si="11"/>
        <v>#DIV/0!</v>
      </c>
    </row>
    <row r="135" spans="1:15" ht="29.25" customHeight="1" x14ac:dyDescent="0.5">
      <c r="A135" s="864"/>
      <c r="B135" s="865"/>
      <c r="C135" s="866"/>
      <c r="D135" s="151"/>
      <c r="E135" s="95"/>
      <c r="F135" s="165"/>
      <c r="G135" s="112"/>
      <c r="H135" s="99">
        <f>G135+'30'!H192</f>
        <v>0</v>
      </c>
      <c r="I135" s="165"/>
      <c r="J135" s="330" t="e">
        <f t="shared" si="11"/>
        <v>#DIV/0!</v>
      </c>
    </row>
    <row r="136" spans="1:15" ht="35.25" customHeight="1" x14ac:dyDescent="0.55000000000000004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'30'!F195</f>
        <v>0</v>
      </c>
      <c r="F138" s="147">
        <v>857022</v>
      </c>
      <c r="G138" s="112">
        <f t="shared" ref="G138:G150" si="13">F138-E138</f>
        <v>857022</v>
      </c>
      <c r="H138" s="99">
        <f>G138+'30'!H195</f>
        <v>857022</v>
      </c>
      <c r="I138" s="118"/>
      <c r="J138" s="330" t="e">
        <f>H138/DAY(B77)</f>
        <v>#DIV/0!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'30'!F196</f>
        <v>0</v>
      </c>
      <c r="F139" s="148">
        <v>886051</v>
      </c>
      <c r="G139" s="112">
        <f t="shared" si="13"/>
        <v>886051</v>
      </c>
      <c r="H139" s="99">
        <f>G139+'30'!H196</f>
        <v>886051</v>
      </c>
      <c r="I139" s="118"/>
      <c r="J139" s="330" t="e">
        <f>H139/DAY(B77)</f>
        <v>#DIV/0!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'30'!F197</f>
        <v>0</v>
      </c>
      <c r="F140" s="149">
        <v>88776</v>
      </c>
      <c r="G140" s="112">
        <f t="shared" si="13"/>
        <v>88776</v>
      </c>
      <c r="H140" s="99">
        <f>G140+'30'!H197</f>
        <v>88776</v>
      </c>
      <c r="I140" s="118"/>
      <c r="J140" s="330" t="e">
        <f>H140/DAY(B77)</f>
        <v>#DIV/0!</v>
      </c>
    </row>
    <row r="141" spans="1:15" ht="27.75" x14ac:dyDescent="0.5">
      <c r="A141" s="838" t="s">
        <v>188</v>
      </c>
      <c r="B141" s="838"/>
      <c r="C141" s="838"/>
      <c r="D141" s="151" t="s">
        <v>183</v>
      </c>
      <c r="E141" s="95">
        <f>'30'!F198</f>
        <v>0</v>
      </c>
      <c r="F141" s="149">
        <v>26308</v>
      </c>
      <c r="G141" s="112">
        <f t="shared" si="13"/>
        <v>26308</v>
      </c>
      <c r="H141" s="99">
        <f>G141+'30'!H198</f>
        <v>26308</v>
      </c>
      <c r="I141" s="118"/>
      <c r="J141" s="330" t="e">
        <f>H141/DAY(B77)</f>
        <v>#DIV/0!</v>
      </c>
    </row>
    <row r="142" spans="1:15" ht="27.75" x14ac:dyDescent="0.5">
      <c r="A142" s="838" t="s">
        <v>189</v>
      </c>
      <c r="B142" s="838"/>
      <c r="C142" s="838"/>
      <c r="D142" s="151" t="s">
        <v>183</v>
      </c>
      <c r="E142" s="95">
        <f>'30'!F199</f>
        <v>0</v>
      </c>
      <c r="F142" s="148">
        <v>13277</v>
      </c>
      <c r="G142" s="112">
        <f t="shared" si="13"/>
        <v>13277</v>
      </c>
      <c r="H142" s="99">
        <f>G142+'30'!H199</f>
        <v>13277</v>
      </c>
      <c r="I142" s="140"/>
      <c r="J142" s="330" t="e">
        <f>H142/DAY(B77)</f>
        <v>#DIV/0!</v>
      </c>
    </row>
    <row r="143" spans="1:15" ht="27.75" x14ac:dyDescent="0.5">
      <c r="A143" s="834" t="s">
        <v>190</v>
      </c>
      <c r="B143" s="834"/>
      <c r="C143" s="834"/>
      <c r="D143" s="151" t="s">
        <v>183</v>
      </c>
      <c r="E143" s="95">
        <f>'30'!F200</f>
        <v>0</v>
      </c>
      <c r="F143" s="149">
        <v>708289</v>
      </c>
      <c r="G143" s="112">
        <f t="shared" si="13"/>
        <v>708289</v>
      </c>
      <c r="H143" s="99">
        <f>G143+'30'!H200</f>
        <v>708289</v>
      </c>
      <c r="I143" s="140"/>
      <c r="J143" s="330" t="e">
        <f>H143/DAY(B77)</f>
        <v>#DIV/0!</v>
      </c>
    </row>
    <row r="144" spans="1:15" ht="27.75" x14ac:dyDescent="0.5">
      <c r="A144" s="835" t="s">
        <v>191</v>
      </c>
      <c r="B144" s="836"/>
      <c r="C144" s="837"/>
      <c r="D144" s="151" t="s">
        <v>183</v>
      </c>
      <c r="E144" s="95">
        <f>'30'!F201</f>
        <v>0</v>
      </c>
      <c r="F144" s="149">
        <v>682413</v>
      </c>
      <c r="G144" s="112">
        <f t="shared" si="13"/>
        <v>682413</v>
      </c>
      <c r="H144" s="99">
        <f>G144+'30'!H201</f>
        <v>682413</v>
      </c>
      <c r="I144" s="140"/>
      <c r="J144" s="330" t="e">
        <f>H144/DAY(B77)</f>
        <v>#DIV/0!</v>
      </c>
    </row>
    <row r="145" spans="1:10" ht="27.75" x14ac:dyDescent="0.5">
      <c r="A145" s="838" t="s">
        <v>90</v>
      </c>
      <c r="B145" s="838"/>
      <c r="C145" s="838"/>
      <c r="D145" s="152" t="s">
        <v>183</v>
      </c>
      <c r="E145" s="95">
        <f>'30'!F202</f>
        <v>0</v>
      </c>
      <c r="F145" s="149">
        <v>845049</v>
      </c>
      <c r="G145" s="112">
        <f t="shared" si="13"/>
        <v>845049</v>
      </c>
      <c r="H145" s="99">
        <f>G145+'30'!H202</f>
        <v>845049</v>
      </c>
      <c r="I145" s="140"/>
      <c r="J145" s="330" t="e">
        <f>H145/DAY(B77)</f>
        <v>#DIV/0!</v>
      </c>
    </row>
    <row r="146" spans="1:10" ht="27.75" x14ac:dyDescent="0.5">
      <c r="A146" s="838" t="s">
        <v>192</v>
      </c>
      <c r="B146" s="838"/>
      <c r="C146" s="838"/>
      <c r="D146" s="152" t="s">
        <v>183</v>
      </c>
      <c r="E146" s="95">
        <f>'30'!F203</f>
        <v>0</v>
      </c>
      <c r="F146" s="148">
        <v>564298</v>
      </c>
      <c r="G146" s="112">
        <f t="shared" si="13"/>
        <v>564298</v>
      </c>
      <c r="H146" s="99">
        <f>G146+'30'!H203</f>
        <v>564298</v>
      </c>
      <c r="I146" s="140"/>
      <c r="J146" s="330" t="e">
        <f>H146/DAY(B77)</f>
        <v>#DIV/0!</v>
      </c>
    </row>
    <row r="147" spans="1:10" ht="27.75" x14ac:dyDescent="0.5">
      <c r="A147" s="838" t="s">
        <v>193</v>
      </c>
      <c r="B147" s="838"/>
      <c r="C147" s="838"/>
      <c r="D147" s="152" t="s">
        <v>183</v>
      </c>
      <c r="E147" s="95">
        <f>'30'!F204</f>
        <v>0</v>
      </c>
      <c r="F147" s="148">
        <v>654178</v>
      </c>
      <c r="G147" s="112">
        <f t="shared" si="13"/>
        <v>654178</v>
      </c>
      <c r="H147" s="99">
        <f>G147+'30'!H204</f>
        <v>654178</v>
      </c>
      <c r="I147" s="140"/>
      <c r="J147" s="330" t="e">
        <f>H147/DAY(B77)</f>
        <v>#DIV/0!</v>
      </c>
    </row>
    <row r="148" spans="1:10" ht="27.75" x14ac:dyDescent="0.5">
      <c r="A148" s="838" t="s">
        <v>91</v>
      </c>
      <c r="B148" s="838"/>
      <c r="C148" s="838"/>
      <c r="D148" s="123" t="s">
        <v>130</v>
      </c>
      <c r="E148" s="95">
        <f>'30'!F205</f>
        <v>0</v>
      </c>
      <c r="F148" s="150">
        <v>109925</v>
      </c>
      <c r="G148" s="112">
        <f t="shared" si="13"/>
        <v>109925</v>
      </c>
      <c r="H148" s="99">
        <f>G148+'30'!H205</f>
        <v>109925</v>
      </c>
      <c r="I148" s="124"/>
      <c r="J148" s="330" t="e">
        <f>H148/DAY(B77)</f>
        <v>#DIV/0!</v>
      </c>
    </row>
    <row r="149" spans="1:10" ht="27.75" x14ac:dyDescent="0.5">
      <c r="A149" s="838" t="s">
        <v>194</v>
      </c>
      <c r="B149" s="838"/>
      <c r="C149" s="838"/>
      <c r="D149" s="227" t="s">
        <v>130</v>
      </c>
      <c r="E149" s="95">
        <f>'30'!F206</f>
        <v>0</v>
      </c>
      <c r="F149" s="146">
        <v>44323</v>
      </c>
      <c r="G149" s="112">
        <f t="shared" si="13"/>
        <v>44323</v>
      </c>
      <c r="H149" s="99">
        <f>G149+'30'!H206</f>
        <v>44323</v>
      </c>
      <c r="I149" s="119"/>
      <c r="J149" s="330" t="e">
        <f>H149/DAY(B77)</f>
        <v>#DIV/0!</v>
      </c>
    </row>
    <row r="150" spans="1:10" ht="29.25" x14ac:dyDescent="0.5">
      <c r="A150" s="327" t="s">
        <v>195</v>
      </c>
      <c r="B150" s="190"/>
      <c r="C150" s="190"/>
      <c r="D150" s="117" t="s">
        <v>130</v>
      </c>
      <c r="E150" s="95">
        <f>'30'!F207</f>
        <v>0</v>
      </c>
      <c r="F150" s="233">
        <v>570379</v>
      </c>
      <c r="G150" s="112">
        <f t="shared" si="13"/>
        <v>570379</v>
      </c>
      <c r="H150" s="99">
        <f>G150+'30'!H207</f>
        <v>570379</v>
      </c>
      <c r="I150" s="119"/>
      <c r="J150" s="330" t="e">
        <f>H150/DAY(B77)</f>
        <v>#DIV/0!</v>
      </c>
    </row>
    <row r="151" spans="1:10" ht="29.25" x14ac:dyDescent="0.5"/>
    <row r="152" spans="1:10" ht="31.5" x14ac:dyDescent="0.55000000000000004">
      <c r="A152" s="871" t="s">
        <v>326</v>
      </c>
      <c r="B152" s="871"/>
      <c r="C152" s="871"/>
      <c r="D152" s="871"/>
      <c r="E152" s="871"/>
      <c r="F152" s="871"/>
      <c r="G152" s="871"/>
      <c r="H152" s="871"/>
      <c r="I152" s="871"/>
      <c r="J152" s="871"/>
    </row>
    <row r="153" spans="1:10" ht="29.25" x14ac:dyDescent="0.5">
      <c r="A153" s="242" t="s">
        <v>92</v>
      </c>
      <c r="B153" s="243"/>
      <c r="C153" s="243"/>
      <c r="D153" s="244" t="s">
        <v>180</v>
      </c>
      <c r="E153" s="95">
        <f>'30'!F210</f>
        <v>0</v>
      </c>
      <c r="F153" s="235">
        <v>463315</v>
      </c>
      <c r="G153" s="238">
        <f t="shared" ref="G153:G157" si="14">F153-E153</f>
        <v>463315</v>
      </c>
      <c r="H153" s="99">
        <f>G153+'30'!H210</f>
        <v>463315</v>
      </c>
      <c r="I153" s="236"/>
      <c r="J153" s="239" t="e">
        <f>H153/DAY(B92)</f>
        <v>#DIV/0!</v>
      </c>
    </row>
    <row r="154" spans="1:10" ht="29.25" x14ac:dyDescent="0.5">
      <c r="A154" s="242" t="s">
        <v>93</v>
      </c>
      <c r="B154" s="243"/>
      <c r="C154" s="243"/>
      <c r="D154" s="244" t="s">
        <v>180</v>
      </c>
      <c r="E154" s="95">
        <f>'30'!F211</f>
        <v>0</v>
      </c>
      <c r="F154" s="235">
        <v>83899</v>
      </c>
      <c r="G154" s="238">
        <f t="shared" si="14"/>
        <v>83899</v>
      </c>
      <c r="H154" s="99">
        <f>G154+'30'!H211</f>
        <v>83899</v>
      </c>
      <c r="I154" s="236"/>
      <c r="J154" s="239" t="e">
        <f>H154/DAY(B92)</f>
        <v>#DIV/0!</v>
      </c>
    </row>
    <row r="155" spans="1:10" ht="29.25" x14ac:dyDescent="0.5">
      <c r="A155" s="242" t="s">
        <v>197</v>
      </c>
      <c r="B155" s="243"/>
      <c r="C155" s="243"/>
      <c r="D155" s="244" t="s">
        <v>180</v>
      </c>
      <c r="E155" s="95">
        <f>'30'!F213</f>
        <v>0</v>
      </c>
      <c r="F155" s="235">
        <v>69089</v>
      </c>
      <c r="G155" s="238">
        <f t="shared" si="14"/>
        <v>69089</v>
      </c>
      <c r="H155" s="99">
        <f>G155+'30'!H213</f>
        <v>69089</v>
      </c>
      <c r="I155" s="236"/>
      <c r="J155" s="239" t="e">
        <f>H155/DAY(B92)</f>
        <v>#DIV/0!</v>
      </c>
    </row>
    <row r="156" spans="1:10" ht="29.25" x14ac:dyDescent="0.5">
      <c r="A156" s="242" t="s">
        <v>197</v>
      </c>
      <c r="B156" s="243"/>
      <c r="C156" s="243"/>
      <c r="D156" s="244" t="s">
        <v>180</v>
      </c>
      <c r="E156" s="95">
        <f>'30'!F214</f>
        <v>0</v>
      </c>
      <c r="F156" s="235">
        <v>3611</v>
      </c>
      <c r="G156" s="238">
        <f t="shared" si="14"/>
        <v>3611</v>
      </c>
      <c r="H156" s="99">
        <f>G156+'30'!H214</f>
        <v>3611</v>
      </c>
      <c r="I156" s="236"/>
      <c r="J156" s="239" t="e">
        <f>H156/DAY(B92)</f>
        <v>#DIV/0!</v>
      </c>
    </row>
    <row r="157" spans="1:10" ht="29.25" x14ac:dyDescent="0.5">
      <c r="A157" s="242" t="s">
        <v>309</v>
      </c>
      <c r="B157" s="243"/>
      <c r="C157" s="243"/>
      <c r="D157" s="244" t="s">
        <v>180</v>
      </c>
      <c r="E157" s="95">
        <f>'30'!F215</f>
        <v>0</v>
      </c>
      <c r="F157" s="235">
        <v>28746</v>
      </c>
      <c r="G157" s="238">
        <f t="shared" si="14"/>
        <v>28746</v>
      </c>
      <c r="H157" s="99">
        <f>G157+'30'!H215</f>
        <v>28746</v>
      </c>
      <c r="I157" s="236"/>
      <c r="J157" s="239" t="e">
        <f>H157/DAY(B92)</f>
        <v>#DIV/0!</v>
      </c>
    </row>
    <row r="158" spans="1:10" ht="29.25" x14ac:dyDescent="0.5">
      <c r="A158" s="870" t="s">
        <v>328</v>
      </c>
      <c r="B158" s="870"/>
      <c r="C158" s="246"/>
      <c r="D158" s="244" t="s">
        <v>180</v>
      </c>
      <c r="E158" s="165"/>
      <c r="F158" s="165"/>
      <c r="G158" s="165"/>
      <c r="H158" s="156"/>
      <c r="I158" s="165"/>
      <c r="J158" s="329"/>
    </row>
    <row r="159" spans="1:10" ht="29.25" x14ac:dyDescent="0.5">
      <c r="A159" s="870" t="s">
        <v>327</v>
      </c>
      <c r="B159" s="870"/>
      <c r="C159" s="246"/>
      <c r="D159" s="244" t="s">
        <v>180</v>
      </c>
      <c r="E159" s="165"/>
      <c r="F159" s="165"/>
      <c r="G159" s="165"/>
      <c r="H159" s="156"/>
      <c r="I159" s="165"/>
      <c r="J159" s="329"/>
    </row>
    <row r="160" spans="1:10" ht="29.25" x14ac:dyDescent="0.5">
      <c r="A160" s="870" t="s">
        <v>328</v>
      </c>
      <c r="B160" s="870"/>
      <c r="C160" s="246"/>
      <c r="D160" s="244" t="s">
        <v>180</v>
      </c>
      <c r="E160" s="165"/>
      <c r="F160" s="165"/>
      <c r="G160" s="165"/>
      <c r="H160" s="156"/>
      <c r="I160" s="165"/>
      <c r="J160" s="329"/>
    </row>
    <row r="161" spans="1:10" ht="29.25" x14ac:dyDescent="0.5"/>
    <row r="162" spans="1:10" ht="29.25" x14ac:dyDescent="0.5"/>
    <row r="163" spans="1:10" ht="34.5" customHeight="1" x14ac:dyDescent="0.35">
      <c r="A163" s="878" t="s">
        <v>330</v>
      </c>
      <c r="B163" s="879"/>
      <c r="C163" s="879"/>
      <c r="D163" s="879"/>
      <c r="E163" s="879"/>
      <c r="F163" s="879"/>
      <c r="G163" s="879"/>
      <c r="H163" s="879"/>
      <c r="I163" s="879"/>
      <c r="J163" s="880"/>
    </row>
    <row r="164" spans="1:10" ht="27.75" x14ac:dyDescent="0.5">
      <c r="A164" s="874"/>
      <c r="B164" s="875"/>
      <c r="C164" s="334"/>
      <c r="D164" s="228"/>
      <c r="E164" s="155"/>
      <c r="F164" s="155"/>
      <c r="G164" s="155"/>
      <c r="H164" s="156"/>
      <c r="I164" s="155"/>
      <c r="J164" s="178"/>
    </row>
    <row r="165" spans="1:10" ht="27.75" x14ac:dyDescent="0.5">
      <c r="A165" s="831" t="s">
        <v>209</v>
      </c>
      <c r="B165" s="832"/>
      <c r="C165" s="335"/>
      <c r="D165" s="228" t="s">
        <v>142</v>
      </c>
      <c r="E165" s="155">
        <f>'30'!F222</f>
        <v>0</v>
      </c>
      <c r="F165" s="155">
        <v>7961</v>
      </c>
      <c r="G165" s="155">
        <f>F165-E165</f>
        <v>7961</v>
      </c>
      <c r="H165" s="99">
        <f>G165+'30'!H222</f>
        <v>7961</v>
      </c>
      <c r="I165" s="155"/>
      <c r="J165" s="178" t="e">
        <f>H165/DAY(B93)</f>
        <v>#DIV/0!</v>
      </c>
    </row>
    <row r="166" spans="1:10" ht="27.75" x14ac:dyDescent="0.5">
      <c r="A166" s="831" t="s">
        <v>75</v>
      </c>
      <c r="B166" s="832"/>
      <c r="C166" s="335"/>
      <c r="D166" s="228" t="s">
        <v>142</v>
      </c>
      <c r="E166" s="155">
        <f>'30'!F223</f>
        <v>0</v>
      </c>
      <c r="F166" s="157">
        <v>36765</v>
      </c>
      <c r="G166" s="155">
        <f t="shared" ref="G166:G167" si="15">F166-E166</f>
        <v>36765</v>
      </c>
      <c r="H166" s="99">
        <f>G166+'30'!H223</f>
        <v>36765</v>
      </c>
      <c r="I166" s="155"/>
      <c r="J166" s="178" t="e">
        <f>H166/DAY(B93)</f>
        <v>#DIV/0!</v>
      </c>
    </row>
    <row r="167" spans="1:10" ht="27.75" x14ac:dyDescent="0.5">
      <c r="A167" s="831" t="s">
        <v>76</v>
      </c>
      <c r="B167" s="833"/>
      <c r="C167" s="832"/>
      <c r="D167" s="228" t="s">
        <v>142</v>
      </c>
      <c r="E167" s="155">
        <f>'30'!F224</f>
        <v>0</v>
      </c>
      <c r="F167" s="155">
        <v>20214</v>
      </c>
      <c r="G167" s="155">
        <f t="shared" si="15"/>
        <v>20214</v>
      </c>
      <c r="H167" s="99">
        <f>G167+'30'!H224</f>
        <v>20214</v>
      </c>
      <c r="I167" s="155"/>
      <c r="J167" s="178" t="e">
        <f>H167/DAY(B93)</f>
        <v>#DIV/0!</v>
      </c>
    </row>
    <row r="168" spans="1:10" ht="27.75" x14ac:dyDescent="0.5">
      <c r="A168" s="831" t="s">
        <v>196</v>
      </c>
      <c r="B168" s="832"/>
      <c r="C168" s="335"/>
      <c r="D168" s="228"/>
      <c r="E168" s="155"/>
      <c r="F168" s="155"/>
      <c r="G168" s="155">
        <f>SUM(G165:G167)</f>
        <v>64940</v>
      </c>
      <c r="H168" s="99">
        <f>G168+'30'!H225</f>
        <v>64940</v>
      </c>
      <c r="I168" s="155"/>
      <c r="J168" s="178" t="e">
        <f>H168/DAY(B93)</f>
        <v>#DIV/0!</v>
      </c>
    </row>
    <row r="169" spans="1:10" ht="27.75" x14ac:dyDescent="0.5">
      <c r="A169" s="831" t="s">
        <v>77</v>
      </c>
      <c r="B169" s="832"/>
      <c r="C169" s="335"/>
      <c r="D169" s="228" t="s">
        <v>142</v>
      </c>
      <c r="E169" s="155"/>
      <c r="F169" s="155"/>
      <c r="G169" s="155"/>
      <c r="H169" s="99">
        <f>G169+'30'!H226</f>
        <v>0</v>
      </c>
      <c r="I169" s="155"/>
      <c r="J169" s="178"/>
    </row>
    <row r="170" spans="1:10" ht="27.75" x14ac:dyDescent="0.5">
      <c r="A170" s="831" t="s">
        <v>210</v>
      </c>
      <c r="B170" s="832"/>
      <c r="C170" s="335"/>
      <c r="D170" s="228" t="s">
        <v>142</v>
      </c>
      <c r="E170" s="155">
        <f>'30'!F227</f>
        <v>0</v>
      </c>
      <c r="F170" s="155">
        <v>69524</v>
      </c>
      <c r="G170" s="155">
        <f>F170-E170</f>
        <v>69524</v>
      </c>
      <c r="H170" s="99">
        <f>G170+'30'!H227</f>
        <v>69524</v>
      </c>
      <c r="I170" s="155"/>
      <c r="J170" s="178" t="e">
        <f>H170/DAY(B93)</f>
        <v>#DIV/0!</v>
      </c>
    </row>
    <row r="171" spans="1:10" ht="27.75" x14ac:dyDescent="0.5">
      <c r="A171" s="831" t="s">
        <v>211</v>
      </c>
      <c r="B171" s="832"/>
      <c r="C171" s="335"/>
      <c r="D171" s="228" t="s">
        <v>142</v>
      </c>
      <c r="E171" s="155">
        <f>'30'!F228</f>
        <v>0</v>
      </c>
      <c r="F171" s="155">
        <v>33886</v>
      </c>
      <c r="G171" s="155">
        <f t="shared" ref="G171:G172" si="16">F171-E171</f>
        <v>33886</v>
      </c>
      <c r="H171" s="99">
        <f>G171+'30'!H228</f>
        <v>33886</v>
      </c>
      <c r="I171" s="155"/>
      <c r="J171" s="178" t="e">
        <f>H171/DAY(B93)</f>
        <v>#DIV/0!</v>
      </c>
    </row>
    <row r="172" spans="1:10" ht="27.75" x14ac:dyDescent="0.5">
      <c r="A172" s="831" t="s">
        <v>212</v>
      </c>
      <c r="B172" s="832"/>
      <c r="C172" s="335"/>
      <c r="D172" s="228" t="s">
        <v>142</v>
      </c>
      <c r="E172" s="155">
        <f>'30'!F229</f>
        <v>0</v>
      </c>
      <c r="F172" s="155">
        <v>4788</v>
      </c>
      <c r="G172" s="155">
        <f t="shared" si="16"/>
        <v>4788</v>
      </c>
      <c r="H172" s="99">
        <f>G172+'30'!H229</f>
        <v>4788</v>
      </c>
      <c r="I172" s="155"/>
      <c r="J172" s="178" t="e">
        <f>H172/DAY(B93)</f>
        <v>#DIV/0!</v>
      </c>
    </row>
    <row r="173" spans="1:10" ht="27.75" x14ac:dyDescent="0.5">
      <c r="A173" s="876" t="s">
        <v>108</v>
      </c>
      <c r="B173" s="877"/>
      <c r="C173" s="335"/>
      <c r="D173" s="228"/>
      <c r="E173" s="155"/>
      <c r="F173" s="155"/>
      <c r="G173" s="155">
        <f>SUM(G170:G172)</f>
        <v>108198</v>
      </c>
      <c r="H173" s="99">
        <f>G173+'30'!H230</f>
        <v>108198</v>
      </c>
      <c r="I173" s="155"/>
      <c r="J173" s="178" t="e">
        <f>H173/DAY(B93)</f>
        <v>#DIV/0!</v>
      </c>
    </row>
    <row r="174" spans="1:10" ht="27.75" x14ac:dyDescent="0.5">
      <c r="A174" s="831" t="s">
        <v>213</v>
      </c>
      <c r="B174" s="832"/>
      <c r="C174" s="335"/>
      <c r="D174" s="228"/>
      <c r="E174" s="155"/>
      <c r="F174" s="155"/>
      <c r="G174" s="155"/>
      <c r="H174" s="99">
        <f>G174+'30'!H231</f>
        <v>0</v>
      </c>
      <c r="I174" s="155"/>
      <c r="J174" s="178" t="e">
        <f>H174/DAY(B93)</f>
        <v>#DIV/0!</v>
      </c>
    </row>
    <row r="175" spans="1:10" ht="27.75" x14ac:dyDescent="0.5">
      <c r="A175" s="831" t="s">
        <v>214</v>
      </c>
      <c r="B175" s="832"/>
      <c r="C175" s="336"/>
      <c r="D175" s="228" t="s">
        <v>142</v>
      </c>
      <c r="E175" s="155">
        <f>'30'!F232</f>
        <v>0</v>
      </c>
      <c r="F175" s="157">
        <v>13038</v>
      </c>
      <c r="G175" s="157">
        <f>F175-E175</f>
        <v>13038</v>
      </c>
      <c r="H175" s="99">
        <f>G175+'30'!H232</f>
        <v>13038</v>
      </c>
      <c r="I175" s="155"/>
      <c r="J175" s="178" t="e">
        <f>H175/DAY(B93)</f>
        <v>#DIV/0!</v>
      </c>
    </row>
    <row r="176" spans="1:10" ht="27.75" x14ac:dyDescent="0.5">
      <c r="A176" s="831" t="s">
        <v>215</v>
      </c>
      <c r="B176" s="832"/>
      <c r="C176" s="336"/>
      <c r="D176" s="228" t="s">
        <v>142</v>
      </c>
      <c r="E176" s="155">
        <f>'30'!F233</f>
        <v>0</v>
      </c>
      <c r="F176" s="157">
        <v>9126</v>
      </c>
      <c r="G176" s="157">
        <f t="shared" ref="G176:G177" si="17">F176-E176</f>
        <v>9126</v>
      </c>
      <c r="H176" s="99">
        <f>G176+'30'!H233</f>
        <v>9126</v>
      </c>
      <c r="I176" s="155"/>
      <c r="J176" s="178" t="e">
        <f>H176/DAY(B93)</f>
        <v>#DIV/0!</v>
      </c>
    </row>
    <row r="177" spans="1:10" ht="27.75" x14ac:dyDescent="0.5">
      <c r="A177" s="831" t="s">
        <v>216</v>
      </c>
      <c r="B177" s="832"/>
      <c r="C177" s="336"/>
      <c r="D177" s="228" t="s">
        <v>142</v>
      </c>
      <c r="E177" s="157"/>
      <c r="F177" s="157"/>
      <c r="G177" s="157">
        <f t="shared" si="17"/>
        <v>0</v>
      </c>
      <c r="H177" s="99">
        <f>G177+'30'!H234</f>
        <v>0</v>
      </c>
      <c r="I177" s="155"/>
      <c r="J177" s="178" t="e">
        <f>H177/DAY(B93)</f>
        <v>#DIV/0!</v>
      </c>
    </row>
    <row r="178" spans="1:10" ht="27.75" x14ac:dyDescent="0.5">
      <c r="A178" s="831" t="s">
        <v>196</v>
      </c>
      <c r="B178" s="832"/>
      <c r="C178" s="336"/>
      <c r="D178" s="229"/>
      <c r="E178" s="157"/>
      <c r="F178" s="157"/>
      <c r="G178" s="157">
        <f>SUM(G175:G177)</f>
        <v>22164</v>
      </c>
      <c r="H178" s="99">
        <f>G178+'30'!H235</f>
        <v>22164</v>
      </c>
      <c r="I178" s="157"/>
      <c r="J178" s="178" t="e">
        <f>H178/DAY(B93)</f>
        <v>#DIV/0!</v>
      </c>
    </row>
    <row r="179" spans="1:10" ht="27.75" x14ac:dyDescent="0.5">
      <c r="A179" s="876" t="s">
        <v>217</v>
      </c>
      <c r="B179" s="877"/>
      <c r="C179" s="335"/>
      <c r="D179" s="230" t="s">
        <v>142</v>
      </c>
      <c r="E179" s="159"/>
      <c r="F179" s="159"/>
      <c r="G179" s="159">
        <f>SUM(G110+G153)</f>
        <v>463315</v>
      </c>
      <c r="H179" s="99">
        <f>G179+'30'!H236</f>
        <v>463315</v>
      </c>
      <c r="I179" s="158"/>
      <c r="J179" s="179" t="e">
        <f>H179/DAY(B93)</f>
        <v>#DIV/0!</v>
      </c>
    </row>
    <row r="180" spans="1:10" ht="27.75" x14ac:dyDescent="0.5">
      <c r="A180" s="876" t="s">
        <v>218</v>
      </c>
      <c r="B180" s="877"/>
      <c r="C180" s="335"/>
      <c r="D180" s="230" t="s">
        <v>142</v>
      </c>
      <c r="E180" s="159"/>
      <c r="F180" s="159"/>
      <c r="G180" s="159">
        <f>SUM(G156,G157,G158,G160,G161)</f>
        <v>32357</v>
      </c>
      <c r="H180" s="99">
        <f>G180+'30'!H237</f>
        <v>32357</v>
      </c>
      <c r="I180" s="158"/>
      <c r="J180" s="179" t="e">
        <f>H180/DAY(B93)</f>
        <v>#DIV/0!</v>
      </c>
    </row>
    <row r="181" spans="1:10" ht="27.75" x14ac:dyDescent="0.5">
      <c r="A181" s="876" t="s">
        <v>219</v>
      </c>
      <c r="B181" s="877"/>
      <c r="C181" s="335"/>
      <c r="D181" s="230" t="s">
        <v>142</v>
      </c>
      <c r="E181" s="157"/>
      <c r="F181" s="157"/>
      <c r="G181" s="157">
        <f>SUM(G173)</f>
        <v>108198</v>
      </c>
      <c r="H181" s="99">
        <f>G181+'30'!H238</f>
        <v>108198</v>
      </c>
      <c r="I181" s="158"/>
      <c r="J181" s="179" t="e">
        <f>H181/DAY(B93)</f>
        <v>#DIV/0!</v>
      </c>
    </row>
    <row r="182" spans="1:10" ht="27.75" x14ac:dyDescent="0.5">
      <c r="A182" s="876"/>
      <c r="B182" s="877"/>
      <c r="C182" s="335"/>
      <c r="D182" s="180"/>
      <c r="E182" s="180" t="s">
        <v>207</v>
      </c>
      <c r="F182" s="180"/>
      <c r="G182" s="180"/>
      <c r="H182" s="181"/>
      <c r="I182" s="180"/>
      <c r="J182" s="182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2021-12-30T09:11:05Z</dcterms:modified>
</cp:coreProperties>
</file>