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98" documentId="13_ncr:1_{76C55D63-F869-4AF5-AAA3-3D809A91432B}" xr6:coauthVersionLast="47" xr6:coauthVersionMax="47" xr10:uidLastSave="{68AF38EB-8402-4F25-A5DC-337757CD4194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<sst xmlns="http://schemas.openxmlformats.org/spreadsheetml/2006/main" count="72" uniqueCount="33">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</sst>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1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154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17907.500000001164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2530</v>
      </c>
      <c r="J11" s="93">
        <v>0.21186441</v>
      </c>
      <c r="K11" s="11">
        <f>IF('Water, Gas, Diesel'!F15&lt;0,0,'Water, Gas, Diesel'!F15)</f>
        <v>170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20325.000000002547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4505</v>
      </c>
      <c r="J12" s="93">
        <v>0.21186441</v>
      </c>
      <c r="K12" s="11">
        <f>IF('Water, Gas, Diesel'!F16&lt;0,0,'Water, Gas, Diesel'!F16)</f>
        <v>161</v>
      </c>
      <c r="L12" s="93">
        <v>1.6949000000000001</v>
      </c>
      <c r="M12" s="11">
        <f>Electricity!H18</f>
        <v>42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18072.499999993852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3274</v>
      </c>
      <c r="J13" s="93">
        <v>0.21186441</v>
      </c>
      <c r="K13" s="11">
        <f>IF('Water, Gas, Diesel'!F17&lt;0,0,'Water, Gas, Diesel'!F17)</f>
        <v>170</v>
      </c>
      <c r="L13" s="93">
        <v>1.6949000000000001</v>
      </c>
      <c r="M13" s="11">
        <f>Electricity!H19</f>
        <v>50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18760.000000002037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3529</v>
      </c>
      <c r="J14" s="93">
        <v>0.21186441</v>
      </c>
      <c r="K14" s="11">
        <f>IF('Water, Gas, Diesel'!F18&lt;0,0,'Water, Gas, Diesel'!F18)</f>
        <v>174</v>
      </c>
      <c r="L14" s="93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17992.500000000291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3264</v>
      </c>
      <c r="J15" s="93">
        <v>0.21186441</v>
      </c>
      <c r="K15" s="11">
        <f>IF('Water, Gas, Diesel'!F19&lt;0,0,'Water, Gas, Diesel'!F19)</f>
        <v>164</v>
      </c>
      <c r="L15" s="93">
        <v>1.6949000000000001</v>
      </c>
      <c r="M15" s="11">
        <f>Electricity!H21</f>
        <v>51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16327.500000002146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3039</v>
      </c>
      <c r="J16" s="93">
        <v>0.21186441</v>
      </c>
      <c r="K16" s="11">
        <f>IF('Water, Gas, Diesel'!F20&lt;0,0,'Water, Gas, Diesel'!F20)</f>
        <v>158</v>
      </c>
      <c r="L16" s="93">
        <v>1.6949000000000001</v>
      </c>
      <c r="M16" s="11">
        <f>Electricity!H22</f>
        <v>45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12520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19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9" activePane="bottomLeft" state="frozen"/>
      <selection pane="bottomLeft" activeCell="J20" sqref="J20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8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19"/>
      <c r="B6" s="24"/>
      <c r="C6" s="74"/>
      <c r="D6" s="75"/>
      <c r="E6" s="74"/>
      <c r="F6" s="27"/>
      <c r="G6" s="76"/>
      <c r="H6" s="120"/>
    </row>
    <row r="7" spans="1:8" ht="27.75" hidden="1" customHeight="1">
      <c r="A7" s="121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7">
        <f t="shared" ref="F7:F38" si="2">C7+E7</f>
        <v>13320.000000003347</v>
      </c>
      <c r="G7" s="77">
        <f>F7*0.0932</f>
        <v>1241.4240000003119</v>
      </c>
      <c r="H7" s="141">
        <v>87</v>
      </c>
    </row>
    <row r="8" spans="1:8" ht="30.95" customHeight="1">
      <c r="A8" s="122">
        <v>1</v>
      </c>
      <c r="B8" s="116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3">
        <v>66</v>
      </c>
    </row>
    <row r="9" spans="1:8" ht="30.95" customHeight="1">
      <c r="A9" s="124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5">
        <v>60</v>
      </c>
    </row>
    <row r="10" spans="1:8" ht="30.95" customHeight="1">
      <c r="A10" s="122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5">
        <v>53</v>
      </c>
    </row>
    <row r="11" spans="1:8" ht="30.95" customHeight="1">
      <c r="A11" s="124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5">
        <v>42</v>
      </c>
    </row>
    <row r="12" spans="1:8" ht="30.95" customHeight="1">
      <c r="A12" s="122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5">
        <v>51</v>
      </c>
    </row>
    <row r="13" spans="1:8" ht="30.95" customHeight="1">
      <c r="A13" s="124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5">
        <v>41</v>
      </c>
    </row>
    <row r="14" spans="1:8" ht="30.95" customHeight="1">
      <c r="A14" s="122">
        <v>7</v>
      </c>
      <c r="B14" s="87">
        <v>14766.947</v>
      </c>
      <c r="C14" s="80">
        <f t="shared" si="0"/>
        <v>8535.0000000016735</v>
      </c>
      <c r="D14" s="126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5">
        <v>36</v>
      </c>
    </row>
    <row r="15" spans="1:8" ht="30.95" customHeight="1">
      <c r="A15" s="124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5">
        <v>28</v>
      </c>
    </row>
    <row r="16" spans="1:8" ht="30.95" customHeight="1">
      <c r="A16" s="122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5">
        <v>37</v>
      </c>
    </row>
    <row r="17" spans="1:8" ht="30.95" customHeight="1">
      <c r="A17" s="124">
        <v>10</v>
      </c>
      <c r="B17" s="87">
        <v>14776.539000000001</v>
      </c>
      <c r="C17" s="39">
        <f t="shared" si="0"/>
        <v>8159.9999999980355</v>
      </c>
      <c r="D17" s="126">
        <v>15080.184999999999</v>
      </c>
      <c r="E17" s="39">
        <f t="shared" si="1"/>
        <v>9747.5000000031287</v>
      </c>
      <c r="F17" s="47">
        <f t="shared" si="2"/>
        <v>17907.500000001164</v>
      </c>
      <c r="G17" s="77">
        <f t="shared" si="3"/>
        <v>1668.9790000001085</v>
      </c>
      <c r="H17" s="125">
        <v>37</v>
      </c>
    </row>
    <row r="18" spans="1:8" ht="30.95" customHeight="1">
      <c r="A18" s="122">
        <v>11</v>
      </c>
      <c r="B18" s="85">
        <v>14779.803</v>
      </c>
      <c r="C18" s="80">
        <f t="shared" si="0"/>
        <v>8827.5000000021464</v>
      </c>
      <c r="D18" s="88">
        <v>15084.084000000001</v>
      </c>
      <c r="E18" s="80">
        <f t="shared" si="1"/>
        <v>11497.5000000004</v>
      </c>
      <c r="F18" s="51">
        <f t="shared" si="2"/>
        <v>20325.000000002547</v>
      </c>
      <c r="G18" s="77">
        <f t="shared" si="3"/>
        <v>1894.2900000002373</v>
      </c>
      <c r="H18" s="125">
        <v>42</v>
      </c>
    </row>
    <row r="19" spans="1:8" ht="30.95" customHeight="1">
      <c r="A19" s="124">
        <v>12</v>
      </c>
      <c r="B19" s="87">
        <v>14783.334000000001</v>
      </c>
      <c r="C19" s="39">
        <f t="shared" si="0"/>
        <v>8287.4999999967258</v>
      </c>
      <c r="D19" s="126">
        <v>15088.683000000001</v>
      </c>
      <c r="E19" s="39">
        <f t="shared" si="1"/>
        <v>9784.999999997126</v>
      </c>
      <c r="F19" s="47">
        <f t="shared" si="2"/>
        <v>18072.499999993852</v>
      </c>
      <c r="G19" s="77">
        <f t="shared" si="3"/>
        <v>1684.356999999427</v>
      </c>
      <c r="H19" s="125">
        <v>50</v>
      </c>
    </row>
    <row r="20" spans="1:8" ht="30.95" customHeight="1">
      <c r="A20" s="122">
        <v>13</v>
      </c>
      <c r="B20" s="85">
        <v>14786.648999999999</v>
      </c>
      <c r="C20" s="80">
        <f t="shared" si="0"/>
        <v>8335.0000000018554</v>
      </c>
      <c r="D20" s="91">
        <v>15092.597</v>
      </c>
      <c r="E20" s="80">
        <f t="shared" si="1"/>
        <v>10425.000000000182</v>
      </c>
      <c r="F20" s="51">
        <f t="shared" si="2"/>
        <v>18760.000000002037</v>
      </c>
      <c r="G20" s="77">
        <f t="shared" si="3"/>
        <v>1748.4320000001899</v>
      </c>
      <c r="H20" s="125">
        <v>62</v>
      </c>
    </row>
    <row r="21" spans="1:8" ht="30.95" customHeight="1">
      <c r="A21" s="124">
        <v>14</v>
      </c>
      <c r="B21" s="85">
        <v>14789.983</v>
      </c>
      <c r="C21" s="39">
        <f t="shared" si="0"/>
        <v>8012.4999999998181</v>
      </c>
      <c r="D21" s="88">
        <v>15096.767</v>
      </c>
      <c r="E21" s="39">
        <f t="shared" si="1"/>
        <v>9980.0000000004729</v>
      </c>
      <c r="F21" s="47">
        <f t="shared" si="2"/>
        <v>17992.500000000291</v>
      </c>
      <c r="G21" s="77">
        <f t="shared" si="3"/>
        <v>1676.9010000000271</v>
      </c>
      <c r="H21" s="125">
        <v>51</v>
      </c>
    </row>
    <row r="22" spans="1:8" ht="30.95" customHeight="1">
      <c r="A22" s="122">
        <v>15</v>
      </c>
      <c r="B22" s="85">
        <v>14793.188</v>
      </c>
      <c r="C22" s="80">
        <f t="shared" si="0"/>
        <v>7465.0000000019645</v>
      </c>
      <c r="D22" s="67">
        <v>15100.759</v>
      </c>
      <c r="E22" s="80">
        <f t="shared" si="1"/>
        <v>8862.5000000001819</v>
      </c>
      <c r="F22" s="51">
        <f t="shared" si="2"/>
        <v>16327.500000002146</v>
      </c>
      <c r="G22" s="77">
        <f t="shared" si="3"/>
        <v>1521.7230000002</v>
      </c>
      <c r="H22" s="125">
        <v>45</v>
      </c>
    </row>
    <row r="23" spans="1:8" ht="30.95" customHeight="1">
      <c r="A23" s="124">
        <v>16</v>
      </c>
      <c r="B23" s="94">
        <v>14796.174000000001</v>
      </c>
      <c r="C23" s="39">
        <f t="shared" si="0"/>
        <v>-36990435</v>
      </c>
      <c r="D23" s="95">
        <v>15104.304</v>
      </c>
      <c r="E23" s="39">
        <f t="shared" si="1"/>
        <v>-37760760</v>
      </c>
      <c r="F23" s="47">
        <f t="shared" si="2"/>
        <v>-74751195</v>
      </c>
      <c r="G23" s="77">
        <f t="shared" si="3"/>
        <v>-6966811.3740000008</v>
      </c>
      <c r="H23" s="125">
        <v>19</v>
      </c>
    </row>
    <row r="24" spans="1:8" ht="30.95" customHeight="1">
      <c r="A24" s="122">
        <v>17</v>
      </c>
      <c r="B24" s="96"/>
      <c r="C24" s="80">
        <f t="shared" si="0"/>
        <v>0</v>
      </c>
      <c r="D24" s="126"/>
      <c r="E24" s="80">
        <f t="shared" si="1"/>
        <v>0</v>
      </c>
      <c r="F24" s="51">
        <f t="shared" si="2"/>
        <v>0</v>
      </c>
      <c r="G24" s="77">
        <f t="shared" si="3"/>
        <v>0</v>
      </c>
      <c r="H24" s="125"/>
    </row>
    <row r="25" spans="1:8" ht="30.95" customHeight="1">
      <c r="A25" s="124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5"/>
    </row>
    <row r="26" spans="1:8" ht="30.95" customHeight="1">
      <c r="A26" s="122">
        <v>19</v>
      </c>
      <c r="B26" s="87"/>
      <c r="C26" s="80">
        <f t="shared" ref="C26:C38" si="4">(B27-B26)*2500</f>
        <v>0</v>
      </c>
      <c r="D26" s="126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5"/>
    </row>
    <row r="27" spans="1:8" ht="30.95" customHeight="1">
      <c r="A27" s="124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5"/>
    </row>
    <row r="28" spans="1:8" ht="30.95" customHeight="1">
      <c r="A28" s="122">
        <v>21</v>
      </c>
      <c r="B28" s="87"/>
      <c r="C28" s="80">
        <f t="shared" si="4"/>
        <v>0</v>
      </c>
      <c r="D28" s="126"/>
      <c r="E28" s="80">
        <f t="shared" si="5"/>
        <v>0</v>
      </c>
      <c r="F28" s="47">
        <f t="shared" si="2"/>
        <v>0</v>
      </c>
      <c r="G28" s="77">
        <f t="shared" si="3"/>
        <v>0</v>
      </c>
      <c r="H28" s="125"/>
    </row>
    <row r="29" spans="1:8" ht="30.95" customHeight="1">
      <c r="A29" s="124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5"/>
    </row>
    <row r="30" spans="1:8" ht="30.95" customHeight="1">
      <c r="A30" s="122">
        <v>23</v>
      </c>
      <c r="B30" s="87"/>
      <c r="C30" s="80">
        <f t="shared" si="4"/>
        <v>0</v>
      </c>
      <c r="D30" s="126"/>
      <c r="E30" s="80">
        <f t="shared" si="5"/>
        <v>0</v>
      </c>
      <c r="F30" s="47">
        <f t="shared" si="2"/>
        <v>0</v>
      </c>
      <c r="G30" s="77">
        <f t="shared" si="3"/>
        <v>0</v>
      </c>
      <c r="H30" s="125"/>
    </row>
    <row r="31" spans="1:8" ht="30.95" customHeight="1">
      <c r="A31" s="124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5"/>
    </row>
    <row r="32" spans="1:8" ht="30.95" customHeight="1">
      <c r="A32" s="122">
        <v>25</v>
      </c>
      <c r="B32" s="87"/>
      <c r="C32" s="80">
        <f t="shared" si="4"/>
        <v>0</v>
      </c>
      <c r="D32" s="126"/>
      <c r="E32" s="80">
        <f t="shared" si="5"/>
        <v>0</v>
      </c>
      <c r="F32" s="47">
        <f t="shared" si="2"/>
        <v>0</v>
      </c>
      <c r="G32" s="77">
        <f t="shared" si="3"/>
        <v>0</v>
      </c>
      <c r="H32" s="125"/>
    </row>
    <row r="33" spans="1:8" ht="30.95" customHeight="1">
      <c r="A33" s="124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5"/>
    </row>
    <row r="34" spans="1:8" ht="30.95" customHeight="1">
      <c r="A34" s="122">
        <v>27</v>
      </c>
      <c r="B34" s="87"/>
      <c r="C34" s="80">
        <f t="shared" si="4"/>
        <v>0</v>
      </c>
      <c r="D34" s="126"/>
      <c r="E34" s="39">
        <f t="shared" si="5"/>
        <v>0</v>
      </c>
      <c r="F34" s="47">
        <f t="shared" si="2"/>
        <v>0</v>
      </c>
      <c r="G34" s="77">
        <f t="shared" si="3"/>
        <v>0</v>
      </c>
      <c r="H34" s="125"/>
    </row>
    <row r="35" spans="1:8" ht="30.95" customHeight="1">
      <c r="A35" s="124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5"/>
    </row>
    <row r="36" spans="1:8" ht="30.95" customHeight="1">
      <c r="A36" s="122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3"/>
    </row>
    <row r="37" spans="1:8" ht="30.95" customHeight="1">
      <c r="A37" s="127">
        <v>30</v>
      </c>
      <c r="B37" s="103"/>
      <c r="C37" s="104">
        <f t="shared" si="4"/>
        <v>0</v>
      </c>
      <c r="D37" s="105"/>
      <c r="E37" s="104">
        <f t="shared" si="5"/>
        <v>0</v>
      </c>
      <c r="F37" s="106">
        <f t="shared" si="2"/>
        <v>0</v>
      </c>
      <c r="G37" s="77">
        <f t="shared" si="3"/>
        <v>0</v>
      </c>
      <c r="H37" s="128"/>
    </row>
    <row r="38" spans="1:8" ht="30.95" customHeight="1">
      <c r="A38" s="122">
        <v>31</v>
      </c>
      <c r="B38" s="40"/>
      <c r="C38" s="80">
        <f t="shared" si="4"/>
        <v>0</v>
      </c>
      <c r="D38" s="126"/>
      <c r="E38" s="8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8" activePane="bottomLeft" state="frozen"/>
      <selection pane="bottomLeft" activeCell="J21" sqref="J21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0">
        <v>31</v>
      </c>
      <c r="B5" s="100">
        <v>6399374</v>
      </c>
      <c r="C5" s="129">
        <f>B6-B5</f>
        <v>274</v>
      </c>
      <c r="D5" s="34">
        <f>C5*0.21186441</f>
        <v>58.050848340000002</v>
      </c>
      <c r="E5" s="35">
        <v>505158</v>
      </c>
      <c r="F5" s="130">
        <f>E6-E5</f>
        <v>121</v>
      </c>
      <c r="G5" s="36">
        <f>F5*0.84746</f>
        <v>102.54266</v>
      </c>
      <c r="H5" s="36">
        <f>F5*0.84746</f>
        <v>102.54266</v>
      </c>
      <c r="I5" s="101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0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154</v>
      </c>
      <c r="G14" s="48">
        <f t="shared" si="5"/>
        <v>130.50883999999999</v>
      </c>
      <c r="H14" s="43">
        <f t="shared" si="6"/>
        <v>130.50883999999999</v>
      </c>
      <c r="I14" s="49">
        <f t="shared" si="2"/>
        <v>261.01767999999998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6429579</v>
      </c>
      <c r="C15" s="55">
        <f t="shared" si="0"/>
        <v>2530</v>
      </c>
      <c r="D15" s="46">
        <f t="shared" si="7"/>
        <v>536.01695730000006</v>
      </c>
      <c r="E15" s="47">
        <v>506875</v>
      </c>
      <c r="F15" s="56">
        <f t="shared" si="1"/>
        <v>170</v>
      </c>
      <c r="G15" s="48">
        <f t="shared" si="5"/>
        <v>144.06819999999999</v>
      </c>
      <c r="H15" s="48">
        <f t="shared" si="6"/>
        <v>144.06819999999999</v>
      </c>
      <c r="I15" s="49">
        <f t="shared" si="2"/>
        <v>288.13639999999998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6432109</v>
      </c>
      <c r="C16" s="53">
        <f>B17-B16</f>
        <v>4505</v>
      </c>
      <c r="D16" s="46">
        <f t="shared" si="7"/>
        <v>954.44916705000003</v>
      </c>
      <c r="E16" s="47">
        <v>507045</v>
      </c>
      <c r="F16" s="54">
        <f>E17-E16</f>
        <v>161</v>
      </c>
      <c r="G16" s="43">
        <f t="shared" si="5"/>
        <v>136.44105999999999</v>
      </c>
      <c r="H16" s="43">
        <f t="shared" si="6"/>
        <v>136.44105999999999</v>
      </c>
      <c r="I16" s="49">
        <f t="shared" si="2"/>
        <v>272.88211999999999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6436614</v>
      </c>
      <c r="C17" s="55">
        <f t="shared" ref="C17:C35" si="8">B18-B17</f>
        <v>3274</v>
      </c>
      <c r="D17" s="46">
        <f t="shared" si="7"/>
        <v>693.64407833999996</v>
      </c>
      <c r="E17" s="47">
        <v>507206</v>
      </c>
      <c r="F17" s="56">
        <f t="shared" ref="F17:F35" si="9">E18-E17</f>
        <v>170</v>
      </c>
      <c r="G17" s="48">
        <f t="shared" si="5"/>
        <v>144.06819999999999</v>
      </c>
      <c r="H17" s="48">
        <f t="shared" si="6"/>
        <v>144.06819999999999</v>
      </c>
      <c r="I17" s="49">
        <f t="shared" si="2"/>
        <v>288.13639999999998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6439888</v>
      </c>
      <c r="C18" s="53">
        <f t="shared" si="8"/>
        <v>3529</v>
      </c>
      <c r="D18" s="46">
        <f t="shared" si="7"/>
        <v>747.66950288999999</v>
      </c>
      <c r="E18" s="51">
        <v>507376</v>
      </c>
      <c r="F18" s="54">
        <f t="shared" si="9"/>
        <v>174</v>
      </c>
      <c r="G18" s="43">
        <f t="shared" si="5"/>
        <v>147.45804000000001</v>
      </c>
      <c r="H18" s="43">
        <f t="shared" si="6"/>
        <v>147.45804000000001</v>
      </c>
      <c r="I18" s="49">
        <f t="shared" si="2"/>
        <v>294.91608000000002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6443417</v>
      </c>
      <c r="C19" s="55">
        <f t="shared" si="8"/>
        <v>3264</v>
      </c>
      <c r="D19" s="46">
        <f t="shared" si="7"/>
        <v>691.52543423999998</v>
      </c>
      <c r="E19" s="52">
        <v>507550</v>
      </c>
      <c r="F19" s="56">
        <f t="shared" si="9"/>
        <v>164</v>
      </c>
      <c r="G19" s="48">
        <f t="shared" si="5"/>
        <v>138.98344</v>
      </c>
      <c r="H19" s="48">
        <f t="shared" si="6"/>
        <v>138.98344</v>
      </c>
      <c r="I19" s="49">
        <f t="shared" si="2"/>
        <v>277.96688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6446681</v>
      </c>
      <c r="C20" s="53">
        <f t="shared" si="8"/>
        <v>3039</v>
      </c>
      <c r="D20" s="46">
        <f t="shared" si="7"/>
        <v>643.85594199000002</v>
      </c>
      <c r="E20" s="51">
        <v>507714</v>
      </c>
      <c r="F20" s="54">
        <f t="shared" si="9"/>
        <v>158</v>
      </c>
      <c r="G20" s="43">
        <f t="shared" si="5"/>
        <v>133.89867999999998</v>
      </c>
      <c r="H20" s="43">
        <f t="shared" si="6"/>
        <v>133.89867999999998</v>
      </c>
      <c r="I20" s="49">
        <f t="shared" si="2"/>
        <v>267.79735999999997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>
        <v>6449720</v>
      </c>
      <c r="C21" s="55">
        <f t="shared" si="8"/>
        <v>-6449720</v>
      </c>
      <c r="D21" s="46">
        <f t="shared" si="7"/>
        <v>-1366466.1224652</v>
      </c>
      <c r="E21" s="97">
        <v>507872</v>
      </c>
      <c r="F21" s="56">
        <f t="shared" si="9"/>
        <v>-507872</v>
      </c>
      <c r="G21" s="48">
        <f t="shared" si="5"/>
        <v>-430401.20512</v>
      </c>
      <c r="H21" s="48">
        <f t="shared" si="6"/>
        <v>-430401.20512</v>
      </c>
      <c r="I21" s="49">
        <f t="shared" si="2"/>
        <v>-860802.41024</v>
      </c>
      <c r="J21" s="37">
        <f>6060+6460</f>
        <v>12520</v>
      </c>
      <c r="K21" s="38">
        <f t="shared" si="3"/>
        <v>12520</v>
      </c>
      <c r="L21" s="39">
        <f t="shared" si="4"/>
        <v>7386.7999999999993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7">
        <v>31</v>
      </c>
      <c r="B36" s="107"/>
      <c r="C36" s="108">
        <f t="shared" ref="C36" si="10">B37-B36</f>
        <v>0</v>
      </c>
      <c r="D36" s="109">
        <f t="shared" si="7"/>
        <v>0</v>
      </c>
      <c r="E36" s="110"/>
      <c r="F36" s="108">
        <f t="shared" ref="F36" si="11">E37-E36</f>
        <v>0</v>
      </c>
      <c r="G36" s="111">
        <f t="shared" ref="G36" si="12">F36*0.84746</f>
        <v>0</v>
      </c>
      <c r="H36" s="111">
        <f t="shared" ref="H36" si="13">F36*0.84746</f>
        <v>0</v>
      </c>
      <c r="I36" s="112">
        <f t="shared" ref="I36" si="14">G36+H36</f>
        <v>0</v>
      </c>
      <c r="J36" s="113"/>
      <c r="K36" s="114">
        <f t="shared" ref="K36" si="15">J36-J37</f>
        <v>0</v>
      </c>
      <c r="L36" s="115">
        <f t="shared" ref="L36" si="16">K36*0.59</f>
        <v>0</v>
      </c>
    </row>
    <row r="37" spans="1:12" ht="32.450000000000003" customHeight="1">
      <c r="A37" s="107">
        <v>1</v>
      </c>
      <c r="B37" s="107"/>
      <c r="C37" s="108">
        <f t="shared" ref="C37" si="17">B38-B37</f>
        <v>0</v>
      </c>
      <c r="D37" s="109">
        <f t="shared" ref="D37" si="18">C37*0.21186441</f>
        <v>0</v>
      </c>
      <c r="E37" s="110"/>
      <c r="F37" s="108">
        <f t="shared" ref="F37" si="19">E38-E37</f>
        <v>0</v>
      </c>
      <c r="G37" s="111">
        <f t="shared" ref="G37" si="20">F37*0.84746</f>
        <v>0</v>
      </c>
      <c r="H37" s="111">
        <f t="shared" ref="H37" si="21">F37*0.84746</f>
        <v>0</v>
      </c>
      <c r="I37" s="112">
        <f t="shared" ref="I37" si="22">G37+H37</f>
        <v>0</v>
      </c>
      <c r="J37" s="113"/>
      <c r="K37" s="114">
        <f t="shared" ref="K37" si="23">J37-J38</f>
        <v>0</v>
      </c>
      <c r="L37" s="115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2022-01-17T07:32:45Z</dcterms:modified>
  <cp:category/>
  <cp:contentStatus/>
</cp:coreProperties>
</file>