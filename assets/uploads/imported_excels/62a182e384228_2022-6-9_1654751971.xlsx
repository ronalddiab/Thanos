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661" documentId="13_ncr:1_{76C55D63-F869-4AF5-AAA3-3D809A91432B}" xr6:coauthVersionLast="47" xr6:coauthVersionMax="47" xr10:uidLastSave="{5F430803-A3E2-48B9-9C90-DEAD83327601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3" i="27" l="1"/>
  <c r="J12" i="27"/>
  <c r="J11" i="27"/>
  <c r="J10" i="27"/>
  <c r="J9" i="27"/>
  <c r="J8" i="27"/>
  <c r="J7" i="27"/>
  <c r="J6" i="27"/>
  <c r="J5" i="27"/>
  <c r="L36" i="27"/>
  <c r="L35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C38" i="28"/>
  <c r="E38" i="28"/>
  <c r="F38" i="28"/>
  <c r="K36" i="27"/>
  <c r="F36" i="27"/>
  <c r="G36" i="27"/>
  <c r="H36" i="27"/>
  <c r="I36" i="27"/>
  <c r="C36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D36" i="27" l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<sst xmlns="http://schemas.openxmlformats.org/spreadsheetml/2006/main" count="71" uniqueCount="33">
  <si>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</si>
  <si>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</si>
  <si>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</si>
  <si>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</si>
  <si>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</si>
  <si>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</si>
  <si>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</si>
  <si>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</si>
  <si>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</si>
  <si>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</si>
  <si>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</si>
  <si>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</si>
  <si>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</si>
  <si>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</si>
  <si>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</si>
  <si>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 xml:space="preserve">June 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</si>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</sst>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6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4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164" fontId="10" fillId="3" borderId="67" xfId="6" applyNumberFormat="1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164" fontId="10" fillId="0" borderId="69" xfId="6" applyNumberFormat="1" applyFont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3" borderId="67" xfId="6" applyFont="1" applyFill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60" xfId="6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vertical="center"/>
    </xf>
    <xf numFmtId="0" fontId="12" fillId="0" borderId="52" xfId="6" applyFont="1" applyBorder="1" applyAlignment="1">
      <alignment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4"/>
  <sheetViews>
    <sheetView topLeftCell="E1" workbookViewId="0">
      <selection activeCell="F2" sqref="F2:F31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6</v>
      </c>
      <c r="D2" s="10">
        <v>2022</v>
      </c>
      <c r="E2" s="11">
        <f>IF(Electricity!F8&lt;0,0,Electricity!F8)</f>
        <v>24165.000000002692</v>
      </c>
      <c r="F2" s="83">
        <v>9.3200000000000005E-2</v>
      </c>
      <c r="G2" s="11">
        <f>IF('Water, Gas, Diesel'!K6&lt;0,0,'Water, Gas, Diesel'!K6)</f>
        <v>0</v>
      </c>
      <c r="H2" s="83">
        <v>0.7</v>
      </c>
      <c r="I2" s="11">
        <f>IF('Water, Gas, Diesel'!C6&lt;0,0,'Water, Gas, Diesel'!C6)</f>
        <v>2488</v>
      </c>
      <c r="J2" s="83">
        <v>0.21186441</v>
      </c>
      <c r="K2" s="11">
        <f>IF('Water, Gas, Diesel'!F6&lt;0,0,'Water, Gas, Diesel'!F6)</f>
        <v>260</v>
      </c>
      <c r="L2" s="83">
        <v>1.6949000000000001</v>
      </c>
      <c r="M2" s="11">
        <f>Electricity!H8</f>
        <v>153</v>
      </c>
      <c r="O2" s="106"/>
    </row>
    <row r="3" spans="1:15">
      <c r="A3" s="8" t="s">
        <v>13</v>
      </c>
      <c r="B3" s="9">
        <f>B2+1</f>
        <v>2</v>
      </c>
      <c r="C3" s="9">
        <v>6</v>
      </c>
      <c r="D3" s="10">
        <v>2022</v>
      </c>
      <c r="E3" s="11">
        <f>IF(Electricity!F9&lt;0,0,Electricity!F9)</f>
        <v>24927.50000000342</v>
      </c>
      <c r="F3" s="83">
        <v>9.3200000000000005E-2</v>
      </c>
      <c r="G3" s="11">
        <f>IF('Water, Gas, Diesel'!K7&lt;0,0,'Water, Gas, Diesel'!K7)</f>
        <v>0</v>
      </c>
      <c r="H3" s="83">
        <v>0.7</v>
      </c>
      <c r="I3" s="11">
        <f>IF('Water, Gas, Diesel'!C7&lt;0,0,'Water, Gas, Diesel'!C7)</f>
        <v>2422</v>
      </c>
      <c r="J3" s="83">
        <v>0.21186441</v>
      </c>
      <c r="K3" s="11">
        <f>IF('Water, Gas, Diesel'!F7&lt;0,0,'Water, Gas, Diesel'!F7)</f>
        <v>277</v>
      </c>
      <c r="L3" s="83">
        <v>1.6949000000000001</v>
      </c>
      <c r="M3" s="11">
        <f>Electricity!H9</f>
        <v>146</v>
      </c>
    </row>
    <row r="4" spans="1:15">
      <c r="A4" s="8" t="s">
        <v>13</v>
      </c>
      <c r="B4" s="9">
        <f t="shared" ref="B4:B31" si="0">B3+1</f>
        <v>3</v>
      </c>
      <c r="C4" s="9">
        <v>6</v>
      </c>
      <c r="D4" s="10">
        <v>2022</v>
      </c>
      <c r="E4" s="11">
        <f>IF(Electricity!F10&lt;0,0,Electricity!F10)</f>
        <v>22639.999999996689</v>
      </c>
      <c r="F4" s="83">
        <v>9.3200000000000005E-2</v>
      </c>
      <c r="G4" s="11">
        <f>IF('Water, Gas, Diesel'!K8&lt;0,0,'Water, Gas, Diesel'!K8)</f>
        <v>0</v>
      </c>
      <c r="H4" s="83">
        <v>0.7</v>
      </c>
      <c r="I4" s="11">
        <f>IF('Water, Gas, Diesel'!C8&lt;0,0,'Water, Gas, Diesel'!C8)</f>
        <v>2186</v>
      </c>
      <c r="J4" s="83">
        <v>0.21186441</v>
      </c>
      <c r="K4" s="11">
        <f>IF('Water, Gas, Diesel'!F8&lt;0,0,'Water, Gas, Diesel'!F8)</f>
        <v>276</v>
      </c>
      <c r="L4" s="83">
        <v>1.6949000000000001</v>
      </c>
      <c r="M4" s="11">
        <f>Electricity!H10</f>
        <v>112</v>
      </c>
    </row>
    <row r="5" spans="1:15">
      <c r="A5" s="8" t="s">
        <v>13</v>
      </c>
      <c r="B5" s="9">
        <f t="shared" si="0"/>
        <v>4</v>
      </c>
      <c r="C5" s="9">
        <v>6</v>
      </c>
      <c r="D5" s="10">
        <v>2022</v>
      </c>
      <c r="E5" s="11">
        <f>IF(Electricity!F11&lt;0,0,Electricity!F11)</f>
        <v>22007.499999999709</v>
      </c>
      <c r="F5" s="83">
        <v>9.3200000000000005E-2</v>
      </c>
      <c r="G5" s="11">
        <f>IF('Water, Gas, Diesel'!K9&lt;0,0,'Water, Gas, Diesel'!K9)</f>
        <v>0</v>
      </c>
      <c r="H5" s="83">
        <v>0.7</v>
      </c>
      <c r="I5" s="11">
        <f>IF('Water, Gas, Diesel'!C9&lt;0,0,'Water, Gas, Diesel'!C9)</f>
        <v>2092</v>
      </c>
      <c r="J5" s="83">
        <v>0.21186441</v>
      </c>
      <c r="K5" s="11">
        <f>IF('Water, Gas, Diesel'!F9&lt;0,0,'Water, Gas, Diesel'!F9)</f>
        <v>277</v>
      </c>
      <c r="L5" s="83">
        <v>1.6949000000000001</v>
      </c>
      <c r="M5" s="11">
        <f>Electricity!H11</f>
        <v>89</v>
      </c>
    </row>
    <row r="6" spans="1:15">
      <c r="A6" s="8" t="s">
        <v>13</v>
      </c>
      <c r="B6" s="9">
        <f t="shared" si="0"/>
        <v>5</v>
      </c>
      <c r="C6" s="9">
        <v>6</v>
      </c>
      <c r="D6" s="10">
        <v>2022</v>
      </c>
      <c r="E6" s="11">
        <f>IF(Electricity!F12&lt;0,0,Electricity!F12)</f>
        <v>21610.000000000582</v>
      </c>
      <c r="F6" s="83">
        <v>9.3200000000000005E-2</v>
      </c>
      <c r="G6" s="11">
        <f>IF('Water, Gas, Diesel'!K10&lt;0,0,'Water, Gas, Diesel'!K10)</f>
        <v>0</v>
      </c>
      <c r="H6" s="83">
        <v>0.7</v>
      </c>
      <c r="I6" s="11">
        <f>IF('Water, Gas, Diesel'!C10&lt;0,0,'Water, Gas, Diesel'!C10)</f>
        <v>1898</v>
      </c>
      <c r="J6" s="83">
        <v>0.21186441</v>
      </c>
      <c r="K6" s="11">
        <f>IF('Water, Gas, Diesel'!F10&lt;0,0,'Water, Gas, Diesel'!F10)</f>
        <v>250</v>
      </c>
      <c r="L6" s="83">
        <v>1.6949000000000001</v>
      </c>
      <c r="M6" s="11">
        <f>Electricity!H12</f>
        <v>65</v>
      </c>
    </row>
    <row r="7" spans="1:15">
      <c r="A7" s="8" t="s">
        <v>13</v>
      </c>
      <c r="B7" s="9">
        <f t="shared" si="0"/>
        <v>6</v>
      </c>
      <c r="C7" s="9">
        <v>6</v>
      </c>
      <c r="D7" s="10">
        <v>2022</v>
      </c>
      <c r="E7" s="11">
        <f>IF(Electricity!F13&lt;0,0,Electricity!F13)</f>
        <v>20734.999999999673</v>
      </c>
      <c r="F7" s="83">
        <v>9.3200000000000005E-2</v>
      </c>
      <c r="G7" s="11">
        <f>IF('Water, Gas, Diesel'!K11&lt;0,0,'Water, Gas, Diesel'!K11)</f>
        <v>0</v>
      </c>
      <c r="H7" s="83">
        <v>0.7</v>
      </c>
      <c r="I7" s="11">
        <f>IF('Water, Gas, Diesel'!C11&lt;0,0,'Water, Gas, Diesel'!C11)</f>
        <v>1879</v>
      </c>
      <c r="J7" s="83">
        <v>0.21186441</v>
      </c>
      <c r="K7" s="11">
        <f>IF('Water, Gas, Diesel'!F11&lt;0,0,'Water, Gas, Diesel'!F11)</f>
        <v>221</v>
      </c>
      <c r="L7" s="83">
        <v>1.6949000000000001</v>
      </c>
      <c r="M7" s="11">
        <f>Electricity!H13</f>
        <v>58</v>
      </c>
    </row>
    <row r="8" spans="1:15">
      <c r="A8" s="8" t="s">
        <v>13</v>
      </c>
      <c r="B8" s="9">
        <f t="shared" si="0"/>
        <v>7</v>
      </c>
      <c r="C8" s="9">
        <v>6</v>
      </c>
      <c r="D8" s="10">
        <v>2022</v>
      </c>
      <c r="E8" s="11">
        <f>IF(Electricity!F14&lt;0,0,Electricity!F14)</f>
        <v>20787.499999996726</v>
      </c>
      <c r="F8" s="83">
        <v>9.3200000000000005E-2</v>
      </c>
      <c r="G8" s="11">
        <f>IF('Water, Gas, Diesel'!K12&lt;0,0,'Water, Gas, Diesel'!K12)</f>
        <v>0</v>
      </c>
      <c r="H8" s="83">
        <v>0.7</v>
      </c>
      <c r="I8" s="11">
        <f>IF('Water, Gas, Diesel'!C12&lt;0,0,'Water, Gas, Diesel'!C12)</f>
        <v>2028</v>
      </c>
      <c r="J8" s="83">
        <v>0.21186441</v>
      </c>
      <c r="K8" s="11">
        <f>IF('Water, Gas, Diesel'!F12&lt;0,0,'Water, Gas, Diesel'!F12)</f>
        <v>195</v>
      </c>
      <c r="L8" s="83">
        <v>1.6949000000000001</v>
      </c>
      <c r="M8" s="11">
        <f>Electricity!H14</f>
        <v>59</v>
      </c>
    </row>
    <row r="9" spans="1:15">
      <c r="A9" s="8" t="s">
        <v>13</v>
      </c>
      <c r="B9" s="9">
        <f t="shared" si="0"/>
        <v>8</v>
      </c>
      <c r="C9" s="9">
        <v>6</v>
      </c>
      <c r="D9" s="10">
        <v>2022</v>
      </c>
      <c r="E9" s="11">
        <f>IF(Electricity!F15&lt;0,0,Electricity!F15)</f>
        <v>0</v>
      </c>
      <c r="F9" s="83">
        <v>9.3200000000000005E-2</v>
      </c>
      <c r="G9" s="11">
        <f>IF('Water, Gas, Diesel'!K13&lt;0,0,'Water, Gas, Diesel'!K13)</f>
        <v>11890</v>
      </c>
      <c r="H9" s="83">
        <v>0.7</v>
      </c>
      <c r="I9" s="11">
        <f>IF('Water, Gas, Diesel'!C13&lt;0,0,'Water, Gas, Diesel'!C13)</f>
        <v>0</v>
      </c>
      <c r="J9" s="83">
        <v>0.21186441</v>
      </c>
      <c r="K9" s="11">
        <f>IF('Water, Gas, Diesel'!F13&lt;0,0,'Water, Gas, Diesel'!F13)</f>
        <v>0</v>
      </c>
      <c r="L9" s="83">
        <v>1.6949000000000001</v>
      </c>
      <c r="M9" s="11">
        <f>Electricity!H15</f>
        <v>43</v>
      </c>
    </row>
    <row r="10" spans="1:15">
      <c r="A10" s="8" t="s">
        <v>13</v>
      </c>
      <c r="B10" s="9">
        <f t="shared" si="0"/>
        <v>9</v>
      </c>
      <c r="C10" s="9">
        <v>6</v>
      </c>
      <c r="D10" s="10">
        <v>2022</v>
      </c>
      <c r="E10" s="11">
        <f>IF(Electricity!F16&lt;0,0,Electricity!F16)</f>
        <v>0</v>
      </c>
      <c r="F10" s="83">
        <v>9.3200000000000005E-2</v>
      </c>
      <c r="G10" s="11">
        <f>IF('Water, Gas, Diesel'!K14&lt;0,0,'Water, Gas, Diesel'!K14)</f>
        <v>0</v>
      </c>
      <c r="H10" s="83">
        <v>0.7</v>
      </c>
      <c r="I10" s="11">
        <f>IF('Water, Gas, Diesel'!C14&lt;0,0,'Water, Gas, Diesel'!C14)</f>
        <v>0</v>
      </c>
      <c r="J10" s="83">
        <v>0.21186441</v>
      </c>
      <c r="K10" s="11">
        <f>IF('Water, Gas, Diesel'!F14&lt;0,0,'Water, Gas, Diesel'!F14)</f>
        <v>0</v>
      </c>
      <c r="L10" s="83">
        <v>1.6949000000000001</v>
      </c>
      <c r="M10" s="11">
        <f>Electricity!H16</f>
        <v>0</v>
      </c>
    </row>
    <row r="11" spans="1:15">
      <c r="A11" s="8" t="s">
        <v>13</v>
      </c>
      <c r="B11" s="9">
        <f t="shared" si="0"/>
        <v>10</v>
      </c>
      <c r="C11" s="9">
        <v>6</v>
      </c>
      <c r="D11" s="10">
        <v>2022</v>
      </c>
      <c r="E11" s="11">
        <f>IF(Electricity!F17&lt;0,0,Electricity!F17)</f>
        <v>0</v>
      </c>
      <c r="F11" s="83">
        <v>9.3200000000000005E-2</v>
      </c>
      <c r="G11" s="11">
        <f>IF('Water, Gas, Diesel'!K15&lt;0,0,'Water, Gas, Diesel'!K15)</f>
        <v>0</v>
      </c>
      <c r="H11" s="83">
        <v>0.7</v>
      </c>
      <c r="I11" s="11">
        <f>IF('Water, Gas, Diesel'!C15&lt;0,0,'Water, Gas, Diesel'!C15)</f>
        <v>0</v>
      </c>
      <c r="J11" s="83">
        <v>0.21186441</v>
      </c>
      <c r="K11" s="11">
        <f>IF('Water, Gas, Diesel'!F15&lt;0,0,'Water, Gas, Diesel'!F15)</f>
        <v>0</v>
      </c>
      <c r="L11" s="83">
        <v>1.6949000000000001</v>
      </c>
      <c r="M11" s="11">
        <f>Electricity!H17</f>
        <v>0</v>
      </c>
    </row>
    <row r="12" spans="1:15">
      <c r="A12" s="8" t="s">
        <v>13</v>
      </c>
      <c r="B12" s="9">
        <f t="shared" si="0"/>
        <v>11</v>
      </c>
      <c r="C12" s="9">
        <v>6</v>
      </c>
      <c r="D12" s="10">
        <v>2022</v>
      </c>
      <c r="E12" s="11">
        <f>IF(Electricity!F18&lt;0,0,Electricity!F18)</f>
        <v>0</v>
      </c>
      <c r="F12" s="83">
        <v>9.3200000000000005E-2</v>
      </c>
      <c r="G12" s="11">
        <f>IF('Water, Gas, Diesel'!K16&lt;0,0,'Water, Gas, Diesel'!K16)</f>
        <v>0</v>
      </c>
      <c r="H12" s="83">
        <v>0.7</v>
      </c>
      <c r="I12" s="11">
        <f>IF('Water, Gas, Diesel'!C16&lt;0,0,'Water, Gas, Diesel'!C16)</f>
        <v>0</v>
      </c>
      <c r="J12" s="83">
        <v>0.21186441</v>
      </c>
      <c r="K12" s="11">
        <f>IF('Water, Gas, Diesel'!F16&lt;0,0,'Water, Gas, Diesel'!F16)</f>
        <v>0</v>
      </c>
      <c r="L12" s="83">
        <v>1.6949000000000001</v>
      </c>
      <c r="M12" s="11">
        <f>Electricity!H18</f>
        <v>0</v>
      </c>
    </row>
    <row r="13" spans="1:15">
      <c r="A13" s="8" t="s">
        <v>13</v>
      </c>
      <c r="B13" s="9">
        <f t="shared" si="0"/>
        <v>12</v>
      </c>
      <c r="C13" s="9">
        <v>6</v>
      </c>
      <c r="D13" s="10">
        <v>2022</v>
      </c>
      <c r="E13" s="11">
        <f>IF(Electricity!F19&lt;0,0,Electricity!F19)</f>
        <v>0</v>
      </c>
      <c r="F13" s="83">
        <v>9.3200000000000005E-2</v>
      </c>
      <c r="G13" s="11">
        <f>IF('Water, Gas, Diesel'!K17&lt;0,0,'Water, Gas, Diesel'!K17)</f>
        <v>0</v>
      </c>
      <c r="H13" s="83">
        <v>0.7</v>
      </c>
      <c r="I13" s="11">
        <f>IF('Water, Gas, Diesel'!C17&lt;0,0,'Water, Gas, Diesel'!C17)</f>
        <v>0</v>
      </c>
      <c r="J13" s="83">
        <v>0.21186441</v>
      </c>
      <c r="K13" s="11">
        <f>IF('Water, Gas, Diesel'!F17&lt;0,0,'Water, Gas, Diesel'!F17)</f>
        <v>0</v>
      </c>
      <c r="L13" s="83">
        <v>1.6949000000000001</v>
      </c>
      <c r="M13" s="11">
        <f>Electricity!H19</f>
        <v>0</v>
      </c>
    </row>
    <row r="14" spans="1:15">
      <c r="A14" s="8" t="s">
        <v>13</v>
      </c>
      <c r="B14" s="9">
        <f t="shared" si="0"/>
        <v>13</v>
      </c>
      <c r="C14" s="9">
        <v>6</v>
      </c>
      <c r="D14" s="10">
        <v>2022</v>
      </c>
      <c r="E14" s="11">
        <f>IF(Electricity!F20&lt;0,0,Electricity!F20)</f>
        <v>0</v>
      </c>
      <c r="F14" s="83">
        <v>9.3200000000000005E-2</v>
      </c>
      <c r="G14" s="11">
        <f>IF('Water, Gas, Diesel'!K18&lt;0,0,'Water, Gas, Diesel'!K18)</f>
        <v>0</v>
      </c>
      <c r="H14" s="83">
        <v>0.7</v>
      </c>
      <c r="I14" s="11">
        <f>IF('Water, Gas, Diesel'!C18&lt;0,0,'Water, Gas, Diesel'!C18)</f>
        <v>0</v>
      </c>
      <c r="J14" s="83">
        <v>0.21186441</v>
      </c>
      <c r="K14" s="11">
        <f>IF('Water, Gas, Diesel'!F18&lt;0,0,'Water, Gas, Diesel'!F18)</f>
        <v>0</v>
      </c>
      <c r="L14" s="83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6</v>
      </c>
      <c r="D15" s="10">
        <v>2022</v>
      </c>
      <c r="E15" s="11">
        <f>IF(Electricity!F21&lt;0,0,Electricity!F21)</f>
        <v>0</v>
      </c>
      <c r="F15" s="83">
        <v>9.3200000000000005E-2</v>
      </c>
      <c r="G15" s="11">
        <f>IF('Water, Gas, Diesel'!K19&lt;0,0,'Water, Gas, Diesel'!K19)</f>
        <v>0</v>
      </c>
      <c r="H15" s="83">
        <v>0.7</v>
      </c>
      <c r="I15" s="11">
        <f>IF('Water, Gas, Diesel'!C19&lt;0,0,'Water, Gas, Diesel'!C19)</f>
        <v>0</v>
      </c>
      <c r="J15" s="83">
        <v>0.21186441</v>
      </c>
      <c r="K15" s="11">
        <f>IF('Water, Gas, Diesel'!F19&lt;0,0,'Water, Gas, Diesel'!F19)</f>
        <v>0</v>
      </c>
      <c r="L15" s="83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6</v>
      </c>
      <c r="D16" s="10">
        <v>2022</v>
      </c>
      <c r="E16" s="11">
        <f>IF(Electricity!F22&lt;0,0,Electricity!F22)</f>
        <v>0</v>
      </c>
      <c r="F16" s="83">
        <v>9.3200000000000005E-2</v>
      </c>
      <c r="G16" s="11">
        <f>IF('Water, Gas, Diesel'!K20&lt;0,0,'Water, Gas, Diesel'!K20)</f>
        <v>0</v>
      </c>
      <c r="H16" s="83">
        <v>0.7</v>
      </c>
      <c r="I16" s="11">
        <f>IF('Water, Gas, Diesel'!C20&lt;0,0,'Water, Gas, Diesel'!C20)</f>
        <v>0</v>
      </c>
      <c r="J16" s="83">
        <v>0.21186441</v>
      </c>
      <c r="K16" s="11">
        <f>IF('Water, Gas, Diesel'!F20&lt;0,0,'Water, Gas, Diesel'!F20)</f>
        <v>0</v>
      </c>
      <c r="L16" s="83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6</v>
      </c>
      <c r="D17" s="10">
        <v>2022</v>
      </c>
      <c r="E17" s="11">
        <f>IF(Electricity!F23&lt;0,0,Electricity!F23)</f>
        <v>0</v>
      </c>
      <c r="F17" s="83">
        <v>9.3200000000000005E-2</v>
      </c>
      <c r="G17" s="11">
        <f>IF('Water, Gas, Diesel'!K21&lt;0,0,'Water, Gas, Diesel'!K21)</f>
        <v>0</v>
      </c>
      <c r="H17" s="83">
        <v>0.7</v>
      </c>
      <c r="I17" s="11">
        <f>IF('Water, Gas, Diesel'!C21&lt;0,0,'Water, Gas, Diesel'!C21)</f>
        <v>0</v>
      </c>
      <c r="J17" s="83">
        <v>0.21186441</v>
      </c>
      <c r="K17" s="11">
        <f>IF('Water, Gas, Diesel'!F21&lt;0,0,'Water, Gas, Diesel'!F21)</f>
        <v>0</v>
      </c>
      <c r="L17" s="83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6</v>
      </c>
      <c r="D18" s="10">
        <v>2022</v>
      </c>
      <c r="E18" s="11">
        <f>IF(Electricity!F24&lt;0,0,Electricity!F24)</f>
        <v>0</v>
      </c>
      <c r="F18" s="83">
        <v>9.3200000000000005E-2</v>
      </c>
      <c r="G18" s="11">
        <f>IF('Water, Gas, Diesel'!K22&lt;0,0,'Water, Gas, Diesel'!K22)</f>
        <v>0</v>
      </c>
      <c r="H18" s="83">
        <v>0.7</v>
      </c>
      <c r="I18" s="11">
        <f>IF('Water, Gas, Diesel'!C22&lt;0,0,'Water, Gas, Diesel'!C22)</f>
        <v>0</v>
      </c>
      <c r="J18" s="83">
        <v>0.21186441</v>
      </c>
      <c r="K18" s="11">
        <f>IF('Water, Gas, Diesel'!F22&lt;0,0,'Water, Gas, Diesel'!F22)</f>
        <v>0</v>
      </c>
      <c r="L18" s="83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6</v>
      </c>
      <c r="D19" s="10">
        <v>2022</v>
      </c>
      <c r="E19" s="11">
        <f>IF(Electricity!F25&lt;0,0,Electricity!F25)</f>
        <v>0</v>
      </c>
      <c r="F19" s="83">
        <v>9.3200000000000005E-2</v>
      </c>
      <c r="G19" s="11">
        <f>IF('Water, Gas, Diesel'!K23&lt;0,0,'Water, Gas, Diesel'!K23)</f>
        <v>0</v>
      </c>
      <c r="H19" s="83">
        <v>0.7</v>
      </c>
      <c r="I19" s="11">
        <f>IF('Water, Gas, Diesel'!C23&lt;0,0,'Water, Gas, Diesel'!C23)</f>
        <v>0</v>
      </c>
      <c r="J19" s="83">
        <v>0.21186441</v>
      </c>
      <c r="K19" s="11">
        <f>IF('Water, Gas, Diesel'!F23&lt;0,0,'Water, Gas, Diesel'!F23)</f>
        <v>0</v>
      </c>
      <c r="L19" s="83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6</v>
      </c>
      <c r="D20" s="10">
        <v>2022</v>
      </c>
      <c r="E20" s="11">
        <f>IF(Electricity!F26&lt;0,0,Electricity!F26)</f>
        <v>0</v>
      </c>
      <c r="F20" s="83">
        <v>9.3200000000000005E-2</v>
      </c>
      <c r="G20" s="11">
        <f>IF('Water, Gas, Diesel'!K24&lt;0,0,'Water, Gas, Diesel'!K24)</f>
        <v>0</v>
      </c>
      <c r="H20" s="83">
        <v>0.7</v>
      </c>
      <c r="I20" s="11">
        <f>IF('Water, Gas, Diesel'!C24&lt;0,0,'Water, Gas, Diesel'!C24)</f>
        <v>0</v>
      </c>
      <c r="J20" s="83">
        <v>0.21186441</v>
      </c>
      <c r="K20" s="11">
        <f>IF('Water, Gas, Diesel'!F24&lt;0,0,'Water, Gas, Diesel'!F24)</f>
        <v>0</v>
      </c>
      <c r="L20" s="83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6</v>
      </c>
      <c r="D21" s="10">
        <v>2022</v>
      </c>
      <c r="E21" s="11">
        <f>IF(Electricity!F27&lt;0,0,Electricity!F27)</f>
        <v>0</v>
      </c>
      <c r="F21" s="83">
        <v>9.3200000000000005E-2</v>
      </c>
      <c r="G21" s="11">
        <f>IF('Water, Gas, Diesel'!K25&lt;0,0,'Water, Gas, Diesel'!K25)</f>
        <v>0</v>
      </c>
      <c r="H21" s="83">
        <v>0.7</v>
      </c>
      <c r="I21" s="11">
        <f>IF('Water, Gas, Diesel'!C25&lt;0,0,'Water, Gas, Diesel'!C25)</f>
        <v>0</v>
      </c>
      <c r="J21" s="83">
        <v>0.21186441</v>
      </c>
      <c r="K21" s="11">
        <f>IF('Water, Gas, Diesel'!F25&lt;0,0,'Water, Gas, Diesel'!F25)</f>
        <v>0</v>
      </c>
      <c r="L21" s="83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6</v>
      </c>
      <c r="D22" s="10">
        <v>2022</v>
      </c>
      <c r="E22" s="11">
        <f>IF(Electricity!F28&lt;0,0,Electricity!F28)</f>
        <v>0</v>
      </c>
      <c r="F22" s="83">
        <v>9.3200000000000005E-2</v>
      </c>
      <c r="G22" s="11">
        <f>IF('Water, Gas, Diesel'!K26&lt;0,0,'Water, Gas, Diesel'!K26)</f>
        <v>0</v>
      </c>
      <c r="H22" s="83">
        <v>0.7</v>
      </c>
      <c r="I22" s="11">
        <f>IF('Water, Gas, Diesel'!C26&lt;0,0,'Water, Gas, Diesel'!C26)</f>
        <v>0</v>
      </c>
      <c r="J22" s="83">
        <v>0.21186441</v>
      </c>
      <c r="K22" s="11">
        <f>IF('Water, Gas, Diesel'!F26&lt;0,0,'Water, Gas, Diesel'!F26)</f>
        <v>0</v>
      </c>
      <c r="L22" s="83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6</v>
      </c>
      <c r="D23" s="10">
        <v>2022</v>
      </c>
      <c r="E23" s="11">
        <f>IF(Electricity!F29&lt;0,0,Electricity!F29)</f>
        <v>0</v>
      </c>
      <c r="F23" s="83">
        <v>9.3200000000000005E-2</v>
      </c>
      <c r="G23" s="11">
        <f>IF('Water, Gas, Diesel'!K27&lt;0,0,'Water, Gas, Diesel'!K27)</f>
        <v>0</v>
      </c>
      <c r="H23" s="83">
        <v>0.7</v>
      </c>
      <c r="I23" s="11">
        <f>IF('Water, Gas, Diesel'!C27&lt;0,0,'Water, Gas, Diesel'!C27)</f>
        <v>0</v>
      </c>
      <c r="J23" s="83">
        <v>0.21186441</v>
      </c>
      <c r="K23" s="11">
        <f>IF('Water, Gas, Diesel'!F27&lt;0,0,'Water, Gas, Diesel'!F27)</f>
        <v>0</v>
      </c>
      <c r="L23" s="83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6</v>
      </c>
      <c r="D24" s="10">
        <v>2022</v>
      </c>
      <c r="E24" s="11">
        <f>IF(Electricity!F30&lt;0,0,Electricity!F30)</f>
        <v>0</v>
      </c>
      <c r="F24" s="83">
        <v>9.3200000000000005E-2</v>
      </c>
      <c r="G24" s="11">
        <f>IF('Water, Gas, Diesel'!K28&lt;0,0,'Water, Gas, Diesel'!K28)</f>
        <v>0</v>
      </c>
      <c r="H24" s="83">
        <v>0.7</v>
      </c>
      <c r="I24" s="11">
        <f>IF('Water, Gas, Diesel'!C28&lt;0,0,'Water, Gas, Diesel'!C28)</f>
        <v>0</v>
      </c>
      <c r="J24" s="83">
        <v>0.21186441</v>
      </c>
      <c r="K24" s="11">
        <f>IF('Water, Gas, Diesel'!F28&lt;0,0,'Water, Gas, Diesel'!F28)</f>
        <v>0</v>
      </c>
      <c r="L24" s="83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6</v>
      </c>
      <c r="D25" s="10">
        <v>2022</v>
      </c>
      <c r="E25" s="11">
        <f>IF(Electricity!F31&lt;0,0,Electricity!F31)</f>
        <v>0</v>
      </c>
      <c r="F25" s="83">
        <v>9.3200000000000005E-2</v>
      </c>
      <c r="G25" s="11">
        <f>IF('Water, Gas, Diesel'!K29&lt;0,0,'Water, Gas, Diesel'!K29)</f>
        <v>0</v>
      </c>
      <c r="H25" s="83">
        <v>0.7</v>
      </c>
      <c r="I25" s="11">
        <f>IF('Water, Gas, Diesel'!C29&lt;0,0,'Water, Gas, Diesel'!C29)</f>
        <v>0</v>
      </c>
      <c r="J25" s="83">
        <v>0.21186441</v>
      </c>
      <c r="K25" s="11">
        <f>IF('Water, Gas, Diesel'!F29&lt;0,0,'Water, Gas, Diesel'!F29)</f>
        <v>0</v>
      </c>
      <c r="L25" s="8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6</v>
      </c>
      <c r="D26" s="10">
        <v>2022</v>
      </c>
      <c r="E26" s="11">
        <f>IF(Electricity!F32&lt;0,0,Electricity!F32)</f>
        <v>0</v>
      </c>
      <c r="F26" s="83">
        <v>9.3200000000000005E-2</v>
      </c>
      <c r="G26" s="11">
        <f>IF('Water, Gas, Diesel'!K30&lt;0,0,'Water, Gas, Diesel'!K30)</f>
        <v>0</v>
      </c>
      <c r="H26" s="83">
        <v>0.7</v>
      </c>
      <c r="I26" s="11">
        <f>IF('Water, Gas, Diesel'!C30&lt;0,0,'Water, Gas, Diesel'!C30)</f>
        <v>0</v>
      </c>
      <c r="J26" s="83">
        <v>0.21186441</v>
      </c>
      <c r="K26" s="11">
        <f>IF('Water, Gas, Diesel'!F30&lt;0,0,'Water, Gas, Diesel'!F30)</f>
        <v>0</v>
      </c>
      <c r="L26" s="8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6</v>
      </c>
      <c r="D27" s="10">
        <v>2022</v>
      </c>
      <c r="E27" s="11">
        <f>IF(Electricity!F33&lt;0,0,Electricity!F33)</f>
        <v>0</v>
      </c>
      <c r="F27" s="83">
        <v>9.3200000000000005E-2</v>
      </c>
      <c r="G27" s="11">
        <f>IF('Water, Gas, Diesel'!K31&lt;0,0,'Water, Gas, Diesel'!K31)</f>
        <v>0</v>
      </c>
      <c r="H27" s="83">
        <v>0.7</v>
      </c>
      <c r="I27" s="11">
        <f>IF('Water, Gas, Diesel'!C31&lt;0,0,'Water, Gas, Diesel'!C31)</f>
        <v>0</v>
      </c>
      <c r="J27" s="83">
        <v>0.21186441</v>
      </c>
      <c r="K27" s="11">
        <f>IF('Water, Gas, Diesel'!F31&lt;0,0,'Water, Gas, Diesel'!F31)</f>
        <v>0</v>
      </c>
      <c r="L27" s="8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6</v>
      </c>
      <c r="D28" s="10">
        <v>2022</v>
      </c>
      <c r="E28" s="11">
        <f>IF(Electricity!F34&lt;0,0,Electricity!F34)</f>
        <v>0</v>
      </c>
      <c r="F28" s="83">
        <v>9.3200000000000005E-2</v>
      </c>
      <c r="G28" s="11">
        <f>IF('Water, Gas, Diesel'!K32&lt;0,0,'Water, Gas, Diesel'!K32)</f>
        <v>0</v>
      </c>
      <c r="H28" s="83">
        <v>0.7</v>
      </c>
      <c r="I28" s="11">
        <f>IF('Water, Gas, Diesel'!C32&lt;0,0,'Water, Gas, Diesel'!C32)</f>
        <v>0</v>
      </c>
      <c r="J28" s="83">
        <v>0.21186441</v>
      </c>
      <c r="K28" s="11">
        <f>IF('Water, Gas, Diesel'!F32&lt;0,0,'Water, Gas, Diesel'!F32)</f>
        <v>0</v>
      </c>
      <c r="L28" s="8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6</v>
      </c>
      <c r="D29" s="10">
        <v>2022</v>
      </c>
      <c r="E29" s="11">
        <f>IF(Electricity!F35&lt;0,0,Electricity!F35)</f>
        <v>0</v>
      </c>
      <c r="F29" s="83">
        <v>9.3200000000000005E-2</v>
      </c>
      <c r="G29" s="11">
        <f>IF('Water, Gas, Diesel'!K33&lt;0,0,'Water, Gas, Diesel'!K33)</f>
        <v>0</v>
      </c>
      <c r="H29" s="83">
        <v>0.7</v>
      </c>
      <c r="I29" s="11">
        <f>IF('Water, Gas, Diesel'!C33&lt;0,0,'Water, Gas, Diesel'!C33)</f>
        <v>0</v>
      </c>
      <c r="J29" s="83">
        <v>0.21186441</v>
      </c>
      <c r="K29" s="11">
        <f>IF('Water, Gas, Diesel'!F33&lt;0,0,'Water, Gas, Diesel'!F33)</f>
        <v>0</v>
      </c>
      <c r="L29" s="8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6</v>
      </c>
      <c r="D30" s="10">
        <v>2022</v>
      </c>
      <c r="E30" s="11">
        <f>IF(Electricity!F36&lt;0,0,Electricity!F36)</f>
        <v>0</v>
      </c>
      <c r="F30" s="83">
        <v>9.3200000000000005E-2</v>
      </c>
      <c r="G30" s="11">
        <f>IF('Water, Gas, Diesel'!K34&lt;0,0,'Water, Gas, Diesel'!K34)</f>
        <v>0</v>
      </c>
      <c r="H30" s="83">
        <v>0.7</v>
      </c>
      <c r="I30" s="11">
        <f>IF('Water, Gas, Diesel'!C34&lt;0,0,'Water, Gas, Diesel'!C34)</f>
        <v>0</v>
      </c>
      <c r="J30" s="83">
        <v>0.21186441</v>
      </c>
      <c r="K30" s="11">
        <f>IF('Water, Gas, Diesel'!F34&lt;0,0,'Water, Gas, Diesel'!F34)</f>
        <v>0</v>
      </c>
      <c r="L30" s="8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6</v>
      </c>
      <c r="D31" s="10">
        <v>2022</v>
      </c>
      <c r="E31" s="11">
        <f>IF(Electricity!F37&lt;0,0,Electricity!F37)</f>
        <v>0</v>
      </c>
      <c r="F31" s="83">
        <v>9.3200000000000005E-2</v>
      </c>
      <c r="G31" s="11">
        <f>IF('Water, Gas, Diesel'!K35&lt;0,0,'Water, Gas, Diesel'!K35)</f>
        <v>0</v>
      </c>
      <c r="H31" s="83">
        <v>0.7</v>
      </c>
      <c r="I31" s="11">
        <f>IF('Water, Gas, Diesel'!C35&lt;0,0,'Water, Gas, Diesel'!C35)</f>
        <v>0</v>
      </c>
      <c r="J31" s="83">
        <v>0.21186441</v>
      </c>
      <c r="K31" s="11">
        <f>IF('Water, Gas, Diesel'!F35&lt;0,0,'Water, Gas, Diesel'!F35)</f>
        <v>0</v>
      </c>
      <c r="L31" s="83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7" activePane="bottomLeft" state="frozen"/>
      <selection pane="bottomLeft" activeCell="M12" sqref="M12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6" t="s">
        <v>14</v>
      </c>
      <c r="B1" s="138"/>
      <c r="C1" s="139"/>
      <c r="D1" s="139"/>
      <c r="E1" s="139"/>
      <c r="F1" s="139"/>
      <c r="G1" s="139"/>
      <c r="H1" s="140"/>
    </row>
    <row r="2" spans="1:8" ht="15.75" customHeight="1">
      <c r="A2" s="143" t="s">
        <v>15</v>
      </c>
      <c r="B2" s="146" t="s">
        <v>16</v>
      </c>
      <c r="C2" s="147"/>
      <c r="D2" s="147"/>
      <c r="E2" s="148"/>
      <c r="F2" s="149" t="s">
        <v>17</v>
      </c>
      <c r="G2" s="151" t="s">
        <v>18</v>
      </c>
      <c r="H2" s="141" t="s">
        <v>19</v>
      </c>
    </row>
    <row r="3" spans="1:8">
      <c r="A3" s="144"/>
      <c r="B3" s="153" t="s">
        <v>20</v>
      </c>
      <c r="C3" s="154"/>
      <c r="D3" s="153" t="s">
        <v>21</v>
      </c>
      <c r="E3" s="154"/>
      <c r="F3" s="149"/>
      <c r="G3" s="151"/>
      <c r="H3" s="141"/>
    </row>
    <row r="4" spans="1:8">
      <c r="A4" s="144"/>
      <c r="B4" s="155"/>
      <c r="C4" s="156"/>
      <c r="D4" s="155"/>
      <c r="E4" s="156"/>
      <c r="F4" s="149"/>
      <c r="G4" s="151"/>
      <c r="H4" s="141"/>
    </row>
    <row r="5" spans="1:8" ht="15.75" thickBot="1">
      <c r="A5" s="145"/>
      <c r="B5" s="17" t="s">
        <v>22</v>
      </c>
      <c r="C5" s="62" t="s">
        <v>23</v>
      </c>
      <c r="D5" s="63" t="s">
        <v>22</v>
      </c>
      <c r="E5" s="62" t="s">
        <v>23</v>
      </c>
      <c r="F5" s="150"/>
      <c r="G5" s="152"/>
      <c r="H5" s="142"/>
    </row>
    <row r="6" spans="1:8" ht="15.75" hidden="1">
      <c r="A6" s="97"/>
      <c r="B6" s="24"/>
      <c r="C6" s="64"/>
      <c r="D6" s="65"/>
      <c r="E6" s="64"/>
      <c r="F6" s="27"/>
      <c r="G6" s="66"/>
      <c r="H6" s="136"/>
    </row>
    <row r="7" spans="1:8" ht="27.75" customHeight="1">
      <c r="A7" s="98">
        <v>31</v>
      </c>
      <c r="B7" s="68">
        <v>15262.465</v>
      </c>
      <c r="C7" s="69">
        <f t="shared" ref="C7:C24" si="0">(B8-B7)*2500</f>
        <v>12712.499999997817</v>
      </c>
      <c r="D7" s="68">
        <v>15630.817999999999</v>
      </c>
      <c r="E7" s="69">
        <f t="shared" ref="E7:E24" si="1">(D8-D7)*2500</f>
        <v>9940.0000000014188</v>
      </c>
      <c r="F7" s="95">
        <f t="shared" ref="F7:F38" si="2">C7+E7</f>
        <v>22652.499999999236</v>
      </c>
      <c r="G7" s="67">
        <f>F7*0.0932</f>
        <v>2111.2129999999288</v>
      </c>
      <c r="H7" s="137">
        <v>122</v>
      </c>
    </row>
    <row r="8" spans="1:8" ht="30.95" customHeight="1">
      <c r="A8" s="99">
        <v>1</v>
      </c>
      <c r="B8" s="94">
        <v>15267.55</v>
      </c>
      <c r="C8" s="70">
        <f t="shared" si="0"/>
        <v>13510.000000001128</v>
      </c>
      <c r="D8" s="71">
        <v>15634.794</v>
      </c>
      <c r="E8" s="70">
        <f t="shared" si="1"/>
        <v>10655.000000001564</v>
      </c>
      <c r="F8" s="51">
        <f t="shared" si="2"/>
        <v>24165.000000002692</v>
      </c>
      <c r="G8" s="67">
        <f t="shared" ref="G8:G38" si="3">F8*0.0932</f>
        <v>2252.1780000002509</v>
      </c>
      <c r="H8" s="100">
        <v>153</v>
      </c>
    </row>
    <row r="9" spans="1:8" ht="30.95" customHeight="1">
      <c r="A9" s="101">
        <v>2</v>
      </c>
      <c r="B9" s="72">
        <v>15272.954</v>
      </c>
      <c r="C9" s="39">
        <f t="shared" si="0"/>
        <v>13942.500000002838</v>
      </c>
      <c r="D9" s="71">
        <v>15639.056</v>
      </c>
      <c r="E9" s="39">
        <f t="shared" si="1"/>
        <v>10985.000000000582</v>
      </c>
      <c r="F9" s="47">
        <f t="shared" si="2"/>
        <v>24927.50000000342</v>
      </c>
      <c r="G9" s="67">
        <f t="shared" si="3"/>
        <v>2323.2430000003187</v>
      </c>
      <c r="H9" s="102">
        <v>146</v>
      </c>
    </row>
    <row r="10" spans="1:8" ht="30.95" customHeight="1">
      <c r="A10" s="99">
        <v>3</v>
      </c>
      <c r="B10" s="73">
        <v>15278.531000000001</v>
      </c>
      <c r="C10" s="70">
        <f t="shared" si="0"/>
        <v>12812.5</v>
      </c>
      <c r="D10" s="74">
        <v>15643.45</v>
      </c>
      <c r="E10" s="70">
        <f t="shared" si="1"/>
        <v>9827.4999999966894</v>
      </c>
      <c r="F10" s="51">
        <f t="shared" si="2"/>
        <v>22639.999999996689</v>
      </c>
      <c r="G10" s="67">
        <f t="shared" si="3"/>
        <v>2110.0479999996915</v>
      </c>
      <c r="H10" s="102">
        <v>112</v>
      </c>
    </row>
    <row r="11" spans="1:8" ht="30.95" customHeight="1">
      <c r="A11" s="101">
        <v>4</v>
      </c>
      <c r="B11" s="75">
        <v>15283.656000000001</v>
      </c>
      <c r="C11" s="39">
        <f t="shared" si="0"/>
        <v>12602.499999998145</v>
      </c>
      <c r="D11" s="76">
        <v>15647.380999999999</v>
      </c>
      <c r="E11" s="39">
        <f t="shared" si="1"/>
        <v>9405.0000000015643</v>
      </c>
      <c r="F11" s="47">
        <f t="shared" si="2"/>
        <v>22007.499999999709</v>
      </c>
      <c r="G11" s="67">
        <f t="shared" si="3"/>
        <v>2051.0989999999729</v>
      </c>
      <c r="H11" s="102">
        <v>89</v>
      </c>
    </row>
    <row r="12" spans="1:8" ht="30.95" customHeight="1">
      <c r="A12" s="99">
        <v>5</v>
      </c>
      <c r="B12" s="77">
        <v>15288.697</v>
      </c>
      <c r="C12" s="70">
        <f t="shared" si="0"/>
        <v>12325.000000000728</v>
      </c>
      <c r="D12" s="74">
        <v>15651.143</v>
      </c>
      <c r="E12" s="70">
        <f t="shared" si="1"/>
        <v>9284.9999999998545</v>
      </c>
      <c r="F12" s="51">
        <f t="shared" si="2"/>
        <v>21610.000000000582</v>
      </c>
      <c r="G12" s="67">
        <f t="shared" si="3"/>
        <v>2014.0520000000542</v>
      </c>
      <c r="H12" s="102">
        <v>65</v>
      </c>
    </row>
    <row r="13" spans="1:8" ht="30.95" customHeight="1">
      <c r="A13" s="101">
        <v>6</v>
      </c>
      <c r="B13" s="75">
        <v>15293.627</v>
      </c>
      <c r="C13" s="39">
        <f t="shared" si="0"/>
        <v>11607.500000000073</v>
      </c>
      <c r="D13" s="76">
        <v>15654.857</v>
      </c>
      <c r="E13" s="39">
        <f t="shared" si="1"/>
        <v>9127.4999999995998</v>
      </c>
      <c r="F13" s="47">
        <f t="shared" si="2"/>
        <v>20734.999999999673</v>
      </c>
      <c r="G13" s="67">
        <f t="shared" si="3"/>
        <v>1932.5019999999695</v>
      </c>
      <c r="H13" s="102">
        <v>58</v>
      </c>
    </row>
    <row r="14" spans="1:8" ht="30.95" customHeight="1">
      <c r="A14" s="99">
        <v>7</v>
      </c>
      <c r="B14" s="77">
        <v>15298.27</v>
      </c>
      <c r="C14" s="70">
        <f t="shared" si="0"/>
        <v>11864.999999997963</v>
      </c>
      <c r="D14" s="103">
        <v>15658.508</v>
      </c>
      <c r="E14" s="70">
        <f t="shared" si="1"/>
        <v>8922.4999999987631</v>
      </c>
      <c r="F14" s="51">
        <f t="shared" si="2"/>
        <v>20787.499999996726</v>
      </c>
      <c r="G14" s="67">
        <f t="shared" si="3"/>
        <v>1937.3949999996948</v>
      </c>
      <c r="H14" s="102">
        <v>59</v>
      </c>
    </row>
    <row r="15" spans="1:8" ht="30.95" customHeight="1">
      <c r="A15" s="101">
        <v>8</v>
      </c>
      <c r="B15" s="75">
        <v>15303.016</v>
      </c>
      <c r="C15" s="39">
        <f t="shared" si="0"/>
        <v>-38257540</v>
      </c>
      <c r="D15" s="78">
        <v>15662.076999999999</v>
      </c>
      <c r="E15" s="39">
        <f t="shared" si="1"/>
        <v>-39155192.5</v>
      </c>
      <c r="F15" s="47">
        <f t="shared" si="2"/>
        <v>-77412732.5</v>
      </c>
      <c r="G15" s="67">
        <f t="shared" si="3"/>
        <v>-7214866.6690000007</v>
      </c>
      <c r="H15" s="102">
        <v>43</v>
      </c>
    </row>
    <row r="16" spans="1:8" ht="30.95" customHeight="1">
      <c r="A16" s="99">
        <v>9</v>
      </c>
      <c r="B16" s="79"/>
      <c r="C16" s="70">
        <f t="shared" si="0"/>
        <v>0</v>
      </c>
      <c r="D16" s="80"/>
      <c r="E16" s="70">
        <f t="shared" si="1"/>
        <v>0</v>
      </c>
      <c r="F16" s="51">
        <f t="shared" si="2"/>
        <v>0</v>
      </c>
      <c r="G16" s="67">
        <f t="shared" si="3"/>
        <v>0</v>
      </c>
      <c r="H16" s="102"/>
    </row>
    <row r="17" spans="1:8" ht="30.95" customHeight="1">
      <c r="A17" s="101">
        <v>10</v>
      </c>
      <c r="B17" s="77"/>
      <c r="C17" s="39">
        <f t="shared" si="0"/>
        <v>0</v>
      </c>
      <c r="D17" s="103"/>
      <c r="E17" s="39">
        <f t="shared" si="1"/>
        <v>0</v>
      </c>
      <c r="F17" s="47">
        <f t="shared" si="2"/>
        <v>0</v>
      </c>
      <c r="G17" s="67">
        <f t="shared" si="3"/>
        <v>0</v>
      </c>
      <c r="H17" s="102"/>
    </row>
    <row r="18" spans="1:8" ht="30.95" customHeight="1">
      <c r="A18" s="99">
        <v>11</v>
      </c>
      <c r="B18" s="75"/>
      <c r="C18" s="70">
        <f t="shared" si="0"/>
        <v>0</v>
      </c>
      <c r="D18" s="78"/>
      <c r="E18" s="70">
        <f t="shared" si="1"/>
        <v>0</v>
      </c>
      <c r="F18" s="51">
        <f t="shared" si="2"/>
        <v>0</v>
      </c>
      <c r="G18" s="67">
        <f t="shared" si="3"/>
        <v>0</v>
      </c>
      <c r="H18" s="102"/>
    </row>
    <row r="19" spans="1:8" ht="30.95" customHeight="1">
      <c r="A19" s="101">
        <v>12</v>
      </c>
      <c r="B19" s="77"/>
      <c r="C19" s="39">
        <f t="shared" si="0"/>
        <v>0</v>
      </c>
      <c r="D19" s="103"/>
      <c r="E19" s="39">
        <f t="shared" si="1"/>
        <v>0</v>
      </c>
      <c r="F19" s="47">
        <f t="shared" si="2"/>
        <v>0</v>
      </c>
      <c r="G19" s="67">
        <f t="shared" si="3"/>
        <v>0</v>
      </c>
      <c r="H19" s="102"/>
    </row>
    <row r="20" spans="1:8" ht="30.95" customHeight="1">
      <c r="A20" s="99">
        <v>13</v>
      </c>
      <c r="B20" s="75"/>
      <c r="C20" s="70">
        <f t="shared" si="0"/>
        <v>0</v>
      </c>
      <c r="D20" s="81"/>
      <c r="E20" s="70">
        <f t="shared" si="1"/>
        <v>0</v>
      </c>
      <c r="F20" s="51">
        <f t="shared" si="2"/>
        <v>0</v>
      </c>
      <c r="G20" s="67">
        <f t="shared" si="3"/>
        <v>0</v>
      </c>
      <c r="H20" s="102"/>
    </row>
    <row r="21" spans="1:8" ht="30.95" customHeight="1">
      <c r="A21" s="101">
        <v>14</v>
      </c>
      <c r="B21" s="75"/>
      <c r="C21" s="39">
        <f t="shared" si="0"/>
        <v>0</v>
      </c>
      <c r="D21" s="78"/>
      <c r="E21" s="39">
        <f t="shared" si="1"/>
        <v>0</v>
      </c>
      <c r="F21" s="47">
        <f t="shared" si="2"/>
        <v>0</v>
      </c>
      <c r="G21" s="67">
        <f t="shared" si="3"/>
        <v>0</v>
      </c>
      <c r="H21" s="102"/>
    </row>
    <row r="22" spans="1:8" ht="30.95" customHeight="1">
      <c r="A22" s="99">
        <v>15</v>
      </c>
      <c r="B22" s="75"/>
      <c r="C22" s="70">
        <f t="shared" si="0"/>
        <v>0</v>
      </c>
      <c r="D22" s="57"/>
      <c r="E22" s="70">
        <f t="shared" si="1"/>
        <v>0</v>
      </c>
      <c r="F22" s="51">
        <f t="shared" si="2"/>
        <v>0</v>
      </c>
      <c r="G22" s="67">
        <f t="shared" si="3"/>
        <v>0</v>
      </c>
      <c r="H22" s="102"/>
    </row>
    <row r="23" spans="1:8" ht="30.95" customHeight="1">
      <c r="A23" s="101">
        <v>16</v>
      </c>
      <c r="B23" s="84"/>
      <c r="C23" s="39">
        <f t="shared" si="0"/>
        <v>0</v>
      </c>
      <c r="D23" s="85"/>
      <c r="E23" s="39">
        <f t="shared" si="1"/>
        <v>0</v>
      </c>
      <c r="F23" s="47">
        <f t="shared" si="2"/>
        <v>0</v>
      </c>
      <c r="G23" s="67">
        <f t="shared" si="3"/>
        <v>0</v>
      </c>
      <c r="H23" s="102"/>
    </row>
    <row r="24" spans="1:8" ht="30.95" customHeight="1">
      <c r="A24" s="99">
        <v>17</v>
      </c>
      <c r="B24" s="86"/>
      <c r="C24" s="70">
        <f t="shared" si="0"/>
        <v>0</v>
      </c>
      <c r="D24" s="103"/>
      <c r="E24" s="70">
        <f t="shared" si="1"/>
        <v>0</v>
      </c>
      <c r="F24" s="51">
        <f t="shared" si="2"/>
        <v>0</v>
      </c>
      <c r="G24" s="67">
        <f t="shared" si="3"/>
        <v>0</v>
      </c>
      <c r="H24" s="102"/>
    </row>
    <row r="25" spans="1:8" ht="30.95" customHeight="1">
      <c r="A25" s="101">
        <v>18</v>
      </c>
      <c r="B25" s="75"/>
      <c r="C25" s="39">
        <f>(B26-B25)*2500</f>
        <v>0</v>
      </c>
      <c r="D25" s="78"/>
      <c r="E25" s="39">
        <f>(D26-D25)*2500</f>
        <v>0</v>
      </c>
      <c r="F25" s="47">
        <f t="shared" si="2"/>
        <v>0</v>
      </c>
      <c r="G25" s="67">
        <f t="shared" si="3"/>
        <v>0</v>
      </c>
      <c r="H25" s="102"/>
    </row>
    <row r="26" spans="1:8" ht="30.95" customHeight="1">
      <c r="A26" s="99">
        <v>19</v>
      </c>
      <c r="B26" s="77"/>
      <c r="C26" s="70">
        <f t="shared" ref="C26:C38" si="4">(B27-B26)*2500</f>
        <v>0</v>
      </c>
      <c r="D26" s="103"/>
      <c r="E26" s="70">
        <f t="shared" ref="E26:E38" si="5">(D27-D26)*2500</f>
        <v>0</v>
      </c>
      <c r="F26" s="47">
        <f t="shared" si="2"/>
        <v>0</v>
      </c>
      <c r="G26" s="67">
        <f t="shared" si="3"/>
        <v>0</v>
      </c>
      <c r="H26" s="102"/>
    </row>
    <row r="27" spans="1:8" ht="30.95" customHeight="1">
      <c r="A27" s="101">
        <v>20</v>
      </c>
      <c r="B27" s="75"/>
      <c r="C27" s="39">
        <f t="shared" si="4"/>
        <v>0</v>
      </c>
      <c r="D27" s="81"/>
      <c r="E27" s="39">
        <f t="shared" si="5"/>
        <v>0</v>
      </c>
      <c r="F27" s="51">
        <f t="shared" si="2"/>
        <v>0</v>
      </c>
      <c r="G27" s="67">
        <f t="shared" si="3"/>
        <v>0</v>
      </c>
      <c r="H27" s="102"/>
    </row>
    <row r="28" spans="1:8" ht="30.95" customHeight="1">
      <c r="A28" s="99">
        <v>21</v>
      </c>
      <c r="B28" s="77"/>
      <c r="C28" s="70">
        <f t="shared" si="4"/>
        <v>0</v>
      </c>
      <c r="D28" s="103"/>
      <c r="E28" s="70">
        <f t="shared" si="5"/>
        <v>0</v>
      </c>
      <c r="F28" s="47">
        <f t="shared" si="2"/>
        <v>0</v>
      </c>
      <c r="G28" s="67">
        <f t="shared" si="3"/>
        <v>0</v>
      </c>
      <c r="H28" s="102"/>
    </row>
    <row r="29" spans="1:8" ht="30.95" customHeight="1">
      <c r="A29" s="101">
        <v>22</v>
      </c>
      <c r="B29" s="75"/>
      <c r="C29" s="39">
        <f t="shared" si="4"/>
        <v>0</v>
      </c>
      <c r="D29" s="78"/>
      <c r="E29" s="39">
        <f t="shared" si="5"/>
        <v>0</v>
      </c>
      <c r="F29" s="51">
        <f t="shared" si="2"/>
        <v>0</v>
      </c>
      <c r="G29" s="67">
        <f t="shared" si="3"/>
        <v>0</v>
      </c>
      <c r="H29" s="102"/>
    </row>
    <row r="30" spans="1:8" ht="30.95" customHeight="1">
      <c r="A30" s="99">
        <v>23</v>
      </c>
      <c r="B30" s="77"/>
      <c r="C30" s="70">
        <f t="shared" si="4"/>
        <v>0</v>
      </c>
      <c r="D30" s="103"/>
      <c r="E30" s="70">
        <f t="shared" si="5"/>
        <v>0</v>
      </c>
      <c r="F30" s="47">
        <f t="shared" si="2"/>
        <v>0</v>
      </c>
      <c r="G30" s="67">
        <f t="shared" si="3"/>
        <v>0</v>
      </c>
      <c r="H30" s="102"/>
    </row>
    <row r="31" spans="1:8" ht="30.95" customHeight="1">
      <c r="A31" s="101">
        <v>24</v>
      </c>
      <c r="B31" s="75"/>
      <c r="C31" s="39">
        <f t="shared" si="4"/>
        <v>0</v>
      </c>
      <c r="D31" s="78"/>
      <c r="E31" s="39">
        <f t="shared" si="5"/>
        <v>0</v>
      </c>
      <c r="F31" s="51">
        <f t="shared" si="2"/>
        <v>0</v>
      </c>
      <c r="G31" s="67">
        <f t="shared" si="3"/>
        <v>0</v>
      </c>
      <c r="H31" s="102"/>
    </row>
    <row r="32" spans="1:8" ht="30.95" customHeight="1">
      <c r="A32" s="99">
        <v>25</v>
      </c>
      <c r="B32" s="77"/>
      <c r="C32" s="70">
        <f t="shared" si="4"/>
        <v>0</v>
      </c>
      <c r="D32" s="103"/>
      <c r="E32" s="70">
        <f t="shared" si="5"/>
        <v>0</v>
      </c>
      <c r="F32" s="47">
        <f t="shared" si="2"/>
        <v>0</v>
      </c>
      <c r="G32" s="67">
        <f t="shared" si="3"/>
        <v>0</v>
      </c>
      <c r="H32" s="102"/>
    </row>
    <row r="33" spans="1:8" ht="30.95" customHeight="1">
      <c r="A33" s="101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2"/>
    </row>
    <row r="34" spans="1:8" ht="30.95" customHeight="1">
      <c r="A34" s="99">
        <v>27</v>
      </c>
      <c r="B34" s="77"/>
      <c r="C34" s="70">
        <f t="shared" si="4"/>
        <v>0</v>
      </c>
      <c r="D34" s="103"/>
      <c r="E34" s="39">
        <f t="shared" si="5"/>
        <v>0</v>
      </c>
      <c r="F34" s="47">
        <f t="shared" si="2"/>
        <v>0</v>
      </c>
      <c r="G34" s="67">
        <f t="shared" si="3"/>
        <v>0</v>
      </c>
      <c r="H34" s="102"/>
    </row>
    <row r="35" spans="1:8" ht="30.95" customHeight="1">
      <c r="A35" s="101">
        <v>28</v>
      </c>
      <c r="B35" s="82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2"/>
    </row>
    <row r="36" spans="1:8" ht="30.95" customHeight="1">
      <c r="A36" s="99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100"/>
    </row>
    <row r="37" spans="1:8" ht="30.95" customHeight="1">
      <c r="A37" s="115">
        <v>30</v>
      </c>
      <c r="B37" s="116"/>
      <c r="C37" s="117">
        <f>(B38-B37)*2500</f>
        <v>0</v>
      </c>
      <c r="D37" s="118"/>
      <c r="E37" s="117">
        <f>(D38-D37)*2500</f>
        <v>0</v>
      </c>
      <c r="F37" s="119">
        <f t="shared" si="2"/>
        <v>0</v>
      </c>
      <c r="G37" s="135">
        <f t="shared" si="3"/>
        <v>0</v>
      </c>
      <c r="H37" s="120"/>
    </row>
    <row r="38" spans="1:8" ht="30.95" customHeight="1">
      <c r="A38" s="107">
        <v>1</v>
      </c>
      <c r="B38" s="109"/>
      <c r="C38" s="110">
        <f t="shared" si="4"/>
        <v>0</v>
      </c>
      <c r="D38" s="111"/>
      <c r="E38" s="110">
        <f t="shared" si="5"/>
        <v>0</v>
      </c>
      <c r="F38" s="112">
        <f t="shared" si="2"/>
        <v>0</v>
      </c>
      <c r="G38" s="113">
        <f t="shared" si="3"/>
        <v>0</v>
      </c>
      <c r="H38" s="114"/>
    </row>
    <row r="39" spans="1:8">
      <c r="B39" s="57"/>
      <c r="C39" s="57"/>
      <c r="D39" s="57"/>
      <c r="E39" s="57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5" activePane="bottomLeft" state="frozen"/>
      <selection pane="bottomLeft" activeCell="O9" sqref="O9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3" t="s">
        <v>14</v>
      </c>
      <c r="B1" s="158" t="s">
        <v>24</v>
      </c>
      <c r="C1" s="159"/>
      <c r="D1" s="160"/>
      <c r="E1" s="161" t="s">
        <v>25</v>
      </c>
      <c r="F1" s="159"/>
      <c r="G1" s="159"/>
      <c r="H1" s="159"/>
      <c r="I1" s="160"/>
      <c r="J1" s="161" t="s">
        <v>26</v>
      </c>
      <c r="K1" s="159"/>
      <c r="L1" s="162"/>
    </row>
    <row r="2" spans="1:12" ht="27" customHeight="1">
      <c r="A2" s="157"/>
      <c r="B2" s="163"/>
      <c r="C2" s="164"/>
      <c r="D2" s="165"/>
      <c r="E2" s="163"/>
      <c r="F2" s="164"/>
      <c r="G2" s="164"/>
      <c r="H2" s="164"/>
      <c r="I2" s="165"/>
      <c r="J2" s="163"/>
      <c r="K2" s="164"/>
      <c r="L2" s="165"/>
    </row>
    <row r="3" spans="1:12" ht="59.25" customHeight="1">
      <c r="A3" s="93" t="s">
        <v>15</v>
      </c>
      <c r="B3" s="17" t="s">
        <v>22</v>
      </c>
      <c r="C3" s="18" t="s">
        <v>27</v>
      </c>
      <c r="D3" s="19" t="s">
        <v>28</v>
      </c>
      <c r="E3" s="90" t="s">
        <v>22</v>
      </c>
      <c r="F3" s="20" t="s">
        <v>23</v>
      </c>
      <c r="G3" s="21" t="s">
        <v>29</v>
      </c>
      <c r="H3" s="21" t="s">
        <v>30</v>
      </c>
      <c r="I3" s="89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1">
        <v>31</v>
      </c>
      <c r="B5" s="91">
        <v>6857851</v>
      </c>
      <c r="C5" s="104">
        <f>B6-B5</f>
        <v>2448</v>
      </c>
      <c r="D5" s="34">
        <f>C5*0.21186441</f>
        <v>518.64407568000001</v>
      </c>
      <c r="E5" s="35">
        <v>533333</v>
      </c>
      <c r="F5" s="105">
        <f>E6-E5</f>
        <v>280</v>
      </c>
      <c r="G5" s="36">
        <f>F5*0.84746</f>
        <v>237.28880000000001</v>
      </c>
      <c r="H5" s="36">
        <f>F5*0.84746</f>
        <v>237.28880000000001</v>
      </c>
      <c r="I5" s="92">
        <f>G5+H5</f>
        <v>474.57760000000002</v>
      </c>
      <c r="J5" s="37">
        <f>5210+6440</f>
        <v>11650</v>
      </c>
      <c r="K5" s="38">
        <f>J5-J6</f>
        <v>-240</v>
      </c>
      <c r="L5" s="39">
        <f>K5*0.7</f>
        <v>-168</v>
      </c>
    </row>
    <row r="6" spans="1:12" ht="32.450000000000003" customHeight="1">
      <c r="A6" s="40">
        <v>1</v>
      </c>
      <c r="B6" s="91">
        <v>6860299</v>
      </c>
      <c r="C6" s="53">
        <f t="shared" ref="C6:C15" si="0">B7-B6</f>
        <v>2488</v>
      </c>
      <c r="D6" s="41">
        <f>C6*0.21186441</f>
        <v>527.11865208000006</v>
      </c>
      <c r="E6" s="42">
        <v>533613</v>
      </c>
      <c r="F6" s="54">
        <f t="shared" ref="F6:F15" si="1">E7-E6</f>
        <v>260</v>
      </c>
      <c r="G6" s="43">
        <f>F6*0.84746</f>
        <v>220.33959999999999</v>
      </c>
      <c r="H6" s="43">
        <f>F6*0.84746</f>
        <v>220.33959999999999</v>
      </c>
      <c r="I6" s="44">
        <f t="shared" ref="I6:I36" si="2">G6+H6</f>
        <v>440.67919999999998</v>
      </c>
      <c r="J6" s="37">
        <f>5450+6440</f>
        <v>11890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6862787</v>
      </c>
      <c r="C7" s="55">
        <f t="shared" si="0"/>
        <v>2422</v>
      </c>
      <c r="D7" s="46">
        <f>C7*0.21186441</f>
        <v>513.13560101999997</v>
      </c>
      <c r="E7" s="47">
        <v>533873</v>
      </c>
      <c r="F7" s="56">
        <f t="shared" si="1"/>
        <v>277</v>
      </c>
      <c r="G7" s="48">
        <f t="shared" ref="G7:G36" si="4">F7*0.84746</f>
        <v>234.74642</v>
      </c>
      <c r="H7" s="48">
        <f t="shared" ref="H7:H36" si="5">F7*0.84746</f>
        <v>234.74642</v>
      </c>
      <c r="I7" s="49">
        <f t="shared" si="2"/>
        <v>469.49284</v>
      </c>
      <c r="J7" s="37">
        <f>5450+6440</f>
        <v>11890</v>
      </c>
      <c r="K7" s="38">
        <f t="shared" si="3"/>
        <v>0</v>
      </c>
      <c r="L7" s="39">
        <f t="shared" ref="L7:L34" si="6">K7*0.7</f>
        <v>0</v>
      </c>
    </row>
    <row r="8" spans="1:12" ht="32.450000000000003" customHeight="1">
      <c r="A8" s="40">
        <v>3</v>
      </c>
      <c r="B8" s="40">
        <v>6865209</v>
      </c>
      <c r="C8" s="53">
        <f t="shared" si="0"/>
        <v>2186</v>
      </c>
      <c r="D8" s="46">
        <f t="shared" ref="D8:D36" si="7">C8*0.21186441</f>
        <v>463.13560025999999</v>
      </c>
      <c r="E8" s="47">
        <v>534150</v>
      </c>
      <c r="F8" s="54">
        <f t="shared" si="1"/>
        <v>276</v>
      </c>
      <c r="G8" s="43">
        <f t="shared" si="4"/>
        <v>233.89895999999999</v>
      </c>
      <c r="H8" s="43">
        <f t="shared" si="5"/>
        <v>233.89895999999999</v>
      </c>
      <c r="I8" s="49">
        <f t="shared" si="2"/>
        <v>467.79791999999998</v>
      </c>
      <c r="J8" s="37">
        <f>5450+6440</f>
        <v>11890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6867395</v>
      </c>
      <c r="C9" s="55">
        <f t="shared" si="0"/>
        <v>2092</v>
      </c>
      <c r="D9" s="46">
        <f t="shared" si="7"/>
        <v>443.22034572000001</v>
      </c>
      <c r="E9" s="47">
        <v>534426</v>
      </c>
      <c r="F9" s="56">
        <f t="shared" si="1"/>
        <v>277</v>
      </c>
      <c r="G9" s="48">
        <f t="shared" si="4"/>
        <v>234.74642</v>
      </c>
      <c r="H9" s="48">
        <f t="shared" si="5"/>
        <v>234.74642</v>
      </c>
      <c r="I9" s="49">
        <f t="shared" si="2"/>
        <v>469.49284</v>
      </c>
      <c r="J9" s="37">
        <f>5450+6440</f>
        <v>11890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6869487</v>
      </c>
      <c r="C10" s="53">
        <f t="shared" si="0"/>
        <v>1898</v>
      </c>
      <c r="D10" s="46">
        <f t="shared" si="7"/>
        <v>402.11865018000003</v>
      </c>
      <c r="E10" s="47">
        <v>534703</v>
      </c>
      <c r="F10" s="54">
        <f t="shared" si="1"/>
        <v>250</v>
      </c>
      <c r="G10" s="43">
        <f t="shared" si="4"/>
        <v>211.86500000000001</v>
      </c>
      <c r="H10" s="43">
        <f t="shared" si="5"/>
        <v>211.86500000000001</v>
      </c>
      <c r="I10" s="49">
        <f t="shared" si="2"/>
        <v>423.73</v>
      </c>
      <c r="J10" s="37">
        <f>5450+6440</f>
        <v>11890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6871385</v>
      </c>
      <c r="C11" s="55">
        <f t="shared" si="0"/>
        <v>1879</v>
      </c>
      <c r="D11" s="46">
        <f t="shared" si="7"/>
        <v>398.09322638999998</v>
      </c>
      <c r="E11" s="47">
        <v>534953</v>
      </c>
      <c r="F11" s="56">
        <f t="shared" si="1"/>
        <v>221</v>
      </c>
      <c r="G11" s="48">
        <f t="shared" si="4"/>
        <v>187.28865999999999</v>
      </c>
      <c r="H11" s="48">
        <f t="shared" si="5"/>
        <v>187.28865999999999</v>
      </c>
      <c r="I11" s="49">
        <f t="shared" si="2"/>
        <v>374.57731999999999</v>
      </c>
      <c r="J11" s="37">
        <f>5450+6440</f>
        <v>11890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6873264</v>
      </c>
      <c r="C12" s="53">
        <f t="shared" si="0"/>
        <v>2028</v>
      </c>
      <c r="D12" s="46">
        <f t="shared" si="7"/>
        <v>429.66102347999998</v>
      </c>
      <c r="E12" s="47">
        <v>535174</v>
      </c>
      <c r="F12" s="54">
        <f t="shared" si="1"/>
        <v>195</v>
      </c>
      <c r="G12" s="43">
        <f t="shared" si="4"/>
        <v>165.25469999999999</v>
      </c>
      <c r="H12" s="43">
        <f t="shared" si="5"/>
        <v>165.25469999999999</v>
      </c>
      <c r="I12" s="49">
        <f t="shared" si="2"/>
        <v>330.50939999999997</v>
      </c>
      <c r="J12" s="37">
        <f>5450+6440</f>
        <v>11890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6875292</v>
      </c>
      <c r="C13" s="55">
        <f t="shared" si="0"/>
        <v>-6875292</v>
      </c>
      <c r="D13" s="46">
        <f t="shared" si="7"/>
        <v>-1456629.6831577199</v>
      </c>
      <c r="E13" s="47">
        <v>535369</v>
      </c>
      <c r="F13" s="56">
        <f t="shared" si="1"/>
        <v>-535369</v>
      </c>
      <c r="G13" s="48">
        <f t="shared" si="4"/>
        <v>-453703.81274000002</v>
      </c>
      <c r="H13" s="48">
        <f t="shared" si="5"/>
        <v>-453703.81274000002</v>
      </c>
      <c r="I13" s="49">
        <f t="shared" si="2"/>
        <v>-907407.62548000005</v>
      </c>
      <c r="J13" s="37">
        <f>5450+6440</f>
        <v>11890</v>
      </c>
      <c r="K13" s="38">
        <f>J13-J14</f>
        <v>11890</v>
      </c>
      <c r="L13" s="39">
        <f t="shared" si="6"/>
        <v>8323</v>
      </c>
    </row>
    <row r="14" spans="1:12" ht="32.450000000000003" customHeight="1">
      <c r="A14" s="40">
        <v>9</v>
      </c>
      <c r="B14" s="40"/>
      <c r="C14" s="53">
        <f t="shared" si="0"/>
        <v>0</v>
      </c>
      <c r="D14" s="46">
        <f t="shared" si="7"/>
        <v>0</v>
      </c>
      <c r="E14" s="47"/>
      <c r="F14" s="54">
        <f t="shared" si="1"/>
        <v>0</v>
      </c>
      <c r="G14" s="48">
        <f t="shared" si="4"/>
        <v>0</v>
      </c>
      <c r="H14" s="43">
        <f t="shared" si="5"/>
        <v>0</v>
      </c>
      <c r="I14" s="49">
        <f t="shared" si="2"/>
        <v>0</v>
      </c>
      <c r="J14" s="37"/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/>
      <c r="C15" s="55">
        <f t="shared" si="0"/>
        <v>0</v>
      </c>
      <c r="D15" s="46">
        <f t="shared" si="7"/>
        <v>0</v>
      </c>
      <c r="E15" s="47"/>
      <c r="F15" s="56">
        <f t="shared" si="1"/>
        <v>0</v>
      </c>
      <c r="G15" s="48">
        <f t="shared" si="4"/>
        <v>0</v>
      </c>
      <c r="H15" s="48">
        <f t="shared" si="5"/>
        <v>0</v>
      </c>
      <c r="I15" s="49">
        <f t="shared" si="2"/>
        <v>0</v>
      </c>
      <c r="J15" s="37"/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/>
      <c r="C16" s="53">
        <f>B17-B16</f>
        <v>0</v>
      </c>
      <c r="D16" s="46">
        <f t="shared" si="7"/>
        <v>0</v>
      </c>
      <c r="E16" s="47"/>
      <c r="F16" s="54">
        <f>E17-E16</f>
        <v>0</v>
      </c>
      <c r="G16" s="43">
        <f t="shared" si="4"/>
        <v>0</v>
      </c>
      <c r="H16" s="43">
        <f t="shared" si="5"/>
        <v>0</v>
      </c>
      <c r="I16" s="49">
        <f t="shared" si="2"/>
        <v>0</v>
      </c>
      <c r="J16" s="37"/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/>
      <c r="C17" s="55">
        <f t="shared" ref="C17:C35" si="8">B18-B17</f>
        <v>0</v>
      </c>
      <c r="D17" s="46">
        <f t="shared" si="7"/>
        <v>0</v>
      </c>
      <c r="E17" s="47"/>
      <c r="F17" s="56">
        <f t="shared" ref="F17:F35" si="9">E18-E17</f>
        <v>0</v>
      </c>
      <c r="G17" s="48">
        <f t="shared" si="4"/>
        <v>0</v>
      </c>
      <c r="H17" s="48">
        <f t="shared" si="5"/>
        <v>0</v>
      </c>
      <c r="I17" s="49">
        <f t="shared" si="2"/>
        <v>0</v>
      </c>
      <c r="J17" s="37"/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/>
      <c r="C18" s="53">
        <f t="shared" si="8"/>
        <v>0</v>
      </c>
      <c r="D18" s="46">
        <f t="shared" si="7"/>
        <v>0</v>
      </c>
      <c r="E18" s="51"/>
      <c r="F18" s="54">
        <f t="shared" si="9"/>
        <v>0</v>
      </c>
      <c r="G18" s="43">
        <f t="shared" si="4"/>
        <v>0</v>
      </c>
      <c r="H18" s="43">
        <f t="shared" si="5"/>
        <v>0</v>
      </c>
      <c r="I18" s="49">
        <f t="shared" si="2"/>
        <v>0</v>
      </c>
      <c r="J18" s="37"/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/>
      <c r="C19" s="55">
        <f t="shared" si="8"/>
        <v>0</v>
      </c>
      <c r="D19" s="46">
        <f t="shared" si="7"/>
        <v>0</v>
      </c>
      <c r="E19" s="52"/>
      <c r="F19" s="56">
        <f t="shared" si="9"/>
        <v>0</v>
      </c>
      <c r="G19" s="48">
        <f t="shared" si="4"/>
        <v>0</v>
      </c>
      <c r="H19" s="48">
        <f t="shared" si="5"/>
        <v>0</v>
      </c>
      <c r="I19" s="49">
        <f t="shared" si="2"/>
        <v>0</v>
      </c>
      <c r="J19" s="50"/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/>
      <c r="C20" s="53">
        <f t="shared" si="8"/>
        <v>0</v>
      </c>
      <c r="D20" s="46">
        <f t="shared" si="7"/>
        <v>0</v>
      </c>
      <c r="E20" s="51"/>
      <c r="F20" s="54">
        <f t="shared" si="9"/>
        <v>0</v>
      </c>
      <c r="G20" s="43">
        <f t="shared" si="4"/>
        <v>0</v>
      </c>
      <c r="H20" s="43">
        <f t="shared" si="5"/>
        <v>0</v>
      </c>
      <c r="I20" s="49">
        <f t="shared" si="2"/>
        <v>0</v>
      </c>
      <c r="J20" s="50"/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6"/>
      <c r="C21" s="55">
        <f t="shared" si="8"/>
        <v>0</v>
      </c>
      <c r="D21" s="46">
        <f t="shared" si="7"/>
        <v>0</v>
      </c>
      <c r="E21" s="87"/>
      <c r="F21" s="56">
        <f t="shared" si="9"/>
        <v>0</v>
      </c>
      <c r="G21" s="48">
        <f t="shared" si="4"/>
        <v>0</v>
      </c>
      <c r="H21" s="48">
        <f t="shared" si="5"/>
        <v>0</v>
      </c>
      <c r="I21" s="49">
        <f t="shared" si="2"/>
        <v>0</v>
      </c>
      <c r="J21" s="88"/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/>
      <c r="C22" s="53">
        <f t="shared" si="8"/>
        <v>0</v>
      </c>
      <c r="D22" s="46">
        <f t="shared" si="7"/>
        <v>0</v>
      </c>
      <c r="E22" s="52"/>
      <c r="F22" s="54">
        <f t="shared" si="9"/>
        <v>0</v>
      </c>
      <c r="G22" s="43">
        <f t="shared" si="4"/>
        <v>0</v>
      </c>
      <c r="H22" s="43">
        <f t="shared" si="5"/>
        <v>0</v>
      </c>
      <c r="I22" s="49">
        <f t="shared" si="2"/>
        <v>0</v>
      </c>
      <c r="J22" s="50"/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4"/>
        <v>0</v>
      </c>
      <c r="H23" s="48">
        <f t="shared" si="5"/>
        <v>0</v>
      </c>
      <c r="I23" s="49">
        <f t="shared" si="2"/>
        <v>0</v>
      </c>
      <c r="J23" s="50"/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4"/>
        <v>0</v>
      </c>
      <c r="H24" s="43">
        <f t="shared" si="5"/>
        <v>0</v>
      </c>
      <c r="I24" s="49">
        <f t="shared" si="2"/>
        <v>0</v>
      </c>
      <c r="J24" s="50"/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4"/>
        <v>0</v>
      </c>
      <c r="H25" s="48">
        <f t="shared" si="5"/>
        <v>0</v>
      </c>
      <c r="I25" s="49">
        <f t="shared" si="2"/>
        <v>0</v>
      </c>
      <c r="J25" s="50"/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4"/>
        <v>0</v>
      </c>
      <c r="H26" s="43">
        <f t="shared" si="5"/>
        <v>0</v>
      </c>
      <c r="I26" s="49">
        <f t="shared" si="2"/>
        <v>0</v>
      </c>
      <c r="J26" s="50"/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27">
        <v>30</v>
      </c>
      <c r="B35" s="128"/>
      <c r="C35" s="129">
        <f t="shared" si="8"/>
        <v>0</v>
      </c>
      <c r="D35" s="130">
        <f t="shared" si="7"/>
        <v>0</v>
      </c>
      <c r="E35" s="119"/>
      <c r="F35" s="129">
        <f t="shared" si="9"/>
        <v>0</v>
      </c>
      <c r="G35" s="131">
        <f t="shared" si="4"/>
        <v>0</v>
      </c>
      <c r="H35" s="131">
        <f t="shared" si="5"/>
        <v>0</v>
      </c>
      <c r="I35" s="132">
        <f t="shared" si="2"/>
        <v>0</v>
      </c>
      <c r="J35" s="133"/>
      <c r="K35" s="134">
        <f t="shared" si="3"/>
        <v>0</v>
      </c>
      <c r="L35" s="117">
        <f>K35*0.7</f>
        <v>0</v>
      </c>
    </row>
    <row r="36" spans="1:12" ht="32.450000000000003" customHeight="1">
      <c r="A36" s="107">
        <v>1</v>
      </c>
      <c r="B36" s="109"/>
      <c r="C36" s="121">
        <f t="shared" ref="C36" si="10">B37-B36</f>
        <v>0</v>
      </c>
      <c r="D36" s="122">
        <f t="shared" si="7"/>
        <v>0</v>
      </c>
      <c r="E36" s="112"/>
      <c r="F36" s="121">
        <f t="shared" ref="F36" si="11">E37-E36</f>
        <v>0</v>
      </c>
      <c r="G36" s="123">
        <f t="shared" ref="G36" si="12">F36*0.84746</f>
        <v>0</v>
      </c>
      <c r="H36" s="123">
        <f t="shared" ref="H36" si="13">F36*0.84746</f>
        <v>0</v>
      </c>
      <c r="I36" s="108">
        <f t="shared" ref="I36" si="14">G36+H36</f>
        <v>0</v>
      </c>
      <c r="J36" s="124"/>
      <c r="K36" s="125">
        <f t="shared" ref="K36" si="15">J36-J37</f>
        <v>0</v>
      </c>
      <c r="L36" s="126">
        <f>K36*0.7</f>
        <v>0</v>
      </c>
    </row>
    <row r="37" spans="1:12">
      <c r="B37" s="57"/>
      <c r="C37" s="58"/>
      <c r="D37" s="58"/>
      <c r="J37" s="57"/>
      <c r="K37" s="57"/>
      <c r="L37" s="57"/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2022-06-09T05:18:50Z</dcterms:modified>
  <cp:category/>
  <cp:contentStatus/>
</cp:coreProperties>
</file>