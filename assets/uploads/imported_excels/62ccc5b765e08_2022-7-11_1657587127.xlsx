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4" i="2" l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N14" i="2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4" i="2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J14" i="2"/>
  <c r="J15" i="2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H14" i="2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4" i="2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B34" i="4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E12" i="2" l="1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14" i="4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14" i="4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14" i="4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14" i="4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14" i="4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14" i="4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G14" i="4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F33" i="4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D14" i="2" l="1"/>
  <c r="E13" i="2"/>
  <c r="K25" i="4"/>
  <c r="K32" i="4"/>
  <c r="K24" i="4"/>
  <c r="K31" i="4"/>
  <c r="K23" i="4"/>
  <c r="K30" i="4"/>
  <c r="K20" i="4"/>
  <c r="K29" i="4"/>
  <c r="K19" i="4"/>
  <c r="K26" i="4"/>
  <c r="K18" i="4"/>
  <c r="I33" i="4"/>
  <c r="J32" i="8"/>
  <c r="Y32" i="8" s="1"/>
  <c r="Z33" i="4"/>
  <c r="X33" i="4"/>
  <c r="K28" i="4"/>
  <c r="K22" i="4"/>
  <c r="K27" i="4"/>
  <c r="K21" i="4"/>
  <c r="H9" i="4"/>
  <c r="T2" i="1"/>
  <c r="K7" i="9"/>
  <c r="D15" i="2" l="1"/>
  <c r="E14" i="2"/>
  <c r="Y33" i="4"/>
  <c r="G4" i="3"/>
  <c r="D16" i="2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D17" i="2" l="1"/>
  <c r="E16" i="2"/>
  <c r="U64" i="10"/>
  <c r="D18" i="2" l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J30" i="8" s="1"/>
  <c r="H32" i="4"/>
  <c r="D19" i="2" l="1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D20" i="2" l="1"/>
  <c r="E19" i="2"/>
  <c r="K34" i="4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D21" i="2" l="1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D22" i="2" l="1"/>
  <c r="E21" i="2"/>
  <c r="AA34" i="4"/>
  <c r="Y34" i="4"/>
  <c r="AE7" i="1"/>
  <c r="D23" i="2" l="1"/>
  <c r="E22" i="2"/>
  <c r="AE8" i="1"/>
  <c r="AC6" i="8"/>
  <c r="D24" i="2" l="1"/>
  <c r="E23" i="2"/>
  <c r="M3" i="2"/>
  <c r="D25" i="2" l="1"/>
  <c r="E24" i="2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G13" i="8" s="1"/>
  <c r="AB13" i="8"/>
  <c r="AB12" i="8"/>
  <c r="G25" i="3"/>
  <c r="G24" i="8" s="1"/>
  <c r="G26" i="3"/>
  <c r="G25" i="8" s="1"/>
  <c r="G27" i="3"/>
  <c r="G26" i="8" s="1"/>
  <c r="Z13" i="8" l="1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5" i="8" s="1"/>
  <c r="G17" i="3"/>
  <c r="G16" i="8" s="1"/>
  <c r="G18" i="3"/>
  <c r="G17" i="8" s="1"/>
  <c r="S33" i="1" l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H15" i="8" s="1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S34" i="2" l="1"/>
  <c r="AC32" i="8"/>
  <c r="Z10" i="8"/>
  <c r="E10" i="9" s="1"/>
  <c r="AE4" i="8"/>
  <c r="I4" i="9"/>
  <c r="Z11" i="8"/>
  <c r="E11" i="9" s="1"/>
  <c r="Z12" i="8"/>
  <c r="E12" i="9" s="1"/>
  <c r="T30" i="1" l="1"/>
  <c r="U30" i="1" s="1"/>
  <c r="G34" i="2" l="1"/>
  <c r="Z32" i="8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<sst xmlns="http://schemas.openxmlformats.org/spreadsheetml/2006/main" count="514" uniqueCount="151">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</sst>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E11" sqref="E11:K11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1670.2421999999999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1472.6669999999999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58933.011824000001</v>
      </c>
      <c r="F8" s="138">
        <v>1.27</v>
      </c>
      <c r="G8" s="36">
        <f>Gas!C9*0.9147</f>
        <v>1740.6741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1570.5399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76732.061163999999</v>
      </c>
      <c r="F11" s="138">
        <v>1.27</v>
      </c>
      <c r="G11" s="36">
        <f>Gas!C12*0.9147</f>
        <v>950.37329999999997</v>
      </c>
      <c r="H11" s="139">
        <v>3.65</v>
      </c>
      <c r="I11" s="141">
        <f>Submetering!H11+Submetering!AD11+Submetering!AE11</f>
        <v>896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58410.201519999995</v>
      </c>
      <c r="F12" s="138">
        <v>1.27</v>
      </c>
      <c r="G12" s="36">
        <f>Gas!C13*0.9147</f>
        <v>1179.0482999999999</v>
      </c>
      <c r="H12" s="139">
        <v>3.65</v>
      </c>
      <c r="I12" s="141">
        <f>Submetering!H12+Submetering!AD12+Submetering!AE12</f>
        <v>946</v>
      </c>
      <c r="J12" s="141">
        <v>10.029999999999999</v>
      </c>
      <c r="K12" s="36">
        <f>ELECT.!B13</f>
        <v>241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43" sqref="B4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6039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1090</v>
      </c>
      <c r="F11" s="36">
        <f>Water!E12</f>
        <v>260</v>
      </c>
      <c r="G11" s="36">
        <f>Water!G12</f>
        <v>429.3</v>
      </c>
      <c r="H11" s="36">
        <f>Water!I12</f>
        <v>4.4820000000000002</v>
      </c>
      <c r="I11" s="36">
        <f>ELECT.!F12</f>
        <v>23140</v>
      </c>
      <c r="J11" s="36">
        <f>ELECT.!H12</f>
        <v>56203</v>
      </c>
      <c r="K11" s="36">
        <f>ELECT.!K12</f>
        <v>11054</v>
      </c>
      <c r="L11" s="36">
        <f>ELECT.!M12</f>
        <v>6255</v>
      </c>
      <c r="M11" s="36">
        <f>ELECT.!O12</f>
        <v>16690</v>
      </c>
      <c r="N11" s="36">
        <f>ELECT.!Q12</f>
        <v>15378</v>
      </c>
      <c r="O11" s="36">
        <f>ELECT.!S12</f>
        <v>11165</v>
      </c>
      <c r="P11" s="36">
        <f>ELECT.!W12*2</f>
        <v>22856</v>
      </c>
      <c r="Q11" s="36">
        <f>ELECT.!D12</f>
        <v>480</v>
      </c>
      <c r="R11" s="141">
        <f>BTU!C12</f>
        <v>13.066999999999098</v>
      </c>
      <c r="S11" s="141">
        <f>BTU!F12</f>
        <v>1.2600000000002183</v>
      </c>
      <c r="T11" s="141">
        <f>BTU!I12</f>
        <v>6</v>
      </c>
      <c r="U11" s="141">
        <f>BTU!O12</f>
        <v>1.6269999999999527</v>
      </c>
      <c r="V11" s="141">
        <f>BTU!L12</f>
        <v>2.1900000000005093</v>
      </c>
      <c r="W11" s="141">
        <f>BTU!R12</f>
        <v>2.6700000000000728</v>
      </c>
      <c r="X11" s="34">
        <f>ELECT.!B12</f>
        <v>222</v>
      </c>
      <c r="Y11" s="34">
        <f t="shared" si="0"/>
        <v>-4055</v>
      </c>
      <c r="Z11">
        <f>'Mall, Citadel, Rotana'!C12+'Mall, Citadel, Rotana'!E12+'Mall, Citadel, Rotana'!G12+'Mall, Citadel, Rotana'!I12</f>
        <v>1228</v>
      </c>
      <c r="AA11">
        <f>'Mall, Citadel, Rotana'!K12+'Mall, Citadel, Rotana'!M12</f>
        <v>218</v>
      </c>
      <c r="AB11">
        <f>'Mall, Citadel, Rotana'!O12</f>
        <v>3</v>
      </c>
      <c r="AC11">
        <f>'Mall, Citadel, Rotana'!Q12+'Mall, Citadel, Rotana'!S12</f>
        <v>0</v>
      </c>
      <c r="AD11" s="34">
        <f t="shared" si="1"/>
        <v>117.5020724</v>
      </c>
      <c r="AE11" s="34">
        <f t="shared" si="2"/>
        <v>774.01592760000005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1140</v>
      </c>
      <c r="F12" s="36">
        <f>Water!E13</f>
        <v>460</v>
      </c>
      <c r="G12" s="36">
        <f>Water!G13</f>
        <v>267.3</v>
      </c>
      <c r="H12" s="36">
        <f>Water!I13</f>
        <v>4.3469999999999995</v>
      </c>
      <c r="I12" s="36">
        <f>ELECT.!F13</f>
        <v>17666</v>
      </c>
      <c r="J12" s="36">
        <f>ELECT.!H13</f>
        <v>43109</v>
      </c>
      <c r="K12" s="36">
        <f>ELECT.!K13</f>
        <v>8446</v>
      </c>
      <c r="L12" s="36">
        <f>ELECT.!M13</f>
        <v>4976</v>
      </c>
      <c r="M12" s="36">
        <f>ELECT.!O13</f>
        <v>12510</v>
      </c>
      <c r="N12" s="36">
        <f>ELECT.!Q13</f>
        <v>11272</v>
      </c>
      <c r="O12" s="36">
        <f>ELECT.!S13</f>
        <v>8452</v>
      </c>
      <c r="P12" s="36">
        <f>ELECT.!W13*2</f>
        <v>18228</v>
      </c>
      <c r="Q12" s="36">
        <f>ELECT.!D13</f>
        <v>480</v>
      </c>
      <c r="R12" s="141">
        <f>BTU!C13</f>
        <v>12.687999999998283</v>
      </c>
      <c r="S12" s="141">
        <f>BTU!F13</f>
        <v>1.3579999999992651</v>
      </c>
      <c r="T12" s="141">
        <f>BTU!I13</f>
        <v>5</v>
      </c>
      <c r="U12" s="141">
        <f>BTU!O13</f>
        <v>1.56899999999996</v>
      </c>
      <c r="V12" s="141">
        <f>BTU!L13</f>
        <v>4.5899999999983265</v>
      </c>
      <c r="W12" s="141">
        <f>BTU!R13</f>
        <v>1.9000000000005457</v>
      </c>
      <c r="X12" s="34">
        <f>ELECT.!B13</f>
        <v>241</v>
      </c>
      <c r="Y12" s="34">
        <f t="shared" si="0"/>
        <v>-3109</v>
      </c>
      <c r="Z12">
        <f>'Mall, Citadel, Rotana'!C13+'Mall, Citadel, Rotana'!E13+'Mall, Citadel, Rotana'!G13+'Mall, Citadel, Rotana'!I13</f>
        <v>1233</v>
      </c>
      <c r="AA12">
        <f>'Mall, Citadel, Rotana'!K13+'Mall, Citadel, Rotana'!M13</f>
        <v>276</v>
      </c>
      <c r="AB12">
        <f>'Mall, Citadel, Rotana'!O13</f>
        <v>3</v>
      </c>
      <c r="AC12">
        <f>'Mall, Citadel, Rotana'!Q13+'Mall, Citadel, Rotana'!S13</f>
        <v>0</v>
      </c>
      <c r="AD12" s="34">
        <f t="shared" si="1"/>
        <v>124.1098654</v>
      </c>
      <c r="AE12" s="34">
        <f t="shared" si="2"/>
        <v>817.54313460000003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 t="str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 t="str">
        <f>BTU!C14</f>
        <v>0</v>
      </c>
      <c r="S13" s="141" t="str">
        <f>BTU!F14</f>
        <v>0</v>
      </c>
      <c r="T13" s="141" t="str">
        <f>BTU!I14</f>
        <v>0</v>
      </c>
      <c r="U13" s="141" t="str">
        <f>BTU!O14</f>
        <v>0</v>
      </c>
      <c r="V13" s="141" t="str">
        <f>BTU!L14</f>
        <v>0</v>
      </c>
      <c r="W13" s="141" t="str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B13" sqref="B13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v>47275</v>
      </c>
      <c r="C12" s="14">
        <f t="shared" si="1"/>
        <v>640</v>
      </c>
      <c r="D12" s="32">
        <v>40767</v>
      </c>
      <c r="E12" s="14">
        <f t="shared" si="2"/>
        <v>480</v>
      </c>
      <c r="F12" s="32">
        <v>21828</v>
      </c>
      <c r="G12" s="14">
        <f t="shared" si="3"/>
        <v>80</v>
      </c>
      <c r="H12" s="32">
        <v>256435</v>
      </c>
      <c r="I12" s="14">
        <f t="shared" si="4"/>
        <v>28</v>
      </c>
      <c r="J12" s="32">
        <v>322611</v>
      </c>
      <c r="K12" s="14">
        <f t="shared" si="5"/>
        <v>98</v>
      </c>
      <c r="L12" s="32">
        <v>26293</v>
      </c>
      <c r="M12" s="14">
        <f t="shared" si="6"/>
        <v>120</v>
      </c>
      <c r="N12" s="32">
        <v>226164</v>
      </c>
      <c r="O12" s="14">
        <f t="shared" si="7"/>
        <v>3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v>4020</v>
      </c>
      <c r="U12" s="14">
        <f t="shared" si="8"/>
        <v>160</v>
      </c>
    </row>
    <row r="13" spans="1:24" ht="13.5" thickBot="1" x14ac:dyDescent="0.25">
      <c r="A13" s="9">
        <v>44753</v>
      </c>
      <c r="B13" s="32">
        <v>47279</v>
      </c>
      <c r="C13" s="14">
        <f t="shared" si="1"/>
        <v>640</v>
      </c>
      <c r="D13" s="32">
        <v>40770</v>
      </c>
      <c r="E13" s="14">
        <f t="shared" si="2"/>
        <v>480</v>
      </c>
      <c r="F13" s="32">
        <v>21832</v>
      </c>
      <c r="G13" s="14">
        <f t="shared" si="3"/>
        <v>80</v>
      </c>
      <c r="H13" s="32">
        <v>256468</v>
      </c>
      <c r="I13" s="14">
        <f t="shared" si="4"/>
        <v>33</v>
      </c>
      <c r="J13" s="32">
        <v>322707</v>
      </c>
      <c r="K13" s="14">
        <f t="shared" si="5"/>
        <v>96</v>
      </c>
      <c r="L13" s="32">
        <v>26296</v>
      </c>
      <c r="M13" s="14">
        <f t="shared" si="6"/>
        <v>180</v>
      </c>
      <c r="N13" s="32">
        <v>226167</v>
      </c>
      <c r="O13" s="14">
        <f t="shared" si="7"/>
        <v>3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v>4020</v>
      </c>
      <c r="U13" s="14">
        <f t="shared" si="8"/>
        <v>0</v>
      </c>
    </row>
    <row r="14" spans="1:24" ht="13.5" thickBot="1" x14ac:dyDescent="0.25">
      <c r="A14" s="9">
        <v>44754</v>
      </c>
      <c r="B14" s="32">
        <f t="shared" ref="B14:B33" si="10">B13</f>
        <v>47279</v>
      </c>
      <c r="C14" s="14">
        <f t="shared" si="1"/>
        <v>0</v>
      </c>
      <c r="D14" s="32">
        <f t="shared" ref="D13:D33" si="11">D13</f>
        <v>40770</v>
      </c>
      <c r="E14" s="14">
        <f t="shared" si="2"/>
        <v>0</v>
      </c>
      <c r="F14" s="32">
        <f t="shared" ref="F13:F33" si="12">F13</f>
        <v>21832</v>
      </c>
      <c r="G14" s="14">
        <f t="shared" si="3"/>
        <v>0</v>
      </c>
      <c r="H14" s="32">
        <f t="shared" ref="H13:H33" si="13">H13</f>
        <v>256468</v>
      </c>
      <c r="I14" s="14">
        <f t="shared" si="4"/>
        <v>0</v>
      </c>
      <c r="J14" s="32">
        <f t="shared" ref="J13:J33" si="14">J13</f>
        <v>322707</v>
      </c>
      <c r="K14" s="14">
        <f t="shared" si="5"/>
        <v>0</v>
      </c>
      <c r="L14" s="32">
        <f t="shared" ref="L13:L33" si="15">L13</f>
        <v>26296</v>
      </c>
      <c r="M14" s="14">
        <f t="shared" si="6"/>
        <v>0</v>
      </c>
      <c r="N14" s="32">
        <f t="shared" ref="N13:N33" si="16">N13</f>
        <v>226167</v>
      </c>
      <c r="O14" s="14">
        <f t="shared" si="7"/>
        <v>0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f t="shared" ref="T13:T33" si="17">T13</f>
        <v>4020</v>
      </c>
      <c r="U14" s="14">
        <f t="shared" si="8"/>
        <v>0</v>
      </c>
    </row>
    <row r="15" spans="1:24" ht="13.5" thickBot="1" x14ac:dyDescent="0.25">
      <c r="A15" s="9">
        <v>44755</v>
      </c>
      <c r="B15" s="32">
        <f t="shared" si="10"/>
        <v>47279</v>
      </c>
      <c r="C15" s="14">
        <f t="shared" si="1"/>
        <v>0</v>
      </c>
      <c r="D15" s="32">
        <f t="shared" si="11"/>
        <v>40770</v>
      </c>
      <c r="E15" s="14">
        <f t="shared" si="2"/>
        <v>0</v>
      </c>
      <c r="F15" s="32">
        <f t="shared" si="12"/>
        <v>21832</v>
      </c>
      <c r="G15" s="14">
        <f t="shared" si="3"/>
        <v>0</v>
      </c>
      <c r="H15" s="32">
        <f t="shared" si="13"/>
        <v>256468</v>
      </c>
      <c r="I15" s="14">
        <f t="shared" si="4"/>
        <v>0</v>
      </c>
      <c r="J15" s="32">
        <f t="shared" si="14"/>
        <v>322707</v>
      </c>
      <c r="K15" s="14">
        <f t="shared" si="5"/>
        <v>0</v>
      </c>
      <c r="L15" s="32">
        <f t="shared" si="15"/>
        <v>26296</v>
      </c>
      <c r="M15" s="14">
        <f t="shared" si="6"/>
        <v>0</v>
      </c>
      <c r="N15" s="32">
        <f t="shared" si="16"/>
        <v>226167</v>
      </c>
      <c r="O15" s="14">
        <f t="shared" si="7"/>
        <v>0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f t="shared" si="17"/>
        <v>4020</v>
      </c>
      <c r="U15" s="14">
        <f t="shared" si="8"/>
        <v>0</v>
      </c>
      <c r="X15" t="s">
        <v>12</v>
      </c>
    </row>
    <row r="16" spans="1:24" ht="13.5" thickBot="1" x14ac:dyDescent="0.25">
      <c r="A16" s="9">
        <v>44756</v>
      </c>
      <c r="B16" s="32">
        <f t="shared" si="10"/>
        <v>47279</v>
      </c>
      <c r="C16" s="14">
        <f t="shared" si="1"/>
        <v>0</v>
      </c>
      <c r="D16" s="32">
        <f t="shared" si="11"/>
        <v>40770</v>
      </c>
      <c r="E16" s="14">
        <f t="shared" si="2"/>
        <v>0</v>
      </c>
      <c r="F16" s="32">
        <f t="shared" si="12"/>
        <v>21832</v>
      </c>
      <c r="G16" s="14">
        <f t="shared" si="3"/>
        <v>0</v>
      </c>
      <c r="H16" s="32">
        <f t="shared" si="13"/>
        <v>256468</v>
      </c>
      <c r="I16" s="14">
        <f t="shared" si="4"/>
        <v>0</v>
      </c>
      <c r="J16" s="32">
        <f t="shared" si="14"/>
        <v>322707</v>
      </c>
      <c r="K16" s="14">
        <f t="shared" si="5"/>
        <v>0</v>
      </c>
      <c r="L16" s="32">
        <f t="shared" si="15"/>
        <v>26296</v>
      </c>
      <c r="M16" s="14">
        <f t="shared" si="6"/>
        <v>0</v>
      </c>
      <c r="N16" s="32">
        <f t="shared" si="16"/>
        <v>226167</v>
      </c>
      <c r="O16" s="14">
        <f t="shared" si="7"/>
        <v>0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f t="shared" si="17"/>
        <v>4020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f t="shared" si="10"/>
        <v>47279</v>
      </c>
      <c r="C17" s="14">
        <f t="shared" si="1"/>
        <v>0</v>
      </c>
      <c r="D17" s="32">
        <f t="shared" si="11"/>
        <v>40770</v>
      </c>
      <c r="E17" s="14">
        <f t="shared" si="2"/>
        <v>0</v>
      </c>
      <c r="F17" s="32">
        <f t="shared" si="12"/>
        <v>21832</v>
      </c>
      <c r="G17" s="14">
        <f t="shared" si="3"/>
        <v>0</v>
      </c>
      <c r="H17" s="32">
        <f t="shared" si="13"/>
        <v>256468</v>
      </c>
      <c r="I17" s="14">
        <f t="shared" si="4"/>
        <v>0</v>
      </c>
      <c r="J17" s="32">
        <f t="shared" si="14"/>
        <v>322707</v>
      </c>
      <c r="K17" s="14">
        <f t="shared" si="5"/>
        <v>0</v>
      </c>
      <c r="L17" s="32">
        <f t="shared" si="15"/>
        <v>26296</v>
      </c>
      <c r="M17" s="14">
        <f t="shared" si="6"/>
        <v>0</v>
      </c>
      <c r="N17" s="32">
        <f t="shared" si="16"/>
        <v>226167</v>
      </c>
      <c r="O17" s="14">
        <f t="shared" si="7"/>
        <v>0</v>
      </c>
      <c r="P17" s="32">
        <v>159014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7"/>
        <v>4020</v>
      </c>
      <c r="U17" s="14">
        <f t="shared" si="8"/>
        <v>0</v>
      </c>
    </row>
    <row r="18" spans="1:23" ht="13.5" thickBot="1" x14ac:dyDescent="0.25">
      <c r="A18" s="9">
        <v>44758</v>
      </c>
      <c r="B18" s="32">
        <f t="shared" si="10"/>
        <v>47279</v>
      </c>
      <c r="C18" s="14">
        <f t="shared" si="1"/>
        <v>0</v>
      </c>
      <c r="D18" s="32">
        <f t="shared" si="11"/>
        <v>40770</v>
      </c>
      <c r="E18" s="14">
        <f t="shared" si="2"/>
        <v>0</v>
      </c>
      <c r="F18" s="32">
        <f t="shared" si="12"/>
        <v>21832</v>
      </c>
      <c r="G18" s="14">
        <f t="shared" si="3"/>
        <v>0</v>
      </c>
      <c r="H18" s="32">
        <f t="shared" si="13"/>
        <v>256468</v>
      </c>
      <c r="I18" s="14">
        <f t="shared" si="4"/>
        <v>0</v>
      </c>
      <c r="J18" s="32">
        <f t="shared" si="14"/>
        <v>322707</v>
      </c>
      <c r="K18" s="14">
        <f t="shared" si="5"/>
        <v>0</v>
      </c>
      <c r="L18" s="32">
        <f t="shared" si="15"/>
        <v>26296</v>
      </c>
      <c r="M18" s="14">
        <f t="shared" si="6"/>
        <v>0</v>
      </c>
      <c r="N18" s="32">
        <f t="shared" si="16"/>
        <v>226167</v>
      </c>
      <c r="O18" s="14">
        <f t="shared" si="7"/>
        <v>0</v>
      </c>
      <c r="P18" s="32">
        <v>159014</v>
      </c>
      <c r="Q18" s="14">
        <f t="shared" si="0"/>
        <v>0</v>
      </c>
      <c r="R18" s="1">
        <v>55047</v>
      </c>
      <c r="S18" s="14">
        <f t="shared" si="9"/>
        <v>0</v>
      </c>
      <c r="T18" s="32">
        <f t="shared" si="17"/>
        <v>4020</v>
      </c>
      <c r="U18" s="14">
        <f t="shared" si="8"/>
        <v>0</v>
      </c>
    </row>
    <row r="19" spans="1:23" ht="13.5" thickBot="1" x14ac:dyDescent="0.25">
      <c r="A19" s="9">
        <v>44759</v>
      </c>
      <c r="B19" s="32">
        <f t="shared" si="10"/>
        <v>47279</v>
      </c>
      <c r="C19" s="14">
        <f t="shared" si="1"/>
        <v>0</v>
      </c>
      <c r="D19" s="32">
        <f t="shared" si="11"/>
        <v>40770</v>
      </c>
      <c r="E19" s="14">
        <f t="shared" si="2"/>
        <v>0</v>
      </c>
      <c r="F19" s="32">
        <f t="shared" si="12"/>
        <v>21832</v>
      </c>
      <c r="G19" s="14">
        <f t="shared" si="3"/>
        <v>0</v>
      </c>
      <c r="H19" s="32">
        <f t="shared" si="13"/>
        <v>256468</v>
      </c>
      <c r="I19" s="14">
        <f t="shared" si="4"/>
        <v>0</v>
      </c>
      <c r="J19" s="32">
        <f t="shared" si="14"/>
        <v>322707</v>
      </c>
      <c r="K19" s="14">
        <f t="shared" si="5"/>
        <v>0</v>
      </c>
      <c r="L19" s="32">
        <f t="shared" si="15"/>
        <v>26296</v>
      </c>
      <c r="M19" s="14">
        <f t="shared" si="6"/>
        <v>0</v>
      </c>
      <c r="N19" s="32">
        <f t="shared" si="16"/>
        <v>226167</v>
      </c>
      <c r="O19" s="14">
        <f t="shared" si="7"/>
        <v>0</v>
      </c>
      <c r="P19" s="32">
        <v>159014</v>
      </c>
      <c r="Q19" s="14">
        <f t="shared" si="0"/>
        <v>0</v>
      </c>
      <c r="R19" s="1">
        <v>55047</v>
      </c>
      <c r="S19" s="14">
        <f t="shared" si="9"/>
        <v>0</v>
      </c>
      <c r="T19" s="32">
        <f t="shared" si="17"/>
        <v>4020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f t="shared" si="10"/>
        <v>47279</v>
      </c>
      <c r="C20" s="14">
        <f t="shared" si="1"/>
        <v>0</v>
      </c>
      <c r="D20" s="32">
        <f t="shared" si="11"/>
        <v>40770</v>
      </c>
      <c r="E20" s="14">
        <f t="shared" si="2"/>
        <v>0</v>
      </c>
      <c r="F20" s="32">
        <f t="shared" si="12"/>
        <v>21832</v>
      </c>
      <c r="G20" s="14">
        <f t="shared" si="3"/>
        <v>0</v>
      </c>
      <c r="H20" s="32">
        <f t="shared" si="13"/>
        <v>256468</v>
      </c>
      <c r="I20" s="14">
        <f t="shared" si="4"/>
        <v>0</v>
      </c>
      <c r="J20" s="32">
        <f t="shared" si="14"/>
        <v>322707</v>
      </c>
      <c r="K20" s="14">
        <f t="shared" si="5"/>
        <v>0</v>
      </c>
      <c r="L20" s="32">
        <f t="shared" si="15"/>
        <v>26296</v>
      </c>
      <c r="M20" s="14">
        <f t="shared" si="6"/>
        <v>0</v>
      </c>
      <c r="N20" s="32">
        <f t="shared" si="16"/>
        <v>226167</v>
      </c>
      <c r="O20" s="14">
        <f t="shared" si="7"/>
        <v>0</v>
      </c>
      <c r="P20" s="32">
        <v>159014</v>
      </c>
      <c r="Q20" s="14">
        <f t="shared" si="0"/>
        <v>0</v>
      </c>
      <c r="R20" s="1">
        <v>55047</v>
      </c>
      <c r="S20" s="14">
        <f t="shared" si="9"/>
        <v>0</v>
      </c>
      <c r="T20" s="32">
        <f t="shared" si="17"/>
        <v>4020</v>
      </c>
      <c r="U20" s="14">
        <f t="shared" si="8"/>
        <v>0</v>
      </c>
    </row>
    <row r="21" spans="1:23" ht="13.5" thickBot="1" x14ac:dyDescent="0.25">
      <c r="A21" s="9">
        <v>44761</v>
      </c>
      <c r="B21" s="32">
        <f t="shared" si="10"/>
        <v>47279</v>
      </c>
      <c r="C21" s="14">
        <f t="shared" si="1"/>
        <v>0</v>
      </c>
      <c r="D21" s="32">
        <f t="shared" si="11"/>
        <v>40770</v>
      </c>
      <c r="E21" s="14">
        <f t="shared" si="2"/>
        <v>0</v>
      </c>
      <c r="F21" s="32">
        <f t="shared" si="12"/>
        <v>21832</v>
      </c>
      <c r="G21" s="14">
        <f t="shared" si="3"/>
        <v>0</v>
      </c>
      <c r="H21" s="32">
        <f t="shared" si="13"/>
        <v>256468</v>
      </c>
      <c r="I21" s="14">
        <f t="shared" si="4"/>
        <v>0</v>
      </c>
      <c r="J21" s="32">
        <f t="shared" si="14"/>
        <v>322707</v>
      </c>
      <c r="K21" s="14">
        <f t="shared" si="5"/>
        <v>0</v>
      </c>
      <c r="L21" s="32">
        <f t="shared" si="15"/>
        <v>26296</v>
      </c>
      <c r="M21" s="14">
        <f t="shared" si="6"/>
        <v>0</v>
      </c>
      <c r="N21" s="32">
        <f t="shared" si="16"/>
        <v>226167</v>
      </c>
      <c r="O21" s="14">
        <f t="shared" si="7"/>
        <v>0</v>
      </c>
      <c r="P21" s="32">
        <v>159014</v>
      </c>
      <c r="Q21" s="14">
        <f t="shared" si="0"/>
        <v>0</v>
      </c>
      <c r="R21" s="1">
        <v>55047</v>
      </c>
      <c r="S21" s="14">
        <f t="shared" si="9"/>
        <v>0</v>
      </c>
      <c r="T21" s="32">
        <f t="shared" si="17"/>
        <v>4020</v>
      </c>
      <c r="U21" s="14">
        <f t="shared" si="8"/>
        <v>0</v>
      </c>
    </row>
    <row r="22" spans="1:23" ht="13.5" thickBot="1" x14ac:dyDescent="0.25">
      <c r="A22" s="9">
        <v>44762</v>
      </c>
      <c r="B22" s="32">
        <f t="shared" si="10"/>
        <v>47279</v>
      </c>
      <c r="C22" s="14">
        <f t="shared" si="1"/>
        <v>0</v>
      </c>
      <c r="D22" s="32">
        <f t="shared" si="11"/>
        <v>40770</v>
      </c>
      <c r="E22" s="14">
        <f t="shared" si="2"/>
        <v>0</v>
      </c>
      <c r="F22" s="32">
        <f t="shared" si="12"/>
        <v>21832</v>
      </c>
      <c r="G22" s="14">
        <f t="shared" si="3"/>
        <v>0</v>
      </c>
      <c r="H22" s="32">
        <f t="shared" si="13"/>
        <v>256468</v>
      </c>
      <c r="I22" s="14">
        <f t="shared" si="4"/>
        <v>0</v>
      </c>
      <c r="J22" s="32">
        <f t="shared" si="14"/>
        <v>322707</v>
      </c>
      <c r="K22" s="14">
        <f t="shared" si="5"/>
        <v>0</v>
      </c>
      <c r="L22" s="32">
        <f t="shared" si="15"/>
        <v>26296</v>
      </c>
      <c r="M22" s="14">
        <f t="shared" si="6"/>
        <v>0</v>
      </c>
      <c r="N22" s="32">
        <f t="shared" si="16"/>
        <v>226167</v>
      </c>
      <c r="O22" s="14">
        <f t="shared" si="7"/>
        <v>0</v>
      </c>
      <c r="P22" s="32">
        <v>159014</v>
      </c>
      <c r="Q22" s="14">
        <f t="shared" si="0"/>
        <v>0</v>
      </c>
      <c r="R22" s="1">
        <v>55047</v>
      </c>
      <c r="S22" s="14">
        <f t="shared" si="9"/>
        <v>0</v>
      </c>
      <c r="T22" s="32">
        <f t="shared" si="17"/>
        <v>4020</v>
      </c>
      <c r="U22" s="14">
        <f t="shared" si="8"/>
        <v>0</v>
      </c>
    </row>
    <row r="23" spans="1:23" ht="13.5" thickBot="1" x14ac:dyDescent="0.25">
      <c r="A23" s="9">
        <v>44763</v>
      </c>
      <c r="B23" s="32">
        <f t="shared" si="10"/>
        <v>47279</v>
      </c>
      <c r="C23" s="14">
        <f t="shared" si="1"/>
        <v>0</v>
      </c>
      <c r="D23" s="32">
        <f t="shared" si="11"/>
        <v>40770</v>
      </c>
      <c r="E23" s="14">
        <f t="shared" si="2"/>
        <v>0</v>
      </c>
      <c r="F23" s="32">
        <f t="shared" si="12"/>
        <v>21832</v>
      </c>
      <c r="G23" s="14">
        <f t="shared" si="3"/>
        <v>0</v>
      </c>
      <c r="H23" s="32">
        <f t="shared" si="13"/>
        <v>256468</v>
      </c>
      <c r="I23" s="14">
        <f t="shared" si="4"/>
        <v>0</v>
      </c>
      <c r="J23" s="32">
        <f t="shared" si="14"/>
        <v>322707</v>
      </c>
      <c r="K23" s="14">
        <f t="shared" si="5"/>
        <v>0</v>
      </c>
      <c r="L23" s="32">
        <f t="shared" si="15"/>
        <v>26296</v>
      </c>
      <c r="M23" s="14">
        <f t="shared" si="6"/>
        <v>0</v>
      </c>
      <c r="N23" s="32">
        <f t="shared" si="16"/>
        <v>226167</v>
      </c>
      <c r="O23" s="14">
        <f t="shared" si="7"/>
        <v>0</v>
      </c>
      <c r="P23" s="32">
        <v>159014</v>
      </c>
      <c r="Q23" s="14">
        <f t="shared" si="0"/>
        <v>0</v>
      </c>
      <c r="R23" s="1">
        <v>55047</v>
      </c>
      <c r="S23" s="14">
        <f t="shared" si="9"/>
        <v>0</v>
      </c>
      <c r="T23" s="32">
        <f t="shared" si="17"/>
        <v>4020</v>
      </c>
      <c r="U23" s="14">
        <f t="shared" si="8"/>
        <v>0</v>
      </c>
    </row>
    <row r="24" spans="1:23" s="131" customFormat="1" ht="13.5" thickBot="1" x14ac:dyDescent="0.25">
      <c r="A24" s="9">
        <v>44764</v>
      </c>
      <c r="B24" s="32">
        <f t="shared" si="10"/>
        <v>47279</v>
      </c>
      <c r="C24" s="14">
        <f t="shared" si="1"/>
        <v>0</v>
      </c>
      <c r="D24" s="32">
        <f t="shared" si="11"/>
        <v>40770</v>
      </c>
      <c r="E24" s="14">
        <f t="shared" si="2"/>
        <v>0</v>
      </c>
      <c r="F24" s="32">
        <f t="shared" si="12"/>
        <v>21832</v>
      </c>
      <c r="G24" s="14">
        <f t="shared" si="3"/>
        <v>0</v>
      </c>
      <c r="H24" s="32">
        <f t="shared" si="13"/>
        <v>256468</v>
      </c>
      <c r="I24" s="14">
        <f t="shared" si="4"/>
        <v>0</v>
      </c>
      <c r="J24" s="32">
        <f t="shared" si="14"/>
        <v>322707</v>
      </c>
      <c r="K24" s="14">
        <f t="shared" si="5"/>
        <v>0</v>
      </c>
      <c r="L24" s="32">
        <f t="shared" si="15"/>
        <v>26296</v>
      </c>
      <c r="M24" s="14">
        <f t="shared" si="6"/>
        <v>0</v>
      </c>
      <c r="N24" s="32">
        <f t="shared" si="16"/>
        <v>226167</v>
      </c>
      <c r="O24" s="14">
        <f t="shared" si="7"/>
        <v>0</v>
      </c>
      <c r="P24" s="32">
        <v>159014</v>
      </c>
      <c r="Q24" s="14">
        <f t="shared" si="0"/>
        <v>0</v>
      </c>
      <c r="R24" s="1">
        <v>55047</v>
      </c>
      <c r="S24" s="14">
        <f t="shared" si="9"/>
        <v>0</v>
      </c>
      <c r="T24" s="32">
        <f t="shared" si="17"/>
        <v>4020</v>
      </c>
      <c r="U24" s="14">
        <f t="shared" si="8"/>
        <v>0</v>
      </c>
    </row>
    <row r="25" spans="1:23" ht="13.5" thickBot="1" x14ac:dyDescent="0.25">
      <c r="A25" s="9">
        <v>44765</v>
      </c>
      <c r="B25" s="32">
        <f t="shared" si="10"/>
        <v>47279</v>
      </c>
      <c r="C25" s="14">
        <f t="shared" si="1"/>
        <v>0</v>
      </c>
      <c r="D25" s="32">
        <f t="shared" si="11"/>
        <v>40770</v>
      </c>
      <c r="E25" s="14">
        <f t="shared" si="2"/>
        <v>0</v>
      </c>
      <c r="F25" s="32">
        <f t="shared" si="12"/>
        <v>21832</v>
      </c>
      <c r="G25" s="14">
        <f t="shared" si="3"/>
        <v>0</v>
      </c>
      <c r="H25" s="32">
        <f t="shared" si="13"/>
        <v>256468</v>
      </c>
      <c r="I25" s="14">
        <f t="shared" si="4"/>
        <v>0</v>
      </c>
      <c r="J25" s="32">
        <f t="shared" si="14"/>
        <v>322707</v>
      </c>
      <c r="K25" s="14">
        <f t="shared" si="5"/>
        <v>0</v>
      </c>
      <c r="L25" s="32">
        <f t="shared" si="15"/>
        <v>26296</v>
      </c>
      <c r="M25" s="14">
        <f t="shared" si="6"/>
        <v>0</v>
      </c>
      <c r="N25" s="32">
        <f t="shared" si="16"/>
        <v>226167</v>
      </c>
      <c r="O25" s="14">
        <f t="shared" si="7"/>
        <v>0</v>
      </c>
      <c r="P25" s="32">
        <v>159014</v>
      </c>
      <c r="Q25" s="14">
        <f t="shared" si="0"/>
        <v>0</v>
      </c>
      <c r="R25" s="1">
        <v>55047</v>
      </c>
      <c r="S25" s="14">
        <f t="shared" si="9"/>
        <v>0</v>
      </c>
      <c r="T25" s="32">
        <f t="shared" si="17"/>
        <v>4020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f t="shared" si="10"/>
        <v>47279</v>
      </c>
      <c r="C26" s="14">
        <f t="shared" si="1"/>
        <v>0</v>
      </c>
      <c r="D26" s="32">
        <f t="shared" si="11"/>
        <v>40770</v>
      </c>
      <c r="E26" s="14">
        <f t="shared" si="2"/>
        <v>0</v>
      </c>
      <c r="F26" s="32">
        <f t="shared" si="12"/>
        <v>21832</v>
      </c>
      <c r="G26" s="14">
        <f t="shared" si="3"/>
        <v>0</v>
      </c>
      <c r="H26" s="32">
        <f t="shared" si="13"/>
        <v>256468</v>
      </c>
      <c r="I26" s="14">
        <f t="shared" si="4"/>
        <v>0</v>
      </c>
      <c r="J26" s="32">
        <f t="shared" si="14"/>
        <v>322707</v>
      </c>
      <c r="K26" s="14">
        <f t="shared" si="5"/>
        <v>0</v>
      </c>
      <c r="L26" s="32">
        <f t="shared" si="15"/>
        <v>26296</v>
      </c>
      <c r="M26" s="14">
        <f t="shared" si="6"/>
        <v>0</v>
      </c>
      <c r="N26" s="32">
        <f t="shared" si="16"/>
        <v>226167</v>
      </c>
      <c r="O26" s="14">
        <f t="shared" si="7"/>
        <v>0</v>
      </c>
      <c r="P26" s="32">
        <v>159014</v>
      </c>
      <c r="Q26" s="14">
        <f t="shared" si="0"/>
        <v>0</v>
      </c>
      <c r="R26" s="1">
        <v>55047</v>
      </c>
      <c r="S26" s="14">
        <f t="shared" si="9"/>
        <v>0</v>
      </c>
      <c r="T26" s="32">
        <f t="shared" si="17"/>
        <v>4020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f t="shared" si="10"/>
        <v>47279</v>
      </c>
      <c r="C27" s="14">
        <f t="shared" si="1"/>
        <v>0</v>
      </c>
      <c r="D27" s="32">
        <f t="shared" si="11"/>
        <v>40770</v>
      </c>
      <c r="E27" s="14">
        <f t="shared" si="2"/>
        <v>0</v>
      </c>
      <c r="F27" s="32">
        <f t="shared" si="12"/>
        <v>21832</v>
      </c>
      <c r="G27" s="14">
        <f t="shared" si="3"/>
        <v>0</v>
      </c>
      <c r="H27" s="32">
        <f t="shared" si="13"/>
        <v>256468</v>
      </c>
      <c r="I27" s="14">
        <f t="shared" si="4"/>
        <v>0</v>
      </c>
      <c r="J27" s="32">
        <f t="shared" si="14"/>
        <v>322707</v>
      </c>
      <c r="K27" s="14">
        <f t="shared" si="5"/>
        <v>0</v>
      </c>
      <c r="L27" s="32">
        <f t="shared" si="15"/>
        <v>26296</v>
      </c>
      <c r="M27" s="14">
        <f t="shared" si="6"/>
        <v>0</v>
      </c>
      <c r="N27" s="32">
        <f t="shared" si="16"/>
        <v>226167</v>
      </c>
      <c r="O27" s="14">
        <f t="shared" si="7"/>
        <v>0</v>
      </c>
      <c r="P27" s="32">
        <v>159014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si="17"/>
        <v>4020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0"/>
        <v>47279</v>
      </c>
      <c r="C28" s="14">
        <f t="shared" si="1"/>
        <v>0</v>
      </c>
      <c r="D28" s="32">
        <f t="shared" si="11"/>
        <v>40770</v>
      </c>
      <c r="E28" s="14">
        <f t="shared" si="2"/>
        <v>0</v>
      </c>
      <c r="F28" s="32">
        <f t="shared" si="12"/>
        <v>21832</v>
      </c>
      <c r="G28" s="14">
        <f t="shared" si="3"/>
        <v>0</v>
      </c>
      <c r="H28" s="32">
        <f t="shared" si="13"/>
        <v>256468</v>
      </c>
      <c r="I28" s="14">
        <f t="shared" si="4"/>
        <v>0</v>
      </c>
      <c r="J28" s="32">
        <f t="shared" si="14"/>
        <v>322707</v>
      </c>
      <c r="K28" s="14">
        <f t="shared" si="5"/>
        <v>0</v>
      </c>
      <c r="L28" s="32">
        <f t="shared" si="15"/>
        <v>26296</v>
      </c>
      <c r="M28" s="14">
        <f t="shared" si="6"/>
        <v>0</v>
      </c>
      <c r="N28" s="32">
        <f t="shared" si="16"/>
        <v>226167</v>
      </c>
      <c r="O28" s="14">
        <f t="shared" si="7"/>
        <v>0</v>
      </c>
      <c r="P28" s="32">
        <v>159014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7"/>
        <v>4020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0"/>
        <v>47279</v>
      </c>
      <c r="C29" s="14">
        <f t="shared" si="1"/>
        <v>0</v>
      </c>
      <c r="D29" s="32">
        <f t="shared" si="11"/>
        <v>40770</v>
      </c>
      <c r="E29" s="14">
        <f t="shared" si="2"/>
        <v>0</v>
      </c>
      <c r="F29" s="32">
        <f t="shared" si="12"/>
        <v>21832</v>
      </c>
      <c r="G29" s="14">
        <f t="shared" si="3"/>
        <v>0</v>
      </c>
      <c r="H29" s="32">
        <f t="shared" si="13"/>
        <v>256468</v>
      </c>
      <c r="I29" s="14">
        <f t="shared" si="4"/>
        <v>0</v>
      </c>
      <c r="J29" s="32">
        <f t="shared" si="14"/>
        <v>322707</v>
      </c>
      <c r="K29" s="14">
        <f t="shared" si="5"/>
        <v>0</v>
      </c>
      <c r="L29" s="32">
        <f t="shared" si="15"/>
        <v>26296</v>
      </c>
      <c r="M29" s="14">
        <f t="shared" si="6"/>
        <v>0</v>
      </c>
      <c r="N29" s="32">
        <f t="shared" si="16"/>
        <v>226167</v>
      </c>
      <c r="O29" s="14">
        <f t="shared" si="7"/>
        <v>0</v>
      </c>
      <c r="P29" s="32">
        <v>159014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7"/>
        <v>4020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0"/>
        <v>47279</v>
      </c>
      <c r="C30" s="14">
        <f t="shared" si="1"/>
        <v>0</v>
      </c>
      <c r="D30" s="32">
        <f t="shared" si="11"/>
        <v>40770</v>
      </c>
      <c r="E30" s="14">
        <f t="shared" si="2"/>
        <v>0</v>
      </c>
      <c r="F30" s="32">
        <f t="shared" si="12"/>
        <v>21832</v>
      </c>
      <c r="G30" s="14">
        <f t="shared" si="3"/>
        <v>0</v>
      </c>
      <c r="H30" s="32">
        <f t="shared" si="13"/>
        <v>256468</v>
      </c>
      <c r="I30" s="14">
        <f t="shared" si="4"/>
        <v>0</v>
      </c>
      <c r="J30" s="32">
        <f t="shared" si="14"/>
        <v>322707</v>
      </c>
      <c r="K30" s="14">
        <f t="shared" si="5"/>
        <v>0</v>
      </c>
      <c r="L30" s="32">
        <f t="shared" si="15"/>
        <v>26296</v>
      </c>
      <c r="M30" s="14">
        <f t="shared" si="6"/>
        <v>0</v>
      </c>
      <c r="N30" s="32">
        <f t="shared" si="16"/>
        <v>226167</v>
      </c>
      <c r="O30" s="14">
        <f t="shared" si="7"/>
        <v>0</v>
      </c>
      <c r="P30" s="32">
        <v>159014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7"/>
        <v>4020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0"/>
        <v>47279</v>
      </c>
      <c r="C31" s="14">
        <f t="shared" si="1"/>
        <v>0</v>
      </c>
      <c r="D31" s="32">
        <f t="shared" si="11"/>
        <v>40770</v>
      </c>
      <c r="E31" s="14">
        <f t="shared" si="2"/>
        <v>0</v>
      </c>
      <c r="F31" s="32">
        <f t="shared" si="12"/>
        <v>21832</v>
      </c>
      <c r="G31" s="14">
        <f t="shared" si="3"/>
        <v>0</v>
      </c>
      <c r="H31" s="32">
        <f t="shared" si="13"/>
        <v>256468</v>
      </c>
      <c r="I31" s="14">
        <f t="shared" si="4"/>
        <v>0</v>
      </c>
      <c r="J31" s="32">
        <f t="shared" si="14"/>
        <v>322707</v>
      </c>
      <c r="K31" s="14">
        <f t="shared" si="5"/>
        <v>0</v>
      </c>
      <c r="L31" s="32">
        <f t="shared" si="15"/>
        <v>26296</v>
      </c>
      <c r="M31" s="14">
        <f t="shared" si="6"/>
        <v>0</v>
      </c>
      <c r="N31" s="32">
        <f t="shared" si="16"/>
        <v>226167</v>
      </c>
      <c r="O31" s="14">
        <f t="shared" si="7"/>
        <v>0</v>
      </c>
      <c r="P31" s="32">
        <v>159014</v>
      </c>
      <c r="Q31" s="14">
        <f t="shared" si="0"/>
        <v>0</v>
      </c>
      <c r="R31" s="1">
        <v>55047</v>
      </c>
      <c r="S31" s="14">
        <v>0</v>
      </c>
      <c r="T31" s="32">
        <f t="shared" si="17"/>
        <v>4020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0"/>
        <v>47279</v>
      </c>
      <c r="C32" s="14">
        <f t="shared" si="1"/>
        <v>0</v>
      </c>
      <c r="D32" s="32">
        <f t="shared" si="11"/>
        <v>40770</v>
      </c>
      <c r="E32" s="14">
        <f t="shared" si="2"/>
        <v>0</v>
      </c>
      <c r="F32" s="32">
        <f t="shared" si="12"/>
        <v>21832</v>
      </c>
      <c r="G32" s="14">
        <f t="shared" si="3"/>
        <v>0</v>
      </c>
      <c r="H32" s="32">
        <f t="shared" si="13"/>
        <v>256468</v>
      </c>
      <c r="I32" s="14">
        <f t="shared" si="4"/>
        <v>0</v>
      </c>
      <c r="J32" s="32">
        <f t="shared" si="14"/>
        <v>322707</v>
      </c>
      <c r="K32" s="14">
        <f t="shared" si="5"/>
        <v>0</v>
      </c>
      <c r="L32" s="32">
        <f t="shared" si="15"/>
        <v>26296</v>
      </c>
      <c r="M32" s="14">
        <f t="shared" si="6"/>
        <v>0</v>
      </c>
      <c r="N32" s="32">
        <f t="shared" si="16"/>
        <v>226167</v>
      </c>
      <c r="O32" s="14">
        <f t="shared" si="7"/>
        <v>0</v>
      </c>
      <c r="P32" s="32">
        <v>159014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7"/>
        <v>4020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0"/>
        <v>47279</v>
      </c>
      <c r="C33" s="14">
        <f t="shared" si="1"/>
        <v>0</v>
      </c>
      <c r="D33" s="32">
        <f t="shared" si="11"/>
        <v>40770</v>
      </c>
      <c r="E33" s="14">
        <f t="shared" si="2"/>
        <v>0</v>
      </c>
      <c r="F33" s="32">
        <f t="shared" si="12"/>
        <v>21832</v>
      </c>
      <c r="G33" s="14">
        <f t="shared" si="3"/>
        <v>0</v>
      </c>
      <c r="H33" s="32">
        <f t="shared" si="13"/>
        <v>256468</v>
      </c>
      <c r="I33" s="14">
        <f t="shared" si="4"/>
        <v>0</v>
      </c>
      <c r="J33" s="32">
        <f t="shared" si="14"/>
        <v>322707</v>
      </c>
      <c r="K33" s="14">
        <f t="shared" si="5"/>
        <v>0</v>
      </c>
      <c r="L33" s="32">
        <f t="shared" si="15"/>
        <v>26296</v>
      </c>
      <c r="M33" s="14">
        <f t="shared" si="6"/>
        <v>0</v>
      </c>
      <c r="N33" s="32">
        <f t="shared" si="16"/>
        <v>226167</v>
      </c>
      <c r="O33" s="14">
        <f t="shared" si="7"/>
        <v>0</v>
      </c>
      <c r="P33" s="32">
        <v>159014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7"/>
        <v>4020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v>160</v>
      </c>
      <c r="D34" s="14"/>
      <c r="E34" s="14">
        <v>480</v>
      </c>
      <c r="F34" s="14"/>
      <c r="G34" s="14">
        <f>SUM(G4:G33)</f>
        <v>720</v>
      </c>
      <c r="H34" s="14"/>
      <c r="I34" s="14">
        <v>46</v>
      </c>
      <c r="J34" s="14"/>
      <c r="K34" s="14">
        <v>227</v>
      </c>
      <c r="L34" s="14"/>
      <c r="M34" s="14">
        <v>120</v>
      </c>
      <c r="N34" s="14"/>
      <c r="O34" s="14">
        <v>3</v>
      </c>
      <c r="P34" s="14"/>
      <c r="Q34" s="14">
        <v>107</v>
      </c>
      <c r="R34" s="14"/>
      <c r="S34" s="14">
        <f>SUM(S4:S33)</f>
        <v>0</v>
      </c>
      <c r="T34" s="14"/>
      <c r="U34" s="14"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13" sqref="A13:XFD13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9586656</v>
      </c>
      <c r="W9" s="38">
        <f t="shared" si="10"/>
        <v>9448</v>
      </c>
      <c r="X9" s="19">
        <f t="shared" si="11"/>
        <v>46121</v>
      </c>
      <c r="Y9" s="150">
        <f t="shared" si="12"/>
        <v>15487</v>
      </c>
      <c r="Z9" s="3">
        <f t="shared" si="13"/>
        <v>7647.0287295999997</v>
      </c>
      <c r="AA9" s="3">
        <f>SUM(Z1:Z9)</f>
        <v>67736.691235200007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9597806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77321.903838400001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9609562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87421.455700799997</v>
      </c>
    </row>
    <row r="12" spans="1:27" ht="16.5" thickBot="1" x14ac:dyDescent="0.3">
      <c r="A12" s="9">
        <v>44752</v>
      </c>
      <c r="B12" s="38">
        <v>222</v>
      </c>
      <c r="C12" s="144">
        <v>19842</v>
      </c>
      <c r="D12" s="38">
        <f t="shared" si="3"/>
        <v>480</v>
      </c>
      <c r="E12" s="145">
        <v>31966804</v>
      </c>
      <c r="F12" s="38">
        <f t="shared" si="4"/>
        <v>23140</v>
      </c>
      <c r="G12" s="146">
        <v>1785460</v>
      </c>
      <c r="H12" s="38">
        <f t="shared" si="5"/>
        <v>56203</v>
      </c>
      <c r="I12" s="147">
        <f t="shared" si="6"/>
        <v>79343</v>
      </c>
      <c r="J12" s="145">
        <v>131499</v>
      </c>
      <c r="K12" s="38">
        <f t="shared" si="14"/>
        <v>11054</v>
      </c>
      <c r="L12" s="148">
        <v>364540</v>
      </c>
      <c r="M12" s="38">
        <f t="shared" si="7"/>
        <v>6255</v>
      </c>
      <c r="N12" s="145">
        <v>6943087</v>
      </c>
      <c r="O12" s="38">
        <f t="shared" si="15"/>
        <v>16690</v>
      </c>
      <c r="P12" s="148">
        <v>7177586</v>
      </c>
      <c r="Q12" s="38">
        <f t="shared" si="8"/>
        <v>15378</v>
      </c>
      <c r="R12" s="145">
        <v>21647162</v>
      </c>
      <c r="S12" s="38">
        <f t="shared" si="9"/>
        <v>11165</v>
      </c>
      <c r="T12" s="145">
        <v>0</v>
      </c>
      <c r="U12" s="149"/>
      <c r="V12" s="145">
        <v>9620990</v>
      </c>
      <c r="W12" s="38">
        <f t="shared" si="10"/>
        <v>11428</v>
      </c>
      <c r="X12" s="19">
        <f t="shared" si="11"/>
        <v>71970</v>
      </c>
      <c r="Y12" s="150">
        <f t="shared" si="12"/>
        <v>7373</v>
      </c>
      <c r="Z12" s="3">
        <f t="shared" si="13"/>
        <v>10126.0847376</v>
      </c>
      <c r="AA12" s="3">
        <f>SUM(Z1:Z12)</f>
        <v>97547.540438399999</v>
      </c>
    </row>
    <row r="13" spans="1:27" ht="16.5" thickBot="1" x14ac:dyDescent="0.3">
      <c r="A13" s="9">
        <v>44753</v>
      </c>
      <c r="B13" s="38">
        <v>241</v>
      </c>
      <c r="C13" s="144">
        <v>19845</v>
      </c>
      <c r="D13" s="38">
        <f t="shared" ref="D13" si="16">IF((C13-C12)&lt;0,"0",(C13-C12))*160</f>
        <v>480</v>
      </c>
      <c r="E13" s="145">
        <v>31984470</v>
      </c>
      <c r="F13" s="38">
        <f t="shared" ref="F13" si="17">IF((E13-E12)&lt;0,"0",(E13-E12))</f>
        <v>17666</v>
      </c>
      <c r="G13" s="146">
        <v>1828569</v>
      </c>
      <c r="H13" s="38">
        <f t="shared" si="5"/>
        <v>43109</v>
      </c>
      <c r="I13" s="147">
        <f t="shared" ref="I13" si="18">F13+H13</f>
        <v>60775</v>
      </c>
      <c r="J13" s="145">
        <v>135722</v>
      </c>
      <c r="K13" s="38">
        <f t="shared" ref="K13" si="19">(IF((J13-J12)&lt;0,"0",(J13-J12)))*2</f>
        <v>8446</v>
      </c>
      <c r="L13" s="148">
        <v>369516</v>
      </c>
      <c r="M13" s="38">
        <f t="shared" ref="M13" si="20">IF((L13-L12)&lt;0,"0",(L13-L12))</f>
        <v>4976</v>
      </c>
      <c r="N13" s="145">
        <v>6949342</v>
      </c>
      <c r="O13" s="38">
        <f t="shared" ref="O13" si="21">(IF((N13-N12)&lt;0,"0",(N13-N12)))*2</f>
        <v>12510</v>
      </c>
      <c r="P13" s="148">
        <v>7188858</v>
      </c>
      <c r="Q13" s="38">
        <f t="shared" ref="Q13" si="22">IF((P13-P12)&lt;0,"0",(P13-P12))</f>
        <v>11272</v>
      </c>
      <c r="R13" s="145">
        <v>21655614</v>
      </c>
      <c r="S13" s="38">
        <f t="shared" ref="S13" si="23">IF((R13-R12)&lt;0,"0",(R13-R12))</f>
        <v>8452</v>
      </c>
      <c r="T13" s="145">
        <v>0</v>
      </c>
      <c r="U13" s="149"/>
      <c r="V13" s="145">
        <v>9630104</v>
      </c>
      <c r="W13" s="38">
        <f t="shared" ref="W13" si="24">IF((V13-V12)&lt;0,"0",(V13-V12))</f>
        <v>9114</v>
      </c>
      <c r="X13" s="19">
        <f t="shared" ref="X13" si="25">K13+M13+O13+Q13+S13+U13+W13</f>
        <v>54770</v>
      </c>
      <c r="Y13" s="150">
        <f t="shared" si="12"/>
        <v>6005</v>
      </c>
      <c r="Z13" s="3">
        <f t="shared" ref="Z13" si="26">(0.93352*(W13+S13)+0.5568*(Q13+O13))*0.26</f>
        <v>7706.4077791999998</v>
      </c>
      <c r="AA13" s="3">
        <f>SUM(Z1:Z13)</f>
        <v>105253.9482176</v>
      </c>
    </row>
    <row r="14" spans="1:27" ht="16.5" thickBot="1" x14ac:dyDescent="0.3">
      <c r="A14" s="9">
        <v>44754</v>
      </c>
      <c r="B14" s="38"/>
      <c r="C14" s="144">
        <f t="shared" ref="C13:C33" si="27">C13</f>
        <v>19845</v>
      </c>
      <c r="D14" s="38">
        <f t="shared" si="3"/>
        <v>0</v>
      </c>
      <c r="E14" s="145"/>
      <c r="F14" s="38" t="str">
        <f t="shared" si="4"/>
        <v>0</v>
      </c>
      <c r="G14" s="146">
        <f t="shared" ref="G13:G33" si="28">G13</f>
        <v>1828569</v>
      </c>
      <c r="H14" s="38">
        <f t="shared" si="5"/>
        <v>0</v>
      </c>
      <c r="I14" s="147">
        <f t="shared" si="6"/>
        <v>0</v>
      </c>
      <c r="J14" s="145">
        <f t="shared" ref="J13:J33" si="29">J13</f>
        <v>135722</v>
      </c>
      <c r="K14" s="38">
        <f t="shared" si="14"/>
        <v>0</v>
      </c>
      <c r="L14" s="148">
        <f t="shared" ref="L13:L33" si="30">L13</f>
        <v>369516</v>
      </c>
      <c r="M14" s="38">
        <f t="shared" si="7"/>
        <v>0</v>
      </c>
      <c r="N14" s="145">
        <f t="shared" ref="N13:N33" si="31">N13</f>
        <v>6949342</v>
      </c>
      <c r="O14" s="38">
        <f t="shared" si="15"/>
        <v>0</v>
      </c>
      <c r="P14" s="148">
        <f t="shared" ref="P13:P33" si="32">P13</f>
        <v>7188858</v>
      </c>
      <c r="Q14" s="38">
        <f t="shared" si="8"/>
        <v>0</v>
      </c>
      <c r="R14" s="145">
        <f t="shared" ref="R13:R33" si="33">R13</f>
        <v>21655614</v>
      </c>
      <c r="S14" s="38">
        <f>IF((R14-R13)&lt;0,"0",(R14-R13))</f>
        <v>0</v>
      </c>
      <c r="T14" s="145">
        <v>0</v>
      </c>
      <c r="U14" s="149"/>
      <c r="V14" s="145">
        <f t="shared" ref="V13:V33" si="34">V13</f>
        <v>9630104</v>
      </c>
      <c r="W14" s="38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105253.9482176</v>
      </c>
    </row>
    <row r="15" spans="1:27" ht="16.5" thickBot="1" x14ac:dyDescent="0.3">
      <c r="A15" s="9">
        <v>44755</v>
      </c>
      <c r="B15" s="38"/>
      <c r="C15" s="144">
        <f t="shared" si="27"/>
        <v>19845</v>
      </c>
      <c r="D15" s="38">
        <f t="shared" si="3"/>
        <v>0</v>
      </c>
      <c r="E15" s="145"/>
      <c r="F15" s="38">
        <f t="shared" si="4"/>
        <v>0</v>
      </c>
      <c r="G15" s="146">
        <f t="shared" si="28"/>
        <v>1828569</v>
      </c>
      <c r="H15" s="38">
        <f t="shared" si="5"/>
        <v>0</v>
      </c>
      <c r="I15" s="147">
        <f t="shared" si="6"/>
        <v>0</v>
      </c>
      <c r="J15" s="145">
        <f t="shared" si="29"/>
        <v>135722</v>
      </c>
      <c r="K15" s="38">
        <f t="shared" si="14"/>
        <v>0</v>
      </c>
      <c r="L15" s="148">
        <f t="shared" si="30"/>
        <v>369516</v>
      </c>
      <c r="M15" s="38">
        <f t="shared" si="7"/>
        <v>0</v>
      </c>
      <c r="N15" s="145">
        <f t="shared" si="31"/>
        <v>6949342</v>
      </c>
      <c r="O15" s="38">
        <f t="shared" si="15"/>
        <v>0</v>
      </c>
      <c r="P15" s="148">
        <f t="shared" si="32"/>
        <v>7188858</v>
      </c>
      <c r="Q15" s="38">
        <f t="shared" si="8"/>
        <v>0</v>
      </c>
      <c r="R15" s="145">
        <f t="shared" si="33"/>
        <v>21655614</v>
      </c>
      <c r="S15" s="38">
        <f>IF((R15-R14)&lt;0,"0",(R15-R14))</f>
        <v>0</v>
      </c>
      <c r="T15" s="145">
        <v>0</v>
      </c>
      <c r="U15" s="149"/>
      <c r="V15" s="145">
        <f t="shared" si="34"/>
        <v>9630104</v>
      </c>
      <c r="W15" s="38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105253.9482176</v>
      </c>
    </row>
    <row r="16" spans="1:27" ht="16.5" thickBot="1" x14ac:dyDescent="0.3">
      <c r="A16" s="9">
        <v>44756</v>
      </c>
      <c r="B16" s="38"/>
      <c r="C16" s="144">
        <f t="shared" si="27"/>
        <v>19845</v>
      </c>
      <c r="D16" s="38">
        <f t="shared" si="3"/>
        <v>0</v>
      </c>
      <c r="E16" s="145"/>
      <c r="F16" s="38">
        <f t="shared" si="4"/>
        <v>0</v>
      </c>
      <c r="G16" s="146">
        <f t="shared" si="28"/>
        <v>1828569</v>
      </c>
      <c r="H16" s="38">
        <f t="shared" si="5"/>
        <v>0</v>
      </c>
      <c r="I16" s="147">
        <f t="shared" si="6"/>
        <v>0</v>
      </c>
      <c r="J16" s="145">
        <f t="shared" si="29"/>
        <v>135722</v>
      </c>
      <c r="K16" s="38">
        <f t="shared" si="14"/>
        <v>0</v>
      </c>
      <c r="L16" s="148">
        <f t="shared" si="30"/>
        <v>369516</v>
      </c>
      <c r="M16" s="38">
        <f t="shared" si="7"/>
        <v>0</v>
      </c>
      <c r="N16" s="145">
        <f t="shared" si="31"/>
        <v>6949342</v>
      </c>
      <c r="O16" s="38">
        <f t="shared" si="15"/>
        <v>0</v>
      </c>
      <c r="P16" s="148">
        <f t="shared" si="32"/>
        <v>7188858</v>
      </c>
      <c r="Q16" s="38">
        <f t="shared" si="8"/>
        <v>0</v>
      </c>
      <c r="R16" s="145">
        <f t="shared" si="33"/>
        <v>21655614</v>
      </c>
      <c r="S16" s="38">
        <f t="shared" si="9"/>
        <v>0</v>
      </c>
      <c r="T16" s="145">
        <v>0</v>
      </c>
      <c r="U16" s="149"/>
      <c r="V16" s="145">
        <f t="shared" si="34"/>
        <v>9630104</v>
      </c>
      <c r="W16" s="38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105253.9482176</v>
      </c>
    </row>
    <row r="17" spans="1:27" s="130" customFormat="1" ht="16.5" thickBot="1" x14ac:dyDescent="0.3">
      <c r="A17" s="9">
        <v>44757</v>
      </c>
      <c r="B17" s="38"/>
      <c r="C17" s="144">
        <f t="shared" si="27"/>
        <v>19845</v>
      </c>
      <c r="D17" s="38">
        <f t="shared" si="3"/>
        <v>0</v>
      </c>
      <c r="E17" s="145"/>
      <c r="F17" s="38">
        <f t="shared" si="4"/>
        <v>0</v>
      </c>
      <c r="G17" s="146">
        <f t="shared" si="28"/>
        <v>1828569</v>
      </c>
      <c r="H17" s="38">
        <f t="shared" si="5"/>
        <v>0</v>
      </c>
      <c r="I17" s="151">
        <f t="shared" si="6"/>
        <v>0</v>
      </c>
      <c r="J17" s="145">
        <f t="shared" si="29"/>
        <v>135722</v>
      </c>
      <c r="K17" s="129">
        <f t="shared" si="14"/>
        <v>0</v>
      </c>
      <c r="L17" s="148">
        <f t="shared" si="30"/>
        <v>369516</v>
      </c>
      <c r="M17" s="129">
        <f t="shared" si="7"/>
        <v>0</v>
      </c>
      <c r="N17" s="145">
        <f t="shared" si="31"/>
        <v>6949342</v>
      </c>
      <c r="O17" s="129">
        <f t="shared" si="15"/>
        <v>0</v>
      </c>
      <c r="P17" s="148">
        <f t="shared" si="32"/>
        <v>7188858</v>
      </c>
      <c r="Q17" s="129">
        <f t="shared" si="8"/>
        <v>0</v>
      </c>
      <c r="R17" s="145">
        <f t="shared" si="33"/>
        <v>21655614</v>
      </c>
      <c r="S17" s="129">
        <f t="shared" si="9"/>
        <v>0</v>
      </c>
      <c r="T17" s="152">
        <v>0</v>
      </c>
      <c r="U17" s="149"/>
      <c r="V17" s="145">
        <f t="shared" si="34"/>
        <v>9630104</v>
      </c>
      <c r="W17" s="129">
        <f t="shared" si="10"/>
        <v>0</v>
      </c>
      <c r="X17" s="19">
        <f t="shared" si="11"/>
        <v>0</v>
      </c>
      <c r="Y17" s="153">
        <f t="shared" si="12"/>
        <v>0</v>
      </c>
      <c r="Z17" s="154">
        <f t="shared" si="13"/>
        <v>0</v>
      </c>
      <c r="AA17" s="3">
        <f>SUM(Z1:Z17)</f>
        <v>105253.9482176</v>
      </c>
    </row>
    <row r="18" spans="1:27" s="130" customFormat="1" ht="16.5" thickBot="1" x14ac:dyDescent="0.3">
      <c r="A18" s="9">
        <v>44758</v>
      </c>
      <c r="B18" s="38"/>
      <c r="C18" s="144">
        <f t="shared" si="27"/>
        <v>19845</v>
      </c>
      <c r="D18" s="38">
        <f t="shared" si="3"/>
        <v>0</v>
      </c>
      <c r="E18" s="145"/>
      <c r="F18" s="38">
        <f t="shared" si="4"/>
        <v>0</v>
      </c>
      <c r="G18" s="146">
        <f t="shared" si="28"/>
        <v>1828569</v>
      </c>
      <c r="H18" s="38">
        <f t="shared" si="5"/>
        <v>0</v>
      </c>
      <c r="I18" s="151">
        <f t="shared" si="6"/>
        <v>0</v>
      </c>
      <c r="J18" s="145">
        <f t="shared" si="29"/>
        <v>135722</v>
      </c>
      <c r="K18" s="129">
        <f t="shared" si="14"/>
        <v>0</v>
      </c>
      <c r="L18" s="148">
        <f t="shared" si="30"/>
        <v>369516</v>
      </c>
      <c r="M18" s="129">
        <f t="shared" si="7"/>
        <v>0</v>
      </c>
      <c r="N18" s="145">
        <f t="shared" si="31"/>
        <v>6949342</v>
      </c>
      <c r="O18" s="129">
        <f t="shared" si="15"/>
        <v>0</v>
      </c>
      <c r="P18" s="148">
        <f t="shared" si="32"/>
        <v>7188858</v>
      </c>
      <c r="Q18" s="129">
        <f t="shared" si="8"/>
        <v>0</v>
      </c>
      <c r="R18" s="145">
        <f t="shared" si="33"/>
        <v>21655614</v>
      </c>
      <c r="S18" s="129">
        <f t="shared" si="9"/>
        <v>0</v>
      </c>
      <c r="T18" s="152">
        <v>0</v>
      </c>
      <c r="U18" s="149"/>
      <c r="V18" s="145">
        <f t="shared" si="34"/>
        <v>9630104</v>
      </c>
      <c r="W18" s="129">
        <f t="shared" si="10"/>
        <v>0</v>
      </c>
      <c r="X18" s="19">
        <f t="shared" si="11"/>
        <v>0</v>
      </c>
      <c r="Y18" s="153">
        <f t="shared" si="12"/>
        <v>0</v>
      </c>
      <c r="Z18" s="154">
        <f t="shared" si="13"/>
        <v>0</v>
      </c>
      <c r="AA18" s="3">
        <f>SUM(Z1:Z18)</f>
        <v>105253.9482176</v>
      </c>
    </row>
    <row r="19" spans="1:27" s="130" customFormat="1" ht="16.5" thickBot="1" x14ac:dyDescent="0.3">
      <c r="A19" s="9">
        <v>44759</v>
      </c>
      <c r="B19" s="38"/>
      <c r="C19" s="144">
        <f t="shared" si="27"/>
        <v>19845</v>
      </c>
      <c r="D19" s="38">
        <f t="shared" si="3"/>
        <v>0</v>
      </c>
      <c r="E19" s="145"/>
      <c r="F19" s="38">
        <f t="shared" si="4"/>
        <v>0</v>
      </c>
      <c r="G19" s="146">
        <f t="shared" si="28"/>
        <v>1828569</v>
      </c>
      <c r="H19" s="38">
        <f t="shared" si="5"/>
        <v>0</v>
      </c>
      <c r="I19" s="151">
        <f t="shared" si="6"/>
        <v>0</v>
      </c>
      <c r="J19" s="145">
        <f t="shared" si="29"/>
        <v>135722</v>
      </c>
      <c r="K19" s="129">
        <f t="shared" si="14"/>
        <v>0</v>
      </c>
      <c r="L19" s="148">
        <f t="shared" si="30"/>
        <v>369516</v>
      </c>
      <c r="M19" s="129">
        <f t="shared" si="7"/>
        <v>0</v>
      </c>
      <c r="N19" s="145">
        <f t="shared" si="31"/>
        <v>6949342</v>
      </c>
      <c r="O19" s="129">
        <f t="shared" si="15"/>
        <v>0</v>
      </c>
      <c r="P19" s="148">
        <f t="shared" si="32"/>
        <v>7188858</v>
      </c>
      <c r="Q19" s="129">
        <f t="shared" si="8"/>
        <v>0</v>
      </c>
      <c r="R19" s="145">
        <f t="shared" si="33"/>
        <v>21655614</v>
      </c>
      <c r="S19" s="129">
        <f t="shared" si="9"/>
        <v>0</v>
      </c>
      <c r="T19" s="152">
        <v>0</v>
      </c>
      <c r="U19" s="149"/>
      <c r="V19" s="145">
        <f t="shared" si="34"/>
        <v>9630104</v>
      </c>
      <c r="W19" s="129">
        <f t="shared" si="10"/>
        <v>0</v>
      </c>
      <c r="X19" s="19">
        <f t="shared" si="11"/>
        <v>0</v>
      </c>
      <c r="Y19" s="153">
        <f t="shared" si="12"/>
        <v>0</v>
      </c>
      <c r="Z19" s="154">
        <f t="shared" si="13"/>
        <v>0</v>
      </c>
      <c r="AA19" s="3">
        <f>SUM(Z1:Z19)</f>
        <v>105253.9482176</v>
      </c>
    </row>
    <row r="20" spans="1:27" s="130" customFormat="1" ht="16.5" thickBot="1" x14ac:dyDescent="0.3">
      <c r="A20" s="9">
        <v>44760</v>
      </c>
      <c r="B20" s="38"/>
      <c r="C20" s="144">
        <f t="shared" si="27"/>
        <v>19845</v>
      </c>
      <c r="D20" s="38">
        <f t="shared" si="3"/>
        <v>0</v>
      </c>
      <c r="E20" s="145"/>
      <c r="F20" s="38">
        <f t="shared" si="4"/>
        <v>0</v>
      </c>
      <c r="G20" s="146">
        <f t="shared" si="28"/>
        <v>1828569</v>
      </c>
      <c r="H20" s="38">
        <f t="shared" si="5"/>
        <v>0</v>
      </c>
      <c r="I20" s="151">
        <f t="shared" si="6"/>
        <v>0</v>
      </c>
      <c r="J20" s="145">
        <f t="shared" si="29"/>
        <v>135722</v>
      </c>
      <c r="K20" s="129">
        <f t="shared" si="14"/>
        <v>0</v>
      </c>
      <c r="L20" s="148">
        <f t="shared" si="30"/>
        <v>369516</v>
      </c>
      <c r="M20" s="129">
        <f t="shared" si="7"/>
        <v>0</v>
      </c>
      <c r="N20" s="145">
        <f t="shared" si="31"/>
        <v>6949342</v>
      </c>
      <c r="O20" s="129">
        <f t="shared" si="15"/>
        <v>0</v>
      </c>
      <c r="P20" s="148">
        <f t="shared" si="32"/>
        <v>7188858</v>
      </c>
      <c r="Q20" s="129">
        <f t="shared" si="8"/>
        <v>0</v>
      </c>
      <c r="R20" s="145">
        <f t="shared" si="33"/>
        <v>21655614</v>
      </c>
      <c r="S20" s="129">
        <f t="shared" si="9"/>
        <v>0</v>
      </c>
      <c r="T20" s="152">
        <v>0</v>
      </c>
      <c r="U20" s="149"/>
      <c r="V20" s="145">
        <f t="shared" si="34"/>
        <v>9630104</v>
      </c>
      <c r="W20" s="129">
        <f t="shared" si="10"/>
        <v>0</v>
      </c>
      <c r="X20" s="19">
        <f t="shared" si="11"/>
        <v>0</v>
      </c>
      <c r="Y20" s="153">
        <f t="shared" si="12"/>
        <v>0</v>
      </c>
      <c r="Z20" s="154">
        <f t="shared" si="13"/>
        <v>0</v>
      </c>
      <c r="AA20" s="3">
        <f>SUM(Z1:Z20)</f>
        <v>105253.9482176</v>
      </c>
    </row>
    <row r="21" spans="1:27" s="130" customFormat="1" ht="16.5" thickBot="1" x14ac:dyDescent="0.3">
      <c r="A21" s="9">
        <v>44761</v>
      </c>
      <c r="B21" s="38"/>
      <c r="C21" s="144">
        <f t="shared" si="27"/>
        <v>19845</v>
      </c>
      <c r="D21" s="38">
        <f t="shared" si="3"/>
        <v>0</v>
      </c>
      <c r="E21" s="145"/>
      <c r="F21" s="38">
        <f t="shared" si="4"/>
        <v>0</v>
      </c>
      <c r="G21" s="146">
        <f t="shared" si="28"/>
        <v>1828569</v>
      </c>
      <c r="H21" s="38">
        <f t="shared" si="5"/>
        <v>0</v>
      </c>
      <c r="I21" s="151">
        <f t="shared" si="6"/>
        <v>0</v>
      </c>
      <c r="J21" s="145">
        <f t="shared" si="29"/>
        <v>135722</v>
      </c>
      <c r="K21" s="129">
        <f t="shared" si="14"/>
        <v>0</v>
      </c>
      <c r="L21" s="148">
        <f t="shared" si="30"/>
        <v>369516</v>
      </c>
      <c r="M21" s="129">
        <f t="shared" si="7"/>
        <v>0</v>
      </c>
      <c r="N21" s="145">
        <f t="shared" si="31"/>
        <v>6949342</v>
      </c>
      <c r="O21" s="129">
        <f t="shared" si="15"/>
        <v>0</v>
      </c>
      <c r="P21" s="148">
        <f t="shared" si="32"/>
        <v>7188858</v>
      </c>
      <c r="Q21" s="129">
        <f t="shared" si="8"/>
        <v>0</v>
      </c>
      <c r="R21" s="145">
        <f t="shared" si="33"/>
        <v>21655614</v>
      </c>
      <c r="S21" s="129">
        <f t="shared" si="9"/>
        <v>0</v>
      </c>
      <c r="T21" s="152">
        <v>0</v>
      </c>
      <c r="U21" s="149"/>
      <c r="V21" s="145">
        <f t="shared" si="34"/>
        <v>9630104</v>
      </c>
      <c r="W21" s="129">
        <f t="shared" si="10"/>
        <v>0</v>
      </c>
      <c r="X21" s="19">
        <f t="shared" si="11"/>
        <v>0</v>
      </c>
      <c r="Y21" s="153">
        <f t="shared" si="12"/>
        <v>0</v>
      </c>
      <c r="Z21" s="154">
        <f t="shared" si="13"/>
        <v>0</v>
      </c>
      <c r="AA21" s="3">
        <f>SUM(Z1:Z21)</f>
        <v>105253.9482176</v>
      </c>
    </row>
    <row r="22" spans="1:27" ht="16.5" thickBot="1" x14ac:dyDescent="0.3">
      <c r="A22" s="9">
        <v>44762</v>
      </c>
      <c r="B22" s="38"/>
      <c r="C22" s="144">
        <f t="shared" si="27"/>
        <v>19845</v>
      </c>
      <c r="D22" s="38">
        <f t="shared" si="3"/>
        <v>0</v>
      </c>
      <c r="E22" s="145"/>
      <c r="F22" s="38">
        <f t="shared" si="4"/>
        <v>0</v>
      </c>
      <c r="G22" s="146">
        <f t="shared" si="28"/>
        <v>1828569</v>
      </c>
      <c r="H22" s="38">
        <f t="shared" si="5"/>
        <v>0</v>
      </c>
      <c r="I22" s="147">
        <f t="shared" si="6"/>
        <v>0</v>
      </c>
      <c r="J22" s="145">
        <f t="shared" si="29"/>
        <v>135722</v>
      </c>
      <c r="K22" s="129">
        <f t="shared" si="14"/>
        <v>0</v>
      </c>
      <c r="L22" s="148">
        <f t="shared" si="30"/>
        <v>369516</v>
      </c>
      <c r="M22" s="38">
        <f t="shared" si="7"/>
        <v>0</v>
      </c>
      <c r="N22" s="145">
        <f t="shared" si="31"/>
        <v>6949342</v>
      </c>
      <c r="O22" s="38">
        <f t="shared" si="15"/>
        <v>0</v>
      </c>
      <c r="P22" s="148">
        <f t="shared" si="32"/>
        <v>7188858</v>
      </c>
      <c r="Q22" s="38">
        <f t="shared" si="8"/>
        <v>0</v>
      </c>
      <c r="R22" s="145">
        <f t="shared" si="33"/>
        <v>21655614</v>
      </c>
      <c r="S22" s="38">
        <f t="shared" si="9"/>
        <v>0</v>
      </c>
      <c r="T22" s="145">
        <v>0</v>
      </c>
      <c r="U22" s="149"/>
      <c r="V22" s="145">
        <f t="shared" si="34"/>
        <v>9630104</v>
      </c>
      <c r="W22" s="38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105253.9482176</v>
      </c>
    </row>
    <row r="23" spans="1:27" ht="16.5" thickBot="1" x14ac:dyDescent="0.3">
      <c r="A23" s="9">
        <v>44763</v>
      </c>
      <c r="B23" s="38"/>
      <c r="C23" s="144">
        <f t="shared" si="27"/>
        <v>19845</v>
      </c>
      <c r="D23" s="38">
        <f t="shared" si="3"/>
        <v>0</v>
      </c>
      <c r="E23" s="145"/>
      <c r="F23" s="38">
        <f t="shared" si="4"/>
        <v>0</v>
      </c>
      <c r="G23" s="146">
        <f t="shared" si="28"/>
        <v>1828569</v>
      </c>
      <c r="H23" s="38">
        <f t="shared" si="5"/>
        <v>0</v>
      </c>
      <c r="I23" s="147">
        <f t="shared" si="6"/>
        <v>0</v>
      </c>
      <c r="J23" s="145">
        <f t="shared" si="29"/>
        <v>135722</v>
      </c>
      <c r="K23" s="129">
        <f t="shared" si="14"/>
        <v>0</v>
      </c>
      <c r="L23" s="148">
        <f t="shared" si="30"/>
        <v>369516</v>
      </c>
      <c r="M23" s="38">
        <f t="shared" si="7"/>
        <v>0</v>
      </c>
      <c r="N23" s="145">
        <f t="shared" si="31"/>
        <v>6949342</v>
      </c>
      <c r="O23" s="38">
        <f t="shared" si="15"/>
        <v>0</v>
      </c>
      <c r="P23" s="148">
        <f t="shared" si="32"/>
        <v>7188858</v>
      </c>
      <c r="Q23" s="38">
        <f t="shared" si="8"/>
        <v>0</v>
      </c>
      <c r="R23" s="145">
        <f t="shared" si="33"/>
        <v>21655614</v>
      </c>
      <c r="S23" s="38">
        <f t="shared" si="9"/>
        <v>0</v>
      </c>
      <c r="T23" s="145">
        <v>0</v>
      </c>
      <c r="U23" s="149"/>
      <c r="V23" s="145">
        <f t="shared" si="34"/>
        <v>9630104</v>
      </c>
      <c r="W23" s="38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105253.9482176</v>
      </c>
    </row>
    <row r="24" spans="1:27" ht="16.5" thickBot="1" x14ac:dyDescent="0.3">
      <c r="A24" s="9">
        <v>44764</v>
      </c>
      <c r="B24" s="38"/>
      <c r="C24" s="144">
        <f t="shared" si="27"/>
        <v>19845</v>
      </c>
      <c r="D24" s="38">
        <f t="shared" si="3"/>
        <v>0</v>
      </c>
      <c r="E24" s="145"/>
      <c r="F24" s="38">
        <f t="shared" si="4"/>
        <v>0</v>
      </c>
      <c r="G24" s="146">
        <f t="shared" si="28"/>
        <v>1828569</v>
      </c>
      <c r="H24" s="38">
        <f t="shared" si="5"/>
        <v>0</v>
      </c>
      <c r="I24" s="147">
        <f t="shared" si="6"/>
        <v>0</v>
      </c>
      <c r="J24" s="145">
        <f t="shared" si="29"/>
        <v>135722</v>
      </c>
      <c r="K24" s="129">
        <f t="shared" si="14"/>
        <v>0</v>
      </c>
      <c r="L24" s="148">
        <f t="shared" si="30"/>
        <v>369516</v>
      </c>
      <c r="M24" s="38">
        <f t="shared" si="7"/>
        <v>0</v>
      </c>
      <c r="N24" s="145">
        <f t="shared" si="31"/>
        <v>6949342</v>
      </c>
      <c r="O24" s="38">
        <f t="shared" si="15"/>
        <v>0</v>
      </c>
      <c r="P24" s="148">
        <f t="shared" si="32"/>
        <v>7188858</v>
      </c>
      <c r="Q24" s="38">
        <f t="shared" si="8"/>
        <v>0</v>
      </c>
      <c r="R24" s="145">
        <f t="shared" si="33"/>
        <v>21655614</v>
      </c>
      <c r="S24" s="38">
        <f t="shared" si="9"/>
        <v>0</v>
      </c>
      <c r="T24" s="145">
        <v>0</v>
      </c>
      <c r="U24" s="149"/>
      <c r="V24" s="145">
        <f t="shared" si="34"/>
        <v>9630104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105253.9482176</v>
      </c>
    </row>
    <row r="25" spans="1:27" ht="16.5" thickBot="1" x14ac:dyDescent="0.3">
      <c r="A25" s="9">
        <v>44765</v>
      </c>
      <c r="B25" s="38"/>
      <c r="C25" s="144">
        <f t="shared" si="27"/>
        <v>19845</v>
      </c>
      <c r="D25" s="38">
        <f t="shared" si="3"/>
        <v>0</v>
      </c>
      <c r="E25" s="145"/>
      <c r="F25" s="38">
        <f t="shared" si="4"/>
        <v>0</v>
      </c>
      <c r="G25" s="146">
        <f t="shared" si="28"/>
        <v>1828569</v>
      </c>
      <c r="H25" s="38">
        <f t="shared" si="5"/>
        <v>0</v>
      </c>
      <c r="I25" s="147">
        <f t="shared" si="6"/>
        <v>0</v>
      </c>
      <c r="J25" s="145">
        <f t="shared" si="29"/>
        <v>135722</v>
      </c>
      <c r="K25" s="129">
        <f t="shared" si="14"/>
        <v>0</v>
      </c>
      <c r="L25" s="148">
        <f t="shared" si="30"/>
        <v>369516</v>
      </c>
      <c r="M25" s="38">
        <f t="shared" si="7"/>
        <v>0</v>
      </c>
      <c r="N25" s="145">
        <f t="shared" si="31"/>
        <v>6949342</v>
      </c>
      <c r="O25" s="38">
        <f t="shared" si="15"/>
        <v>0</v>
      </c>
      <c r="P25" s="148">
        <f t="shared" si="32"/>
        <v>7188858</v>
      </c>
      <c r="Q25" s="38">
        <f t="shared" si="8"/>
        <v>0</v>
      </c>
      <c r="R25" s="145">
        <f t="shared" si="33"/>
        <v>21655614</v>
      </c>
      <c r="S25" s="38">
        <f t="shared" si="9"/>
        <v>0</v>
      </c>
      <c r="T25" s="145">
        <v>0</v>
      </c>
      <c r="U25" s="149"/>
      <c r="V25" s="145">
        <f t="shared" si="34"/>
        <v>9630104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105253.9482176</v>
      </c>
    </row>
    <row r="26" spans="1:27" ht="16.5" thickBot="1" x14ac:dyDescent="0.3">
      <c r="A26" s="9">
        <v>44766</v>
      </c>
      <c r="B26" s="38"/>
      <c r="C26" s="144">
        <f t="shared" si="27"/>
        <v>19845</v>
      </c>
      <c r="D26" s="38">
        <f t="shared" si="3"/>
        <v>0</v>
      </c>
      <c r="E26" s="145"/>
      <c r="F26" s="38">
        <f t="shared" si="4"/>
        <v>0</v>
      </c>
      <c r="G26" s="146">
        <f t="shared" si="28"/>
        <v>1828569</v>
      </c>
      <c r="H26" s="38">
        <f t="shared" si="5"/>
        <v>0</v>
      </c>
      <c r="I26" s="147">
        <f t="shared" si="6"/>
        <v>0</v>
      </c>
      <c r="J26" s="145">
        <f t="shared" si="29"/>
        <v>135722</v>
      </c>
      <c r="K26" s="129">
        <f t="shared" si="14"/>
        <v>0</v>
      </c>
      <c r="L26" s="148">
        <f t="shared" si="30"/>
        <v>369516</v>
      </c>
      <c r="M26" s="38">
        <f t="shared" si="7"/>
        <v>0</v>
      </c>
      <c r="N26" s="145">
        <f t="shared" si="31"/>
        <v>6949342</v>
      </c>
      <c r="O26" s="38">
        <f t="shared" si="15"/>
        <v>0</v>
      </c>
      <c r="P26" s="148">
        <f t="shared" si="32"/>
        <v>7188858</v>
      </c>
      <c r="Q26" s="38">
        <f t="shared" si="8"/>
        <v>0</v>
      </c>
      <c r="R26" s="145">
        <f t="shared" si="33"/>
        <v>21655614</v>
      </c>
      <c r="S26" s="38">
        <f t="shared" si="9"/>
        <v>0</v>
      </c>
      <c r="T26" s="145">
        <v>0</v>
      </c>
      <c r="U26" s="149"/>
      <c r="V26" s="145">
        <f t="shared" si="34"/>
        <v>9630104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105253.9482176</v>
      </c>
    </row>
    <row r="27" spans="1:27" ht="16.5" thickBot="1" x14ac:dyDescent="0.3">
      <c r="A27" s="9">
        <v>44767</v>
      </c>
      <c r="B27" s="38"/>
      <c r="C27" s="144">
        <f t="shared" si="27"/>
        <v>19845</v>
      </c>
      <c r="D27" s="38">
        <f t="shared" si="3"/>
        <v>0</v>
      </c>
      <c r="E27" s="145"/>
      <c r="F27" s="38">
        <f t="shared" si="4"/>
        <v>0</v>
      </c>
      <c r="G27" s="146">
        <f t="shared" si="28"/>
        <v>1828569</v>
      </c>
      <c r="H27" s="38">
        <f t="shared" si="5"/>
        <v>0</v>
      </c>
      <c r="I27" s="147">
        <f t="shared" si="6"/>
        <v>0</v>
      </c>
      <c r="J27" s="145">
        <f t="shared" si="29"/>
        <v>135722</v>
      </c>
      <c r="K27" s="129">
        <f t="shared" si="14"/>
        <v>0</v>
      </c>
      <c r="L27" s="148">
        <f t="shared" si="30"/>
        <v>369516</v>
      </c>
      <c r="M27" s="38">
        <f t="shared" si="7"/>
        <v>0</v>
      </c>
      <c r="N27" s="145">
        <f t="shared" si="31"/>
        <v>6949342</v>
      </c>
      <c r="O27" s="38">
        <f t="shared" si="15"/>
        <v>0</v>
      </c>
      <c r="P27" s="148">
        <f t="shared" si="32"/>
        <v>7188858</v>
      </c>
      <c r="Q27" s="38">
        <f t="shared" si="8"/>
        <v>0</v>
      </c>
      <c r="R27" s="145">
        <f t="shared" si="33"/>
        <v>21655614</v>
      </c>
      <c r="S27" s="38">
        <f t="shared" si="9"/>
        <v>0</v>
      </c>
      <c r="T27" s="145">
        <v>0</v>
      </c>
      <c r="U27" s="149"/>
      <c r="V27" s="145">
        <f t="shared" si="34"/>
        <v>9630104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105253.9482176</v>
      </c>
    </row>
    <row r="28" spans="1:27" ht="16.5" thickBot="1" x14ac:dyDescent="0.3">
      <c r="A28" s="9">
        <v>44768</v>
      </c>
      <c r="B28" s="38"/>
      <c r="C28" s="144">
        <f t="shared" si="27"/>
        <v>19845</v>
      </c>
      <c r="D28" s="38">
        <f t="shared" si="3"/>
        <v>0</v>
      </c>
      <c r="E28" s="145"/>
      <c r="F28" s="38">
        <f t="shared" si="4"/>
        <v>0</v>
      </c>
      <c r="G28" s="146">
        <f t="shared" si="28"/>
        <v>1828569</v>
      </c>
      <c r="H28" s="38">
        <f t="shared" si="5"/>
        <v>0</v>
      </c>
      <c r="I28" s="147">
        <f t="shared" si="6"/>
        <v>0</v>
      </c>
      <c r="J28" s="145">
        <f t="shared" si="29"/>
        <v>135722</v>
      </c>
      <c r="K28" s="129">
        <f t="shared" si="14"/>
        <v>0</v>
      </c>
      <c r="L28" s="148">
        <f t="shared" si="30"/>
        <v>369516</v>
      </c>
      <c r="M28" s="38">
        <f t="shared" si="7"/>
        <v>0</v>
      </c>
      <c r="N28" s="145">
        <f t="shared" si="31"/>
        <v>6949342</v>
      </c>
      <c r="O28" s="38">
        <f t="shared" si="15"/>
        <v>0</v>
      </c>
      <c r="P28" s="148">
        <f t="shared" si="32"/>
        <v>7188858</v>
      </c>
      <c r="Q28" s="38">
        <f t="shared" si="8"/>
        <v>0</v>
      </c>
      <c r="R28" s="145">
        <f t="shared" si="33"/>
        <v>21655614</v>
      </c>
      <c r="S28" s="38">
        <f t="shared" si="9"/>
        <v>0</v>
      </c>
      <c r="T28" s="145">
        <v>0</v>
      </c>
      <c r="U28" s="149"/>
      <c r="V28" s="145">
        <f t="shared" si="34"/>
        <v>9630104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105253.9482176</v>
      </c>
    </row>
    <row r="29" spans="1:27" ht="16.5" thickBot="1" x14ac:dyDescent="0.3">
      <c r="A29" s="9">
        <v>44769</v>
      </c>
      <c r="B29" s="38"/>
      <c r="C29" s="144">
        <f t="shared" si="27"/>
        <v>19845</v>
      </c>
      <c r="D29" s="38">
        <f t="shared" si="3"/>
        <v>0</v>
      </c>
      <c r="E29" s="145"/>
      <c r="F29" s="38">
        <f t="shared" si="4"/>
        <v>0</v>
      </c>
      <c r="G29" s="146">
        <f t="shared" si="28"/>
        <v>1828569</v>
      </c>
      <c r="H29" s="38">
        <f t="shared" si="5"/>
        <v>0</v>
      </c>
      <c r="I29" s="147">
        <f t="shared" si="6"/>
        <v>0</v>
      </c>
      <c r="J29" s="145">
        <f t="shared" si="29"/>
        <v>135722</v>
      </c>
      <c r="K29" s="129">
        <f t="shared" si="14"/>
        <v>0</v>
      </c>
      <c r="L29" s="148">
        <f t="shared" si="30"/>
        <v>369516</v>
      </c>
      <c r="M29" s="38">
        <f t="shared" si="7"/>
        <v>0</v>
      </c>
      <c r="N29" s="145">
        <f t="shared" si="31"/>
        <v>6949342</v>
      </c>
      <c r="O29" s="38">
        <f t="shared" si="15"/>
        <v>0</v>
      </c>
      <c r="P29" s="148">
        <f t="shared" si="32"/>
        <v>7188858</v>
      </c>
      <c r="Q29" s="38">
        <f t="shared" si="8"/>
        <v>0</v>
      </c>
      <c r="R29" s="145">
        <f t="shared" si="33"/>
        <v>21655614</v>
      </c>
      <c r="S29" s="38">
        <f t="shared" si="9"/>
        <v>0</v>
      </c>
      <c r="T29" s="145">
        <v>0</v>
      </c>
      <c r="U29" s="149"/>
      <c r="V29" s="145">
        <f t="shared" si="34"/>
        <v>9630104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105253.9482176</v>
      </c>
    </row>
    <row r="30" spans="1:27" ht="16.5" thickBot="1" x14ac:dyDescent="0.3">
      <c r="A30" s="9">
        <v>44770</v>
      </c>
      <c r="B30" s="38"/>
      <c r="C30" s="144">
        <f t="shared" si="27"/>
        <v>19845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28"/>
        <v>1828569</v>
      </c>
      <c r="H30" s="38">
        <f t="shared" si="5"/>
        <v>0</v>
      </c>
      <c r="I30" s="147">
        <f t="shared" si="6"/>
        <v>0</v>
      </c>
      <c r="J30" s="145">
        <f t="shared" si="29"/>
        <v>135722</v>
      </c>
      <c r="K30" s="129">
        <f t="shared" si="14"/>
        <v>0</v>
      </c>
      <c r="L30" s="148">
        <f t="shared" si="30"/>
        <v>369516</v>
      </c>
      <c r="M30" s="38">
        <f>IF((L30-L29)&lt;0,"0",(L30-L29))</f>
        <v>0</v>
      </c>
      <c r="N30" s="145">
        <f t="shared" si="31"/>
        <v>6949342</v>
      </c>
      <c r="O30" s="38">
        <f>(IF((N30-N29)&lt;0,"0",(N30-N29)))*2</f>
        <v>0</v>
      </c>
      <c r="P30" s="148">
        <f t="shared" si="32"/>
        <v>7188858</v>
      </c>
      <c r="Q30" s="38">
        <f>IF((P30-P29)&lt;0,"0",(P30-P29))</f>
        <v>0</v>
      </c>
      <c r="R30" s="145">
        <f t="shared" si="33"/>
        <v>21655614</v>
      </c>
      <c r="S30" s="38">
        <f>IF((R30-R29)&lt;0,"0",(R30-R29))</f>
        <v>0</v>
      </c>
      <c r="T30" s="145">
        <v>0</v>
      </c>
      <c r="U30" s="149"/>
      <c r="V30" s="145">
        <f t="shared" si="34"/>
        <v>9630104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105253.9482176</v>
      </c>
    </row>
    <row r="31" spans="1:27" ht="16.5" thickBot="1" x14ac:dyDescent="0.3">
      <c r="A31" s="9">
        <v>44771</v>
      </c>
      <c r="B31" s="38"/>
      <c r="C31" s="144">
        <f t="shared" si="27"/>
        <v>19845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28"/>
        <v>1828569</v>
      </c>
      <c r="H31" s="38">
        <f t="shared" si="5"/>
        <v>0</v>
      </c>
      <c r="I31" s="147">
        <f t="shared" ref="I31:I33" si="37">F31+H31</f>
        <v>0</v>
      </c>
      <c r="J31" s="145">
        <f t="shared" si="29"/>
        <v>135722</v>
      </c>
      <c r="K31" s="129">
        <f t="shared" si="14"/>
        <v>0</v>
      </c>
      <c r="L31" s="148">
        <f t="shared" si="30"/>
        <v>369516</v>
      </c>
      <c r="M31" s="38">
        <f t="shared" ref="M31:M33" si="38">IF((L31-L30)&lt;0,"0",(L31-L30))</f>
        <v>0</v>
      </c>
      <c r="N31" s="145">
        <f t="shared" si="31"/>
        <v>6949342</v>
      </c>
      <c r="O31" s="38">
        <f t="shared" ref="O31:O33" si="39">(IF((N31-N30)&lt;0,"0",(N31-N30)))*2</f>
        <v>0</v>
      </c>
      <c r="P31" s="148">
        <f t="shared" si="32"/>
        <v>7188858</v>
      </c>
      <c r="Q31" s="38">
        <f t="shared" ref="Q31:Q33" si="40">IF((P31-P30)&lt;0,"0",(P31-P30))</f>
        <v>0</v>
      </c>
      <c r="R31" s="145">
        <f t="shared" si="33"/>
        <v>21655614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34"/>
        <v>9630104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105253.9482176</v>
      </c>
    </row>
    <row r="32" spans="1:27" ht="16.5" thickBot="1" x14ac:dyDescent="0.3">
      <c r="A32" s="9">
        <v>44772</v>
      </c>
      <c r="B32" s="38"/>
      <c r="C32" s="144">
        <f t="shared" si="27"/>
        <v>19845</v>
      </c>
      <c r="D32" s="38">
        <f t="shared" si="35"/>
        <v>0</v>
      </c>
      <c r="E32" s="145"/>
      <c r="F32" s="38">
        <f t="shared" si="36"/>
        <v>0</v>
      </c>
      <c r="G32" s="146">
        <f t="shared" si="28"/>
        <v>1828569</v>
      </c>
      <c r="H32" s="38">
        <f t="shared" si="5"/>
        <v>0</v>
      </c>
      <c r="I32" s="147">
        <f t="shared" si="37"/>
        <v>0</v>
      </c>
      <c r="J32" s="145">
        <f t="shared" si="29"/>
        <v>135722</v>
      </c>
      <c r="K32" s="129">
        <f t="shared" si="14"/>
        <v>0</v>
      </c>
      <c r="L32" s="148">
        <f t="shared" si="30"/>
        <v>369516</v>
      </c>
      <c r="M32" s="38">
        <f t="shared" si="38"/>
        <v>0</v>
      </c>
      <c r="N32" s="145">
        <f t="shared" si="31"/>
        <v>6949342</v>
      </c>
      <c r="O32" s="38">
        <f t="shared" si="39"/>
        <v>0</v>
      </c>
      <c r="P32" s="148">
        <f t="shared" si="32"/>
        <v>7188858</v>
      </c>
      <c r="Q32" s="38">
        <f t="shared" si="40"/>
        <v>0</v>
      </c>
      <c r="R32" s="145">
        <f t="shared" si="33"/>
        <v>21655614</v>
      </c>
      <c r="S32" s="38">
        <f t="shared" si="41"/>
        <v>0</v>
      </c>
      <c r="T32" s="145">
        <v>0</v>
      </c>
      <c r="U32" s="149"/>
      <c r="V32" s="145">
        <f t="shared" si="34"/>
        <v>9630104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105253.9482176</v>
      </c>
    </row>
    <row r="33" spans="1:27" ht="16.5" thickBot="1" x14ac:dyDescent="0.3">
      <c r="A33" s="9">
        <v>44773</v>
      </c>
      <c r="B33" s="38"/>
      <c r="C33" s="144">
        <f t="shared" si="27"/>
        <v>19845</v>
      </c>
      <c r="D33" s="38">
        <f t="shared" si="35"/>
        <v>0</v>
      </c>
      <c r="E33" s="145"/>
      <c r="F33" s="38">
        <f t="shared" si="36"/>
        <v>0</v>
      </c>
      <c r="G33" s="146">
        <f t="shared" si="28"/>
        <v>1828569</v>
      </c>
      <c r="H33" s="38">
        <f t="shared" si="5"/>
        <v>0</v>
      </c>
      <c r="I33" s="147">
        <f t="shared" si="37"/>
        <v>0</v>
      </c>
      <c r="J33" s="145">
        <f t="shared" si="29"/>
        <v>135722</v>
      </c>
      <c r="K33" s="129">
        <f t="shared" si="14"/>
        <v>0</v>
      </c>
      <c r="L33" s="148">
        <f t="shared" si="30"/>
        <v>369516</v>
      </c>
      <c r="M33" s="38">
        <f t="shared" si="38"/>
        <v>0</v>
      </c>
      <c r="N33" s="145">
        <f t="shared" si="31"/>
        <v>6949342</v>
      </c>
      <c r="O33" s="38">
        <f t="shared" si="39"/>
        <v>0</v>
      </c>
      <c r="P33" s="148">
        <f t="shared" si="32"/>
        <v>7188858</v>
      </c>
      <c r="Q33" s="38">
        <f t="shared" si="40"/>
        <v>0</v>
      </c>
      <c r="R33" s="145">
        <f t="shared" si="33"/>
        <v>21655614</v>
      </c>
      <c r="S33" s="38">
        <f t="shared" si="41"/>
        <v>0</v>
      </c>
      <c r="T33" s="145">
        <v>0</v>
      </c>
      <c r="U33" s="55"/>
      <c r="V33" s="145">
        <f t="shared" si="34"/>
        <v>9630104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105253.9482176</v>
      </c>
    </row>
    <row r="34" spans="1:27" ht="16.5" thickBot="1" x14ac:dyDescent="0.3">
      <c r="A34" s="136" t="s">
        <v>23</v>
      </c>
      <c r="B34" s="136">
        <f>SUM(B4:B33)</f>
        <v>1800</v>
      </c>
      <c r="C34" s="136">
        <v>0</v>
      </c>
      <c r="D34" s="136">
        <v>640</v>
      </c>
      <c r="E34" s="55">
        <v>0</v>
      </c>
      <c r="F34" s="55">
        <v>36565</v>
      </c>
      <c r="G34" s="55">
        <v>0</v>
      </c>
      <c r="H34" s="55">
        <v>66128</v>
      </c>
      <c r="I34" s="55">
        <v>92693</v>
      </c>
      <c r="J34" s="55">
        <v>0</v>
      </c>
      <c r="K34" s="55">
        <f>SUM(K3:K33)</f>
        <v>123380</v>
      </c>
      <c r="L34" s="55">
        <v>0</v>
      </c>
      <c r="M34" s="55">
        <v>8135</v>
      </c>
      <c r="N34" s="55">
        <v>0</v>
      </c>
      <c r="O34" s="55">
        <v>18194</v>
      </c>
      <c r="P34" s="55">
        <v>0</v>
      </c>
      <c r="Q34" s="55">
        <v>16546</v>
      </c>
      <c r="R34" s="55">
        <v>0</v>
      </c>
      <c r="S34" s="55">
        <v>13008</v>
      </c>
      <c r="T34" s="55">
        <f>SUM(T4:T33)</f>
        <v>0</v>
      </c>
      <c r="U34" s="55">
        <f>SUM(U4:U33)</f>
        <v>0</v>
      </c>
      <c r="V34" s="55">
        <v>0</v>
      </c>
      <c r="W34" s="55">
        <v>14363</v>
      </c>
      <c r="X34" s="55">
        <v>84670</v>
      </c>
      <c r="Y34" s="55">
        <f>SUM(Y4:Y33)</f>
        <v>69609</v>
      </c>
      <c r="Z34" s="55">
        <f>SUM(Z4:Z33)</f>
        <v>93581.350158400004</v>
      </c>
      <c r="AA34" s="55">
        <f>SUM(AA4:AA33)</f>
        <v>2739498.9848096021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>
        <v>454371</v>
      </c>
      <c r="C12" s="38">
        <f t="shared" si="7"/>
        <v>1090</v>
      </c>
      <c r="D12" s="3">
        <v>10679</v>
      </c>
      <c r="E12" s="38">
        <f t="shared" si="2"/>
        <v>260</v>
      </c>
      <c r="F12" s="3">
        <v>10084000</v>
      </c>
      <c r="G12" s="38">
        <f t="shared" si="5"/>
        <v>429.3</v>
      </c>
      <c r="H12" s="3">
        <v>801160</v>
      </c>
      <c r="I12" s="43">
        <f t="shared" si="6"/>
        <v>4.4820000000000002</v>
      </c>
      <c r="J12" s="19">
        <f t="shared" si="3"/>
        <v>1783.7819999999999</v>
      </c>
      <c r="K12" s="20">
        <f t="shared" si="4"/>
        <v>10452.962520000001</v>
      </c>
    </row>
    <row r="13" spans="1:14" ht="16.5" thickBot="1" x14ac:dyDescent="0.3">
      <c r="A13" s="9">
        <v>44753</v>
      </c>
      <c r="B13" s="3">
        <v>454485</v>
      </c>
      <c r="C13" s="38">
        <f t="shared" si="7"/>
        <v>1140</v>
      </c>
      <c r="D13" s="3">
        <v>10725</v>
      </c>
      <c r="E13" s="38">
        <f t="shared" si="2"/>
        <v>460</v>
      </c>
      <c r="F13" s="3">
        <v>10093900</v>
      </c>
      <c r="G13" s="38">
        <f t="shared" si="5"/>
        <v>267.3</v>
      </c>
      <c r="H13" s="3">
        <v>801321</v>
      </c>
      <c r="I13" s="43">
        <f t="shared" si="6"/>
        <v>4.3469999999999995</v>
      </c>
      <c r="J13" s="19">
        <f t="shared" si="3"/>
        <v>1871.6469999999999</v>
      </c>
      <c r="K13" s="20">
        <f t="shared" si="4"/>
        <v>10967.851420000001</v>
      </c>
    </row>
    <row r="14" spans="1:14" ht="16.5" thickBot="1" x14ac:dyDescent="0.3">
      <c r="A14" s="9">
        <v>44754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44755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44756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44757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44759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44760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44761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44762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v>880</v>
      </c>
      <c r="D34" s="55"/>
      <c r="E34" s="55">
        <v>420</v>
      </c>
      <c r="F34" s="55"/>
      <c r="G34" s="55">
        <v>662</v>
      </c>
      <c r="H34" s="3"/>
      <c r="I34" s="55">
        <v>3</v>
      </c>
      <c r="J34" s="55">
        <v>0</v>
      </c>
      <c r="K34" s="55">
        <f>SUM(K4:K33)</f>
        <v>118200.24340000002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A13" sqref="A13:XFD13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18373971</v>
      </c>
      <c r="C7" s="44">
        <f t="shared" si="0"/>
        <v>1826</v>
      </c>
    </row>
    <row r="8" spans="1:9" ht="24" thickBot="1" x14ac:dyDescent="0.4">
      <c r="A8" s="9">
        <v>44748</v>
      </c>
      <c r="B8" s="132">
        <v>18375581</v>
      </c>
      <c r="C8" s="44">
        <f t="shared" si="0"/>
        <v>1610</v>
      </c>
    </row>
    <row r="9" spans="1:9" ht="24" thickBot="1" x14ac:dyDescent="0.4">
      <c r="A9" s="9">
        <v>44749</v>
      </c>
      <c r="B9" s="132">
        <v>18377484</v>
      </c>
      <c r="C9" s="44">
        <f t="shared" si="0"/>
        <v>1903</v>
      </c>
    </row>
    <row r="10" spans="1:9" ht="24" thickBot="1" x14ac:dyDescent="0.4">
      <c r="A10" s="9">
        <v>44750</v>
      </c>
      <c r="B10" s="132">
        <v>18379201</v>
      </c>
      <c r="C10" s="44">
        <f t="shared" si="0"/>
        <v>1717</v>
      </c>
    </row>
    <row r="11" spans="1:9" ht="24" thickBot="1" x14ac:dyDescent="0.4">
      <c r="A11" s="9">
        <v>44751</v>
      </c>
      <c r="B11" s="132">
        <v>18381102</v>
      </c>
      <c r="C11" s="44">
        <f t="shared" si="0"/>
        <v>1901</v>
      </c>
    </row>
    <row r="12" spans="1:9" ht="24" thickBot="1" x14ac:dyDescent="0.4">
      <c r="A12" s="9">
        <v>44752</v>
      </c>
      <c r="B12" s="132">
        <v>18382141</v>
      </c>
      <c r="C12" s="44">
        <f t="shared" si="0"/>
        <v>1039</v>
      </c>
    </row>
    <row r="13" spans="1:9" ht="24" thickBot="1" x14ac:dyDescent="0.4">
      <c r="A13" s="9">
        <v>44753</v>
      </c>
      <c r="B13" s="132">
        <v>18383430</v>
      </c>
      <c r="C13" s="44">
        <f t="shared" si="0"/>
        <v>1289</v>
      </c>
    </row>
    <row r="14" spans="1:9" ht="24" thickBot="1" x14ac:dyDescent="0.4">
      <c r="A14" s="9">
        <v>44754</v>
      </c>
      <c r="B14" s="132"/>
      <c r="C14" s="44" t="str">
        <f t="shared" si="0"/>
        <v>0</v>
      </c>
    </row>
    <row r="15" spans="1:9" ht="24" thickBot="1" x14ac:dyDescent="0.4">
      <c r="A15" s="9">
        <v>44755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44756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44757</v>
      </c>
      <c r="B17" s="132"/>
      <c r="C17" s="44">
        <f t="shared" si="0"/>
        <v>0</v>
      </c>
    </row>
    <row r="18" spans="1:9" ht="24" thickBot="1" x14ac:dyDescent="0.4">
      <c r="A18" s="9">
        <v>44758</v>
      </c>
      <c r="B18" s="132"/>
      <c r="C18" s="44">
        <f t="shared" si="0"/>
        <v>0</v>
      </c>
      <c r="I18" s="34"/>
    </row>
    <row r="19" spans="1:9" ht="24" thickBot="1" x14ac:dyDescent="0.4">
      <c r="A19" s="9">
        <v>44759</v>
      </c>
      <c r="B19" s="132"/>
      <c r="C19" s="44">
        <f t="shared" si="0"/>
        <v>0</v>
      </c>
    </row>
    <row r="20" spans="1:9" ht="24" thickBot="1" x14ac:dyDescent="0.4">
      <c r="A20" s="9">
        <v>44760</v>
      </c>
      <c r="B20" s="132"/>
      <c r="C20" s="44">
        <f t="shared" si="0"/>
        <v>0</v>
      </c>
    </row>
    <row r="21" spans="1:9" ht="24" thickBot="1" x14ac:dyDescent="0.4">
      <c r="A21" s="9">
        <v>44761</v>
      </c>
      <c r="B21" s="132"/>
      <c r="C21" s="44">
        <f t="shared" si="0"/>
        <v>0</v>
      </c>
    </row>
    <row r="22" spans="1:9" ht="24" thickBot="1" x14ac:dyDescent="0.4">
      <c r="A22" s="9">
        <v>44762</v>
      </c>
      <c r="B22" s="132"/>
      <c r="C22" s="44">
        <f t="shared" si="0"/>
        <v>0</v>
      </c>
    </row>
    <row r="23" spans="1:9" ht="24" thickBot="1" x14ac:dyDescent="0.4">
      <c r="A23" s="9">
        <v>44763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44764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0"/>
        <v>0</v>
      </c>
    </row>
    <row r="26" spans="1:9" ht="24" thickBot="1" x14ac:dyDescent="0.4">
      <c r="A26" s="9">
        <v>44766</v>
      </c>
      <c r="B26" s="132"/>
      <c r="C26" s="44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16643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3" sqref="A13:XFD13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>
        <v>24017.467000000001</v>
      </c>
      <c r="C12" s="43">
        <f t="shared" si="21"/>
        <v>13.066999999999098</v>
      </c>
      <c r="D12" s="28">
        <f t="shared" si="22"/>
        <v>24827.299999998286</v>
      </c>
      <c r="E12" s="1">
        <v>4347.5240000000003</v>
      </c>
      <c r="F12" s="43">
        <f t="shared" si="23"/>
        <v>1.2600000000002183</v>
      </c>
      <c r="G12" s="28">
        <f t="shared" si="24"/>
        <v>2394.0000000004143</v>
      </c>
      <c r="H12" s="1">
        <v>5610</v>
      </c>
      <c r="I12" s="43">
        <f t="shared" si="25"/>
        <v>6</v>
      </c>
      <c r="J12" s="28">
        <f t="shared" si="26"/>
        <v>11399.999999999998</v>
      </c>
      <c r="K12" s="7">
        <v>14061.29</v>
      </c>
      <c r="L12" s="43">
        <f t="shared" si="27"/>
        <v>2.1900000000005093</v>
      </c>
      <c r="M12" s="28">
        <f t="shared" si="28"/>
        <v>4161.0000000009677</v>
      </c>
      <c r="N12" s="7">
        <v>3620.6559999999999</v>
      </c>
      <c r="O12" s="43">
        <f t="shared" si="29"/>
        <v>1.6269999999999527</v>
      </c>
      <c r="P12" s="28">
        <f t="shared" si="30"/>
        <v>3091.2999999999097</v>
      </c>
      <c r="Q12" s="7">
        <v>5431.78</v>
      </c>
      <c r="R12" s="43">
        <f t="shared" si="31"/>
        <v>2.6700000000000728</v>
      </c>
      <c r="S12" s="28">
        <f t="shared" si="32"/>
        <v>5073.0000000001382</v>
      </c>
      <c r="T12" s="8">
        <f t="shared" si="34"/>
        <v>26.813999999999851</v>
      </c>
      <c r="U12" s="30">
        <f t="shared" si="33"/>
        <v>50946.599999999715</v>
      </c>
      <c r="W12" s="156">
        <v>44752</v>
      </c>
      <c r="X12" s="157">
        <v>187673</v>
      </c>
      <c r="Y12" s="162">
        <f t="shared" si="20"/>
        <v>245</v>
      </c>
      <c r="Z12" s="157">
        <v>9550</v>
      </c>
      <c r="AA12" s="162">
        <f t="shared" si="20"/>
        <v>4</v>
      </c>
      <c r="AB12" s="157">
        <v>31</v>
      </c>
      <c r="AC12" s="162">
        <f t="shared" si="20"/>
        <v>0.30000000000000071</v>
      </c>
      <c r="AD12" s="157">
        <v>582</v>
      </c>
      <c r="AE12" s="162">
        <f t="shared" si="20"/>
        <v>5</v>
      </c>
      <c r="AF12" s="157">
        <v>8161</v>
      </c>
      <c r="AG12" s="162">
        <f t="shared" si="20"/>
        <v>12</v>
      </c>
    </row>
    <row r="13" spans="1:33" ht="16.5" thickBot="1" x14ac:dyDescent="0.25">
      <c r="A13" s="9">
        <v>44753</v>
      </c>
      <c r="B13" s="159">
        <v>24030.154999999999</v>
      </c>
      <c r="C13" s="43">
        <f t="shared" si="21"/>
        <v>12.687999999998283</v>
      </c>
      <c r="D13" s="28">
        <f t="shared" si="22"/>
        <v>24107.199999996737</v>
      </c>
      <c r="E13" s="1">
        <v>4348.8819999999996</v>
      </c>
      <c r="F13" s="43">
        <f t="shared" si="23"/>
        <v>1.3579999999992651</v>
      </c>
      <c r="G13" s="28">
        <f t="shared" si="24"/>
        <v>2580.1999999986037</v>
      </c>
      <c r="H13" s="1">
        <v>5615</v>
      </c>
      <c r="I13" s="43">
        <f t="shared" si="25"/>
        <v>5</v>
      </c>
      <c r="J13" s="28">
        <f t="shared" si="26"/>
        <v>9500</v>
      </c>
      <c r="K13" s="7">
        <v>14065.88</v>
      </c>
      <c r="L13" s="43">
        <f t="shared" si="27"/>
        <v>4.5899999999983265</v>
      </c>
      <c r="M13" s="28">
        <f t="shared" si="28"/>
        <v>8720.9999999968204</v>
      </c>
      <c r="N13" s="7">
        <v>3622.2249999999999</v>
      </c>
      <c r="O13" s="43">
        <f t="shared" si="29"/>
        <v>1.56899999999996</v>
      </c>
      <c r="P13" s="28">
        <f t="shared" si="30"/>
        <v>2981.0999999999235</v>
      </c>
      <c r="Q13" s="7">
        <v>5433.68</v>
      </c>
      <c r="R13" s="43">
        <f t="shared" si="31"/>
        <v>1.9000000000005457</v>
      </c>
      <c r="S13" s="28">
        <f t="shared" si="32"/>
        <v>3610.0000000010368</v>
      </c>
      <c r="T13" s="8">
        <f t="shared" si="34"/>
        <v>27.10499999999638</v>
      </c>
      <c r="U13" s="30">
        <f t="shared" si="33"/>
        <v>51499.499999993117</v>
      </c>
      <c r="W13" s="156">
        <v>44753</v>
      </c>
      <c r="X13" s="157">
        <v>187916</v>
      </c>
      <c r="Y13" s="162">
        <f t="shared" si="20"/>
        <v>243</v>
      </c>
      <c r="Z13" s="157">
        <v>9554</v>
      </c>
      <c r="AA13" s="162">
        <f t="shared" si="20"/>
        <v>4</v>
      </c>
      <c r="AB13" s="157">
        <v>31</v>
      </c>
      <c r="AC13" s="162">
        <f t="shared" si="20"/>
        <v>0</v>
      </c>
      <c r="AD13" s="157">
        <v>585</v>
      </c>
      <c r="AE13" s="162">
        <f t="shared" si="20"/>
        <v>3</v>
      </c>
      <c r="AF13" s="157">
        <v>8171</v>
      </c>
      <c r="AG13" s="162">
        <f t="shared" si="20"/>
        <v>10</v>
      </c>
    </row>
    <row r="14" spans="1:33" ht="16.5" thickBot="1" x14ac:dyDescent="0.25">
      <c r="A14" s="9">
        <v>44754</v>
      </c>
      <c r="B14" s="159"/>
      <c r="C14" s="43" t="str">
        <f t="shared" si="21"/>
        <v>0</v>
      </c>
      <c r="D14" s="28">
        <f t="shared" si="22"/>
        <v>0</v>
      </c>
      <c r="E14" s="1"/>
      <c r="F14" s="43" t="str">
        <f t="shared" si="23"/>
        <v>0</v>
      </c>
      <c r="G14" s="28">
        <f t="shared" si="24"/>
        <v>0</v>
      </c>
      <c r="H14" s="1"/>
      <c r="I14" s="43" t="str">
        <f t="shared" si="25"/>
        <v>0</v>
      </c>
      <c r="J14" s="28">
        <f t="shared" si="26"/>
        <v>0</v>
      </c>
      <c r="K14" s="7"/>
      <c r="L14" s="43" t="str">
        <f t="shared" si="27"/>
        <v>0</v>
      </c>
      <c r="M14" s="28">
        <f t="shared" si="28"/>
        <v>0</v>
      </c>
      <c r="N14" s="7"/>
      <c r="O14" s="43" t="str">
        <f>IF((N14-N13)&lt;0,"0",(N14-N13))</f>
        <v>0</v>
      </c>
      <c r="P14" s="28">
        <f t="shared" si="30"/>
        <v>0</v>
      </c>
      <c r="Q14" s="7"/>
      <c r="R14" s="43" t="str">
        <f t="shared" si="31"/>
        <v>0</v>
      </c>
      <c r="S14" s="28">
        <f t="shared" si="32"/>
        <v>0</v>
      </c>
      <c r="T14" s="8">
        <f t="shared" si="34"/>
        <v>0</v>
      </c>
      <c r="U14" s="30">
        <f t="shared" si="33"/>
        <v>0</v>
      </c>
      <c r="W14" s="156">
        <v>44754</v>
      </c>
      <c r="X14" s="157"/>
      <c r="Y14" s="162" t="str">
        <f t="shared" si="20"/>
        <v>0</v>
      </c>
      <c r="Z14" s="157"/>
      <c r="AA14" s="162" t="str">
        <f t="shared" si="20"/>
        <v>0</v>
      </c>
      <c r="AB14" s="157"/>
      <c r="AC14" s="162" t="str">
        <f t="shared" si="20"/>
        <v>0</v>
      </c>
      <c r="AD14" s="157"/>
      <c r="AE14" s="162" t="str">
        <f t="shared" si="20"/>
        <v>0</v>
      </c>
      <c r="AF14" s="157"/>
      <c r="AG14" s="162" t="str">
        <f t="shared" si="20"/>
        <v>0</v>
      </c>
    </row>
    <row r="15" spans="1:33" ht="16.5" thickBot="1" x14ac:dyDescent="0.25">
      <c r="A15" s="9">
        <v>44755</v>
      </c>
      <c r="B15" s="159"/>
      <c r="C15" s="43">
        <f t="shared" ref="C15" si="35">IF((B15-B14)&lt;0,"0",(B15-B14))</f>
        <v>0</v>
      </c>
      <c r="D15" s="28">
        <f t="shared" ref="D15" si="36">C15*1.9*1000</f>
        <v>0</v>
      </c>
      <c r="E15" s="1"/>
      <c r="F15" s="43">
        <f t="shared" ref="F15" si="37">IF((E15-E14)&lt;0,"0",(E15-E14))</f>
        <v>0</v>
      </c>
      <c r="G15" s="28">
        <f t="shared" ref="G15" si="38">F15*1.9*1000</f>
        <v>0</v>
      </c>
      <c r="H15" s="1"/>
      <c r="I15" s="43">
        <f t="shared" ref="I15" si="39">IF((H15-H14)&lt;0,"0",(H15-H14))</f>
        <v>0</v>
      </c>
      <c r="J15" s="28">
        <f t="shared" ref="J15" si="40">I15*1.9*1000</f>
        <v>0</v>
      </c>
      <c r="K15" s="7"/>
      <c r="L15" s="43">
        <f t="shared" ref="L15" si="41">IF((K15-K14)&lt;0,"0",(K15-K14))</f>
        <v>0</v>
      </c>
      <c r="M15" s="28">
        <f t="shared" ref="M15" si="42">L15*1.9*1000</f>
        <v>0</v>
      </c>
      <c r="N15" s="7"/>
      <c r="O15" s="43">
        <f>IF((N15-N14)&lt;0,"0",(N15-N14))</f>
        <v>0</v>
      </c>
      <c r="P15" s="28">
        <f t="shared" ref="P15" si="43">O15*1.9*1000</f>
        <v>0</v>
      </c>
      <c r="Q15" s="7"/>
      <c r="R15" s="43">
        <f t="shared" ref="R15" si="44">IF((Q15-Q14)&lt;0,"0",(Q15-Q14))</f>
        <v>0</v>
      </c>
      <c r="S15" s="28">
        <f t="shared" ref="S15" si="45">R15*1.9*1000</f>
        <v>0</v>
      </c>
      <c r="T15" s="8">
        <f t="shared" ref="T15" si="46">C15+F15+I15+L15+O15+R15</f>
        <v>0</v>
      </c>
      <c r="U15" s="30">
        <f t="shared" ref="U15" si="47">T15*1.9*1000</f>
        <v>0</v>
      </c>
      <c r="W15" s="156">
        <v>44755</v>
      </c>
      <c r="X15" s="157"/>
      <c r="Y15" s="162">
        <f t="shared" si="20"/>
        <v>0</v>
      </c>
      <c r="Z15" s="157"/>
      <c r="AA15" s="162">
        <f t="shared" si="20"/>
        <v>0</v>
      </c>
      <c r="AB15" s="157"/>
      <c r="AC15" s="162">
        <f t="shared" si="20"/>
        <v>0</v>
      </c>
      <c r="AD15" s="157"/>
      <c r="AE15" s="162">
        <f t="shared" si="20"/>
        <v>0</v>
      </c>
      <c r="AF15" s="157"/>
      <c r="AG15" s="162">
        <f t="shared" si="20"/>
        <v>0</v>
      </c>
    </row>
    <row r="16" spans="1:33" ht="16.5" thickBot="1" x14ac:dyDescent="0.25">
      <c r="A16" s="9">
        <v>44756</v>
      </c>
      <c r="B16" s="159"/>
      <c r="C16" s="43">
        <f t="shared" si="21"/>
        <v>0</v>
      </c>
      <c r="D16" s="28">
        <f t="shared" si="22"/>
        <v>0</v>
      </c>
      <c r="E16" s="1"/>
      <c r="F16" s="43">
        <f t="shared" si="23"/>
        <v>0</v>
      </c>
      <c r="G16" s="28">
        <f t="shared" si="24"/>
        <v>0</v>
      </c>
      <c r="H16" s="1"/>
      <c r="I16" s="43">
        <f t="shared" si="25"/>
        <v>0</v>
      </c>
      <c r="J16" s="28">
        <f t="shared" si="26"/>
        <v>0</v>
      </c>
      <c r="K16" s="7"/>
      <c r="L16" s="43">
        <f t="shared" si="27"/>
        <v>0</v>
      </c>
      <c r="M16" s="28">
        <f t="shared" si="28"/>
        <v>0</v>
      </c>
      <c r="N16" s="7"/>
      <c r="O16" s="43">
        <f t="shared" si="29"/>
        <v>0</v>
      </c>
      <c r="P16" s="28">
        <f t="shared" si="30"/>
        <v>0</v>
      </c>
      <c r="Q16" s="7"/>
      <c r="R16" s="43">
        <f t="shared" si="31"/>
        <v>0</v>
      </c>
      <c r="S16" s="28">
        <f t="shared" si="32"/>
        <v>0</v>
      </c>
      <c r="T16" s="8">
        <f t="shared" si="34"/>
        <v>0</v>
      </c>
      <c r="U16" s="30">
        <f t="shared" si="33"/>
        <v>0</v>
      </c>
      <c r="W16" s="156">
        <v>44756</v>
      </c>
      <c r="X16" s="157"/>
      <c r="Y16" s="162">
        <f t="shared" si="20"/>
        <v>0</v>
      </c>
      <c r="Z16" s="157"/>
      <c r="AA16" s="162">
        <f t="shared" si="20"/>
        <v>0</v>
      </c>
      <c r="AB16" s="157"/>
      <c r="AC16" s="162">
        <f t="shared" si="20"/>
        <v>0</v>
      </c>
      <c r="AD16" s="157"/>
      <c r="AE16" s="162">
        <f t="shared" si="20"/>
        <v>0</v>
      </c>
      <c r="AF16" s="157"/>
      <c r="AG16" s="162">
        <f t="shared" si="20"/>
        <v>0</v>
      </c>
    </row>
    <row r="17" spans="1:33" ht="16.5" thickBot="1" x14ac:dyDescent="0.25">
      <c r="A17" s="9">
        <v>44757</v>
      </c>
      <c r="B17" s="159"/>
      <c r="C17" s="43">
        <f t="shared" si="21"/>
        <v>0</v>
      </c>
      <c r="D17" s="28">
        <f t="shared" si="22"/>
        <v>0</v>
      </c>
      <c r="E17" s="1"/>
      <c r="F17" s="43">
        <f t="shared" si="23"/>
        <v>0</v>
      </c>
      <c r="G17" s="28">
        <f t="shared" si="24"/>
        <v>0</v>
      </c>
      <c r="H17" s="1"/>
      <c r="I17" s="43">
        <f t="shared" si="25"/>
        <v>0</v>
      </c>
      <c r="J17" s="28">
        <f t="shared" si="26"/>
        <v>0</v>
      </c>
      <c r="K17" s="7"/>
      <c r="L17" s="43">
        <f t="shared" si="27"/>
        <v>0</v>
      </c>
      <c r="M17" s="28">
        <f t="shared" si="28"/>
        <v>0</v>
      </c>
      <c r="N17" s="7"/>
      <c r="O17" s="43">
        <f t="shared" si="29"/>
        <v>0</v>
      </c>
      <c r="P17" s="28">
        <f t="shared" si="30"/>
        <v>0</v>
      </c>
      <c r="Q17" s="7"/>
      <c r="R17" s="43">
        <f t="shared" si="31"/>
        <v>0</v>
      </c>
      <c r="S17" s="28">
        <f t="shared" si="32"/>
        <v>0</v>
      </c>
      <c r="T17" s="8">
        <f t="shared" si="34"/>
        <v>0</v>
      </c>
      <c r="U17" s="30">
        <f t="shared" si="33"/>
        <v>0</v>
      </c>
      <c r="W17" s="156">
        <v>44757</v>
      </c>
      <c r="X17" s="157"/>
      <c r="Y17" s="162">
        <f t="shared" si="20"/>
        <v>0</v>
      </c>
      <c r="Z17" s="157"/>
      <c r="AA17" s="162">
        <f t="shared" si="20"/>
        <v>0</v>
      </c>
      <c r="AB17" s="157"/>
      <c r="AC17" s="162">
        <f t="shared" si="20"/>
        <v>0</v>
      </c>
      <c r="AD17" s="157"/>
      <c r="AE17" s="162">
        <f t="shared" si="20"/>
        <v>0</v>
      </c>
      <c r="AF17" s="157"/>
      <c r="AG17" s="162">
        <f t="shared" si="20"/>
        <v>0</v>
      </c>
    </row>
    <row r="18" spans="1:33" ht="16.5" thickBot="1" x14ac:dyDescent="0.25">
      <c r="A18" s="9">
        <v>44758</v>
      </c>
      <c r="B18" s="159"/>
      <c r="C18" s="43">
        <f t="shared" si="21"/>
        <v>0</v>
      </c>
      <c r="D18" s="28">
        <f t="shared" si="22"/>
        <v>0</v>
      </c>
      <c r="E18" s="1"/>
      <c r="F18" s="43">
        <f t="shared" si="23"/>
        <v>0</v>
      </c>
      <c r="G18" s="28">
        <f t="shared" si="24"/>
        <v>0</v>
      </c>
      <c r="H18" s="1"/>
      <c r="I18" s="43">
        <f t="shared" si="25"/>
        <v>0</v>
      </c>
      <c r="J18" s="28">
        <f t="shared" si="26"/>
        <v>0</v>
      </c>
      <c r="K18" s="7"/>
      <c r="L18" s="43">
        <f t="shared" si="27"/>
        <v>0</v>
      </c>
      <c r="M18" s="28">
        <f t="shared" si="28"/>
        <v>0</v>
      </c>
      <c r="N18" s="7"/>
      <c r="O18" s="43">
        <f t="shared" si="29"/>
        <v>0</v>
      </c>
      <c r="P18" s="28">
        <f t="shared" si="30"/>
        <v>0</v>
      </c>
      <c r="Q18" s="7"/>
      <c r="R18" s="43">
        <f t="shared" si="31"/>
        <v>0</v>
      </c>
      <c r="S18" s="28">
        <f t="shared" si="32"/>
        <v>0</v>
      </c>
      <c r="T18" s="8">
        <f t="shared" si="34"/>
        <v>0</v>
      </c>
      <c r="U18" s="30">
        <f t="shared" si="33"/>
        <v>0</v>
      </c>
      <c r="W18" s="156">
        <v>44758</v>
      </c>
      <c r="X18" s="157"/>
      <c r="Y18" s="162">
        <f t="shared" si="20"/>
        <v>0</v>
      </c>
      <c r="Z18" s="157"/>
      <c r="AA18" s="162">
        <f t="shared" si="20"/>
        <v>0</v>
      </c>
      <c r="AB18" s="157"/>
      <c r="AC18" s="162">
        <f t="shared" si="20"/>
        <v>0</v>
      </c>
      <c r="AD18" s="157"/>
      <c r="AE18" s="162">
        <f t="shared" si="20"/>
        <v>0</v>
      </c>
      <c r="AF18" s="157"/>
      <c r="AG18" s="162">
        <f t="shared" si="20"/>
        <v>0</v>
      </c>
    </row>
    <row r="19" spans="1:33" ht="16.5" thickBot="1" x14ac:dyDescent="0.25">
      <c r="A19" s="9">
        <v>44759</v>
      </c>
      <c r="B19" s="159"/>
      <c r="C19" s="43">
        <f t="shared" si="21"/>
        <v>0</v>
      </c>
      <c r="D19" s="28">
        <f t="shared" si="22"/>
        <v>0</v>
      </c>
      <c r="E19" s="1"/>
      <c r="F19" s="43">
        <f t="shared" si="23"/>
        <v>0</v>
      </c>
      <c r="G19" s="28">
        <f t="shared" si="24"/>
        <v>0</v>
      </c>
      <c r="H19" s="1"/>
      <c r="I19" s="43">
        <f t="shared" si="25"/>
        <v>0</v>
      </c>
      <c r="J19" s="28">
        <f t="shared" si="26"/>
        <v>0</v>
      </c>
      <c r="K19" s="7"/>
      <c r="L19" s="43">
        <f t="shared" si="27"/>
        <v>0</v>
      </c>
      <c r="M19" s="28">
        <f t="shared" si="28"/>
        <v>0</v>
      </c>
      <c r="N19" s="7"/>
      <c r="O19" s="43">
        <f t="shared" si="29"/>
        <v>0</v>
      </c>
      <c r="P19" s="28">
        <f t="shared" si="30"/>
        <v>0</v>
      </c>
      <c r="Q19" s="7"/>
      <c r="R19" s="43">
        <f t="shared" si="31"/>
        <v>0</v>
      </c>
      <c r="S19" s="28">
        <f t="shared" si="32"/>
        <v>0</v>
      </c>
      <c r="T19" s="8">
        <f t="shared" si="34"/>
        <v>0</v>
      </c>
      <c r="U19" s="30">
        <f t="shared" si="33"/>
        <v>0</v>
      </c>
      <c r="W19" s="156">
        <v>44759</v>
      </c>
      <c r="X19" s="157"/>
      <c r="Y19" s="162">
        <f t="shared" si="20"/>
        <v>0</v>
      </c>
      <c r="Z19" s="157"/>
      <c r="AA19" s="162">
        <f t="shared" si="20"/>
        <v>0</v>
      </c>
      <c r="AB19" s="157"/>
      <c r="AC19" s="162">
        <f t="shared" si="20"/>
        <v>0</v>
      </c>
      <c r="AD19" s="157"/>
      <c r="AE19" s="162">
        <f t="shared" si="20"/>
        <v>0</v>
      </c>
      <c r="AF19" s="157"/>
      <c r="AG19" s="162">
        <f t="shared" si="20"/>
        <v>0</v>
      </c>
    </row>
    <row r="20" spans="1:33" ht="16.5" thickBot="1" x14ac:dyDescent="0.25">
      <c r="A20" s="9">
        <v>44760</v>
      </c>
      <c r="B20" s="159"/>
      <c r="C20" s="43">
        <f t="shared" si="21"/>
        <v>0</v>
      </c>
      <c r="D20" s="28">
        <f t="shared" si="22"/>
        <v>0</v>
      </c>
      <c r="E20" s="1"/>
      <c r="F20" s="43">
        <f t="shared" si="23"/>
        <v>0</v>
      </c>
      <c r="G20" s="28">
        <f t="shared" si="24"/>
        <v>0</v>
      </c>
      <c r="H20" s="1"/>
      <c r="I20" s="43">
        <f t="shared" si="25"/>
        <v>0</v>
      </c>
      <c r="J20" s="28">
        <f t="shared" si="26"/>
        <v>0</v>
      </c>
      <c r="K20" s="7"/>
      <c r="L20" s="43">
        <f t="shared" si="27"/>
        <v>0</v>
      </c>
      <c r="M20" s="28">
        <f t="shared" si="28"/>
        <v>0</v>
      </c>
      <c r="N20" s="7"/>
      <c r="O20" s="43">
        <f t="shared" si="29"/>
        <v>0</v>
      </c>
      <c r="P20" s="28">
        <f t="shared" si="30"/>
        <v>0</v>
      </c>
      <c r="Q20" s="7"/>
      <c r="R20" s="43">
        <f t="shared" si="31"/>
        <v>0</v>
      </c>
      <c r="S20" s="28">
        <f t="shared" si="32"/>
        <v>0</v>
      </c>
      <c r="T20" s="8">
        <f t="shared" si="34"/>
        <v>0</v>
      </c>
      <c r="U20" s="30">
        <f t="shared" si="33"/>
        <v>0</v>
      </c>
      <c r="W20" s="156">
        <v>44760</v>
      </c>
      <c r="X20" s="157"/>
      <c r="Y20" s="162">
        <f t="shared" si="20"/>
        <v>0</v>
      </c>
      <c r="Z20" s="157"/>
      <c r="AA20" s="162">
        <f t="shared" si="20"/>
        <v>0</v>
      </c>
      <c r="AB20" s="157"/>
      <c r="AC20" s="162">
        <f t="shared" si="20"/>
        <v>0</v>
      </c>
      <c r="AD20" s="157"/>
      <c r="AE20" s="162">
        <f t="shared" si="20"/>
        <v>0</v>
      </c>
      <c r="AF20" s="157"/>
      <c r="AG20" s="162">
        <f t="shared" si="20"/>
        <v>0</v>
      </c>
    </row>
    <row r="21" spans="1:33" ht="16.5" thickBot="1" x14ac:dyDescent="0.25">
      <c r="A21" s="9">
        <v>44761</v>
      </c>
      <c r="B21" s="159"/>
      <c r="C21" s="43">
        <f t="shared" si="21"/>
        <v>0</v>
      </c>
      <c r="D21" s="28">
        <f t="shared" si="22"/>
        <v>0</v>
      </c>
      <c r="E21" s="1"/>
      <c r="F21" s="43">
        <f t="shared" si="23"/>
        <v>0</v>
      </c>
      <c r="G21" s="28">
        <f t="shared" si="24"/>
        <v>0</v>
      </c>
      <c r="H21" s="1"/>
      <c r="I21" s="43">
        <f t="shared" si="25"/>
        <v>0</v>
      </c>
      <c r="J21" s="28">
        <f t="shared" si="26"/>
        <v>0</v>
      </c>
      <c r="K21" s="7"/>
      <c r="L21" s="43">
        <f t="shared" si="27"/>
        <v>0</v>
      </c>
      <c r="M21" s="28">
        <f t="shared" si="28"/>
        <v>0</v>
      </c>
      <c r="N21" s="7"/>
      <c r="O21" s="43">
        <f t="shared" si="29"/>
        <v>0</v>
      </c>
      <c r="P21" s="28">
        <f t="shared" si="30"/>
        <v>0</v>
      </c>
      <c r="Q21" s="7"/>
      <c r="R21" s="43">
        <f t="shared" si="31"/>
        <v>0</v>
      </c>
      <c r="S21" s="28">
        <f t="shared" si="32"/>
        <v>0</v>
      </c>
      <c r="T21" s="8">
        <f t="shared" si="34"/>
        <v>0</v>
      </c>
      <c r="U21" s="30">
        <f t="shared" si="33"/>
        <v>0</v>
      </c>
      <c r="W21" s="156">
        <v>44761</v>
      </c>
      <c r="X21" s="157"/>
      <c r="Y21" s="162">
        <f t="shared" si="20"/>
        <v>0</v>
      </c>
      <c r="Z21" s="157"/>
      <c r="AA21" s="162">
        <f t="shared" si="20"/>
        <v>0</v>
      </c>
      <c r="AB21" s="157"/>
      <c r="AC21" s="162">
        <f t="shared" si="20"/>
        <v>0</v>
      </c>
      <c r="AD21" s="157"/>
      <c r="AE21" s="162">
        <f t="shared" si="20"/>
        <v>0</v>
      </c>
      <c r="AF21" s="157"/>
      <c r="AG21" s="162">
        <f t="shared" si="20"/>
        <v>0</v>
      </c>
    </row>
    <row r="22" spans="1:33" ht="16.5" thickBot="1" x14ac:dyDescent="0.25">
      <c r="A22" s="9">
        <v>44762</v>
      </c>
      <c r="B22" s="159"/>
      <c r="C22" s="43">
        <f t="shared" si="21"/>
        <v>0</v>
      </c>
      <c r="D22" s="28">
        <f t="shared" si="22"/>
        <v>0</v>
      </c>
      <c r="E22" s="1"/>
      <c r="F22" s="43">
        <f t="shared" si="23"/>
        <v>0</v>
      </c>
      <c r="G22" s="28">
        <f t="shared" si="24"/>
        <v>0</v>
      </c>
      <c r="H22" s="1"/>
      <c r="I22" s="43">
        <f t="shared" si="25"/>
        <v>0</v>
      </c>
      <c r="J22" s="28">
        <f t="shared" si="26"/>
        <v>0</v>
      </c>
      <c r="K22" s="7"/>
      <c r="L22" s="43">
        <f t="shared" si="27"/>
        <v>0</v>
      </c>
      <c r="M22" s="28">
        <f t="shared" si="28"/>
        <v>0</v>
      </c>
      <c r="N22" s="7"/>
      <c r="O22" s="43">
        <f t="shared" si="29"/>
        <v>0</v>
      </c>
      <c r="P22" s="28">
        <f t="shared" si="30"/>
        <v>0</v>
      </c>
      <c r="Q22" s="7"/>
      <c r="R22" s="43">
        <f t="shared" si="31"/>
        <v>0</v>
      </c>
      <c r="S22" s="28">
        <f t="shared" si="32"/>
        <v>0</v>
      </c>
      <c r="T22" s="8">
        <f t="shared" si="34"/>
        <v>0</v>
      </c>
      <c r="U22" s="30">
        <f t="shared" si="33"/>
        <v>0</v>
      </c>
      <c r="W22" s="156">
        <v>44762</v>
      </c>
      <c r="X22" s="157"/>
      <c r="Y22" s="162">
        <f t="shared" si="20"/>
        <v>0</v>
      </c>
      <c r="Z22" s="157"/>
      <c r="AA22" s="162">
        <f t="shared" si="20"/>
        <v>0</v>
      </c>
      <c r="AB22" s="157"/>
      <c r="AC22" s="162">
        <f t="shared" si="20"/>
        <v>0</v>
      </c>
      <c r="AD22" s="157"/>
      <c r="AE22" s="162">
        <f t="shared" si="20"/>
        <v>0</v>
      </c>
      <c r="AF22" s="157"/>
      <c r="AG22" s="162">
        <f t="shared" si="20"/>
        <v>0</v>
      </c>
    </row>
    <row r="23" spans="1:33" ht="16.5" thickBot="1" x14ac:dyDescent="0.25">
      <c r="A23" s="9">
        <v>44763</v>
      </c>
      <c r="B23" s="159"/>
      <c r="C23" s="43">
        <f t="shared" si="21"/>
        <v>0</v>
      </c>
      <c r="D23" s="28">
        <f t="shared" si="22"/>
        <v>0</v>
      </c>
      <c r="E23" s="1"/>
      <c r="F23" s="43">
        <f t="shared" si="23"/>
        <v>0</v>
      </c>
      <c r="G23" s="28">
        <f t="shared" si="24"/>
        <v>0</v>
      </c>
      <c r="H23" s="1"/>
      <c r="I23" s="43">
        <f t="shared" si="25"/>
        <v>0</v>
      </c>
      <c r="J23" s="28">
        <f t="shared" si="26"/>
        <v>0</v>
      </c>
      <c r="K23" s="7"/>
      <c r="L23" s="43">
        <f t="shared" si="27"/>
        <v>0</v>
      </c>
      <c r="M23" s="28">
        <f t="shared" si="28"/>
        <v>0</v>
      </c>
      <c r="N23" s="7"/>
      <c r="O23" s="43">
        <f t="shared" si="29"/>
        <v>0</v>
      </c>
      <c r="P23" s="28">
        <f t="shared" si="30"/>
        <v>0</v>
      </c>
      <c r="Q23" s="7"/>
      <c r="R23" s="43">
        <f t="shared" si="31"/>
        <v>0</v>
      </c>
      <c r="S23" s="28">
        <f t="shared" si="32"/>
        <v>0</v>
      </c>
      <c r="T23" s="8">
        <f t="shared" si="34"/>
        <v>0</v>
      </c>
      <c r="U23" s="30">
        <f t="shared" si="33"/>
        <v>0</v>
      </c>
      <c r="W23" s="156">
        <v>44763</v>
      </c>
      <c r="X23" s="157"/>
      <c r="Y23" s="162">
        <f t="shared" si="20"/>
        <v>0</v>
      </c>
      <c r="Z23" s="157"/>
      <c r="AA23" s="162">
        <f t="shared" si="20"/>
        <v>0</v>
      </c>
      <c r="AB23" s="157"/>
      <c r="AC23" s="162">
        <f t="shared" si="20"/>
        <v>0</v>
      </c>
      <c r="AD23" s="157"/>
      <c r="AE23" s="162">
        <f t="shared" si="20"/>
        <v>0</v>
      </c>
      <c r="AF23" s="157"/>
      <c r="AG23" s="162">
        <f t="shared" si="20"/>
        <v>0</v>
      </c>
    </row>
    <row r="24" spans="1:33" ht="16.5" thickBot="1" x14ac:dyDescent="0.25">
      <c r="A24" s="9">
        <v>44764</v>
      </c>
      <c r="B24" s="159"/>
      <c r="C24" s="43">
        <f t="shared" si="21"/>
        <v>0</v>
      </c>
      <c r="D24" s="28">
        <f t="shared" si="22"/>
        <v>0</v>
      </c>
      <c r="E24" s="1"/>
      <c r="F24" s="43">
        <f t="shared" si="23"/>
        <v>0</v>
      </c>
      <c r="G24" s="28">
        <f t="shared" si="24"/>
        <v>0</v>
      </c>
      <c r="H24" s="1"/>
      <c r="I24" s="43">
        <f t="shared" si="25"/>
        <v>0</v>
      </c>
      <c r="J24" s="28">
        <f t="shared" si="26"/>
        <v>0</v>
      </c>
      <c r="K24" s="7"/>
      <c r="L24" s="43">
        <f t="shared" si="27"/>
        <v>0</v>
      </c>
      <c r="M24" s="28">
        <f t="shared" si="28"/>
        <v>0</v>
      </c>
      <c r="N24" s="7"/>
      <c r="O24" s="43">
        <f t="shared" si="29"/>
        <v>0</v>
      </c>
      <c r="P24" s="28">
        <f t="shared" si="30"/>
        <v>0</v>
      </c>
      <c r="Q24" s="7"/>
      <c r="R24" s="43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>
        <f t="shared" si="20"/>
        <v>0</v>
      </c>
      <c r="Z24" s="157"/>
      <c r="AA24" s="162">
        <f t="shared" si="20"/>
        <v>0</v>
      </c>
      <c r="AB24" s="157"/>
      <c r="AC24" s="162">
        <f t="shared" si="20"/>
        <v>0</v>
      </c>
      <c r="AD24" s="157"/>
      <c r="AE24" s="162">
        <f t="shared" si="20"/>
        <v>0</v>
      </c>
      <c r="AF24" s="157"/>
      <c r="AG24" s="162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139.43199999999706</v>
      </c>
      <c r="D34" s="136">
        <f>SUM(D4:D33)</f>
        <v>241543.20000000118</v>
      </c>
      <c r="E34" s="136"/>
      <c r="F34" s="136">
        <f>SUM(F3:F33)</f>
        <v>25.835999999999331</v>
      </c>
      <c r="G34" s="136">
        <f>SUM(G4:G33)</f>
        <v>46245.999999998545</v>
      </c>
      <c r="H34" s="136"/>
      <c r="I34" s="136">
        <f>SUM(I3:I33)</f>
        <v>74</v>
      </c>
      <c r="J34" s="136">
        <f>SUM(J4:J33)</f>
        <v>129199.99999999999</v>
      </c>
      <c r="K34" s="136"/>
      <c r="L34" s="136">
        <f>SUM(L3:L33)</f>
        <v>25.759999999998399</v>
      </c>
      <c r="M34" s="136">
        <f>SUM(M4:M33)</f>
        <v>45219.999999998618</v>
      </c>
      <c r="N34" s="136"/>
      <c r="O34" s="136">
        <f>SUM(O3:O33)</f>
        <v>17.755000000000109</v>
      </c>
      <c r="P34" s="136">
        <f>SUM(P4:P33)</f>
        <v>30912.999999999964</v>
      </c>
      <c r="Q34" s="136"/>
      <c r="R34" s="136">
        <v>2.21</v>
      </c>
      <c r="S34" s="136">
        <f>SUM(S4:S33)</f>
        <v>37164.000000000757</v>
      </c>
      <c r="T34" s="136">
        <v>22.454999999999998</v>
      </c>
      <c r="U34" s="136">
        <f>SUM(U4:U33)</f>
        <v>530286.19999999902</v>
      </c>
      <c r="V34"/>
      <c r="W34" s="136" t="s">
        <v>141</v>
      </c>
      <c r="X34" s="136"/>
      <c r="Y34" s="136">
        <f>SUM(Y3:Y33)</f>
        <v>2917</v>
      </c>
      <c r="Z34" s="136"/>
      <c r="AA34" s="136">
        <f>SUM(AA3:AA33)</f>
        <v>65</v>
      </c>
      <c r="AB34" s="136"/>
      <c r="AC34" s="136">
        <f>SUM(AC3:AC33)</f>
        <v>4.8000000000000007</v>
      </c>
      <c r="AD34" s="136"/>
      <c r="AE34" s="136">
        <f>SUM(AE3:AE33)</f>
        <v>21</v>
      </c>
      <c r="AF34" s="136">
        <v>0</v>
      </c>
      <c r="AG34" s="136">
        <f>SUM(AG3:AG33)</f>
        <v>162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-31647437</v>
      </c>
      <c r="D2" s="96">
        <f>C2*1.27</f>
        <v>-40192244.990000002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1828569</v>
      </c>
      <c r="K4" s="166">
        <f>J4-I4</f>
        <v>593919</v>
      </c>
    </row>
    <row r="5" spans="1:13" ht="13.5" thickBot="1" x14ac:dyDescent="0.25">
      <c r="A5" s="94"/>
      <c r="B5" s="100" t="s">
        <v>27</v>
      </c>
      <c r="C5" s="104">
        <f>(K10+K12)*0.842284+K26</f>
        <v>315951.80050000001</v>
      </c>
      <c r="D5" s="104">
        <f t="shared" ref="D5:D11" si="0">C5*1.27</f>
        <v>401258.78663500003</v>
      </c>
      <c r="E5" s="105"/>
      <c r="F5" s="94"/>
      <c r="G5" s="94"/>
      <c r="H5" s="100" t="s">
        <v>23</v>
      </c>
      <c r="I5" s="106"/>
      <c r="J5" s="106"/>
      <c r="K5" s="126">
        <f>K3+K4</f>
        <v>-31146339</v>
      </c>
    </row>
    <row r="6" spans="1:13" ht="13.5" thickBot="1" x14ac:dyDescent="0.25">
      <c r="A6" s="94"/>
      <c r="B6" s="100" t="s">
        <v>99</v>
      </c>
      <c r="C6" s="104">
        <f>(K10+K12+K26)*0.1488</f>
        <v>55611.767999999996</v>
      </c>
      <c r="D6" s="104">
        <f t="shared" si="0"/>
        <v>70626.945359999998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135722</v>
      </c>
      <c r="K6" s="166">
        <f>J6-I6</f>
        <v>61690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106786</v>
      </c>
      <c r="D7" s="104">
        <f t="shared" si="0"/>
        <v>135618.22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369516</v>
      </c>
      <c r="K7" s="166">
        <f>J7-I7</f>
        <v>73033</v>
      </c>
    </row>
    <row r="8" spans="1:13" ht="13.5" thickBot="1" x14ac:dyDescent="0.25">
      <c r="A8" s="94"/>
      <c r="B8" s="100" t="s">
        <v>103</v>
      </c>
      <c r="C8" s="104">
        <f>K21+K22+K23+K24</f>
        <v>12675</v>
      </c>
      <c r="D8" s="104">
        <f t="shared" si="0"/>
        <v>16097.25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6949342</v>
      </c>
      <c r="K8" s="91">
        <f>(J8-I8)*2</f>
        <v>169022</v>
      </c>
    </row>
    <row r="9" spans="1:13" ht="13.5" thickBot="1" x14ac:dyDescent="0.25">
      <c r="A9" s="94"/>
      <c r="B9" s="100" t="s">
        <v>137</v>
      </c>
      <c r="C9" s="104">
        <f>K25+K16+K17</f>
        <v>2512</v>
      </c>
      <c r="D9" s="104">
        <f t="shared" si="0"/>
        <v>3190.2400000000002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7188858</v>
      </c>
      <c r="K9" s="91">
        <f>J9-I9</f>
        <v>154196</v>
      </c>
    </row>
    <row r="10" spans="1:13" ht="13.5" thickBot="1" x14ac:dyDescent="0.25">
      <c r="A10" s="94"/>
      <c r="B10" s="100" t="s">
        <v>106</v>
      </c>
      <c r="C10" s="104">
        <f>K18</f>
        <v>4960</v>
      </c>
      <c r="D10" s="104">
        <f t="shared" si="0"/>
        <v>6299.2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21655614</v>
      </c>
      <c r="K10" s="91">
        <f>J10-I10</f>
        <v>115361</v>
      </c>
    </row>
    <row r="11" spans="1:13" ht="13.5" thickBot="1" x14ac:dyDescent="0.25">
      <c r="A11" s="94"/>
      <c r="B11" s="100" t="s">
        <v>108</v>
      </c>
      <c r="C11" s="104">
        <f>K19+K20</f>
        <v>430</v>
      </c>
      <c r="D11" s="104">
        <f t="shared" si="0"/>
        <v>546.1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9630104</v>
      </c>
      <c r="K12" s="91">
        <f>(J12-I12)*2</f>
        <v>251014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824316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-31970655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4020</v>
      </c>
      <c r="K16" s="93">
        <f>(J16-I16)*160</f>
        <v>800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322707</v>
      </c>
      <c r="K17" s="93">
        <f>(J17-I17)</f>
        <v>1677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26296</v>
      </c>
      <c r="K18" s="93">
        <f>(J18-I18)*160</f>
        <v>4960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159014</v>
      </c>
      <c r="K19" s="93">
        <f>J19-I19</f>
        <v>430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47279</v>
      </c>
      <c r="K21" s="93">
        <f>(J21-I21)*120</f>
        <v>6000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40770</v>
      </c>
      <c r="K22" s="93">
        <f>(J22-I22)*160</f>
        <v>5600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21832</v>
      </c>
      <c r="K23" s="93">
        <f>(J23-I23)*20</f>
        <v>720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256468</v>
      </c>
      <c r="K24" s="93">
        <f>J24-I24</f>
        <v>355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226167</v>
      </c>
      <c r="K25" s="93">
        <f>J25-I25</f>
        <v>35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19845</v>
      </c>
      <c r="K26" s="93">
        <f>(J26-I26)*160</f>
        <v>7360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2022-07-12T00:50:44Z</dcterms:modified>
</cp:coreProperties>
</file>