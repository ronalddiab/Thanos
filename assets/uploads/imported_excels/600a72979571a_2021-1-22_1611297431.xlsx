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rt\Utilities-Send to Finance &amp; JLL\finance\2021\"/>
    </mc:Choice>
  </mc:AlternateContent>
  <bookViews>
    <workbookView xWindow="0" yWindow="0" windowWidth="28800" windowHeight="12435"/>
  </bookViews>
  <sheets>
    <sheet name="Electricity" sheetId="1" r:id="rId1"/>
    <sheet name="Water" sheetId="2" r:id="rId2"/>
    <sheet name="Gas" sheetId="3" r:id="rId3"/>
  </sheets>
  <definedNames>
    <definedName name="_xlnm.Print_Area" localSheetId="0">Electricity!$B$1:$S$55</definedName>
    <definedName name="_xlnm.Print_Area" localSheetId="1">Water!$A$1:$I$37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2" l="1"/>
  <c r="F37" i="2"/>
  <c r="G37" i="2"/>
  <c r="F25" i="2"/>
  <c r="F26" i="2"/>
  <c r="F27" i="2"/>
  <c r="F28" i="2"/>
  <c r="F29" i="2"/>
  <c r="F30" i="2"/>
  <c r="F31" i="2"/>
  <c r="F32" i="2"/>
  <c r="F33" i="2"/>
  <c r="F34" i="2"/>
  <c r="F3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5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E46" i="3" l="1"/>
  <c r="D37" i="3"/>
  <c r="E37" i="3"/>
  <c r="F37" i="3"/>
  <c r="G37" i="3"/>
  <c r="H37" i="3"/>
  <c r="H38" i="3" s="1"/>
  <c r="C25" i="2"/>
  <c r="C26" i="2"/>
  <c r="C27" i="2"/>
  <c r="C28" i="2"/>
  <c r="C29" i="2"/>
  <c r="C30" i="2"/>
  <c r="C31" i="2"/>
  <c r="C32" i="2"/>
  <c r="C33" i="2"/>
  <c r="C34" i="2"/>
  <c r="C35" i="2"/>
  <c r="C37" i="3"/>
  <c r="E38" i="1"/>
  <c r="F38" i="1"/>
  <c r="G38" i="1"/>
  <c r="I38" i="1"/>
  <c r="J38" i="1"/>
  <c r="K38" i="1"/>
  <c r="L38" i="1"/>
  <c r="M38" i="1"/>
  <c r="D38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6" i="1"/>
  <c r="C7" i="1"/>
  <c r="I7" i="1" s="1"/>
  <c r="C8" i="1"/>
  <c r="I8" i="1" s="1"/>
  <c r="C9" i="1"/>
  <c r="I9" i="1" s="1"/>
  <c r="C10" i="1"/>
  <c r="I10" i="1" s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17" i="1"/>
  <c r="I17" i="1" s="1"/>
  <c r="C18" i="1"/>
  <c r="I18" i="1" s="1"/>
  <c r="C19" i="1"/>
  <c r="I19" i="1" s="1"/>
  <c r="C20" i="1"/>
  <c r="I20" i="1" s="1"/>
  <c r="C21" i="1"/>
  <c r="I21" i="1" s="1"/>
  <c r="C22" i="1"/>
  <c r="I22" i="1" s="1"/>
  <c r="C23" i="1"/>
  <c r="I23" i="1" s="1"/>
  <c r="C24" i="1"/>
  <c r="I24" i="1" s="1"/>
  <c r="C25" i="1"/>
  <c r="I25" i="1" s="1"/>
  <c r="C26" i="1"/>
  <c r="I26" i="1" s="1"/>
  <c r="C27" i="1"/>
  <c r="I27" i="1" s="1"/>
  <c r="C28" i="1"/>
  <c r="I28" i="1" s="1"/>
  <c r="C29" i="1"/>
  <c r="I29" i="1" s="1"/>
  <c r="C30" i="1"/>
  <c r="I30" i="1" s="1"/>
  <c r="C31" i="1"/>
  <c r="I31" i="1" s="1"/>
  <c r="C32" i="1"/>
  <c r="I32" i="1" s="1"/>
  <c r="C33" i="1"/>
  <c r="I33" i="1" s="1"/>
  <c r="C34" i="1"/>
  <c r="I34" i="1" s="1"/>
  <c r="C35" i="1"/>
  <c r="I35" i="1" s="1"/>
  <c r="C36" i="1"/>
  <c r="I36" i="1" s="1"/>
  <c r="C37" i="1"/>
  <c r="I37" i="1" s="1"/>
  <c r="C6" i="1"/>
  <c r="I6" i="1" s="1"/>
  <c r="H38" i="1" l="1"/>
  <c r="L46" i="1"/>
  <c r="M46" i="1" s="1"/>
  <c r="F37" i="1" l="1"/>
  <c r="J37" i="1"/>
  <c r="F36" i="1"/>
  <c r="J36" i="1"/>
  <c r="F35" i="1"/>
  <c r="J35" i="1"/>
  <c r="F34" i="1"/>
  <c r="J34" i="1"/>
  <c r="F33" i="1"/>
  <c r="J33" i="1"/>
  <c r="F32" i="1"/>
  <c r="J32" i="1"/>
  <c r="F31" i="1"/>
  <c r="J31" i="1"/>
  <c r="F30" i="1"/>
  <c r="J30" i="1"/>
  <c r="F29" i="1"/>
  <c r="J29" i="1"/>
  <c r="F28" i="1"/>
  <c r="J28" i="1"/>
  <c r="F27" i="1"/>
  <c r="J27" i="1"/>
  <c r="F26" i="1"/>
  <c r="J26" i="1"/>
  <c r="F25" i="1"/>
  <c r="J25" i="1"/>
  <c r="F24" i="1"/>
  <c r="J24" i="1"/>
  <c r="F23" i="1"/>
  <c r="J23" i="1"/>
  <c r="F22" i="1"/>
  <c r="J22" i="1"/>
  <c r="F21" i="1"/>
  <c r="J21" i="1"/>
  <c r="F20" i="1"/>
  <c r="J20" i="1"/>
  <c r="F19" i="1"/>
  <c r="J19" i="1"/>
  <c r="F18" i="1"/>
  <c r="J18" i="1"/>
  <c r="F17" i="1"/>
  <c r="J17" i="1"/>
  <c r="F16" i="1"/>
  <c r="J16" i="1"/>
  <c r="F15" i="1"/>
  <c r="J15" i="1"/>
  <c r="F14" i="1"/>
  <c r="J14" i="1"/>
  <c r="F13" i="1"/>
  <c r="J13" i="1"/>
  <c r="F12" i="1"/>
  <c r="J12" i="1"/>
  <c r="F11" i="1"/>
  <c r="J11" i="1"/>
  <c r="F10" i="1"/>
  <c r="J10" i="1"/>
  <c r="F9" i="1"/>
  <c r="J9" i="1"/>
  <c r="F8" i="1"/>
  <c r="J8" i="1"/>
  <c r="F7" i="1"/>
  <c r="J7" i="1"/>
  <c r="F6" i="1"/>
  <c r="J6" i="1"/>
  <c r="K35" i="1" l="1"/>
  <c r="L35" i="1" s="1"/>
  <c r="M35" i="1" s="1"/>
  <c r="K31" i="1"/>
  <c r="L31" i="1" s="1"/>
  <c r="M31" i="1" s="1"/>
  <c r="K29" i="1"/>
  <c r="L29" i="1" s="1"/>
  <c r="M29" i="1" s="1"/>
  <c r="K37" i="1"/>
  <c r="L37" i="1" s="1"/>
  <c r="M37" i="1" s="1"/>
  <c r="K19" i="1"/>
  <c r="L19" i="1" s="1"/>
  <c r="M19" i="1" s="1"/>
  <c r="K27" i="1"/>
  <c r="L27" i="1" s="1"/>
  <c r="M27" i="1" s="1"/>
  <c r="K25" i="1"/>
  <c r="L25" i="1" s="1"/>
  <c r="M25" i="1" s="1"/>
  <c r="K7" i="1"/>
  <c r="L7" i="1" s="1"/>
  <c r="M7" i="1" s="1"/>
  <c r="K22" i="1"/>
  <c r="L22" i="1" s="1"/>
  <c r="M22" i="1" s="1"/>
  <c r="K8" i="1"/>
  <c r="L8" i="1" s="1"/>
  <c r="M8" i="1" s="1"/>
  <c r="K16" i="1"/>
  <c r="L16" i="1" s="1"/>
  <c r="M16" i="1" s="1"/>
  <c r="K36" i="1"/>
  <c r="L36" i="1" s="1"/>
  <c r="M36" i="1" s="1"/>
  <c r="K9" i="1"/>
  <c r="L9" i="1" s="1"/>
  <c r="M9" i="1" s="1"/>
  <c r="K34" i="1"/>
  <c r="L34" i="1" s="1"/>
  <c r="M34" i="1" s="1"/>
  <c r="K33" i="1"/>
  <c r="L33" i="1" s="1"/>
  <c r="M33" i="1" s="1"/>
  <c r="K32" i="1"/>
  <c r="L32" i="1" s="1"/>
  <c r="M32" i="1" s="1"/>
  <c r="K30" i="1"/>
  <c r="L30" i="1" s="1"/>
  <c r="M30" i="1" s="1"/>
  <c r="K28" i="1"/>
  <c r="L28" i="1" s="1"/>
  <c r="M28" i="1" s="1"/>
  <c r="K26" i="1"/>
  <c r="L26" i="1" s="1"/>
  <c r="M26" i="1" s="1"/>
  <c r="K24" i="1"/>
  <c r="L24" i="1" s="1"/>
  <c r="M24" i="1" s="1"/>
  <c r="K23" i="1"/>
  <c r="L23" i="1" s="1"/>
  <c r="M23" i="1" s="1"/>
  <c r="K21" i="1"/>
  <c r="L21" i="1" s="1"/>
  <c r="M21" i="1" s="1"/>
  <c r="K20" i="1"/>
  <c r="L20" i="1" s="1"/>
  <c r="M20" i="1" s="1"/>
  <c r="K18" i="1"/>
  <c r="L18" i="1" s="1"/>
  <c r="M18" i="1" s="1"/>
  <c r="K17" i="1"/>
  <c r="L17" i="1" s="1"/>
  <c r="M17" i="1" s="1"/>
  <c r="K15" i="1"/>
  <c r="L15" i="1" s="1"/>
  <c r="M15" i="1" s="1"/>
  <c r="K14" i="1"/>
  <c r="L14" i="1" s="1"/>
  <c r="M14" i="1" s="1"/>
  <c r="K13" i="1"/>
  <c r="L13" i="1" s="1"/>
  <c r="M13" i="1" s="1"/>
  <c r="K12" i="1"/>
  <c r="L12" i="1" s="1"/>
  <c r="M12" i="1" s="1"/>
  <c r="K11" i="1"/>
  <c r="L11" i="1" s="1"/>
  <c r="M11" i="1" s="1"/>
  <c r="K10" i="1"/>
  <c r="L10" i="1" s="1"/>
  <c r="M10" i="1" s="1"/>
  <c r="K6" i="1"/>
  <c r="L6" i="1" s="1"/>
  <c r="M6" i="1" s="1"/>
  <c r="E37" i="2" l="1"/>
  <c r="M41" i="1"/>
  <c r="M42" i="1" l="1"/>
  <c r="M48" i="1" s="1"/>
  <c r="C23" i="2"/>
  <c r="C24" i="2"/>
  <c r="C21" i="2"/>
  <c r="C22" i="2"/>
  <c r="D37" i="2"/>
  <c r="G41" i="2" l="1"/>
  <c r="G47" i="2" s="1"/>
</calcChain>
</file>

<file path=xl/sharedStrings.xml><?xml version="1.0" encoding="utf-8"?>
<sst xmlns="http://schemas.openxmlformats.org/spreadsheetml/2006/main" count="72" uniqueCount="55">
  <si>
    <t>Date</t>
  </si>
  <si>
    <t>Total (Rp)</t>
  </si>
  <si>
    <t>Hotel</t>
  </si>
  <si>
    <t>Hotel usage for Heat Pump, Escalator &amp; Ballroom Lift</t>
  </si>
  <si>
    <t>Mixed used Hotel &amp; Office</t>
  </si>
  <si>
    <t>Mixed used Hotel area B3-B5</t>
  </si>
  <si>
    <t xml:space="preserve">Charge to GRU Estate </t>
  </si>
  <si>
    <t>Biaya perhitungan listrik parkir + listrik ruangan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</si>
  <si>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</si>
  <si>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</si>
  <si>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</si>
  <si>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</si>
  <si>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</si>
  <si>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</si>
  <si>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>MRA (Lala Restaurant)</t>
  </si>
  <si>
    <t xml:space="preserve">Total </t>
  </si>
  <si>
    <t>Food Court</t>
  </si>
  <si>
    <t xml:space="preserve"> </t>
  </si>
  <si>
    <t>01 Feb'20             00-07pagi</t>
  </si>
  <si>
    <t>Total Cost of Electric billing for the month of January 2020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</si>
  <si>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</si>
  <si>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</si>
  <si>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</si>
  <si>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</si>
  <si>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</si>
  <si>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</si>
  <si>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</si>
  <si>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</si>
  <si>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</si>
  <si>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</si>
  <si>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</si>
  <si>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</si>
  <si>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</si>
  <si>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</si>
  <si>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</si>
  <si>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</si>
  <si>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</si>
  <si>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</si>
  <si>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</si>
  <si>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</si>
  <si>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</si>
  <si>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</si>
  <si>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</si>
  <si>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</si>
  <si>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</si>
  <si>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</si>
  <si>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</si>
  <si>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</si>
  <si>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4.97</t>
  </si>
  <si>
    <t>Sub metering ( m3)</t>
  </si>
  <si>
    <t>Sm3</t>
  </si>
  <si>
    <t>US $</t>
  </si>
  <si>
    <t>mimimum contract</t>
  </si>
  <si>
    <t>Recycle Water   share 20%</t>
  </si>
  <si>
    <t>Electricity Distribution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</si>
</sst>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(&quot;Rp&quot;* #,##0_);_(&quot;Rp&quot;* \(#,##0\);_(&quot;Rp&quot;* &quot;-&quot;_);_(@_)"/>
    <numFmt numFmtId="165" formatCode="_(* #,##0_);_(* \(#,##0\);_(* &quot;-&quot;_);_(@_)"/>
    <numFmt numFmtId="166" formatCode="_(&quot;Rp&quot;* #,##0.00_);_(&quot;Rp&quot;* \(#,##0.00\);_(&quot;Rp&quot;* &quot;-&quot;??_);_(@_)"/>
    <numFmt numFmtId="167" formatCode="_(* #,##0.00_);_(* \(#,##0.00\);_(* &quot;-&quot;??_);_(@_)"/>
    <numFmt numFmtId="168" formatCode="#.00"/>
    <numFmt numFmtId="169" formatCode="_(* #.##0_);_(* \(#.##0\);_(* &quot;-&quot;_);_(@_)"/>
    <numFmt numFmtId="170" formatCode="_(* #.##0.00_);_(* \(#.##0.00\);_(* &quot;-&quot;??_);_(@_)"/>
    <numFmt numFmtId="171" formatCode="0.00;[Red]0.00"/>
    <numFmt numFmtId="172" formatCode="[$Rp-421]#,##0"/>
    <numFmt numFmtId="173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10" fillId="0" borderId="0" applyFont="0" applyFill="0" applyBorder="0" applyAlignment="0" applyProtection="0"/>
    <xf numFmtId="0" fontId="6" fillId="0" borderId="0"/>
    <xf numFmtId="0" fontId="6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4" fillId="0" borderId="0"/>
    <xf numFmtId="167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0" fillId="4" borderId="9" applyNumberFormat="0" applyAlignment="0" applyProtection="0"/>
  </cellStyleXfs>
  <cellXfs count="163">
    <xf numFmtId="0" fontId="0" fillId="0" borderId="0" xfId="0"/>
    <xf numFmtId="0" fontId="6" fillId="2" borderId="0" xfId="2" applyFill="1" applyAlignment="1">
      <alignment vertical="center"/>
    </xf>
    <xf numFmtId="0" fontId="6" fillId="2" borderId="0" xfId="2" applyFill="1" applyBorder="1" applyAlignment="1">
      <alignment vertical="center"/>
    </xf>
    <xf numFmtId="0" fontId="6" fillId="0" borderId="0" xfId="2" applyAlignment="1">
      <alignment vertical="center"/>
    </xf>
    <xf numFmtId="0" fontId="8" fillId="0" borderId="6" xfId="2" applyFont="1" applyBorder="1" applyAlignment="1">
      <alignment horizontal="center" vertical="center"/>
    </xf>
    <xf numFmtId="0" fontId="8" fillId="2" borderId="0" xfId="2" applyFont="1" applyFill="1" applyBorder="1" applyAlignment="1">
      <alignment horizontal="center" vertical="center"/>
    </xf>
    <xf numFmtId="14" fontId="6" fillId="0" borderId="3" xfId="3" applyNumberFormat="1" applyBorder="1" applyAlignment="1">
      <alignment horizontal="center" vertical="center"/>
    </xf>
    <xf numFmtId="168" fontId="6" fillId="2" borderId="0" xfId="2" applyNumberFormat="1" applyFill="1" applyBorder="1" applyAlignment="1">
      <alignment vertical="center"/>
    </xf>
    <xf numFmtId="14" fontId="0" fillId="0" borderId="7" xfId="3" applyNumberFormat="1" applyFont="1" applyBorder="1" applyAlignment="1">
      <alignment horizontal="center" vertical="center" wrapText="1"/>
    </xf>
    <xf numFmtId="164" fontId="6" fillId="2" borderId="0" xfId="2" applyNumberFormat="1" applyFill="1" applyAlignment="1">
      <alignment vertical="center"/>
    </xf>
    <xf numFmtId="0" fontId="6" fillId="2" borderId="0" xfId="3" applyFill="1" applyBorder="1" applyAlignment="1">
      <alignment vertical="center"/>
    </xf>
    <xf numFmtId="0" fontId="0" fillId="2" borderId="0" xfId="3" applyFont="1" applyFill="1" applyAlignment="1">
      <alignment horizontal="right" vertical="center"/>
    </xf>
    <xf numFmtId="164" fontId="6" fillId="2" borderId="0" xfId="3" applyNumberFormat="1" applyFill="1" applyAlignment="1">
      <alignment vertical="center"/>
    </xf>
    <xf numFmtId="164" fontId="7" fillId="2" borderId="0" xfId="3" applyNumberFormat="1" applyFont="1" applyFill="1" applyAlignment="1">
      <alignment vertical="center"/>
    </xf>
    <xf numFmtId="0" fontId="6" fillId="2" borderId="0" xfId="3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170" fontId="0" fillId="2" borderId="0" xfId="3" applyNumberFormat="1" applyFont="1" applyFill="1" applyAlignment="1">
      <alignment horizontal="right" vertical="center"/>
    </xf>
    <xf numFmtId="1" fontId="5" fillId="2" borderId="0" xfId="4" applyNumberFormat="1" applyFill="1" applyAlignment="1">
      <alignment vertical="center"/>
    </xf>
    <xf numFmtId="1" fontId="6" fillId="2" borderId="0" xfId="3" applyNumberFormat="1" applyFill="1" applyAlignment="1">
      <alignment vertical="center"/>
    </xf>
    <xf numFmtId="171" fontId="5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6" fillId="2" borderId="0" xfId="2" applyNumberFormat="1" applyFill="1" applyAlignment="1">
      <alignment vertical="center"/>
    </xf>
    <xf numFmtId="0" fontId="5" fillId="2" borderId="0" xfId="3" applyFont="1" applyFill="1" applyAlignment="1">
      <alignment horizontal="right" vertical="center"/>
    </xf>
    <xf numFmtId="0" fontId="6" fillId="2" borderId="0" xfId="3" applyFill="1" applyAlignment="1">
      <alignment horizontal="right" vertical="center"/>
    </xf>
    <xf numFmtId="164" fontId="7" fillId="2" borderId="0" xfId="2" applyNumberFormat="1" applyFont="1" applyFill="1" applyAlignment="1">
      <alignment vertical="center"/>
    </xf>
    <xf numFmtId="169" fontId="0" fillId="2" borderId="0" xfId="5" applyFont="1" applyFill="1" applyAlignment="1">
      <alignment vertical="center"/>
    </xf>
    <xf numFmtId="0" fontId="6" fillId="2" borderId="0" xfId="2" applyFill="1" applyAlignment="1">
      <alignment horizontal="right" vertical="center"/>
    </xf>
    <xf numFmtId="0" fontId="5" fillId="2" borderId="0" xfId="3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169" fontId="0" fillId="2" borderId="0" xfId="4" applyFont="1" applyFill="1" applyAlignment="1">
      <alignment vertical="center"/>
    </xf>
    <xf numFmtId="172" fontId="6" fillId="2" borderId="0" xfId="2" applyNumberFormat="1" applyFill="1" applyAlignment="1">
      <alignment vertical="center"/>
    </xf>
    <xf numFmtId="0" fontId="6" fillId="2" borderId="0" xfId="2" applyFill="1"/>
    <xf numFmtId="172" fontId="6" fillId="2" borderId="0" xfId="2" applyNumberFormat="1" applyFill="1"/>
    <xf numFmtId="0" fontId="6" fillId="0" borderId="0" xfId="2"/>
    <xf numFmtId="0" fontId="0" fillId="2" borderId="0" xfId="0" applyFill="1"/>
    <xf numFmtId="16" fontId="15" fillId="2" borderId="5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16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8" fillId="2" borderId="0" xfId="0" applyFont="1" applyFill="1"/>
    <xf numFmtId="1" fontId="1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1" applyFont="1" applyFill="1"/>
    <xf numFmtId="0" fontId="14" fillId="2" borderId="0" xfId="0" applyFont="1" applyFill="1" applyAlignment="1"/>
    <xf numFmtId="0" fontId="14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2" fontId="7" fillId="2" borderId="0" xfId="0" applyNumberFormat="1" applyFont="1" applyFill="1"/>
    <xf numFmtId="0" fontId="8" fillId="2" borderId="0" xfId="0" applyFont="1" applyFill="1"/>
    <xf numFmtId="0" fontId="7" fillId="2" borderId="0" xfId="0" applyFont="1" applyFill="1"/>
    <xf numFmtId="165" fontId="7" fillId="2" borderId="0" xfId="1" applyFont="1" applyFill="1"/>
    <xf numFmtId="165" fontId="7" fillId="3" borderId="0" xfId="1" applyFont="1" applyFill="1"/>
    <xf numFmtId="0" fontId="7" fillId="2" borderId="0" xfId="2" applyFont="1" applyFill="1" applyAlignment="1">
      <alignment horizontal="right" vertical="center"/>
    </xf>
    <xf numFmtId="165" fontId="7" fillId="3" borderId="0" xfId="1" applyFont="1" applyFill="1" applyAlignment="1">
      <alignment vertical="center"/>
    </xf>
    <xf numFmtId="0" fontId="19" fillId="2" borderId="0" xfId="3" applyFont="1" applyFill="1" applyAlignment="1">
      <alignment vertical="center"/>
    </xf>
    <xf numFmtId="1" fontId="16" fillId="2" borderId="8" xfId="0" applyNumberFormat="1" applyFont="1" applyFill="1" applyBorder="1" applyAlignment="1">
      <alignment horizontal="center" vertical="center" wrapText="1"/>
    </xf>
    <xf numFmtId="166" fontId="6" fillId="0" borderId="5" xfId="3" applyNumberFormat="1" applyBorder="1" applyAlignment="1">
      <alignment vertical="center"/>
    </xf>
    <xf numFmtId="164" fontId="6" fillId="0" borderId="5" xfId="3" applyNumberFormat="1" applyBorder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39" fontId="6" fillId="2" borderId="5" xfId="3" applyNumberFormat="1" applyFill="1" applyBorder="1" applyAlignment="1">
      <alignment horizontal="center" vertical="center"/>
    </xf>
    <xf numFmtId="4" fontId="6" fillId="5" borderId="5" xfId="2" applyNumberFormat="1" applyFill="1" applyBorder="1" applyAlignment="1">
      <alignment horizontal="center" vertical="center"/>
    </xf>
    <xf numFmtId="0" fontId="11" fillId="6" borderId="4" xfId="2" applyFont="1" applyFill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 wrapText="1"/>
    </xf>
    <xf numFmtId="0" fontId="22" fillId="2" borderId="16" xfId="2" applyFont="1" applyFill="1" applyBorder="1" applyAlignment="1">
      <alignment horizontal="center" vertical="center" wrapText="1"/>
    </xf>
    <xf numFmtId="0" fontId="15" fillId="2" borderId="0" xfId="2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15" fillId="0" borderId="0" xfId="2" applyFont="1" applyAlignment="1">
      <alignment vertical="center"/>
    </xf>
    <xf numFmtId="0" fontId="22" fillId="2" borderId="4" xfId="2" applyFont="1" applyFill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22" fillId="2" borderId="10" xfId="2" applyFont="1" applyFill="1" applyBorder="1" applyAlignment="1">
      <alignment horizontal="center" vertical="center" wrapText="1"/>
    </xf>
    <xf numFmtId="0" fontId="22" fillId="2" borderId="11" xfId="2" applyFont="1" applyFill="1" applyBorder="1" applyAlignment="1">
      <alignment horizontal="center" vertical="center" wrapText="1"/>
    </xf>
    <xf numFmtId="0" fontId="22" fillId="2" borderId="13" xfId="2" applyFont="1" applyFill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horizontal="center" vertical="center"/>
    </xf>
    <xf numFmtId="0" fontId="6" fillId="2" borderId="22" xfId="2" applyFill="1" applyBorder="1" applyAlignment="1">
      <alignment vertical="center"/>
    </xf>
    <xf numFmtId="0" fontId="7" fillId="2" borderId="22" xfId="2" applyFont="1" applyFill="1" applyBorder="1" applyAlignment="1">
      <alignment horizontal="left" vertical="center"/>
    </xf>
    <xf numFmtId="0" fontId="6" fillId="2" borderId="23" xfId="2" applyFill="1" applyBorder="1" applyAlignment="1">
      <alignment vertical="center"/>
    </xf>
    <xf numFmtId="164" fontId="6" fillId="0" borderId="6" xfId="3" applyNumberFormat="1" applyBorder="1" applyAlignment="1">
      <alignment vertical="center"/>
    </xf>
    <xf numFmtId="39" fontId="20" fillId="4" borderId="9" xfId="9" applyNumberFormat="1" applyBorder="1" applyAlignment="1">
      <alignment horizontal="center" vertical="center"/>
    </xf>
    <xf numFmtId="4" fontId="6" fillId="5" borderId="24" xfId="2" applyNumberFormat="1" applyFill="1" applyBorder="1" applyAlignment="1">
      <alignment horizontal="center" vertical="center"/>
    </xf>
    <xf numFmtId="39" fontId="20" fillId="4" borderId="25" xfId="9" applyNumberFormat="1" applyBorder="1" applyAlignment="1">
      <alignment horizontal="center" vertical="center"/>
    </xf>
    <xf numFmtId="166" fontId="6" fillId="0" borderId="24" xfId="3" applyNumberFormat="1" applyBorder="1" applyAlignment="1">
      <alignment vertical="center"/>
    </xf>
    <xf numFmtId="164" fontId="6" fillId="0" borderId="24" xfId="3" applyNumberFormat="1" applyBorder="1" applyAlignment="1">
      <alignment vertical="center"/>
    </xf>
    <xf numFmtId="164" fontId="6" fillId="0" borderId="26" xfId="3" applyNumberFormat="1" applyBorder="1" applyAlignment="1">
      <alignment vertical="center"/>
    </xf>
    <xf numFmtId="0" fontId="7" fillId="2" borderId="22" xfId="2" applyFont="1" applyFill="1" applyBorder="1" applyAlignment="1">
      <alignment horizontal="center" vertical="center"/>
    </xf>
    <xf numFmtId="0" fontId="6" fillId="2" borderId="22" xfId="2" applyFill="1" applyBorder="1" applyAlignment="1">
      <alignment horizontal="center" vertical="center"/>
    </xf>
    <xf numFmtId="173" fontId="6" fillId="0" borderId="5" xfId="7" applyNumberFormat="1" applyFont="1" applyBorder="1" applyAlignment="1">
      <alignment horizontal="center" vertical="center"/>
    </xf>
    <xf numFmtId="165" fontId="3" fillId="0" borderId="5" xfId="1" applyFont="1" applyBorder="1" applyAlignment="1">
      <alignment horizontal="center" vertical="center"/>
    </xf>
    <xf numFmtId="39" fontId="6" fillId="0" borderId="5" xfId="3" applyNumberFormat="1" applyBorder="1" applyAlignment="1">
      <alignment horizontal="center" vertical="center"/>
    </xf>
    <xf numFmtId="165" fontId="0" fillId="0" borderId="5" xfId="1" applyFont="1" applyBorder="1" applyAlignment="1">
      <alignment horizontal="center" vertical="center"/>
    </xf>
    <xf numFmtId="173" fontId="6" fillId="0" borderId="24" xfId="7" applyNumberFormat="1" applyFont="1" applyBorder="1" applyAlignment="1">
      <alignment horizontal="center" vertical="center"/>
    </xf>
    <xf numFmtId="165" fontId="3" fillId="0" borderId="24" xfId="1" applyFont="1" applyBorder="1" applyAlignment="1">
      <alignment horizontal="center" vertical="center"/>
    </xf>
    <xf numFmtId="39" fontId="6" fillId="0" borderId="24" xfId="3" applyNumberFormat="1" applyBorder="1" applyAlignment="1">
      <alignment horizontal="center" vertical="center"/>
    </xf>
    <xf numFmtId="165" fontId="5" fillId="2" borderId="0" xfId="1" applyFont="1" applyFill="1" applyAlignment="1">
      <alignment horizontal="center" vertical="center"/>
    </xf>
    <xf numFmtId="0" fontId="6" fillId="2" borderId="0" xfId="3" applyFill="1" applyAlignment="1">
      <alignment horizontal="center" vertical="center"/>
    </xf>
    <xf numFmtId="1" fontId="5" fillId="2" borderId="0" xfId="4" applyNumberFormat="1" applyFill="1" applyAlignment="1">
      <alignment horizontal="center" vertical="center"/>
    </xf>
    <xf numFmtId="0" fontId="6" fillId="2" borderId="0" xfId="2" applyFill="1" applyAlignment="1">
      <alignment horizontal="center" vertical="center"/>
    </xf>
    <xf numFmtId="1" fontId="5" fillId="2" borderId="0" xfId="4" applyNumberFormat="1" applyFill="1" applyBorder="1" applyAlignment="1">
      <alignment horizontal="center" vertical="center"/>
    </xf>
    <xf numFmtId="165" fontId="0" fillId="0" borderId="0" xfId="1" applyFont="1" applyBorder="1" applyAlignment="1">
      <alignment horizontal="center" vertical="center"/>
    </xf>
    <xf numFmtId="1" fontId="6" fillId="2" borderId="0" xfId="3" applyNumberFormat="1" applyFill="1" applyAlignment="1">
      <alignment horizontal="center" vertical="center"/>
    </xf>
    <xf numFmtId="1" fontId="7" fillId="2" borderId="0" xfId="3" applyNumberFormat="1" applyFont="1" applyFill="1" applyAlignment="1">
      <alignment horizontal="center" vertical="center"/>
    </xf>
    <xf numFmtId="171" fontId="6" fillId="2" borderId="0" xfId="3" applyNumberFormat="1" applyFill="1" applyAlignment="1">
      <alignment horizontal="center" vertical="center"/>
    </xf>
    <xf numFmtId="169" fontId="0" fillId="2" borderId="0" xfId="4" applyFont="1" applyFill="1" applyAlignment="1">
      <alignment horizontal="center" vertical="center"/>
    </xf>
    <xf numFmtId="164" fontId="6" fillId="2" borderId="0" xfId="3" applyNumberFormat="1" applyFill="1" applyAlignment="1">
      <alignment horizontal="center" vertical="center"/>
    </xf>
    <xf numFmtId="0" fontId="6" fillId="2" borderId="0" xfId="2" applyFill="1" applyAlignment="1">
      <alignment horizontal="center"/>
    </xf>
    <xf numFmtId="164" fontId="6" fillId="2" borderId="0" xfId="3" applyNumberFormat="1" applyFill="1" applyAlignment="1">
      <alignment horizontal="center"/>
    </xf>
    <xf numFmtId="0" fontId="6" fillId="2" borderId="0" xfId="3" applyFill="1" applyAlignment="1">
      <alignment horizontal="center"/>
    </xf>
    <xf numFmtId="0" fontId="6" fillId="0" borderId="0" xfId="2" applyAlignment="1">
      <alignment horizontal="center"/>
    </xf>
    <xf numFmtId="9" fontId="6" fillId="2" borderId="0" xfId="8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12" fillId="3" borderId="1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1" applyFont="1" applyFill="1" applyAlignment="1">
      <alignment horizontal="center"/>
    </xf>
    <xf numFmtId="165" fontId="24" fillId="3" borderId="19" xfId="0" applyNumberFormat="1" applyFon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 vertical="center" wrapText="1"/>
    </xf>
    <xf numFmtId="2" fontId="16" fillId="2" borderId="15" xfId="0" applyNumberFormat="1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0" fontId="26" fillId="2" borderId="0" xfId="0" applyNumberFormat="1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0" fontId="0" fillId="3" borderId="13" xfId="0" applyFill="1" applyBorder="1" applyAlignment="1">
      <alignment horizontal="center"/>
    </xf>
    <xf numFmtId="0" fontId="8" fillId="3" borderId="13" xfId="0" applyFont="1" applyFill="1" applyBorder="1" applyAlignment="1">
      <alignment horizontal="right"/>
    </xf>
    <xf numFmtId="0" fontId="25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right"/>
    </xf>
    <xf numFmtId="0" fontId="19" fillId="3" borderId="13" xfId="0" applyFont="1" applyFill="1" applyBorder="1" applyAlignment="1">
      <alignment horizontal="center"/>
    </xf>
    <xf numFmtId="0" fontId="9" fillId="3" borderId="27" xfId="2" applyFont="1" applyFill="1" applyBorder="1" applyAlignment="1">
      <alignment horizontal="center" vertical="center" wrapText="1"/>
    </xf>
    <xf numFmtId="0" fontId="9" fillId="3" borderId="28" xfId="2" applyFont="1" applyFill="1" applyBorder="1" applyAlignment="1">
      <alignment horizontal="center" vertical="center" wrapText="1"/>
    </xf>
    <xf numFmtId="0" fontId="9" fillId="3" borderId="29" xfId="2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5" xfId="0" quotePrefix="1" applyFont="1" applyFill="1" applyBorder="1" applyAlignment="1">
      <alignment horizontal="center" vertical="center"/>
    </xf>
    <xf numFmtId="0" fontId="21" fillId="2" borderId="0" xfId="0" applyFont="1" applyFill="1"/>
    <xf numFmtId="0" fontId="21" fillId="0" borderId="0" xfId="0" applyFont="1"/>
    <xf numFmtId="0" fontId="13" fillId="3" borderId="5" xfId="0" quotePrefix="1" applyFont="1" applyFill="1" applyBorder="1" applyAlignment="1">
      <alignment horizontal="center" vertical="center"/>
    </xf>
    <xf numFmtId="0" fontId="27" fillId="2" borderId="0" xfId="0" applyFont="1" applyFill="1"/>
    <xf numFmtId="0" fontId="27" fillId="0" borderId="0" xfId="0" applyFont="1"/>
    <xf numFmtId="0" fontId="23" fillId="3" borderId="5" xfId="0" applyFont="1" applyFill="1" applyBorder="1" applyAlignment="1">
      <alignment horizontal="center" vertical="center"/>
    </xf>
    <xf numFmtId="0" fontId="23" fillId="3" borderId="10" xfId="0" quotePrefix="1" applyFont="1" applyFill="1" applyBorder="1" applyAlignment="1">
      <alignment horizontal="center" vertical="center" wrapText="1"/>
    </xf>
    <xf numFmtId="0" fontId="23" fillId="3" borderId="11" xfId="0" quotePrefix="1" applyFont="1" applyFill="1" applyBorder="1" applyAlignment="1">
      <alignment horizontal="center" vertical="center" wrapText="1"/>
    </xf>
    <xf numFmtId="0" fontId="23" fillId="3" borderId="10" xfId="0" quotePrefix="1" applyFont="1" applyFill="1" applyBorder="1" applyAlignment="1">
      <alignment horizontal="center" vertical="center"/>
    </xf>
    <xf numFmtId="0" fontId="23" fillId="3" borderId="13" xfId="0" quotePrefix="1" applyFont="1" applyFill="1" applyBorder="1" applyAlignment="1">
      <alignment horizontal="center" vertical="center"/>
    </xf>
    <xf numFmtId="0" fontId="23" fillId="3" borderId="11" xfId="0" quotePrefix="1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5" xfId="0" quotePrefix="1" applyFont="1" applyFill="1" applyBorder="1" applyAlignment="1">
      <alignment horizontal="center" vertical="center"/>
    </xf>
  </cellXfs>
  <cellStyles count="10">
    <cellStyle name="Calculation" xfId="9" builtinId="22"/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5" xfId="2"/>
    <cellStyle name="Percent" xfId="8" builtinId="5"/>
  </cellStyles>
  <dxfs count="5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56"/>
  <sheetViews>
    <sheetView tabSelected="1" view="pageBreakPreview" zoomScale="80" zoomScaleNormal="80" zoomScaleSheetLayoutView="80" workbookViewId="0">
      <pane ySplit="4" topLeftCell="A20" activePane="bottomLeft" state="frozen"/>
      <selection pane="bottomLeft" activeCell="B2" sqref="B2:B4"/>
    </sheetView>
  </sheetViews>
  <sheetFormatPr defaultRowHeight="15" x14ac:dyDescent="0.25"/>
  <cols>
    <col min="1" max="1" width="2.28515625" style="33" customWidth="1"/>
    <col min="2" max="3" width="16.28515625" style="33" customWidth="1"/>
    <col min="4" max="5" width="17.7109375" style="125" customWidth="1"/>
    <col min="6" max="8" width="29.7109375" style="125" customWidth="1"/>
    <col min="9" max="9" width="21.5703125" style="33" bestFit="1" customWidth="1"/>
    <col min="10" max="10" width="24.85546875" style="33" customWidth="1"/>
    <col min="11" max="11" width="29.7109375" style="33" customWidth="1"/>
    <col min="12" max="12" width="20.5703125" style="33" bestFit="1" customWidth="1"/>
    <col min="13" max="13" width="23.42578125" style="33" customWidth="1"/>
    <col min="14" max="14" width="11" style="31" customWidth="1"/>
    <col min="15" max="15" width="16.5703125" style="31" customWidth="1"/>
    <col min="16" max="18" width="9.140625" style="31"/>
    <col min="19" max="16384" width="9.140625" style="33"/>
  </cols>
  <sheetData>
    <row r="1" spans="2:18" s="1" customFormat="1" ht="15.75" thickBot="1" x14ac:dyDescent="0.3">
      <c r="B1" s="90" t="s">
        <v>54</v>
      </c>
      <c r="C1" s="91"/>
      <c r="D1" s="102"/>
      <c r="E1" s="103"/>
      <c r="F1" s="103"/>
      <c r="G1" s="103"/>
      <c r="H1" s="103"/>
      <c r="I1" s="93"/>
      <c r="J1" s="92"/>
      <c r="K1" s="92"/>
      <c r="L1" s="92"/>
      <c r="M1" s="94"/>
      <c r="N1" s="2"/>
      <c r="O1" s="2"/>
    </row>
    <row r="2" spans="2:18" s="3" customFormat="1" ht="63" customHeight="1" x14ac:dyDescent="0.25">
      <c r="B2" s="65" t="s">
        <v>0</v>
      </c>
      <c r="C2" s="67" t="s">
        <v>22</v>
      </c>
      <c r="D2" s="145" t="s">
        <v>26</v>
      </c>
      <c r="E2" s="146"/>
      <c r="F2" s="146"/>
      <c r="G2" s="146"/>
      <c r="H2" s="146"/>
      <c r="I2" s="146"/>
      <c r="J2" s="146"/>
      <c r="K2" s="146"/>
      <c r="L2" s="146"/>
      <c r="M2" s="147"/>
      <c r="N2" s="2"/>
      <c r="O2" s="2"/>
      <c r="P2" s="1"/>
      <c r="Q2" s="1"/>
      <c r="R2" s="1"/>
    </row>
    <row r="3" spans="2:18" s="80" customFormat="1" ht="25.5" customHeight="1" x14ac:dyDescent="0.25">
      <c r="B3" s="75"/>
      <c r="C3" s="76"/>
      <c r="D3" s="77" t="s">
        <v>20</v>
      </c>
      <c r="E3" s="81" t="s">
        <v>29</v>
      </c>
      <c r="F3" s="81" t="s">
        <v>34</v>
      </c>
      <c r="G3" s="84" t="s">
        <v>33</v>
      </c>
      <c r="H3" s="85"/>
      <c r="I3" s="84" t="s">
        <v>35</v>
      </c>
      <c r="J3" s="86"/>
      <c r="K3" s="85"/>
      <c r="L3" s="71" t="s">
        <v>27</v>
      </c>
      <c r="M3" s="88" t="s">
        <v>8</v>
      </c>
      <c r="N3" s="78"/>
      <c r="O3" s="78"/>
      <c r="P3" s="79"/>
      <c r="Q3" s="79"/>
      <c r="R3" s="79"/>
    </row>
    <row r="4" spans="2:18" s="3" customFormat="1" ht="29.25" customHeight="1" x14ac:dyDescent="0.25">
      <c r="B4" s="66"/>
      <c r="C4" s="68"/>
      <c r="D4" s="70" t="s">
        <v>28</v>
      </c>
      <c r="E4" s="64" t="s">
        <v>30</v>
      </c>
      <c r="F4" s="64" t="s">
        <v>31</v>
      </c>
      <c r="G4" s="82" t="s">
        <v>32</v>
      </c>
      <c r="H4" s="83" t="s">
        <v>25</v>
      </c>
      <c r="I4" s="87" t="s">
        <v>20</v>
      </c>
      <c r="J4" s="64" t="s">
        <v>21</v>
      </c>
      <c r="K4" s="64" t="s">
        <v>1</v>
      </c>
      <c r="L4" s="76"/>
      <c r="M4" s="89"/>
      <c r="N4" s="2"/>
      <c r="O4" s="5"/>
      <c r="P4" s="1"/>
      <c r="Q4" s="1"/>
      <c r="R4" s="1"/>
    </row>
    <row r="5" spans="2:18" s="3" customFormat="1" ht="35.25" customHeight="1" x14ac:dyDescent="0.25">
      <c r="B5" s="62"/>
      <c r="C5" s="74">
        <v>1035.78</v>
      </c>
      <c r="D5" s="64" t="s">
        <v>23</v>
      </c>
      <c r="E5" s="64" t="s">
        <v>23</v>
      </c>
      <c r="F5" s="64" t="s">
        <v>23</v>
      </c>
      <c r="G5" s="64" t="s">
        <v>23</v>
      </c>
      <c r="H5" s="64" t="s">
        <v>23</v>
      </c>
      <c r="I5" s="64" t="s">
        <v>24</v>
      </c>
      <c r="J5" s="64" t="s">
        <v>24</v>
      </c>
      <c r="K5" s="64" t="s">
        <v>24</v>
      </c>
      <c r="L5" s="63" t="s">
        <v>24</v>
      </c>
      <c r="M5" s="4" t="s">
        <v>24</v>
      </c>
      <c r="N5" s="2"/>
      <c r="O5" s="5"/>
      <c r="P5" s="1"/>
      <c r="Q5" s="1"/>
      <c r="R5" s="1"/>
    </row>
    <row r="6" spans="2:18" s="3" customFormat="1" ht="50.1" customHeight="1" x14ac:dyDescent="0.25">
      <c r="B6" s="6">
        <v>43831</v>
      </c>
      <c r="C6" s="73">
        <f>$C$5</f>
        <v>1035.78</v>
      </c>
      <c r="D6" s="104">
        <v>3818</v>
      </c>
      <c r="E6" s="105">
        <v>15538</v>
      </c>
      <c r="F6" s="72">
        <f>E6+D6</f>
        <v>19356</v>
      </c>
      <c r="G6" s="106">
        <v>6663</v>
      </c>
      <c r="H6" s="106">
        <f>+F6-G6</f>
        <v>12693</v>
      </c>
      <c r="I6" s="57">
        <f>D6*1.5*C6</f>
        <v>5931912.0599999996</v>
      </c>
      <c r="J6" s="57">
        <f>E6*C6</f>
        <v>16093949.639999999</v>
      </c>
      <c r="K6" s="57">
        <f>J6+I6</f>
        <v>22025861.699999999</v>
      </c>
      <c r="L6" s="58">
        <f>K6*0.03</f>
        <v>660775.85099999991</v>
      </c>
      <c r="M6" s="95">
        <f>K6+L6</f>
        <v>22686637.550999999</v>
      </c>
      <c r="N6" s="1"/>
      <c r="O6" s="7"/>
      <c r="P6" s="1"/>
      <c r="Q6" s="1"/>
      <c r="R6" s="1"/>
    </row>
    <row r="7" spans="2:18" s="3" customFormat="1" ht="50.1" customHeight="1" x14ac:dyDescent="0.25">
      <c r="B7" s="6">
        <v>43832</v>
      </c>
      <c r="C7" s="73">
        <f t="shared" ref="C7:C37" si="0">$C$5</f>
        <v>1035.78</v>
      </c>
      <c r="D7" s="107">
        <v>3504</v>
      </c>
      <c r="E7" s="105">
        <v>15944</v>
      </c>
      <c r="F7" s="72">
        <f>E7+D7</f>
        <v>19448</v>
      </c>
      <c r="G7" s="106">
        <v>6795</v>
      </c>
      <c r="H7" s="106">
        <f t="shared" ref="H7:H37" si="1">+F7-G7</f>
        <v>12653</v>
      </c>
      <c r="I7" s="57">
        <f>D7*1.5*C7</f>
        <v>5444059.6799999997</v>
      </c>
      <c r="J7" s="57">
        <f>E7*C7</f>
        <v>16514476.32</v>
      </c>
      <c r="K7" s="57">
        <f>J7+I7</f>
        <v>21958536</v>
      </c>
      <c r="L7" s="58">
        <f>K7*0.03</f>
        <v>658756.07999999996</v>
      </c>
      <c r="M7" s="95">
        <f>K7+L7</f>
        <v>22617292.079999998</v>
      </c>
      <c r="N7" s="1"/>
      <c r="O7" s="126"/>
      <c r="P7" s="1"/>
      <c r="Q7" s="1"/>
      <c r="R7" s="1"/>
    </row>
    <row r="8" spans="2:18" s="3" customFormat="1" ht="50.1" customHeight="1" x14ac:dyDescent="0.25">
      <c r="B8" s="6">
        <v>43833</v>
      </c>
      <c r="C8" s="73">
        <f t="shared" si="0"/>
        <v>1035.78</v>
      </c>
      <c r="D8" s="107">
        <v>3256</v>
      </c>
      <c r="E8" s="105">
        <v>16728</v>
      </c>
      <c r="F8" s="72">
        <f>E8+D8</f>
        <v>19984</v>
      </c>
      <c r="G8" s="106">
        <v>6795</v>
      </c>
      <c r="H8" s="106">
        <f t="shared" si="1"/>
        <v>13189</v>
      </c>
      <c r="I8" s="57">
        <f>D8*1.5*C8</f>
        <v>5058749.5199999996</v>
      </c>
      <c r="J8" s="57">
        <f>E8*C8</f>
        <v>17326527.84</v>
      </c>
      <c r="K8" s="57">
        <f>J8+I8</f>
        <v>22385277.359999999</v>
      </c>
      <c r="L8" s="58">
        <f t="shared" ref="L8:L37" si="2">K8*0.03</f>
        <v>671558.32079999999</v>
      </c>
      <c r="M8" s="95">
        <f t="shared" ref="M8:M37" si="3">K8+L8</f>
        <v>23056835.680799998</v>
      </c>
      <c r="N8" s="1"/>
      <c r="O8" s="2"/>
      <c r="P8" s="1"/>
      <c r="Q8" s="1"/>
      <c r="R8" s="1"/>
    </row>
    <row r="9" spans="2:18" s="3" customFormat="1" ht="50.1" customHeight="1" x14ac:dyDescent="0.25">
      <c r="B9" s="6">
        <v>43834</v>
      </c>
      <c r="C9" s="73">
        <f t="shared" si="0"/>
        <v>1035.78</v>
      </c>
      <c r="D9" s="107">
        <v>3240</v>
      </c>
      <c r="E9" s="105">
        <v>15878</v>
      </c>
      <c r="F9" s="72">
        <f>E9+D9</f>
        <v>19118</v>
      </c>
      <c r="G9" s="106">
        <v>6795</v>
      </c>
      <c r="H9" s="106">
        <f t="shared" si="1"/>
        <v>12323</v>
      </c>
      <c r="I9" s="57">
        <f>D9*1.5*C9</f>
        <v>5033890.8</v>
      </c>
      <c r="J9" s="57">
        <f>E9*C9</f>
        <v>16446114.84</v>
      </c>
      <c r="K9" s="57">
        <f>J9+I9</f>
        <v>21480005.640000001</v>
      </c>
      <c r="L9" s="58">
        <f t="shared" si="2"/>
        <v>644400.1692</v>
      </c>
      <c r="M9" s="95">
        <f t="shared" si="3"/>
        <v>22124405.8092</v>
      </c>
      <c r="N9" s="1"/>
      <c r="O9" s="2"/>
      <c r="P9" s="1"/>
      <c r="Q9" s="1"/>
      <c r="R9" s="1"/>
    </row>
    <row r="10" spans="2:18" s="3" customFormat="1" ht="50.1" customHeight="1" x14ac:dyDescent="0.25">
      <c r="B10" s="6">
        <v>43835</v>
      </c>
      <c r="C10" s="73">
        <f t="shared" si="0"/>
        <v>1035.78</v>
      </c>
      <c r="D10" s="107">
        <v>3454</v>
      </c>
      <c r="E10" s="105">
        <v>16400</v>
      </c>
      <c r="F10" s="72">
        <f>E10+D10</f>
        <v>19854</v>
      </c>
      <c r="G10" s="106">
        <v>6795</v>
      </c>
      <c r="H10" s="106">
        <f t="shared" si="1"/>
        <v>13059</v>
      </c>
      <c r="I10" s="57">
        <f>D10*1.5*C10</f>
        <v>5366376.18</v>
      </c>
      <c r="J10" s="57">
        <f>E10*C10</f>
        <v>16986792</v>
      </c>
      <c r="K10" s="57">
        <f>J10+I10</f>
        <v>22353168.18</v>
      </c>
      <c r="L10" s="58">
        <f t="shared" si="2"/>
        <v>670595.04539999994</v>
      </c>
      <c r="M10" s="95">
        <f t="shared" si="3"/>
        <v>23023763.225400001</v>
      </c>
      <c r="N10" s="1"/>
      <c r="O10" s="2"/>
      <c r="P10" s="1"/>
      <c r="Q10" s="1"/>
      <c r="R10" s="1"/>
    </row>
    <row r="11" spans="2:18" s="3" customFormat="1" ht="50.1" customHeight="1" x14ac:dyDescent="0.25">
      <c r="B11" s="6">
        <v>43836</v>
      </c>
      <c r="C11" s="73">
        <f t="shared" si="0"/>
        <v>1035.78</v>
      </c>
      <c r="D11" s="107">
        <v>3706</v>
      </c>
      <c r="E11" s="105">
        <v>17506</v>
      </c>
      <c r="F11" s="72">
        <f>E11+D11</f>
        <v>21212</v>
      </c>
      <c r="G11" s="106">
        <v>6795</v>
      </c>
      <c r="H11" s="106">
        <f t="shared" si="1"/>
        <v>14417</v>
      </c>
      <c r="I11" s="57">
        <f>D11*1.5*C11</f>
        <v>5757901.0199999996</v>
      </c>
      <c r="J11" s="57">
        <f>E11*C11</f>
        <v>18132364.68</v>
      </c>
      <c r="K11" s="57">
        <f>J11+I11</f>
        <v>23890265.699999999</v>
      </c>
      <c r="L11" s="58">
        <f t="shared" si="2"/>
        <v>716707.9709999999</v>
      </c>
      <c r="M11" s="95">
        <f t="shared" si="3"/>
        <v>24606973.671</v>
      </c>
      <c r="N11" s="1"/>
      <c r="O11" s="2"/>
      <c r="P11" s="1"/>
      <c r="Q11" s="1"/>
      <c r="R11" s="1"/>
    </row>
    <row r="12" spans="2:18" s="3" customFormat="1" ht="50.1" customHeight="1" x14ac:dyDescent="0.25">
      <c r="B12" s="6">
        <v>43837</v>
      </c>
      <c r="C12" s="73">
        <f t="shared" si="0"/>
        <v>1035.78</v>
      </c>
      <c r="D12" s="107">
        <v>3700</v>
      </c>
      <c r="E12" s="105">
        <v>17626</v>
      </c>
      <c r="F12" s="72">
        <f>E12+D12</f>
        <v>21326</v>
      </c>
      <c r="G12" s="106">
        <v>6795</v>
      </c>
      <c r="H12" s="106">
        <f t="shared" si="1"/>
        <v>14531</v>
      </c>
      <c r="I12" s="57">
        <f>D12*1.5*C12</f>
        <v>5748579</v>
      </c>
      <c r="J12" s="57">
        <f>E12*C12</f>
        <v>18256658.280000001</v>
      </c>
      <c r="K12" s="57">
        <f>J12+I12</f>
        <v>24005237.280000001</v>
      </c>
      <c r="L12" s="58">
        <f t="shared" si="2"/>
        <v>720157.11840000004</v>
      </c>
      <c r="M12" s="95">
        <f t="shared" si="3"/>
        <v>24725394.398400001</v>
      </c>
      <c r="N12" s="1"/>
      <c r="O12" s="2"/>
      <c r="P12" s="1"/>
      <c r="Q12" s="1"/>
      <c r="R12" s="1"/>
    </row>
    <row r="13" spans="2:18" s="3" customFormat="1" ht="50.1" customHeight="1" x14ac:dyDescent="0.25">
      <c r="B13" s="6">
        <v>43838</v>
      </c>
      <c r="C13" s="73">
        <f t="shared" si="0"/>
        <v>1035.78</v>
      </c>
      <c r="D13" s="107">
        <v>3528</v>
      </c>
      <c r="E13" s="105">
        <v>16198</v>
      </c>
      <c r="F13" s="72">
        <f>E13+D13</f>
        <v>19726</v>
      </c>
      <c r="G13" s="106">
        <v>6795</v>
      </c>
      <c r="H13" s="106">
        <f t="shared" si="1"/>
        <v>12931</v>
      </c>
      <c r="I13" s="57">
        <f>D13*1.5*C13</f>
        <v>5481347.7599999998</v>
      </c>
      <c r="J13" s="57">
        <f>E13*C13</f>
        <v>16777564.440000001</v>
      </c>
      <c r="K13" s="57">
        <f>J13+I13</f>
        <v>22258912.200000003</v>
      </c>
      <c r="L13" s="58">
        <f t="shared" si="2"/>
        <v>667767.36600000004</v>
      </c>
      <c r="M13" s="95">
        <f t="shared" si="3"/>
        <v>22926679.566000003</v>
      </c>
      <c r="N13" s="2"/>
      <c r="O13" s="2"/>
      <c r="P13" s="1"/>
      <c r="Q13" s="1"/>
      <c r="R13" s="1"/>
    </row>
    <row r="14" spans="2:18" s="3" customFormat="1" ht="50.1" customHeight="1" x14ac:dyDescent="0.25">
      <c r="B14" s="6">
        <v>43839</v>
      </c>
      <c r="C14" s="73">
        <f t="shared" si="0"/>
        <v>1035.78</v>
      </c>
      <c r="D14" s="107">
        <v>3394</v>
      </c>
      <c r="E14" s="105">
        <v>15804</v>
      </c>
      <c r="F14" s="72">
        <f>E14+D14</f>
        <v>19198</v>
      </c>
      <c r="G14" s="106">
        <v>6795</v>
      </c>
      <c r="H14" s="106">
        <f t="shared" si="1"/>
        <v>12403</v>
      </c>
      <c r="I14" s="57">
        <f>D14*1.5*C14</f>
        <v>5273155.9799999995</v>
      </c>
      <c r="J14" s="57">
        <f>E14*C14</f>
        <v>16369467.119999999</v>
      </c>
      <c r="K14" s="57">
        <f>J14+I14</f>
        <v>21642623.099999998</v>
      </c>
      <c r="L14" s="58">
        <f t="shared" si="2"/>
        <v>649278.69299999985</v>
      </c>
      <c r="M14" s="95">
        <f t="shared" si="3"/>
        <v>22291901.792999998</v>
      </c>
      <c r="N14" s="1"/>
      <c r="O14" s="1"/>
      <c r="P14" s="1"/>
      <c r="Q14" s="1"/>
      <c r="R14" s="1"/>
    </row>
    <row r="15" spans="2:18" s="3" customFormat="1" ht="50.1" customHeight="1" x14ac:dyDescent="0.25">
      <c r="B15" s="6">
        <v>43840</v>
      </c>
      <c r="C15" s="73">
        <f t="shared" si="0"/>
        <v>1035.78</v>
      </c>
      <c r="D15" s="107">
        <v>3300</v>
      </c>
      <c r="E15" s="105">
        <v>15780</v>
      </c>
      <c r="F15" s="72">
        <f>E15+D15</f>
        <v>19080</v>
      </c>
      <c r="G15" s="106">
        <v>6795</v>
      </c>
      <c r="H15" s="106">
        <f t="shared" si="1"/>
        <v>12285</v>
      </c>
      <c r="I15" s="57">
        <f>D15*1.5*C15</f>
        <v>5127111</v>
      </c>
      <c r="J15" s="57">
        <f>E15*C15</f>
        <v>16344608.4</v>
      </c>
      <c r="K15" s="57">
        <f>J15+I15</f>
        <v>21471719.399999999</v>
      </c>
      <c r="L15" s="58">
        <f t="shared" si="2"/>
        <v>644151.58199999994</v>
      </c>
      <c r="M15" s="95">
        <f t="shared" si="3"/>
        <v>22115870.981999997</v>
      </c>
      <c r="N15" s="1"/>
      <c r="O15" s="1"/>
      <c r="P15" s="1"/>
      <c r="Q15" s="1"/>
      <c r="R15" s="1"/>
    </row>
    <row r="16" spans="2:18" s="3" customFormat="1" ht="50.1" customHeight="1" x14ac:dyDescent="0.25">
      <c r="B16" s="6">
        <v>43841</v>
      </c>
      <c r="C16" s="73">
        <f t="shared" si="0"/>
        <v>1035.78</v>
      </c>
      <c r="D16" s="107">
        <v>3160</v>
      </c>
      <c r="E16" s="105">
        <v>16372</v>
      </c>
      <c r="F16" s="72">
        <f>E16+D16</f>
        <v>19532</v>
      </c>
      <c r="G16" s="106">
        <v>6795</v>
      </c>
      <c r="H16" s="106">
        <f t="shared" si="1"/>
        <v>12737</v>
      </c>
      <c r="I16" s="57">
        <f>D16*1.5*C16</f>
        <v>4909597.2</v>
      </c>
      <c r="J16" s="57">
        <f>E16*C16</f>
        <v>16957790.16</v>
      </c>
      <c r="K16" s="57">
        <f>J16+I16</f>
        <v>21867387.359999999</v>
      </c>
      <c r="L16" s="58">
        <f t="shared" si="2"/>
        <v>656021.62079999992</v>
      </c>
      <c r="M16" s="95">
        <f t="shared" si="3"/>
        <v>22523408.980799999</v>
      </c>
      <c r="N16" s="1"/>
      <c r="O16" s="1"/>
      <c r="P16" s="1"/>
      <c r="Q16" s="1"/>
      <c r="R16" s="1"/>
    </row>
    <row r="17" spans="2:18" s="3" customFormat="1" ht="50.1" customHeight="1" x14ac:dyDescent="0.25">
      <c r="B17" s="6">
        <v>43842</v>
      </c>
      <c r="C17" s="73">
        <f t="shared" si="0"/>
        <v>1035.78</v>
      </c>
      <c r="D17" s="107">
        <v>3510</v>
      </c>
      <c r="E17" s="105">
        <v>16698</v>
      </c>
      <c r="F17" s="72">
        <f>E17+D17</f>
        <v>20208</v>
      </c>
      <c r="G17" s="106">
        <v>6795</v>
      </c>
      <c r="H17" s="106">
        <f t="shared" si="1"/>
        <v>13413</v>
      </c>
      <c r="I17" s="57">
        <f>D17*1.5*C17</f>
        <v>5453381.7000000002</v>
      </c>
      <c r="J17" s="57">
        <f>E17*C17</f>
        <v>17295454.440000001</v>
      </c>
      <c r="K17" s="57">
        <f>J17+I17</f>
        <v>22748836.140000001</v>
      </c>
      <c r="L17" s="58">
        <f t="shared" si="2"/>
        <v>682465.08420000004</v>
      </c>
      <c r="M17" s="95">
        <f t="shared" si="3"/>
        <v>23431301.224199999</v>
      </c>
      <c r="N17" s="1"/>
      <c r="O17" s="1"/>
      <c r="P17" s="1"/>
      <c r="Q17" s="1"/>
      <c r="R17" s="1"/>
    </row>
    <row r="18" spans="2:18" s="3" customFormat="1" ht="50.1" customHeight="1" x14ac:dyDescent="0.25">
      <c r="B18" s="6">
        <v>43843</v>
      </c>
      <c r="C18" s="73">
        <f t="shared" si="0"/>
        <v>1035.78</v>
      </c>
      <c r="D18" s="107">
        <v>3584</v>
      </c>
      <c r="E18" s="105">
        <v>17170</v>
      </c>
      <c r="F18" s="72">
        <f>E18+D18</f>
        <v>20754</v>
      </c>
      <c r="G18" s="106">
        <v>6795</v>
      </c>
      <c r="H18" s="106">
        <f t="shared" si="1"/>
        <v>13959</v>
      </c>
      <c r="I18" s="57">
        <f>D18*1.5*C18</f>
        <v>5568353.2800000003</v>
      </c>
      <c r="J18" s="57">
        <f>E18*C18</f>
        <v>17784342.599999998</v>
      </c>
      <c r="K18" s="57">
        <f>J18+I18</f>
        <v>23352695.879999999</v>
      </c>
      <c r="L18" s="58">
        <f t="shared" si="2"/>
        <v>700580.87639999995</v>
      </c>
      <c r="M18" s="95">
        <f t="shared" si="3"/>
        <v>24053276.7564</v>
      </c>
      <c r="N18" s="1"/>
      <c r="O18" s="1"/>
      <c r="P18" s="1"/>
      <c r="Q18" s="1"/>
      <c r="R18" s="1"/>
    </row>
    <row r="19" spans="2:18" s="3" customFormat="1" ht="50.1" customHeight="1" x14ac:dyDescent="0.25">
      <c r="B19" s="6">
        <v>43844</v>
      </c>
      <c r="C19" s="73">
        <f t="shared" si="0"/>
        <v>1035.78</v>
      </c>
      <c r="D19" s="107">
        <v>3274</v>
      </c>
      <c r="E19" s="105">
        <v>16216</v>
      </c>
      <c r="F19" s="72">
        <f>E19+D19</f>
        <v>19490</v>
      </c>
      <c r="G19" s="106">
        <v>6796</v>
      </c>
      <c r="H19" s="106">
        <f t="shared" si="1"/>
        <v>12694</v>
      </c>
      <c r="I19" s="57">
        <f>D19*1.5*C19</f>
        <v>5086715.58</v>
      </c>
      <c r="J19" s="57">
        <f>E19*C19</f>
        <v>16796208.48</v>
      </c>
      <c r="K19" s="57">
        <f>J19+I19</f>
        <v>21882924.060000002</v>
      </c>
      <c r="L19" s="58">
        <f t="shared" si="2"/>
        <v>656487.72180000006</v>
      </c>
      <c r="M19" s="95">
        <f t="shared" si="3"/>
        <v>22539411.781800002</v>
      </c>
      <c r="N19" s="1"/>
      <c r="O19" s="1"/>
      <c r="P19" s="1"/>
      <c r="Q19" s="1"/>
      <c r="R19" s="1"/>
    </row>
    <row r="20" spans="2:18" s="3" customFormat="1" ht="50.1" customHeight="1" x14ac:dyDescent="0.25">
      <c r="B20" s="6">
        <v>43845</v>
      </c>
      <c r="C20" s="73">
        <f t="shared" si="0"/>
        <v>1035.78</v>
      </c>
      <c r="D20" s="107">
        <v>3302</v>
      </c>
      <c r="E20" s="105">
        <v>15000</v>
      </c>
      <c r="F20" s="72">
        <f>E20+D20</f>
        <v>18302</v>
      </c>
      <c r="G20" s="106">
        <v>7076</v>
      </c>
      <c r="H20" s="106">
        <f t="shared" si="1"/>
        <v>11226</v>
      </c>
      <c r="I20" s="57">
        <f>D20*1.5*C20</f>
        <v>5130218.34</v>
      </c>
      <c r="J20" s="57">
        <f>E20*C20</f>
        <v>15536700</v>
      </c>
      <c r="K20" s="57">
        <f>J20+I20</f>
        <v>20666918.34</v>
      </c>
      <c r="L20" s="58">
        <f t="shared" si="2"/>
        <v>620007.55019999994</v>
      </c>
      <c r="M20" s="95">
        <f t="shared" si="3"/>
        <v>21286925.8902</v>
      </c>
      <c r="N20" s="1"/>
      <c r="O20" s="1"/>
      <c r="P20" s="1"/>
      <c r="Q20" s="1"/>
      <c r="R20" s="1"/>
    </row>
    <row r="21" spans="2:18" s="3" customFormat="1" ht="50.1" customHeight="1" x14ac:dyDescent="0.25">
      <c r="B21" s="6">
        <v>43846</v>
      </c>
      <c r="C21" s="73">
        <f t="shared" si="0"/>
        <v>1035.78</v>
      </c>
      <c r="D21" s="107">
        <v>3300</v>
      </c>
      <c r="E21" s="105">
        <v>15550</v>
      </c>
      <c r="F21" s="72">
        <f>E21+D21</f>
        <v>18850</v>
      </c>
      <c r="G21" s="106">
        <v>7666.04</v>
      </c>
      <c r="H21" s="106">
        <f t="shared" si="1"/>
        <v>11183.96</v>
      </c>
      <c r="I21" s="57">
        <f>D21*1.5*C21</f>
        <v>5127111</v>
      </c>
      <c r="J21" s="57">
        <f>E21*C21</f>
        <v>16106379</v>
      </c>
      <c r="K21" s="57">
        <f>J21+I21</f>
        <v>21233490</v>
      </c>
      <c r="L21" s="58">
        <f t="shared" si="2"/>
        <v>637004.69999999995</v>
      </c>
      <c r="M21" s="95">
        <f t="shared" si="3"/>
        <v>21870494.699999999</v>
      </c>
      <c r="N21" s="1"/>
      <c r="O21" s="1"/>
      <c r="P21" s="1"/>
      <c r="Q21" s="1"/>
      <c r="R21" s="1"/>
    </row>
    <row r="22" spans="2:18" s="3" customFormat="1" ht="50.1" customHeight="1" x14ac:dyDescent="0.25">
      <c r="B22" s="6">
        <v>43847</v>
      </c>
      <c r="C22" s="73">
        <f t="shared" si="0"/>
        <v>1035.78</v>
      </c>
      <c r="D22" s="107">
        <v>3258</v>
      </c>
      <c r="E22" s="105">
        <v>15332</v>
      </c>
      <c r="F22" s="72">
        <f>E22+D22</f>
        <v>18590</v>
      </c>
      <c r="G22" s="106">
        <v>7504.04</v>
      </c>
      <c r="H22" s="106">
        <f t="shared" si="1"/>
        <v>11085.96</v>
      </c>
      <c r="I22" s="57">
        <f>D22*1.5*C22</f>
        <v>5061856.8599999994</v>
      </c>
      <c r="J22" s="57">
        <f>E22*C22</f>
        <v>15880578.959999999</v>
      </c>
      <c r="K22" s="57">
        <f>J22+I22</f>
        <v>20942435.82</v>
      </c>
      <c r="L22" s="58">
        <f t="shared" si="2"/>
        <v>628273.07459999993</v>
      </c>
      <c r="M22" s="95">
        <f t="shared" si="3"/>
        <v>21570708.8946</v>
      </c>
      <c r="N22" s="1"/>
      <c r="O22" s="1"/>
      <c r="P22" s="1"/>
      <c r="Q22" s="1"/>
      <c r="R22" s="1"/>
    </row>
    <row r="23" spans="2:18" s="3" customFormat="1" ht="50.1" customHeight="1" x14ac:dyDescent="0.25">
      <c r="B23" s="6">
        <v>43848</v>
      </c>
      <c r="C23" s="73">
        <f t="shared" si="0"/>
        <v>1035.78</v>
      </c>
      <c r="D23" s="107">
        <v>3024</v>
      </c>
      <c r="E23" s="105">
        <v>14494</v>
      </c>
      <c r="F23" s="72">
        <f>E23+D23</f>
        <v>17518</v>
      </c>
      <c r="G23" s="106">
        <v>7200</v>
      </c>
      <c r="H23" s="106">
        <f t="shared" si="1"/>
        <v>10318</v>
      </c>
      <c r="I23" s="57">
        <f>D23*1.5*C23</f>
        <v>4698298.08</v>
      </c>
      <c r="J23" s="57">
        <f>E23*C23</f>
        <v>15012595.32</v>
      </c>
      <c r="K23" s="57">
        <f>J23+I23</f>
        <v>19710893.399999999</v>
      </c>
      <c r="L23" s="58">
        <f t="shared" si="2"/>
        <v>591326.80199999991</v>
      </c>
      <c r="M23" s="95">
        <f t="shared" si="3"/>
        <v>20302220.202</v>
      </c>
      <c r="N23" s="1"/>
      <c r="O23" s="1"/>
      <c r="P23" s="1"/>
      <c r="Q23" s="1"/>
      <c r="R23" s="1"/>
    </row>
    <row r="24" spans="2:18" s="3" customFormat="1" ht="50.1" customHeight="1" x14ac:dyDescent="0.25">
      <c r="B24" s="6">
        <v>43849</v>
      </c>
      <c r="C24" s="73">
        <f t="shared" si="0"/>
        <v>1035.78</v>
      </c>
      <c r="D24" s="107">
        <v>3322</v>
      </c>
      <c r="E24" s="105">
        <v>16276</v>
      </c>
      <c r="F24" s="72">
        <f>E24+D24</f>
        <v>19598</v>
      </c>
      <c r="G24" s="106">
        <v>7789.2</v>
      </c>
      <c r="H24" s="106">
        <f t="shared" si="1"/>
        <v>11808.8</v>
      </c>
      <c r="I24" s="57">
        <f>D24*1.5*C24</f>
        <v>5161291.74</v>
      </c>
      <c r="J24" s="57">
        <f>E24*C24</f>
        <v>16858355.280000001</v>
      </c>
      <c r="K24" s="57">
        <f>J24+I24</f>
        <v>22019647.020000003</v>
      </c>
      <c r="L24" s="58">
        <f t="shared" si="2"/>
        <v>660589.41060000006</v>
      </c>
      <c r="M24" s="95">
        <f t="shared" si="3"/>
        <v>22680236.430600002</v>
      </c>
      <c r="N24" s="1"/>
      <c r="O24" s="1"/>
      <c r="P24" s="1"/>
      <c r="Q24" s="1"/>
      <c r="R24" s="1"/>
    </row>
    <row r="25" spans="2:18" s="3" customFormat="1" ht="50.1" customHeight="1" x14ac:dyDescent="0.25">
      <c r="B25" s="6">
        <v>43850</v>
      </c>
      <c r="C25" s="73">
        <f t="shared" si="0"/>
        <v>1035.78</v>
      </c>
      <c r="D25" s="107">
        <v>3450</v>
      </c>
      <c r="E25" s="105">
        <v>15796</v>
      </c>
      <c r="F25" s="72">
        <f>E25+D25</f>
        <v>19246</v>
      </c>
      <c r="G25" s="106">
        <v>7814</v>
      </c>
      <c r="H25" s="106">
        <f t="shared" si="1"/>
        <v>11432</v>
      </c>
      <c r="I25" s="57">
        <f>D25*1.5*C25</f>
        <v>5360161.5</v>
      </c>
      <c r="J25" s="57">
        <f>E25*C25</f>
        <v>16361180.879999999</v>
      </c>
      <c r="K25" s="57">
        <f>J25+I25</f>
        <v>21721342.379999999</v>
      </c>
      <c r="L25" s="58">
        <f t="shared" si="2"/>
        <v>651640.27139999997</v>
      </c>
      <c r="M25" s="95">
        <f t="shared" si="3"/>
        <v>22372982.6514</v>
      </c>
      <c r="N25" s="1"/>
      <c r="O25" s="1"/>
      <c r="P25" s="1"/>
      <c r="Q25" s="1"/>
      <c r="R25" s="1"/>
    </row>
    <row r="26" spans="2:18" s="3" customFormat="1" ht="50.1" customHeight="1" x14ac:dyDescent="0.25">
      <c r="B26" s="6">
        <v>43851</v>
      </c>
      <c r="C26" s="73">
        <f t="shared" si="0"/>
        <v>1035.78</v>
      </c>
      <c r="D26" s="107">
        <v>3620</v>
      </c>
      <c r="E26" s="105">
        <v>16656</v>
      </c>
      <c r="F26" s="72">
        <f>E26+D26</f>
        <v>20276</v>
      </c>
      <c r="G26" s="106">
        <v>8243</v>
      </c>
      <c r="H26" s="106">
        <f t="shared" si="1"/>
        <v>12033</v>
      </c>
      <c r="I26" s="57">
        <f>D26*1.5*C26</f>
        <v>5624285.3999999994</v>
      </c>
      <c r="J26" s="57">
        <f>E26*C26</f>
        <v>17251951.68</v>
      </c>
      <c r="K26" s="57">
        <f>J26+I26</f>
        <v>22876237.079999998</v>
      </c>
      <c r="L26" s="58">
        <f t="shared" si="2"/>
        <v>686287.11239999987</v>
      </c>
      <c r="M26" s="95">
        <f t="shared" si="3"/>
        <v>23562524.192399997</v>
      </c>
      <c r="N26" s="1"/>
      <c r="O26" s="1"/>
      <c r="P26" s="1"/>
      <c r="Q26" s="1"/>
      <c r="R26" s="1"/>
    </row>
    <row r="27" spans="2:18" s="3" customFormat="1" ht="50.1" customHeight="1" x14ac:dyDescent="0.25">
      <c r="B27" s="6">
        <v>43852</v>
      </c>
      <c r="C27" s="73">
        <f t="shared" si="0"/>
        <v>1035.78</v>
      </c>
      <c r="D27" s="107"/>
      <c r="E27" s="105"/>
      <c r="F27" s="96">
        <f>E27+D27</f>
        <v>0</v>
      </c>
      <c r="G27" s="106"/>
      <c r="H27" s="106">
        <f t="shared" si="1"/>
        <v>0</v>
      </c>
      <c r="I27" s="57">
        <f>D27*1.5*C27</f>
        <v>0</v>
      </c>
      <c r="J27" s="57">
        <f>E27*C27</f>
        <v>0</v>
      </c>
      <c r="K27" s="57">
        <f>J27+I27</f>
        <v>0</v>
      </c>
      <c r="L27" s="58">
        <f t="shared" si="2"/>
        <v>0</v>
      </c>
      <c r="M27" s="95">
        <f t="shared" si="3"/>
        <v>0</v>
      </c>
      <c r="N27" s="1"/>
      <c r="O27" s="1"/>
      <c r="P27" s="1"/>
      <c r="Q27" s="1"/>
      <c r="R27" s="1"/>
    </row>
    <row r="28" spans="2:18" s="3" customFormat="1" ht="50.1" customHeight="1" x14ac:dyDescent="0.25">
      <c r="B28" s="6">
        <v>43853</v>
      </c>
      <c r="C28" s="73">
        <f t="shared" si="0"/>
        <v>1035.78</v>
      </c>
      <c r="D28" s="107"/>
      <c r="E28" s="105"/>
      <c r="F28" s="96">
        <f>E28+D28</f>
        <v>0</v>
      </c>
      <c r="G28" s="106"/>
      <c r="H28" s="106">
        <f t="shared" si="1"/>
        <v>0</v>
      </c>
      <c r="I28" s="57">
        <f>D28*1.5*C28</f>
        <v>0</v>
      </c>
      <c r="J28" s="57">
        <f>E28*C28</f>
        <v>0</v>
      </c>
      <c r="K28" s="57">
        <f>J28+I28</f>
        <v>0</v>
      </c>
      <c r="L28" s="58">
        <f t="shared" si="2"/>
        <v>0</v>
      </c>
      <c r="M28" s="95">
        <f t="shared" si="3"/>
        <v>0</v>
      </c>
      <c r="N28" s="1"/>
      <c r="O28" s="1"/>
      <c r="P28" s="1"/>
      <c r="Q28" s="1"/>
      <c r="R28" s="1"/>
    </row>
    <row r="29" spans="2:18" s="3" customFormat="1" ht="50.1" customHeight="1" x14ac:dyDescent="0.25">
      <c r="B29" s="6">
        <v>43854</v>
      </c>
      <c r="C29" s="73">
        <f t="shared" si="0"/>
        <v>1035.78</v>
      </c>
      <c r="D29" s="107"/>
      <c r="E29" s="105"/>
      <c r="F29" s="96">
        <f>E29+D29</f>
        <v>0</v>
      </c>
      <c r="G29" s="106"/>
      <c r="H29" s="106">
        <f t="shared" si="1"/>
        <v>0</v>
      </c>
      <c r="I29" s="57">
        <f>D29*1.5*C29</f>
        <v>0</v>
      </c>
      <c r="J29" s="57">
        <f>E29*C29</f>
        <v>0</v>
      </c>
      <c r="K29" s="57">
        <f>J29+I29</f>
        <v>0</v>
      </c>
      <c r="L29" s="58">
        <f t="shared" si="2"/>
        <v>0</v>
      </c>
      <c r="M29" s="95">
        <f t="shared" si="3"/>
        <v>0</v>
      </c>
      <c r="N29" s="1"/>
      <c r="O29" s="1"/>
      <c r="P29" s="1"/>
      <c r="Q29" s="1"/>
      <c r="R29" s="1"/>
    </row>
    <row r="30" spans="2:18" s="3" customFormat="1" ht="50.1" customHeight="1" x14ac:dyDescent="0.25">
      <c r="B30" s="6">
        <v>43855</v>
      </c>
      <c r="C30" s="73">
        <f t="shared" si="0"/>
        <v>1035.78</v>
      </c>
      <c r="D30" s="107"/>
      <c r="E30" s="105"/>
      <c r="F30" s="96">
        <f>E30+D30</f>
        <v>0</v>
      </c>
      <c r="G30" s="106"/>
      <c r="H30" s="106">
        <f t="shared" si="1"/>
        <v>0</v>
      </c>
      <c r="I30" s="57">
        <f>D30*1.5*C30</f>
        <v>0</v>
      </c>
      <c r="J30" s="57">
        <f>E30*C30</f>
        <v>0</v>
      </c>
      <c r="K30" s="57">
        <f>J30+I30</f>
        <v>0</v>
      </c>
      <c r="L30" s="58">
        <f t="shared" si="2"/>
        <v>0</v>
      </c>
      <c r="M30" s="95">
        <f t="shared" si="3"/>
        <v>0</v>
      </c>
      <c r="N30" s="1"/>
      <c r="O30" s="1"/>
      <c r="P30" s="1"/>
      <c r="Q30" s="1"/>
      <c r="R30" s="1"/>
    </row>
    <row r="31" spans="2:18" s="3" customFormat="1" ht="50.1" customHeight="1" x14ac:dyDescent="0.25">
      <c r="B31" s="6">
        <v>43856</v>
      </c>
      <c r="C31" s="73">
        <f t="shared" si="0"/>
        <v>1035.78</v>
      </c>
      <c r="D31" s="107"/>
      <c r="E31" s="105"/>
      <c r="F31" s="96">
        <f>E31+D31</f>
        <v>0</v>
      </c>
      <c r="G31" s="106"/>
      <c r="H31" s="106">
        <f t="shared" si="1"/>
        <v>0</v>
      </c>
      <c r="I31" s="57">
        <f>D31*1.5*C31</f>
        <v>0</v>
      </c>
      <c r="J31" s="57">
        <f>E31*C31</f>
        <v>0</v>
      </c>
      <c r="K31" s="57">
        <f>J31+I31</f>
        <v>0</v>
      </c>
      <c r="L31" s="58">
        <f t="shared" si="2"/>
        <v>0</v>
      </c>
      <c r="M31" s="95">
        <f t="shared" si="3"/>
        <v>0</v>
      </c>
      <c r="N31" s="1"/>
      <c r="O31" s="1"/>
      <c r="P31" s="1"/>
      <c r="Q31" s="1"/>
      <c r="R31" s="1"/>
    </row>
    <row r="32" spans="2:18" s="3" customFormat="1" ht="50.1" customHeight="1" x14ac:dyDescent="0.25">
      <c r="B32" s="6">
        <v>43857</v>
      </c>
      <c r="C32" s="73">
        <f t="shared" si="0"/>
        <v>1035.78</v>
      </c>
      <c r="D32" s="107"/>
      <c r="E32" s="105"/>
      <c r="F32" s="96">
        <f>E32+D32</f>
        <v>0</v>
      </c>
      <c r="G32" s="106"/>
      <c r="H32" s="106">
        <f t="shared" si="1"/>
        <v>0</v>
      </c>
      <c r="I32" s="57">
        <f>D32*1.5*C32</f>
        <v>0</v>
      </c>
      <c r="J32" s="57">
        <f>E32*C32</f>
        <v>0</v>
      </c>
      <c r="K32" s="57">
        <f>J32+I32</f>
        <v>0</v>
      </c>
      <c r="L32" s="58">
        <f t="shared" si="2"/>
        <v>0</v>
      </c>
      <c r="M32" s="95">
        <f t="shared" si="3"/>
        <v>0</v>
      </c>
      <c r="N32" s="1"/>
      <c r="O32" s="1"/>
      <c r="P32" s="1"/>
      <c r="Q32" s="1"/>
      <c r="R32" s="1"/>
    </row>
    <row r="33" spans="2:18" s="3" customFormat="1" ht="50.1" customHeight="1" x14ac:dyDescent="0.25">
      <c r="B33" s="6">
        <v>43858</v>
      </c>
      <c r="C33" s="73">
        <f t="shared" si="0"/>
        <v>1035.78</v>
      </c>
      <c r="D33" s="107"/>
      <c r="E33" s="105"/>
      <c r="F33" s="96">
        <f>E33+D33</f>
        <v>0</v>
      </c>
      <c r="G33" s="106"/>
      <c r="H33" s="106">
        <f t="shared" si="1"/>
        <v>0</v>
      </c>
      <c r="I33" s="57">
        <f>D33*1.5*C33</f>
        <v>0</v>
      </c>
      <c r="J33" s="57">
        <f>E33*C33</f>
        <v>0</v>
      </c>
      <c r="K33" s="57">
        <f>J33+I33</f>
        <v>0</v>
      </c>
      <c r="L33" s="58">
        <f t="shared" si="2"/>
        <v>0</v>
      </c>
      <c r="M33" s="95">
        <f t="shared" si="3"/>
        <v>0</v>
      </c>
      <c r="N33" s="1"/>
      <c r="O33" s="1"/>
      <c r="P33" s="1"/>
      <c r="Q33" s="1"/>
      <c r="R33" s="1"/>
    </row>
    <row r="34" spans="2:18" s="3" customFormat="1" ht="50.1" customHeight="1" x14ac:dyDescent="0.25">
      <c r="B34" s="6">
        <v>43859</v>
      </c>
      <c r="C34" s="73">
        <f t="shared" si="0"/>
        <v>1035.78</v>
      </c>
      <c r="D34" s="107"/>
      <c r="E34" s="105"/>
      <c r="F34" s="96">
        <f>E34+D34</f>
        <v>0</v>
      </c>
      <c r="G34" s="106"/>
      <c r="H34" s="106">
        <f t="shared" si="1"/>
        <v>0</v>
      </c>
      <c r="I34" s="57">
        <f>D34*1.5*C34</f>
        <v>0</v>
      </c>
      <c r="J34" s="57">
        <f>E34*C34</f>
        <v>0</v>
      </c>
      <c r="K34" s="57">
        <f>J34+I34</f>
        <v>0</v>
      </c>
      <c r="L34" s="58">
        <f t="shared" si="2"/>
        <v>0</v>
      </c>
      <c r="M34" s="95">
        <f t="shared" si="3"/>
        <v>0</v>
      </c>
      <c r="N34" s="1"/>
      <c r="O34" s="1"/>
      <c r="P34" s="1"/>
      <c r="Q34" s="1"/>
      <c r="R34" s="1"/>
    </row>
    <row r="35" spans="2:18" s="3" customFormat="1" ht="50.1" customHeight="1" x14ac:dyDescent="0.25">
      <c r="B35" s="6">
        <v>43860</v>
      </c>
      <c r="C35" s="73">
        <f t="shared" si="0"/>
        <v>1035.78</v>
      </c>
      <c r="D35" s="107"/>
      <c r="E35" s="105"/>
      <c r="F35" s="96">
        <f>E35+D35</f>
        <v>0</v>
      </c>
      <c r="G35" s="106"/>
      <c r="H35" s="106">
        <f t="shared" si="1"/>
        <v>0</v>
      </c>
      <c r="I35" s="57">
        <f>D35*1.5*C35</f>
        <v>0</v>
      </c>
      <c r="J35" s="57">
        <f>E35*C35</f>
        <v>0</v>
      </c>
      <c r="K35" s="57">
        <f>J35+I35</f>
        <v>0</v>
      </c>
      <c r="L35" s="58">
        <f t="shared" si="2"/>
        <v>0</v>
      </c>
      <c r="M35" s="95">
        <f t="shared" si="3"/>
        <v>0</v>
      </c>
      <c r="N35" s="1"/>
      <c r="O35" s="1"/>
      <c r="P35" s="1"/>
      <c r="Q35" s="1"/>
      <c r="R35" s="1"/>
    </row>
    <row r="36" spans="2:18" s="3" customFormat="1" ht="50.1" customHeight="1" x14ac:dyDescent="0.25">
      <c r="B36" s="6">
        <v>43861</v>
      </c>
      <c r="C36" s="73">
        <f t="shared" si="0"/>
        <v>1035.78</v>
      </c>
      <c r="D36" s="107"/>
      <c r="E36" s="105"/>
      <c r="F36" s="96">
        <f>E36+D36</f>
        <v>0</v>
      </c>
      <c r="G36" s="106"/>
      <c r="H36" s="106">
        <f t="shared" si="1"/>
        <v>0</v>
      </c>
      <c r="I36" s="57">
        <f>D36*1.5*C36</f>
        <v>0</v>
      </c>
      <c r="J36" s="57">
        <f>E36*C36</f>
        <v>0</v>
      </c>
      <c r="K36" s="57">
        <f>J36+I36</f>
        <v>0</v>
      </c>
      <c r="L36" s="58">
        <f t="shared" si="2"/>
        <v>0</v>
      </c>
      <c r="M36" s="95">
        <f t="shared" si="3"/>
        <v>0</v>
      </c>
      <c r="N36" s="1"/>
      <c r="O36" s="1"/>
      <c r="P36" s="1"/>
      <c r="Q36" s="1"/>
      <c r="R36" s="1"/>
    </row>
    <row r="37" spans="2:18" s="3" customFormat="1" ht="50.1" customHeight="1" thickBot="1" x14ac:dyDescent="0.3">
      <c r="B37" s="8" t="s">
        <v>18</v>
      </c>
      <c r="C37" s="97">
        <f t="shared" si="0"/>
        <v>1035.78</v>
      </c>
      <c r="D37" s="108"/>
      <c r="E37" s="109"/>
      <c r="F37" s="98">
        <f>E37+D37</f>
        <v>0</v>
      </c>
      <c r="G37" s="110"/>
      <c r="H37" s="106">
        <f t="shared" si="1"/>
        <v>0</v>
      </c>
      <c r="I37" s="99">
        <f>D37*1.5*C37</f>
        <v>0</v>
      </c>
      <c r="J37" s="99">
        <f>E37*C37</f>
        <v>0</v>
      </c>
      <c r="K37" s="99">
        <f>J37+I37</f>
        <v>0</v>
      </c>
      <c r="L37" s="100">
        <f t="shared" si="2"/>
        <v>0</v>
      </c>
      <c r="M37" s="101">
        <f t="shared" si="3"/>
        <v>0</v>
      </c>
      <c r="N37" s="1"/>
      <c r="O37" s="9"/>
      <c r="P37" s="1"/>
      <c r="Q37" s="1"/>
      <c r="R37" s="1"/>
    </row>
    <row r="38" spans="2:18" s="1" customFormat="1" x14ac:dyDescent="0.25">
      <c r="B38" s="10"/>
      <c r="C38" s="11" t="s">
        <v>2</v>
      </c>
      <c r="D38" s="111">
        <f>SUM(D6:D37)</f>
        <v>71704</v>
      </c>
      <c r="E38" s="111">
        <f t="shared" ref="E38:M38" si="4">SUM(E6:E37)</f>
        <v>338962</v>
      </c>
      <c r="F38" s="111">
        <f t="shared" si="4"/>
        <v>410666</v>
      </c>
      <c r="G38" s="111">
        <f t="shared" si="4"/>
        <v>148291.28</v>
      </c>
      <c r="H38" s="111">
        <f t="shared" si="4"/>
        <v>262374.71999999997</v>
      </c>
      <c r="I38" s="111">
        <f t="shared" si="4"/>
        <v>111404353.67999999</v>
      </c>
      <c r="J38" s="111">
        <f t="shared" si="4"/>
        <v>351090060.35999995</v>
      </c>
      <c r="K38" s="111">
        <f t="shared" si="4"/>
        <v>462494414.0399999</v>
      </c>
      <c r="L38" s="111">
        <f t="shared" si="4"/>
        <v>13874832.421199996</v>
      </c>
      <c r="M38" s="111">
        <f t="shared" si="4"/>
        <v>476369246.4612</v>
      </c>
    </row>
    <row r="39" spans="2:18" s="1" customFormat="1" x14ac:dyDescent="0.25">
      <c r="B39" s="14"/>
      <c r="C39" s="14"/>
      <c r="D39" s="15"/>
      <c r="E39" s="15"/>
      <c r="F39" s="112"/>
      <c r="G39" s="112"/>
      <c r="H39" s="112"/>
      <c r="I39" s="15"/>
      <c r="J39" s="14"/>
      <c r="K39" s="14"/>
      <c r="L39" s="14"/>
      <c r="M39" s="12"/>
    </row>
    <row r="40" spans="2:18" s="1" customFormat="1" x14ac:dyDescent="0.25">
      <c r="B40" s="14"/>
      <c r="C40" s="16"/>
      <c r="D40" s="113"/>
      <c r="E40" s="113"/>
      <c r="F40" s="114"/>
      <c r="G40" s="114"/>
      <c r="H40" s="114"/>
      <c r="I40" s="18"/>
      <c r="K40" s="19" t="s">
        <v>3</v>
      </c>
      <c r="L40" s="52">
        <v>55985137</v>
      </c>
      <c r="M40" s="12"/>
      <c r="O40" s="14"/>
    </row>
    <row r="41" spans="2:18" s="1" customFormat="1" x14ac:dyDescent="0.25">
      <c r="B41" s="14"/>
      <c r="C41" s="20"/>
      <c r="D41" s="113"/>
      <c r="E41" s="115"/>
      <c r="F41" s="114"/>
      <c r="G41" s="114"/>
      <c r="H41" s="114"/>
      <c r="I41" s="17"/>
      <c r="J41" s="21"/>
      <c r="K41" s="22" t="s">
        <v>4</v>
      </c>
      <c r="L41" s="52">
        <v>17744976</v>
      </c>
      <c r="M41" s="13">
        <f>L40+L41</f>
        <v>73730113</v>
      </c>
      <c r="N41" s="1" t="s">
        <v>5</v>
      </c>
      <c r="O41" s="14"/>
    </row>
    <row r="42" spans="2:18" s="1" customFormat="1" x14ac:dyDescent="0.25">
      <c r="B42" s="14"/>
      <c r="D42" s="113"/>
      <c r="E42" s="116"/>
      <c r="F42" s="114"/>
      <c r="G42" s="114"/>
      <c r="H42" s="114"/>
      <c r="I42" s="18"/>
      <c r="K42" s="23"/>
      <c r="L42" s="14"/>
      <c r="M42" s="24">
        <f>M38+M41</f>
        <v>550099359.4612</v>
      </c>
      <c r="O42" s="14"/>
    </row>
    <row r="43" spans="2:18" s="1" customFormat="1" x14ac:dyDescent="0.25">
      <c r="B43" s="14"/>
      <c r="C43" s="14"/>
      <c r="D43" s="113"/>
      <c r="E43" s="115"/>
      <c r="F43" s="114"/>
      <c r="G43" s="114"/>
      <c r="H43" s="114"/>
      <c r="I43" s="18"/>
      <c r="K43" s="59" t="s">
        <v>14</v>
      </c>
      <c r="L43" s="54">
        <v>42856377</v>
      </c>
      <c r="M43" s="9"/>
      <c r="O43" s="14"/>
    </row>
    <row r="44" spans="2:18" s="1" customFormat="1" x14ac:dyDescent="0.25">
      <c r="B44" s="14"/>
      <c r="C44" s="14"/>
      <c r="D44" s="113"/>
      <c r="E44" s="115"/>
      <c r="F44" s="114"/>
      <c r="G44" s="114"/>
      <c r="H44" s="114"/>
      <c r="I44" s="18"/>
      <c r="K44" s="61" t="s">
        <v>16</v>
      </c>
      <c r="L44" s="54">
        <v>72524343</v>
      </c>
      <c r="M44" s="9"/>
      <c r="O44" s="14"/>
    </row>
    <row r="45" spans="2:18" s="1" customFormat="1" x14ac:dyDescent="0.25">
      <c r="B45" s="14"/>
      <c r="C45" s="25"/>
      <c r="D45" s="113"/>
      <c r="E45" s="113"/>
      <c r="F45" s="114"/>
      <c r="G45" s="114"/>
      <c r="H45" s="114"/>
      <c r="I45" s="18"/>
      <c r="K45" s="26" t="s">
        <v>6</v>
      </c>
      <c r="L45" s="52">
        <v>100000000</v>
      </c>
      <c r="M45" s="9"/>
      <c r="O45" s="14"/>
    </row>
    <row r="46" spans="2:18" s="1" customFormat="1" x14ac:dyDescent="0.25">
      <c r="B46" s="14"/>
      <c r="D46" s="114"/>
      <c r="E46" s="114"/>
      <c r="F46" s="114"/>
      <c r="G46" s="114"/>
      <c r="H46" s="114"/>
      <c r="K46" s="53" t="s">
        <v>15</v>
      </c>
      <c r="L46" s="54">
        <f>L43+L44+L45</f>
        <v>215380720</v>
      </c>
      <c r="M46" s="24">
        <f>L46</f>
        <v>215380720</v>
      </c>
      <c r="N46" s="27" t="s">
        <v>7</v>
      </c>
      <c r="O46" s="14"/>
    </row>
    <row r="47" spans="2:18" s="1" customFormat="1" x14ac:dyDescent="0.25">
      <c r="B47" s="14"/>
      <c r="C47" s="20"/>
      <c r="D47" s="117"/>
      <c r="E47" s="117"/>
      <c r="F47" s="118" t="s">
        <v>17</v>
      </c>
      <c r="G47" s="118"/>
      <c r="H47" s="118"/>
      <c r="I47" s="18"/>
      <c r="K47" s="23"/>
      <c r="L47" s="14"/>
      <c r="O47" s="14"/>
    </row>
    <row r="48" spans="2:18" s="1" customFormat="1" ht="21" x14ac:dyDescent="0.25">
      <c r="B48" s="14"/>
      <c r="C48" s="14"/>
      <c r="D48" s="114"/>
      <c r="E48" s="114"/>
      <c r="F48" s="119"/>
      <c r="G48" s="119"/>
      <c r="H48" s="119"/>
      <c r="I48" s="14"/>
      <c r="K48" s="55" t="s">
        <v>8</v>
      </c>
      <c r="L48" s="14"/>
      <c r="M48" s="28">
        <f>M42-M46</f>
        <v>334718639.4612</v>
      </c>
      <c r="N48" s="60" t="s">
        <v>19</v>
      </c>
      <c r="O48" s="14"/>
    </row>
    <row r="49" spans="3:13" s="1" customFormat="1" x14ac:dyDescent="0.25">
      <c r="C49" s="29"/>
      <c r="D49" s="120"/>
      <c r="E49" s="114"/>
      <c r="F49" s="112"/>
      <c r="G49" s="112"/>
      <c r="H49" s="112"/>
    </row>
    <row r="50" spans="3:13" s="1" customFormat="1" x14ac:dyDescent="0.25">
      <c r="D50" s="114"/>
      <c r="E50" s="114"/>
      <c r="F50" s="112"/>
      <c r="G50" s="112"/>
      <c r="H50" s="112"/>
      <c r="M50" s="30"/>
    </row>
    <row r="51" spans="3:13" s="1" customFormat="1" x14ac:dyDescent="0.25">
      <c r="D51" s="114"/>
      <c r="E51" s="114"/>
      <c r="F51" s="121"/>
      <c r="G51" s="121"/>
      <c r="H51" s="121"/>
      <c r="M51" s="30"/>
    </row>
    <row r="52" spans="3:13" s="31" customFormat="1" x14ac:dyDescent="0.25">
      <c r="D52" s="122"/>
      <c r="E52" s="122"/>
      <c r="F52" s="123"/>
      <c r="G52" s="123"/>
      <c r="H52" s="123"/>
      <c r="M52" s="32"/>
    </row>
    <row r="53" spans="3:13" s="31" customFormat="1" x14ac:dyDescent="0.25">
      <c r="D53" s="122"/>
      <c r="E53" s="122"/>
      <c r="F53" s="124"/>
      <c r="G53" s="124"/>
      <c r="H53" s="124"/>
    </row>
    <row r="54" spans="3:13" s="31" customFormat="1" x14ac:dyDescent="0.25">
      <c r="D54" s="122"/>
      <c r="E54" s="122"/>
      <c r="F54" s="122"/>
      <c r="G54" s="122"/>
      <c r="H54" s="122"/>
    </row>
    <row r="55" spans="3:13" s="31" customFormat="1" x14ac:dyDescent="0.25">
      <c r="D55" s="122"/>
      <c r="E55" s="122"/>
      <c r="F55" s="124"/>
      <c r="G55" s="124"/>
      <c r="H55" s="124"/>
    </row>
    <row r="56" spans="3:13" s="31" customFormat="1" x14ac:dyDescent="0.25">
      <c r="D56" s="122"/>
      <c r="E56" s="122"/>
      <c r="F56" s="122"/>
      <c r="G56" s="122"/>
      <c r="H56" s="122"/>
    </row>
  </sheetData>
  <mergeCells count="8">
    <mergeCell ref="L3:L4"/>
    <mergeCell ref="M3:M4"/>
    <mergeCell ref="B1:C1"/>
    <mergeCell ref="B2:B4"/>
    <mergeCell ref="C2:C4"/>
    <mergeCell ref="D2:M2"/>
    <mergeCell ref="G3:H3"/>
    <mergeCell ref="I3:K3"/>
  </mergeCells>
  <conditionalFormatting sqref="F7:F36">
    <cfRule type="cellIs" dxfId="4" priority="11" operator="greaterThan">
      <formula>$F$49</formula>
    </cfRule>
  </conditionalFormatting>
  <conditionalFormatting sqref="F6:F37">
    <cfRule type="cellIs" dxfId="3" priority="10" operator="greaterThan">
      <formula>$F$49</formula>
    </cfRule>
  </conditionalFormatting>
  <conditionalFormatting sqref="D6:D37">
    <cfRule type="cellIs" dxfId="2" priority="3" operator="greaterThan">
      <formula>$D$48</formula>
    </cfRule>
  </conditionalFormatting>
  <conditionalFormatting sqref="E6:E37">
    <cfRule type="cellIs" dxfId="1" priority="2" operator="greaterThan">
      <formula>$E$48</formula>
    </cfRule>
  </conditionalFormatting>
  <conditionalFormatting sqref="G6:G37">
    <cfRule type="cellIs" dxfId="0" priority="1" operator="greaterThan">
      <formula>$G$48</formula>
    </cfRule>
  </conditionalFormatting>
  <pageMargins left="0.23622047244094491" right="0.23622047244094491" top="0.74803149606299213" bottom="0.74803149606299213" header="0.31496062992125984" footer="0.31496062992125984"/>
  <pageSetup paperSize="8" scale="42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topLeftCell="A13" zoomScale="90" zoomScaleNormal="90" workbookViewId="0">
      <selection activeCell="E9" sqref="E9"/>
    </sheetView>
  </sheetViews>
  <sheetFormatPr defaultRowHeight="15" x14ac:dyDescent="0.25"/>
  <cols>
    <col min="1" max="2" width="9.140625" style="34"/>
    <col min="3" max="3" width="29" style="34" customWidth="1"/>
    <col min="4" max="7" width="33.140625" style="43" customWidth="1"/>
    <col min="8" max="8" width="9.140625" style="34"/>
    <col min="9" max="9" width="13.42578125" style="34" bestFit="1" customWidth="1"/>
    <col min="10" max="10" width="11.5703125" style="34" bestFit="1" customWidth="1"/>
    <col min="11" max="44" width="9.140625" style="34"/>
  </cols>
  <sheetData>
    <row r="1" spans="1:44" ht="15" customHeight="1" x14ac:dyDescent="0.25">
      <c r="B1" s="69" t="s">
        <v>9</v>
      </c>
      <c r="C1" s="69"/>
      <c r="D1" s="69"/>
      <c r="E1" s="69"/>
      <c r="F1" s="69"/>
      <c r="G1" s="69"/>
    </row>
    <row r="2" spans="1:44" ht="15" customHeight="1" x14ac:dyDescent="0.25">
      <c r="B2" s="69"/>
      <c r="C2" s="69"/>
      <c r="D2" s="69"/>
      <c r="E2" s="69"/>
      <c r="F2" s="69"/>
      <c r="G2" s="69"/>
    </row>
    <row r="3" spans="1:44" s="151" customFormat="1" ht="27" customHeight="1" x14ac:dyDescent="0.3">
      <c r="A3" s="150"/>
      <c r="B3" s="127" t="s">
        <v>0</v>
      </c>
      <c r="C3" s="148" t="s">
        <v>42</v>
      </c>
      <c r="D3" s="149" t="s">
        <v>44</v>
      </c>
      <c r="E3" s="149"/>
      <c r="F3" s="149"/>
      <c r="G3" s="149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</row>
    <row r="4" spans="1:44" s="151" customFormat="1" ht="27" customHeight="1" x14ac:dyDescent="0.3">
      <c r="A4" s="150"/>
      <c r="B4" s="127"/>
      <c r="C4" s="148" t="s">
        <v>43</v>
      </c>
      <c r="D4" s="148" t="s">
        <v>41</v>
      </c>
      <c r="E4" s="152" t="s">
        <v>13</v>
      </c>
      <c r="F4" s="148" t="s">
        <v>53</v>
      </c>
      <c r="G4" s="148" t="s">
        <v>10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</row>
    <row r="5" spans="1:44" ht="15.75" x14ac:dyDescent="0.25">
      <c r="B5" s="35">
        <v>43831</v>
      </c>
      <c r="C5" s="128">
        <f>ROUNDUP(D5+E5+G5,0)</f>
        <v>205</v>
      </c>
      <c r="D5" s="36">
        <v>62</v>
      </c>
      <c r="E5" s="37">
        <v>87.700000000004366</v>
      </c>
      <c r="F5" s="37">
        <f>+G5*0.2</f>
        <v>11</v>
      </c>
      <c r="G5" s="37">
        <v>55</v>
      </c>
      <c r="H5" s="38"/>
    </row>
    <row r="6" spans="1:44" ht="15.75" x14ac:dyDescent="0.25">
      <c r="B6" s="35">
        <v>43832</v>
      </c>
      <c r="C6" s="128">
        <f t="shared" ref="C6:C35" si="0">ROUNDUP(D6+E6+G6,0)</f>
        <v>225</v>
      </c>
      <c r="D6" s="36">
        <v>64.099999999998545</v>
      </c>
      <c r="E6" s="37">
        <v>105.5</v>
      </c>
      <c r="F6" s="37">
        <f t="shared" ref="F6:F35" si="1">+G6*0.2</f>
        <v>10.940000000000873</v>
      </c>
      <c r="G6" s="37">
        <v>54.700000000004366</v>
      </c>
      <c r="H6" s="38"/>
    </row>
    <row r="7" spans="1:44" ht="15.75" x14ac:dyDescent="0.25">
      <c r="B7" s="35">
        <v>43833</v>
      </c>
      <c r="C7" s="128">
        <f t="shared" si="0"/>
        <v>253</v>
      </c>
      <c r="D7" s="36">
        <v>67.099999999998545</v>
      </c>
      <c r="E7" s="37">
        <v>126</v>
      </c>
      <c r="F7" s="37">
        <f t="shared" si="1"/>
        <v>11.939999999999419</v>
      </c>
      <c r="G7" s="37">
        <v>59.69999999999709</v>
      </c>
      <c r="H7" s="38"/>
    </row>
    <row r="8" spans="1:44" ht="15.75" x14ac:dyDescent="0.25">
      <c r="B8" s="35">
        <v>43834</v>
      </c>
      <c r="C8" s="128">
        <f t="shared" si="0"/>
        <v>221</v>
      </c>
      <c r="D8" s="36">
        <v>64.80000000000291</v>
      </c>
      <c r="E8" s="37">
        <v>94</v>
      </c>
      <c r="F8" s="37">
        <f t="shared" si="1"/>
        <v>12.360000000000582</v>
      </c>
      <c r="G8" s="37">
        <v>61.80000000000291</v>
      </c>
      <c r="H8" s="38"/>
    </row>
    <row r="9" spans="1:44" ht="15.75" x14ac:dyDescent="0.25">
      <c r="B9" s="35">
        <v>43835</v>
      </c>
      <c r="C9" s="128">
        <f t="shared" si="0"/>
        <v>137</v>
      </c>
      <c r="D9" s="36">
        <v>-30.099999999998545</v>
      </c>
      <c r="E9" s="37">
        <v>97.899999999997817</v>
      </c>
      <c r="F9" s="37">
        <f t="shared" si="1"/>
        <v>13.819999999999709</v>
      </c>
      <c r="G9" s="37">
        <v>69.099999999998545</v>
      </c>
      <c r="H9" s="38"/>
    </row>
    <row r="10" spans="1:44" ht="15.75" x14ac:dyDescent="0.25">
      <c r="B10" s="35">
        <v>43836</v>
      </c>
      <c r="C10" s="128">
        <f t="shared" si="0"/>
        <v>205</v>
      </c>
      <c r="D10" s="36">
        <v>25.19999999999709</v>
      </c>
      <c r="E10" s="37">
        <v>87.900000000001455</v>
      </c>
      <c r="F10" s="37">
        <f t="shared" si="1"/>
        <v>18.280000000000292</v>
      </c>
      <c r="G10" s="37">
        <v>91.400000000001455</v>
      </c>
      <c r="H10" s="38"/>
    </row>
    <row r="11" spans="1:44" ht="15.75" x14ac:dyDescent="0.25">
      <c r="B11" s="35">
        <v>43837</v>
      </c>
      <c r="C11" s="128">
        <f t="shared" si="0"/>
        <v>157</v>
      </c>
      <c r="D11" s="36">
        <v>42.5</v>
      </c>
      <c r="E11" s="37">
        <v>43.600000000002183</v>
      </c>
      <c r="F11" s="37">
        <f t="shared" si="1"/>
        <v>14.179999999999565</v>
      </c>
      <c r="G11" s="37">
        <v>70.899999999997817</v>
      </c>
      <c r="H11" s="38"/>
    </row>
    <row r="12" spans="1:44" ht="15.75" x14ac:dyDescent="0.25">
      <c r="B12" s="35">
        <v>43838</v>
      </c>
      <c r="C12" s="128">
        <f t="shared" si="0"/>
        <v>224</v>
      </c>
      <c r="D12" s="36">
        <v>15.599999999998545</v>
      </c>
      <c r="E12" s="37">
        <v>142.79999999999563</v>
      </c>
      <c r="F12" s="37">
        <f t="shared" si="1"/>
        <v>12.940000000000873</v>
      </c>
      <c r="G12" s="37">
        <v>64.700000000004366</v>
      </c>
      <c r="H12" s="38"/>
    </row>
    <row r="13" spans="1:44" ht="15.75" x14ac:dyDescent="0.25">
      <c r="B13" s="35">
        <v>43839</v>
      </c>
      <c r="C13" s="128">
        <f t="shared" si="0"/>
        <v>235</v>
      </c>
      <c r="D13" s="36">
        <v>53.100000000005821</v>
      </c>
      <c r="E13" s="37">
        <v>133.60000000000582</v>
      </c>
      <c r="F13" s="37">
        <f t="shared" si="1"/>
        <v>9.4599999999998552</v>
      </c>
      <c r="G13" s="37">
        <v>47.299999999999272</v>
      </c>
      <c r="H13" s="38"/>
    </row>
    <row r="14" spans="1:44" ht="15.75" x14ac:dyDescent="0.25">
      <c r="B14" s="35">
        <v>43840</v>
      </c>
      <c r="C14" s="128">
        <f t="shared" si="0"/>
        <v>234</v>
      </c>
      <c r="D14" s="36">
        <v>55.5</v>
      </c>
      <c r="E14" s="37">
        <v>103.39999999999418</v>
      </c>
      <c r="F14" s="37">
        <f t="shared" si="1"/>
        <v>14.839999999999419</v>
      </c>
      <c r="G14" s="37">
        <v>74.19999999999709</v>
      </c>
      <c r="H14" s="38"/>
    </row>
    <row r="15" spans="1:44" ht="15.75" x14ac:dyDescent="0.25">
      <c r="B15" s="35">
        <v>43841</v>
      </c>
      <c r="C15" s="128">
        <f t="shared" si="0"/>
        <v>237</v>
      </c>
      <c r="D15" s="36">
        <v>26.799999999995634</v>
      </c>
      <c r="E15" s="37">
        <v>121.80000000000291</v>
      </c>
      <c r="F15" s="37">
        <f t="shared" si="1"/>
        <v>17.640000000000146</v>
      </c>
      <c r="G15" s="37">
        <v>88.200000000000728</v>
      </c>
      <c r="H15" s="38"/>
    </row>
    <row r="16" spans="1:44" ht="15.75" x14ac:dyDescent="0.25">
      <c r="B16" s="35">
        <v>43842</v>
      </c>
      <c r="C16" s="128">
        <f t="shared" si="0"/>
        <v>218</v>
      </c>
      <c r="D16" s="36">
        <v>8.4000000000014552</v>
      </c>
      <c r="E16" s="37">
        <v>120.90000000000146</v>
      </c>
      <c r="F16" s="37">
        <f t="shared" si="1"/>
        <v>17.540000000000145</v>
      </c>
      <c r="G16" s="37">
        <v>87.700000000000728</v>
      </c>
      <c r="H16" s="38"/>
    </row>
    <row r="17" spans="2:8" ht="15.75" x14ac:dyDescent="0.25">
      <c r="B17" s="35">
        <v>43843</v>
      </c>
      <c r="C17" s="128">
        <f t="shared" si="0"/>
        <v>168</v>
      </c>
      <c r="D17" s="36">
        <v>22</v>
      </c>
      <c r="E17" s="37">
        <v>88.099999999998545</v>
      </c>
      <c r="F17" s="37">
        <f t="shared" si="1"/>
        <v>11.45999999999931</v>
      </c>
      <c r="G17" s="37">
        <v>57.299999999996544</v>
      </c>
      <c r="H17" s="38"/>
    </row>
    <row r="18" spans="2:8" ht="15.75" x14ac:dyDescent="0.25">
      <c r="B18" s="35">
        <v>43844</v>
      </c>
      <c r="C18" s="128">
        <f t="shared" si="0"/>
        <v>173</v>
      </c>
      <c r="D18" s="36">
        <v>11</v>
      </c>
      <c r="E18" s="37">
        <v>105.20000000000437</v>
      </c>
      <c r="F18" s="37">
        <f t="shared" si="1"/>
        <v>11.320000000000846</v>
      </c>
      <c r="G18" s="37">
        <v>56.600000000004229</v>
      </c>
      <c r="H18" s="38"/>
    </row>
    <row r="19" spans="2:8" ht="15.75" x14ac:dyDescent="0.25">
      <c r="B19" s="35">
        <v>43845</v>
      </c>
      <c r="C19" s="128">
        <f t="shared" si="0"/>
        <v>222</v>
      </c>
      <c r="D19" s="36">
        <v>21.5</v>
      </c>
      <c r="E19" s="37">
        <v>103.29999999999927</v>
      </c>
      <c r="F19" s="37">
        <f t="shared" si="1"/>
        <v>19.360000000000174</v>
      </c>
      <c r="G19" s="37">
        <v>96.800000000000864</v>
      </c>
      <c r="H19" s="38"/>
    </row>
    <row r="20" spans="2:8" ht="15.75" x14ac:dyDescent="0.25">
      <c r="B20" s="35">
        <v>43846</v>
      </c>
      <c r="C20" s="128">
        <f t="shared" si="0"/>
        <v>246</v>
      </c>
      <c r="D20" s="36">
        <v>21.69999999999709</v>
      </c>
      <c r="E20" s="37">
        <v>130.69999999999709</v>
      </c>
      <c r="F20" s="37">
        <f t="shared" si="1"/>
        <v>18.639999999999102</v>
      </c>
      <c r="G20" s="37">
        <v>93.199999999995498</v>
      </c>
      <c r="H20" s="38"/>
    </row>
    <row r="21" spans="2:8" ht="15.75" x14ac:dyDescent="0.25">
      <c r="B21" s="35">
        <v>43847</v>
      </c>
      <c r="C21" s="128">
        <f t="shared" si="0"/>
        <v>215</v>
      </c>
      <c r="D21" s="36">
        <v>19.400000000001455</v>
      </c>
      <c r="E21" s="37">
        <v>117.50000000000364</v>
      </c>
      <c r="F21" s="37">
        <f t="shared" si="1"/>
        <v>15.500000000000137</v>
      </c>
      <c r="G21" s="37">
        <v>77.500000000000682</v>
      </c>
      <c r="H21" s="38"/>
    </row>
    <row r="22" spans="2:8" ht="15.75" x14ac:dyDescent="0.25">
      <c r="B22" s="35">
        <v>43848</v>
      </c>
      <c r="C22" s="128">
        <f t="shared" si="0"/>
        <v>196</v>
      </c>
      <c r="D22" s="36">
        <v>21.900000000001455</v>
      </c>
      <c r="E22" s="37">
        <v>138.09999999999491</v>
      </c>
      <c r="F22" s="37">
        <f t="shared" si="1"/>
        <v>7.0199999999998912</v>
      </c>
      <c r="G22" s="37">
        <v>35.099999999999454</v>
      </c>
      <c r="H22" s="38"/>
    </row>
    <row r="23" spans="2:8" ht="15.75" x14ac:dyDescent="0.25">
      <c r="B23" s="35">
        <v>43849</v>
      </c>
      <c r="C23" s="128">
        <f t="shared" si="0"/>
        <v>212</v>
      </c>
      <c r="D23" s="36">
        <v>15.19999999999709</v>
      </c>
      <c r="E23" s="37">
        <v>120.49999999999636</v>
      </c>
      <c r="F23" s="37">
        <f t="shared" si="1"/>
        <v>15.120000000000573</v>
      </c>
      <c r="G23" s="37">
        <v>75.600000000002865</v>
      </c>
      <c r="H23" s="38"/>
    </row>
    <row r="24" spans="2:8" ht="15.75" x14ac:dyDescent="0.25">
      <c r="B24" s="35">
        <v>43850</v>
      </c>
      <c r="C24" s="128">
        <f t="shared" si="0"/>
        <v>253</v>
      </c>
      <c r="D24" s="36">
        <v>57.100000000005821</v>
      </c>
      <c r="E24" s="37">
        <v>105.50000000000364</v>
      </c>
      <c r="F24" s="37">
        <f t="shared" si="1"/>
        <v>18.000000000000593</v>
      </c>
      <c r="G24" s="37">
        <v>90.000000000002956</v>
      </c>
      <c r="H24" s="38"/>
    </row>
    <row r="25" spans="2:8" ht="15.75" x14ac:dyDescent="0.25">
      <c r="B25" s="35">
        <v>43851</v>
      </c>
      <c r="C25" s="128">
        <f t="shared" si="0"/>
        <v>0</v>
      </c>
      <c r="D25" s="56"/>
      <c r="E25" s="37"/>
      <c r="F25" s="37">
        <f t="shared" si="1"/>
        <v>0</v>
      </c>
      <c r="G25" s="37"/>
      <c r="H25" s="38"/>
    </row>
    <row r="26" spans="2:8" ht="15.75" x14ac:dyDescent="0.25">
      <c r="B26" s="35">
        <v>43852</v>
      </c>
      <c r="C26" s="128">
        <f t="shared" si="0"/>
        <v>0</v>
      </c>
      <c r="D26" s="36"/>
      <c r="E26" s="37"/>
      <c r="F26" s="37">
        <f t="shared" si="1"/>
        <v>0</v>
      </c>
      <c r="G26" s="37"/>
      <c r="H26" s="38"/>
    </row>
    <row r="27" spans="2:8" ht="15.75" x14ac:dyDescent="0.25">
      <c r="B27" s="35">
        <v>43853</v>
      </c>
      <c r="C27" s="128">
        <f t="shared" si="0"/>
        <v>0</v>
      </c>
      <c r="D27" s="36"/>
      <c r="E27" s="37"/>
      <c r="F27" s="37">
        <f t="shared" si="1"/>
        <v>0</v>
      </c>
      <c r="G27" s="37"/>
      <c r="H27" s="38"/>
    </row>
    <row r="28" spans="2:8" ht="15.75" x14ac:dyDescent="0.25">
      <c r="B28" s="35">
        <v>43854</v>
      </c>
      <c r="C28" s="128">
        <f t="shared" si="0"/>
        <v>0</v>
      </c>
      <c r="D28" s="36"/>
      <c r="E28" s="37"/>
      <c r="F28" s="37">
        <f t="shared" si="1"/>
        <v>0</v>
      </c>
      <c r="G28" s="37"/>
      <c r="H28" s="38"/>
    </row>
    <row r="29" spans="2:8" ht="15.75" x14ac:dyDescent="0.25">
      <c r="B29" s="35">
        <v>43855</v>
      </c>
      <c r="C29" s="128">
        <f t="shared" si="0"/>
        <v>0</v>
      </c>
      <c r="D29" s="36"/>
      <c r="E29" s="37"/>
      <c r="F29" s="37">
        <f t="shared" si="1"/>
        <v>0</v>
      </c>
      <c r="G29" s="37"/>
      <c r="H29" s="38"/>
    </row>
    <row r="30" spans="2:8" ht="15.75" x14ac:dyDescent="0.25">
      <c r="B30" s="35">
        <v>43856</v>
      </c>
      <c r="C30" s="128">
        <f t="shared" si="0"/>
        <v>0</v>
      </c>
      <c r="D30" s="36"/>
      <c r="E30" s="37"/>
      <c r="F30" s="37">
        <f t="shared" si="1"/>
        <v>0</v>
      </c>
      <c r="G30" s="37"/>
      <c r="H30" s="38"/>
    </row>
    <row r="31" spans="2:8" ht="15.75" x14ac:dyDescent="0.25">
      <c r="B31" s="35">
        <v>43857</v>
      </c>
      <c r="C31" s="128">
        <f t="shared" si="0"/>
        <v>0</v>
      </c>
      <c r="D31" s="37"/>
      <c r="E31" s="37"/>
      <c r="F31" s="37">
        <f t="shared" si="1"/>
        <v>0</v>
      </c>
      <c r="G31" s="37"/>
      <c r="H31" s="38"/>
    </row>
    <row r="32" spans="2:8" ht="15.75" x14ac:dyDescent="0.25">
      <c r="B32" s="35">
        <v>43858</v>
      </c>
      <c r="C32" s="128">
        <f t="shared" si="0"/>
        <v>0</v>
      </c>
      <c r="D32" s="37"/>
      <c r="E32" s="37"/>
      <c r="F32" s="37">
        <f t="shared" si="1"/>
        <v>0</v>
      </c>
      <c r="G32" s="37"/>
      <c r="H32" s="38"/>
    </row>
    <row r="33" spans="2:11" ht="15.75" x14ac:dyDescent="0.25">
      <c r="B33" s="35">
        <v>43859</v>
      </c>
      <c r="C33" s="128">
        <f t="shared" si="0"/>
        <v>0</v>
      </c>
      <c r="D33" s="37"/>
      <c r="E33" s="37"/>
      <c r="F33" s="37">
        <f t="shared" si="1"/>
        <v>0</v>
      </c>
      <c r="G33" s="37"/>
      <c r="H33" s="38"/>
    </row>
    <row r="34" spans="2:11" ht="15.75" x14ac:dyDescent="0.25">
      <c r="B34" s="35">
        <v>43860</v>
      </c>
      <c r="C34" s="128">
        <f t="shared" si="0"/>
        <v>0</v>
      </c>
      <c r="D34" s="36"/>
      <c r="E34" s="37"/>
      <c r="F34" s="37">
        <f t="shared" si="1"/>
        <v>0</v>
      </c>
      <c r="G34" s="37"/>
      <c r="H34" s="38"/>
    </row>
    <row r="35" spans="2:11" ht="15.75" x14ac:dyDescent="0.25">
      <c r="B35" s="35">
        <v>43861</v>
      </c>
      <c r="C35" s="128">
        <f t="shared" si="0"/>
        <v>0</v>
      </c>
      <c r="D35" s="37"/>
      <c r="E35" s="37"/>
      <c r="F35" s="37">
        <f t="shared" si="1"/>
        <v>0</v>
      </c>
      <c r="G35" s="37"/>
      <c r="H35" s="38"/>
    </row>
    <row r="36" spans="2:11" x14ac:dyDescent="0.25">
      <c r="B36" s="39"/>
      <c r="C36" s="39"/>
      <c r="D36" s="40"/>
      <c r="E36" s="40"/>
      <c r="F36" s="40"/>
      <c r="G36" s="40"/>
    </row>
    <row r="37" spans="2:11" ht="21" x14ac:dyDescent="0.35">
      <c r="B37" s="41"/>
      <c r="C37" s="129">
        <f>+D37+E37+F37</f>
        <v>3100.160000000008</v>
      </c>
      <c r="D37" s="42">
        <f>SUM(D5:D35)</f>
        <v>644.80000000000291</v>
      </c>
      <c r="E37" s="42">
        <f>SUM(E5:E35)</f>
        <v>2174.0000000000036</v>
      </c>
      <c r="F37" s="42">
        <f t="shared" ref="F37:G37" si="2">SUM(F5:F35)</f>
        <v>281.36000000000149</v>
      </c>
      <c r="G37" s="42">
        <f t="shared" si="2"/>
        <v>1406.8000000000075</v>
      </c>
      <c r="H37" s="38"/>
      <c r="K37" s="38"/>
    </row>
    <row r="38" spans="2:11" x14ac:dyDescent="0.25">
      <c r="I38" s="38"/>
      <c r="J38" s="44"/>
    </row>
    <row r="39" spans="2:11" x14ac:dyDescent="0.25">
      <c r="I39" s="38"/>
      <c r="J39" s="44"/>
    </row>
    <row r="40" spans="2:11" ht="15.75" thickBot="1" x14ac:dyDescent="0.3"/>
    <row r="41" spans="2:11" ht="21.75" thickBot="1" x14ac:dyDescent="0.4">
      <c r="B41" s="45" t="s">
        <v>45</v>
      </c>
      <c r="C41" s="45"/>
      <c r="D41" s="46"/>
      <c r="E41" s="47"/>
      <c r="F41" s="47"/>
      <c r="G41" s="130">
        <f>+C37+(G37*20%)-G37</f>
        <v>1974.7200000000021</v>
      </c>
      <c r="I41" s="48"/>
      <c r="J41" s="38"/>
    </row>
    <row r="42" spans="2:11" x14ac:dyDescent="0.25">
      <c r="G42" s="131"/>
    </row>
    <row r="43" spans="2:11" x14ac:dyDescent="0.25">
      <c r="G43" s="131"/>
    </row>
    <row r="44" spans="2:11" ht="15.75" x14ac:dyDescent="0.25">
      <c r="B44" s="49" t="s">
        <v>11</v>
      </c>
      <c r="C44" s="49"/>
      <c r="E44" s="43" t="s">
        <v>46</v>
      </c>
      <c r="G44" s="132">
        <v>12500</v>
      </c>
      <c r="I44" s="50"/>
    </row>
    <row r="45" spans="2:11" ht="15.75" x14ac:dyDescent="0.25">
      <c r="B45" s="49"/>
      <c r="C45" s="49"/>
      <c r="G45" s="131"/>
      <c r="I45" s="50"/>
    </row>
    <row r="46" spans="2:11" ht="16.5" thickBot="1" x14ac:dyDescent="0.3">
      <c r="B46" s="49"/>
      <c r="C46" s="49"/>
      <c r="G46" s="131"/>
      <c r="I46" s="50"/>
    </row>
    <row r="47" spans="2:11" ht="27" thickBot="1" x14ac:dyDescent="0.3">
      <c r="B47" s="49" t="s">
        <v>12</v>
      </c>
      <c r="C47" s="49"/>
      <c r="G47" s="133">
        <f>+G41*G44</f>
        <v>24684000.000000026</v>
      </c>
      <c r="I47" s="51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workbookViewId="0">
      <selection activeCell="D12" sqref="D12"/>
    </sheetView>
  </sheetViews>
  <sheetFormatPr defaultRowHeight="15" x14ac:dyDescent="0.25"/>
  <cols>
    <col min="1" max="2" width="9.140625" style="34"/>
    <col min="3" max="4" width="34.140625" style="43" customWidth="1"/>
    <col min="5" max="8" width="27.7109375" style="43" customWidth="1"/>
    <col min="9" max="9" width="9.140625" style="34"/>
    <col min="10" max="10" width="13.42578125" style="34" bestFit="1" customWidth="1"/>
    <col min="11" max="11" width="11.5703125" style="34" bestFit="1" customWidth="1"/>
    <col min="12" max="45" width="9.140625" style="34"/>
  </cols>
  <sheetData>
    <row r="1" spans="1:45" ht="15" customHeight="1" x14ac:dyDescent="0.25">
      <c r="B1" s="69" t="s">
        <v>9</v>
      </c>
      <c r="C1" s="69"/>
      <c r="D1" s="69"/>
      <c r="E1" s="69"/>
      <c r="F1" s="69"/>
      <c r="G1" s="69"/>
      <c r="H1" s="69"/>
    </row>
    <row r="2" spans="1:45" ht="15" customHeight="1" x14ac:dyDescent="0.25">
      <c r="B2" s="69"/>
      <c r="C2" s="69"/>
      <c r="D2" s="69"/>
      <c r="E2" s="69"/>
      <c r="F2" s="69"/>
      <c r="G2" s="69"/>
      <c r="H2" s="69"/>
    </row>
    <row r="3" spans="1:45" s="154" customFormat="1" ht="33" customHeight="1" x14ac:dyDescent="0.35">
      <c r="A3" s="153"/>
      <c r="B3" s="155" t="s">
        <v>0</v>
      </c>
      <c r="C3" s="156" t="s">
        <v>40</v>
      </c>
      <c r="D3" s="157"/>
      <c r="E3" s="158" t="s">
        <v>49</v>
      </c>
      <c r="F3" s="159"/>
      <c r="G3" s="159"/>
      <c r="H3" s="160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</row>
    <row r="4" spans="1:45" s="154" customFormat="1" ht="33" customHeight="1" x14ac:dyDescent="0.35">
      <c r="A4" s="153"/>
      <c r="B4" s="155"/>
      <c r="C4" s="161" t="s">
        <v>47</v>
      </c>
      <c r="D4" s="161" t="s">
        <v>50</v>
      </c>
      <c r="E4" s="162" t="s">
        <v>36</v>
      </c>
      <c r="F4" s="162" t="s">
        <v>39</v>
      </c>
      <c r="G4" s="162" t="s">
        <v>37</v>
      </c>
      <c r="H4" s="161" t="s">
        <v>38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</row>
    <row r="5" spans="1:45" ht="15.75" x14ac:dyDescent="0.25">
      <c r="B5" s="35">
        <v>43831</v>
      </c>
      <c r="C5" s="134">
        <v>2.92</v>
      </c>
      <c r="D5" s="134">
        <v>79.81</v>
      </c>
      <c r="E5" s="37"/>
      <c r="F5" s="37"/>
      <c r="G5" s="37"/>
      <c r="H5" s="37"/>
      <c r="I5" s="38"/>
    </row>
    <row r="6" spans="1:45" ht="15.75" x14ac:dyDescent="0.25">
      <c r="B6" s="35">
        <v>43832</v>
      </c>
      <c r="C6" s="134">
        <v>2.86</v>
      </c>
      <c r="D6" s="134">
        <v>77.64</v>
      </c>
      <c r="E6" s="37"/>
      <c r="F6" s="37"/>
      <c r="G6" s="37"/>
      <c r="H6" s="37"/>
      <c r="I6" s="38"/>
    </row>
    <row r="7" spans="1:45" ht="15.75" x14ac:dyDescent="0.25">
      <c r="B7" s="35">
        <v>43833</v>
      </c>
      <c r="C7" s="134">
        <v>3.65</v>
      </c>
      <c r="D7" s="134">
        <v>99.29</v>
      </c>
      <c r="E7" s="37"/>
      <c r="F7" s="37"/>
      <c r="G7" s="37"/>
      <c r="H7" s="37"/>
      <c r="I7" s="38"/>
    </row>
    <row r="8" spans="1:45" ht="15.75" x14ac:dyDescent="0.25">
      <c r="B8" s="35">
        <v>43834</v>
      </c>
      <c r="C8" s="134">
        <v>3.05</v>
      </c>
      <c r="D8" s="134">
        <v>83.75</v>
      </c>
      <c r="E8" s="37"/>
      <c r="F8" s="37"/>
      <c r="G8" s="37"/>
      <c r="H8" s="37"/>
      <c r="I8" s="38"/>
    </row>
    <row r="9" spans="1:45" ht="15.75" x14ac:dyDescent="0.25">
      <c r="B9" s="35">
        <v>43835</v>
      </c>
      <c r="C9" s="134">
        <v>4.58</v>
      </c>
      <c r="D9" s="134">
        <v>125.84</v>
      </c>
      <c r="E9" s="37"/>
      <c r="F9" s="37"/>
      <c r="G9" s="37"/>
      <c r="H9" s="37"/>
      <c r="I9" s="38"/>
    </row>
    <row r="10" spans="1:45" ht="15.75" x14ac:dyDescent="0.25">
      <c r="B10" s="35">
        <v>43836</v>
      </c>
      <c r="C10" s="134">
        <v>4.42</v>
      </c>
      <c r="D10" s="134">
        <v>121.79</v>
      </c>
      <c r="E10" s="37"/>
      <c r="F10" s="37"/>
      <c r="G10" s="37"/>
      <c r="H10" s="37"/>
      <c r="I10" s="38"/>
    </row>
    <row r="11" spans="1:45" ht="15.75" x14ac:dyDescent="0.25">
      <c r="B11" s="35">
        <v>43837</v>
      </c>
      <c r="C11" s="134">
        <v>4.88</v>
      </c>
      <c r="D11" s="134">
        <v>134.66</v>
      </c>
      <c r="E11" s="37"/>
      <c r="F11" s="37"/>
      <c r="G11" s="37"/>
      <c r="H11" s="37"/>
      <c r="I11" s="38"/>
    </row>
    <row r="12" spans="1:45" ht="15.75" x14ac:dyDescent="0.25">
      <c r="B12" s="35">
        <v>43838</v>
      </c>
      <c r="C12" s="134">
        <v>3.39</v>
      </c>
      <c r="D12" s="134">
        <v>93.73</v>
      </c>
      <c r="E12" s="37"/>
      <c r="F12" s="37"/>
      <c r="G12" s="37"/>
      <c r="H12" s="37"/>
      <c r="I12" s="38"/>
    </row>
    <row r="13" spans="1:45" ht="15.75" x14ac:dyDescent="0.25">
      <c r="B13" s="35">
        <v>43839</v>
      </c>
      <c r="C13" s="134">
        <v>3.32</v>
      </c>
      <c r="D13" s="134">
        <v>91.51</v>
      </c>
      <c r="E13" s="37"/>
      <c r="F13" s="37"/>
      <c r="G13" s="37"/>
      <c r="H13" s="37"/>
      <c r="I13" s="38"/>
    </row>
    <row r="14" spans="1:45" ht="15.75" x14ac:dyDescent="0.25">
      <c r="B14" s="35">
        <v>43840</v>
      </c>
      <c r="C14" s="134">
        <v>2.67</v>
      </c>
      <c r="D14" s="134">
        <v>73.7</v>
      </c>
      <c r="E14" s="37"/>
      <c r="F14" s="37"/>
      <c r="G14" s="37"/>
      <c r="H14" s="37"/>
      <c r="I14" s="38"/>
    </row>
    <row r="15" spans="1:45" ht="15.75" x14ac:dyDescent="0.25">
      <c r="B15" s="35">
        <v>43841</v>
      </c>
      <c r="C15" s="134">
        <v>3.26</v>
      </c>
      <c r="D15" s="134">
        <v>89.92</v>
      </c>
      <c r="E15" s="37"/>
      <c r="F15" s="37"/>
      <c r="G15" s="37"/>
      <c r="H15" s="37"/>
      <c r="I15" s="38"/>
    </row>
    <row r="16" spans="1:45" ht="15.75" x14ac:dyDescent="0.25">
      <c r="B16" s="35">
        <v>43842</v>
      </c>
      <c r="C16" s="134">
        <v>4.88</v>
      </c>
      <c r="D16" s="134">
        <v>134.72999999999999</v>
      </c>
      <c r="E16" s="37"/>
      <c r="F16" s="37"/>
      <c r="G16" s="37"/>
      <c r="H16" s="37"/>
      <c r="I16" s="38"/>
    </row>
    <row r="17" spans="2:9" ht="15.75" x14ac:dyDescent="0.25">
      <c r="B17" s="35">
        <v>43843</v>
      </c>
      <c r="C17" s="134">
        <v>5.31</v>
      </c>
      <c r="D17" s="134">
        <v>146.47999999999999</v>
      </c>
      <c r="E17" s="37"/>
      <c r="F17" s="37"/>
      <c r="G17" s="37"/>
      <c r="H17" s="37"/>
      <c r="I17" s="38"/>
    </row>
    <row r="18" spans="2:9" ht="15.75" x14ac:dyDescent="0.25">
      <c r="B18" s="35">
        <v>43844</v>
      </c>
      <c r="C18" s="134">
        <v>3.75</v>
      </c>
      <c r="D18" s="134">
        <v>103.44</v>
      </c>
      <c r="E18" s="37"/>
      <c r="F18" s="37"/>
      <c r="G18" s="37"/>
      <c r="H18" s="37"/>
      <c r="I18" s="38"/>
    </row>
    <row r="19" spans="2:9" ht="15.75" x14ac:dyDescent="0.25">
      <c r="B19" s="35">
        <v>43845</v>
      </c>
      <c r="C19" s="134">
        <v>5.48</v>
      </c>
      <c r="D19" s="134">
        <v>150.55000000000001</v>
      </c>
      <c r="E19" s="37"/>
      <c r="F19" s="37"/>
      <c r="G19" s="37"/>
      <c r="H19" s="37"/>
      <c r="I19" s="38"/>
    </row>
    <row r="20" spans="2:9" ht="15.75" x14ac:dyDescent="0.25">
      <c r="B20" s="35">
        <v>43846</v>
      </c>
      <c r="C20" s="134">
        <v>4.96</v>
      </c>
      <c r="D20" s="134">
        <v>136.28</v>
      </c>
      <c r="E20" s="37"/>
      <c r="F20" s="37"/>
      <c r="G20" s="37"/>
      <c r="H20" s="37"/>
      <c r="I20" s="38"/>
    </row>
    <row r="21" spans="2:9" ht="15.75" x14ac:dyDescent="0.25">
      <c r="B21" s="35">
        <v>43847</v>
      </c>
      <c r="C21" s="134">
        <v>4.1100000000000003</v>
      </c>
      <c r="D21" s="134">
        <v>112.75</v>
      </c>
      <c r="E21" s="37"/>
      <c r="F21" s="37"/>
      <c r="G21" s="37"/>
      <c r="H21" s="37"/>
      <c r="I21" s="38"/>
    </row>
    <row r="22" spans="2:9" ht="15.75" x14ac:dyDescent="0.25">
      <c r="B22" s="35">
        <v>43848</v>
      </c>
      <c r="C22" s="134">
        <v>3.45</v>
      </c>
      <c r="D22" s="134">
        <v>94.89</v>
      </c>
      <c r="E22" s="37"/>
      <c r="F22" s="37"/>
      <c r="G22" s="37"/>
      <c r="H22" s="37"/>
      <c r="I22" s="38"/>
    </row>
    <row r="23" spans="2:9" ht="15.75" x14ac:dyDescent="0.25">
      <c r="B23" s="35">
        <v>43849</v>
      </c>
      <c r="C23" s="134">
        <v>4.4000000000000004</v>
      </c>
      <c r="D23" s="134">
        <v>120.79</v>
      </c>
      <c r="E23" s="37"/>
      <c r="F23" s="37"/>
      <c r="G23" s="37"/>
      <c r="H23" s="37"/>
      <c r="I23" s="38"/>
    </row>
    <row r="24" spans="2:9" ht="15.75" x14ac:dyDescent="0.25">
      <c r="B24" s="35">
        <v>43850</v>
      </c>
      <c r="C24" s="134" t="s">
        <v>48</v>
      </c>
      <c r="D24" s="134">
        <v>136.51</v>
      </c>
      <c r="E24" s="37"/>
      <c r="F24" s="37"/>
      <c r="G24" s="37"/>
      <c r="H24" s="37"/>
      <c r="I24" s="38"/>
    </row>
    <row r="25" spans="2:9" ht="15.75" x14ac:dyDescent="0.25">
      <c r="B25" s="35">
        <v>43851</v>
      </c>
      <c r="C25" s="135"/>
      <c r="D25" s="136"/>
      <c r="E25" s="37"/>
      <c r="F25" s="37"/>
      <c r="G25" s="37"/>
      <c r="H25" s="37"/>
      <c r="I25" s="38"/>
    </row>
    <row r="26" spans="2:9" ht="15.75" x14ac:dyDescent="0.25">
      <c r="B26" s="35">
        <v>43852</v>
      </c>
      <c r="C26" s="134"/>
      <c r="D26" s="134"/>
      <c r="E26" s="37"/>
      <c r="F26" s="37"/>
      <c r="G26" s="37"/>
      <c r="H26" s="37"/>
      <c r="I26" s="38"/>
    </row>
    <row r="27" spans="2:9" ht="15.75" x14ac:dyDescent="0.25">
      <c r="B27" s="35">
        <v>43853</v>
      </c>
      <c r="C27" s="134"/>
      <c r="D27" s="134"/>
      <c r="E27" s="37"/>
      <c r="F27" s="37"/>
      <c r="G27" s="37"/>
      <c r="H27" s="37"/>
      <c r="I27" s="38"/>
    </row>
    <row r="28" spans="2:9" ht="15.75" x14ac:dyDescent="0.25">
      <c r="B28" s="35">
        <v>43854</v>
      </c>
      <c r="C28" s="134"/>
      <c r="D28" s="134"/>
      <c r="E28" s="37"/>
      <c r="F28" s="37"/>
      <c r="G28" s="37"/>
      <c r="H28" s="37"/>
      <c r="I28" s="38"/>
    </row>
    <row r="29" spans="2:9" ht="15.75" x14ac:dyDescent="0.25">
      <c r="B29" s="35">
        <v>43855</v>
      </c>
      <c r="C29" s="134"/>
      <c r="D29" s="134"/>
      <c r="E29" s="37"/>
      <c r="F29" s="37"/>
      <c r="G29" s="37"/>
      <c r="H29" s="37"/>
      <c r="I29" s="38"/>
    </row>
    <row r="30" spans="2:9" ht="15.75" x14ac:dyDescent="0.25">
      <c r="B30" s="35">
        <v>43856</v>
      </c>
      <c r="C30" s="134"/>
      <c r="D30" s="134"/>
      <c r="E30" s="37"/>
      <c r="F30" s="37"/>
      <c r="G30" s="37"/>
      <c r="H30" s="37"/>
      <c r="I30" s="38"/>
    </row>
    <row r="31" spans="2:9" ht="15.75" x14ac:dyDescent="0.25">
      <c r="B31" s="35">
        <v>43857</v>
      </c>
      <c r="C31" s="137"/>
      <c r="D31" s="137"/>
      <c r="E31" s="37"/>
      <c r="F31" s="37"/>
      <c r="G31" s="37"/>
      <c r="H31" s="37"/>
      <c r="I31" s="38"/>
    </row>
    <row r="32" spans="2:9" ht="15.75" x14ac:dyDescent="0.25">
      <c r="B32" s="35">
        <v>43858</v>
      </c>
      <c r="C32" s="137"/>
      <c r="D32" s="137"/>
      <c r="E32" s="37"/>
      <c r="F32" s="37"/>
      <c r="G32" s="37"/>
      <c r="H32" s="37"/>
      <c r="I32" s="38"/>
    </row>
    <row r="33" spans="2:12" ht="15.75" x14ac:dyDescent="0.25">
      <c r="B33" s="35">
        <v>43859</v>
      </c>
      <c r="C33" s="137"/>
      <c r="D33" s="137"/>
      <c r="E33" s="37"/>
      <c r="F33" s="37"/>
      <c r="G33" s="37"/>
      <c r="H33" s="37"/>
      <c r="I33" s="38"/>
    </row>
    <row r="34" spans="2:12" ht="15.75" x14ac:dyDescent="0.25">
      <c r="B34" s="35">
        <v>43860</v>
      </c>
      <c r="C34" s="134"/>
      <c r="D34" s="134"/>
      <c r="E34" s="37"/>
      <c r="F34" s="37"/>
      <c r="G34" s="37"/>
      <c r="H34" s="37"/>
      <c r="I34" s="38"/>
    </row>
    <row r="35" spans="2:12" ht="15.75" x14ac:dyDescent="0.25">
      <c r="B35" s="35">
        <v>43861</v>
      </c>
      <c r="C35" s="137"/>
      <c r="D35" s="137"/>
      <c r="E35" s="37"/>
      <c r="F35" s="37"/>
      <c r="G35" s="37"/>
      <c r="H35" s="37"/>
      <c r="I35" s="38"/>
    </row>
    <row r="36" spans="2:12" x14ac:dyDescent="0.25">
      <c r="B36" s="39"/>
      <c r="C36" s="40"/>
      <c r="D36" s="40"/>
      <c r="E36" s="40"/>
      <c r="F36" s="40"/>
      <c r="G36" s="40"/>
      <c r="H36" s="40"/>
    </row>
    <row r="37" spans="2:12" ht="18.75" x14ac:dyDescent="0.3">
      <c r="B37" s="41"/>
      <c r="C37" s="138">
        <f>SUM(C5:C35)</f>
        <v>75.340000000000018</v>
      </c>
      <c r="D37" s="139">
        <f t="shared" ref="D37:H37" si="0">SUM(D5:D35)</f>
        <v>2208.0600000000004</v>
      </c>
      <c r="E37" s="139">
        <f t="shared" si="0"/>
        <v>0</v>
      </c>
      <c r="F37" s="139">
        <f t="shared" si="0"/>
        <v>0</v>
      </c>
      <c r="G37" s="139">
        <f t="shared" si="0"/>
        <v>0</v>
      </c>
      <c r="H37" s="139">
        <f t="shared" si="0"/>
        <v>0</v>
      </c>
      <c r="I37" s="38"/>
      <c r="L37" s="38"/>
    </row>
    <row r="38" spans="2:12" x14ac:dyDescent="0.25">
      <c r="H38" s="43">
        <f>H37*80%</f>
        <v>0</v>
      </c>
      <c r="J38" s="38"/>
      <c r="K38" s="44"/>
    </row>
    <row r="40" spans="2:12" ht="15.75" x14ac:dyDescent="0.25">
      <c r="B40" s="45"/>
      <c r="C40" s="46"/>
      <c r="D40" s="46"/>
      <c r="E40" s="47"/>
      <c r="F40" s="47"/>
      <c r="G40" s="47"/>
      <c r="H40" s="47"/>
      <c r="J40" s="48"/>
      <c r="K40" s="38"/>
    </row>
    <row r="43" spans="2:12" ht="21" x14ac:dyDescent="0.35">
      <c r="C43" s="141" t="s">
        <v>11</v>
      </c>
      <c r="D43" s="140" t="s">
        <v>51</v>
      </c>
      <c r="E43" s="142">
        <v>10.199999999999999</v>
      </c>
      <c r="J43" s="50"/>
    </row>
    <row r="44" spans="2:12" ht="21" x14ac:dyDescent="0.35">
      <c r="C44" s="143" t="s">
        <v>52</v>
      </c>
      <c r="D44" s="140" t="s">
        <v>47</v>
      </c>
      <c r="E44" s="142">
        <v>350</v>
      </c>
      <c r="J44" s="51"/>
    </row>
    <row r="45" spans="2:12" ht="21" x14ac:dyDescent="0.35">
      <c r="C45" s="143"/>
      <c r="D45" s="140"/>
      <c r="E45" s="142"/>
    </row>
    <row r="46" spans="2:12" ht="21" x14ac:dyDescent="0.35">
      <c r="C46" s="141" t="s">
        <v>12</v>
      </c>
      <c r="D46" s="140" t="s">
        <v>51</v>
      </c>
      <c r="E46" s="144">
        <f>IF(C37&gt;E44,(C37*E43),(E44*E43))</f>
        <v>3569.9999999999995</v>
      </c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Asep Supriatna</cp:lastModifiedBy>
  <cp:lastPrinted>2020-01-30T09:39:19Z</cp:lastPrinted>
  <dcterms:created xsi:type="dcterms:W3CDTF">2017-12-04T02:44:15Z</dcterms:created>
  <dcterms:modified xsi:type="dcterms:W3CDTF">2021-01-22T05:18:32Z</dcterms:modified>
</cp:coreProperties>
</file>