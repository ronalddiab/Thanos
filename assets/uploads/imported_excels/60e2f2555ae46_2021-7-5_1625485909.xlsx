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5" windowHeight="6855" activeTab="1"/>
  </bookViews>
  <sheets>
    <sheet name="TOTAL" sheetId="1" r:id="rId1"/>
    <sheet name="Submetering" sheetId="3" r:id="rId2"/>
    <sheet name="Geneva Daily" sheetId="2" r:id="rId3"/>
  </sheets>
  <calcPr calcId="162913"/>
</workbook>
</file>

<file path=xl/calcChain.xml><?xml version="1.0" encoding="utf-8"?>
<calcChain xmlns="http://schemas.openxmlformats.org/spreadsheetml/2006/main">
  <c r="L32" i="1" l="1"/>
  <c r="K32" i="1"/>
  <c r="I32" i="1"/>
  <c r="G32" i="1"/>
  <c r="E32" i="1"/>
  <c r="B32" i="1"/>
  <c r="B32" i="3"/>
  <c r="K23" i="1" l="1"/>
  <c r="K24" i="1"/>
  <c r="K25" i="1"/>
  <c r="K26" i="1"/>
  <c r="K27" i="1"/>
  <c r="K28" i="1"/>
  <c r="L31" i="1" l="1"/>
  <c r="K31" i="1"/>
  <c r="I31" i="1"/>
  <c r="G31" i="1"/>
  <c r="E31" i="1"/>
  <c r="L30" i="1"/>
  <c r="K30" i="1"/>
  <c r="I30" i="1"/>
  <c r="G30" i="1"/>
  <c r="E30" i="1"/>
  <c r="I12" i="1" l="1"/>
  <c r="G2" i="1" l="1"/>
  <c r="G3" i="1"/>
  <c r="G4" i="1"/>
  <c r="G5" i="1"/>
  <c r="G9" i="1"/>
  <c r="G10" i="1"/>
  <c r="I8" i="1"/>
  <c r="I9" i="1"/>
  <c r="G8" i="1"/>
  <c r="E8" i="1"/>
  <c r="I3" i="1" l="1"/>
  <c r="I4" i="1"/>
  <c r="I5" i="1"/>
  <c r="I6" i="1"/>
  <c r="I7" i="1"/>
  <c r="I10" i="1"/>
  <c r="I11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2" i="1"/>
  <c r="G20" i="1"/>
  <c r="G16" i="1"/>
  <c r="F4" i="2"/>
  <c r="F6" i="2"/>
  <c r="F7" i="2"/>
  <c r="F8" i="2"/>
  <c r="F9" i="2"/>
  <c r="F10" i="2"/>
  <c r="F11" i="2"/>
  <c r="E2" i="1"/>
  <c r="E3" i="1"/>
  <c r="E4" i="1"/>
  <c r="E5" i="1"/>
  <c r="E6" i="1"/>
  <c r="E7" i="1"/>
  <c r="M13" i="2"/>
  <c r="K13" i="2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9" i="1"/>
  <c r="K2" i="1"/>
  <c r="G6" i="1"/>
  <c r="G7" i="1"/>
  <c r="G11" i="1"/>
  <c r="G14" i="1"/>
  <c r="G15" i="1"/>
  <c r="G18" i="1"/>
  <c r="G19" i="1"/>
  <c r="G22" i="1"/>
  <c r="G23" i="1"/>
  <c r="G26" i="1"/>
  <c r="G27" i="1"/>
  <c r="G12" i="1"/>
  <c r="G13" i="1"/>
  <c r="G17" i="1"/>
  <c r="G21" i="1"/>
  <c r="G24" i="1"/>
  <c r="G25" i="1"/>
  <c r="G28" i="1"/>
  <c r="G29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" i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</calcChain>
</file>

<file path=xl/comments1.xml><?xml version="1.0" encoding="utf-8"?>
<comments xmlns="http://schemas.openxmlformats.org/spreadsheetml/2006/main">
  <authors>
    <author>Cedric Brocard</author>
  </authors>
  <commentList>
    <comment ref="F16" authorId="0" shapeId="0">
      <text>
        <r>
          <rPr>
            <b/>
            <sz val="9"/>
            <color indexed="81"/>
            <rFont val="Tahoma"/>
            <charset val="1"/>
          </rPr>
          <t>Cedric Brocard:</t>
        </r>
        <r>
          <rPr>
            <sz val="9"/>
            <color indexed="81"/>
            <rFont val="Tahoma"/>
            <charset val="1"/>
          </rPr>
          <t xml:space="preserve">
PAC arrètée
</t>
        </r>
      </text>
    </comment>
  </commentList>
</comments>
</file>

<file path=xl/sharedStrings.xml><?xml version="1.0" encoding="utf-8"?>
<sst xmlns="http://schemas.openxmlformats.org/spreadsheetml/2006/main" count="108" uniqueCount="33">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</sst>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6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4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9" fillId="0" borderId="0" applyNumberFormat="0" applyFill="0" applyBorder="0" applyAlignment="0" applyProtection="0"/>
    <xf numFmtId="0" fontId="10" fillId="0" borderId="14" applyNumberFormat="0" applyFill="0" applyAlignment="0" applyProtection="0"/>
    <xf numFmtId="0" fontId="11" fillId="0" borderId="15" applyNumberFormat="0" applyFill="0" applyAlignment="0" applyProtection="0"/>
    <xf numFmtId="0" fontId="12" fillId="0" borderId="16" applyNumberFormat="0" applyFill="0" applyAlignment="0" applyProtection="0"/>
    <xf numFmtId="0" fontId="12" fillId="0" borderId="0" applyNumberFormat="0" applyFill="0" applyBorder="0" applyAlignment="0" applyProtection="0"/>
    <xf numFmtId="0" fontId="13" fillId="13" borderId="0" applyNumberFormat="0" applyBorder="0" applyAlignment="0" applyProtection="0"/>
    <xf numFmtId="0" fontId="14" fillId="14" borderId="0" applyNumberFormat="0" applyBorder="0" applyAlignment="0" applyProtection="0"/>
    <xf numFmtId="0" fontId="15" fillId="15" borderId="0" applyNumberFormat="0" applyBorder="0" applyAlignment="0" applyProtection="0"/>
    <xf numFmtId="0" fontId="16" fillId="16" borderId="17" applyNumberFormat="0" applyAlignment="0" applyProtection="0"/>
    <xf numFmtId="0" fontId="17" fillId="17" borderId="18" applyNumberFormat="0" applyAlignment="0" applyProtection="0"/>
    <xf numFmtId="0" fontId="18" fillId="17" borderId="17" applyNumberFormat="0" applyAlignment="0" applyProtection="0"/>
    <xf numFmtId="0" fontId="19" fillId="0" borderId="19" applyNumberFormat="0" applyFill="0" applyAlignment="0" applyProtection="0"/>
    <xf numFmtId="0" fontId="20" fillId="18" borderId="20" applyNumberFormat="0" applyAlignment="0" applyProtection="0"/>
    <xf numFmtId="0" fontId="21" fillId="0" borderId="0" applyNumberFormat="0" applyFill="0" applyBorder="0" applyAlignment="0" applyProtection="0"/>
    <xf numFmtId="0" fontId="8" fillId="19" borderId="21" applyNumberFormat="0" applyFont="0" applyAlignment="0" applyProtection="0"/>
    <xf numFmtId="0" fontId="22" fillId="0" borderId="0" applyNumberFormat="0" applyFill="0" applyBorder="0" applyAlignment="0" applyProtection="0"/>
    <xf numFmtId="0" fontId="2" fillId="0" borderId="22" applyNumberFormat="0" applyFill="0" applyAlignment="0" applyProtection="0"/>
    <xf numFmtId="0" fontId="23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23" fillId="23" borderId="0" applyNumberFormat="0" applyBorder="0" applyAlignment="0" applyProtection="0"/>
    <xf numFmtId="0" fontId="23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23" fillId="27" borderId="0" applyNumberFormat="0" applyBorder="0" applyAlignment="0" applyProtection="0"/>
    <xf numFmtId="0" fontId="23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23" fillId="31" borderId="0" applyNumberFormat="0" applyBorder="0" applyAlignment="0" applyProtection="0"/>
    <xf numFmtId="0" fontId="23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4" borderId="0" applyNumberFormat="0" applyBorder="0" applyAlignment="0" applyProtection="0"/>
    <xf numFmtId="0" fontId="23" fillId="35" borderId="0" applyNumberFormat="0" applyBorder="0" applyAlignment="0" applyProtection="0"/>
    <xf numFmtId="0" fontId="23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38" borderId="0" applyNumberFormat="0" applyBorder="0" applyAlignment="0" applyProtection="0"/>
    <xf numFmtId="0" fontId="23" fillId="39" borderId="0" applyNumberFormat="0" applyBorder="0" applyAlignment="0" applyProtection="0"/>
    <xf numFmtId="0" fontId="23" fillId="40" borderId="0" applyNumberFormat="0" applyBorder="0" applyAlignment="0" applyProtection="0"/>
    <xf numFmtId="0" fontId="8" fillId="41" borderId="0" applyNumberFormat="0" applyBorder="0" applyAlignment="0" applyProtection="0"/>
    <xf numFmtId="0" fontId="8" fillId="42" borderId="0" applyNumberFormat="0" applyBorder="0" applyAlignment="0" applyProtection="0"/>
    <xf numFmtId="0" fontId="23" fillId="43" borderId="0" applyNumberFormat="0" applyBorder="0" applyAlignment="0" applyProtection="0"/>
  </cellStyleXfs>
  <cellXfs count="51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1" fontId="0" fillId="12" borderId="0" xfId="0" applyNumberFormat="1" applyFill="1" applyAlignment="1">
      <alignment horizontal="center"/>
    </xf>
    <xf numFmtId="0" fontId="0" fillId="0" borderId="0" xfId="0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0" fillId="12" borderId="0" xfId="0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workbookViewId="0">
      <selection activeCell="C2" sqref="C2:C32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v>6</v>
      </c>
      <c r="D2" s="9">
        <v>2021</v>
      </c>
      <c r="E2" s="20">
        <f>Submetering!E3</f>
        <v>8862.7099999999991</v>
      </c>
      <c r="F2" s="16">
        <v>0.12</v>
      </c>
      <c r="G2" s="20">
        <f>Submetering!F3+Submetering!G3</f>
        <v>279.32</v>
      </c>
      <c r="H2" s="16">
        <v>0.71</v>
      </c>
      <c r="I2" s="20">
        <f>Submetering!J3+Submetering!I3+Submetering!H3</f>
        <v>98.14</v>
      </c>
      <c r="J2" s="16">
        <v>2.3196172978505634</v>
      </c>
      <c r="K2" s="20">
        <f>Submetering!K2</f>
        <v>79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v>6</v>
      </c>
      <c r="D3" s="9">
        <v>2021</v>
      </c>
      <c r="E3" s="20">
        <f>Submetering!E4</f>
        <v>8741.44</v>
      </c>
      <c r="F3" s="16">
        <v>0.12</v>
      </c>
      <c r="G3" s="20">
        <f>Submetering!F4+Submetering!G4</f>
        <v>227.9</v>
      </c>
      <c r="H3" s="16">
        <v>0.71</v>
      </c>
      <c r="I3" s="20">
        <f>Submetering!J4+Submetering!I4+Submetering!H4</f>
        <v>87.37</v>
      </c>
      <c r="J3" s="16">
        <v>2.3196172978505634</v>
      </c>
      <c r="K3" s="20">
        <f>Submetering!K3</f>
        <v>78</v>
      </c>
      <c r="L3" s="20">
        <f>Submetering!L3</f>
        <v>0</v>
      </c>
    </row>
    <row r="4" spans="1:24" x14ac:dyDescent="0.25">
      <c r="A4" s="17" t="s">
        <v>32</v>
      </c>
      <c r="B4" s="9">
        <f t="shared" ref="B4:B32" si="0">B3+1</f>
        <v>3</v>
      </c>
      <c r="C4" s="6">
        <v>6</v>
      </c>
      <c r="D4" s="9">
        <v>2021</v>
      </c>
      <c r="E4" s="20">
        <f>Submetering!E5</f>
        <v>7968.08</v>
      </c>
      <c r="F4" s="16">
        <v>0.12</v>
      </c>
      <c r="G4" s="20">
        <f>Submetering!F5+Submetering!G5</f>
        <v>0</v>
      </c>
      <c r="H4" s="16">
        <v>0.71</v>
      </c>
      <c r="I4" s="20">
        <f>Submetering!J5+Submetering!I5+Submetering!H5</f>
        <v>0</v>
      </c>
      <c r="J4" s="16">
        <v>2.3196172978505634</v>
      </c>
      <c r="K4" s="20">
        <f>Submetering!K4</f>
        <v>75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v>6</v>
      </c>
      <c r="D5" s="9">
        <v>2021</v>
      </c>
      <c r="E5" s="20">
        <f>Submetering!E6</f>
        <v>0</v>
      </c>
      <c r="F5" s="16">
        <v>0.12</v>
      </c>
      <c r="G5" s="20">
        <f>Submetering!F6+Submetering!G6</f>
        <v>0</v>
      </c>
      <c r="H5" s="16">
        <v>0.71</v>
      </c>
      <c r="I5" s="20">
        <f>Submetering!J6+Submetering!I6+Submetering!H6</f>
        <v>0</v>
      </c>
      <c r="J5" s="16">
        <v>2.3196172978505634</v>
      </c>
      <c r="K5" s="20">
        <f>Submetering!K5</f>
        <v>78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v>6</v>
      </c>
      <c r="D6" s="9">
        <v>2021</v>
      </c>
      <c r="E6" s="20">
        <f>Submetering!E7</f>
        <v>0</v>
      </c>
      <c r="F6" s="16">
        <v>0.12</v>
      </c>
      <c r="G6" s="20">
        <f>Submetering!F7+Submetering!G7</f>
        <v>0</v>
      </c>
      <c r="H6" s="16">
        <v>0.71</v>
      </c>
      <c r="I6" s="20">
        <f>Submetering!J7+Submetering!I7+Submetering!H7</f>
        <v>0</v>
      </c>
      <c r="J6" s="16">
        <v>2.3196172978505634</v>
      </c>
      <c r="K6" s="20">
        <f>Submetering!K6</f>
        <v>0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v>6</v>
      </c>
      <c r="D7" s="9">
        <v>2021</v>
      </c>
      <c r="E7" s="20">
        <f>Submetering!E8</f>
        <v>0</v>
      </c>
      <c r="F7" s="16">
        <v>0.12</v>
      </c>
      <c r="G7" s="20">
        <f>Submetering!F8+Submetering!G8</f>
        <v>0</v>
      </c>
      <c r="H7" s="16">
        <v>0.71</v>
      </c>
      <c r="I7" s="20">
        <f>Submetering!J8+Submetering!I8+Submetering!H8</f>
        <v>0</v>
      </c>
      <c r="J7" s="16">
        <v>2.3196172978505634</v>
      </c>
      <c r="K7" s="20">
        <f>Submetering!K7</f>
        <v>0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v>6</v>
      </c>
      <c r="D8" s="9">
        <v>2021</v>
      </c>
      <c r="E8" s="20">
        <f>Submetering!E9</f>
        <v>0</v>
      </c>
      <c r="F8" s="16">
        <v>0.12</v>
      </c>
      <c r="G8" s="20">
        <f>Submetering!F9+Submetering!G9</f>
        <v>0</v>
      </c>
      <c r="H8" s="16">
        <v>0.71</v>
      </c>
      <c r="I8" s="20">
        <f>Submetering!J9+Submetering!I9+Submetering!H9</f>
        <v>0</v>
      </c>
      <c r="J8" s="16">
        <v>2.3196172978505634</v>
      </c>
      <c r="K8" s="20">
        <f>Submetering!K8</f>
        <v>0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v>6</v>
      </c>
      <c r="D9" s="9">
        <v>2021</v>
      </c>
      <c r="E9" s="20">
        <f>Submetering!E9</f>
        <v>0</v>
      </c>
      <c r="F9" s="16">
        <v>0.12</v>
      </c>
      <c r="G9" s="20">
        <f>Submetering!F10+Submetering!G10</f>
        <v>0</v>
      </c>
      <c r="H9" s="16">
        <v>0.71</v>
      </c>
      <c r="I9" s="20">
        <f>Submetering!J10+Submetering!I10+Submetering!H10</f>
        <v>0</v>
      </c>
      <c r="J9" s="16">
        <v>2.3196172978505634</v>
      </c>
      <c r="K9" s="20">
        <f>Submetering!K9</f>
        <v>0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v>6</v>
      </c>
      <c r="D10" s="9">
        <v>2021</v>
      </c>
      <c r="E10" s="20">
        <f>Submetering!E10</f>
        <v>0</v>
      </c>
      <c r="F10" s="16">
        <v>0.12</v>
      </c>
      <c r="G10" s="20">
        <f>Submetering!F11+Submetering!G11</f>
        <v>0</v>
      </c>
      <c r="H10" s="16">
        <v>0.71</v>
      </c>
      <c r="I10" s="20">
        <f>Submetering!J10+Submetering!I10+Submetering!H10</f>
        <v>0</v>
      </c>
      <c r="J10" s="16">
        <v>2.3196172978505634</v>
      </c>
      <c r="K10" s="20">
        <f>Submetering!K10</f>
        <v>0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v>6</v>
      </c>
      <c r="D11" s="9">
        <v>2021</v>
      </c>
      <c r="E11" s="20">
        <f>Submetering!E11</f>
        <v>0</v>
      </c>
      <c r="F11" s="16">
        <v>0.12</v>
      </c>
      <c r="G11" s="20">
        <f>Submetering!F11+Submetering!G11</f>
        <v>0</v>
      </c>
      <c r="H11" s="16">
        <v>0.71</v>
      </c>
      <c r="I11" s="20">
        <f>Submetering!J11+Submetering!I11+Submetering!H11</f>
        <v>0</v>
      </c>
      <c r="J11" s="16">
        <v>2.3196172978505634</v>
      </c>
      <c r="K11" s="20">
        <f>Submetering!K11</f>
        <v>0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v>6</v>
      </c>
      <c r="D12" s="9">
        <v>2021</v>
      </c>
      <c r="E12" s="20">
        <f>Submetering!E12</f>
        <v>0</v>
      </c>
      <c r="F12" s="16">
        <v>0.12</v>
      </c>
      <c r="G12" s="20">
        <f>Submetering!F12+Submetering!G12</f>
        <v>0</v>
      </c>
      <c r="H12" s="16">
        <v>0.71</v>
      </c>
      <c r="I12" s="20">
        <f>Submetering!J12+Submetering!I12+Submetering!H12</f>
        <v>0</v>
      </c>
      <c r="J12" s="16">
        <v>2.3196172978505634</v>
      </c>
      <c r="K12" s="20">
        <f>Submetering!K12</f>
        <v>0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v>6</v>
      </c>
      <c r="D13" s="9">
        <v>2021</v>
      </c>
      <c r="E13" s="20">
        <f>Submetering!E13</f>
        <v>0</v>
      </c>
      <c r="F13" s="16">
        <v>0.12</v>
      </c>
      <c r="G13" s="20">
        <f>Submetering!F13+Submetering!G13</f>
        <v>0</v>
      </c>
      <c r="H13" s="16">
        <v>0.71</v>
      </c>
      <c r="I13" s="20">
        <f>Submetering!J13+Submetering!I13+Submetering!H13</f>
        <v>0</v>
      </c>
      <c r="J13" s="16">
        <v>2.3196172978505634</v>
      </c>
      <c r="K13" s="20">
        <f>Submetering!K13</f>
        <v>0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v>6</v>
      </c>
      <c r="D14" s="9">
        <v>2021</v>
      </c>
      <c r="E14" s="20">
        <f>Submetering!E14</f>
        <v>0</v>
      </c>
      <c r="F14" s="16">
        <v>0.12</v>
      </c>
      <c r="G14" s="20">
        <f>Submetering!F14+Submetering!G14</f>
        <v>0</v>
      </c>
      <c r="H14" s="16">
        <v>0.71</v>
      </c>
      <c r="I14" s="20">
        <f>Submetering!H12+Submetering!J12+Submetering!I12</f>
        <v>0</v>
      </c>
      <c r="J14" s="16">
        <v>2.3196172978505634</v>
      </c>
      <c r="K14" s="20">
        <f>Submetering!K14</f>
        <v>0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v>6</v>
      </c>
      <c r="D15" s="9">
        <v>2021</v>
      </c>
      <c r="E15" s="20">
        <f>Submetering!E15</f>
        <v>0</v>
      </c>
      <c r="F15" s="16">
        <v>0.12</v>
      </c>
      <c r="G15" s="20">
        <f>Submetering!F15+Submetering!G15</f>
        <v>0</v>
      </c>
      <c r="H15" s="16">
        <v>0.71</v>
      </c>
      <c r="I15" s="20">
        <f>Submetering!J15+Submetering!I15+Submetering!H15</f>
        <v>0</v>
      </c>
      <c r="J15" s="16">
        <v>2.3196172978505634</v>
      </c>
      <c r="K15" s="20">
        <f>Submetering!K15</f>
        <v>0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v>6</v>
      </c>
      <c r="D16" s="9">
        <v>2021</v>
      </c>
      <c r="E16" s="20">
        <f>Submetering!E16</f>
        <v>0</v>
      </c>
      <c r="F16" s="16">
        <v>0.12</v>
      </c>
      <c r="G16" s="20">
        <f>Submetering!F16+Submetering!G16</f>
        <v>0</v>
      </c>
      <c r="H16" s="16">
        <v>0.71</v>
      </c>
      <c r="I16" s="20">
        <f>Submetering!J16+Submetering!I16+Submetering!H16</f>
        <v>0</v>
      </c>
      <c r="J16" s="16">
        <v>2.3196172978505634</v>
      </c>
      <c r="K16" s="20">
        <f>Submetering!K16</f>
        <v>0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v>6</v>
      </c>
      <c r="D17" s="9">
        <v>2021</v>
      </c>
      <c r="E17" s="20">
        <f>Submetering!E17</f>
        <v>0</v>
      </c>
      <c r="F17" s="16">
        <v>0.12</v>
      </c>
      <c r="G17" s="20">
        <f>Submetering!F17+Submetering!G17</f>
        <v>0</v>
      </c>
      <c r="H17" s="16">
        <v>0.71</v>
      </c>
      <c r="I17" s="20">
        <f>Submetering!J17+Submetering!I17+Submetering!H17</f>
        <v>0</v>
      </c>
      <c r="J17" s="16">
        <v>2.3196172978505634</v>
      </c>
      <c r="K17" s="20">
        <f>Submetering!K17</f>
        <v>0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v>6</v>
      </c>
      <c r="D18" s="9">
        <v>2021</v>
      </c>
      <c r="E18" s="20">
        <f>Submetering!E18</f>
        <v>0</v>
      </c>
      <c r="F18" s="16">
        <v>0.12</v>
      </c>
      <c r="G18" s="20">
        <f>Submetering!F18+Submetering!G18</f>
        <v>0</v>
      </c>
      <c r="H18" s="16">
        <v>0.71</v>
      </c>
      <c r="I18" s="20">
        <f>Submetering!J18+Submetering!I18+Submetering!H18</f>
        <v>0</v>
      </c>
      <c r="J18" s="16">
        <v>2.3196172978505634</v>
      </c>
      <c r="K18" s="20">
        <f>Submetering!K18</f>
        <v>0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v>6</v>
      </c>
      <c r="D19" s="9">
        <v>2021</v>
      </c>
      <c r="E19" s="20">
        <f>Submetering!E19</f>
        <v>0</v>
      </c>
      <c r="F19" s="16">
        <v>0.12</v>
      </c>
      <c r="G19" s="20">
        <f>Submetering!F19+Submetering!G19</f>
        <v>0</v>
      </c>
      <c r="H19" s="16">
        <v>0.71</v>
      </c>
      <c r="I19" s="20">
        <f>Submetering!J19+Submetering!I19+Submetering!H19</f>
        <v>0</v>
      </c>
      <c r="J19" s="16">
        <v>2.3196172978505634</v>
      </c>
      <c r="K19" s="20">
        <f>Submetering!K19</f>
        <v>0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v>6</v>
      </c>
      <c r="D20" s="9">
        <v>2021</v>
      </c>
      <c r="E20" s="20">
        <f>Submetering!E20</f>
        <v>0</v>
      </c>
      <c r="F20" s="16">
        <v>0.12</v>
      </c>
      <c r="G20" s="20">
        <f>Submetering!F20+Submetering!G20</f>
        <v>0</v>
      </c>
      <c r="H20" s="16">
        <v>0.71</v>
      </c>
      <c r="I20" s="20">
        <f>Submetering!J20+Submetering!I20+Submetering!H20</f>
        <v>0</v>
      </c>
      <c r="J20" s="16">
        <v>2.3196172978505634</v>
      </c>
      <c r="K20" s="20">
        <f>Submetering!K20</f>
        <v>0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v>6</v>
      </c>
      <c r="D21" s="9">
        <v>2021</v>
      </c>
      <c r="E21" s="20">
        <f>Submetering!E21</f>
        <v>0</v>
      </c>
      <c r="F21" s="16">
        <v>0.12</v>
      </c>
      <c r="G21" s="20">
        <f>Submetering!F21+Submetering!G21</f>
        <v>0</v>
      </c>
      <c r="H21" s="16">
        <v>0.71</v>
      </c>
      <c r="I21" s="20">
        <f>Submetering!J21+Submetering!I21+Submetering!H21</f>
        <v>0</v>
      </c>
      <c r="J21" s="16">
        <v>2.3196172978505634</v>
      </c>
      <c r="K21" s="20">
        <f>Submetering!K21</f>
        <v>0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v>6</v>
      </c>
      <c r="D22" s="9">
        <v>2021</v>
      </c>
      <c r="E22" s="20">
        <f>Submetering!E22</f>
        <v>0</v>
      </c>
      <c r="F22" s="16">
        <v>0.12</v>
      </c>
      <c r="G22" s="20">
        <f>Submetering!F22+Submetering!G22</f>
        <v>0</v>
      </c>
      <c r="H22" s="16">
        <v>0.71</v>
      </c>
      <c r="I22" s="20">
        <f>Submetering!J22+Submetering!I22+Submetering!H22</f>
        <v>0</v>
      </c>
      <c r="J22" s="16">
        <v>2.3196172978505634</v>
      </c>
      <c r="K22" s="20">
        <f>Submetering!K23</f>
        <v>0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v>6</v>
      </c>
      <c r="D23" s="9">
        <v>2021</v>
      </c>
      <c r="E23" s="20">
        <f>Submetering!E23</f>
        <v>0</v>
      </c>
      <c r="F23" s="16">
        <v>0.12</v>
      </c>
      <c r="G23" s="20">
        <f>Submetering!F23+Submetering!G23</f>
        <v>0</v>
      </c>
      <c r="H23" s="16">
        <v>0.71</v>
      </c>
      <c r="I23" s="20">
        <f>Submetering!J23+Submetering!I23+Submetering!H23</f>
        <v>0</v>
      </c>
      <c r="J23" s="16">
        <v>2.3196172978505634</v>
      </c>
      <c r="K23" s="20">
        <f>Submetering!K24</f>
        <v>0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v>6</v>
      </c>
      <c r="D24" s="9">
        <v>2021</v>
      </c>
      <c r="E24" s="20">
        <f>Submetering!E24</f>
        <v>0</v>
      </c>
      <c r="F24" s="16">
        <v>0.12</v>
      </c>
      <c r="G24" s="20">
        <f>Submetering!F24+Submetering!G24</f>
        <v>0</v>
      </c>
      <c r="H24" s="16">
        <v>0.71</v>
      </c>
      <c r="I24" s="20">
        <f>Submetering!J24+Submetering!I24+Submetering!H24</f>
        <v>0</v>
      </c>
      <c r="J24" s="16">
        <v>2.3196172978505634</v>
      </c>
      <c r="K24" s="20">
        <f>Submetering!K25</f>
        <v>0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v>6</v>
      </c>
      <c r="D25" s="9">
        <v>2021</v>
      </c>
      <c r="E25" s="20">
        <f>Submetering!E25</f>
        <v>0</v>
      </c>
      <c r="F25" s="16">
        <v>0.12</v>
      </c>
      <c r="G25" s="20">
        <f>Submetering!F25+Submetering!G25</f>
        <v>0</v>
      </c>
      <c r="H25" s="16">
        <v>0.71</v>
      </c>
      <c r="I25" s="20">
        <f>Submetering!J25+Submetering!I25+Submetering!H25</f>
        <v>0</v>
      </c>
      <c r="J25" s="16">
        <v>2.3196172978505634</v>
      </c>
      <c r="K25" s="20">
        <f>Submetering!K26</f>
        <v>0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v>6</v>
      </c>
      <c r="D26" s="9">
        <v>2021</v>
      </c>
      <c r="E26" s="20">
        <f>Submetering!E26</f>
        <v>0</v>
      </c>
      <c r="F26" s="16">
        <v>0.12</v>
      </c>
      <c r="G26" s="20">
        <f>Submetering!F26+Submetering!G26</f>
        <v>0</v>
      </c>
      <c r="H26" s="16">
        <v>0.71</v>
      </c>
      <c r="I26" s="20">
        <f>Submetering!J26+Submetering!I26+Submetering!H26</f>
        <v>0</v>
      </c>
      <c r="J26" s="16">
        <v>2.3196172978505634</v>
      </c>
      <c r="K26" s="20">
        <f>Submetering!K27</f>
        <v>0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v>6</v>
      </c>
      <c r="D27" s="9">
        <v>2021</v>
      </c>
      <c r="E27" s="20">
        <f>Submetering!E27</f>
        <v>0</v>
      </c>
      <c r="F27" s="16">
        <v>0.12</v>
      </c>
      <c r="G27" s="20">
        <f>Submetering!F27+Submetering!G27</f>
        <v>0</v>
      </c>
      <c r="H27" s="16">
        <v>0.71</v>
      </c>
      <c r="I27" s="20">
        <f>Submetering!J27+Submetering!I27+Submetering!H27</f>
        <v>0</v>
      </c>
      <c r="J27" s="16">
        <v>2.3196172978505634</v>
      </c>
      <c r="K27" s="20">
        <f>Submetering!K28</f>
        <v>0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v>6</v>
      </c>
      <c r="D28" s="9">
        <v>2021</v>
      </c>
      <c r="E28" s="20">
        <f>Submetering!E28</f>
        <v>0</v>
      </c>
      <c r="F28" s="16">
        <v>0.12</v>
      </c>
      <c r="G28" s="20">
        <f>Submetering!F28+Submetering!G28</f>
        <v>0</v>
      </c>
      <c r="H28" s="16">
        <v>0.71</v>
      </c>
      <c r="I28" s="20">
        <f>Submetering!J28+Submetering!I28+Submetering!H28</f>
        <v>0</v>
      </c>
      <c r="J28" s="16">
        <v>2.3196172978505634</v>
      </c>
      <c r="K28" s="20">
        <f>Submetering!K29</f>
        <v>0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v>6</v>
      </c>
      <c r="D29" s="9">
        <v>2021</v>
      </c>
      <c r="E29" s="20">
        <f>Submetering!E29</f>
        <v>0</v>
      </c>
      <c r="F29" s="16">
        <v>0.12</v>
      </c>
      <c r="G29" s="20">
        <f>Submetering!F29+Submetering!G29</f>
        <v>0</v>
      </c>
      <c r="H29" s="16">
        <v>0.71</v>
      </c>
      <c r="I29" s="20">
        <f>Submetering!J29+Submetering!I29+Submetering!H29</f>
        <v>0</v>
      </c>
      <c r="J29" s="16">
        <v>2.3196172978505634</v>
      </c>
      <c r="K29" s="20">
        <f>Submetering!K29</f>
        <v>0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v>6</v>
      </c>
      <c r="D30" s="9">
        <v>2021</v>
      </c>
      <c r="E30" s="20">
        <f>Submetering!E30</f>
        <v>0</v>
      </c>
      <c r="F30" s="16">
        <v>0.12</v>
      </c>
      <c r="G30" s="20">
        <f>Submetering!F30+Submetering!G30</f>
        <v>0</v>
      </c>
      <c r="H30" s="16">
        <v>0.71</v>
      </c>
      <c r="I30" s="20">
        <f>Submetering!J30+Submetering!I30+Submetering!H30</f>
        <v>0</v>
      </c>
      <c r="J30" s="16">
        <v>2.3196172978505634</v>
      </c>
      <c r="K30" s="20">
        <f>Submetering!K30</f>
        <v>0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v>6</v>
      </c>
      <c r="D31" s="9">
        <v>2021</v>
      </c>
      <c r="E31" s="20">
        <f>Submetering!E31</f>
        <v>0</v>
      </c>
      <c r="F31" s="16">
        <v>0.12</v>
      </c>
      <c r="G31" s="20">
        <f>Submetering!F31+Submetering!G31</f>
        <v>0</v>
      </c>
      <c r="H31" s="16">
        <v>0.71</v>
      </c>
      <c r="I31" s="20">
        <f>Submetering!J31+Submetering!I31+Submetering!H31</f>
        <v>0</v>
      </c>
      <c r="J31" s="16">
        <v>2.3196172978505634</v>
      </c>
      <c r="K31" s="20">
        <f>Submetering!K31</f>
        <v>0</v>
      </c>
      <c r="L31" s="20">
        <f>Submetering!L31</f>
        <v>0</v>
      </c>
    </row>
    <row r="32" spans="1:12" x14ac:dyDescent="0.25">
      <c r="A32" s="17" t="s">
        <v>32</v>
      </c>
      <c r="B32" s="9">
        <f t="shared" si="0"/>
        <v>31</v>
      </c>
      <c r="C32" s="6">
        <v>6</v>
      </c>
      <c r="D32" s="9">
        <v>2021</v>
      </c>
      <c r="E32" s="20">
        <f>Submetering!E32</f>
        <v>0</v>
      </c>
      <c r="F32" s="16">
        <v>0.12</v>
      </c>
      <c r="G32" s="20">
        <f>Submetering!F32+Submetering!G32</f>
        <v>0</v>
      </c>
      <c r="H32" s="16">
        <v>0.71</v>
      </c>
      <c r="I32" s="20">
        <f>Submetering!J32+Submetering!I32+Submetering!H32</f>
        <v>0</v>
      </c>
      <c r="J32" s="16">
        <v>2.3196172978505634</v>
      </c>
      <c r="K32" s="20">
        <f>Submetering!K32</f>
        <v>0</v>
      </c>
      <c r="L32" s="20">
        <f>Submetering!L32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A1:L33"/>
  <sheetViews>
    <sheetView tabSelected="1" workbookViewId="0">
      <pane xSplit="2" ySplit="1" topLeftCell="E2" activePane="bottomRight" state="frozen"/>
      <selection pane="topRight" activeCell="C1" sqref="C1"/>
      <selection pane="bottomLeft" activeCell="A2" sqref="A2"/>
      <selection pane="bottomRight" activeCell="J11" sqref="J11"/>
    </sheetView>
  </sheetViews>
  <sheetFormatPr defaultColWidth="11.5703125" defaultRowHeight="15" x14ac:dyDescent="0.25"/>
  <cols>
    <col min="1" max="1" width="3.42578125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33"/>
    <col min="12" max="12" width="11.5703125" style="20"/>
  </cols>
  <sheetData>
    <row r="1" spans="1:12" s="17" customFormat="1" ht="47.25" x14ac:dyDescent="0.25">
      <c r="A1" s="29" t="s">
        <v>4</v>
      </c>
      <c r="B1" s="29" t="s">
        <v>5</v>
      </c>
      <c r="C1" s="29" t="s">
        <v>6</v>
      </c>
      <c r="D1" s="29" t="s">
        <v>7</v>
      </c>
      <c r="E1" s="30" t="s">
        <v>22</v>
      </c>
      <c r="F1" s="30" t="s">
        <v>26</v>
      </c>
      <c r="G1" s="30" t="s">
        <v>25</v>
      </c>
      <c r="H1" s="30" t="s">
        <v>30</v>
      </c>
      <c r="I1" s="30" t="s">
        <v>31</v>
      </c>
      <c r="J1" s="30" t="s">
        <v>29</v>
      </c>
      <c r="K1" s="31" t="s">
        <v>12</v>
      </c>
      <c r="L1" s="30" t="s">
        <v>13</v>
      </c>
    </row>
    <row r="2" spans="1:12" x14ac:dyDescent="0.25">
      <c r="A2" s="17" t="s">
        <v>32</v>
      </c>
      <c r="B2" s="6">
        <v>1</v>
      </c>
      <c r="C2" s="6">
        <v>6</v>
      </c>
      <c r="D2" s="6">
        <v>2021</v>
      </c>
      <c r="E2" s="32">
        <v>8948.0300000000007</v>
      </c>
      <c r="F2" s="20">
        <v>250.58</v>
      </c>
      <c r="G2" s="20">
        <v>22.18</v>
      </c>
      <c r="H2" s="32">
        <v>1.59</v>
      </c>
      <c r="I2" s="32">
        <v>50</v>
      </c>
      <c r="J2" s="32">
        <v>32</v>
      </c>
      <c r="K2">
        <v>79</v>
      </c>
    </row>
    <row r="3" spans="1:12" x14ac:dyDescent="0.25">
      <c r="A3" s="17" t="s">
        <v>32</v>
      </c>
      <c r="B3" s="6">
        <f>B2+1</f>
        <v>2</v>
      </c>
      <c r="C3" s="6">
        <v>6</v>
      </c>
      <c r="D3" s="6">
        <v>2021</v>
      </c>
      <c r="E3" s="32">
        <v>8862.7099999999991</v>
      </c>
      <c r="F3" s="20">
        <v>261.17</v>
      </c>
      <c r="G3" s="20">
        <v>18.149999999999999</v>
      </c>
      <c r="H3" s="32">
        <v>2.64</v>
      </c>
      <c r="I3" s="32">
        <v>51</v>
      </c>
      <c r="J3" s="32">
        <v>44.5</v>
      </c>
      <c r="K3">
        <v>78</v>
      </c>
    </row>
    <row r="4" spans="1:12" x14ac:dyDescent="0.25">
      <c r="A4" s="17" t="s">
        <v>32</v>
      </c>
      <c r="B4" s="6">
        <f t="shared" ref="B4:B32" si="0">B3+1</f>
        <v>3</v>
      </c>
      <c r="C4" s="6">
        <v>6</v>
      </c>
      <c r="D4" s="6">
        <v>2021</v>
      </c>
      <c r="E4" s="32">
        <v>8741.44</v>
      </c>
      <c r="F4" s="20">
        <v>206.22</v>
      </c>
      <c r="G4" s="20">
        <v>21.68</v>
      </c>
      <c r="H4" s="32">
        <v>2.37</v>
      </c>
      <c r="I4" s="32">
        <v>53</v>
      </c>
      <c r="J4" s="32">
        <v>32</v>
      </c>
      <c r="K4">
        <v>75</v>
      </c>
    </row>
    <row r="5" spans="1:12" x14ac:dyDescent="0.25">
      <c r="A5" s="17" t="s">
        <v>32</v>
      </c>
      <c r="B5" s="6">
        <f t="shared" si="0"/>
        <v>4</v>
      </c>
      <c r="C5" s="6">
        <v>6</v>
      </c>
      <c r="D5" s="6">
        <v>2021</v>
      </c>
      <c r="E5" s="32">
        <v>7968.08</v>
      </c>
      <c r="H5" s="32"/>
      <c r="I5" s="32"/>
      <c r="J5" s="32"/>
      <c r="K5">
        <v>78</v>
      </c>
    </row>
    <row r="6" spans="1:12" x14ac:dyDescent="0.25">
      <c r="A6" s="17" t="s">
        <v>32</v>
      </c>
      <c r="B6" s="6">
        <f t="shared" si="0"/>
        <v>5</v>
      </c>
      <c r="C6" s="6">
        <v>6</v>
      </c>
      <c r="D6" s="6">
        <v>2021</v>
      </c>
      <c r="E6" s="32"/>
      <c r="H6" s="32"/>
      <c r="I6" s="32"/>
      <c r="J6" s="32"/>
      <c r="K6" s="6"/>
    </row>
    <row r="7" spans="1:12" x14ac:dyDescent="0.25">
      <c r="A7" s="17" t="s">
        <v>32</v>
      </c>
      <c r="B7" s="6">
        <f t="shared" si="0"/>
        <v>6</v>
      </c>
      <c r="C7" s="6">
        <v>6</v>
      </c>
      <c r="D7" s="6">
        <v>2021</v>
      </c>
      <c r="E7" s="32"/>
      <c r="H7" s="32"/>
      <c r="I7" s="32"/>
      <c r="J7" s="32"/>
      <c r="K7" s="6"/>
    </row>
    <row r="8" spans="1:12" x14ac:dyDescent="0.25">
      <c r="A8" s="17" t="s">
        <v>32</v>
      </c>
      <c r="B8" s="6">
        <f t="shared" si="0"/>
        <v>7</v>
      </c>
      <c r="C8" s="6">
        <v>6</v>
      </c>
      <c r="D8" s="6">
        <v>2021</v>
      </c>
      <c r="E8" s="32"/>
      <c r="H8" s="32"/>
      <c r="I8" s="32"/>
      <c r="J8" s="32"/>
      <c r="K8" s="6"/>
    </row>
    <row r="9" spans="1:12" x14ac:dyDescent="0.25">
      <c r="A9" s="17" t="s">
        <v>32</v>
      </c>
      <c r="B9" s="6">
        <f t="shared" si="0"/>
        <v>8</v>
      </c>
      <c r="C9" s="6">
        <v>6</v>
      </c>
      <c r="D9" s="6">
        <v>2021</v>
      </c>
      <c r="E9" s="32"/>
      <c r="H9" s="32"/>
      <c r="I9" s="32"/>
      <c r="J9" s="32"/>
      <c r="K9" s="6"/>
    </row>
    <row r="10" spans="1:12" x14ac:dyDescent="0.25">
      <c r="A10" s="17" t="s">
        <v>32</v>
      </c>
      <c r="B10" s="6">
        <f t="shared" si="0"/>
        <v>9</v>
      </c>
      <c r="C10" s="6">
        <v>6</v>
      </c>
      <c r="D10" s="6">
        <v>2021</v>
      </c>
      <c r="E10" s="32"/>
      <c r="F10" s="32"/>
      <c r="G10" s="32"/>
      <c r="H10" s="32"/>
      <c r="I10" s="32"/>
      <c r="J10" s="32"/>
      <c r="K10" s="50"/>
      <c r="L10" s="32"/>
    </row>
    <row r="11" spans="1:12" x14ac:dyDescent="0.25">
      <c r="A11" s="17" t="s">
        <v>32</v>
      </c>
      <c r="B11" s="6">
        <f t="shared" si="0"/>
        <v>10</v>
      </c>
      <c r="C11" s="6">
        <v>6</v>
      </c>
      <c r="D11" s="6">
        <v>2021</v>
      </c>
      <c r="E11" s="32"/>
      <c r="F11" s="32"/>
      <c r="G11" s="32"/>
      <c r="H11" s="32"/>
      <c r="I11" s="32"/>
      <c r="J11" s="32"/>
      <c r="K11" s="50"/>
      <c r="L11" s="32"/>
    </row>
    <row r="12" spans="1:12" x14ac:dyDescent="0.25">
      <c r="A12" s="17" t="s">
        <v>32</v>
      </c>
      <c r="B12" s="6">
        <f t="shared" si="0"/>
        <v>11</v>
      </c>
      <c r="C12" s="6">
        <v>6</v>
      </c>
      <c r="D12" s="6">
        <v>2021</v>
      </c>
      <c r="E12" s="32"/>
      <c r="F12" s="32"/>
      <c r="G12" s="32"/>
      <c r="H12" s="32"/>
      <c r="I12" s="32"/>
      <c r="J12" s="32"/>
      <c r="K12" s="50"/>
      <c r="L12" s="32"/>
    </row>
    <row r="13" spans="1:12" x14ac:dyDescent="0.25">
      <c r="A13" s="17" t="s">
        <v>32</v>
      </c>
      <c r="B13" s="6">
        <f t="shared" si="0"/>
        <v>12</v>
      </c>
      <c r="C13" s="6">
        <v>6</v>
      </c>
      <c r="D13" s="6">
        <v>2021</v>
      </c>
      <c r="E13" s="32"/>
      <c r="F13" s="32"/>
      <c r="G13" s="32"/>
      <c r="H13" s="32"/>
      <c r="I13" s="32"/>
      <c r="J13" s="32"/>
      <c r="K13" s="50"/>
      <c r="L13" s="32"/>
    </row>
    <row r="14" spans="1:12" x14ac:dyDescent="0.25">
      <c r="A14" s="17" t="s">
        <v>32</v>
      </c>
      <c r="B14" s="6">
        <f t="shared" si="0"/>
        <v>13</v>
      </c>
      <c r="C14" s="6">
        <v>6</v>
      </c>
      <c r="D14" s="6">
        <v>2021</v>
      </c>
      <c r="E14" s="32"/>
      <c r="F14" s="32"/>
      <c r="G14" s="32"/>
      <c r="H14" s="32"/>
      <c r="I14" s="32"/>
      <c r="J14" s="32"/>
      <c r="K14" s="50"/>
      <c r="L14" s="32"/>
    </row>
    <row r="15" spans="1:12" x14ac:dyDescent="0.25">
      <c r="A15" s="17" t="s">
        <v>32</v>
      </c>
      <c r="B15" s="6">
        <f t="shared" si="0"/>
        <v>14</v>
      </c>
      <c r="C15" s="6">
        <v>6</v>
      </c>
      <c r="D15" s="6">
        <v>2021</v>
      </c>
      <c r="E15" s="32"/>
      <c r="F15" s="32"/>
      <c r="G15" s="32"/>
      <c r="H15" s="32"/>
      <c r="I15" s="32"/>
      <c r="J15" s="32"/>
      <c r="K15" s="50"/>
      <c r="L15" s="32"/>
    </row>
    <row r="16" spans="1:12" x14ac:dyDescent="0.25">
      <c r="A16" s="17" t="s">
        <v>32</v>
      </c>
      <c r="B16" s="6">
        <f t="shared" si="0"/>
        <v>15</v>
      </c>
      <c r="C16" s="6">
        <v>6</v>
      </c>
      <c r="D16" s="6">
        <v>2021</v>
      </c>
      <c r="E16" s="32"/>
      <c r="F16" s="32"/>
      <c r="G16" s="32"/>
      <c r="H16" s="32"/>
      <c r="I16" s="32"/>
      <c r="J16" s="32"/>
      <c r="K16" s="50"/>
      <c r="L16" s="32"/>
    </row>
    <row r="17" spans="1:12" x14ac:dyDescent="0.25">
      <c r="A17" s="17" t="s">
        <v>32</v>
      </c>
      <c r="B17" s="6">
        <f t="shared" si="0"/>
        <v>16</v>
      </c>
      <c r="C17" s="6">
        <v>6</v>
      </c>
      <c r="D17" s="6">
        <v>2021</v>
      </c>
      <c r="E17" s="32"/>
      <c r="F17" s="32"/>
      <c r="G17" s="32"/>
      <c r="H17" s="32"/>
      <c r="I17" s="32"/>
      <c r="J17" s="32"/>
      <c r="K17" s="50"/>
      <c r="L17" s="32"/>
    </row>
    <row r="18" spans="1:12" x14ac:dyDescent="0.25">
      <c r="A18" s="17" t="s">
        <v>32</v>
      </c>
      <c r="B18" s="6">
        <f t="shared" si="0"/>
        <v>17</v>
      </c>
      <c r="C18" s="6">
        <v>6</v>
      </c>
      <c r="D18" s="6">
        <v>2021</v>
      </c>
      <c r="E18" s="32"/>
      <c r="F18" s="32"/>
      <c r="G18" s="32"/>
      <c r="H18" s="32"/>
      <c r="I18" s="32"/>
      <c r="J18" s="32"/>
      <c r="K18" s="50"/>
      <c r="L18" s="32"/>
    </row>
    <row r="19" spans="1:12" x14ac:dyDescent="0.25">
      <c r="A19" s="17" t="s">
        <v>32</v>
      </c>
      <c r="B19" s="6">
        <f t="shared" si="0"/>
        <v>18</v>
      </c>
      <c r="C19" s="6">
        <v>6</v>
      </c>
      <c r="D19" s="6">
        <v>2021</v>
      </c>
      <c r="E19" s="32"/>
      <c r="F19" s="32"/>
      <c r="G19" s="32"/>
      <c r="H19" s="32"/>
      <c r="I19" s="32"/>
      <c r="J19" s="32"/>
      <c r="K19" s="50"/>
      <c r="L19" s="32"/>
    </row>
    <row r="20" spans="1:12" x14ac:dyDescent="0.25">
      <c r="A20" s="17" t="s">
        <v>32</v>
      </c>
      <c r="B20" s="6">
        <f t="shared" si="0"/>
        <v>19</v>
      </c>
      <c r="C20" s="6">
        <v>6</v>
      </c>
      <c r="D20" s="6">
        <v>2021</v>
      </c>
      <c r="E20" s="32"/>
      <c r="F20" s="32"/>
      <c r="G20" s="32"/>
      <c r="H20" s="32"/>
      <c r="I20" s="32"/>
      <c r="J20" s="32"/>
      <c r="K20" s="50"/>
      <c r="L20" s="32"/>
    </row>
    <row r="21" spans="1:12" x14ac:dyDescent="0.25">
      <c r="A21" s="17" t="s">
        <v>32</v>
      </c>
      <c r="B21" s="6">
        <f t="shared" si="0"/>
        <v>20</v>
      </c>
      <c r="C21" s="6">
        <v>6</v>
      </c>
      <c r="D21" s="6">
        <v>2021</v>
      </c>
      <c r="E21" s="32"/>
      <c r="F21" s="32"/>
      <c r="G21" s="32"/>
      <c r="H21" s="32"/>
      <c r="I21" s="32"/>
      <c r="J21" s="32"/>
      <c r="K21" s="50"/>
      <c r="L21" s="32"/>
    </row>
    <row r="22" spans="1:12" x14ac:dyDescent="0.25">
      <c r="A22" s="17" t="s">
        <v>32</v>
      </c>
      <c r="B22" s="6">
        <f t="shared" si="0"/>
        <v>21</v>
      </c>
      <c r="C22" s="6">
        <v>6</v>
      </c>
      <c r="D22" s="6">
        <v>2021</v>
      </c>
      <c r="E22" s="32"/>
      <c r="F22" s="32"/>
      <c r="G22" s="32"/>
      <c r="H22" s="32"/>
      <c r="I22" s="32"/>
      <c r="J22" s="32"/>
      <c r="K22" s="50"/>
      <c r="L22" s="32"/>
    </row>
    <row r="23" spans="1:12" x14ac:dyDescent="0.25">
      <c r="A23" s="17" t="s">
        <v>32</v>
      </c>
      <c r="B23" s="6">
        <f t="shared" si="0"/>
        <v>22</v>
      </c>
      <c r="C23" s="6">
        <v>6</v>
      </c>
      <c r="D23" s="6">
        <v>2021</v>
      </c>
      <c r="E23" s="32"/>
      <c r="F23" s="32"/>
      <c r="G23" s="32"/>
      <c r="H23" s="32"/>
      <c r="I23" s="32"/>
      <c r="J23" s="32"/>
      <c r="K23" s="50"/>
      <c r="L23" s="32"/>
    </row>
    <row r="24" spans="1:12" x14ac:dyDescent="0.25">
      <c r="A24" s="17" t="s">
        <v>32</v>
      </c>
      <c r="B24" s="6">
        <f t="shared" si="0"/>
        <v>23</v>
      </c>
      <c r="C24" s="6">
        <v>6</v>
      </c>
      <c r="D24" s="6">
        <v>2021</v>
      </c>
      <c r="E24" s="32"/>
      <c r="F24" s="32"/>
      <c r="G24" s="32"/>
      <c r="H24" s="32"/>
      <c r="I24" s="32"/>
      <c r="J24" s="32"/>
      <c r="K24" s="50"/>
      <c r="L24" s="32"/>
    </row>
    <row r="25" spans="1:12" ht="22.5" customHeight="1" x14ac:dyDescent="0.25">
      <c r="A25" s="17" t="s">
        <v>32</v>
      </c>
      <c r="B25" s="6">
        <f t="shared" si="0"/>
        <v>24</v>
      </c>
      <c r="C25" s="6">
        <v>6</v>
      </c>
      <c r="D25" s="6">
        <v>2021</v>
      </c>
      <c r="E25" s="32"/>
      <c r="F25" s="32"/>
      <c r="G25" s="32"/>
      <c r="H25" s="32"/>
      <c r="I25" s="32"/>
      <c r="J25" s="32"/>
      <c r="K25" s="50"/>
      <c r="L25" s="32"/>
    </row>
    <row r="26" spans="1:12" x14ac:dyDescent="0.25">
      <c r="A26" s="17" t="s">
        <v>32</v>
      </c>
      <c r="B26" s="6">
        <f>B25+1</f>
        <v>25</v>
      </c>
      <c r="C26" s="6">
        <v>6</v>
      </c>
      <c r="D26" s="6">
        <v>2021</v>
      </c>
      <c r="E26" s="32"/>
      <c r="F26" s="32"/>
      <c r="G26" s="32"/>
      <c r="H26" s="32"/>
      <c r="I26" s="32"/>
      <c r="J26" s="32"/>
      <c r="K26" s="6"/>
      <c r="L26" s="32"/>
    </row>
    <row r="27" spans="1:12" ht="14.25" customHeight="1" x14ac:dyDescent="0.25">
      <c r="A27" s="17" t="s">
        <v>32</v>
      </c>
      <c r="B27" s="6">
        <f t="shared" si="0"/>
        <v>26</v>
      </c>
      <c r="C27" s="6">
        <v>6</v>
      </c>
      <c r="D27" s="6">
        <v>2021</v>
      </c>
      <c r="E27" s="32"/>
      <c r="F27" s="32"/>
      <c r="G27" s="32"/>
      <c r="H27" s="32"/>
      <c r="I27" s="32"/>
      <c r="J27" s="32"/>
      <c r="L27" s="32"/>
    </row>
    <row r="28" spans="1:12" x14ac:dyDescent="0.25">
      <c r="A28" s="17" t="s">
        <v>32</v>
      </c>
      <c r="B28" s="6">
        <f t="shared" si="0"/>
        <v>27</v>
      </c>
      <c r="C28" s="6">
        <v>6</v>
      </c>
      <c r="D28" s="6">
        <v>2021</v>
      </c>
      <c r="E28" s="32"/>
      <c r="F28" s="32"/>
      <c r="G28" s="32"/>
      <c r="H28" s="32"/>
      <c r="I28" s="32"/>
      <c r="J28" s="32"/>
      <c r="L28" s="32"/>
    </row>
    <row r="29" spans="1:12" x14ac:dyDescent="0.25">
      <c r="A29" s="17" t="s">
        <v>32</v>
      </c>
      <c r="B29" s="6">
        <f t="shared" si="0"/>
        <v>28</v>
      </c>
      <c r="C29" s="6">
        <v>6</v>
      </c>
      <c r="D29" s="6">
        <v>2021</v>
      </c>
      <c r="E29" s="32"/>
      <c r="F29" s="32"/>
      <c r="G29" s="32"/>
      <c r="H29" s="32"/>
      <c r="I29" s="32"/>
      <c r="J29" s="32"/>
      <c r="L29" s="32"/>
    </row>
    <row r="30" spans="1:12" x14ac:dyDescent="0.25">
      <c r="A30" s="17" t="s">
        <v>32</v>
      </c>
      <c r="B30" s="6">
        <f t="shared" si="0"/>
        <v>29</v>
      </c>
      <c r="C30" s="6">
        <v>6</v>
      </c>
      <c r="D30" s="6">
        <v>2021</v>
      </c>
      <c r="E30" s="32"/>
      <c r="F30" s="32"/>
      <c r="G30" s="32"/>
      <c r="H30" s="32"/>
      <c r="I30" s="32"/>
      <c r="J30" s="32"/>
      <c r="L30" s="32"/>
    </row>
    <row r="31" spans="1:12" x14ac:dyDescent="0.25">
      <c r="A31" s="17" t="s">
        <v>32</v>
      </c>
      <c r="B31" s="6">
        <f t="shared" si="0"/>
        <v>30</v>
      </c>
      <c r="C31" s="6">
        <v>6</v>
      </c>
      <c r="D31" s="6">
        <v>2021</v>
      </c>
      <c r="E31" s="32"/>
      <c r="F31" s="32"/>
      <c r="G31" s="32"/>
      <c r="H31" s="32"/>
      <c r="I31" s="32"/>
      <c r="J31" s="32"/>
      <c r="L31" s="32"/>
    </row>
    <row r="32" spans="1:12" x14ac:dyDescent="0.25">
      <c r="A32" s="17" t="s">
        <v>32</v>
      </c>
      <c r="B32" s="6">
        <f t="shared" si="0"/>
        <v>31</v>
      </c>
      <c r="C32" s="6">
        <v>6</v>
      </c>
      <c r="D32" s="6">
        <v>2021</v>
      </c>
      <c r="E32" s="32"/>
      <c r="F32" s="32"/>
      <c r="G32" s="32"/>
      <c r="H32" s="32"/>
      <c r="I32" s="32"/>
      <c r="J32" s="32"/>
      <c r="L32" s="32"/>
    </row>
    <row r="33" spans="5:12" x14ac:dyDescent="0.25">
      <c r="E33" s="32"/>
      <c r="F33" s="32"/>
      <c r="G33" s="32"/>
      <c r="H33" s="32"/>
      <c r="I33" s="32"/>
      <c r="J33" s="32"/>
      <c r="K33" s="34"/>
      <c r="L33" s="32"/>
    </row>
  </sheetData>
  <pageMargins left="0.7" right="0.7" top="0.75" bottom="0.75" header="0.3" footer="0.3"/>
  <pageSetup paperSize="9" orientation="portrait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55000000000000004">
      <c r="A1" s="1"/>
      <c r="B1" s="35"/>
      <c r="C1" s="1"/>
      <c r="D1" s="11"/>
      <c r="E1" s="1"/>
      <c r="F1" s="14"/>
      <c r="G1" s="1"/>
      <c r="H1" s="1"/>
      <c r="I1" s="36"/>
      <c r="J1" s="41"/>
      <c r="K1" s="42"/>
      <c r="L1" s="42"/>
      <c r="M1" s="42"/>
      <c r="N1" s="42"/>
      <c r="O1" s="42"/>
      <c r="P1" s="21"/>
      <c r="Q1" s="21"/>
    </row>
    <row r="2" spans="1:17" ht="35.25" customHeight="1" thickBot="1" x14ac:dyDescent="0.3">
      <c r="A2" s="19" t="s">
        <v>15</v>
      </c>
      <c r="B2" s="35"/>
      <c r="C2" s="45" t="s">
        <v>22</v>
      </c>
      <c r="D2" s="46"/>
      <c r="E2" s="39" t="s">
        <v>23</v>
      </c>
      <c r="F2" s="39"/>
      <c r="G2" s="39" t="s">
        <v>24</v>
      </c>
      <c r="H2" s="39"/>
      <c r="I2" s="37"/>
      <c r="J2" s="43" t="s">
        <v>27</v>
      </c>
      <c r="K2" s="44"/>
      <c r="L2" s="47" t="s">
        <v>28</v>
      </c>
      <c r="M2" s="47"/>
      <c r="N2" s="47" t="s">
        <v>29</v>
      </c>
      <c r="O2" s="47"/>
      <c r="P2" s="10"/>
      <c r="Q2" s="10"/>
    </row>
    <row r="3" spans="1:17" ht="44.25" customHeight="1" x14ac:dyDescent="0.25">
      <c r="A3" s="2" t="s">
        <v>0</v>
      </c>
      <c r="B3" s="35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37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35"/>
      <c r="C4" s="18">
        <v>22342913</v>
      </c>
      <c r="D4" s="40">
        <f>IF((C5-C4&lt;0), "",C5-C4)</f>
        <v>7975</v>
      </c>
      <c r="E4" s="18">
        <v>23837512</v>
      </c>
      <c r="F4" s="48">
        <f>IF((E5-E4&lt;0), "",E5-E4)</f>
        <v>5799</v>
      </c>
      <c r="G4" s="18">
        <v>9975816</v>
      </c>
      <c r="H4" s="40">
        <f>IF((G5-G4&lt;0), "",G5-G4)</f>
        <v>3477</v>
      </c>
      <c r="I4" s="37"/>
      <c r="J4" s="18"/>
      <c r="K4" s="40">
        <v>0</v>
      </c>
      <c r="L4" s="18"/>
      <c r="M4" s="40">
        <v>0</v>
      </c>
      <c r="N4" s="18">
        <v>75776</v>
      </c>
      <c r="O4" s="40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35"/>
      <c r="C5" s="18">
        <v>22350888</v>
      </c>
      <c r="D5" s="40"/>
      <c r="E5" s="18">
        <v>23843311</v>
      </c>
      <c r="F5" s="49"/>
      <c r="G5" s="18">
        <v>9979293</v>
      </c>
      <c r="H5" s="40"/>
      <c r="I5" s="37"/>
      <c r="J5" s="18">
        <v>0</v>
      </c>
      <c r="K5" s="40"/>
      <c r="L5" s="18">
        <v>0</v>
      </c>
      <c r="M5" s="40"/>
      <c r="N5" s="18">
        <v>75809</v>
      </c>
      <c r="O5" s="40"/>
      <c r="P5" s="23"/>
      <c r="Q5" s="23"/>
    </row>
    <row r="6" spans="1:17" ht="45" customHeight="1" x14ac:dyDescent="0.3">
      <c r="A6" s="7">
        <v>43557</v>
      </c>
      <c r="B6" s="35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38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35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37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35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37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35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37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35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37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35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37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35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37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35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37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35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37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35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37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35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37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35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37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35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37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35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37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35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37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35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37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35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37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35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37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35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37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35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37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35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37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35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37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35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37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35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37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35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38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35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38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35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38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  <mergeCell ref="B1:B32"/>
    <mergeCell ref="I1:I32"/>
    <mergeCell ref="E2:F2"/>
    <mergeCell ref="G2:H2"/>
    <mergeCell ref="D4:D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Geneva 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2021-07-05T11:51:19Z</dcterms:modified>
</cp:coreProperties>
</file>