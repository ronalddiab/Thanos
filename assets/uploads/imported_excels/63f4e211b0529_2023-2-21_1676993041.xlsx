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2BF3EB08-1FAD-4FE8-B393-0B2C68CF9E03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2" l="1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F11" i="2"/>
  <c r="F12" i="2"/>
  <c r="F13" i="2"/>
  <c r="F14" i="2"/>
  <c r="H14" i="2" s="1"/>
  <c r="F15" i="2"/>
  <c r="F16" i="2"/>
  <c r="F17" i="2"/>
  <c r="F18" i="2"/>
  <c r="H18" i="2" s="1"/>
  <c r="F19" i="2"/>
  <c r="F20" i="2"/>
  <c r="F21" i="2"/>
  <c r="F22" i="2"/>
  <c r="F23" i="2"/>
  <c r="F24" i="2"/>
  <c r="H24" i="2" s="1"/>
  <c r="F25" i="2"/>
  <c r="F26" i="2"/>
  <c r="F27" i="2"/>
  <c r="F28" i="2"/>
  <c r="F29" i="2"/>
  <c r="F30" i="2"/>
  <c r="H30" i="2" s="1"/>
  <c r="F31" i="2"/>
  <c r="F32" i="2"/>
  <c r="H32" i="2" s="1"/>
  <c r="F33" i="2"/>
  <c r="F34" i="2"/>
  <c r="H34" i="2" s="1"/>
  <c r="F35" i="2"/>
  <c r="F36" i="2"/>
  <c r="F37" i="2"/>
  <c r="F38" i="2"/>
  <c r="H38" i="2" s="1"/>
  <c r="F39" i="2"/>
  <c r="F40" i="2"/>
  <c r="H11" i="2"/>
  <c r="H12" i="2"/>
  <c r="H13" i="2"/>
  <c r="H15" i="2"/>
  <c r="H19" i="2"/>
  <c r="H20" i="2"/>
  <c r="H21" i="2"/>
  <c r="H22" i="2"/>
  <c r="H23" i="2"/>
  <c r="H27" i="2"/>
  <c r="H28" i="2"/>
  <c r="H29" i="2"/>
  <c r="H31" i="2"/>
  <c r="H35" i="2"/>
  <c r="H36" i="2"/>
  <c r="H37" i="2"/>
  <c r="H39" i="2"/>
  <c r="H10" i="2"/>
  <c r="N11" i="2"/>
  <c r="N12" i="2"/>
  <c r="N13" i="2"/>
  <c r="N14" i="2"/>
  <c r="Q14" i="2" s="1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Q28" i="2" s="1"/>
  <c r="N29" i="2"/>
  <c r="N30" i="2"/>
  <c r="Q30" i="2" s="1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Q15" i="2" s="1"/>
  <c r="L16" i="2"/>
  <c r="Q16" i="2" s="1"/>
  <c r="L17" i="2"/>
  <c r="L18" i="2"/>
  <c r="L19" i="2"/>
  <c r="L20" i="2"/>
  <c r="L21" i="2"/>
  <c r="L22" i="2"/>
  <c r="L23" i="2"/>
  <c r="L24" i="2"/>
  <c r="Q24" i="2" s="1"/>
  <c r="L25" i="2"/>
  <c r="L26" i="2"/>
  <c r="L27" i="2"/>
  <c r="L28" i="2"/>
  <c r="L29" i="2"/>
  <c r="L30" i="2"/>
  <c r="L31" i="2"/>
  <c r="L32" i="2"/>
  <c r="Q32" i="2" s="1"/>
  <c r="L33" i="2"/>
  <c r="L34" i="2"/>
  <c r="L35" i="2"/>
  <c r="L36" i="2"/>
  <c r="L37" i="2"/>
  <c r="L38" i="2"/>
  <c r="L39" i="2"/>
  <c r="L40" i="2"/>
  <c r="Q40" i="2" s="1"/>
  <c r="Q11" i="2"/>
  <c r="Q12" i="2"/>
  <c r="Q13" i="2"/>
  <c r="Q19" i="2"/>
  <c r="Q20" i="2"/>
  <c r="Q21" i="2"/>
  <c r="Q22" i="2"/>
  <c r="Q23" i="2"/>
  <c r="Q27" i="2"/>
  <c r="Q29" i="2"/>
  <c r="Q31" i="2"/>
  <c r="Q35" i="2"/>
  <c r="Q36" i="2"/>
  <c r="Q37" i="2"/>
  <c r="Q38" i="2"/>
  <c r="Q39" i="2"/>
  <c r="V11" i="2"/>
  <c r="V12" i="2"/>
  <c r="V13" i="2"/>
  <c r="V14" i="2"/>
  <c r="V15" i="2"/>
  <c r="X15" i="2" s="1"/>
  <c r="V16" i="2"/>
  <c r="V17" i="2"/>
  <c r="X17" i="2" s="1"/>
  <c r="V18" i="2"/>
  <c r="X18" i="2" s="1"/>
  <c r="V19" i="2"/>
  <c r="V20" i="2"/>
  <c r="V21" i="2"/>
  <c r="V22" i="2"/>
  <c r="V23" i="2"/>
  <c r="V24" i="2"/>
  <c r="V25" i="2"/>
  <c r="V26" i="2"/>
  <c r="X26" i="2" s="1"/>
  <c r="V27" i="2"/>
  <c r="V28" i="2"/>
  <c r="V29" i="2"/>
  <c r="V30" i="2"/>
  <c r="V31" i="2"/>
  <c r="X31" i="2" s="1"/>
  <c r="V32" i="2"/>
  <c r="V33" i="2"/>
  <c r="X33" i="2" s="1"/>
  <c r="V34" i="2"/>
  <c r="X34" i="2" s="1"/>
  <c r="V35" i="2"/>
  <c r="V36" i="2"/>
  <c r="V37" i="2"/>
  <c r="V38" i="2"/>
  <c r="V39" i="2"/>
  <c r="X39" i="2" s="1"/>
  <c r="V40" i="2"/>
  <c r="X11" i="2"/>
  <c r="X12" i="2"/>
  <c r="X13" i="2"/>
  <c r="X14" i="2"/>
  <c r="X16" i="2"/>
  <c r="X19" i="2"/>
  <c r="X20" i="2"/>
  <c r="X21" i="2"/>
  <c r="X22" i="2"/>
  <c r="X24" i="2"/>
  <c r="X27" i="2"/>
  <c r="X28" i="2"/>
  <c r="X29" i="2"/>
  <c r="X30" i="2"/>
  <c r="X32" i="2"/>
  <c r="X35" i="2"/>
  <c r="X36" i="2"/>
  <c r="X37" i="2"/>
  <c r="X38" i="2"/>
  <c r="X40" i="2"/>
  <c r="O5" i="4"/>
  <c r="P5" i="4" s="1"/>
  <c r="O6" i="4"/>
  <c r="O7" i="4"/>
  <c r="O8" i="4"/>
  <c r="O9" i="4"/>
  <c r="P9" i="4" s="1"/>
  <c r="O10" i="4"/>
  <c r="O11" i="4"/>
  <c r="O12" i="4"/>
  <c r="P12" i="4" s="1"/>
  <c r="O13" i="4"/>
  <c r="P13" i="4" s="1"/>
  <c r="O14" i="4"/>
  <c r="O15" i="4"/>
  <c r="O16" i="4"/>
  <c r="O17" i="4"/>
  <c r="P17" i="4" s="1"/>
  <c r="O18" i="4"/>
  <c r="O19" i="4"/>
  <c r="O20" i="4"/>
  <c r="P20" i="4" s="1"/>
  <c r="O21" i="4"/>
  <c r="P21" i="4" s="1"/>
  <c r="O22" i="4"/>
  <c r="O23" i="4"/>
  <c r="O24" i="4"/>
  <c r="O25" i="4"/>
  <c r="P25" i="4" s="1"/>
  <c r="O26" i="4"/>
  <c r="O27" i="4"/>
  <c r="O28" i="4"/>
  <c r="P28" i="4" s="1"/>
  <c r="O29" i="4"/>
  <c r="P29" i="4" s="1"/>
  <c r="O30" i="4"/>
  <c r="O31" i="4"/>
  <c r="O32" i="4"/>
  <c r="O33" i="4"/>
  <c r="P33" i="4" s="1"/>
  <c r="O34" i="4"/>
  <c r="P6" i="4"/>
  <c r="P7" i="4"/>
  <c r="P8" i="4"/>
  <c r="P10" i="4"/>
  <c r="P11" i="4"/>
  <c r="P14" i="4"/>
  <c r="P15" i="4"/>
  <c r="P16" i="4"/>
  <c r="P18" i="4"/>
  <c r="P19" i="4"/>
  <c r="P22" i="4"/>
  <c r="P23" i="4"/>
  <c r="P24" i="4"/>
  <c r="P26" i="4"/>
  <c r="P27" i="4"/>
  <c r="P30" i="4"/>
  <c r="P31" i="4"/>
  <c r="P32" i="4"/>
  <c r="P34" i="4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M5" i="4"/>
  <c r="M6" i="4"/>
  <c r="M7" i="4"/>
  <c r="M8" i="4"/>
  <c r="M4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M48" i="4"/>
  <c r="P35" i="4"/>
  <c r="P36" i="4"/>
  <c r="O37" i="2"/>
  <c r="C22" i="6"/>
  <c r="C21" i="6"/>
  <c r="C20" i="6"/>
  <c r="C19" i="6"/>
  <c r="C18" i="6"/>
  <c r="C17" i="6"/>
  <c r="C16" i="6"/>
  <c r="C15" i="6"/>
  <c r="C14" i="6"/>
  <c r="C13" i="6"/>
  <c r="C12" i="6"/>
  <c r="P37" i="4"/>
  <c r="P38" i="4"/>
  <c r="P39" i="4"/>
  <c r="P40" i="4"/>
  <c r="C11" i="6"/>
  <c r="C10" i="6"/>
  <c r="K10" i="6"/>
  <c r="I10" i="6"/>
  <c r="G10" i="6"/>
  <c r="E10" i="6"/>
  <c r="G4" i="4"/>
  <c r="E4" i="4"/>
  <c r="C4" i="4"/>
  <c r="C39" i="6"/>
  <c r="C40" i="6"/>
  <c r="O39" i="2"/>
  <c r="C35" i="4"/>
  <c r="C38" i="6"/>
  <c r="C37" i="6"/>
  <c r="D29" i="10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P41" i="4"/>
  <c r="P42" i="4"/>
  <c r="N10" i="2"/>
  <c r="M10" i="2"/>
  <c r="L10" i="2"/>
  <c r="F10" i="2"/>
  <c r="B31" i="22"/>
  <c r="B32" i="22"/>
  <c r="B31" i="21"/>
  <c r="B32" i="21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7" i="4"/>
  <c r="G8" i="4"/>
  <c r="G11" i="4"/>
  <c r="G12" i="4"/>
  <c r="G13" i="4"/>
  <c r="G14" i="4"/>
  <c r="G15" i="4"/>
  <c r="G16" i="4"/>
  <c r="G17" i="4"/>
  <c r="G18" i="4"/>
  <c r="G20" i="4"/>
  <c r="G22" i="4"/>
  <c r="G24" i="4"/>
  <c r="G25" i="4"/>
  <c r="G26" i="4"/>
  <c r="G27" i="4"/>
  <c r="E5" i="4"/>
  <c r="E7" i="4"/>
  <c r="E8" i="4"/>
  <c r="E11" i="4"/>
  <c r="E12" i="4"/>
  <c r="E13" i="4"/>
  <c r="E14" i="4"/>
  <c r="E15" i="4"/>
  <c r="E16" i="4"/>
  <c r="E17" i="4"/>
  <c r="E18" i="4"/>
  <c r="E20" i="4"/>
  <c r="E22" i="4"/>
  <c r="E24" i="4"/>
  <c r="E25" i="4"/>
  <c r="E26" i="4"/>
  <c r="E27" i="4"/>
  <c r="C5" i="4"/>
  <c r="C7" i="4"/>
  <c r="C8" i="4"/>
  <c r="C11" i="4"/>
  <c r="C12" i="4"/>
  <c r="C13" i="4"/>
  <c r="C14" i="4"/>
  <c r="C15" i="4"/>
  <c r="C16" i="4"/>
  <c r="C17" i="4"/>
  <c r="C18" i="4"/>
  <c r="C20" i="4"/>
  <c r="C22" i="4"/>
  <c r="C24" i="4"/>
  <c r="C25" i="4"/>
  <c r="C26" i="4"/>
  <c r="C27" i="4"/>
  <c r="AC9" i="4"/>
  <c r="AC10" i="4"/>
  <c r="O11" i="2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G2" i="21"/>
  <c r="O10" i="2"/>
  <c r="I2" i="22"/>
  <c r="O31" i="2"/>
  <c r="O2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9" i="10"/>
  <c r="E20" i="10"/>
  <c r="D25" i="10"/>
  <c r="F25" i="10"/>
  <c r="F32" i="10"/>
  <c r="H25" i="10"/>
  <c r="I25" i="10"/>
  <c r="I32" i="10"/>
  <c r="F18" i="10"/>
  <c r="O36" i="2"/>
  <c r="O20" i="2"/>
  <c r="O21" i="2"/>
  <c r="O22" i="2"/>
  <c r="O30" i="2"/>
  <c r="O29" i="2"/>
  <c r="F25" i="18"/>
  <c r="F29" i="18"/>
  <c r="F21" i="11"/>
  <c r="F23" i="11"/>
  <c r="F24" i="11"/>
  <c r="F2" i="21"/>
  <c r="I21" i="4"/>
  <c r="I12" i="4"/>
  <c r="L23" i="4"/>
  <c r="L17" i="4"/>
  <c r="L13" i="4"/>
  <c r="L10" i="4"/>
  <c r="L31" i="4"/>
  <c r="L28" i="4"/>
  <c r="L16" i="4"/>
  <c r="L14" i="4"/>
  <c r="L27" i="4"/>
  <c r="L34" i="4"/>
  <c r="L30" i="4"/>
  <c r="L18" i="4"/>
  <c r="L21" i="4"/>
  <c r="L29" i="4"/>
  <c r="L24" i="4"/>
  <c r="L12" i="4"/>
  <c r="L11" i="4"/>
  <c r="L32" i="4"/>
  <c r="L26" i="4"/>
  <c r="L25" i="4"/>
  <c r="L19" i="4"/>
  <c r="L20" i="4"/>
  <c r="L33" i="4"/>
  <c r="L15" i="4"/>
  <c r="Q10" i="2"/>
  <c r="E2" i="21"/>
  <c r="J2" i="21"/>
  <c r="J3" i="21"/>
  <c r="E2" i="22"/>
  <c r="Q44" i="4"/>
  <c r="AC44" i="4"/>
  <c r="K48" i="4"/>
  <c r="L48" i="4"/>
  <c r="L9" i="4"/>
  <c r="AC43" i="4"/>
  <c r="I9" i="4"/>
  <c r="H26" i="2" l="1"/>
  <c r="H33" i="2"/>
  <c r="H25" i="2"/>
  <c r="H17" i="2"/>
  <c r="H40" i="2"/>
  <c r="H16" i="2"/>
  <c r="Q33" i="2"/>
  <c r="Q25" i="2"/>
  <c r="Q17" i="2"/>
  <c r="O34" i="2"/>
  <c r="Q34" i="2"/>
  <c r="Q26" i="2"/>
  <c r="Q18" i="2"/>
  <c r="X23" i="2"/>
  <c r="X25" i="2"/>
  <c r="J22" i="21"/>
  <c r="J9" i="21"/>
  <c r="N41" i="2"/>
  <c r="I46" i="2" s="1"/>
  <c r="L46" i="2" s="1"/>
  <c r="O25" i="2"/>
  <c r="O24" i="2"/>
  <c r="O16" i="2"/>
  <c r="J8" i="21"/>
  <c r="O32" i="2"/>
  <c r="J20" i="21"/>
  <c r="J24" i="21"/>
  <c r="J23" i="21"/>
  <c r="M41" i="2"/>
  <c r="I45" i="2" s="1"/>
  <c r="L45" i="2" s="1"/>
  <c r="O23" i="2"/>
  <c r="J16" i="21"/>
  <c r="J30" i="21"/>
  <c r="J13" i="21"/>
  <c r="O33" i="2"/>
  <c r="O35" i="2"/>
  <c r="O27" i="2"/>
  <c r="J19" i="21"/>
  <c r="O19" i="2"/>
  <c r="L41" i="2"/>
  <c r="O17" i="2"/>
  <c r="O18" i="2"/>
  <c r="J15" i="21"/>
  <c r="J25" i="21"/>
  <c r="O26" i="2"/>
  <c r="J12" i="21"/>
  <c r="J21" i="21"/>
  <c r="F41" i="2"/>
  <c r="J26" i="21"/>
  <c r="J18" i="21"/>
  <c r="J10" i="21"/>
  <c r="G21" i="4"/>
  <c r="E21" i="4"/>
  <c r="C21" i="4"/>
  <c r="O40" i="2"/>
  <c r="G10" i="4"/>
  <c r="E10" i="4"/>
  <c r="C10" i="4"/>
  <c r="G32" i="4"/>
  <c r="E32" i="4"/>
  <c r="C32" i="4"/>
  <c r="G19" i="4"/>
  <c r="E19" i="4"/>
  <c r="C19" i="4"/>
  <c r="L6" i="4"/>
  <c r="G6" i="4"/>
  <c r="E6" i="4"/>
  <c r="C6" i="4"/>
  <c r="G23" i="4"/>
  <c r="E23" i="4"/>
  <c r="C23" i="4"/>
  <c r="G9" i="4"/>
  <c r="E9" i="4"/>
  <c r="C9" i="4"/>
  <c r="O14" i="2"/>
  <c r="L8" i="4"/>
  <c r="J14" i="21"/>
  <c r="I4" i="4"/>
  <c r="L4" i="4"/>
  <c r="N4" i="4" s="1"/>
  <c r="M9" i="22" l="1"/>
  <c r="M17" i="22"/>
  <c r="J17" i="21"/>
  <c r="M11" i="22"/>
  <c r="J11" i="21"/>
  <c r="M10" i="22"/>
  <c r="M19" i="22"/>
  <c r="M20" i="22"/>
  <c r="M14" i="22"/>
  <c r="M25" i="22"/>
  <c r="M13" i="22"/>
  <c r="M24" i="22"/>
  <c r="M15" i="22"/>
  <c r="M18" i="22"/>
  <c r="M26" i="22"/>
  <c r="M21" i="22"/>
  <c r="M23" i="22"/>
  <c r="M22" i="22"/>
  <c r="M16" i="22"/>
  <c r="M12" i="22"/>
  <c r="O15" i="2"/>
  <c r="O13" i="2"/>
  <c r="O12" i="2"/>
  <c r="M8" i="22"/>
  <c r="H41" i="2"/>
  <c r="O4" i="4"/>
  <c r="N43" i="4"/>
  <c r="M3" i="22"/>
  <c r="O41" i="2" l="1"/>
  <c r="Q41" i="2"/>
  <c r="M4" i="22"/>
  <c r="P4" i="4"/>
  <c r="V10" i="2"/>
  <c r="X10" i="2" s="1"/>
  <c r="I48" i="2"/>
  <c r="L48" i="2" s="1"/>
  <c r="N48" i="2" s="1"/>
  <c r="I44" i="2"/>
  <c r="L44" i="2" s="1"/>
  <c r="N44" i="2" s="1"/>
  <c r="N47" i="2" s="1"/>
  <c r="J4" i="21"/>
  <c r="J5" i="21"/>
  <c r="M5" i="22"/>
  <c r="M6" i="22"/>
  <c r="J6" i="21"/>
  <c r="M7" i="22"/>
  <c r="J7" i="21"/>
  <c r="O43" i="4"/>
  <c r="P43" i="4" s="1"/>
  <c r="K47" i="4"/>
  <c r="X41" i="2" l="1"/>
  <c r="G2" i="22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<sst xmlns="http://schemas.openxmlformats.org/spreadsheetml/2006/main" count="478" uniqueCount="185">
  <si>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</si>
  <si>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</si>
  <si>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</si>
  <si>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</si>
  <si>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</si>
  <si>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</si>
  <si>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</si>
  <si>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</si>
  <si>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</si>
  <si>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</si>
  <si>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</si>
  <si>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</si>
  <si>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</si>
  <si>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</si>
  <si>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</si>
  <si>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</si>
  <si>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</si>
  <si>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</si>
  <si>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</si>
  <si>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</si>
  <si>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</si>
  <si>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</si>
  <si>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</si>
  <si>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</si>
  <si>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</si>
  <si>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</si>
  <si>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</si>
  <si>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</si>
  <si>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</si>
  <si>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</si>
  <si>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</si>
  <si>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</si>
  <si>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</si>
  <si>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</si>
  <si>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</si>
  <si>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</si>
  <si>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</si>
  <si>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</si>
  <si>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</si>
  <si>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</si>
  <si>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</si>
  <si>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</si>
  <si>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</si>
  <si>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</si>
  <si>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</si>
  <si>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</si>
  <si>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</si>
  <si>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</si>
  <si>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</si>
  <si>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</si>
  <si>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</si>
  <si>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</si>
  <si>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</si>
  <si>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</si>
  <si>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</si>
  <si>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</si>
  <si>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</si>
  <si>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</si>
  <si>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</si>
  <si>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</si>
  <si>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</si>
  <si>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</si>
  <si>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</si>
  <si>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</si>
  <si>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</si>
  <si>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</si>
  <si>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</si>
  <si>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</si>
  <si>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</si>
  <si>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</si>
  <si>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</si>
  <si>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</si>
  <si>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</si>
  <si>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</si>
  <si>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</si>
  <si>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</si>
  <si>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</si>
  <si>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</si>
  <si>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</si>
  <si>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</si>
  <si>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</si>
  <si>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</si>
  <si>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</si>
  <si>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</si>
  <si>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</si>
  <si>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</si>
  <si>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</si>
  <si>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Aout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</si>
  <si>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</si>
  <si>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</si>
  <si>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</si>
  <si>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</si>
  <si>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</si>
  <si>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</si>
  <si>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</si>
  <si>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</si>
  <si>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</si>
  <si>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</si>
  <si>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</si>
  <si>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</si>
  <si>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</si>
  <si>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</si>
  <si>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</si>
  <si>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</si>
  <si>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</si>
  <si>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</si>
  <si>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</si>
  <si>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</si>
  <si>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</si>
  <si>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</si>
  <si>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</si>
  <si>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</si>
  <si>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</si>
  <si>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</si>
  <si>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</si>
  <si>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</si>
  <si>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</si>
  <si>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</si>
  <si>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</si>
  <si>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</si>
  <si>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</si>
  <si>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</si>
  <si>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</si>
  <si>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</si>
  <si>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</si>
  <si>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</si>
  <si>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</si>
  <si>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</si>
  <si>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</si>
  <si>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</si>
  <si>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</si>
  <si>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</si>
  <si>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Aout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</si>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</sst>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21" fillId="25" borderId="60" xfId="0" applyFont="1" applyFill="1" applyBorder="1" applyAlignment="1">
      <alignment horizontal="center" vertical="center" wrapText="1"/>
    </xf>
    <xf numFmtId="0" fontId="21" fillId="13" borderId="42" xfId="0" applyFont="1" applyFill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14" fontId="21" fillId="0" borderId="58" xfId="0" applyNumberFormat="1" applyFont="1" applyBorder="1" applyAlignment="1">
      <alignment horizontal="center"/>
    </xf>
    <xf numFmtId="0" fontId="0" fillId="0" borderId="58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116.39999999999418</c:v>
                </c:pt>
                <c:pt idx="1">
                  <c:v>106.40000000000873</c:v>
                </c:pt>
                <c:pt idx="2">
                  <c:v>237.59999999999127</c:v>
                </c:pt>
                <c:pt idx="3">
                  <c:v>123.5</c:v>
                </c:pt>
                <c:pt idx="4">
                  <c:v>103.70000000001164</c:v>
                </c:pt>
                <c:pt idx="5">
                  <c:v>107.09999999999127</c:v>
                </c:pt>
                <c:pt idx="6">
                  <c:v>125.10000000000582</c:v>
                </c:pt>
                <c:pt idx="7">
                  <c:v>117.59999999999127</c:v>
                </c:pt>
                <c:pt idx="8">
                  <c:v>91.100000000005821</c:v>
                </c:pt>
                <c:pt idx="9">
                  <c:v>122.60000000000582</c:v>
                </c:pt>
                <c:pt idx="10">
                  <c:v>111.39999999999418</c:v>
                </c:pt>
                <c:pt idx="11">
                  <c:v>119</c:v>
                </c:pt>
                <c:pt idx="12">
                  <c:v>112</c:v>
                </c:pt>
                <c:pt idx="13">
                  <c:v>126</c:v>
                </c:pt>
                <c:pt idx="14">
                  <c:v>96</c:v>
                </c:pt>
                <c:pt idx="15">
                  <c:v>94</c:v>
                </c:pt>
                <c:pt idx="16">
                  <c:v>21.80000000000291</c:v>
                </c:pt>
                <c:pt idx="17">
                  <c:v>201</c:v>
                </c:pt>
                <c:pt idx="18">
                  <c:v>136.19999999999709</c:v>
                </c:pt>
                <c:pt idx="19">
                  <c:v>115.5</c:v>
                </c:pt>
                <c:pt idx="20">
                  <c:v>110.10000000000582</c:v>
                </c:pt>
                <c:pt idx="21">
                  <c:v>114.5</c:v>
                </c:pt>
                <c:pt idx="22">
                  <c:v>100.89999999999418</c:v>
                </c:pt>
                <c:pt idx="23">
                  <c:v>132</c:v>
                </c:pt>
                <c:pt idx="24">
                  <c:v>124.39999999999418</c:v>
                </c:pt>
                <c:pt idx="25">
                  <c:v>106.60000000000582</c:v>
                </c:pt>
                <c:pt idx="26">
                  <c:v>88.399999999994179</c:v>
                </c:pt>
                <c:pt idx="27">
                  <c:v>95</c:v>
                </c:pt>
                <c:pt idx="28">
                  <c:v>85</c:v>
                </c:pt>
                <c:pt idx="29">
                  <c:v>78.400000000008731</c:v>
                </c:pt>
                <c:pt idx="30">
                  <c:v>95.599999999991269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3789</c:v>
                </c:pt>
                <c:pt idx="1">
                  <c:v>3323</c:v>
                </c:pt>
                <c:pt idx="2">
                  <c:v>3355</c:v>
                </c:pt>
                <c:pt idx="3">
                  <c:v>3228</c:v>
                </c:pt>
                <c:pt idx="4">
                  <c:v>4251</c:v>
                </c:pt>
                <c:pt idx="5">
                  <c:v>3759</c:v>
                </c:pt>
                <c:pt idx="6">
                  <c:v>4155</c:v>
                </c:pt>
                <c:pt idx="7">
                  <c:v>3897</c:v>
                </c:pt>
                <c:pt idx="8">
                  <c:v>3560</c:v>
                </c:pt>
                <c:pt idx="9">
                  <c:v>3409</c:v>
                </c:pt>
                <c:pt idx="10">
                  <c:v>3884</c:v>
                </c:pt>
                <c:pt idx="11">
                  <c:v>3586</c:v>
                </c:pt>
                <c:pt idx="12">
                  <c:v>3716</c:v>
                </c:pt>
                <c:pt idx="13">
                  <c:v>4049</c:v>
                </c:pt>
                <c:pt idx="14">
                  <c:v>4072</c:v>
                </c:pt>
                <c:pt idx="15">
                  <c:v>4411</c:v>
                </c:pt>
                <c:pt idx="16">
                  <c:v>3983</c:v>
                </c:pt>
                <c:pt idx="17">
                  <c:v>4274</c:v>
                </c:pt>
                <c:pt idx="18">
                  <c:v>4150</c:v>
                </c:pt>
                <c:pt idx="19">
                  <c:v>3972</c:v>
                </c:pt>
                <c:pt idx="20">
                  <c:v>3826</c:v>
                </c:pt>
                <c:pt idx="21">
                  <c:v>3925</c:v>
                </c:pt>
                <c:pt idx="22">
                  <c:v>3683</c:v>
                </c:pt>
                <c:pt idx="23">
                  <c:v>3637</c:v>
                </c:pt>
                <c:pt idx="24">
                  <c:v>3331</c:v>
                </c:pt>
                <c:pt idx="25">
                  <c:v>3576</c:v>
                </c:pt>
                <c:pt idx="26">
                  <c:v>4285</c:v>
                </c:pt>
                <c:pt idx="27">
                  <c:v>3773</c:v>
                </c:pt>
                <c:pt idx="28">
                  <c:v>3644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8010</c:v>
                </c:pt>
                <c:pt idx="1">
                  <c:v>7812</c:v>
                </c:pt>
                <c:pt idx="2">
                  <c:v>7827</c:v>
                </c:pt>
                <c:pt idx="3">
                  <c:v>7581</c:v>
                </c:pt>
                <c:pt idx="4">
                  <c:v>7941</c:v>
                </c:pt>
                <c:pt idx="5">
                  <c:v>8185</c:v>
                </c:pt>
                <c:pt idx="6">
                  <c:v>8948</c:v>
                </c:pt>
                <c:pt idx="7">
                  <c:v>8099</c:v>
                </c:pt>
                <c:pt idx="8">
                  <c:v>7480</c:v>
                </c:pt>
                <c:pt idx="9">
                  <c:v>7802</c:v>
                </c:pt>
                <c:pt idx="10">
                  <c:v>8314</c:v>
                </c:pt>
                <c:pt idx="11">
                  <c:v>8726</c:v>
                </c:pt>
                <c:pt idx="12">
                  <c:v>8757</c:v>
                </c:pt>
                <c:pt idx="13">
                  <c:v>9373</c:v>
                </c:pt>
                <c:pt idx="14">
                  <c:v>8962</c:v>
                </c:pt>
                <c:pt idx="15">
                  <c:v>9259</c:v>
                </c:pt>
                <c:pt idx="16">
                  <c:v>9612</c:v>
                </c:pt>
                <c:pt idx="17">
                  <c:v>8776</c:v>
                </c:pt>
                <c:pt idx="18">
                  <c:v>8412</c:v>
                </c:pt>
                <c:pt idx="19">
                  <c:v>8416</c:v>
                </c:pt>
                <c:pt idx="20">
                  <c:v>7869</c:v>
                </c:pt>
                <c:pt idx="21">
                  <c:v>8217</c:v>
                </c:pt>
                <c:pt idx="22">
                  <c:v>8145</c:v>
                </c:pt>
                <c:pt idx="23">
                  <c:v>8037</c:v>
                </c:pt>
                <c:pt idx="24">
                  <c:v>7368</c:v>
                </c:pt>
                <c:pt idx="25">
                  <c:v>7411</c:v>
                </c:pt>
                <c:pt idx="26">
                  <c:v>7896</c:v>
                </c:pt>
                <c:pt idx="27">
                  <c:v>7462</c:v>
                </c:pt>
                <c:pt idx="28">
                  <c:v>7439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2981</c:v>
                </c:pt>
                <c:pt idx="1">
                  <c:v>2885</c:v>
                </c:pt>
                <c:pt idx="2">
                  <c:v>3276</c:v>
                </c:pt>
                <c:pt idx="3">
                  <c:v>3114</c:v>
                </c:pt>
                <c:pt idx="4">
                  <c:v>2925</c:v>
                </c:pt>
                <c:pt idx="5">
                  <c:v>3363</c:v>
                </c:pt>
                <c:pt idx="6">
                  <c:v>3364</c:v>
                </c:pt>
                <c:pt idx="7">
                  <c:v>2782</c:v>
                </c:pt>
                <c:pt idx="8">
                  <c:v>2610</c:v>
                </c:pt>
                <c:pt idx="9">
                  <c:v>2111</c:v>
                </c:pt>
                <c:pt idx="10">
                  <c:v>2595</c:v>
                </c:pt>
                <c:pt idx="11">
                  <c:v>2902</c:v>
                </c:pt>
                <c:pt idx="12">
                  <c:v>3012</c:v>
                </c:pt>
                <c:pt idx="13">
                  <c:v>3383</c:v>
                </c:pt>
                <c:pt idx="14">
                  <c:v>3209</c:v>
                </c:pt>
                <c:pt idx="15">
                  <c:v>3337</c:v>
                </c:pt>
                <c:pt idx="16">
                  <c:v>3157</c:v>
                </c:pt>
                <c:pt idx="17">
                  <c:v>3265</c:v>
                </c:pt>
                <c:pt idx="18">
                  <c:v>3562</c:v>
                </c:pt>
                <c:pt idx="19">
                  <c:v>3364</c:v>
                </c:pt>
                <c:pt idx="20">
                  <c:v>3254</c:v>
                </c:pt>
                <c:pt idx="21">
                  <c:v>3631</c:v>
                </c:pt>
                <c:pt idx="22">
                  <c:v>3024</c:v>
                </c:pt>
                <c:pt idx="23">
                  <c:v>2635</c:v>
                </c:pt>
                <c:pt idx="24">
                  <c:v>2624</c:v>
                </c:pt>
                <c:pt idx="25">
                  <c:v>2639</c:v>
                </c:pt>
                <c:pt idx="26">
                  <c:v>3174</c:v>
                </c:pt>
                <c:pt idx="27">
                  <c:v>2944</c:v>
                </c:pt>
                <c:pt idx="28">
                  <c:v>2505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319.99209999999999</c:v>
                </c:pt>
                <c:pt idx="2">
                  <c:v>351.99131</c:v>
                </c:pt>
                <c:pt idx="3">
                  <c:v>127.99684000000001</c:v>
                </c:pt>
                <c:pt idx="4">
                  <c:v>191.99526</c:v>
                </c:pt>
                <c:pt idx="5">
                  <c:v>287.99288999999999</c:v>
                </c:pt>
                <c:pt idx="6">
                  <c:v>255.99368000000001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351.99131</c:v>
                </c:pt>
                <c:pt idx="10">
                  <c:v>255.99368000000001</c:v>
                </c:pt>
                <c:pt idx="11">
                  <c:v>127.99684000000001</c:v>
                </c:pt>
                <c:pt idx="12">
                  <c:v>415.98973000000001</c:v>
                </c:pt>
                <c:pt idx="13">
                  <c:v>95.997630000000001</c:v>
                </c:pt>
                <c:pt idx="14">
                  <c:v>95.997630000000001</c:v>
                </c:pt>
                <c:pt idx="15">
                  <c:v>159.99605</c:v>
                </c:pt>
                <c:pt idx="16">
                  <c:v>511.98736000000002</c:v>
                </c:pt>
                <c:pt idx="17">
                  <c:v>415.98973000000001</c:v>
                </c:pt>
                <c:pt idx="18">
                  <c:v>95.997630000000001</c:v>
                </c:pt>
                <c:pt idx="19">
                  <c:v>351.99131</c:v>
                </c:pt>
                <c:pt idx="20">
                  <c:v>127.99684000000001</c:v>
                </c:pt>
                <c:pt idx="21">
                  <c:v>127.99684000000001</c:v>
                </c:pt>
                <c:pt idx="22">
                  <c:v>191.99526</c:v>
                </c:pt>
                <c:pt idx="23">
                  <c:v>223.99447000000001</c:v>
                </c:pt>
                <c:pt idx="24">
                  <c:v>255.99368000000001</c:v>
                </c:pt>
                <c:pt idx="25">
                  <c:v>287.99288999999999</c:v>
                </c:pt>
                <c:pt idx="26">
                  <c:v>319.99209999999999</c:v>
                </c:pt>
                <c:pt idx="27">
                  <c:v>191.99526</c:v>
                </c:pt>
                <c:pt idx="28">
                  <c:v>607.98499000000004</c:v>
                </c:pt>
                <c:pt idx="29">
                  <c:v>191.99526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K2" sqref="K2:K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8</v>
      </c>
      <c r="D2" s="141">
        <v>2021</v>
      </c>
      <c r="E2" s="137">
        <f>submetering!E2+submetering!F2+submetering!G2</f>
        <v>14780</v>
      </c>
      <c r="F2" s="134">
        <v>1.05</v>
      </c>
      <c r="G2" s="134">
        <f>'Consommation mensuel énergie'!V10</f>
        <v>287.99288999999999</v>
      </c>
      <c r="H2" s="134">
        <v>9.61</v>
      </c>
      <c r="I2" s="134">
        <f>'Consommation mensuel énergie'!F10</f>
        <v>116.39999999999418</v>
      </c>
      <c r="J2" s="134">
        <v>11.4</v>
      </c>
      <c r="K2" s="137">
        <f>'Consommation mensuel énergie'!D10</f>
        <v>107</v>
      </c>
      <c r="L2" s="137">
        <f>'Consommation mensuel énergie'!E10</f>
        <v>174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8</v>
      </c>
      <c r="D3" s="141">
        <v>2021</v>
      </c>
      <c r="E3" s="137">
        <f>submetering!E3+submetering!F3+submetering!G3</f>
        <v>14020</v>
      </c>
      <c r="F3" s="134">
        <v>1.05</v>
      </c>
      <c r="G3" s="134">
        <f>'Consommation mensuel énergie'!V11</f>
        <v>319.99209999999999</v>
      </c>
      <c r="H3" s="134">
        <v>9.61</v>
      </c>
      <c r="I3" s="134">
        <f>'Consommation mensuel énergie'!F11</f>
        <v>106.40000000000873</v>
      </c>
      <c r="J3" s="134">
        <v>11.4</v>
      </c>
      <c r="K3" s="137">
        <f>'Consommation mensuel énergie'!D11</f>
        <v>91</v>
      </c>
      <c r="L3" s="137">
        <f>'Consommation mensuel énergie'!E11</f>
        <v>155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8</v>
      </c>
      <c r="D4" s="141">
        <v>2021</v>
      </c>
      <c r="E4" s="137">
        <f>submetering!E4+submetering!F4+submetering!G4</f>
        <v>14458</v>
      </c>
      <c r="F4" s="134">
        <v>1.05</v>
      </c>
      <c r="G4" s="134">
        <f>'Consommation mensuel énergie'!V12</f>
        <v>351.99131</v>
      </c>
      <c r="H4" s="134">
        <v>9.61</v>
      </c>
      <c r="I4" s="134">
        <f>'Consommation mensuel énergie'!F12</f>
        <v>237.59999999999127</v>
      </c>
      <c r="J4" s="134">
        <v>11.4</v>
      </c>
      <c r="K4" s="137">
        <f>'Consommation mensuel énergie'!D12</f>
        <v>84</v>
      </c>
      <c r="L4" s="137">
        <f>'Consommation mensuel énergie'!E12</f>
        <v>144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8</v>
      </c>
      <c r="D5" s="141">
        <v>2021</v>
      </c>
      <c r="E5" s="137">
        <f>submetering!E5+submetering!F5+submetering!G5</f>
        <v>13923</v>
      </c>
      <c r="F5" s="134">
        <v>1.05</v>
      </c>
      <c r="G5" s="134">
        <f>'Consommation mensuel énergie'!V13</f>
        <v>127.99684000000001</v>
      </c>
      <c r="H5" s="134">
        <v>9.61</v>
      </c>
      <c r="I5" s="134">
        <f>'Consommation mensuel énergie'!F13</f>
        <v>123.5</v>
      </c>
      <c r="J5" s="134">
        <v>11.4</v>
      </c>
      <c r="K5" s="137">
        <f>'Consommation mensuel énergie'!D13</f>
        <v>96</v>
      </c>
      <c r="L5" s="137">
        <f>'Consommation mensuel énergie'!E13</f>
        <v>152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8</v>
      </c>
      <c r="D6" s="141">
        <v>2021</v>
      </c>
      <c r="E6" s="137">
        <f>submetering!E6+submetering!F6+submetering!G6</f>
        <v>15117</v>
      </c>
      <c r="F6" s="134">
        <v>1.05</v>
      </c>
      <c r="G6" s="134">
        <f>'Consommation mensuel énergie'!V14</f>
        <v>191.99526</v>
      </c>
      <c r="H6" s="134">
        <v>9.61</v>
      </c>
      <c r="I6" s="134">
        <f>'Consommation mensuel énergie'!F14</f>
        <v>103.70000000001164</v>
      </c>
      <c r="J6" s="134">
        <v>11.4</v>
      </c>
      <c r="K6" s="137">
        <f>'Consommation mensuel énergie'!D14</f>
        <v>107</v>
      </c>
      <c r="L6" s="137">
        <f>'Consommation mensuel énergie'!E14</f>
        <v>168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8</v>
      </c>
      <c r="D7" s="141">
        <v>2021</v>
      </c>
      <c r="E7" s="137">
        <f>submetering!E7+submetering!F7+submetering!G7</f>
        <v>15307</v>
      </c>
      <c r="F7" s="134">
        <v>1.05</v>
      </c>
      <c r="G7" s="134">
        <f>'Consommation mensuel énergie'!V15</f>
        <v>287.99288999999999</v>
      </c>
      <c r="H7" s="134">
        <v>9.61</v>
      </c>
      <c r="I7" s="134">
        <f>'Consommation mensuel énergie'!F15</f>
        <v>107.09999999999127</v>
      </c>
      <c r="J7" s="134">
        <v>11.4</v>
      </c>
      <c r="K7" s="137">
        <f>'Consommation mensuel énergie'!D15</f>
        <v>98</v>
      </c>
      <c r="L7" s="137">
        <f>'Consommation mensuel énergie'!E15</f>
        <v>173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8</v>
      </c>
      <c r="D8" s="141">
        <v>2021</v>
      </c>
      <c r="E8" s="137">
        <f>submetering!E8+submetering!F8+submetering!G8</f>
        <v>16467</v>
      </c>
      <c r="F8" s="134">
        <v>1.05</v>
      </c>
      <c r="G8" s="134">
        <f>'Consommation mensuel énergie'!V16</f>
        <v>255.99368000000001</v>
      </c>
      <c r="H8" s="134">
        <v>9.61</v>
      </c>
      <c r="I8" s="134">
        <f>'Consommation mensuel énergie'!F16</f>
        <v>125.10000000000582</v>
      </c>
      <c r="J8" s="134">
        <v>11.4</v>
      </c>
      <c r="K8" s="137">
        <f>'Consommation mensuel énergie'!D16</f>
        <v>100</v>
      </c>
      <c r="L8" s="137">
        <f>'Consommation mensuel énergie'!E16</f>
        <v>182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8</v>
      </c>
      <c r="D9" s="141">
        <v>2021</v>
      </c>
      <c r="E9" s="137">
        <f>submetering!E9+submetering!F9+submetering!G9</f>
        <v>14778</v>
      </c>
      <c r="F9" s="134">
        <v>1.05</v>
      </c>
      <c r="G9" s="134">
        <f>'Consommation mensuel énergie'!V17</f>
        <v>287.99288999999999</v>
      </c>
      <c r="H9" s="134">
        <v>9.61</v>
      </c>
      <c r="I9" s="134">
        <f>'Consommation mensuel énergie'!F17</f>
        <v>117.59999999999127</v>
      </c>
      <c r="J9" s="134">
        <v>11.4</v>
      </c>
      <c r="K9" s="137">
        <f>'Consommation mensuel énergie'!D17</f>
        <v>66</v>
      </c>
      <c r="L9" s="137">
        <f>'Consommation mensuel énergie'!E17</f>
        <v>115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8</v>
      </c>
      <c r="D10" s="141">
        <v>2021</v>
      </c>
      <c r="E10" s="137">
        <f>submetering!E10+submetering!F10+submetering!G10</f>
        <v>13650</v>
      </c>
      <c r="F10" s="134">
        <v>1.05</v>
      </c>
      <c r="G10" s="134">
        <f>'Consommation mensuel énergie'!V18</f>
        <v>255.99368000000001</v>
      </c>
      <c r="H10" s="134">
        <v>9.61</v>
      </c>
      <c r="I10" s="134">
        <f>'Consommation mensuel énergie'!F18</f>
        <v>91.100000000005821</v>
      </c>
      <c r="J10" s="134">
        <v>11.4</v>
      </c>
      <c r="K10" s="137">
        <f>'Consommation mensuel énergie'!D18</f>
        <v>70</v>
      </c>
      <c r="L10" s="137">
        <f>'Consommation mensuel énergie'!E18</f>
        <v>127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8</v>
      </c>
      <c r="D11" s="141">
        <v>2021</v>
      </c>
      <c r="E11" s="137">
        <f>submetering!E11+submetering!F11+submetering!G11</f>
        <v>13322</v>
      </c>
      <c r="F11" s="134">
        <v>1.05</v>
      </c>
      <c r="G11" s="134">
        <f>'Consommation mensuel énergie'!V19</f>
        <v>351.99131</v>
      </c>
      <c r="H11" s="134">
        <v>9.61</v>
      </c>
      <c r="I11" s="134">
        <f>'Consommation mensuel énergie'!F19</f>
        <v>122.60000000000582</v>
      </c>
      <c r="J11" s="134">
        <v>11.4</v>
      </c>
      <c r="K11" s="137">
        <f>'Consommation mensuel énergie'!D19</f>
        <v>76</v>
      </c>
      <c r="L11" s="137">
        <f>'Consommation mensuel énergie'!E19</f>
        <v>142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8</v>
      </c>
      <c r="D12" s="141">
        <v>2021</v>
      </c>
      <c r="E12" s="137">
        <f>submetering!E12+submetering!F12+submetering!G12</f>
        <v>14793</v>
      </c>
      <c r="F12" s="134">
        <v>1.05</v>
      </c>
      <c r="G12" s="134">
        <f>'Consommation mensuel énergie'!V20</f>
        <v>255.99368000000001</v>
      </c>
      <c r="H12" s="134">
        <v>9.61</v>
      </c>
      <c r="I12" s="134">
        <f>'Consommation mensuel énergie'!F20</f>
        <v>111.39999999999418</v>
      </c>
      <c r="J12" s="134">
        <v>11.4</v>
      </c>
      <c r="K12" s="137">
        <f>'Consommation mensuel énergie'!D20</f>
        <v>87</v>
      </c>
      <c r="L12" s="137">
        <f>'Consommation mensuel énergie'!E20</f>
        <v>158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8</v>
      </c>
      <c r="D13" s="141">
        <v>2021</v>
      </c>
      <c r="E13" s="137">
        <f>submetering!E13+submetering!F13+submetering!G13</f>
        <v>15214</v>
      </c>
      <c r="F13" s="134">
        <v>1.05</v>
      </c>
      <c r="G13" s="134">
        <f>'Consommation mensuel énergie'!V21</f>
        <v>127.99684000000001</v>
      </c>
      <c r="H13" s="134">
        <v>9.61</v>
      </c>
      <c r="I13" s="134">
        <f>'Consommation mensuel énergie'!F21</f>
        <v>119</v>
      </c>
      <c r="J13" s="134">
        <v>11.4</v>
      </c>
      <c r="K13" s="137">
        <f>'Consommation mensuel énergie'!D21</f>
        <v>84</v>
      </c>
      <c r="L13" s="137">
        <f>'Consommation mensuel énergie'!E21</f>
        <v>159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8</v>
      </c>
      <c r="D14" s="141">
        <v>2021</v>
      </c>
      <c r="E14" s="137">
        <f>submetering!E14+submetering!F14+submetering!G14</f>
        <v>15485</v>
      </c>
      <c r="F14" s="134">
        <v>1.05</v>
      </c>
      <c r="G14" s="134">
        <f>'Consommation mensuel énergie'!V22</f>
        <v>415.98973000000001</v>
      </c>
      <c r="H14" s="134">
        <v>9.61</v>
      </c>
      <c r="I14" s="134">
        <f>'Consommation mensuel énergie'!F22</f>
        <v>112</v>
      </c>
      <c r="J14" s="134">
        <v>11.4</v>
      </c>
      <c r="K14" s="137">
        <f>'Consommation mensuel énergie'!D22</f>
        <v>93</v>
      </c>
      <c r="L14" s="137">
        <f>'Consommation mensuel énergie'!E22</f>
        <v>190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8</v>
      </c>
      <c r="D15" s="141">
        <v>2021</v>
      </c>
      <c r="E15" s="137">
        <f>submetering!E15+submetering!F15+submetering!G15</f>
        <v>16805</v>
      </c>
      <c r="F15" s="134">
        <v>1.05</v>
      </c>
      <c r="G15" s="134">
        <f>'Consommation mensuel énergie'!V23</f>
        <v>95.997630000000001</v>
      </c>
      <c r="H15" s="134">
        <v>9.61</v>
      </c>
      <c r="I15" s="134">
        <f>'Consommation mensuel énergie'!F23</f>
        <v>126</v>
      </c>
      <c r="J15" s="134">
        <v>11.4</v>
      </c>
      <c r="K15" s="137">
        <f>'Consommation mensuel énergie'!D23</f>
        <v>91</v>
      </c>
      <c r="L15" s="137">
        <f>'Consommation mensuel énergie'!E23</f>
        <v>177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8</v>
      </c>
      <c r="D16" s="141">
        <v>2021</v>
      </c>
      <c r="E16" s="137">
        <f>submetering!E16+submetering!F16+submetering!G16</f>
        <v>16243</v>
      </c>
      <c r="F16" s="134">
        <v>1.05</v>
      </c>
      <c r="G16" s="134">
        <f>'Consommation mensuel énergie'!V24</f>
        <v>95.997630000000001</v>
      </c>
      <c r="H16" s="134">
        <v>9.61</v>
      </c>
      <c r="I16" s="134">
        <f>'Consommation mensuel énergie'!F24</f>
        <v>96</v>
      </c>
      <c r="J16" s="134">
        <v>11.4</v>
      </c>
      <c r="K16" s="137">
        <f>'Consommation mensuel énergie'!D24</f>
        <v>71</v>
      </c>
      <c r="L16" s="137">
        <f>'Consommation mensuel énergie'!E24</f>
        <v>139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8</v>
      </c>
      <c r="D17" s="141">
        <v>2021</v>
      </c>
      <c r="E17" s="137">
        <f>submetering!E17+submetering!F17+submetering!G17</f>
        <v>17007</v>
      </c>
      <c r="F17" s="134">
        <v>1.05</v>
      </c>
      <c r="G17" s="134">
        <f>'Consommation mensuel énergie'!V25</f>
        <v>159.99605</v>
      </c>
      <c r="H17" s="134">
        <v>9.61</v>
      </c>
      <c r="I17" s="134">
        <f>'Consommation mensuel énergie'!F25</f>
        <v>94</v>
      </c>
      <c r="J17" s="134">
        <v>11.4</v>
      </c>
      <c r="K17" s="137">
        <f>'Consommation mensuel énergie'!D25</f>
        <v>79</v>
      </c>
      <c r="L17" s="137">
        <f>'Consommation mensuel énergie'!E25</f>
        <v>131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8</v>
      </c>
      <c r="D18" s="141">
        <v>2021</v>
      </c>
      <c r="E18" s="137">
        <f>submetering!E18+submetering!F18+submetering!G18</f>
        <v>16752</v>
      </c>
      <c r="F18" s="134">
        <v>1.05</v>
      </c>
      <c r="G18" s="134">
        <f>'Consommation mensuel énergie'!V26</f>
        <v>511.98736000000002</v>
      </c>
      <c r="H18" s="134">
        <v>9.61</v>
      </c>
      <c r="I18" s="134">
        <f>'Consommation mensuel énergie'!F26</f>
        <v>21.80000000000291</v>
      </c>
      <c r="J18" s="134">
        <v>11.4</v>
      </c>
      <c r="K18" s="137">
        <f>'Consommation mensuel énergie'!D26</f>
        <v>118</v>
      </c>
      <c r="L18" s="137">
        <f>'Consommation mensuel énergie'!E26</f>
        <v>192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8</v>
      </c>
      <c r="D19" s="141">
        <v>2021</v>
      </c>
      <c r="E19" s="137">
        <f>submetering!E19+submetering!F19+submetering!G19</f>
        <v>16315</v>
      </c>
      <c r="F19" s="134">
        <v>1.05</v>
      </c>
      <c r="G19" s="134">
        <f>'Consommation mensuel énergie'!V27</f>
        <v>415.98973000000001</v>
      </c>
      <c r="H19" s="134">
        <v>9.61</v>
      </c>
      <c r="I19" s="134">
        <f>'Consommation mensuel énergie'!F27</f>
        <v>201</v>
      </c>
      <c r="J19" s="134">
        <v>11.4</v>
      </c>
      <c r="K19" s="137">
        <f>'Consommation mensuel énergie'!D27</f>
        <v>93</v>
      </c>
      <c r="L19" s="137">
        <f>'Consommation mensuel énergie'!E27</f>
        <v>161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8</v>
      </c>
      <c r="D20" s="141">
        <v>2021</v>
      </c>
      <c r="E20" s="137">
        <f>submetering!E20+submetering!F20+submetering!G20</f>
        <v>16124</v>
      </c>
      <c r="F20" s="134">
        <v>1.05</v>
      </c>
      <c r="G20" s="134">
        <f>'Consommation mensuel énergie'!V28</f>
        <v>95.997630000000001</v>
      </c>
      <c r="H20" s="134">
        <v>9.61</v>
      </c>
      <c r="I20" s="134">
        <f>'Consommation mensuel énergie'!F28</f>
        <v>136.19999999999709</v>
      </c>
      <c r="J20" s="134">
        <v>11.4</v>
      </c>
      <c r="K20" s="137">
        <f>'Consommation mensuel énergie'!D28</f>
        <v>90</v>
      </c>
      <c r="L20" s="137">
        <f>'Consommation mensuel énergie'!E28</f>
        <v>158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8</v>
      </c>
      <c r="D21" s="141">
        <v>2021</v>
      </c>
      <c r="E21" s="137">
        <f>submetering!E21+submetering!F21+submetering!G21</f>
        <v>15752</v>
      </c>
      <c r="F21" s="134">
        <v>1.05</v>
      </c>
      <c r="G21" s="134">
        <f>'Consommation mensuel énergie'!V29</f>
        <v>351.99131</v>
      </c>
      <c r="H21" s="134">
        <v>9.61</v>
      </c>
      <c r="I21" s="134">
        <f>'Consommation mensuel énergie'!F29</f>
        <v>115.5</v>
      </c>
      <c r="J21" s="134">
        <v>11.4</v>
      </c>
      <c r="K21" s="137">
        <f>'Consommation mensuel énergie'!D29</f>
        <v>111</v>
      </c>
      <c r="L21" s="137">
        <f>'Consommation mensuel énergie'!E29</f>
        <v>205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8</v>
      </c>
      <c r="D22" s="141">
        <v>2021</v>
      </c>
      <c r="E22" s="137">
        <f>submetering!E22+submetering!F22+submetering!G22</f>
        <v>14949</v>
      </c>
      <c r="F22" s="134">
        <v>1.05</v>
      </c>
      <c r="G22" s="134">
        <f>'Consommation mensuel énergie'!V30</f>
        <v>127.99684000000001</v>
      </c>
      <c r="H22" s="134">
        <v>9.61</v>
      </c>
      <c r="I22" s="134">
        <f>'Consommation mensuel énergie'!F30</f>
        <v>110.10000000000582</v>
      </c>
      <c r="J22" s="134">
        <v>11.4</v>
      </c>
      <c r="K22" s="137">
        <f>'Consommation mensuel énergie'!D30</f>
        <v>112</v>
      </c>
      <c r="L22" s="137">
        <f>'Consommation mensuel énergie'!E30</f>
        <v>192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8</v>
      </c>
      <c r="D23" s="141">
        <v>2021</v>
      </c>
      <c r="E23" s="137">
        <f>submetering!E23+submetering!F23+submetering!G23</f>
        <v>15773</v>
      </c>
      <c r="F23" s="134">
        <v>1.05</v>
      </c>
      <c r="G23" s="134">
        <f>'Consommation mensuel énergie'!V31</f>
        <v>127.99684000000001</v>
      </c>
      <c r="H23" s="134">
        <v>9.61</v>
      </c>
      <c r="I23" s="134">
        <f>'Consommation mensuel énergie'!F31</f>
        <v>114.5</v>
      </c>
      <c r="J23" s="134">
        <v>11.4</v>
      </c>
      <c r="K23" s="137">
        <f>'Consommation mensuel énergie'!D31</f>
        <v>72</v>
      </c>
      <c r="L23" s="137">
        <f>'Consommation mensuel énergie'!E31</f>
        <v>117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8</v>
      </c>
      <c r="D24" s="141">
        <v>2021</v>
      </c>
      <c r="E24" s="137">
        <f>submetering!E24+submetering!F24+submetering!G24</f>
        <v>14852</v>
      </c>
      <c r="F24" s="134">
        <v>1.05</v>
      </c>
      <c r="G24" s="134">
        <f>'Consommation mensuel énergie'!V32</f>
        <v>191.99526</v>
      </c>
      <c r="H24" s="134">
        <v>9.61</v>
      </c>
      <c r="I24" s="134">
        <f>'Consommation mensuel énergie'!F32</f>
        <v>100.89999999999418</v>
      </c>
      <c r="J24" s="134">
        <v>11.4</v>
      </c>
      <c r="K24" s="137">
        <f>'Consommation mensuel énergie'!D32</f>
        <v>69</v>
      </c>
      <c r="L24" s="137">
        <f>'Consommation mensuel énergie'!E32</f>
        <v>120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8</v>
      </c>
      <c r="D25" s="141">
        <v>2021</v>
      </c>
      <c r="E25" s="137">
        <f>submetering!E25+submetering!F25+submetering!G25</f>
        <v>14309</v>
      </c>
      <c r="F25" s="134">
        <v>1.05</v>
      </c>
      <c r="G25" s="134">
        <f>'Consommation mensuel énergie'!V33</f>
        <v>223.99447000000001</v>
      </c>
      <c r="H25" s="134">
        <v>9.61</v>
      </c>
      <c r="I25" s="134">
        <f>'Consommation mensuel énergie'!F33</f>
        <v>132</v>
      </c>
      <c r="J25" s="134">
        <v>11.4</v>
      </c>
      <c r="K25" s="137">
        <f>'Consommation mensuel énergie'!D33</f>
        <v>69</v>
      </c>
      <c r="L25" s="137">
        <f>'Consommation mensuel énergie'!E33</f>
        <v>122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8</v>
      </c>
      <c r="D26" s="141">
        <v>2021</v>
      </c>
      <c r="E26" s="137">
        <f>submetering!E26+submetering!F26+submetering!G26</f>
        <v>13323</v>
      </c>
      <c r="F26" s="134">
        <v>1.05</v>
      </c>
      <c r="G26" s="134">
        <f>'Consommation mensuel énergie'!V34</f>
        <v>255.99368000000001</v>
      </c>
      <c r="H26" s="134">
        <v>9.61</v>
      </c>
      <c r="I26" s="134">
        <f>'Consommation mensuel énergie'!F34</f>
        <v>124.39999999999418</v>
      </c>
      <c r="J26" s="134">
        <v>11.4</v>
      </c>
      <c r="K26" s="137">
        <f>'Consommation mensuel énergie'!D34</f>
        <v>56</v>
      </c>
      <c r="L26" s="137">
        <f>'Consommation mensuel énergie'!E34</f>
        <v>100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8</v>
      </c>
      <c r="D27" s="141">
        <v>2021</v>
      </c>
      <c r="E27" s="137">
        <f>submetering!E27+submetering!F27+submetering!G27</f>
        <v>13626</v>
      </c>
      <c r="F27" s="134">
        <v>1.05</v>
      </c>
      <c r="G27" s="134">
        <f>'Consommation mensuel énergie'!V35</f>
        <v>287.99288999999999</v>
      </c>
      <c r="H27" s="134">
        <v>9.61</v>
      </c>
      <c r="I27" s="134">
        <f>'Consommation mensuel énergie'!F35</f>
        <v>106.60000000000582</v>
      </c>
      <c r="J27" s="134">
        <v>11.4</v>
      </c>
      <c r="K27" s="137">
        <f>'Consommation mensuel énergie'!D35</f>
        <v>71</v>
      </c>
      <c r="L27" s="137">
        <f>'Consommation mensuel énergie'!E35</f>
        <v>99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8</v>
      </c>
      <c r="D28" s="141">
        <v>2021</v>
      </c>
      <c r="E28" s="137">
        <f>submetering!E28+submetering!F28+submetering!G28</f>
        <v>15355</v>
      </c>
      <c r="F28" s="134">
        <v>1.05</v>
      </c>
      <c r="G28" s="134">
        <f>'Consommation mensuel énergie'!V36</f>
        <v>319.99209999999999</v>
      </c>
      <c r="H28" s="134">
        <v>9.61</v>
      </c>
      <c r="I28" s="134">
        <f>'Consommation mensuel énergie'!F36</f>
        <v>88.399999999994179</v>
      </c>
      <c r="J28" s="134">
        <v>11.4</v>
      </c>
      <c r="K28" s="137">
        <f>'Consommation mensuel énergie'!D36</f>
        <v>61</v>
      </c>
      <c r="L28" s="137">
        <f>'Consommation mensuel énergie'!E36</f>
        <v>113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8</v>
      </c>
      <c r="D29" s="141">
        <v>2021</v>
      </c>
      <c r="E29" s="137">
        <f>submetering!E29+submetering!F29+submetering!G29</f>
        <v>14179</v>
      </c>
      <c r="F29" s="134">
        <v>1.05</v>
      </c>
      <c r="G29" s="134">
        <f>'Consommation mensuel énergie'!V37</f>
        <v>191.99526</v>
      </c>
      <c r="H29" s="134">
        <v>9.61</v>
      </c>
      <c r="I29" s="134">
        <f>'Consommation mensuel énergie'!F37</f>
        <v>95</v>
      </c>
      <c r="J29" s="134">
        <v>11.4</v>
      </c>
      <c r="K29" s="137">
        <f>'Consommation mensuel énergie'!D37</f>
        <v>56</v>
      </c>
      <c r="L29" s="137">
        <f>'Consommation mensuel énergie'!E37</f>
        <v>103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8</v>
      </c>
      <c r="D30" s="141">
        <v>2021</v>
      </c>
      <c r="E30" s="137">
        <f>submetering!E30+submetering!F30+submetering!G30</f>
        <v>13588</v>
      </c>
      <c r="F30" s="134">
        <v>1.05</v>
      </c>
      <c r="G30" s="134">
        <f>'Consommation mensuel énergie'!V38</f>
        <v>607.98499000000004</v>
      </c>
      <c r="H30" s="134">
        <v>9.61</v>
      </c>
      <c r="I30" s="134">
        <f>'Consommation mensuel énergie'!F38</f>
        <v>85</v>
      </c>
      <c r="J30" s="134">
        <v>11.4</v>
      </c>
      <c r="K30" s="137">
        <f>'Consommation mensuel énergie'!D38</f>
        <v>51</v>
      </c>
      <c r="L30" s="137">
        <f>'Consommation mensuel énergie'!E38</f>
        <v>86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8</v>
      </c>
      <c r="D31" s="141">
        <v>2021</v>
      </c>
      <c r="E31" s="137">
        <f>submetering!E31+submetering!F31+submetering!G31</f>
        <v>12948</v>
      </c>
      <c r="F31" s="134">
        <v>1.05</v>
      </c>
      <c r="G31" s="134">
        <f>'Consommation mensuel énergie'!V39</f>
        <v>191.99526</v>
      </c>
      <c r="H31" s="134">
        <v>9.61</v>
      </c>
      <c r="I31" s="134">
        <f>'Consommation mensuel énergie'!F39</f>
        <v>78.400000000008731</v>
      </c>
      <c r="J31" s="134">
        <v>11.4</v>
      </c>
      <c r="K31" s="137">
        <f>'Consommation mensuel énergie'!D39</f>
        <v>50</v>
      </c>
      <c r="L31" s="137">
        <f>'Consommation mensuel énergie'!E39</f>
        <v>75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8</v>
      </c>
      <c r="D32" s="141">
        <v>2021</v>
      </c>
      <c r="E32" s="137">
        <f>submetering!E32+submetering!F32+submetering!G32</f>
        <v>13592</v>
      </c>
      <c r="F32" s="134">
        <v>1.05</v>
      </c>
      <c r="G32" s="134">
        <f>'Consommation mensuel énergie'!V40</f>
        <v>127.99684000000001</v>
      </c>
      <c r="H32" s="134">
        <v>9.61</v>
      </c>
      <c r="I32" s="134">
        <f>'Consommation mensuel énergie'!F40</f>
        <v>95.599999999991269</v>
      </c>
      <c r="J32" s="134">
        <v>11.4</v>
      </c>
      <c r="K32" s="137">
        <f>'Consommation mensuel énergie'!D40</f>
        <v>58</v>
      </c>
      <c r="L32" s="137">
        <f>'Consommation mensuel énergie'!E40</f>
        <v>85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A35" s="167"/>
      <c r="F35" s="134"/>
      <c r="G35" s="134"/>
      <c r="H35" s="134"/>
      <c r="I35" s="134"/>
      <c r="J35" s="134"/>
    </row>
    <row r="36" spans="1:13" x14ac:dyDescent="0.2">
      <c r="A36" s="167"/>
      <c r="F36" s="134"/>
      <c r="G36" s="134"/>
      <c r="H36" s="134"/>
      <c r="I36" s="134"/>
      <c r="J36" s="134"/>
    </row>
    <row r="37" spans="1:13" x14ac:dyDescent="0.2">
      <c r="A37" s="167"/>
      <c r="F37" s="134"/>
      <c r="G37" s="134"/>
      <c r="H37" s="134"/>
      <c r="I37" s="134"/>
      <c r="J37" s="134"/>
    </row>
    <row r="38" spans="1:13" x14ac:dyDescent="0.2">
      <c r="A38" s="167"/>
      <c r="F38" s="134"/>
      <c r="G38" s="134"/>
      <c r="H38" s="134"/>
      <c r="I38" s="134"/>
      <c r="J38" s="134"/>
    </row>
    <row r="39" spans="1:13" x14ac:dyDescent="0.2">
      <c r="A39" s="167"/>
      <c r="F39" s="134"/>
      <c r="G39" s="134"/>
      <c r="H39" s="134"/>
      <c r="I39" s="134"/>
      <c r="J39" s="134"/>
    </row>
    <row r="40" spans="1:13" x14ac:dyDescent="0.2">
      <c r="A40" s="167"/>
      <c r="F40" s="134"/>
      <c r="G40" s="134"/>
      <c r="H40" s="134"/>
      <c r="I40" s="134"/>
      <c r="J40" s="134"/>
    </row>
    <row r="41" spans="1:13" x14ac:dyDescent="0.2">
      <c r="A41" s="167"/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M27" sqref="M27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8</v>
      </c>
      <c r="D2" s="141">
        <v>2021</v>
      </c>
      <c r="E2" s="137">
        <f>'Consommation mensuel énergie'!L10</f>
        <v>3789</v>
      </c>
      <c r="F2" s="137">
        <f>'Consommation mensuel énergie'!M10</f>
        <v>8010</v>
      </c>
      <c r="G2" s="137">
        <f>'Consommation mensuel énergie'!N10</f>
        <v>2981</v>
      </c>
      <c r="H2" s="137">
        <f>'Consommation mensuel énergie'!D10</f>
        <v>107</v>
      </c>
      <c r="I2" s="137">
        <f>'Consommation mensuel énergie'!E10</f>
        <v>174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8</v>
      </c>
      <c r="D3" s="141">
        <v>2021</v>
      </c>
      <c r="E3" s="137">
        <f>'Consommation mensuel énergie'!L11</f>
        <v>3323</v>
      </c>
      <c r="F3" s="137">
        <f>'Consommation mensuel énergie'!M11</f>
        <v>7812</v>
      </c>
      <c r="G3" s="137">
        <f>'Consommation mensuel énergie'!N11</f>
        <v>2885</v>
      </c>
      <c r="H3" s="137">
        <f>'Consommation mensuel énergie'!D11</f>
        <v>91</v>
      </c>
      <c r="I3" s="137">
        <f>'Consommation mensuel énergie'!E11</f>
        <v>155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8</v>
      </c>
      <c r="D4" s="141">
        <v>2021</v>
      </c>
      <c r="E4" s="137">
        <f>'Consommation mensuel énergie'!L12</f>
        <v>3355</v>
      </c>
      <c r="F4" s="137">
        <f>'Consommation mensuel énergie'!M12</f>
        <v>7827</v>
      </c>
      <c r="G4" s="137">
        <f>'Consommation mensuel énergie'!N12</f>
        <v>3276</v>
      </c>
      <c r="H4" s="137">
        <f>'Consommation mensuel énergie'!D12</f>
        <v>84</v>
      </c>
      <c r="I4" s="137">
        <f>'Consommation mensuel énergie'!E12</f>
        <v>144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8</v>
      </c>
      <c r="D5" s="141">
        <v>2021</v>
      </c>
      <c r="E5" s="137">
        <f>'Consommation mensuel énergie'!L13</f>
        <v>3228</v>
      </c>
      <c r="F5" s="137">
        <f>'Consommation mensuel énergie'!M13</f>
        <v>7581</v>
      </c>
      <c r="G5" s="137">
        <f>'Consommation mensuel énergie'!N13</f>
        <v>3114</v>
      </c>
      <c r="H5" s="137">
        <f>'Consommation mensuel énergie'!D13</f>
        <v>96</v>
      </c>
      <c r="I5" s="137">
        <f>'Consommation mensuel énergie'!E13</f>
        <v>152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8</v>
      </c>
      <c r="D6" s="141">
        <v>2021</v>
      </c>
      <c r="E6" s="137">
        <f>'Consommation mensuel énergie'!L14</f>
        <v>4251</v>
      </c>
      <c r="F6" s="137">
        <f>'Consommation mensuel énergie'!M14</f>
        <v>7941</v>
      </c>
      <c r="G6" s="137">
        <f>'Consommation mensuel énergie'!N14</f>
        <v>2925</v>
      </c>
      <c r="H6" s="137">
        <f>'Consommation mensuel énergie'!D14</f>
        <v>107</v>
      </c>
      <c r="I6" s="137">
        <f>'Consommation mensuel énergie'!E14</f>
        <v>168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8</v>
      </c>
      <c r="D7" s="141">
        <v>2021</v>
      </c>
      <c r="E7" s="137">
        <f>'Consommation mensuel énergie'!L15</f>
        <v>3759</v>
      </c>
      <c r="F7" s="137">
        <f>'Consommation mensuel énergie'!M15</f>
        <v>8185</v>
      </c>
      <c r="G7" s="137">
        <f>'Consommation mensuel énergie'!N15</f>
        <v>3363</v>
      </c>
      <c r="H7" s="137">
        <f>'Consommation mensuel énergie'!D15</f>
        <v>98</v>
      </c>
      <c r="I7" s="137">
        <f>'Consommation mensuel énergie'!E15</f>
        <v>173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8</v>
      </c>
      <c r="D8" s="141">
        <v>2021</v>
      </c>
      <c r="E8" s="137">
        <f>'Consommation mensuel énergie'!L16</f>
        <v>4155</v>
      </c>
      <c r="F8" s="137">
        <f>'Consommation mensuel énergie'!M16</f>
        <v>8948</v>
      </c>
      <c r="G8" s="137">
        <f>'Consommation mensuel énergie'!N16</f>
        <v>3364</v>
      </c>
      <c r="H8" s="137">
        <f>'Consommation mensuel énergie'!D16</f>
        <v>100</v>
      </c>
      <c r="I8" s="137">
        <f>'Consommation mensuel énergie'!E16</f>
        <v>182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8</v>
      </c>
      <c r="D9" s="141">
        <v>2021</v>
      </c>
      <c r="E9" s="137">
        <f>'Consommation mensuel énergie'!L17</f>
        <v>3897</v>
      </c>
      <c r="F9" s="137">
        <f>'Consommation mensuel énergie'!M17</f>
        <v>8099</v>
      </c>
      <c r="G9" s="137">
        <f>'Consommation mensuel énergie'!N17</f>
        <v>2782</v>
      </c>
      <c r="H9" s="137">
        <f>'Consommation mensuel énergie'!D17</f>
        <v>66</v>
      </c>
      <c r="I9" s="137">
        <f>'Consommation mensuel énergie'!E17</f>
        <v>115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8</v>
      </c>
      <c r="D10" s="141">
        <v>2021</v>
      </c>
      <c r="E10" s="137">
        <f>'Consommation mensuel énergie'!L18</f>
        <v>3560</v>
      </c>
      <c r="F10" s="137">
        <f>'Consommation mensuel énergie'!M18</f>
        <v>7480</v>
      </c>
      <c r="G10" s="137">
        <f>'Consommation mensuel énergie'!N18</f>
        <v>2610</v>
      </c>
      <c r="H10" s="137">
        <f>'Consommation mensuel énergie'!D18</f>
        <v>70</v>
      </c>
      <c r="I10" s="137">
        <f>'Consommation mensuel énergie'!E18</f>
        <v>127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8</v>
      </c>
      <c r="D11" s="141">
        <v>2021</v>
      </c>
      <c r="E11" s="137">
        <f>'Consommation mensuel énergie'!L19</f>
        <v>3409</v>
      </c>
      <c r="F11" s="137">
        <f>'Consommation mensuel énergie'!M19</f>
        <v>7802</v>
      </c>
      <c r="G11" s="137">
        <f>'Consommation mensuel énergie'!N19</f>
        <v>2111</v>
      </c>
      <c r="H11" s="137">
        <f>'Consommation mensuel énergie'!D19</f>
        <v>76</v>
      </c>
      <c r="I11" s="137">
        <f>'Consommation mensuel énergie'!E19</f>
        <v>142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8</v>
      </c>
      <c r="D12" s="141">
        <v>2021</v>
      </c>
      <c r="E12" s="137">
        <f>'Consommation mensuel énergie'!L20</f>
        <v>3884</v>
      </c>
      <c r="F12" s="137">
        <f>'Consommation mensuel énergie'!M20</f>
        <v>8314</v>
      </c>
      <c r="G12" s="137">
        <f>'Consommation mensuel énergie'!N20</f>
        <v>2595</v>
      </c>
      <c r="H12" s="137">
        <f>'Consommation mensuel énergie'!D20</f>
        <v>87</v>
      </c>
      <c r="I12" s="137">
        <f>'Consommation mensuel énergie'!E20</f>
        <v>158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8</v>
      </c>
      <c r="D13" s="141">
        <v>2021</v>
      </c>
      <c r="E13" s="137">
        <f>'Consommation mensuel énergie'!L21</f>
        <v>3586</v>
      </c>
      <c r="F13" s="137">
        <f>'Consommation mensuel énergie'!M21</f>
        <v>8726</v>
      </c>
      <c r="G13" s="137">
        <f>'Consommation mensuel énergie'!N21</f>
        <v>2902</v>
      </c>
      <c r="H13" s="137">
        <f>'Consommation mensuel énergie'!D21</f>
        <v>84</v>
      </c>
      <c r="I13" s="137">
        <f>'Consommation mensuel énergie'!E21</f>
        <v>159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8</v>
      </c>
      <c r="D14" s="141">
        <v>2021</v>
      </c>
      <c r="E14" s="137">
        <f>'Consommation mensuel énergie'!L22</f>
        <v>3716</v>
      </c>
      <c r="F14" s="137">
        <f>'Consommation mensuel énergie'!M22</f>
        <v>8757</v>
      </c>
      <c r="G14" s="137">
        <f>'Consommation mensuel énergie'!N22</f>
        <v>3012</v>
      </c>
      <c r="H14" s="137">
        <f>'Consommation mensuel énergie'!D22</f>
        <v>93</v>
      </c>
      <c r="I14" s="137">
        <f>'Consommation mensuel énergie'!E22</f>
        <v>190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8</v>
      </c>
      <c r="D15" s="141">
        <v>2021</v>
      </c>
      <c r="E15" s="137">
        <f>'Consommation mensuel énergie'!L23</f>
        <v>4049</v>
      </c>
      <c r="F15" s="137">
        <f>'Consommation mensuel énergie'!M23</f>
        <v>9373</v>
      </c>
      <c r="G15" s="137">
        <f>'Consommation mensuel énergie'!N23</f>
        <v>3383</v>
      </c>
      <c r="H15" s="137">
        <f>'Consommation mensuel énergie'!D23</f>
        <v>91</v>
      </c>
      <c r="I15" s="137">
        <f>'Consommation mensuel énergie'!E23</f>
        <v>177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8</v>
      </c>
      <c r="D16" s="141">
        <v>2021</v>
      </c>
      <c r="E16" s="137">
        <f>'Consommation mensuel énergie'!L24</f>
        <v>4072</v>
      </c>
      <c r="F16" s="137">
        <f>'Consommation mensuel énergie'!M24</f>
        <v>8962</v>
      </c>
      <c r="G16" s="137">
        <f>'Consommation mensuel énergie'!N24</f>
        <v>3209</v>
      </c>
      <c r="H16" s="137">
        <f>'Consommation mensuel énergie'!D24</f>
        <v>71</v>
      </c>
      <c r="I16" s="137">
        <f>'Consommation mensuel énergie'!E24</f>
        <v>139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8</v>
      </c>
      <c r="D17" s="141">
        <v>2021</v>
      </c>
      <c r="E17" s="137">
        <f>'Consommation mensuel énergie'!L25</f>
        <v>4411</v>
      </c>
      <c r="F17" s="137">
        <f>'Consommation mensuel énergie'!M25</f>
        <v>9259</v>
      </c>
      <c r="G17" s="137">
        <f>'Consommation mensuel énergie'!N25</f>
        <v>3337</v>
      </c>
      <c r="H17" s="137">
        <f>'Consommation mensuel énergie'!D25</f>
        <v>79</v>
      </c>
      <c r="I17" s="137">
        <f>'Consommation mensuel énergie'!E25</f>
        <v>131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8</v>
      </c>
      <c r="D18" s="141">
        <v>2021</v>
      </c>
      <c r="E18" s="137">
        <f>'Consommation mensuel énergie'!L26</f>
        <v>3983</v>
      </c>
      <c r="F18" s="137">
        <f>'Consommation mensuel énergie'!M26</f>
        <v>9612</v>
      </c>
      <c r="G18" s="137">
        <f>'Consommation mensuel énergie'!N26</f>
        <v>3157</v>
      </c>
      <c r="H18" s="137">
        <f>'Consommation mensuel énergie'!D26</f>
        <v>118</v>
      </c>
      <c r="I18" s="137">
        <f>'Consommation mensuel énergie'!E26</f>
        <v>192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8</v>
      </c>
      <c r="D19" s="141">
        <v>2021</v>
      </c>
      <c r="E19" s="137">
        <f>'Consommation mensuel énergie'!L27</f>
        <v>4274</v>
      </c>
      <c r="F19" s="137">
        <f>'Consommation mensuel énergie'!M27</f>
        <v>8776</v>
      </c>
      <c r="G19" s="137">
        <f>'Consommation mensuel énergie'!N27</f>
        <v>3265</v>
      </c>
      <c r="H19" s="137">
        <f>'Consommation mensuel énergie'!D27</f>
        <v>93</v>
      </c>
      <c r="I19" s="137">
        <f>'Consommation mensuel énergie'!E27</f>
        <v>161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8</v>
      </c>
      <c r="D20" s="141">
        <v>2021</v>
      </c>
      <c r="E20" s="137">
        <f>'Consommation mensuel énergie'!L28</f>
        <v>4150</v>
      </c>
      <c r="F20" s="137">
        <f>'Consommation mensuel énergie'!M28</f>
        <v>8412</v>
      </c>
      <c r="G20" s="137">
        <f>'Consommation mensuel énergie'!N28</f>
        <v>3562</v>
      </c>
      <c r="H20" s="137">
        <f>'Consommation mensuel énergie'!D28</f>
        <v>90</v>
      </c>
      <c r="I20" s="137">
        <f>'Consommation mensuel énergie'!E28</f>
        <v>158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8</v>
      </c>
      <c r="D21" s="141">
        <v>2021</v>
      </c>
      <c r="E21" s="137">
        <f>'Consommation mensuel énergie'!L29</f>
        <v>3972</v>
      </c>
      <c r="F21" s="137">
        <f>'Consommation mensuel énergie'!M29</f>
        <v>8416</v>
      </c>
      <c r="G21" s="137">
        <f>'Consommation mensuel énergie'!N29</f>
        <v>3364</v>
      </c>
      <c r="H21" s="137">
        <f>'Consommation mensuel énergie'!D29</f>
        <v>111</v>
      </c>
      <c r="I21" s="137">
        <f>'Consommation mensuel énergie'!E29</f>
        <v>205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8</v>
      </c>
      <c r="D22" s="141">
        <v>2021</v>
      </c>
      <c r="E22" s="137">
        <f>'Consommation mensuel énergie'!L30</f>
        <v>3826</v>
      </c>
      <c r="F22" s="137">
        <f>'Consommation mensuel énergie'!M30</f>
        <v>7869</v>
      </c>
      <c r="G22" s="137">
        <f>'Consommation mensuel énergie'!N30</f>
        <v>3254</v>
      </c>
      <c r="H22" s="137">
        <f>'Consommation mensuel énergie'!D30</f>
        <v>112</v>
      </c>
      <c r="I22" s="137">
        <f>'Consommation mensuel énergie'!E30</f>
        <v>192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8</v>
      </c>
      <c r="D23" s="141">
        <v>2021</v>
      </c>
      <c r="E23" s="137">
        <f>'Consommation mensuel énergie'!L31</f>
        <v>3925</v>
      </c>
      <c r="F23" s="137">
        <f>'Consommation mensuel énergie'!M31</f>
        <v>8217</v>
      </c>
      <c r="G23" s="137">
        <f>'Consommation mensuel énergie'!N31</f>
        <v>3631</v>
      </c>
      <c r="H23" s="137">
        <f>'Consommation mensuel énergie'!D31</f>
        <v>72</v>
      </c>
      <c r="I23" s="137">
        <f>'Consommation mensuel énergie'!E31</f>
        <v>117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8</v>
      </c>
      <c r="D24" s="141">
        <v>2021</v>
      </c>
      <c r="E24" s="137">
        <f>'Consommation mensuel énergie'!L32</f>
        <v>3683</v>
      </c>
      <c r="F24" s="137">
        <f>'Consommation mensuel énergie'!M32</f>
        <v>8145</v>
      </c>
      <c r="G24" s="137">
        <f>'Consommation mensuel énergie'!N32</f>
        <v>3024</v>
      </c>
      <c r="H24" s="137">
        <f>'Consommation mensuel énergie'!D32</f>
        <v>69</v>
      </c>
      <c r="I24" s="137">
        <f>'Consommation mensuel énergie'!E32</f>
        <v>120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8</v>
      </c>
      <c r="D25" s="141">
        <v>2021</v>
      </c>
      <c r="E25" s="137">
        <f>'Consommation mensuel énergie'!L33</f>
        <v>3637</v>
      </c>
      <c r="F25" s="137">
        <f>'Consommation mensuel énergie'!M33</f>
        <v>8037</v>
      </c>
      <c r="G25" s="137">
        <f>'Consommation mensuel énergie'!N33</f>
        <v>2635</v>
      </c>
      <c r="H25" s="137">
        <f>'Consommation mensuel énergie'!D33</f>
        <v>69</v>
      </c>
      <c r="I25" s="137">
        <f>'Consommation mensuel énergie'!E33</f>
        <v>122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8</v>
      </c>
      <c r="D26" s="141">
        <v>2021</v>
      </c>
      <c r="E26" s="137">
        <f>'Consommation mensuel énergie'!L34</f>
        <v>3331</v>
      </c>
      <c r="F26" s="137">
        <f>'Consommation mensuel énergie'!M34</f>
        <v>7368</v>
      </c>
      <c r="G26" s="137">
        <f>'Consommation mensuel énergie'!N34</f>
        <v>2624</v>
      </c>
      <c r="H26" s="137">
        <f>'Consommation mensuel énergie'!D34</f>
        <v>56</v>
      </c>
      <c r="I26" s="137">
        <f>'Consommation mensuel énergie'!E34</f>
        <v>100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8</v>
      </c>
      <c r="D27" s="141">
        <v>2021</v>
      </c>
      <c r="E27" s="137">
        <f>'Consommation mensuel énergie'!L35</f>
        <v>3576</v>
      </c>
      <c r="F27" s="137">
        <f>'Consommation mensuel énergie'!M35</f>
        <v>7411</v>
      </c>
      <c r="G27" s="137">
        <f>'Consommation mensuel énergie'!N35</f>
        <v>2639</v>
      </c>
      <c r="H27" s="137">
        <f>'Consommation mensuel énergie'!D35</f>
        <v>71</v>
      </c>
      <c r="I27" s="137">
        <f>'Consommation mensuel énergie'!E35</f>
        <v>99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8</v>
      </c>
      <c r="D28" s="141">
        <v>2021</v>
      </c>
      <c r="E28" s="137">
        <f>'Consommation mensuel énergie'!L36</f>
        <v>4285</v>
      </c>
      <c r="F28" s="137">
        <f>'Consommation mensuel énergie'!M36</f>
        <v>7896</v>
      </c>
      <c r="G28" s="137">
        <f>'Consommation mensuel énergie'!N36</f>
        <v>3174</v>
      </c>
      <c r="H28" s="137">
        <f>'Consommation mensuel énergie'!D36</f>
        <v>61</v>
      </c>
      <c r="I28" s="137">
        <f>'Consommation mensuel énergie'!E36</f>
        <v>113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8</v>
      </c>
      <c r="D29" s="141">
        <v>2021</v>
      </c>
      <c r="E29" s="137">
        <f>'Consommation mensuel énergie'!L37</f>
        <v>3773</v>
      </c>
      <c r="F29" s="137">
        <f>'Consommation mensuel énergie'!M37</f>
        <v>7462</v>
      </c>
      <c r="G29" s="137">
        <f>'Consommation mensuel énergie'!N37</f>
        <v>2944</v>
      </c>
      <c r="H29" s="137">
        <f>'Consommation mensuel énergie'!D37</f>
        <v>56</v>
      </c>
      <c r="I29" s="137">
        <f>'Consommation mensuel énergie'!E37</f>
        <v>103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8</v>
      </c>
      <c r="D30" s="141">
        <v>2021</v>
      </c>
      <c r="E30" s="137">
        <f>'Consommation mensuel énergie'!L38</f>
        <v>3644</v>
      </c>
      <c r="F30" s="137">
        <f>'Consommation mensuel énergie'!M38</f>
        <v>7439</v>
      </c>
      <c r="G30" s="137">
        <f>'Consommation mensuel énergie'!N38</f>
        <v>2505</v>
      </c>
      <c r="H30" s="137">
        <f>'Consommation mensuel énergie'!D38</f>
        <v>51</v>
      </c>
      <c r="I30" s="137">
        <f>'Consommation mensuel énergie'!E38</f>
        <v>86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8</v>
      </c>
      <c r="D31" s="141">
        <v>2021</v>
      </c>
      <c r="E31" s="137">
        <f>'Consommation mensuel énergie'!L39</f>
        <v>3486</v>
      </c>
      <c r="F31" s="137">
        <f>'Consommation mensuel énergie'!M39</f>
        <v>7138</v>
      </c>
      <c r="G31" s="137">
        <f>'Consommation mensuel énergie'!N39</f>
        <v>2324</v>
      </c>
      <c r="H31" s="137">
        <f>'Consommation mensuel énergie'!D39</f>
        <v>50</v>
      </c>
      <c r="I31" s="137">
        <f>'Consommation mensuel énergie'!E39</f>
        <v>75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8</v>
      </c>
      <c r="D32" s="141">
        <v>2021</v>
      </c>
      <c r="E32" s="137">
        <f>'Consommation mensuel énergie'!L40</f>
        <v>3458</v>
      </c>
      <c r="F32" s="137">
        <f>'Consommation mensuel énergie'!M40</f>
        <v>7451</v>
      </c>
      <c r="G32" s="137">
        <f>'Consommation mensuel énergie'!N40</f>
        <v>2683</v>
      </c>
      <c r="H32" s="137">
        <f>'Consommation mensuel énergie'!D40</f>
        <v>58</v>
      </c>
      <c r="I32" s="137">
        <f>'Consommation mensuel énergie'!E40</f>
        <v>85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22" activePane="bottomRight" state="frozen"/>
      <selection pane="topRight" activeCell="B21" sqref="A21:IV21"/>
      <selection pane="bottomLeft" activeCell="B21" sqref="A21:IV21"/>
      <selection pane="bottomRight" activeCell="AF36" sqref="AF36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</row>
    <row r="2" spans="1:24" ht="100.5" customHeight="1" thickBot="1" x14ac:dyDescent="0.25">
      <c r="A2" s="182"/>
      <c r="B2" s="183"/>
      <c r="C2" s="183"/>
      <c r="D2" s="183"/>
      <c r="E2" s="183"/>
      <c r="F2" s="183"/>
      <c r="G2" s="183"/>
      <c r="H2" s="184"/>
      <c r="I2" s="193" t="s">
        <v>17</v>
      </c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</row>
    <row r="3" spans="1:24" ht="15" hidden="1" customHeight="1" thickBot="1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</row>
    <row r="4" spans="1:24" ht="39" hidden="1" customHeight="1" thickBot="1" x14ac:dyDescent="0.25">
      <c r="A4" s="185"/>
      <c r="B4" s="185"/>
      <c r="C4" s="185"/>
      <c r="D4" s="166"/>
      <c r="E4" s="166"/>
      <c r="F4" s="166"/>
      <c r="G4" s="166"/>
      <c r="H4" s="166"/>
      <c r="I4" s="166"/>
      <c r="J4" s="166"/>
      <c r="K4" s="166"/>
      <c r="L4" s="16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5"/>
      <c r="B5" s="185"/>
      <c r="C5" s="185"/>
      <c r="D5" s="166"/>
      <c r="E5" s="166"/>
      <c r="F5" s="166"/>
      <c r="G5" s="166"/>
      <c r="H5" s="166"/>
      <c r="I5" s="166"/>
      <c r="J5" s="166"/>
      <c r="K5" s="166"/>
      <c r="L5" s="16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</row>
    <row r="6" spans="1:24" s="5" customFormat="1" ht="44.25" hidden="1" customHeight="1" thickBot="1" x14ac:dyDescent="0.25">
      <c r="A6" s="3"/>
      <c r="B6" s="3"/>
      <c r="C6" s="3"/>
      <c r="D6" s="166"/>
      <c r="E6" s="166"/>
      <c r="F6" s="166"/>
      <c r="G6" s="166"/>
      <c r="H6" s="166"/>
      <c r="I6" s="166"/>
      <c r="J6" s="166"/>
      <c r="K6" s="166"/>
      <c r="L6" s="16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</row>
    <row r="7" spans="1:24" s="5" customFormat="1" ht="18.75" hidden="1" customHeight="1" thickBot="1" x14ac:dyDescent="0.25">
      <c r="A7" s="166"/>
      <c r="B7" s="166"/>
      <c r="C7" s="166"/>
      <c r="D7" s="166"/>
      <c r="E7" s="166"/>
      <c r="F7" s="186"/>
      <c r="G7" s="186"/>
      <c r="H7" s="186"/>
      <c r="I7" s="186"/>
      <c r="J7" s="186"/>
      <c r="K7" s="186"/>
      <c r="L7" s="186"/>
      <c r="M7" s="186"/>
      <c r="N7" s="195"/>
      <c r="O7" s="195"/>
      <c r="P7" s="186"/>
      <c r="Q7" s="186"/>
      <c r="R7" s="186"/>
      <c r="S7" s="186"/>
      <c r="T7" s="186"/>
      <c r="U7" s="186"/>
      <c r="V7" s="186"/>
      <c r="W7" s="186"/>
      <c r="X7" s="186"/>
    </row>
    <row r="8" spans="1:24" ht="18.75" customHeight="1" thickBot="1" x14ac:dyDescent="0.25">
      <c r="A8" s="186"/>
      <c r="B8" s="197" t="s">
        <v>19</v>
      </c>
      <c r="C8" s="4"/>
      <c r="D8" s="198" t="s">
        <v>20</v>
      </c>
      <c r="E8" s="198" t="s">
        <v>21</v>
      </c>
      <c r="F8" s="180" t="s">
        <v>22</v>
      </c>
      <c r="G8" s="2"/>
      <c r="H8" s="187" t="s">
        <v>23</v>
      </c>
      <c r="I8" s="188"/>
      <c r="J8" s="189"/>
      <c r="K8" s="175" t="s">
        <v>24</v>
      </c>
      <c r="L8" s="179" t="s">
        <v>25</v>
      </c>
      <c r="M8" s="179"/>
      <c r="N8" s="179"/>
      <c r="O8" s="179" t="s">
        <v>26</v>
      </c>
      <c r="P8" s="2"/>
      <c r="Q8" s="177" t="s">
        <v>23</v>
      </c>
      <c r="R8" s="2"/>
      <c r="S8" s="177" t="s">
        <v>27</v>
      </c>
      <c r="T8" s="2"/>
      <c r="U8" s="177" t="s">
        <v>28</v>
      </c>
      <c r="V8" s="200" t="s">
        <v>29</v>
      </c>
      <c r="W8" s="2"/>
      <c r="X8" s="177" t="s">
        <v>23</v>
      </c>
    </row>
    <row r="9" spans="1:24" ht="59.25" customHeight="1" thickBot="1" x14ac:dyDescent="0.25">
      <c r="A9" s="186"/>
      <c r="B9" s="197"/>
      <c r="C9" s="4"/>
      <c r="D9" s="199"/>
      <c r="E9" s="199"/>
      <c r="F9" s="181"/>
      <c r="G9" s="2"/>
      <c r="H9" s="190"/>
      <c r="I9" s="191"/>
      <c r="J9" s="192"/>
      <c r="K9" s="176"/>
      <c r="L9" s="165" t="s">
        <v>30</v>
      </c>
      <c r="M9" s="165" t="s">
        <v>31</v>
      </c>
      <c r="N9" s="165" t="s">
        <v>32</v>
      </c>
      <c r="O9" s="196"/>
      <c r="P9" s="2"/>
      <c r="Q9" s="178"/>
      <c r="R9" s="2"/>
      <c r="S9" s="178"/>
      <c r="T9" s="2"/>
      <c r="U9" s="178"/>
      <c r="V9" s="201"/>
      <c r="W9" s="2"/>
      <c r="X9" s="178"/>
    </row>
    <row r="10" spans="1:24" ht="32.25" customHeight="1" thickBot="1" x14ac:dyDescent="0.25">
      <c r="A10" s="2"/>
      <c r="B10" s="6">
        <v>44409</v>
      </c>
      <c r="C10" s="7"/>
      <c r="D10" s="143">
        <v>107</v>
      </c>
      <c r="E10" s="143">
        <v>174</v>
      </c>
      <c r="F10" s="13">
        <f>'Suivi EAU-ELEC'!E9</f>
        <v>116.39999999999418</v>
      </c>
      <c r="G10" s="11"/>
      <c r="H10" s="171">
        <f>F10*11.4</f>
        <v>1326.9599999999336</v>
      </c>
      <c r="I10" s="172"/>
      <c r="J10" s="172"/>
      <c r="K10" s="60">
        <v>42278</v>
      </c>
      <c r="L10" s="90">
        <f>'Suivi EAU-ELEC'!G9</f>
        <v>3789</v>
      </c>
      <c r="M10" s="91">
        <f>'Suivi EAU-ELEC'!I9</f>
        <v>8010</v>
      </c>
      <c r="N10" s="91">
        <f>'Suivi EAU-ELEC'!K9</f>
        <v>2981</v>
      </c>
      <c r="O10" s="91">
        <f>L10+M10+N10</f>
        <v>14780</v>
      </c>
      <c r="P10" s="11"/>
      <c r="Q10" s="34">
        <f>L10*0.6985+M10*0.9514+N10*1.3304</f>
        <v>14233.252899999999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V10*9.61</f>
        <v>2767.6116728999996</v>
      </c>
    </row>
    <row r="11" spans="1:24" ht="32.25" customHeight="1" thickBot="1" x14ac:dyDescent="0.25">
      <c r="A11" s="2"/>
      <c r="B11" s="6">
        <v>44410</v>
      </c>
      <c r="C11" s="7"/>
      <c r="D11" s="143">
        <v>91</v>
      </c>
      <c r="E11" s="143">
        <v>155</v>
      </c>
      <c r="F11" s="13">
        <f>'Suivi EAU-ELEC'!E10</f>
        <v>106.40000000000873</v>
      </c>
      <c r="G11" s="11"/>
      <c r="H11" s="171">
        <f t="shared" ref="H11:H40" si="0">F11*11.4</f>
        <v>1212.9600000000996</v>
      </c>
      <c r="I11" s="172"/>
      <c r="J11" s="172"/>
      <c r="K11" s="60">
        <v>42279</v>
      </c>
      <c r="L11" s="90">
        <f>'Suivi EAU-ELEC'!G10</f>
        <v>3323</v>
      </c>
      <c r="M11" s="91">
        <f>'Suivi EAU-ELEC'!I10</f>
        <v>7812</v>
      </c>
      <c r="N11" s="91">
        <f>'Suivi EAU-ELEC'!K10</f>
        <v>2885</v>
      </c>
      <c r="O11" s="91">
        <f>L11+M11+N11</f>
        <v>14020</v>
      </c>
      <c r="P11" s="11"/>
      <c r="Q11" s="34">
        <f t="shared" ref="Q11:Q40" si="1">L11*0.6985+M11*0.9514+N11*1.3304</f>
        <v>13591.656300000001</v>
      </c>
      <c r="R11" s="11"/>
      <c r="S11" s="28"/>
      <c r="T11" s="11"/>
      <c r="U11" s="28"/>
      <c r="V11" s="146">
        <f>'Suvi Gaz'!O5</f>
        <v>319.99209999999999</v>
      </c>
      <c r="W11" s="11"/>
      <c r="X11" s="34">
        <f t="shared" ref="X11:X40" si="2">V11*9.61</f>
        <v>3075.1240809999999</v>
      </c>
    </row>
    <row r="12" spans="1:24" ht="32.25" customHeight="1" thickBot="1" x14ac:dyDescent="0.25">
      <c r="A12" s="2"/>
      <c r="B12" s="6">
        <v>44411</v>
      </c>
      <c r="C12" s="7"/>
      <c r="D12" s="143">
        <v>84</v>
      </c>
      <c r="E12" s="143">
        <v>144</v>
      </c>
      <c r="F12" s="13">
        <f>'Suivi EAU-ELEC'!E11</f>
        <v>237.59999999999127</v>
      </c>
      <c r="G12" s="11"/>
      <c r="H12" s="171">
        <f t="shared" si="0"/>
        <v>2708.6399999999007</v>
      </c>
      <c r="I12" s="172"/>
      <c r="J12" s="172"/>
      <c r="K12" s="60">
        <v>42280</v>
      </c>
      <c r="L12" s="90">
        <f>'Suivi EAU-ELEC'!G11</f>
        <v>3355</v>
      </c>
      <c r="M12" s="91">
        <f>'Suivi EAU-ELEC'!I11</f>
        <v>7827</v>
      </c>
      <c r="N12" s="91">
        <f>'Suivi EAU-ELEC'!K11</f>
        <v>3276</v>
      </c>
      <c r="O12" s="91">
        <f>L12+M12+N12</f>
        <v>14458</v>
      </c>
      <c r="P12" s="11"/>
      <c r="Q12" s="34">
        <f t="shared" si="1"/>
        <v>14148.465700000001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2"/>
        <v>3382.6364890999998</v>
      </c>
    </row>
    <row r="13" spans="1:24" ht="32.25" customHeight="1" thickBot="1" x14ac:dyDescent="0.25">
      <c r="A13" s="2"/>
      <c r="B13" s="6">
        <v>44412</v>
      </c>
      <c r="C13" s="7"/>
      <c r="D13" s="143">
        <v>96</v>
      </c>
      <c r="E13" s="143">
        <v>152</v>
      </c>
      <c r="F13" s="13">
        <f>'Suivi EAU-ELEC'!E12</f>
        <v>123.5</v>
      </c>
      <c r="G13" s="11"/>
      <c r="H13" s="171">
        <f t="shared" si="0"/>
        <v>1407.9</v>
      </c>
      <c r="I13" s="172"/>
      <c r="J13" s="172"/>
      <c r="K13" s="60">
        <v>42281</v>
      </c>
      <c r="L13" s="90">
        <f>'Suivi EAU-ELEC'!G12</f>
        <v>3228</v>
      </c>
      <c r="M13" s="91">
        <f>'Suivi EAU-ELEC'!I12</f>
        <v>7581</v>
      </c>
      <c r="N13" s="91">
        <f>'Suivi EAU-ELEC'!K12</f>
        <v>3114</v>
      </c>
      <c r="O13" s="91">
        <f t="shared" ref="O13:O40" si="3">L13+M13+N13</f>
        <v>13923</v>
      </c>
      <c r="P13" s="11"/>
      <c r="Q13" s="34">
        <f t="shared" si="1"/>
        <v>13610.187000000002</v>
      </c>
      <c r="R13" s="11"/>
      <c r="S13" s="28"/>
      <c r="T13" s="11"/>
      <c r="U13" s="28"/>
      <c r="V13" s="146">
        <f>'Suvi Gaz'!O7</f>
        <v>127.99684000000001</v>
      </c>
      <c r="W13" s="11"/>
      <c r="X13" s="34">
        <f t="shared" si="2"/>
        <v>1230.0496324000001</v>
      </c>
    </row>
    <row r="14" spans="1:24" ht="32.25" customHeight="1" thickBot="1" x14ac:dyDescent="0.25">
      <c r="A14" s="2"/>
      <c r="B14" s="6">
        <v>44413</v>
      </c>
      <c r="C14" s="7"/>
      <c r="D14" s="143">
        <v>107</v>
      </c>
      <c r="E14" s="143">
        <v>168</v>
      </c>
      <c r="F14" s="13">
        <f>'Suivi EAU-ELEC'!E13</f>
        <v>103.70000000001164</v>
      </c>
      <c r="G14" s="12"/>
      <c r="H14" s="171">
        <f t="shared" si="0"/>
        <v>1182.1800000001328</v>
      </c>
      <c r="I14" s="172"/>
      <c r="J14" s="172"/>
      <c r="K14" s="60">
        <v>42282</v>
      </c>
      <c r="L14" s="90">
        <f>'Suivi EAU-ELEC'!G13</f>
        <v>4251</v>
      </c>
      <c r="M14" s="91">
        <f>'Suivi EAU-ELEC'!I13</f>
        <v>7941</v>
      </c>
      <c r="N14" s="91">
        <f>'Suivi EAU-ELEC'!K13</f>
        <v>2925</v>
      </c>
      <c r="O14" s="91">
        <f t="shared" si="3"/>
        <v>15117</v>
      </c>
      <c r="P14" s="12"/>
      <c r="Q14" s="34">
        <f t="shared" si="1"/>
        <v>14415.8109</v>
      </c>
      <c r="R14" s="12"/>
      <c r="S14" s="28"/>
      <c r="T14" s="12"/>
      <c r="U14" s="28"/>
      <c r="V14" s="146">
        <f>'Suvi Gaz'!O8</f>
        <v>191.99526</v>
      </c>
      <c r="W14" s="11"/>
      <c r="X14" s="34">
        <f t="shared" si="2"/>
        <v>1845.0744485999999</v>
      </c>
    </row>
    <row r="15" spans="1:24" ht="32.25" customHeight="1" thickBot="1" x14ac:dyDescent="0.25">
      <c r="A15" s="166"/>
      <c r="B15" s="6">
        <v>44414</v>
      </c>
      <c r="C15" s="7"/>
      <c r="D15" s="143">
        <v>98</v>
      </c>
      <c r="E15" s="143">
        <v>173</v>
      </c>
      <c r="F15" s="13">
        <f>'Suivi EAU-ELEC'!E14</f>
        <v>107.09999999999127</v>
      </c>
      <c r="G15" s="11"/>
      <c r="H15" s="171">
        <f t="shared" si="0"/>
        <v>1220.9399999999005</v>
      </c>
      <c r="I15" s="172"/>
      <c r="J15" s="172"/>
      <c r="K15" s="60">
        <v>42283</v>
      </c>
      <c r="L15" s="90">
        <f>'Suivi EAU-ELEC'!G14</f>
        <v>3759</v>
      </c>
      <c r="M15" s="91">
        <f>'Suivi EAU-ELEC'!I14</f>
        <v>8185</v>
      </c>
      <c r="N15" s="91">
        <f>'Suivi EAU-ELEC'!K14</f>
        <v>3363</v>
      </c>
      <c r="O15" s="91">
        <f t="shared" si="3"/>
        <v>15307</v>
      </c>
      <c r="P15" s="12"/>
      <c r="Q15" s="34">
        <f t="shared" si="1"/>
        <v>14887.005700000002</v>
      </c>
      <c r="R15" s="12"/>
      <c r="S15" s="28"/>
      <c r="T15" s="12"/>
      <c r="U15" s="28"/>
      <c r="V15" s="146">
        <f>'Suvi Gaz'!O9</f>
        <v>287.99288999999999</v>
      </c>
      <c r="W15" s="11"/>
      <c r="X15" s="34">
        <f t="shared" si="2"/>
        <v>2767.6116728999996</v>
      </c>
    </row>
    <row r="16" spans="1:24" ht="32.25" customHeight="1" thickBot="1" x14ac:dyDescent="0.25">
      <c r="A16" s="166"/>
      <c r="B16" s="6">
        <v>44415</v>
      </c>
      <c r="C16" s="7"/>
      <c r="D16" s="143">
        <v>100</v>
      </c>
      <c r="E16" s="143">
        <v>182</v>
      </c>
      <c r="F16" s="13">
        <f>'Suivi EAU-ELEC'!E15</f>
        <v>125.10000000000582</v>
      </c>
      <c r="G16" s="11"/>
      <c r="H16" s="171">
        <f t="shared" si="0"/>
        <v>1426.1400000000665</v>
      </c>
      <c r="I16" s="172"/>
      <c r="J16" s="172"/>
      <c r="K16" s="60">
        <v>42284</v>
      </c>
      <c r="L16" s="90">
        <f>'Suivi EAU-ELEC'!G15</f>
        <v>4155</v>
      </c>
      <c r="M16" s="91">
        <f>'Suivi EAU-ELEC'!I15</f>
        <v>8948</v>
      </c>
      <c r="N16" s="91">
        <f>'Suivi EAU-ELEC'!K15</f>
        <v>3364</v>
      </c>
      <c r="O16" s="91">
        <f t="shared" si="3"/>
        <v>16467</v>
      </c>
      <c r="P16" s="11"/>
      <c r="Q16" s="34">
        <f t="shared" si="1"/>
        <v>15890.8603</v>
      </c>
      <c r="R16" s="11"/>
      <c r="S16" s="28"/>
      <c r="T16" s="11"/>
      <c r="U16" s="28"/>
      <c r="V16" s="146">
        <f>'Suvi Gaz'!O10</f>
        <v>255.99368000000001</v>
      </c>
      <c r="W16" s="11"/>
      <c r="X16" s="34">
        <f t="shared" si="2"/>
        <v>2460.0992648000001</v>
      </c>
    </row>
    <row r="17" spans="1:24" s="5" customFormat="1" ht="32.25" customHeight="1" thickBot="1" x14ac:dyDescent="0.25">
      <c r="A17" s="2"/>
      <c r="B17" s="6">
        <v>44416</v>
      </c>
      <c r="C17" s="7"/>
      <c r="D17" s="143">
        <v>66</v>
      </c>
      <c r="E17" s="143">
        <v>115</v>
      </c>
      <c r="F17" s="13">
        <f>'Suivi EAU-ELEC'!E16</f>
        <v>117.59999999999127</v>
      </c>
      <c r="G17" s="11"/>
      <c r="H17" s="171">
        <f t="shared" si="0"/>
        <v>1340.6399999999005</v>
      </c>
      <c r="I17" s="172"/>
      <c r="J17" s="172"/>
      <c r="K17" s="60">
        <v>42285</v>
      </c>
      <c r="L17" s="90">
        <f>'Suivi EAU-ELEC'!G16</f>
        <v>3897</v>
      </c>
      <c r="M17" s="91">
        <f>'Suivi EAU-ELEC'!I16</f>
        <v>8099</v>
      </c>
      <c r="N17" s="91">
        <f>'Suivi EAU-ELEC'!K16</f>
        <v>2782</v>
      </c>
      <c r="O17" s="91">
        <f t="shared" si="3"/>
        <v>14778</v>
      </c>
      <c r="P17" s="12"/>
      <c r="Q17" s="34">
        <f t="shared" si="1"/>
        <v>14128.615900000001</v>
      </c>
      <c r="R17" s="12"/>
      <c r="S17" s="28"/>
      <c r="T17" s="12"/>
      <c r="U17" s="28"/>
      <c r="V17" s="146">
        <f>'Suvi Gaz'!O11</f>
        <v>287.99288999999999</v>
      </c>
      <c r="W17" s="11"/>
      <c r="X17" s="34">
        <f t="shared" si="2"/>
        <v>2767.6116728999996</v>
      </c>
    </row>
    <row r="18" spans="1:24" ht="32.25" customHeight="1" thickBot="1" x14ac:dyDescent="0.25">
      <c r="A18" s="2"/>
      <c r="B18" s="6">
        <v>44417</v>
      </c>
      <c r="C18" s="7"/>
      <c r="D18" s="143">
        <v>70</v>
      </c>
      <c r="E18" s="143">
        <v>127</v>
      </c>
      <c r="F18" s="13">
        <f>'Suivi EAU-ELEC'!E17</f>
        <v>91.100000000005821</v>
      </c>
      <c r="G18" s="11"/>
      <c r="H18" s="171">
        <f t="shared" si="0"/>
        <v>1038.5400000000664</v>
      </c>
      <c r="I18" s="172"/>
      <c r="J18" s="172"/>
      <c r="K18" s="60">
        <v>42286</v>
      </c>
      <c r="L18" s="90">
        <f>'Suivi EAU-ELEC'!G17</f>
        <v>3560</v>
      </c>
      <c r="M18" s="91">
        <f>'Suivi EAU-ELEC'!I17</f>
        <v>7480</v>
      </c>
      <c r="N18" s="91">
        <f>'Suivi EAU-ELEC'!K17</f>
        <v>2610</v>
      </c>
      <c r="O18" s="91">
        <f t="shared" si="3"/>
        <v>13650</v>
      </c>
      <c r="P18" s="12"/>
      <c r="Q18" s="34">
        <f t="shared" si="1"/>
        <v>13075.475999999999</v>
      </c>
      <c r="R18" s="12"/>
      <c r="S18" s="28"/>
      <c r="T18" s="12"/>
      <c r="U18" s="28"/>
      <c r="V18" s="146">
        <f>'Suvi Gaz'!O12</f>
        <v>255.99368000000001</v>
      </c>
      <c r="W18" s="11"/>
      <c r="X18" s="34">
        <f t="shared" si="2"/>
        <v>2460.0992648000001</v>
      </c>
    </row>
    <row r="19" spans="1:24" ht="32.25" customHeight="1" thickBot="1" x14ac:dyDescent="0.25">
      <c r="A19" s="2"/>
      <c r="B19" s="6">
        <v>44418</v>
      </c>
      <c r="C19" s="7"/>
      <c r="D19" s="143">
        <v>76</v>
      </c>
      <c r="E19" s="143">
        <v>142</v>
      </c>
      <c r="F19" s="13">
        <f>'Suivi EAU-ELEC'!E18</f>
        <v>122.60000000000582</v>
      </c>
      <c r="G19" s="12"/>
      <c r="H19" s="171">
        <f t="shared" si="0"/>
        <v>1397.6400000000665</v>
      </c>
      <c r="I19" s="172"/>
      <c r="J19" s="172"/>
      <c r="K19" s="60">
        <v>42287</v>
      </c>
      <c r="L19" s="90">
        <f>'Suivi EAU-ELEC'!G18</f>
        <v>3409</v>
      </c>
      <c r="M19" s="91">
        <f>'Suivi EAU-ELEC'!I18</f>
        <v>7802</v>
      </c>
      <c r="N19" s="91">
        <f>'Suivi EAU-ELEC'!K18</f>
        <v>2111</v>
      </c>
      <c r="O19" s="91">
        <f t="shared" si="3"/>
        <v>13322</v>
      </c>
      <c r="P19" s="12"/>
      <c r="Q19" s="34">
        <f t="shared" si="1"/>
        <v>12612.483700000001</v>
      </c>
      <c r="R19" s="12"/>
      <c r="S19" s="28"/>
      <c r="T19" s="12"/>
      <c r="U19" s="28"/>
      <c r="V19" s="146">
        <f>'Suvi Gaz'!O13</f>
        <v>351.99131</v>
      </c>
      <c r="W19" s="11"/>
      <c r="X19" s="34">
        <f t="shared" si="2"/>
        <v>3382.6364890999998</v>
      </c>
    </row>
    <row r="20" spans="1:24" ht="32.25" customHeight="1" thickBot="1" x14ac:dyDescent="0.25">
      <c r="A20" s="2"/>
      <c r="B20" s="6">
        <v>44419</v>
      </c>
      <c r="C20" s="7"/>
      <c r="D20" s="143">
        <v>87</v>
      </c>
      <c r="E20" s="143">
        <v>158</v>
      </c>
      <c r="F20" s="13">
        <f>'Suivi EAU-ELEC'!E19</f>
        <v>111.39999999999418</v>
      </c>
      <c r="G20" s="12"/>
      <c r="H20" s="171">
        <f t="shared" si="0"/>
        <v>1269.9599999999336</v>
      </c>
      <c r="I20" s="172"/>
      <c r="J20" s="172"/>
      <c r="K20" s="60">
        <v>42288</v>
      </c>
      <c r="L20" s="90">
        <f>'Suivi EAU-ELEC'!G19</f>
        <v>3884</v>
      </c>
      <c r="M20" s="91">
        <f>'Suivi EAU-ELEC'!I19</f>
        <v>8314</v>
      </c>
      <c r="N20" s="91">
        <f>'Suivi EAU-ELEC'!K19</f>
        <v>2595</v>
      </c>
      <c r="O20" s="91">
        <f t="shared" si="3"/>
        <v>14793</v>
      </c>
      <c r="P20" s="12"/>
      <c r="Q20" s="34">
        <f t="shared" si="1"/>
        <v>14075.301599999999</v>
      </c>
      <c r="R20" s="12"/>
      <c r="S20" s="28"/>
      <c r="T20" s="12"/>
      <c r="U20" s="28"/>
      <c r="V20" s="146">
        <f>'Suvi Gaz'!O14</f>
        <v>255.99368000000001</v>
      </c>
      <c r="W20" s="11"/>
      <c r="X20" s="34">
        <f t="shared" si="2"/>
        <v>2460.0992648000001</v>
      </c>
    </row>
    <row r="21" spans="1:24" ht="32.25" customHeight="1" thickBot="1" x14ac:dyDescent="0.25">
      <c r="A21" s="2"/>
      <c r="B21" s="6">
        <v>44420</v>
      </c>
      <c r="C21" s="7"/>
      <c r="D21" s="143">
        <v>84</v>
      </c>
      <c r="E21" s="143">
        <v>159</v>
      </c>
      <c r="F21" s="13">
        <f>'Suivi EAU-ELEC'!E20</f>
        <v>119</v>
      </c>
      <c r="G21" s="12"/>
      <c r="H21" s="171">
        <f t="shared" si="0"/>
        <v>1356.6000000000001</v>
      </c>
      <c r="I21" s="172"/>
      <c r="J21" s="172"/>
      <c r="K21" s="60">
        <v>42289</v>
      </c>
      <c r="L21" s="90">
        <f>'Suivi EAU-ELEC'!G20</f>
        <v>3586</v>
      </c>
      <c r="M21" s="91">
        <f>'Suivi EAU-ELEC'!I20</f>
        <v>8726</v>
      </c>
      <c r="N21" s="91">
        <f>'Suivi EAU-ELEC'!K20</f>
        <v>2902</v>
      </c>
      <c r="O21" s="91">
        <f>L21+M21+N21</f>
        <v>15214</v>
      </c>
      <c r="P21" s="12"/>
      <c r="Q21" s="34">
        <f t="shared" si="1"/>
        <v>14667.558199999999</v>
      </c>
      <c r="R21" s="12"/>
      <c r="S21" s="28"/>
      <c r="T21" s="12"/>
      <c r="U21" s="28"/>
      <c r="V21" s="146">
        <f>'Suvi Gaz'!O15</f>
        <v>127.99684000000001</v>
      </c>
      <c r="W21" s="11"/>
      <c r="X21" s="34">
        <f t="shared" si="2"/>
        <v>1230.0496324000001</v>
      </c>
    </row>
    <row r="22" spans="1:24" ht="32.25" customHeight="1" thickBot="1" x14ac:dyDescent="0.25">
      <c r="A22" s="2"/>
      <c r="B22" s="6">
        <v>44421</v>
      </c>
      <c r="C22" s="7"/>
      <c r="D22" s="143">
        <v>93</v>
      </c>
      <c r="E22" s="143">
        <v>190</v>
      </c>
      <c r="F22" s="13">
        <f>'Suivi EAU-ELEC'!E21</f>
        <v>112</v>
      </c>
      <c r="G22" s="12"/>
      <c r="H22" s="171">
        <f t="shared" si="0"/>
        <v>1276.8</v>
      </c>
      <c r="I22" s="172"/>
      <c r="J22" s="172"/>
      <c r="K22" s="60">
        <v>42290</v>
      </c>
      <c r="L22" s="90">
        <f>'Suivi EAU-ELEC'!G21</f>
        <v>3716</v>
      </c>
      <c r="M22" s="91">
        <f>'Suivi EAU-ELEC'!I21</f>
        <v>8757</v>
      </c>
      <c r="N22" s="91">
        <f>'Suivi EAU-ELEC'!K21</f>
        <v>3012</v>
      </c>
      <c r="O22" s="91">
        <f t="shared" si="3"/>
        <v>15485</v>
      </c>
      <c r="P22" s="12"/>
      <c r="Q22" s="34">
        <f t="shared" si="1"/>
        <v>14934.2006</v>
      </c>
      <c r="R22" s="12"/>
      <c r="S22" s="28"/>
      <c r="T22" s="12"/>
      <c r="U22" s="28"/>
      <c r="V22" s="146">
        <f>'Suvi Gaz'!O16</f>
        <v>415.98973000000001</v>
      </c>
      <c r="W22" s="11"/>
      <c r="X22" s="34">
        <f t="shared" si="2"/>
        <v>3997.6613052999996</v>
      </c>
    </row>
    <row r="23" spans="1:24" ht="32.25" customHeight="1" thickBot="1" x14ac:dyDescent="0.25">
      <c r="A23" s="2"/>
      <c r="B23" s="6">
        <v>44422</v>
      </c>
      <c r="C23" s="7"/>
      <c r="D23" s="143">
        <v>91</v>
      </c>
      <c r="E23" s="143">
        <v>177</v>
      </c>
      <c r="F23" s="13">
        <f>'Suivi EAU-ELEC'!E22</f>
        <v>126</v>
      </c>
      <c r="G23" s="14"/>
      <c r="H23" s="171">
        <f t="shared" si="0"/>
        <v>1436.4</v>
      </c>
      <c r="I23" s="172"/>
      <c r="J23" s="172"/>
      <c r="K23" s="60">
        <v>42291</v>
      </c>
      <c r="L23" s="90">
        <f>'Suivi EAU-ELEC'!G22</f>
        <v>4049</v>
      </c>
      <c r="M23" s="91">
        <f>'Suivi EAU-ELEC'!I22</f>
        <v>9373</v>
      </c>
      <c r="N23" s="91">
        <f>'Suivi EAU-ELEC'!K22</f>
        <v>3383</v>
      </c>
      <c r="O23" s="91">
        <f t="shared" si="3"/>
        <v>16805</v>
      </c>
      <c r="P23" s="12"/>
      <c r="Q23" s="34">
        <f t="shared" si="1"/>
        <v>16246.441900000002</v>
      </c>
      <c r="R23" s="12"/>
      <c r="S23" s="28"/>
      <c r="T23" s="14"/>
      <c r="U23" s="28"/>
      <c r="V23" s="146">
        <f>'Suvi Gaz'!O17</f>
        <v>95.997630000000001</v>
      </c>
      <c r="W23" s="11"/>
      <c r="X23" s="34">
        <f t="shared" si="2"/>
        <v>922.53722429999993</v>
      </c>
    </row>
    <row r="24" spans="1:24" ht="32.25" customHeight="1" thickBot="1" x14ac:dyDescent="0.25">
      <c r="A24" s="2"/>
      <c r="B24" s="6">
        <v>44423</v>
      </c>
      <c r="C24" s="7"/>
      <c r="D24" s="143">
        <v>71</v>
      </c>
      <c r="E24" s="143">
        <v>139</v>
      </c>
      <c r="F24" s="13">
        <f>'Suivi EAU-ELEC'!E23</f>
        <v>96</v>
      </c>
      <c r="G24" s="14"/>
      <c r="H24" s="171">
        <f t="shared" si="0"/>
        <v>1094.4000000000001</v>
      </c>
      <c r="I24" s="172"/>
      <c r="J24" s="172"/>
      <c r="K24" s="60">
        <v>42292</v>
      </c>
      <c r="L24" s="90">
        <f>'Suivi EAU-ELEC'!G23</f>
        <v>4072</v>
      </c>
      <c r="M24" s="91">
        <f>'Suivi EAU-ELEC'!I23</f>
        <v>8962</v>
      </c>
      <c r="N24" s="91">
        <f>'Suivi EAU-ELEC'!K23</f>
        <v>3209</v>
      </c>
      <c r="O24" s="91">
        <f t="shared" si="3"/>
        <v>16243</v>
      </c>
      <c r="P24" s="12"/>
      <c r="Q24" s="34">
        <f t="shared" si="1"/>
        <v>15639.992399999999</v>
      </c>
      <c r="R24" s="12"/>
      <c r="S24" s="28"/>
      <c r="T24" s="14"/>
      <c r="U24" s="28"/>
      <c r="V24" s="146">
        <f>'Suvi Gaz'!O18</f>
        <v>95.997630000000001</v>
      </c>
      <c r="W24" s="11"/>
      <c r="X24" s="34">
        <f t="shared" si="2"/>
        <v>922.53722429999993</v>
      </c>
    </row>
    <row r="25" spans="1:24" ht="32.25" customHeight="1" thickBot="1" x14ac:dyDescent="0.25">
      <c r="A25" s="2"/>
      <c r="B25" s="6">
        <v>44424</v>
      </c>
      <c r="C25" s="7"/>
      <c r="D25" s="143">
        <v>79</v>
      </c>
      <c r="E25" s="143">
        <v>131</v>
      </c>
      <c r="F25" s="13">
        <f>'Suivi EAU-ELEC'!E24</f>
        <v>94</v>
      </c>
      <c r="G25" s="14"/>
      <c r="H25" s="171">
        <f t="shared" si="0"/>
        <v>1071.6000000000001</v>
      </c>
      <c r="I25" s="172"/>
      <c r="J25" s="172"/>
      <c r="K25" s="60">
        <v>42293</v>
      </c>
      <c r="L25" s="90">
        <f>'Suivi EAU-ELEC'!G24</f>
        <v>4411</v>
      </c>
      <c r="M25" s="91">
        <f>'Suivi EAU-ELEC'!I24</f>
        <v>9259</v>
      </c>
      <c r="N25" s="91">
        <f>'Suivi EAU-ELEC'!K24</f>
        <v>3337</v>
      </c>
      <c r="O25" s="91">
        <f t="shared" si="3"/>
        <v>17007</v>
      </c>
      <c r="P25" s="12"/>
      <c r="Q25" s="34">
        <f t="shared" si="1"/>
        <v>16329.6409</v>
      </c>
      <c r="R25" s="12"/>
      <c r="S25" s="28"/>
      <c r="T25" s="14"/>
      <c r="U25" s="28"/>
      <c r="V25" s="146">
        <f>'Suvi Gaz'!O19</f>
        <v>159.99605</v>
      </c>
      <c r="W25" s="11"/>
      <c r="X25" s="34">
        <f t="shared" si="2"/>
        <v>1537.5620405</v>
      </c>
    </row>
    <row r="26" spans="1:24" ht="32.25" customHeight="1" thickBot="1" x14ac:dyDescent="0.25">
      <c r="A26" s="2"/>
      <c r="B26" s="6">
        <v>44425</v>
      </c>
      <c r="C26" s="7"/>
      <c r="D26" s="143">
        <v>118</v>
      </c>
      <c r="E26" s="143">
        <v>192</v>
      </c>
      <c r="F26" s="13">
        <f>'Suivi EAU-ELEC'!E25</f>
        <v>21.80000000000291</v>
      </c>
      <c r="G26" s="14"/>
      <c r="H26" s="171">
        <f t="shared" si="0"/>
        <v>248.52000000003318</v>
      </c>
      <c r="I26" s="172"/>
      <c r="J26" s="172"/>
      <c r="K26" s="60">
        <v>42294</v>
      </c>
      <c r="L26" s="90">
        <f>'Suivi EAU-ELEC'!G25</f>
        <v>3983</v>
      </c>
      <c r="M26" s="91">
        <f>'Suivi EAU-ELEC'!I25</f>
        <v>9612</v>
      </c>
      <c r="N26" s="91">
        <f>'Suivi EAU-ELEC'!K25</f>
        <v>3157</v>
      </c>
      <c r="O26" s="91">
        <f t="shared" si="3"/>
        <v>16752</v>
      </c>
      <c r="P26" s="14"/>
      <c r="Q26" s="34">
        <f t="shared" si="1"/>
        <v>16127.0551</v>
      </c>
      <c r="R26" s="14"/>
      <c r="S26" s="28"/>
      <c r="T26" s="14"/>
      <c r="U26" s="28"/>
      <c r="V26" s="146">
        <f>'Suvi Gaz'!O20</f>
        <v>511.98736000000002</v>
      </c>
      <c r="W26" s="11"/>
      <c r="X26" s="34">
        <f t="shared" si="2"/>
        <v>4920.1985296000003</v>
      </c>
    </row>
    <row r="27" spans="1:24" ht="32.25" customHeight="1" thickBot="1" x14ac:dyDescent="0.25">
      <c r="A27" s="2"/>
      <c r="B27" s="6">
        <v>44426</v>
      </c>
      <c r="C27" s="7"/>
      <c r="D27" s="143">
        <v>93</v>
      </c>
      <c r="E27" s="143">
        <v>161</v>
      </c>
      <c r="F27" s="13">
        <f>'Suivi EAU-ELEC'!E26</f>
        <v>201</v>
      </c>
      <c r="G27" s="14"/>
      <c r="H27" s="171">
        <f t="shared" si="0"/>
        <v>2291.4</v>
      </c>
      <c r="I27" s="172"/>
      <c r="J27" s="172"/>
      <c r="K27" s="60">
        <v>42295</v>
      </c>
      <c r="L27" s="90">
        <f>'Suivi EAU-ELEC'!G26</f>
        <v>4274</v>
      </c>
      <c r="M27" s="91">
        <f>'Suivi EAU-ELEC'!I26</f>
        <v>8776</v>
      </c>
      <c r="N27" s="91">
        <f>'Suivi EAU-ELEC'!K26</f>
        <v>3265</v>
      </c>
      <c r="O27" s="91">
        <f t="shared" si="3"/>
        <v>16315</v>
      </c>
      <c r="P27" s="14"/>
      <c r="Q27" s="34">
        <f t="shared" si="1"/>
        <v>15678.631400000002</v>
      </c>
      <c r="R27" s="14"/>
      <c r="S27" s="28"/>
      <c r="T27" s="14"/>
      <c r="U27" s="28"/>
      <c r="V27" s="146">
        <f>'Suvi Gaz'!O21</f>
        <v>415.98973000000001</v>
      </c>
      <c r="W27" s="11"/>
      <c r="X27" s="34">
        <f t="shared" si="2"/>
        <v>3997.6613052999996</v>
      </c>
    </row>
    <row r="28" spans="1:24" ht="32.25" customHeight="1" thickBot="1" x14ac:dyDescent="0.25">
      <c r="A28" s="2"/>
      <c r="B28" s="6">
        <v>44427</v>
      </c>
      <c r="C28" s="7"/>
      <c r="D28" s="143">
        <v>90</v>
      </c>
      <c r="E28" s="143">
        <v>158</v>
      </c>
      <c r="F28" s="13">
        <f>'Suivi EAU-ELEC'!E27</f>
        <v>136.19999999999709</v>
      </c>
      <c r="G28" s="11"/>
      <c r="H28" s="171">
        <f t="shared" si="0"/>
        <v>1552.6799999999669</v>
      </c>
      <c r="I28" s="172"/>
      <c r="J28" s="172"/>
      <c r="K28" s="60">
        <v>42296</v>
      </c>
      <c r="L28" s="90">
        <f>'Suivi EAU-ELEC'!G27</f>
        <v>4150</v>
      </c>
      <c r="M28" s="91">
        <f>'Suivi EAU-ELEC'!I27</f>
        <v>8412</v>
      </c>
      <c r="N28" s="91">
        <f>'Suivi EAU-ELEC'!K27</f>
        <v>3562</v>
      </c>
      <c r="O28" s="91">
        <f t="shared" si="3"/>
        <v>16124</v>
      </c>
      <c r="P28" s="11"/>
      <c r="Q28" s="34">
        <f t="shared" si="1"/>
        <v>15640.836600000001</v>
      </c>
      <c r="R28" s="11"/>
      <c r="S28" s="28"/>
      <c r="T28" s="11"/>
      <c r="U28" s="28"/>
      <c r="V28" s="146">
        <f>'Suvi Gaz'!O22</f>
        <v>95.997630000000001</v>
      </c>
      <c r="W28" s="11"/>
      <c r="X28" s="34">
        <f t="shared" si="2"/>
        <v>922.53722429999993</v>
      </c>
    </row>
    <row r="29" spans="1:24" ht="32.25" customHeight="1" thickBot="1" x14ac:dyDescent="0.25">
      <c r="A29" s="2"/>
      <c r="B29" s="6">
        <v>44428</v>
      </c>
      <c r="C29" s="7"/>
      <c r="D29" s="143">
        <v>111</v>
      </c>
      <c r="E29" s="143">
        <v>205</v>
      </c>
      <c r="F29" s="13">
        <f>'Suivi EAU-ELEC'!E28</f>
        <v>115.5</v>
      </c>
      <c r="G29" s="11"/>
      <c r="H29" s="171">
        <f t="shared" si="0"/>
        <v>1316.7</v>
      </c>
      <c r="I29" s="172"/>
      <c r="J29" s="172"/>
      <c r="K29" s="60">
        <v>42297</v>
      </c>
      <c r="L29" s="90">
        <f>'Suivi EAU-ELEC'!G28</f>
        <v>3972</v>
      </c>
      <c r="M29" s="91">
        <f>'Suivi EAU-ELEC'!I28</f>
        <v>8416</v>
      </c>
      <c r="N29" s="91">
        <f>'Suivi EAU-ELEC'!K28</f>
        <v>3364</v>
      </c>
      <c r="O29" s="91">
        <f>L29+M29+N29</f>
        <v>15752</v>
      </c>
      <c r="P29" s="11"/>
      <c r="Q29" s="34">
        <f t="shared" si="1"/>
        <v>15256.89</v>
      </c>
      <c r="R29" s="11"/>
      <c r="S29" s="28"/>
      <c r="T29" s="11"/>
      <c r="U29" s="28"/>
      <c r="V29" s="146">
        <f>'Suvi Gaz'!O23</f>
        <v>351.99131</v>
      </c>
      <c r="W29" s="11"/>
      <c r="X29" s="34">
        <f t="shared" si="2"/>
        <v>3382.6364890999998</v>
      </c>
    </row>
    <row r="30" spans="1:24" ht="32.25" customHeight="1" thickBot="1" x14ac:dyDescent="0.25">
      <c r="A30" s="2"/>
      <c r="B30" s="6">
        <v>44429</v>
      </c>
      <c r="C30" s="7"/>
      <c r="D30" s="143">
        <v>112</v>
      </c>
      <c r="E30" s="143">
        <v>192</v>
      </c>
      <c r="F30" s="13">
        <f>'Suivi EAU-ELEC'!E29</f>
        <v>110.10000000000582</v>
      </c>
      <c r="G30" s="11"/>
      <c r="H30" s="171">
        <f t="shared" si="0"/>
        <v>1255.1400000000665</v>
      </c>
      <c r="I30" s="172"/>
      <c r="J30" s="172"/>
      <c r="K30" s="60">
        <v>42298</v>
      </c>
      <c r="L30" s="90">
        <f>'Suivi EAU-ELEC'!G29</f>
        <v>3826</v>
      </c>
      <c r="M30" s="91">
        <f>'Suivi EAU-ELEC'!I29</f>
        <v>7869</v>
      </c>
      <c r="N30" s="91">
        <f>'Suivi EAU-ELEC'!K29</f>
        <v>3254</v>
      </c>
      <c r="O30" s="91">
        <f>L30+M30+N30</f>
        <v>14949</v>
      </c>
      <c r="P30" s="11"/>
      <c r="Q30" s="34">
        <f t="shared" si="1"/>
        <v>14488.149200000002</v>
      </c>
      <c r="R30" s="11"/>
      <c r="S30" s="28"/>
      <c r="T30" s="11"/>
      <c r="U30" s="28"/>
      <c r="V30" s="146">
        <f>'Suvi Gaz'!O24</f>
        <v>127.99684000000001</v>
      </c>
      <c r="W30" s="11"/>
      <c r="X30" s="34">
        <f t="shared" si="2"/>
        <v>1230.0496324000001</v>
      </c>
    </row>
    <row r="31" spans="1:24" ht="27.75" customHeight="1" thickBot="1" x14ac:dyDescent="0.25">
      <c r="A31" s="2"/>
      <c r="B31" s="6">
        <v>44430</v>
      </c>
      <c r="C31" s="7"/>
      <c r="D31" s="143">
        <v>72</v>
      </c>
      <c r="E31" s="143">
        <v>117</v>
      </c>
      <c r="F31" s="13">
        <f>'Suivi EAU-ELEC'!E30</f>
        <v>114.5</v>
      </c>
      <c r="G31" s="11"/>
      <c r="H31" s="171">
        <f t="shared" si="0"/>
        <v>1305.3</v>
      </c>
      <c r="I31" s="172"/>
      <c r="J31" s="172"/>
      <c r="K31" s="60">
        <v>42299</v>
      </c>
      <c r="L31" s="90">
        <f>'Suivi EAU-ELEC'!G30</f>
        <v>3925</v>
      </c>
      <c r="M31" s="91">
        <f>'Suivi EAU-ELEC'!I30</f>
        <v>8217</v>
      </c>
      <c r="N31" s="91">
        <f>'Suivi EAU-ELEC'!K30</f>
        <v>3631</v>
      </c>
      <c r="O31" s="91">
        <f>L31+M31+N31</f>
        <v>15773</v>
      </c>
      <c r="P31" s="11"/>
      <c r="Q31" s="34">
        <f t="shared" si="1"/>
        <v>15389.948699999999</v>
      </c>
      <c r="R31" s="11"/>
      <c r="S31" s="28"/>
      <c r="T31" s="11"/>
      <c r="U31" s="28"/>
      <c r="V31" s="146">
        <f>'Suvi Gaz'!O25</f>
        <v>127.99684000000001</v>
      </c>
      <c r="W31" s="11"/>
      <c r="X31" s="34">
        <f t="shared" si="2"/>
        <v>1230.0496324000001</v>
      </c>
    </row>
    <row r="32" spans="1:24" ht="37.5" customHeight="1" thickBot="1" x14ac:dyDescent="0.25">
      <c r="A32" s="2"/>
      <c r="B32" s="6">
        <v>44431</v>
      </c>
      <c r="C32" s="7"/>
      <c r="D32" s="143">
        <v>69</v>
      </c>
      <c r="E32" s="143">
        <v>120</v>
      </c>
      <c r="F32" s="13">
        <f>'Suivi EAU-ELEC'!E31</f>
        <v>100.89999999999418</v>
      </c>
      <c r="G32" s="11"/>
      <c r="H32" s="171">
        <f t="shared" si="0"/>
        <v>1150.2599999999336</v>
      </c>
      <c r="I32" s="172"/>
      <c r="J32" s="172"/>
      <c r="K32" s="60">
        <v>42300</v>
      </c>
      <c r="L32" s="90">
        <f>'Suivi EAU-ELEC'!G31</f>
        <v>3683</v>
      </c>
      <c r="M32" s="91">
        <f>'Suivi EAU-ELEC'!I31</f>
        <v>8145</v>
      </c>
      <c r="N32" s="91">
        <f>'Suivi EAU-ELEC'!K31</f>
        <v>3024</v>
      </c>
      <c r="O32" s="91">
        <f t="shared" si="3"/>
        <v>14852</v>
      </c>
      <c r="P32" s="11"/>
      <c r="Q32" s="34">
        <f t="shared" si="1"/>
        <v>14344.858100000001</v>
      </c>
      <c r="R32" s="11"/>
      <c r="S32" s="28"/>
      <c r="T32" s="11"/>
      <c r="U32" s="28"/>
      <c r="V32" s="146">
        <f>'Suvi Gaz'!O26</f>
        <v>191.99526</v>
      </c>
      <c r="W32" s="11"/>
      <c r="X32" s="34">
        <f t="shared" si="2"/>
        <v>1845.0744485999999</v>
      </c>
    </row>
    <row r="33" spans="1:24" ht="37.5" customHeight="1" thickBot="1" x14ac:dyDescent="0.25">
      <c r="A33" s="2"/>
      <c r="B33" s="6">
        <v>44432</v>
      </c>
      <c r="C33" s="7"/>
      <c r="D33" s="143">
        <v>69</v>
      </c>
      <c r="E33" s="143">
        <v>122</v>
      </c>
      <c r="F33" s="13">
        <f>'Suivi EAU-ELEC'!E32</f>
        <v>132</v>
      </c>
      <c r="G33" s="11"/>
      <c r="H33" s="171">
        <f t="shared" si="0"/>
        <v>1504.8</v>
      </c>
      <c r="I33" s="172"/>
      <c r="J33" s="172"/>
      <c r="K33" s="60">
        <v>42301</v>
      </c>
      <c r="L33" s="90">
        <f>'Suivi EAU-ELEC'!G32</f>
        <v>3637</v>
      </c>
      <c r="M33" s="91">
        <f>'Suivi EAU-ELEC'!I32</f>
        <v>8037</v>
      </c>
      <c r="N33" s="91">
        <f>'Suivi EAU-ELEC'!K32</f>
        <v>2635</v>
      </c>
      <c r="O33" s="91">
        <f t="shared" si="3"/>
        <v>14309</v>
      </c>
      <c r="P33" s="11"/>
      <c r="Q33" s="34">
        <f t="shared" si="1"/>
        <v>13692.4503</v>
      </c>
      <c r="R33" s="11"/>
      <c r="S33" s="28"/>
      <c r="T33" s="11"/>
      <c r="U33" s="28"/>
      <c r="V33" s="146">
        <f>'Suvi Gaz'!O27</f>
        <v>223.99447000000001</v>
      </c>
      <c r="W33" s="11"/>
      <c r="X33" s="34">
        <f t="shared" si="2"/>
        <v>2152.5868566999998</v>
      </c>
    </row>
    <row r="34" spans="1:24" ht="37.5" customHeight="1" thickBot="1" x14ac:dyDescent="0.25">
      <c r="A34" s="2"/>
      <c r="B34" s="6">
        <v>44433</v>
      </c>
      <c r="C34" s="7"/>
      <c r="D34" s="143">
        <v>56</v>
      </c>
      <c r="E34" s="143">
        <v>100</v>
      </c>
      <c r="F34" s="13">
        <f>'Suivi EAU-ELEC'!E33</f>
        <v>124.39999999999418</v>
      </c>
      <c r="G34" s="11"/>
      <c r="H34" s="171">
        <f t="shared" si="0"/>
        <v>1418.1599999999337</v>
      </c>
      <c r="I34" s="172"/>
      <c r="J34" s="172"/>
      <c r="K34" s="60">
        <v>42302</v>
      </c>
      <c r="L34" s="90">
        <f>'Suivi EAU-ELEC'!G33</f>
        <v>3331</v>
      </c>
      <c r="M34" s="91">
        <f>'Suivi EAU-ELEC'!I33</f>
        <v>7368</v>
      </c>
      <c r="N34" s="91">
        <f>'Suivi EAU-ELEC'!K33</f>
        <v>2624</v>
      </c>
      <c r="O34" s="91">
        <f t="shared" si="3"/>
        <v>13323</v>
      </c>
      <c r="P34" s="11"/>
      <c r="Q34" s="34">
        <f t="shared" si="1"/>
        <v>12827.588300000001</v>
      </c>
      <c r="R34" s="11"/>
      <c r="S34" s="28"/>
      <c r="T34" s="11"/>
      <c r="U34" s="28"/>
      <c r="V34" s="146">
        <f>'Suvi Gaz'!O28</f>
        <v>255.99368000000001</v>
      </c>
      <c r="W34" s="11"/>
      <c r="X34" s="34">
        <f t="shared" si="2"/>
        <v>2460.0992648000001</v>
      </c>
    </row>
    <row r="35" spans="1:24" ht="33.75" customHeight="1" thickBot="1" x14ac:dyDescent="0.25">
      <c r="A35" s="2"/>
      <c r="B35" s="6">
        <v>44434</v>
      </c>
      <c r="C35" s="7"/>
      <c r="D35" s="143">
        <v>71</v>
      </c>
      <c r="E35" s="143">
        <v>99</v>
      </c>
      <c r="F35" s="13">
        <f>'Suivi EAU-ELEC'!E34</f>
        <v>106.60000000000582</v>
      </c>
      <c r="G35" s="11"/>
      <c r="H35" s="171">
        <f t="shared" si="0"/>
        <v>1215.2400000000664</v>
      </c>
      <c r="I35" s="172"/>
      <c r="J35" s="172"/>
      <c r="K35" s="60">
        <v>42303</v>
      </c>
      <c r="L35" s="90">
        <f>'Suivi EAU-ELEC'!G34</f>
        <v>3576</v>
      </c>
      <c r="M35" s="91">
        <f>'Suivi EAU-ELEC'!I34</f>
        <v>7411</v>
      </c>
      <c r="N35" s="91">
        <f>'Suivi EAU-ELEC'!K34</f>
        <v>2639</v>
      </c>
      <c r="O35" s="91">
        <f t="shared" si="3"/>
        <v>13626</v>
      </c>
      <c r="P35" s="11"/>
      <c r="Q35" s="34">
        <f t="shared" si="1"/>
        <v>13059.587000000001</v>
      </c>
      <c r="R35" s="11"/>
      <c r="S35" s="28"/>
      <c r="T35" s="11"/>
      <c r="U35" s="28"/>
      <c r="V35" s="146">
        <f>'Suvi Gaz'!O29</f>
        <v>287.99288999999999</v>
      </c>
      <c r="W35" s="11"/>
      <c r="X35" s="34">
        <f t="shared" si="2"/>
        <v>2767.6116728999996</v>
      </c>
    </row>
    <row r="36" spans="1:24" ht="33.75" customHeight="1" thickBot="1" x14ac:dyDescent="0.25">
      <c r="A36" s="2"/>
      <c r="B36" s="6">
        <v>44435</v>
      </c>
      <c r="C36" s="7"/>
      <c r="D36" s="143">
        <v>61</v>
      </c>
      <c r="E36" s="143">
        <v>113</v>
      </c>
      <c r="F36" s="13">
        <f>'Suivi EAU-ELEC'!E35</f>
        <v>88.399999999994179</v>
      </c>
      <c r="G36" s="11"/>
      <c r="H36" s="171">
        <f t="shared" si="0"/>
        <v>1007.7599999999337</v>
      </c>
      <c r="I36" s="172"/>
      <c r="J36" s="172"/>
      <c r="K36" s="60">
        <v>42304</v>
      </c>
      <c r="L36" s="90">
        <f>'Suivi EAU-ELEC'!G35</f>
        <v>4285</v>
      </c>
      <c r="M36" s="91">
        <f>'Suivi EAU-ELEC'!I35</f>
        <v>7896</v>
      </c>
      <c r="N36" s="91">
        <f>'Suivi EAU-ELEC'!K35</f>
        <v>3174</v>
      </c>
      <c r="O36" s="91">
        <f t="shared" si="3"/>
        <v>15355</v>
      </c>
      <c r="P36" s="11"/>
      <c r="Q36" s="34">
        <f t="shared" si="1"/>
        <v>14728.0165</v>
      </c>
      <c r="R36" s="11"/>
      <c r="S36" s="28"/>
      <c r="T36" s="11"/>
      <c r="U36" s="28"/>
      <c r="V36" s="146">
        <f>'Suvi Gaz'!O30</f>
        <v>319.99209999999999</v>
      </c>
      <c r="W36" s="11"/>
      <c r="X36" s="34">
        <f t="shared" si="2"/>
        <v>3075.1240809999999</v>
      </c>
    </row>
    <row r="37" spans="1:24" ht="33.75" customHeight="1" thickBot="1" x14ac:dyDescent="0.25">
      <c r="A37" s="2"/>
      <c r="B37" s="6">
        <v>44436</v>
      </c>
      <c r="C37" s="7"/>
      <c r="D37" s="143">
        <v>56</v>
      </c>
      <c r="E37" s="143">
        <v>103</v>
      </c>
      <c r="F37" s="13">
        <f>'Suivi EAU-ELEC'!E36</f>
        <v>95</v>
      </c>
      <c r="G37" s="11"/>
      <c r="H37" s="171">
        <f t="shared" si="0"/>
        <v>1083</v>
      </c>
      <c r="I37" s="172"/>
      <c r="J37" s="172"/>
      <c r="K37" s="60"/>
      <c r="L37" s="90">
        <f>'Suivi EAU-ELEC'!G36</f>
        <v>3773</v>
      </c>
      <c r="M37" s="91">
        <f>'Suivi EAU-ELEC'!I36</f>
        <v>7462</v>
      </c>
      <c r="N37" s="91">
        <f>'Suivi EAU-ELEC'!K36</f>
        <v>2944</v>
      </c>
      <c r="O37" s="91">
        <f t="shared" si="3"/>
        <v>14179</v>
      </c>
      <c r="P37" s="11"/>
      <c r="Q37" s="34">
        <f t="shared" si="1"/>
        <v>13651.484899999999</v>
      </c>
      <c r="R37" s="11"/>
      <c r="S37" s="28"/>
      <c r="T37" s="11"/>
      <c r="U37" s="28"/>
      <c r="V37" s="146">
        <f>'Suvi Gaz'!O31</f>
        <v>191.99526</v>
      </c>
      <c r="W37" s="11"/>
      <c r="X37" s="34">
        <f t="shared" si="2"/>
        <v>1845.0744485999999</v>
      </c>
    </row>
    <row r="38" spans="1:24" ht="33.75" customHeight="1" thickBot="1" x14ac:dyDescent="0.25">
      <c r="A38" s="2"/>
      <c r="B38" s="6">
        <v>44437</v>
      </c>
      <c r="C38" s="7"/>
      <c r="D38" s="143">
        <v>51</v>
      </c>
      <c r="E38" s="143">
        <v>86</v>
      </c>
      <c r="F38" s="13">
        <f>'Suivi EAU-ELEC'!E37</f>
        <v>85</v>
      </c>
      <c r="G38" s="11"/>
      <c r="H38" s="171">
        <f t="shared" si="0"/>
        <v>969</v>
      </c>
      <c r="I38" s="172"/>
      <c r="J38" s="172"/>
      <c r="K38" s="60"/>
      <c r="L38" s="90">
        <f>'Suivi EAU-ELEC'!G37</f>
        <v>3644</v>
      </c>
      <c r="M38" s="91">
        <f>'Suivi EAU-ELEC'!I37</f>
        <v>7439</v>
      </c>
      <c r="N38" s="91">
        <f>'Suivi EAU-ELEC'!K37</f>
        <v>2505</v>
      </c>
      <c r="O38" s="91">
        <f t="shared" si="3"/>
        <v>13588</v>
      </c>
      <c r="P38" s="11"/>
      <c r="Q38" s="34">
        <f t="shared" si="1"/>
        <v>12955.4506</v>
      </c>
      <c r="R38" s="11"/>
      <c r="S38" s="28"/>
      <c r="T38" s="11"/>
      <c r="U38" s="28"/>
      <c r="V38" s="146">
        <f>'Suvi Gaz'!O32</f>
        <v>607.98499000000004</v>
      </c>
      <c r="W38" s="11"/>
      <c r="X38" s="34">
        <f t="shared" si="2"/>
        <v>5842.7357539000004</v>
      </c>
    </row>
    <row r="39" spans="1:24" ht="33.75" customHeight="1" thickBot="1" x14ac:dyDescent="0.25">
      <c r="A39" s="2"/>
      <c r="B39" s="6">
        <v>44438</v>
      </c>
      <c r="C39" s="7"/>
      <c r="D39" s="143">
        <v>50</v>
      </c>
      <c r="E39" s="143">
        <v>75</v>
      </c>
      <c r="F39" s="13">
        <f>'Suivi EAU-ELEC'!E38</f>
        <v>78.400000000008731</v>
      </c>
      <c r="G39" s="11"/>
      <c r="H39" s="171">
        <f t="shared" si="0"/>
        <v>893.76000000009958</v>
      </c>
      <c r="I39" s="172"/>
      <c r="J39" s="172"/>
      <c r="K39" s="60"/>
      <c r="L39" s="90">
        <f>'Suivi EAU-ELEC'!G38</f>
        <v>3486</v>
      </c>
      <c r="M39" s="91">
        <f>'Suivi EAU-ELEC'!I38</f>
        <v>7138</v>
      </c>
      <c r="N39" s="91">
        <f>'Suivi EAU-ELEC'!K38</f>
        <v>2324</v>
      </c>
      <c r="O39" s="91">
        <f t="shared" si="3"/>
        <v>12948</v>
      </c>
      <c r="P39" s="11"/>
      <c r="Q39" s="34">
        <f t="shared" si="1"/>
        <v>12317.9138</v>
      </c>
      <c r="R39" s="11"/>
      <c r="S39" s="28"/>
      <c r="T39" s="11"/>
      <c r="U39" s="28"/>
      <c r="V39" s="146">
        <f>'Suvi Gaz'!O33</f>
        <v>191.99526</v>
      </c>
      <c r="W39" s="11"/>
      <c r="X39" s="34">
        <f t="shared" si="2"/>
        <v>1845.0744485999999</v>
      </c>
    </row>
    <row r="40" spans="1:24" ht="33.75" customHeight="1" thickBot="1" x14ac:dyDescent="0.25">
      <c r="A40" s="2"/>
      <c r="B40" s="6">
        <v>44439</v>
      </c>
      <c r="C40" s="7"/>
      <c r="D40" s="143">
        <v>58</v>
      </c>
      <c r="E40" s="143">
        <v>85</v>
      </c>
      <c r="F40" s="13">
        <f>'Suivi EAU-ELEC'!E39</f>
        <v>95.599999999991269</v>
      </c>
      <c r="G40" s="11"/>
      <c r="H40" s="171">
        <f t="shared" si="0"/>
        <v>1089.8399999999006</v>
      </c>
      <c r="I40" s="172"/>
      <c r="J40" s="172"/>
      <c r="K40" s="60"/>
      <c r="L40" s="90">
        <f>'Suivi EAU-ELEC'!G39</f>
        <v>3458</v>
      </c>
      <c r="M40" s="91">
        <f>'Suivi EAU-ELEC'!I39</f>
        <v>7451</v>
      </c>
      <c r="N40" s="91">
        <f>'Suivi EAU-ELEC'!K39</f>
        <v>2683</v>
      </c>
      <c r="O40" s="91">
        <f t="shared" si="3"/>
        <v>13592</v>
      </c>
      <c r="P40" s="11"/>
      <c r="Q40" s="34">
        <f t="shared" si="1"/>
        <v>13073.757600000001</v>
      </c>
      <c r="R40" s="11"/>
      <c r="S40" s="28"/>
      <c r="T40" s="11"/>
      <c r="U40" s="28"/>
      <c r="V40" s="146">
        <f>'Suvi Gaz'!O34</f>
        <v>127.99684000000001</v>
      </c>
      <c r="W40" s="11"/>
      <c r="X40" s="34">
        <f t="shared" si="2"/>
        <v>1230.0496324000001</v>
      </c>
    </row>
    <row r="41" spans="1:24" ht="42.75" customHeight="1" thickBot="1" x14ac:dyDescent="0.25">
      <c r="A41" s="2"/>
      <c r="B41" s="10"/>
      <c r="C41" s="10"/>
      <c r="D41" s="8">
        <f>SUM(D10:D40)</f>
        <v>2537</v>
      </c>
      <c r="E41" s="8">
        <f>SUM(E10:E40)</f>
        <v>4414</v>
      </c>
      <c r="F41" s="151">
        <f>SUM(F10:F40)</f>
        <v>3514.8999999999942</v>
      </c>
      <c r="G41" s="1"/>
      <c r="H41" s="252">
        <f>SUM(H10:H40)</f>
        <v>40069.859999999935</v>
      </c>
      <c r="I41" s="253"/>
      <c r="J41" s="254"/>
      <c r="K41" s="1"/>
      <c r="L41" s="53">
        <f>SUM(L10:L40)</f>
        <v>117447</v>
      </c>
      <c r="M41" s="53">
        <f>SUM(M10:M40)</f>
        <v>252725</v>
      </c>
      <c r="N41" s="54">
        <f>SUM(N10:N40)</f>
        <v>92634</v>
      </c>
      <c r="O41" s="55">
        <f>SUM(O10:O40)</f>
        <v>462806</v>
      </c>
      <c r="P41" s="31"/>
      <c r="Q41" s="32">
        <f>SUM(Q10:Q40)</f>
        <v>445719.56810000003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7903.8048699999981</v>
      </c>
      <c r="W41" s="31"/>
      <c r="X41" s="32">
        <f>SUM(X10:X40)</f>
        <v>75955.564800699984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6"/>
      <c r="M42" s="166"/>
      <c r="N42" s="166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7" t="s">
        <v>33</v>
      </c>
      <c r="B43" s="208"/>
      <c r="C43" s="208"/>
      <c r="D43" s="208"/>
      <c r="E43" s="208"/>
      <c r="F43" s="209"/>
      <c r="G43" s="26"/>
      <c r="H43" s="27" t="s">
        <v>34</v>
      </c>
      <c r="I43" s="246" t="s">
        <v>35</v>
      </c>
      <c r="J43" s="247"/>
      <c r="K43" s="248"/>
      <c r="L43" s="221" t="s">
        <v>36</v>
      </c>
      <c r="M43" s="222"/>
      <c r="N43" s="207" t="s">
        <v>37</v>
      </c>
      <c r="O43" s="208"/>
      <c r="P43" s="208"/>
      <c r="Q43" s="208"/>
      <c r="R43" s="208"/>
      <c r="S43" s="208"/>
      <c r="T43" s="208"/>
      <c r="U43" s="208"/>
      <c r="V43" s="208"/>
      <c r="W43" s="208"/>
      <c r="X43" s="209"/>
    </row>
    <row r="44" spans="1:24" s="18" customFormat="1" ht="29.25" customHeight="1" thickBot="1" x14ac:dyDescent="0.25">
      <c r="A44" s="215" t="s">
        <v>38</v>
      </c>
      <c r="B44" s="216"/>
      <c r="C44" s="217"/>
      <c r="D44" s="162" t="s">
        <v>30</v>
      </c>
      <c r="E44" s="162" t="s">
        <v>30</v>
      </c>
      <c r="F44" s="162" t="s">
        <v>30</v>
      </c>
      <c r="G44" s="16"/>
      <c r="H44" s="17">
        <v>0.69850000000000001</v>
      </c>
      <c r="I44" s="212">
        <f>L41</f>
        <v>117447</v>
      </c>
      <c r="J44" s="213"/>
      <c r="K44" s="214"/>
      <c r="L44" s="173">
        <f>I44*H44</f>
        <v>82036.729500000001</v>
      </c>
      <c r="M44" s="174"/>
      <c r="N44" s="230">
        <f>L44+L45+L46</f>
        <v>445719.56810000003</v>
      </c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9.25" customHeight="1" thickBot="1" x14ac:dyDescent="0.25">
      <c r="A45" s="218"/>
      <c r="B45" s="219"/>
      <c r="C45" s="220"/>
      <c r="D45" s="161" t="s">
        <v>31</v>
      </c>
      <c r="E45" s="161" t="s">
        <v>31</v>
      </c>
      <c r="F45" s="161" t="s">
        <v>31</v>
      </c>
      <c r="G45" s="16"/>
      <c r="H45" s="19">
        <v>0.95140000000000002</v>
      </c>
      <c r="I45" s="212">
        <f>M41</f>
        <v>252725</v>
      </c>
      <c r="J45" s="213"/>
      <c r="K45" s="214"/>
      <c r="L45" s="173">
        <f>I45*H45</f>
        <v>240442.565</v>
      </c>
      <c r="M45" s="174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24.75" customHeight="1" thickBot="1" x14ac:dyDescent="0.25">
      <c r="A46" s="218"/>
      <c r="B46" s="219"/>
      <c r="C46" s="220"/>
      <c r="D46" s="158" t="s">
        <v>32</v>
      </c>
      <c r="E46" s="158" t="s">
        <v>32</v>
      </c>
      <c r="F46" s="158" t="s">
        <v>32</v>
      </c>
      <c r="G46" s="20"/>
      <c r="H46" s="20">
        <v>1.3304</v>
      </c>
      <c r="I46" s="243">
        <f>N41</f>
        <v>92634</v>
      </c>
      <c r="J46" s="244"/>
      <c r="K46" s="245"/>
      <c r="L46" s="173">
        <f>I46*H46</f>
        <v>123240.2736</v>
      </c>
      <c r="M46" s="174"/>
      <c r="N46" s="236"/>
      <c r="O46" s="237"/>
      <c r="P46" s="237"/>
      <c r="Q46" s="237"/>
      <c r="R46" s="237"/>
      <c r="S46" s="237"/>
      <c r="T46" s="237"/>
      <c r="U46" s="237"/>
      <c r="V46" s="237"/>
      <c r="W46" s="237"/>
      <c r="X46" s="238"/>
    </row>
    <row r="47" spans="1:24" s="18" customFormat="1" ht="43.5" customHeight="1" thickBot="1" x14ac:dyDescent="0.25">
      <c r="A47" s="163"/>
      <c r="B47" s="164"/>
      <c r="C47" s="164"/>
      <c r="D47" s="158"/>
      <c r="E47" s="158"/>
      <c r="F47" s="158"/>
      <c r="G47" s="16"/>
      <c r="H47" s="16"/>
      <c r="I47" s="156"/>
      <c r="J47" s="157"/>
      <c r="K47" s="158"/>
      <c r="L47" s="159"/>
      <c r="M47" s="160"/>
      <c r="N47" s="249">
        <f>N44*1.3</f>
        <v>579435.43853000004</v>
      </c>
      <c r="O47" s="250"/>
      <c r="P47" s="250"/>
      <c r="Q47" s="250"/>
      <c r="R47" s="250"/>
      <c r="S47" s="250"/>
      <c r="T47" s="250"/>
      <c r="U47" s="250"/>
      <c r="V47" s="250"/>
      <c r="W47" s="250"/>
      <c r="X47" s="251"/>
    </row>
    <row r="48" spans="1:24" s="23" customFormat="1" ht="32.25" customHeight="1" thickBot="1" x14ac:dyDescent="0.25">
      <c r="A48" s="204" t="s">
        <v>39</v>
      </c>
      <c r="B48" s="205"/>
      <c r="C48" s="205"/>
      <c r="D48" s="205"/>
      <c r="E48" s="205"/>
      <c r="F48" s="206"/>
      <c r="G48" s="21"/>
      <c r="H48" s="22">
        <v>8.7899999999999991</v>
      </c>
      <c r="I48" s="204">
        <f>F41</f>
        <v>3514.8999999999942</v>
      </c>
      <c r="J48" s="205"/>
      <c r="K48" s="206"/>
      <c r="L48" s="210">
        <f>I48*H48</f>
        <v>30895.970999999947</v>
      </c>
      <c r="M48" s="211"/>
      <c r="N48" s="227">
        <f>L48</f>
        <v>30895.970999999947</v>
      </c>
      <c r="O48" s="228"/>
      <c r="P48" s="228"/>
      <c r="Q48" s="228"/>
      <c r="R48" s="228"/>
      <c r="S48" s="228"/>
      <c r="T48" s="228"/>
      <c r="U48" s="228"/>
      <c r="V48" s="228"/>
      <c r="W48" s="228"/>
      <c r="X48" s="229"/>
    </row>
    <row r="49" spans="1:24" s="23" customFormat="1" ht="36.75" customHeight="1" x14ac:dyDescent="0.2">
      <c r="A49" s="239" t="s">
        <v>40</v>
      </c>
      <c r="B49" s="240"/>
      <c r="C49" s="240"/>
      <c r="D49" s="240"/>
      <c r="E49" s="240"/>
      <c r="F49" s="241"/>
      <c r="G49" s="24"/>
      <c r="H49" s="25">
        <v>9.61</v>
      </c>
      <c r="I49" s="202">
        <f>V41</f>
        <v>7903.8048699999981</v>
      </c>
      <c r="J49" s="242"/>
      <c r="K49" s="203"/>
      <c r="L49" s="202">
        <f>I49*H49</f>
        <v>75955.564800699984</v>
      </c>
      <c r="M49" s="203"/>
      <c r="N49" s="224">
        <f>L49</f>
        <v>75955.564800699984</v>
      </c>
      <c r="O49" s="225"/>
      <c r="P49" s="225"/>
      <c r="Q49" s="225"/>
      <c r="R49" s="225"/>
      <c r="S49" s="225"/>
      <c r="T49" s="225"/>
      <c r="U49" s="225"/>
      <c r="V49" s="225"/>
      <c r="W49" s="225"/>
      <c r="X49" s="226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</row>
    <row r="55" spans="1:24" ht="39" customHeight="1" x14ac:dyDescent="0.2">
      <c r="A55" s="155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M18" sqref="M18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4"/>
      <c r="B1" s="275"/>
      <c r="C1" s="275"/>
      <c r="D1" s="276"/>
      <c r="E1" s="257" t="s">
        <v>41</v>
      </c>
      <c r="F1" s="258"/>
      <c r="G1" s="258"/>
      <c r="H1" s="258"/>
      <c r="I1" s="259"/>
      <c r="J1" s="266" t="s">
        <v>42</v>
      </c>
      <c r="K1" s="267"/>
      <c r="L1" s="49"/>
    </row>
    <row r="2" spans="1:12" ht="16.5" customHeight="1" x14ac:dyDescent="0.2">
      <c r="A2" s="277"/>
      <c r="B2" s="278"/>
      <c r="C2" s="278"/>
      <c r="D2" s="279"/>
      <c r="E2" s="260"/>
      <c r="F2" s="261"/>
      <c r="G2" s="261"/>
      <c r="H2" s="261"/>
      <c r="I2" s="262"/>
      <c r="J2" s="268"/>
      <c r="K2" s="269"/>
      <c r="L2" s="49"/>
    </row>
    <row r="3" spans="1:12" ht="48" customHeight="1" x14ac:dyDescent="0.2">
      <c r="A3" s="280"/>
      <c r="B3" s="281"/>
      <c r="C3" s="281"/>
      <c r="D3" s="282"/>
      <c r="E3" s="263"/>
      <c r="F3" s="264"/>
      <c r="G3" s="264"/>
      <c r="H3" s="264"/>
      <c r="I3" s="265"/>
      <c r="J3" s="270"/>
      <c r="K3" s="271"/>
      <c r="L3" s="49"/>
    </row>
    <row r="6" spans="1:12" ht="10.5" customHeight="1" x14ac:dyDescent="0.25">
      <c r="A6" s="167"/>
      <c r="B6" s="167"/>
      <c r="C6" s="167"/>
    </row>
    <row r="7" spans="1:12" ht="16.5" customHeight="1" x14ac:dyDescent="0.2">
      <c r="A7" s="255" t="s">
        <v>43</v>
      </c>
      <c r="B7" s="283" t="s">
        <v>44</v>
      </c>
      <c r="C7" s="284"/>
      <c r="D7" s="272" t="s">
        <v>45</v>
      </c>
      <c r="E7" s="272"/>
      <c r="F7" s="273" t="s">
        <v>46</v>
      </c>
      <c r="G7" s="273"/>
      <c r="H7" s="273"/>
      <c r="I7" s="273"/>
      <c r="J7" s="273"/>
      <c r="K7" s="273"/>
    </row>
    <row r="8" spans="1:12" s="29" customFormat="1" ht="28.5" customHeight="1" x14ac:dyDescent="0.2">
      <c r="A8" s="256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44409</v>
      </c>
      <c r="B9" s="116">
        <v>2559</v>
      </c>
      <c r="C9" s="115">
        <v>0</v>
      </c>
      <c r="D9" s="57">
        <v>117748.9</v>
      </c>
      <c r="E9" s="50">
        <v>116.39999999999418</v>
      </c>
      <c r="F9" s="51">
        <v>10808905</v>
      </c>
      <c r="G9" s="50">
        <v>3789</v>
      </c>
      <c r="H9" s="51">
        <v>18313415</v>
      </c>
      <c r="I9" s="50">
        <v>8010</v>
      </c>
      <c r="J9" s="51">
        <v>8072575</v>
      </c>
      <c r="K9" s="50">
        <v>2981</v>
      </c>
    </row>
    <row r="10" spans="1:12" ht="19.5" x14ac:dyDescent="0.3">
      <c r="A10" s="59">
        <v>44410</v>
      </c>
      <c r="B10" s="116">
        <v>2559</v>
      </c>
      <c r="C10" s="115">
        <f t="shared" ref="C10:C22" si="0">B10-B9</f>
        <v>0</v>
      </c>
      <c r="D10" s="57">
        <v>117855.3</v>
      </c>
      <c r="E10" s="50">
        <f t="shared" ref="E10:E40" si="1">D10-D9</f>
        <v>106.40000000000873</v>
      </c>
      <c r="F10" s="51">
        <v>10812228</v>
      </c>
      <c r="G10" s="50">
        <f t="shared" ref="G10:G40" si="2">F10-F9</f>
        <v>3323</v>
      </c>
      <c r="H10" s="51">
        <v>18321227</v>
      </c>
      <c r="I10" s="50">
        <f t="shared" ref="I10:I40" si="3">H10-H9</f>
        <v>7812</v>
      </c>
      <c r="J10" s="51">
        <v>8075460</v>
      </c>
      <c r="K10" s="50">
        <f t="shared" ref="K10:K40" si="4">J10-J9</f>
        <v>2885</v>
      </c>
    </row>
    <row r="11" spans="1:12" ht="19.5" x14ac:dyDescent="0.3">
      <c r="A11" s="59">
        <v>44411</v>
      </c>
      <c r="B11" s="116">
        <v>2559</v>
      </c>
      <c r="C11" s="115">
        <f t="shared" si="0"/>
        <v>0</v>
      </c>
      <c r="D11" s="57">
        <v>118092.9</v>
      </c>
      <c r="E11" s="50">
        <f t="shared" si="1"/>
        <v>237.59999999999127</v>
      </c>
      <c r="F11" s="51">
        <v>10815583</v>
      </c>
      <c r="G11" s="50">
        <f t="shared" si="2"/>
        <v>3355</v>
      </c>
      <c r="H11" s="51">
        <v>18329054</v>
      </c>
      <c r="I11" s="50">
        <f t="shared" si="3"/>
        <v>7827</v>
      </c>
      <c r="J11" s="51">
        <v>8078736</v>
      </c>
      <c r="K11" s="50">
        <f t="shared" si="4"/>
        <v>3276</v>
      </c>
    </row>
    <row r="12" spans="1:12" ht="19.5" x14ac:dyDescent="0.3">
      <c r="A12" s="59">
        <v>44412</v>
      </c>
      <c r="B12" s="116">
        <v>2559</v>
      </c>
      <c r="C12" s="115">
        <f t="shared" si="0"/>
        <v>0</v>
      </c>
      <c r="D12" s="57">
        <v>118216.4</v>
      </c>
      <c r="E12" s="50">
        <f t="shared" si="1"/>
        <v>123.5</v>
      </c>
      <c r="F12" s="51">
        <v>10818811</v>
      </c>
      <c r="G12" s="50">
        <f t="shared" si="2"/>
        <v>3228</v>
      </c>
      <c r="H12" s="51">
        <v>18336635</v>
      </c>
      <c r="I12" s="50">
        <f t="shared" si="3"/>
        <v>7581</v>
      </c>
      <c r="J12" s="51">
        <v>8081850</v>
      </c>
      <c r="K12" s="50">
        <f t="shared" si="4"/>
        <v>3114</v>
      </c>
    </row>
    <row r="13" spans="1:12" ht="19.5" x14ac:dyDescent="0.3">
      <c r="A13" s="59">
        <v>44413</v>
      </c>
      <c r="B13" s="116">
        <v>2559</v>
      </c>
      <c r="C13" s="115">
        <f t="shared" si="0"/>
        <v>0</v>
      </c>
      <c r="D13" s="57">
        <v>118320.1</v>
      </c>
      <c r="E13" s="50">
        <f t="shared" si="1"/>
        <v>103.70000000001164</v>
      </c>
      <c r="F13" s="51">
        <v>10823062</v>
      </c>
      <c r="G13" s="50">
        <f t="shared" si="2"/>
        <v>4251</v>
      </c>
      <c r="H13" s="51">
        <v>18344576</v>
      </c>
      <c r="I13" s="50">
        <f t="shared" si="3"/>
        <v>7941</v>
      </c>
      <c r="J13" s="51">
        <v>8084775</v>
      </c>
      <c r="K13" s="50">
        <f t="shared" si="4"/>
        <v>2925</v>
      </c>
    </row>
    <row r="14" spans="1:12" ht="19.5" x14ac:dyDescent="0.3">
      <c r="A14" s="59">
        <v>44414</v>
      </c>
      <c r="B14" s="116">
        <v>2559</v>
      </c>
      <c r="C14" s="115">
        <f t="shared" si="0"/>
        <v>0</v>
      </c>
      <c r="D14" s="57">
        <v>118427.2</v>
      </c>
      <c r="E14" s="50">
        <f t="shared" si="1"/>
        <v>107.09999999999127</v>
      </c>
      <c r="F14" s="51">
        <v>10826821</v>
      </c>
      <c r="G14" s="50">
        <f t="shared" si="2"/>
        <v>3759</v>
      </c>
      <c r="H14" s="51">
        <v>18352761</v>
      </c>
      <c r="I14" s="50">
        <f t="shared" si="3"/>
        <v>8185</v>
      </c>
      <c r="J14" s="51">
        <v>8088138</v>
      </c>
      <c r="K14" s="50">
        <f t="shared" si="4"/>
        <v>3363</v>
      </c>
    </row>
    <row r="15" spans="1:12" ht="19.5" x14ac:dyDescent="0.3">
      <c r="A15" s="59">
        <v>44415</v>
      </c>
      <c r="B15" s="116">
        <v>2559</v>
      </c>
      <c r="C15" s="115">
        <f t="shared" si="0"/>
        <v>0</v>
      </c>
      <c r="D15" s="57">
        <v>118552.3</v>
      </c>
      <c r="E15" s="50">
        <f t="shared" si="1"/>
        <v>125.10000000000582</v>
      </c>
      <c r="F15" s="51">
        <v>10830976</v>
      </c>
      <c r="G15" s="50">
        <f t="shared" si="2"/>
        <v>4155</v>
      </c>
      <c r="H15" s="51">
        <v>18361709</v>
      </c>
      <c r="I15" s="50">
        <f t="shared" si="3"/>
        <v>8948</v>
      </c>
      <c r="J15" s="51">
        <v>8091502</v>
      </c>
      <c r="K15" s="50">
        <f t="shared" si="4"/>
        <v>3364</v>
      </c>
    </row>
    <row r="16" spans="1:12" ht="19.5" x14ac:dyDescent="0.3">
      <c r="A16" s="59">
        <v>44416</v>
      </c>
      <c r="B16" s="116">
        <v>2559</v>
      </c>
      <c r="C16" s="115">
        <f t="shared" si="0"/>
        <v>0</v>
      </c>
      <c r="D16" s="57">
        <v>118669.9</v>
      </c>
      <c r="E16" s="50">
        <f t="shared" si="1"/>
        <v>117.59999999999127</v>
      </c>
      <c r="F16" s="51">
        <v>10834873</v>
      </c>
      <c r="G16" s="50">
        <f t="shared" si="2"/>
        <v>3897</v>
      </c>
      <c r="H16" s="51">
        <v>18369808</v>
      </c>
      <c r="I16" s="50">
        <f t="shared" si="3"/>
        <v>8099</v>
      </c>
      <c r="J16" s="51">
        <v>8094284</v>
      </c>
      <c r="K16" s="50">
        <f t="shared" si="4"/>
        <v>2782</v>
      </c>
    </row>
    <row r="17" spans="1:29" ht="19.5" x14ac:dyDescent="0.3">
      <c r="A17" s="59">
        <v>44417</v>
      </c>
      <c r="B17" s="116">
        <v>2559</v>
      </c>
      <c r="C17" s="115">
        <f t="shared" si="0"/>
        <v>0</v>
      </c>
      <c r="D17" s="57">
        <v>118761</v>
      </c>
      <c r="E17" s="50">
        <f t="shared" si="1"/>
        <v>91.100000000005821</v>
      </c>
      <c r="F17" s="51">
        <v>10838433</v>
      </c>
      <c r="G17" s="50">
        <f t="shared" si="2"/>
        <v>3560</v>
      </c>
      <c r="H17" s="51">
        <v>18377288</v>
      </c>
      <c r="I17" s="50">
        <f t="shared" si="3"/>
        <v>7480</v>
      </c>
      <c r="J17" s="51">
        <v>8096894</v>
      </c>
      <c r="K17" s="50">
        <f t="shared" si="4"/>
        <v>2610</v>
      </c>
    </row>
    <row r="18" spans="1:29" ht="19.5" x14ac:dyDescent="0.3">
      <c r="A18" s="59">
        <v>44418</v>
      </c>
      <c r="B18" s="116">
        <v>2559</v>
      </c>
      <c r="C18" s="115">
        <f t="shared" si="0"/>
        <v>0</v>
      </c>
      <c r="D18" s="57">
        <v>118883.6</v>
      </c>
      <c r="E18" s="50">
        <f t="shared" si="1"/>
        <v>122.60000000000582</v>
      </c>
      <c r="F18" s="51">
        <v>10841842</v>
      </c>
      <c r="G18" s="50">
        <f t="shared" si="2"/>
        <v>3409</v>
      </c>
      <c r="H18" s="51">
        <v>18385090</v>
      </c>
      <c r="I18" s="50">
        <f t="shared" si="3"/>
        <v>7802</v>
      </c>
      <c r="J18" s="51">
        <v>8099005</v>
      </c>
      <c r="K18" s="50">
        <f t="shared" si="4"/>
        <v>2111</v>
      </c>
    </row>
    <row r="19" spans="1:29" ht="19.5" x14ac:dyDescent="0.3">
      <c r="A19" s="59">
        <v>44419</v>
      </c>
      <c r="B19" s="116">
        <v>2559</v>
      </c>
      <c r="C19" s="115">
        <f t="shared" si="0"/>
        <v>0</v>
      </c>
      <c r="D19" s="57">
        <v>118995</v>
      </c>
      <c r="E19" s="50">
        <f t="shared" si="1"/>
        <v>111.39999999999418</v>
      </c>
      <c r="F19" s="51">
        <v>10845726</v>
      </c>
      <c r="G19" s="50">
        <f t="shared" si="2"/>
        <v>3884</v>
      </c>
      <c r="H19" s="51">
        <v>18393404</v>
      </c>
      <c r="I19" s="50">
        <f t="shared" si="3"/>
        <v>8314</v>
      </c>
      <c r="J19" s="51">
        <v>8101600</v>
      </c>
      <c r="K19" s="50">
        <f t="shared" si="4"/>
        <v>2595</v>
      </c>
    </row>
    <row r="20" spans="1:29" ht="20.25" customHeight="1" x14ac:dyDescent="0.35">
      <c r="A20" s="59">
        <v>44420</v>
      </c>
      <c r="B20" s="116">
        <v>2559</v>
      </c>
      <c r="C20" s="115">
        <f t="shared" si="0"/>
        <v>0</v>
      </c>
      <c r="D20" s="57">
        <v>119114</v>
      </c>
      <c r="E20" s="50">
        <f t="shared" si="1"/>
        <v>119</v>
      </c>
      <c r="F20" s="51">
        <v>10849312</v>
      </c>
      <c r="G20" s="50">
        <f t="shared" si="2"/>
        <v>3586</v>
      </c>
      <c r="H20" s="51">
        <v>18402130</v>
      </c>
      <c r="I20" s="50">
        <f t="shared" si="3"/>
        <v>8726</v>
      </c>
      <c r="J20" s="51">
        <v>8104502</v>
      </c>
      <c r="K20" s="50">
        <f t="shared" si="4"/>
        <v>2902</v>
      </c>
      <c r="L20" s="117" t="s">
        <v>18</v>
      </c>
      <c r="AC20" t="s">
        <v>56</v>
      </c>
    </row>
    <row r="21" spans="1:29" ht="19.5" x14ac:dyDescent="0.3">
      <c r="A21" s="59">
        <v>44421</v>
      </c>
      <c r="B21" s="116">
        <v>2559</v>
      </c>
      <c r="C21" s="115">
        <f t="shared" si="0"/>
        <v>0</v>
      </c>
      <c r="D21" s="57">
        <v>119226</v>
      </c>
      <c r="E21" s="50">
        <f t="shared" si="1"/>
        <v>112</v>
      </c>
      <c r="F21" s="51">
        <v>10853028</v>
      </c>
      <c r="G21" s="50">
        <f t="shared" si="2"/>
        <v>3716</v>
      </c>
      <c r="H21" s="51">
        <v>18410887</v>
      </c>
      <c r="I21" s="50">
        <f t="shared" si="3"/>
        <v>8757</v>
      </c>
      <c r="J21" s="51">
        <v>8107514</v>
      </c>
      <c r="K21" s="50">
        <f t="shared" si="4"/>
        <v>3012</v>
      </c>
    </row>
    <row r="22" spans="1:29" ht="19.5" x14ac:dyDescent="0.3">
      <c r="A22" s="59">
        <v>44422</v>
      </c>
      <c r="B22" s="116">
        <v>2559</v>
      </c>
      <c r="C22" s="115">
        <f t="shared" si="0"/>
        <v>0</v>
      </c>
      <c r="D22" s="57">
        <v>119352</v>
      </c>
      <c r="E22" s="50">
        <f t="shared" si="1"/>
        <v>126</v>
      </c>
      <c r="F22" s="51">
        <v>10857077</v>
      </c>
      <c r="G22" s="50">
        <f t="shared" si="2"/>
        <v>4049</v>
      </c>
      <c r="H22" s="51">
        <v>18420260</v>
      </c>
      <c r="I22" s="50">
        <f t="shared" si="3"/>
        <v>9373</v>
      </c>
      <c r="J22" s="51">
        <v>8110897</v>
      </c>
      <c r="K22" s="50">
        <f t="shared" si="4"/>
        <v>3383</v>
      </c>
    </row>
    <row r="23" spans="1:29" ht="19.5" x14ac:dyDescent="0.3">
      <c r="A23" s="59">
        <v>44423</v>
      </c>
      <c r="B23" s="116">
        <v>2559</v>
      </c>
      <c r="C23" s="115">
        <f t="shared" ref="C23:C40" si="5">B23-B22</f>
        <v>0</v>
      </c>
      <c r="D23" s="57">
        <v>119448</v>
      </c>
      <c r="E23" s="50">
        <f t="shared" si="1"/>
        <v>96</v>
      </c>
      <c r="F23" s="51">
        <v>10861149</v>
      </c>
      <c r="G23" s="50">
        <f t="shared" si="2"/>
        <v>4072</v>
      </c>
      <c r="H23" s="51">
        <v>18429222</v>
      </c>
      <c r="I23" s="50">
        <f t="shared" si="3"/>
        <v>8962</v>
      </c>
      <c r="J23" s="51">
        <v>8114106</v>
      </c>
      <c r="K23" s="50">
        <f t="shared" si="4"/>
        <v>3209</v>
      </c>
    </row>
    <row r="24" spans="1:29" ht="19.5" x14ac:dyDescent="0.3">
      <c r="A24" s="59">
        <v>44424</v>
      </c>
      <c r="B24" s="116">
        <v>2559</v>
      </c>
      <c r="C24" s="115">
        <f t="shared" si="5"/>
        <v>0</v>
      </c>
      <c r="D24" s="57">
        <v>119542</v>
      </c>
      <c r="E24" s="50">
        <f t="shared" si="1"/>
        <v>94</v>
      </c>
      <c r="F24" s="51">
        <v>10865560</v>
      </c>
      <c r="G24" s="50">
        <f t="shared" si="2"/>
        <v>4411</v>
      </c>
      <c r="H24" s="51">
        <v>18438481</v>
      </c>
      <c r="I24" s="50">
        <f t="shared" si="3"/>
        <v>9259</v>
      </c>
      <c r="J24" s="51">
        <v>8117443</v>
      </c>
      <c r="K24" s="50">
        <f t="shared" si="4"/>
        <v>3337</v>
      </c>
    </row>
    <row r="25" spans="1:29" ht="19.5" x14ac:dyDescent="0.3">
      <c r="A25" s="59">
        <v>44425</v>
      </c>
      <c r="B25" s="116">
        <v>2559</v>
      </c>
      <c r="C25" s="115">
        <f t="shared" si="5"/>
        <v>0</v>
      </c>
      <c r="D25" s="57">
        <v>119563.8</v>
      </c>
      <c r="E25" s="50">
        <f t="shared" si="1"/>
        <v>21.80000000000291</v>
      </c>
      <c r="F25" s="51">
        <v>10869543</v>
      </c>
      <c r="G25" s="50">
        <f t="shared" si="2"/>
        <v>3983</v>
      </c>
      <c r="H25" s="51">
        <v>18448093</v>
      </c>
      <c r="I25" s="50">
        <f t="shared" si="3"/>
        <v>9612</v>
      </c>
      <c r="J25" s="51">
        <v>8120600</v>
      </c>
      <c r="K25" s="50">
        <f t="shared" si="4"/>
        <v>3157</v>
      </c>
    </row>
    <row r="26" spans="1:29" ht="19.5" x14ac:dyDescent="0.3">
      <c r="A26" s="59">
        <v>44426</v>
      </c>
      <c r="B26" s="116">
        <v>2560</v>
      </c>
      <c r="C26" s="115">
        <f t="shared" si="5"/>
        <v>1</v>
      </c>
      <c r="D26" s="57">
        <v>119764.8</v>
      </c>
      <c r="E26" s="50">
        <f t="shared" si="1"/>
        <v>201</v>
      </c>
      <c r="F26" s="51">
        <v>10873817</v>
      </c>
      <c r="G26" s="50">
        <f t="shared" si="2"/>
        <v>4274</v>
      </c>
      <c r="H26" s="51">
        <v>18456869</v>
      </c>
      <c r="I26" s="50">
        <f t="shared" si="3"/>
        <v>8776</v>
      </c>
      <c r="J26" s="51">
        <v>8123865</v>
      </c>
      <c r="K26" s="50">
        <f t="shared" si="4"/>
        <v>3265</v>
      </c>
    </row>
    <row r="27" spans="1:29" ht="19.5" x14ac:dyDescent="0.3">
      <c r="A27" s="59">
        <v>44427</v>
      </c>
      <c r="B27" s="116">
        <v>2560</v>
      </c>
      <c r="C27" s="115">
        <f t="shared" si="5"/>
        <v>0</v>
      </c>
      <c r="D27" s="57">
        <v>119901</v>
      </c>
      <c r="E27" s="50">
        <f t="shared" si="1"/>
        <v>136.19999999999709</v>
      </c>
      <c r="F27" s="51">
        <v>10877967</v>
      </c>
      <c r="G27" s="50">
        <f t="shared" si="2"/>
        <v>4150</v>
      </c>
      <c r="H27" s="51">
        <v>18465281</v>
      </c>
      <c r="I27" s="50">
        <f t="shared" si="3"/>
        <v>8412</v>
      </c>
      <c r="J27" s="51">
        <v>8127427</v>
      </c>
      <c r="K27" s="50">
        <f t="shared" si="4"/>
        <v>3562</v>
      </c>
    </row>
    <row r="28" spans="1:29" ht="19.5" x14ac:dyDescent="0.3">
      <c r="A28" s="59">
        <v>44428</v>
      </c>
      <c r="B28" s="116">
        <v>2560</v>
      </c>
      <c r="C28" s="115">
        <f t="shared" si="5"/>
        <v>0</v>
      </c>
      <c r="D28" s="57">
        <v>120016.5</v>
      </c>
      <c r="E28" s="50">
        <f t="shared" si="1"/>
        <v>115.5</v>
      </c>
      <c r="F28" s="51">
        <v>10881939</v>
      </c>
      <c r="G28" s="50">
        <f t="shared" si="2"/>
        <v>3972</v>
      </c>
      <c r="H28" s="51">
        <v>18473697</v>
      </c>
      <c r="I28" s="50">
        <f t="shared" si="3"/>
        <v>8416</v>
      </c>
      <c r="J28" s="51">
        <v>8130791</v>
      </c>
      <c r="K28" s="50">
        <f t="shared" si="4"/>
        <v>3364</v>
      </c>
    </row>
    <row r="29" spans="1:29" ht="19.5" x14ac:dyDescent="0.3">
      <c r="A29" s="59">
        <v>44429</v>
      </c>
      <c r="B29" s="116">
        <v>2560</v>
      </c>
      <c r="C29" s="115">
        <f t="shared" si="5"/>
        <v>0</v>
      </c>
      <c r="D29" s="57">
        <v>120126.6</v>
      </c>
      <c r="E29" s="50">
        <f t="shared" si="1"/>
        <v>110.10000000000582</v>
      </c>
      <c r="F29" s="51">
        <v>10885765</v>
      </c>
      <c r="G29" s="50">
        <f t="shared" si="2"/>
        <v>3826</v>
      </c>
      <c r="H29" s="51">
        <v>18481566</v>
      </c>
      <c r="I29" s="50">
        <f t="shared" si="3"/>
        <v>7869</v>
      </c>
      <c r="J29" s="51">
        <v>8134045</v>
      </c>
      <c r="K29" s="50">
        <f t="shared" si="4"/>
        <v>3254</v>
      </c>
    </row>
    <row r="30" spans="1:29" ht="19.5" x14ac:dyDescent="0.3">
      <c r="A30" s="59">
        <v>44430</v>
      </c>
      <c r="B30" s="116">
        <v>2560</v>
      </c>
      <c r="C30" s="115">
        <f t="shared" si="5"/>
        <v>0</v>
      </c>
      <c r="D30" s="57">
        <v>120241.1</v>
      </c>
      <c r="E30" s="50">
        <f t="shared" si="1"/>
        <v>114.5</v>
      </c>
      <c r="F30" s="51">
        <v>10889690</v>
      </c>
      <c r="G30" s="50">
        <f t="shared" si="2"/>
        <v>3925</v>
      </c>
      <c r="H30" s="51">
        <v>18489783</v>
      </c>
      <c r="I30" s="50">
        <f t="shared" si="3"/>
        <v>8217</v>
      </c>
      <c r="J30" s="51">
        <v>8137676</v>
      </c>
      <c r="K30" s="50">
        <f t="shared" si="4"/>
        <v>3631</v>
      </c>
    </row>
    <row r="31" spans="1:29" ht="19.5" x14ac:dyDescent="0.3">
      <c r="A31" s="59">
        <v>44431</v>
      </c>
      <c r="B31" s="116">
        <v>2560</v>
      </c>
      <c r="C31" s="115">
        <f t="shared" si="5"/>
        <v>0</v>
      </c>
      <c r="D31" s="57">
        <v>120342</v>
      </c>
      <c r="E31" s="50">
        <f t="shared" si="1"/>
        <v>100.89999999999418</v>
      </c>
      <c r="F31" s="51">
        <v>10893373</v>
      </c>
      <c r="G31" s="50">
        <f t="shared" si="2"/>
        <v>3683</v>
      </c>
      <c r="H31" s="51">
        <v>18497928</v>
      </c>
      <c r="I31" s="50">
        <f t="shared" si="3"/>
        <v>8145</v>
      </c>
      <c r="J31" s="51">
        <v>8140700</v>
      </c>
      <c r="K31" s="50">
        <f t="shared" si="4"/>
        <v>3024</v>
      </c>
    </row>
    <row r="32" spans="1:29" ht="19.5" x14ac:dyDescent="0.3">
      <c r="A32" s="59">
        <v>44432</v>
      </c>
      <c r="B32" s="116">
        <v>2560</v>
      </c>
      <c r="C32" s="115">
        <f t="shared" si="5"/>
        <v>0</v>
      </c>
      <c r="D32" s="57">
        <v>120474</v>
      </c>
      <c r="E32" s="50">
        <f t="shared" si="1"/>
        <v>132</v>
      </c>
      <c r="F32" s="51">
        <v>10897010</v>
      </c>
      <c r="G32" s="50">
        <f t="shared" si="2"/>
        <v>3637</v>
      </c>
      <c r="H32" s="51">
        <v>18505965</v>
      </c>
      <c r="I32" s="50">
        <f t="shared" si="3"/>
        <v>8037</v>
      </c>
      <c r="J32" s="51">
        <v>8143335</v>
      </c>
      <c r="K32" s="50">
        <f t="shared" si="4"/>
        <v>2635</v>
      </c>
    </row>
    <row r="33" spans="1:11" ht="19.5" x14ac:dyDescent="0.3">
      <c r="A33" s="59">
        <v>44433</v>
      </c>
      <c r="B33" s="116">
        <v>2560</v>
      </c>
      <c r="C33" s="115">
        <f t="shared" si="5"/>
        <v>0</v>
      </c>
      <c r="D33" s="57">
        <v>120598.39999999999</v>
      </c>
      <c r="E33" s="50">
        <f t="shared" si="1"/>
        <v>124.39999999999418</v>
      </c>
      <c r="F33" s="51">
        <v>10900341</v>
      </c>
      <c r="G33" s="50">
        <f t="shared" si="2"/>
        <v>3331</v>
      </c>
      <c r="H33" s="51">
        <v>18513333</v>
      </c>
      <c r="I33" s="50">
        <f t="shared" si="3"/>
        <v>7368</v>
      </c>
      <c r="J33" s="51">
        <v>8145959</v>
      </c>
      <c r="K33" s="50">
        <f t="shared" si="4"/>
        <v>2624</v>
      </c>
    </row>
    <row r="34" spans="1:11" ht="19.5" x14ac:dyDescent="0.3">
      <c r="A34" s="59">
        <v>44434</v>
      </c>
      <c r="B34" s="116">
        <v>2560</v>
      </c>
      <c r="C34" s="115">
        <f t="shared" si="5"/>
        <v>0</v>
      </c>
      <c r="D34" s="57">
        <v>120705</v>
      </c>
      <c r="E34" s="50">
        <f t="shared" si="1"/>
        <v>106.60000000000582</v>
      </c>
      <c r="F34" s="51">
        <v>10903917</v>
      </c>
      <c r="G34" s="50">
        <f t="shared" si="2"/>
        <v>3576</v>
      </c>
      <c r="H34" s="51">
        <v>18520744</v>
      </c>
      <c r="I34" s="50">
        <f t="shared" si="3"/>
        <v>7411</v>
      </c>
      <c r="J34" s="51">
        <v>8148598</v>
      </c>
      <c r="K34" s="50">
        <f t="shared" si="4"/>
        <v>2639</v>
      </c>
    </row>
    <row r="35" spans="1:11" ht="19.5" x14ac:dyDescent="0.3">
      <c r="A35" s="59">
        <v>44435</v>
      </c>
      <c r="B35" s="116">
        <v>2560</v>
      </c>
      <c r="C35" s="115">
        <f t="shared" si="5"/>
        <v>0</v>
      </c>
      <c r="D35" s="57">
        <v>120793.4</v>
      </c>
      <c r="E35" s="50">
        <f t="shared" si="1"/>
        <v>88.399999999994179</v>
      </c>
      <c r="F35" s="51">
        <v>10908202</v>
      </c>
      <c r="G35" s="50">
        <f t="shared" si="2"/>
        <v>4285</v>
      </c>
      <c r="H35" s="51">
        <v>18528640</v>
      </c>
      <c r="I35" s="50">
        <f t="shared" si="3"/>
        <v>7896</v>
      </c>
      <c r="J35" s="51">
        <v>8151772</v>
      </c>
      <c r="K35" s="50">
        <f t="shared" si="4"/>
        <v>3174</v>
      </c>
    </row>
    <row r="36" spans="1:11" ht="19.5" x14ac:dyDescent="0.3">
      <c r="A36" s="59">
        <v>44436</v>
      </c>
      <c r="B36" s="116">
        <v>2560</v>
      </c>
      <c r="C36" s="115">
        <f t="shared" si="5"/>
        <v>0</v>
      </c>
      <c r="D36" s="57">
        <v>120888.4</v>
      </c>
      <c r="E36" s="50">
        <f t="shared" si="1"/>
        <v>95</v>
      </c>
      <c r="F36" s="51">
        <v>10911975</v>
      </c>
      <c r="G36" s="50">
        <f t="shared" si="2"/>
        <v>3773</v>
      </c>
      <c r="H36" s="51">
        <v>18536102</v>
      </c>
      <c r="I36" s="50">
        <f t="shared" si="3"/>
        <v>7462</v>
      </c>
      <c r="J36" s="51">
        <v>8154716</v>
      </c>
      <c r="K36" s="50">
        <f t="shared" si="4"/>
        <v>2944</v>
      </c>
    </row>
    <row r="37" spans="1:11" ht="19.5" x14ac:dyDescent="0.3">
      <c r="A37" s="59">
        <v>44437</v>
      </c>
      <c r="B37" s="116">
        <v>2560</v>
      </c>
      <c r="C37" s="115">
        <f t="shared" si="5"/>
        <v>0</v>
      </c>
      <c r="D37" s="57">
        <v>120973.4</v>
      </c>
      <c r="E37" s="50">
        <f t="shared" si="1"/>
        <v>85</v>
      </c>
      <c r="F37" s="51">
        <v>10915619</v>
      </c>
      <c r="G37" s="50">
        <f t="shared" si="2"/>
        <v>3644</v>
      </c>
      <c r="H37" s="51">
        <v>18543541</v>
      </c>
      <c r="I37" s="50">
        <f t="shared" si="3"/>
        <v>7439</v>
      </c>
      <c r="J37" s="51">
        <v>8157221</v>
      </c>
      <c r="K37" s="50">
        <f t="shared" si="4"/>
        <v>2505</v>
      </c>
    </row>
    <row r="38" spans="1:11" ht="19.5" x14ac:dyDescent="0.3">
      <c r="A38" s="59">
        <v>44438</v>
      </c>
      <c r="B38" s="116">
        <v>2560</v>
      </c>
      <c r="C38" s="115">
        <f t="shared" si="5"/>
        <v>0</v>
      </c>
      <c r="D38" s="57">
        <v>121051.8</v>
      </c>
      <c r="E38" s="50">
        <f t="shared" si="1"/>
        <v>78.400000000008731</v>
      </c>
      <c r="F38" s="51">
        <v>10919105</v>
      </c>
      <c r="G38" s="50">
        <f t="shared" si="2"/>
        <v>3486</v>
      </c>
      <c r="H38" s="51">
        <v>18550679</v>
      </c>
      <c r="I38" s="50">
        <f t="shared" si="3"/>
        <v>7138</v>
      </c>
      <c r="J38" s="51">
        <v>8159545</v>
      </c>
      <c r="K38" s="50">
        <f t="shared" si="4"/>
        <v>2324</v>
      </c>
    </row>
    <row r="39" spans="1:11" ht="21" thickTop="1" thickBot="1" x14ac:dyDescent="0.35">
      <c r="A39" s="59">
        <v>44439</v>
      </c>
      <c r="B39" s="152">
        <v>2560</v>
      </c>
      <c r="C39" s="115">
        <f t="shared" si="5"/>
        <v>0</v>
      </c>
      <c r="D39" s="153">
        <v>121147.4</v>
      </c>
      <c r="E39" s="50">
        <f t="shared" si="1"/>
        <v>95.599999999991269</v>
      </c>
      <c r="F39" s="154">
        <v>10922563</v>
      </c>
      <c r="G39" s="50">
        <f t="shared" si="2"/>
        <v>3458</v>
      </c>
      <c r="H39" s="154">
        <v>18558130</v>
      </c>
      <c r="I39" s="50">
        <f t="shared" si="3"/>
        <v>7451</v>
      </c>
      <c r="J39" s="154">
        <v>8162228</v>
      </c>
      <c r="K39" s="50">
        <f t="shared" si="4"/>
        <v>2683</v>
      </c>
    </row>
    <row r="40" spans="1:11" ht="21.75" customHeight="1" thickTop="1" thickBot="1" x14ac:dyDescent="0.35">
      <c r="A40" s="59">
        <v>44440</v>
      </c>
      <c r="B40" s="152">
        <v>2560</v>
      </c>
      <c r="C40" s="115">
        <f t="shared" si="5"/>
        <v>0</v>
      </c>
      <c r="D40" s="153">
        <v>121259</v>
      </c>
      <c r="E40" s="50">
        <f t="shared" si="1"/>
        <v>111.60000000000582</v>
      </c>
      <c r="F40" s="51">
        <v>10926148</v>
      </c>
      <c r="G40" s="50">
        <f t="shared" si="2"/>
        <v>3585</v>
      </c>
      <c r="H40" s="154">
        <v>18565342</v>
      </c>
      <c r="I40" s="50">
        <f t="shared" si="3"/>
        <v>7212</v>
      </c>
      <c r="J40" s="154">
        <v>8164784</v>
      </c>
      <c r="K40" s="50">
        <f t="shared" si="4"/>
        <v>2556</v>
      </c>
    </row>
    <row r="41" spans="1:11" ht="24" customHeight="1" thickTop="1" x14ac:dyDescent="0.3">
      <c r="A41" s="52"/>
      <c r="B41" s="440"/>
      <c r="C41" s="52"/>
      <c r="D41" s="441"/>
      <c r="H41" s="441"/>
      <c r="J41" s="441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9" activePane="bottomRight" state="frozen"/>
      <selection pane="topRight" activeCell="B1" sqref="B1"/>
      <selection pane="bottomLeft" activeCell="A4" sqref="A4"/>
      <selection pane="bottomRight" activeCell="P30" sqref="P30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8" t="s">
        <v>57</v>
      </c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</row>
    <row r="2" spans="1:31" ht="41.25" customHeight="1" thickBot="1" x14ac:dyDescent="0.4">
      <c r="Q2" s="293">
        <v>803</v>
      </c>
      <c r="R2" s="294"/>
      <c r="S2" s="295"/>
      <c r="T2" s="296">
        <v>519</v>
      </c>
      <c r="U2" s="294"/>
      <c r="V2" s="295"/>
      <c r="W2" s="296">
        <v>800</v>
      </c>
      <c r="X2" s="294"/>
      <c r="Y2" s="295"/>
      <c r="Z2" s="296">
        <v>802</v>
      </c>
      <c r="AA2" s="294"/>
      <c r="AB2" s="297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44409</v>
      </c>
      <c r="B4" s="41">
        <v>60</v>
      </c>
      <c r="C4" s="39">
        <f t="shared" ref="C4" si="0">IF(AC4&gt;0,((B4-R4)+(S4-B5)),IF(B5=0, ,(B4-B5)))</f>
        <v>0</v>
      </c>
      <c r="D4" s="41">
        <v>62</v>
      </c>
      <c r="E4" s="39">
        <f t="shared" ref="E4" si="1">IF(AC4&gt;0,((D4-U4)+(V4-D5)),IF(D5=0, ,(D4-D5)))</f>
        <v>2</v>
      </c>
      <c r="F4" s="41">
        <v>64</v>
      </c>
      <c r="G4" s="39">
        <f t="shared" ref="G4" si="2">IF(AC4&gt;0,((F4-X4)+(Y4-F5)),IF(F5=0, ,(F4-F5)))</f>
        <v>4</v>
      </c>
      <c r="H4" s="41">
        <v>64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2.25</v>
      </c>
      <c r="M4" s="148">
        <f>6049*4</f>
        <v>24196</v>
      </c>
      <c r="N4" s="39">
        <f>L4*M4/100</f>
        <v>544.41</v>
      </c>
      <c r="O4" s="39">
        <f>N4*0.529</f>
        <v>287.99288999999999</v>
      </c>
      <c r="P4" s="42">
        <f>O4*9.61</f>
        <v>2767.6116728999996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44410</v>
      </c>
      <c r="B5" s="41">
        <v>60</v>
      </c>
      <c r="C5" s="39">
        <f t="shared" ref="C5:C35" si="6">IF(AC5&gt;0,((B5-R5)+(S5-B6)),IF(B6=0, ,(B5-B6)))</f>
        <v>4</v>
      </c>
      <c r="D5" s="41">
        <v>60</v>
      </c>
      <c r="E5" s="39">
        <f t="shared" ref="E5:E35" si="7">IF(AC5&gt;0,((D5-U5)+(V5-D6)),IF(D6=0, ,(D5-D6)))</f>
        <v>2</v>
      </c>
      <c r="F5" s="41">
        <v>60</v>
      </c>
      <c r="G5" s="39">
        <f t="shared" ref="G5:G35" si="8">IF(AC5&gt;0,((F5-X5)+(Y5-F6)),IF(F6=0, ,(F5-F6)))</f>
        <v>1</v>
      </c>
      <c r="H5" s="41">
        <v>61</v>
      </c>
      <c r="I5" s="39">
        <f>IF(AC5&gt;0,((H5-AA5)+(AB5-H6)),IF(H6=0, ,(H5-H6)))</f>
        <v>3</v>
      </c>
      <c r="J5" s="39">
        <f>B5+D5+F5+H5</f>
        <v>241</v>
      </c>
      <c r="K5" s="39">
        <f>J5/4</f>
        <v>60.25</v>
      </c>
      <c r="L5" s="39">
        <f>IF(AC5&gt;0,((K5-AD5)+(AE5-K6)),IF(K6=0, ,(K5-K6)))</f>
        <v>2.5</v>
      </c>
      <c r="M5" s="148">
        <f t="shared" ref="M5:M8" si="9">6049*4</f>
        <v>24196</v>
      </c>
      <c r="N5" s="39">
        <f t="shared" ref="N5:N34" si="10">L5*M5/100</f>
        <v>604.9</v>
      </c>
      <c r="O5" s="39">
        <f t="shared" ref="O5:O34" si="11">N5*0.529</f>
        <v>319.99209999999999</v>
      </c>
      <c r="P5" s="42">
        <f t="shared" ref="P5:P34" si="12">O5*9.61</f>
        <v>3075.1240809999999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44411</v>
      </c>
      <c r="B6" s="41">
        <v>56</v>
      </c>
      <c r="C6" s="39">
        <f t="shared" si="6"/>
        <v>1</v>
      </c>
      <c r="D6" s="41">
        <v>58</v>
      </c>
      <c r="E6" s="39">
        <f t="shared" si="7"/>
        <v>3</v>
      </c>
      <c r="F6" s="41">
        <v>59</v>
      </c>
      <c r="G6" s="39">
        <f t="shared" si="8"/>
        <v>4</v>
      </c>
      <c r="H6" s="41">
        <v>58</v>
      </c>
      <c r="I6" s="39">
        <f t="shared" ref="I6:I36" si="13">IF(AC6&gt;0,((H6-AA6)+(AB6-H7)),IF(H7=0, ,(H6-H7)))</f>
        <v>3</v>
      </c>
      <c r="J6" s="39">
        <f t="shared" ref="J6:J42" si="14">B6+D6+F6+H6</f>
        <v>231</v>
      </c>
      <c r="K6" s="39">
        <f t="shared" ref="K6:K42" si="15">J6/4</f>
        <v>57.75</v>
      </c>
      <c r="L6" s="39">
        <f t="shared" ref="L6:L19" si="16">IF(AC6&gt;0,((K6-AD6)+(AE6-K7)),IF(K7=0, ,(K6-K7)))</f>
        <v>2.75</v>
      </c>
      <c r="M6" s="148">
        <f t="shared" si="9"/>
        <v>24196</v>
      </c>
      <c r="N6" s="39">
        <f t="shared" si="10"/>
        <v>665.39</v>
      </c>
      <c r="O6" s="39">
        <f t="shared" si="11"/>
        <v>351.99131</v>
      </c>
      <c r="P6" s="42">
        <f t="shared" si="12"/>
        <v>3382.6364890999998</v>
      </c>
      <c r="Q6" s="39">
        <v>1907</v>
      </c>
      <c r="R6" s="39">
        <v>55</v>
      </c>
      <c r="S6" s="39">
        <v>83</v>
      </c>
      <c r="T6" s="39">
        <v>2139</v>
      </c>
      <c r="U6" s="39">
        <v>55</v>
      </c>
      <c r="V6" s="39">
        <v>85</v>
      </c>
      <c r="W6" s="39">
        <v>2180</v>
      </c>
      <c r="X6" s="39">
        <v>55</v>
      </c>
      <c r="Y6" s="39">
        <v>85</v>
      </c>
      <c r="Z6" s="39">
        <v>2197</v>
      </c>
      <c r="AA6" s="39">
        <v>55</v>
      </c>
      <c r="AB6" s="39">
        <v>85</v>
      </c>
      <c r="AC6" s="39">
        <f t="shared" si="3"/>
        <v>8423</v>
      </c>
      <c r="AD6" s="38">
        <f t="shared" si="4"/>
        <v>55</v>
      </c>
      <c r="AE6" s="38">
        <f t="shared" si="5"/>
        <v>84.5</v>
      </c>
    </row>
    <row r="7" spans="1:31" ht="32.25" customHeight="1" x14ac:dyDescent="0.3">
      <c r="A7" s="40">
        <v>44412</v>
      </c>
      <c r="B7" s="41">
        <v>83</v>
      </c>
      <c r="C7" s="39">
        <f t="shared" si="6"/>
        <v>2</v>
      </c>
      <c r="D7" s="41">
        <v>85</v>
      </c>
      <c r="E7" s="39">
        <f t="shared" si="7"/>
        <v>1</v>
      </c>
      <c r="F7" s="41">
        <v>85</v>
      </c>
      <c r="G7" s="39">
        <f t="shared" si="8"/>
        <v>0</v>
      </c>
      <c r="H7" s="41">
        <v>85</v>
      </c>
      <c r="I7" s="39">
        <f t="shared" si="13"/>
        <v>1</v>
      </c>
      <c r="J7" s="39">
        <f t="shared" si="14"/>
        <v>338</v>
      </c>
      <c r="K7" s="39">
        <f t="shared" si="15"/>
        <v>84.5</v>
      </c>
      <c r="L7" s="39">
        <f t="shared" si="16"/>
        <v>1</v>
      </c>
      <c r="M7" s="148">
        <f t="shared" si="9"/>
        <v>24196</v>
      </c>
      <c r="N7" s="39">
        <f t="shared" si="10"/>
        <v>241.96</v>
      </c>
      <c r="O7" s="39">
        <f t="shared" si="11"/>
        <v>127.99684000000001</v>
      </c>
      <c r="P7" s="42">
        <f t="shared" si="12"/>
        <v>1230.0496324000001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44413</v>
      </c>
      <c r="B8" s="41">
        <v>81</v>
      </c>
      <c r="C8" s="39">
        <f t="shared" si="6"/>
        <v>0</v>
      </c>
      <c r="D8" s="41">
        <v>84</v>
      </c>
      <c r="E8" s="39">
        <f t="shared" si="7"/>
        <v>2</v>
      </c>
      <c r="F8" s="41">
        <v>85</v>
      </c>
      <c r="G8" s="39">
        <f t="shared" si="8"/>
        <v>2</v>
      </c>
      <c r="H8" s="41">
        <v>84</v>
      </c>
      <c r="I8" s="39">
        <f t="shared" si="13"/>
        <v>2</v>
      </c>
      <c r="J8" s="39">
        <f t="shared" si="14"/>
        <v>334</v>
      </c>
      <c r="K8" s="39">
        <f t="shared" si="15"/>
        <v>83.5</v>
      </c>
      <c r="L8" s="39">
        <f t="shared" si="16"/>
        <v>1.5</v>
      </c>
      <c r="M8" s="148">
        <f t="shared" si="9"/>
        <v>24196</v>
      </c>
      <c r="N8" s="39">
        <f t="shared" si="10"/>
        <v>362.94</v>
      </c>
      <c r="O8" s="39">
        <f t="shared" si="11"/>
        <v>191.99526</v>
      </c>
      <c r="P8" s="42">
        <f t="shared" si="12"/>
        <v>1845.0744485999999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44414</v>
      </c>
      <c r="B9" s="41">
        <v>81</v>
      </c>
      <c r="C9" s="39">
        <f t="shared" si="6"/>
        <v>1</v>
      </c>
      <c r="D9" s="41">
        <v>82</v>
      </c>
      <c r="E9" s="39">
        <f t="shared" si="7"/>
        <v>2</v>
      </c>
      <c r="F9" s="41">
        <v>83</v>
      </c>
      <c r="G9" s="39">
        <f t="shared" si="8"/>
        <v>3</v>
      </c>
      <c r="H9" s="41">
        <v>82</v>
      </c>
      <c r="I9" s="39">
        <f t="shared" si="13"/>
        <v>3</v>
      </c>
      <c r="J9" s="39">
        <f t="shared" si="14"/>
        <v>328</v>
      </c>
      <c r="K9" s="39">
        <f t="shared" si="15"/>
        <v>82</v>
      </c>
      <c r="L9" s="39">
        <f t="shared" si="16"/>
        <v>2.25</v>
      </c>
      <c r="M9" s="148">
        <f t="shared" ref="M9:M42" si="17">6049*4</f>
        <v>24196</v>
      </c>
      <c r="N9" s="39">
        <f t="shared" si="10"/>
        <v>544.41</v>
      </c>
      <c r="O9" s="39">
        <f t="shared" si="11"/>
        <v>287.99288999999999</v>
      </c>
      <c r="P9" s="42">
        <f t="shared" si="12"/>
        <v>2767.6116728999996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44415</v>
      </c>
      <c r="B10" s="41">
        <v>80</v>
      </c>
      <c r="C10" s="39">
        <f t="shared" si="6"/>
        <v>1</v>
      </c>
      <c r="D10" s="41">
        <v>80</v>
      </c>
      <c r="E10" s="39">
        <f t="shared" si="7"/>
        <v>2</v>
      </c>
      <c r="F10" s="41">
        <v>80</v>
      </c>
      <c r="G10" s="39">
        <f t="shared" si="8"/>
        <v>1</v>
      </c>
      <c r="H10" s="41">
        <v>79</v>
      </c>
      <c r="I10" s="39">
        <f t="shared" si="13"/>
        <v>4</v>
      </c>
      <c r="J10" s="39">
        <f t="shared" si="14"/>
        <v>319</v>
      </c>
      <c r="K10" s="39">
        <f t="shared" si="15"/>
        <v>79.75</v>
      </c>
      <c r="L10" s="39">
        <f t="shared" si="16"/>
        <v>2</v>
      </c>
      <c r="M10" s="148">
        <f t="shared" si="17"/>
        <v>24196</v>
      </c>
      <c r="N10" s="39">
        <f t="shared" si="10"/>
        <v>483.92</v>
      </c>
      <c r="O10" s="39">
        <f t="shared" si="11"/>
        <v>255.99368000000001</v>
      </c>
      <c r="P10" s="42">
        <f t="shared" si="12"/>
        <v>2460.0992648000001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44416</v>
      </c>
      <c r="B11" s="41">
        <v>79</v>
      </c>
      <c r="C11" s="39">
        <f t="shared" si="6"/>
        <v>2</v>
      </c>
      <c r="D11" s="41">
        <v>78</v>
      </c>
      <c r="E11" s="39">
        <f t="shared" si="7"/>
        <v>2</v>
      </c>
      <c r="F11" s="41">
        <v>79</v>
      </c>
      <c r="G11" s="39">
        <f t="shared" si="8"/>
        <v>4</v>
      </c>
      <c r="H11" s="41">
        <v>75</v>
      </c>
      <c r="I11" s="39">
        <f t="shared" si="13"/>
        <v>1</v>
      </c>
      <c r="J11" s="39">
        <f t="shared" si="14"/>
        <v>311</v>
      </c>
      <c r="K11" s="39">
        <f t="shared" si="15"/>
        <v>77.75</v>
      </c>
      <c r="L11" s="39">
        <f t="shared" si="16"/>
        <v>2.25</v>
      </c>
      <c r="M11" s="148">
        <f t="shared" si="17"/>
        <v>24196</v>
      </c>
      <c r="N11" s="39">
        <f t="shared" si="10"/>
        <v>544.41</v>
      </c>
      <c r="O11" s="39">
        <f t="shared" si="11"/>
        <v>287.99288999999999</v>
      </c>
      <c r="P11" s="42">
        <f t="shared" si="12"/>
        <v>2767.6116728999996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44417</v>
      </c>
      <c r="B12" s="41">
        <v>77</v>
      </c>
      <c r="C12" s="39">
        <f t="shared" si="6"/>
        <v>3</v>
      </c>
      <c r="D12" s="41">
        <v>76</v>
      </c>
      <c r="E12" s="39">
        <f t="shared" si="7"/>
        <v>2</v>
      </c>
      <c r="F12" s="41">
        <v>75</v>
      </c>
      <c r="G12" s="39">
        <f t="shared" si="8"/>
        <v>0</v>
      </c>
      <c r="H12" s="41">
        <v>74</v>
      </c>
      <c r="I12" s="39">
        <f t="shared" si="13"/>
        <v>3</v>
      </c>
      <c r="J12" s="39">
        <f t="shared" si="14"/>
        <v>302</v>
      </c>
      <c r="K12" s="39">
        <f t="shared" si="15"/>
        <v>75.5</v>
      </c>
      <c r="L12" s="39">
        <f t="shared" si="16"/>
        <v>2</v>
      </c>
      <c r="M12" s="148">
        <f t="shared" si="17"/>
        <v>24196</v>
      </c>
      <c r="N12" s="39">
        <f t="shared" si="10"/>
        <v>483.92</v>
      </c>
      <c r="O12" s="39">
        <f t="shared" si="11"/>
        <v>255.99368000000001</v>
      </c>
      <c r="P12" s="42">
        <f t="shared" si="12"/>
        <v>2460.0992648000001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44418</v>
      </c>
      <c r="B13" s="41">
        <v>74</v>
      </c>
      <c r="C13" s="39">
        <f t="shared" si="6"/>
        <v>5</v>
      </c>
      <c r="D13" s="41">
        <v>74</v>
      </c>
      <c r="E13" s="39">
        <f t="shared" si="7"/>
        <v>3</v>
      </c>
      <c r="F13" s="41">
        <v>75</v>
      </c>
      <c r="G13" s="39">
        <f t="shared" si="8"/>
        <v>2</v>
      </c>
      <c r="H13" s="41">
        <v>71</v>
      </c>
      <c r="I13" s="39">
        <f t="shared" si="13"/>
        <v>1</v>
      </c>
      <c r="J13" s="39">
        <f t="shared" si="14"/>
        <v>294</v>
      </c>
      <c r="K13" s="39">
        <f t="shared" si="15"/>
        <v>73.5</v>
      </c>
      <c r="L13" s="39">
        <f t="shared" si="16"/>
        <v>2.75</v>
      </c>
      <c r="M13" s="148">
        <f t="shared" si="17"/>
        <v>24196</v>
      </c>
      <c r="N13" s="39">
        <f t="shared" si="10"/>
        <v>665.39</v>
      </c>
      <c r="O13" s="39">
        <f t="shared" si="11"/>
        <v>351.99131</v>
      </c>
      <c r="P13" s="42">
        <f t="shared" si="12"/>
        <v>3382.6364890999998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44419</v>
      </c>
      <c r="B14" s="41">
        <v>69</v>
      </c>
      <c r="C14" s="39">
        <f t="shared" si="6"/>
        <v>4</v>
      </c>
      <c r="D14" s="41">
        <v>71</v>
      </c>
      <c r="E14" s="39">
        <f t="shared" si="7"/>
        <v>1</v>
      </c>
      <c r="F14" s="41">
        <v>73</v>
      </c>
      <c r="G14" s="39">
        <f t="shared" si="8"/>
        <v>3</v>
      </c>
      <c r="H14" s="41">
        <v>70</v>
      </c>
      <c r="I14" s="39">
        <f>IF(AC14&gt;0,((H14-AA14)+(AB14-H15)),IF(H15=0, ,(H14-H15)))</f>
        <v>0</v>
      </c>
      <c r="J14" s="39">
        <f t="shared" si="14"/>
        <v>283</v>
      </c>
      <c r="K14" s="39">
        <f t="shared" si="15"/>
        <v>70.75</v>
      </c>
      <c r="L14" s="39">
        <f t="shared" si="16"/>
        <v>2</v>
      </c>
      <c r="M14" s="148">
        <f t="shared" si="17"/>
        <v>24196</v>
      </c>
      <c r="N14" s="39">
        <f t="shared" si="10"/>
        <v>483.92</v>
      </c>
      <c r="O14" s="39">
        <f t="shared" si="11"/>
        <v>255.99368000000001</v>
      </c>
      <c r="P14" s="42">
        <f t="shared" si="12"/>
        <v>2460.0992648000001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44420</v>
      </c>
      <c r="B15" s="41">
        <v>65</v>
      </c>
      <c r="C15" s="39">
        <f t="shared" si="6"/>
        <v>0</v>
      </c>
      <c r="D15" s="41">
        <v>70</v>
      </c>
      <c r="E15" s="39">
        <f t="shared" si="7"/>
        <v>1</v>
      </c>
      <c r="F15" s="41">
        <v>70</v>
      </c>
      <c r="G15" s="39">
        <f t="shared" si="8"/>
        <v>3</v>
      </c>
      <c r="H15" s="41">
        <v>70</v>
      </c>
      <c r="I15" s="39">
        <f>IF(AC15&gt;0,((H15-AA15)+(AB15-H16)),IF(H16=0, ,(H15-H16)))</f>
        <v>0</v>
      </c>
      <c r="J15" s="39">
        <f t="shared" si="14"/>
        <v>275</v>
      </c>
      <c r="K15" s="39">
        <f t="shared" si="15"/>
        <v>68.75</v>
      </c>
      <c r="L15" s="39">
        <f t="shared" si="16"/>
        <v>1</v>
      </c>
      <c r="M15" s="148">
        <f t="shared" si="17"/>
        <v>24196</v>
      </c>
      <c r="N15" s="39">
        <f t="shared" si="10"/>
        <v>241.96</v>
      </c>
      <c r="O15" s="39">
        <f t="shared" si="11"/>
        <v>127.99684000000001</v>
      </c>
      <c r="P15" s="42">
        <f t="shared" si="12"/>
        <v>1230.0496324000001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44421</v>
      </c>
      <c r="B16" s="41">
        <v>65</v>
      </c>
      <c r="C16" s="39">
        <f t="shared" si="6"/>
        <v>4</v>
      </c>
      <c r="D16" s="41">
        <v>69</v>
      </c>
      <c r="E16" s="39">
        <f t="shared" si="7"/>
        <v>4</v>
      </c>
      <c r="F16" s="41">
        <v>67</v>
      </c>
      <c r="G16" s="39">
        <f t="shared" si="8"/>
        <v>1</v>
      </c>
      <c r="H16" s="41">
        <v>70</v>
      </c>
      <c r="I16" s="39">
        <f t="shared" si="13"/>
        <v>4</v>
      </c>
      <c r="J16" s="39">
        <f t="shared" si="14"/>
        <v>271</v>
      </c>
      <c r="K16" s="39">
        <f t="shared" si="15"/>
        <v>67.75</v>
      </c>
      <c r="L16" s="39">
        <f t="shared" si="16"/>
        <v>3.25</v>
      </c>
      <c r="M16" s="148">
        <f t="shared" si="17"/>
        <v>24196</v>
      </c>
      <c r="N16" s="39">
        <f t="shared" si="10"/>
        <v>786.37</v>
      </c>
      <c r="O16" s="39">
        <f t="shared" si="11"/>
        <v>415.98973000000001</v>
      </c>
      <c r="P16" s="42">
        <f t="shared" si="12"/>
        <v>3997.6613052999996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44422</v>
      </c>
      <c r="B17" s="41">
        <v>61</v>
      </c>
      <c r="C17" s="39">
        <f t="shared" si="6"/>
        <v>1</v>
      </c>
      <c r="D17" s="41">
        <v>65</v>
      </c>
      <c r="E17" s="39">
        <f t="shared" si="7"/>
        <v>0</v>
      </c>
      <c r="F17" s="41">
        <v>66</v>
      </c>
      <c r="G17" s="39">
        <f t="shared" si="8"/>
        <v>1</v>
      </c>
      <c r="H17" s="41">
        <v>66</v>
      </c>
      <c r="I17" s="39">
        <f t="shared" si="13"/>
        <v>1</v>
      </c>
      <c r="J17" s="39">
        <f t="shared" si="14"/>
        <v>258</v>
      </c>
      <c r="K17" s="39">
        <f t="shared" si="15"/>
        <v>64.5</v>
      </c>
      <c r="L17" s="39">
        <f t="shared" si="16"/>
        <v>0.75</v>
      </c>
      <c r="M17" s="148">
        <f t="shared" si="17"/>
        <v>24196</v>
      </c>
      <c r="N17" s="39">
        <f t="shared" si="10"/>
        <v>181.47</v>
      </c>
      <c r="O17" s="39">
        <f t="shared" si="11"/>
        <v>95.997630000000001</v>
      </c>
      <c r="P17" s="42">
        <f t="shared" si="12"/>
        <v>922.53722429999993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44423</v>
      </c>
      <c r="B18" s="41">
        <v>60</v>
      </c>
      <c r="C18" s="39">
        <f t="shared" si="6"/>
        <v>0</v>
      </c>
      <c r="D18" s="41">
        <v>65</v>
      </c>
      <c r="E18" s="39">
        <f t="shared" si="7"/>
        <v>3</v>
      </c>
      <c r="F18" s="41">
        <v>65</v>
      </c>
      <c r="G18" s="39">
        <f t="shared" si="8"/>
        <v>0</v>
      </c>
      <c r="H18" s="41">
        <v>65</v>
      </c>
      <c r="I18" s="39">
        <f t="shared" si="13"/>
        <v>0</v>
      </c>
      <c r="J18" s="39">
        <f t="shared" si="14"/>
        <v>255</v>
      </c>
      <c r="K18" s="39">
        <f t="shared" si="15"/>
        <v>63.75</v>
      </c>
      <c r="L18" s="39">
        <f t="shared" si="16"/>
        <v>0.75</v>
      </c>
      <c r="M18" s="148">
        <f t="shared" si="17"/>
        <v>24196</v>
      </c>
      <c r="N18" s="39">
        <f t="shared" si="10"/>
        <v>181.47</v>
      </c>
      <c r="O18" s="39">
        <f t="shared" si="11"/>
        <v>95.997630000000001</v>
      </c>
      <c r="P18" s="42">
        <f t="shared" si="12"/>
        <v>922.53722429999993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44424</v>
      </c>
      <c r="B19" s="41">
        <v>60</v>
      </c>
      <c r="C19" s="39">
        <f t="shared" si="6"/>
        <v>0</v>
      </c>
      <c r="D19" s="41">
        <v>62</v>
      </c>
      <c r="E19" s="39">
        <f t="shared" si="7"/>
        <v>2</v>
      </c>
      <c r="F19" s="41">
        <v>65</v>
      </c>
      <c r="G19" s="39">
        <f t="shared" si="8"/>
        <v>1</v>
      </c>
      <c r="H19" s="41">
        <v>65</v>
      </c>
      <c r="I19" s="39">
        <f t="shared" si="13"/>
        <v>2</v>
      </c>
      <c r="J19" s="39">
        <f t="shared" si="14"/>
        <v>252</v>
      </c>
      <c r="K19" s="39">
        <f t="shared" si="15"/>
        <v>63</v>
      </c>
      <c r="L19" s="39">
        <f t="shared" si="16"/>
        <v>1.25</v>
      </c>
      <c r="M19" s="148">
        <f t="shared" si="17"/>
        <v>24196</v>
      </c>
      <c r="N19" s="39">
        <f t="shared" si="10"/>
        <v>302.45</v>
      </c>
      <c r="O19" s="39">
        <f t="shared" si="11"/>
        <v>159.99605</v>
      </c>
      <c r="P19" s="42">
        <f t="shared" si="12"/>
        <v>1537.5620405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44425</v>
      </c>
      <c r="B20" s="41">
        <v>60</v>
      </c>
      <c r="C20" s="39">
        <f t="shared" si="6"/>
        <v>5</v>
      </c>
      <c r="D20" s="41">
        <v>60</v>
      </c>
      <c r="E20" s="39">
        <f t="shared" si="7"/>
        <v>4</v>
      </c>
      <c r="F20" s="41">
        <v>64</v>
      </c>
      <c r="G20" s="39">
        <f t="shared" si="8"/>
        <v>4</v>
      </c>
      <c r="H20" s="41">
        <v>63</v>
      </c>
      <c r="I20" s="39">
        <f t="shared" si="13"/>
        <v>3</v>
      </c>
      <c r="J20" s="39">
        <f t="shared" si="14"/>
        <v>247</v>
      </c>
      <c r="K20" s="39">
        <f t="shared" si="15"/>
        <v>61.75</v>
      </c>
      <c r="L20" s="39">
        <f t="shared" ref="L20:L42" si="18">IF(AC20&gt;0,((K20-AD20)+(AE20-K21)),IF(K21=0, ,(K20-K21)))</f>
        <v>4</v>
      </c>
      <c r="M20" s="148">
        <f t="shared" si="17"/>
        <v>24196</v>
      </c>
      <c r="N20" s="39">
        <f t="shared" si="10"/>
        <v>967.84</v>
      </c>
      <c r="O20" s="39">
        <f t="shared" si="11"/>
        <v>511.98736000000002</v>
      </c>
      <c r="P20" s="42">
        <f t="shared" si="12"/>
        <v>4920.1985296000003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44426</v>
      </c>
      <c r="B21" s="41">
        <v>55</v>
      </c>
      <c r="C21" s="39">
        <f t="shared" si="6"/>
        <v>7</v>
      </c>
      <c r="D21" s="41">
        <v>56</v>
      </c>
      <c r="E21" s="39">
        <f t="shared" si="7"/>
        <v>6</v>
      </c>
      <c r="F21" s="41">
        <v>60</v>
      </c>
      <c r="G21" s="39">
        <f t="shared" si="8"/>
        <v>0</v>
      </c>
      <c r="H21" s="41">
        <v>60</v>
      </c>
      <c r="I21" s="39">
        <f t="shared" si="13"/>
        <v>0</v>
      </c>
      <c r="J21" s="39">
        <f t="shared" si="14"/>
        <v>231</v>
      </c>
      <c r="K21" s="39">
        <f t="shared" si="15"/>
        <v>57.75</v>
      </c>
      <c r="L21" s="39">
        <f>IF(AC21&gt;0,((K21-AD21)+(AE21-K22)),IF(K22=0, ,(K21-K22)))</f>
        <v>3.25</v>
      </c>
      <c r="M21" s="148">
        <f t="shared" si="17"/>
        <v>24196</v>
      </c>
      <c r="N21" s="39">
        <f t="shared" si="10"/>
        <v>786.37</v>
      </c>
      <c r="O21" s="39">
        <f t="shared" si="11"/>
        <v>415.98973000000001</v>
      </c>
      <c r="P21" s="42">
        <f t="shared" si="12"/>
        <v>3997.6613052999996</v>
      </c>
      <c r="Q21" s="39">
        <v>2227</v>
      </c>
      <c r="R21" s="39">
        <v>48</v>
      </c>
      <c r="S21" s="39">
        <v>85</v>
      </c>
      <c r="T21" s="39">
        <v>2163</v>
      </c>
      <c r="U21" s="39">
        <v>50</v>
      </c>
      <c r="V21" s="39">
        <v>85</v>
      </c>
      <c r="W21" s="39">
        <v>1932</v>
      </c>
      <c r="X21" s="39">
        <v>60</v>
      </c>
      <c r="Y21" s="39">
        <v>85</v>
      </c>
      <c r="Z21" s="39">
        <v>1944</v>
      </c>
      <c r="AA21" s="39">
        <v>60</v>
      </c>
      <c r="AB21" s="39">
        <v>85</v>
      </c>
      <c r="AC21" s="39">
        <f t="shared" si="3"/>
        <v>8266</v>
      </c>
      <c r="AD21" s="38">
        <f t="shared" si="4"/>
        <v>54.5</v>
      </c>
      <c r="AE21" s="38">
        <f t="shared" si="5"/>
        <v>85</v>
      </c>
    </row>
    <row r="22" spans="1:31" ht="32.25" customHeight="1" x14ac:dyDescent="0.3">
      <c r="A22" s="40">
        <v>44427</v>
      </c>
      <c r="B22" s="41">
        <v>85</v>
      </c>
      <c r="C22" s="39">
        <f t="shared" si="6"/>
        <v>1</v>
      </c>
      <c r="D22" s="41">
        <v>85</v>
      </c>
      <c r="E22" s="39">
        <f t="shared" si="7"/>
        <v>0</v>
      </c>
      <c r="F22" s="41">
        <v>85</v>
      </c>
      <c r="G22" s="39">
        <f t="shared" si="8"/>
        <v>1</v>
      </c>
      <c r="H22" s="41">
        <v>85</v>
      </c>
      <c r="I22" s="39">
        <f t="shared" si="13"/>
        <v>1</v>
      </c>
      <c r="J22" s="39">
        <f t="shared" si="14"/>
        <v>340</v>
      </c>
      <c r="K22" s="39">
        <f t="shared" si="15"/>
        <v>85</v>
      </c>
      <c r="L22" s="39">
        <f>IF(AC22&gt;0,((K22-AD22)+(AE22-K23)),IF(K23=0, ,(K22-K23)))</f>
        <v>0.75</v>
      </c>
      <c r="M22" s="148">
        <f t="shared" si="17"/>
        <v>24196</v>
      </c>
      <c r="N22" s="39">
        <f t="shared" si="10"/>
        <v>181.47</v>
      </c>
      <c r="O22" s="39">
        <f t="shared" si="11"/>
        <v>95.997630000000001</v>
      </c>
      <c r="P22" s="42">
        <f t="shared" si="12"/>
        <v>922.53722429999993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44428</v>
      </c>
      <c r="B23" s="41">
        <v>84</v>
      </c>
      <c r="C23" s="39">
        <f t="shared" si="6"/>
        <v>4</v>
      </c>
      <c r="D23" s="41">
        <v>85</v>
      </c>
      <c r="E23" s="39">
        <f t="shared" si="7"/>
        <v>3</v>
      </c>
      <c r="F23" s="41">
        <v>84</v>
      </c>
      <c r="G23" s="39">
        <f t="shared" si="8"/>
        <v>1</v>
      </c>
      <c r="H23" s="41">
        <v>84</v>
      </c>
      <c r="I23" s="39">
        <f t="shared" si="13"/>
        <v>3</v>
      </c>
      <c r="J23" s="39">
        <f t="shared" si="14"/>
        <v>337</v>
      </c>
      <c r="K23" s="39">
        <f t="shared" si="15"/>
        <v>84.25</v>
      </c>
      <c r="L23" s="39">
        <f t="shared" si="18"/>
        <v>2.75</v>
      </c>
      <c r="M23" s="148">
        <f t="shared" si="17"/>
        <v>24196</v>
      </c>
      <c r="N23" s="39">
        <f t="shared" si="10"/>
        <v>665.39</v>
      </c>
      <c r="O23" s="39">
        <f t="shared" si="11"/>
        <v>351.99131</v>
      </c>
      <c r="P23" s="42">
        <f t="shared" si="12"/>
        <v>3382.6364890999998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44429</v>
      </c>
      <c r="B24" s="41">
        <v>80</v>
      </c>
      <c r="C24" s="39">
        <f t="shared" si="6"/>
        <v>1</v>
      </c>
      <c r="D24" s="41">
        <v>82</v>
      </c>
      <c r="E24" s="39">
        <f t="shared" si="7"/>
        <v>1</v>
      </c>
      <c r="F24" s="41">
        <v>83</v>
      </c>
      <c r="G24" s="39">
        <f t="shared" si="8"/>
        <v>2</v>
      </c>
      <c r="H24" s="41">
        <v>81</v>
      </c>
      <c r="I24" s="39">
        <f t="shared" si="13"/>
        <v>0</v>
      </c>
      <c r="J24" s="39">
        <f t="shared" si="14"/>
        <v>326</v>
      </c>
      <c r="K24" s="39">
        <f t="shared" si="15"/>
        <v>81.5</v>
      </c>
      <c r="L24" s="39">
        <f t="shared" si="18"/>
        <v>1</v>
      </c>
      <c r="M24" s="148">
        <f t="shared" si="17"/>
        <v>24196</v>
      </c>
      <c r="N24" s="39">
        <f t="shared" si="10"/>
        <v>241.96</v>
      </c>
      <c r="O24" s="39">
        <f t="shared" si="11"/>
        <v>127.99684000000001</v>
      </c>
      <c r="P24" s="42">
        <f t="shared" si="12"/>
        <v>1230.0496324000001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44430</v>
      </c>
      <c r="B25" s="41">
        <v>79</v>
      </c>
      <c r="C25" s="39">
        <f t="shared" si="6"/>
        <v>1</v>
      </c>
      <c r="D25" s="41">
        <v>81</v>
      </c>
      <c r="E25" s="39">
        <f t="shared" si="7"/>
        <v>1</v>
      </c>
      <c r="F25" s="41">
        <v>81</v>
      </c>
      <c r="G25" s="39">
        <f t="shared" si="8"/>
        <v>1</v>
      </c>
      <c r="H25" s="41">
        <v>81</v>
      </c>
      <c r="I25" s="39">
        <f t="shared" si="13"/>
        <v>1</v>
      </c>
      <c r="J25" s="39">
        <f t="shared" si="14"/>
        <v>322</v>
      </c>
      <c r="K25" s="39">
        <f t="shared" si="15"/>
        <v>80.5</v>
      </c>
      <c r="L25" s="39">
        <f t="shared" si="18"/>
        <v>1</v>
      </c>
      <c r="M25" s="148">
        <f t="shared" si="17"/>
        <v>24196</v>
      </c>
      <c r="N25" s="39">
        <f t="shared" si="10"/>
        <v>241.96</v>
      </c>
      <c r="O25" s="39">
        <f t="shared" si="11"/>
        <v>127.99684000000001</v>
      </c>
      <c r="P25" s="42">
        <f t="shared" si="12"/>
        <v>1230.0496324000001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44431</v>
      </c>
      <c r="B26" s="41">
        <v>78</v>
      </c>
      <c r="C26" s="39">
        <f t="shared" si="6"/>
        <v>2</v>
      </c>
      <c r="D26" s="41">
        <v>80</v>
      </c>
      <c r="E26" s="39">
        <f t="shared" si="7"/>
        <v>1</v>
      </c>
      <c r="F26" s="41">
        <v>80</v>
      </c>
      <c r="G26" s="39">
        <f t="shared" si="8"/>
        <v>2</v>
      </c>
      <c r="H26" s="41">
        <v>80</v>
      </c>
      <c r="I26" s="39">
        <f t="shared" si="13"/>
        <v>1</v>
      </c>
      <c r="J26" s="39">
        <f t="shared" si="14"/>
        <v>318</v>
      </c>
      <c r="K26" s="39">
        <f t="shared" si="15"/>
        <v>79.5</v>
      </c>
      <c r="L26" s="39">
        <f t="shared" si="18"/>
        <v>1.5</v>
      </c>
      <c r="M26" s="148">
        <f t="shared" si="17"/>
        <v>24196</v>
      </c>
      <c r="N26" s="39">
        <f t="shared" si="10"/>
        <v>362.94</v>
      </c>
      <c r="O26" s="39">
        <f t="shared" si="11"/>
        <v>191.99526</v>
      </c>
      <c r="P26" s="42">
        <f t="shared" si="12"/>
        <v>1845.0744485999999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44432</v>
      </c>
      <c r="B27" s="41">
        <v>76</v>
      </c>
      <c r="C27" s="39">
        <f t="shared" si="6"/>
        <v>1</v>
      </c>
      <c r="D27" s="41">
        <v>79</v>
      </c>
      <c r="E27" s="39">
        <f t="shared" si="7"/>
        <v>2</v>
      </c>
      <c r="F27" s="41">
        <v>78</v>
      </c>
      <c r="G27" s="39">
        <f t="shared" si="8"/>
        <v>2</v>
      </c>
      <c r="H27" s="41">
        <v>79</v>
      </c>
      <c r="I27" s="39">
        <f t="shared" si="13"/>
        <v>2</v>
      </c>
      <c r="J27" s="39">
        <f t="shared" si="14"/>
        <v>312</v>
      </c>
      <c r="K27" s="39">
        <f t="shared" si="15"/>
        <v>78</v>
      </c>
      <c r="L27" s="39">
        <f t="shared" si="18"/>
        <v>1.75</v>
      </c>
      <c r="M27" s="148">
        <f t="shared" si="17"/>
        <v>24196</v>
      </c>
      <c r="N27" s="39">
        <f t="shared" si="10"/>
        <v>423.43</v>
      </c>
      <c r="O27" s="39">
        <f t="shared" si="11"/>
        <v>223.99447000000001</v>
      </c>
      <c r="P27" s="42">
        <f t="shared" si="12"/>
        <v>2152.5868566999998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44433</v>
      </c>
      <c r="B28" s="41">
        <v>75</v>
      </c>
      <c r="C28" s="39">
        <f t="shared" si="6"/>
        <v>3</v>
      </c>
      <c r="D28" s="41">
        <v>77</v>
      </c>
      <c r="E28" s="39">
        <f t="shared" si="7"/>
        <v>2</v>
      </c>
      <c r="F28" s="41">
        <v>76</v>
      </c>
      <c r="G28" s="39">
        <f t="shared" si="8"/>
        <v>1</v>
      </c>
      <c r="H28" s="41">
        <v>77</v>
      </c>
      <c r="I28" s="39">
        <f>IF(AC28&gt;0,((H28-AA28)+(AB28-H29)),IF(H29=0, ,(H28-H29)))</f>
        <v>2</v>
      </c>
      <c r="J28" s="39">
        <f t="shared" si="14"/>
        <v>305</v>
      </c>
      <c r="K28" s="39">
        <f t="shared" si="15"/>
        <v>76.25</v>
      </c>
      <c r="L28" s="39">
        <f t="shared" si="18"/>
        <v>2</v>
      </c>
      <c r="M28" s="148">
        <f t="shared" si="17"/>
        <v>24196</v>
      </c>
      <c r="N28" s="39">
        <f t="shared" si="10"/>
        <v>483.92</v>
      </c>
      <c r="O28" s="39">
        <f t="shared" si="11"/>
        <v>255.99368000000001</v>
      </c>
      <c r="P28" s="42">
        <f t="shared" si="12"/>
        <v>2460.0992648000001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44434</v>
      </c>
      <c r="B29" s="41">
        <v>72</v>
      </c>
      <c r="C29" s="39">
        <f t="shared" si="6"/>
        <v>2</v>
      </c>
      <c r="D29" s="41">
        <v>75</v>
      </c>
      <c r="E29" s="39">
        <f t="shared" si="7"/>
        <v>2</v>
      </c>
      <c r="F29" s="41">
        <v>75</v>
      </c>
      <c r="G29" s="39">
        <f t="shared" si="8"/>
        <v>2</v>
      </c>
      <c r="H29" s="41">
        <v>75</v>
      </c>
      <c r="I29" s="39">
        <f t="shared" si="13"/>
        <v>3</v>
      </c>
      <c r="J29" s="39">
        <f t="shared" si="14"/>
        <v>297</v>
      </c>
      <c r="K29" s="39">
        <f t="shared" si="15"/>
        <v>74.25</v>
      </c>
      <c r="L29" s="39">
        <f t="shared" si="18"/>
        <v>2.25</v>
      </c>
      <c r="M29" s="148">
        <f t="shared" si="17"/>
        <v>24196</v>
      </c>
      <c r="N29" s="39">
        <f t="shared" si="10"/>
        <v>544.41</v>
      </c>
      <c r="O29" s="39">
        <f t="shared" si="11"/>
        <v>287.99288999999999</v>
      </c>
      <c r="P29" s="42">
        <f t="shared" si="12"/>
        <v>2767.6116728999996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44435</v>
      </c>
      <c r="B30" s="41">
        <v>70</v>
      </c>
      <c r="C30" s="39">
        <f t="shared" si="6"/>
        <v>2</v>
      </c>
      <c r="D30" s="41">
        <v>73</v>
      </c>
      <c r="E30" s="39">
        <f t="shared" si="7"/>
        <v>3</v>
      </c>
      <c r="F30" s="41">
        <v>73</v>
      </c>
      <c r="G30" s="39">
        <f t="shared" si="8"/>
        <v>3</v>
      </c>
      <c r="H30" s="41">
        <v>72</v>
      </c>
      <c r="I30" s="39">
        <f t="shared" si="13"/>
        <v>2</v>
      </c>
      <c r="J30" s="39">
        <f t="shared" si="14"/>
        <v>288</v>
      </c>
      <c r="K30" s="39">
        <f t="shared" si="15"/>
        <v>72</v>
      </c>
      <c r="L30" s="39">
        <f t="shared" si="18"/>
        <v>2.5</v>
      </c>
      <c r="M30" s="148">
        <f t="shared" si="17"/>
        <v>24196</v>
      </c>
      <c r="N30" s="39">
        <f t="shared" si="10"/>
        <v>604.9</v>
      </c>
      <c r="O30" s="39">
        <f t="shared" si="11"/>
        <v>319.99209999999999</v>
      </c>
      <c r="P30" s="42">
        <f t="shared" si="12"/>
        <v>3075.1240809999999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 x14ac:dyDescent="0.3">
      <c r="A31" s="40">
        <v>44436</v>
      </c>
      <c r="B31" s="41">
        <v>68</v>
      </c>
      <c r="C31" s="39">
        <f t="shared" si="6"/>
        <v>3</v>
      </c>
      <c r="D31" s="41">
        <v>70</v>
      </c>
      <c r="E31" s="39">
        <f t="shared" si="7"/>
        <v>3</v>
      </c>
      <c r="F31" s="41">
        <v>70</v>
      </c>
      <c r="G31" s="39">
        <f t="shared" si="8"/>
        <v>0</v>
      </c>
      <c r="H31" s="41">
        <v>70</v>
      </c>
      <c r="I31" s="39">
        <f t="shared" si="13"/>
        <v>0</v>
      </c>
      <c r="J31" s="39">
        <f t="shared" si="14"/>
        <v>278</v>
      </c>
      <c r="K31" s="39">
        <f t="shared" si="15"/>
        <v>69.5</v>
      </c>
      <c r="L31" s="39">
        <f t="shared" si="18"/>
        <v>1.5</v>
      </c>
      <c r="M31" s="148">
        <f t="shared" si="17"/>
        <v>24196</v>
      </c>
      <c r="N31" s="39">
        <f t="shared" si="10"/>
        <v>362.94</v>
      </c>
      <c r="O31" s="39">
        <f t="shared" si="11"/>
        <v>191.99526</v>
      </c>
      <c r="P31" s="42">
        <f t="shared" si="12"/>
        <v>1845.0744485999999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 x14ac:dyDescent="0.3">
      <c r="A32" s="40">
        <v>44437</v>
      </c>
      <c r="B32" s="41">
        <v>65</v>
      </c>
      <c r="C32" s="39">
        <f t="shared" si="6"/>
        <v>3</v>
      </c>
      <c r="D32" s="41">
        <v>67</v>
      </c>
      <c r="E32" s="39">
        <f t="shared" si="7"/>
        <v>4</v>
      </c>
      <c r="F32" s="41">
        <v>70</v>
      </c>
      <c r="G32" s="39">
        <f t="shared" si="8"/>
        <v>6</v>
      </c>
      <c r="H32" s="41">
        <v>70</v>
      </c>
      <c r="I32" s="39">
        <f t="shared" si="13"/>
        <v>6</v>
      </c>
      <c r="J32" s="39">
        <f t="shared" si="14"/>
        <v>272</v>
      </c>
      <c r="K32" s="39">
        <f t="shared" si="15"/>
        <v>68</v>
      </c>
      <c r="L32" s="39">
        <f t="shared" si="18"/>
        <v>4.75</v>
      </c>
      <c r="M32" s="148">
        <f t="shared" si="17"/>
        <v>24196</v>
      </c>
      <c r="N32" s="39">
        <f t="shared" si="10"/>
        <v>1149.31</v>
      </c>
      <c r="O32" s="39">
        <f t="shared" si="11"/>
        <v>607.98499000000004</v>
      </c>
      <c r="P32" s="42">
        <f t="shared" si="12"/>
        <v>5842.7357539000004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 x14ac:dyDescent="0.3">
      <c r="A33" s="40">
        <v>44438</v>
      </c>
      <c r="B33" s="41">
        <v>62</v>
      </c>
      <c r="C33" s="39">
        <f t="shared" si="6"/>
        <v>2</v>
      </c>
      <c r="D33" s="41">
        <v>63</v>
      </c>
      <c r="E33" s="39">
        <f t="shared" si="7"/>
        <v>2</v>
      </c>
      <c r="F33" s="41">
        <v>64</v>
      </c>
      <c r="G33" s="39">
        <f t="shared" si="8"/>
        <v>1</v>
      </c>
      <c r="H33" s="41">
        <v>64</v>
      </c>
      <c r="I33" s="39">
        <f t="shared" si="13"/>
        <v>1</v>
      </c>
      <c r="J33" s="39">
        <f t="shared" si="14"/>
        <v>253</v>
      </c>
      <c r="K33" s="39">
        <f t="shared" si="15"/>
        <v>63.25</v>
      </c>
      <c r="L33" s="39">
        <f t="shared" si="18"/>
        <v>1.5</v>
      </c>
      <c r="M33" s="148">
        <f t="shared" si="17"/>
        <v>24196</v>
      </c>
      <c r="N33" s="39">
        <f t="shared" si="10"/>
        <v>362.94</v>
      </c>
      <c r="O33" s="39">
        <f t="shared" si="11"/>
        <v>191.99526</v>
      </c>
      <c r="P33" s="42">
        <f t="shared" si="12"/>
        <v>1845.0744485999999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 x14ac:dyDescent="0.3">
      <c r="A34" s="40">
        <v>44439</v>
      </c>
      <c r="B34" s="41">
        <v>60</v>
      </c>
      <c r="C34" s="39">
        <f t="shared" si="6"/>
        <v>1</v>
      </c>
      <c r="D34" s="41">
        <v>61</v>
      </c>
      <c r="E34" s="39">
        <f t="shared" si="7"/>
        <v>1</v>
      </c>
      <c r="F34" s="41">
        <v>63</v>
      </c>
      <c r="G34" s="39">
        <f t="shared" si="8"/>
        <v>1</v>
      </c>
      <c r="H34" s="41">
        <v>63</v>
      </c>
      <c r="I34" s="39">
        <f t="shared" si="13"/>
        <v>1</v>
      </c>
      <c r="J34" s="39">
        <f>B34+D34+F34+H34</f>
        <v>247</v>
      </c>
      <c r="K34" s="39">
        <f>J34/4</f>
        <v>61.75</v>
      </c>
      <c r="L34" s="39">
        <f>IF(AC34&gt;0,((K34-AD34)+(AE34-K35)),IF(K35=0, ,(K34-K35)))</f>
        <v>1</v>
      </c>
      <c r="M34" s="148">
        <f t="shared" si="17"/>
        <v>24196</v>
      </c>
      <c r="N34" s="39">
        <f t="shared" si="10"/>
        <v>241.96</v>
      </c>
      <c r="O34" s="39">
        <f t="shared" si="11"/>
        <v>127.99684000000001</v>
      </c>
      <c r="P34" s="42">
        <f t="shared" si="12"/>
        <v>1230.0496324000001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 x14ac:dyDescent="0.3">
      <c r="A35" s="40">
        <v>44440</v>
      </c>
      <c r="B35" s="41">
        <v>59</v>
      </c>
      <c r="C35" s="39">
        <f t="shared" si="6"/>
        <v>0</v>
      </c>
      <c r="D35" s="41">
        <v>60</v>
      </c>
      <c r="E35" s="39">
        <f t="shared" si="7"/>
        <v>0</v>
      </c>
      <c r="F35" s="41">
        <v>62</v>
      </c>
      <c r="G35" s="39">
        <f t="shared" si="8"/>
        <v>0</v>
      </c>
      <c r="H35" s="41">
        <v>62</v>
      </c>
      <c r="I35" s="39">
        <f t="shared" si="13"/>
        <v>0</v>
      </c>
      <c r="J35" s="39">
        <f>B35+D35+F35+H35</f>
        <v>243</v>
      </c>
      <c r="K35" s="39">
        <f>J35/4</f>
        <v>60.75</v>
      </c>
      <c r="L35" s="39">
        <f t="shared" si="18"/>
        <v>0</v>
      </c>
      <c r="M35" s="148">
        <f t="shared" si="17"/>
        <v>24196</v>
      </c>
      <c r="N35" s="39">
        <f t="shared" ref="N35:N42" si="22">L35*M35/100</f>
        <v>0</v>
      </c>
      <c r="O35" s="39">
        <f t="shared" ref="O35:O37" si="23">N35*0.529</f>
        <v>0</v>
      </c>
      <c r="P35" s="42">
        <f t="shared" ref="P35:P36" si="24">O35*9.61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3"/>
        <v>0</v>
      </c>
      <c r="J36" s="39">
        <f t="shared" si="14"/>
        <v>0</v>
      </c>
      <c r="K36" s="39">
        <f t="shared" si="15"/>
        <v>0</v>
      </c>
      <c r="L36" s="39">
        <f t="shared" si="18"/>
        <v>0</v>
      </c>
      <c r="M36" s="148">
        <f t="shared" si="17"/>
        <v>24196</v>
      </c>
      <c r="N36" s="39">
        <f t="shared" si="22"/>
        <v>0</v>
      </c>
      <c r="O36" s="39">
        <f t="shared" si="23"/>
        <v>0</v>
      </c>
      <c r="P36" s="42">
        <f t="shared" si="24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4"/>
        <v>0</v>
      </c>
      <c r="K37" s="39">
        <f t="shared" si="15"/>
        <v>0</v>
      </c>
      <c r="L37" s="39">
        <f t="shared" si="18"/>
        <v>0</v>
      </c>
      <c r="M37" s="148">
        <f t="shared" si="17"/>
        <v>24196</v>
      </c>
      <c r="N37" s="39">
        <f t="shared" si="22"/>
        <v>0</v>
      </c>
      <c r="O37" s="39">
        <f t="shared" si="23"/>
        <v>0</v>
      </c>
      <c r="P37" s="42">
        <f t="shared" ref="P37:P40" si="30">O37*9.01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4"/>
        <v>0</v>
      </c>
      <c r="K38" s="39">
        <f t="shared" si="15"/>
        <v>0</v>
      </c>
      <c r="L38" s="39">
        <f t="shared" si="18"/>
        <v>0</v>
      </c>
      <c r="M38" s="148">
        <f t="shared" si="17"/>
        <v>24196</v>
      </c>
      <c r="N38" s="39">
        <f t="shared" si="22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4"/>
        <v>0</v>
      </c>
      <c r="K39" s="39">
        <f t="shared" si="15"/>
        <v>0</v>
      </c>
      <c r="L39" s="39">
        <f t="shared" si="18"/>
        <v>0</v>
      </c>
      <c r="M39" s="148">
        <f t="shared" si="17"/>
        <v>24196</v>
      </c>
      <c r="N39" s="39">
        <f t="shared" si="22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4"/>
        <v>0</v>
      </c>
      <c r="K40" s="39">
        <f t="shared" si="15"/>
        <v>0</v>
      </c>
      <c r="L40" s="39">
        <f t="shared" si="18"/>
        <v>0</v>
      </c>
      <c r="M40" s="148">
        <f t="shared" si="17"/>
        <v>24196</v>
      </c>
      <c r="N40" s="39">
        <f t="shared" si="22"/>
        <v>0</v>
      </c>
      <c r="O40" s="39">
        <f>N40*0.53</f>
        <v>0</v>
      </c>
      <c r="P40" s="42">
        <f t="shared" si="3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4"/>
        <v>0</v>
      </c>
      <c r="K41" s="39">
        <f t="shared" si="15"/>
        <v>0</v>
      </c>
      <c r="L41" s="39">
        <f t="shared" si="18"/>
        <v>0</v>
      </c>
      <c r="M41" s="148">
        <f t="shared" si="17"/>
        <v>24196</v>
      </c>
      <c r="N41" s="39">
        <f t="shared" si="22"/>
        <v>0</v>
      </c>
      <c r="O41" s="39">
        <f>N41*0.53</f>
        <v>0</v>
      </c>
      <c r="P41" s="42">
        <f t="shared" ref="P41:P42" si="31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4"/>
        <v>0</v>
      </c>
      <c r="K42" s="39">
        <f t="shared" si="15"/>
        <v>0</v>
      </c>
      <c r="L42" s="39">
        <f t="shared" si="18"/>
        <v>0</v>
      </c>
      <c r="M42" s="148">
        <f t="shared" si="17"/>
        <v>24196</v>
      </c>
      <c r="N42" s="39">
        <f t="shared" si="22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14941.029999999997</v>
      </c>
      <c r="O43" s="39">
        <f>N43*0.529</f>
        <v>7903.804869999999</v>
      </c>
      <c r="P43" s="42">
        <f>O43*9.61</f>
        <v>75955.564800699984</v>
      </c>
      <c r="Q43" s="289">
        <f>SUM(Q4:Q42)</f>
        <v>4134</v>
      </c>
      <c r="R43" s="290"/>
      <c r="S43" s="291"/>
      <c r="T43" s="292">
        <f>SUM(T4:T42)</f>
        <v>4302</v>
      </c>
      <c r="U43" s="290"/>
      <c r="V43" s="291"/>
      <c r="W43" s="292">
        <f>SUM(W4:W42)</f>
        <v>4112</v>
      </c>
      <c r="X43" s="290"/>
      <c r="Y43" s="291"/>
      <c r="Z43" s="292">
        <f>SUM(Z4:Z42)</f>
        <v>4141</v>
      </c>
      <c r="AA43" s="290"/>
      <c r="AB43" s="291"/>
      <c r="AC43" s="39">
        <f t="shared" si="20"/>
        <v>16689</v>
      </c>
    </row>
    <row r="44" spans="1:31" ht="35.25" customHeight="1" thickBot="1" x14ac:dyDescent="0.35">
      <c r="B44" s="298"/>
      <c r="C44" s="299"/>
      <c r="D44" s="299"/>
      <c r="E44" s="299"/>
      <c r="F44" s="299"/>
      <c r="G44" s="299"/>
      <c r="H44" s="299"/>
      <c r="I44" s="300"/>
      <c r="J44" s="37"/>
      <c r="K44" s="37"/>
      <c r="L44" s="37"/>
      <c r="M44" s="37"/>
      <c r="N44" s="37"/>
      <c r="O44" s="37"/>
      <c r="P44" s="37"/>
      <c r="Q44" s="301">
        <f>Q43+T43+W43+Z43</f>
        <v>16689</v>
      </c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3"/>
      <c r="AC44" s="39">
        <f>Q44+T44+W44+Z44</f>
        <v>16689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5" t="s">
        <v>85</v>
      </c>
      <c r="I47" s="286"/>
      <c r="J47" s="287"/>
      <c r="K47" s="45">
        <f>N43</f>
        <v>14941.029999999997</v>
      </c>
      <c r="L47" s="46">
        <f>O43</f>
        <v>7903.804869999999</v>
      </c>
      <c r="M47" s="46">
        <f>P43</f>
        <v>75955.564800699984</v>
      </c>
    </row>
    <row r="48" spans="1:31" ht="54.75" customHeight="1" thickBot="1" x14ac:dyDescent="0.35">
      <c r="H48" s="285" t="s">
        <v>86</v>
      </c>
      <c r="I48" s="286"/>
      <c r="J48" s="287"/>
      <c r="K48" s="43">
        <f>AC44</f>
        <v>16689</v>
      </c>
      <c r="L48" s="44">
        <f>K48*0.529</f>
        <v>8828.4809999999998</v>
      </c>
      <c r="M48" s="44">
        <f>L48*9.61</f>
        <v>84841.702409999998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4"/>
      <c r="B1" s="276"/>
      <c r="C1" s="304" t="s">
        <v>87</v>
      </c>
      <c r="D1" s="305"/>
      <c r="E1" s="305"/>
      <c r="F1" s="305"/>
      <c r="G1" s="305"/>
      <c r="H1" s="310" t="s">
        <v>88</v>
      </c>
      <c r="I1" s="311"/>
      <c r="J1" s="312"/>
    </row>
    <row r="2" spans="1:10" ht="16.5" customHeight="1" thickBot="1" x14ac:dyDescent="0.25">
      <c r="A2" s="277"/>
      <c r="B2" s="279"/>
      <c r="C2" s="306"/>
      <c r="D2" s="307"/>
      <c r="E2" s="307"/>
      <c r="F2" s="307"/>
      <c r="G2" s="307"/>
      <c r="H2" s="313"/>
      <c r="I2" s="314"/>
      <c r="J2" s="315"/>
    </row>
    <row r="3" spans="1:10" ht="15" customHeight="1" x14ac:dyDescent="0.2">
      <c r="A3" s="277"/>
      <c r="B3" s="279"/>
      <c r="C3" s="306"/>
      <c r="D3" s="307"/>
      <c r="E3" s="307"/>
      <c r="F3" s="307"/>
      <c r="G3" s="307"/>
      <c r="H3" s="316" t="s">
        <v>89</v>
      </c>
      <c r="I3" s="317"/>
      <c r="J3" s="318"/>
    </row>
    <row r="4" spans="1:10" ht="15.75" customHeight="1" thickBot="1" x14ac:dyDescent="0.25">
      <c r="A4" s="280"/>
      <c r="B4" s="282"/>
      <c r="C4" s="308"/>
      <c r="D4" s="309"/>
      <c r="E4" s="309"/>
      <c r="F4" s="309"/>
      <c r="G4" s="309"/>
      <c r="H4" s="319"/>
      <c r="I4" s="320"/>
      <c r="J4" s="321"/>
    </row>
    <row r="6" spans="1:10" ht="33" customHeight="1" thickBot="1" x14ac:dyDescent="0.25"/>
    <row r="7" spans="1:10" ht="36.75" thickTop="1" x14ac:dyDescent="0.2">
      <c r="A7" s="322" t="s">
        <v>90</v>
      </c>
      <c r="B7" s="322"/>
      <c r="C7" s="323" t="s">
        <v>91</v>
      </c>
      <c r="D7" s="324"/>
      <c r="E7" s="61" t="s">
        <v>92</v>
      </c>
      <c r="F7" s="61" t="s">
        <v>93</v>
      </c>
      <c r="G7" s="61" t="s">
        <v>94</v>
      </c>
      <c r="H7" s="61" t="s">
        <v>95</v>
      </c>
      <c r="I7" s="325" t="s">
        <v>96</v>
      </c>
      <c r="J7" s="326"/>
    </row>
    <row r="8" spans="1:10" x14ac:dyDescent="0.2">
      <c r="A8" s="327">
        <v>95670781</v>
      </c>
      <c r="B8" s="327"/>
      <c r="C8" s="328">
        <v>44405</v>
      </c>
      <c r="D8" s="329"/>
      <c r="E8" s="113">
        <v>44436</v>
      </c>
      <c r="F8" s="169" t="s">
        <v>97</v>
      </c>
      <c r="G8" s="62"/>
      <c r="H8" s="62"/>
      <c r="I8" s="330"/>
      <c r="J8" s="331"/>
    </row>
    <row r="10" spans="1:10" ht="23.25" customHeight="1" thickBot="1" x14ac:dyDescent="0.25"/>
    <row r="11" spans="1:10" ht="24.75" customHeight="1" thickTop="1" x14ac:dyDescent="0.2">
      <c r="A11" s="332" t="s">
        <v>98</v>
      </c>
      <c r="B11" s="332"/>
      <c r="C11" s="333" t="s">
        <v>99</v>
      </c>
      <c r="D11" s="334"/>
      <c r="E11" s="332" t="s">
        <v>100</v>
      </c>
      <c r="F11" s="332"/>
      <c r="G11" s="333" t="s">
        <v>101</v>
      </c>
      <c r="H11" s="334"/>
      <c r="I11" s="335" t="s">
        <v>102</v>
      </c>
      <c r="J11" s="335"/>
    </row>
    <row r="12" spans="1:10" x14ac:dyDescent="0.2">
      <c r="A12" s="327" t="s">
        <v>103</v>
      </c>
      <c r="B12" s="327"/>
      <c r="C12" s="327">
        <v>3750</v>
      </c>
      <c r="D12" s="327"/>
      <c r="E12" s="327">
        <v>1000</v>
      </c>
      <c r="F12" s="327"/>
      <c r="G12" s="339">
        <v>1106</v>
      </c>
      <c r="H12" s="339"/>
      <c r="I12" s="340"/>
      <c r="J12" s="340"/>
    </row>
    <row r="13" spans="1:10" x14ac:dyDescent="0.2">
      <c r="A13" s="341"/>
      <c r="B13" s="342"/>
      <c r="C13" s="342"/>
      <c r="D13" s="342"/>
      <c r="E13" s="342"/>
      <c r="F13" s="342"/>
      <c r="G13" s="342"/>
      <c r="H13" s="342"/>
      <c r="I13" s="342"/>
      <c r="J13" s="342"/>
    </row>
    <row r="15" spans="1:10" ht="13.5" thickBot="1" x14ac:dyDescent="0.25"/>
    <row r="16" spans="1:10" ht="26.25" thickTop="1" x14ac:dyDescent="0.2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 x14ac:dyDescent="0.2">
      <c r="A17" s="343" t="s">
        <v>110</v>
      </c>
      <c r="B17" s="344"/>
      <c r="C17" s="66">
        <v>18536102</v>
      </c>
      <c r="D17" s="66">
        <v>18279374</v>
      </c>
      <c r="E17" s="67">
        <f>MIN(C17-D17)</f>
        <v>256728</v>
      </c>
      <c r="F17" s="67">
        <f>+E17</f>
        <v>256728</v>
      </c>
      <c r="G17" s="345"/>
      <c r="H17" s="346"/>
      <c r="I17" s="345">
        <f>+E17</f>
        <v>256728</v>
      </c>
      <c r="J17" s="346"/>
    </row>
    <row r="18" spans="1:10" x14ac:dyDescent="0.2">
      <c r="A18" s="343" t="s">
        <v>111</v>
      </c>
      <c r="B18" s="344"/>
      <c r="C18" s="66">
        <v>10909764</v>
      </c>
      <c r="D18" s="66">
        <v>10791230</v>
      </c>
      <c r="E18" s="67">
        <f>MIN(C18-D18)</f>
        <v>118534</v>
      </c>
      <c r="F18" s="67">
        <f>+E18</f>
        <v>118534</v>
      </c>
      <c r="G18" s="345"/>
      <c r="H18" s="346"/>
      <c r="I18" s="345">
        <f>+E18</f>
        <v>118534</v>
      </c>
      <c r="J18" s="346"/>
    </row>
    <row r="19" spans="1:10" x14ac:dyDescent="0.2">
      <c r="A19" s="343" t="s">
        <v>112</v>
      </c>
      <c r="B19" s="344"/>
      <c r="C19" s="66">
        <v>8154716</v>
      </c>
      <c r="D19" s="66">
        <v>8059869</v>
      </c>
      <c r="E19" s="67">
        <f>AVERAGE(C19-D19)</f>
        <v>94847</v>
      </c>
      <c r="F19" s="67">
        <f>+E19</f>
        <v>94847</v>
      </c>
      <c r="G19" s="345"/>
      <c r="H19" s="346"/>
      <c r="I19" s="345">
        <f>+E19</f>
        <v>94847</v>
      </c>
      <c r="J19" s="346"/>
    </row>
    <row r="20" spans="1:10" ht="15" x14ac:dyDescent="0.25">
      <c r="A20" s="347" t="s">
        <v>113</v>
      </c>
      <c r="B20" s="348"/>
      <c r="C20" s="68"/>
      <c r="D20" s="69"/>
      <c r="E20" s="68">
        <f>SUM(E17:E19)</f>
        <v>470109</v>
      </c>
      <c r="F20" s="70"/>
      <c r="G20" s="349"/>
      <c r="H20" s="350"/>
      <c r="I20" s="349"/>
      <c r="J20" s="350"/>
    </row>
    <row r="21" spans="1:10" x14ac:dyDescent="0.2">
      <c r="C21" s="110" t="s">
        <v>18</v>
      </c>
      <c r="D21" t="s">
        <v>114</v>
      </c>
      <c r="G21" s="351"/>
      <c r="H21" s="351"/>
    </row>
    <row r="22" spans="1:10" ht="13.5" thickBot="1" x14ac:dyDescent="0.25">
      <c r="G22" s="352"/>
      <c r="H22" s="352"/>
    </row>
    <row r="23" spans="1:10" ht="13.5" thickTop="1" x14ac:dyDescent="0.2">
      <c r="A23" s="353" t="s">
        <v>115</v>
      </c>
      <c r="B23" s="354"/>
      <c r="C23" s="355"/>
      <c r="D23" s="332" t="s">
        <v>116</v>
      </c>
      <c r="E23" s="332" t="s">
        <v>117</v>
      </c>
      <c r="F23" s="360" t="s">
        <v>118</v>
      </c>
      <c r="G23" s="362" t="s">
        <v>119</v>
      </c>
      <c r="H23" s="362"/>
      <c r="I23" s="363" t="s">
        <v>120</v>
      </c>
      <c r="J23" s="363"/>
    </row>
    <row r="24" spans="1:10" x14ac:dyDescent="0.2">
      <c r="A24" s="356"/>
      <c r="B24" s="357"/>
      <c r="C24" s="358"/>
      <c r="D24" s="359"/>
      <c r="E24" s="359"/>
      <c r="F24" s="361"/>
      <c r="G24" s="168" t="s">
        <v>121</v>
      </c>
      <c r="H24" s="71" t="s">
        <v>122</v>
      </c>
      <c r="I24" s="363"/>
      <c r="J24" s="363"/>
    </row>
    <row r="25" spans="1:10" ht="15" x14ac:dyDescent="0.25">
      <c r="A25" s="364" t="s">
        <v>123</v>
      </c>
      <c r="B25" s="365"/>
      <c r="C25" s="366"/>
      <c r="D25" s="67">
        <f>+E17</f>
        <v>256728</v>
      </c>
      <c r="E25" s="72">
        <v>0.95140000000000002</v>
      </c>
      <c r="F25" s="73">
        <f>PRODUCT(D25*E25)</f>
        <v>244251.01920000001</v>
      </c>
      <c r="G25" s="150">
        <v>14</v>
      </c>
      <c r="H25" s="65">
        <f>PRODUCT(0.14,F25)</f>
        <v>34195.142688000007</v>
      </c>
      <c r="I25" s="367">
        <f>SUM(H25,F25)</f>
        <v>278446.16188800003</v>
      </c>
      <c r="J25" s="368"/>
    </row>
    <row r="26" spans="1:10" ht="15" x14ac:dyDescent="0.25">
      <c r="A26" s="369" t="s">
        <v>124</v>
      </c>
      <c r="B26" s="370"/>
      <c r="C26" s="371"/>
      <c r="D26" s="67">
        <f>+E18</f>
        <v>118534</v>
      </c>
      <c r="E26" s="74">
        <v>0.69850000000000001</v>
      </c>
      <c r="F26" s="73">
        <f>PRODUCT(D26*E26)</f>
        <v>82795.998999999996</v>
      </c>
      <c r="G26">
        <v>14</v>
      </c>
      <c r="H26" s="67">
        <f>PRODUCT(0.14,F26)</f>
        <v>11591.43986</v>
      </c>
      <c r="I26" s="367">
        <f t="shared" ref="I26:I31" si="0">SUM(H26,F26)</f>
        <v>94387.438859999995</v>
      </c>
      <c r="J26" s="368"/>
    </row>
    <row r="27" spans="1:10" ht="15" x14ac:dyDescent="0.25">
      <c r="A27" s="369" t="s">
        <v>125</v>
      </c>
      <c r="B27" s="370"/>
      <c r="C27" s="371"/>
      <c r="D27" s="67">
        <f>+E19</f>
        <v>94847</v>
      </c>
      <c r="E27" s="74">
        <v>1.3304</v>
      </c>
      <c r="F27" s="73">
        <f>PRODUCT(D27*E27)</f>
        <v>126184.4488</v>
      </c>
      <c r="G27">
        <v>14</v>
      </c>
      <c r="H27" s="67">
        <f>PRODUCT(0.14,F27)</f>
        <v>17665.822832000002</v>
      </c>
      <c r="I27" s="367">
        <f>SUM(H27,F27)</f>
        <v>143850.27163199999</v>
      </c>
      <c r="J27" s="368"/>
    </row>
    <row r="28" spans="1:10" ht="15" x14ac:dyDescent="0.25">
      <c r="A28" s="369" t="s">
        <v>126</v>
      </c>
      <c r="B28" s="370"/>
      <c r="C28" s="37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7">
        <f t="shared" si="0"/>
        <v>50025.103799999997</v>
      </c>
      <c r="J28" s="368"/>
    </row>
    <row r="29" spans="1:10" ht="15" x14ac:dyDescent="0.25">
      <c r="A29" s="380" t="s">
        <v>127</v>
      </c>
      <c r="B29" s="381"/>
      <c r="C29" s="382"/>
      <c r="D29" s="75">
        <f>G12-E12</f>
        <v>106</v>
      </c>
      <c r="E29" s="76">
        <f>E28*1.5</f>
        <v>65.822505000000007</v>
      </c>
      <c r="F29" s="77">
        <f>PRODUCT(D29,E29)</f>
        <v>6977.1855300000007</v>
      </c>
      <c r="G29" s="78">
        <v>14</v>
      </c>
      <c r="H29" s="75">
        <f>PRODUCT(0.14,F29)</f>
        <v>976.80597420000015</v>
      </c>
      <c r="I29" s="383">
        <f t="shared" si="0"/>
        <v>7953.9915042000011</v>
      </c>
      <c r="J29" s="384"/>
    </row>
    <row r="30" spans="1:10" ht="15" x14ac:dyDescent="0.25">
      <c r="A30" s="369" t="s">
        <v>128</v>
      </c>
      <c r="B30" s="370"/>
      <c r="C30" s="37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7">
        <f>SUM(H30,F30)</f>
        <v>1009.2</v>
      </c>
      <c r="J30" s="368"/>
    </row>
    <row r="31" spans="1:10" ht="15.75" thickBot="1" x14ac:dyDescent="0.3">
      <c r="A31" s="372" t="s">
        <v>129</v>
      </c>
      <c r="B31" s="373"/>
      <c r="C31" s="374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7">
        <f t="shared" si="0"/>
        <v>1596.44</v>
      </c>
      <c r="J31" s="368"/>
    </row>
    <row r="32" spans="1:10" ht="21" x14ac:dyDescent="0.2">
      <c r="A32" s="375" t="s">
        <v>130</v>
      </c>
      <c r="B32" s="376"/>
      <c r="C32" s="376"/>
      <c r="D32" s="376"/>
      <c r="E32" s="376"/>
      <c r="F32" s="84">
        <f>SUM(F25:F31)</f>
        <v>506423.32253</v>
      </c>
      <c r="G32" s="85"/>
      <c r="H32" s="86"/>
      <c r="I32" s="379">
        <f>SUM(I25:J31)</f>
        <v>577268.60768419993</v>
      </c>
      <c r="J32" s="379"/>
    </row>
    <row r="33" spans="1:10" ht="21.75" thickBot="1" x14ac:dyDescent="0.25">
      <c r="A33" s="377"/>
      <c r="B33" s="378"/>
      <c r="C33" s="378"/>
      <c r="D33" s="378"/>
      <c r="E33" s="378"/>
      <c r="F33" s="87"/>
      <c r="G33" s="88"/>
      <c r="H33" s="89"/>
      <c r="I33" s="379"/>
      <c r="J33" s="379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4"/>
      <c r="B1" s="276"/>
      <c r="C1" s="304" t="s">
        <v>87</v>
      </c>
      <c r="D1" s="305"/>
      <c r="E1" s="305"/>
      <c r="F1" s="305"/>
      <c r="G1" s="305"/>
      <c r="H1" s="310" t="s">
        <v>88</v>
      </c>
      <c r="I1" s="311"/>
      <c r="J1" s="312"/>
    </row>
    <row r="2" spans="1:10" ht="16.5" customHeight="1" thickBot="1" x14ac:dyDescent="0.25">
      <c r="A2" s="277"/>
      <c r="B2" s="279"/>
      <c r="C2" s="306"/>
      <c r="D2" s="307"/>
      <c r="E2" s="307"/>
      <c r="F2" s="307"/>
      <c r="G2" s="307"/>
      <c r="H2" s="313"/>
      <c r="I2" s="314"/>
      <c r="J2" s="315"/>
    </row>
    <row r="3" spans="1:10" ht="15" customHeight="1" x14ac:dyDescent="0.2">
      <c r="A3" s="277"/>
      <c r="B3" s="279"/>
      <c r="C3" s="306"/>
      <c r="D3" s="307"/>
      <c r="E3" s="307"/>
      <c r="F3" s="307"/>
      <c r="G3" s="307"/>
      <c r="H3" s="316" t="s">
        <v>89</v>
      </c>
      <c r="I3" s="317"/>
      <c r="J3" s="318"/>
    </row>
    <row r="4" spans="1:10" ht="15.75" customHeight="1" thickBot="1" x14ac:dyDescent="0.25">
      <c r="A4" s="280"/>
      <c r="B4" s="282"/>
      <c r="C4" s="308"/>
      <c r="D4" s="309"/>
      <c r="E4" s="309"/>
      <c r="F4" s="309"/>
      <c r="G4" s="309"/>
      <c r="H4" s="319"/>
      <c r="I4" s="320"/>
      <c r="J4" s="321"/>
    </row>
    <row r="6" spans="1:10" ht="33" customHeight="1" thickBot="1" x14ac:dyDescent="0.25"/>
    <row r="7" spans="1:10" ht="36.75" thickTop="1" x14ac:dyDescent="0.2">
      <c r="A7" s="322" t="s">
        <v>90</v>
      </c>
      <c r="B7" s="322"/>
      <c r="C7" s="323" t="s">
        <v>91</v>
      </c>
      <c r="D7" s="324"/>
      <c r="E7" s="61" t="s">
        <v>92</v>
      </c>
      <c r="F7" s="61" t="s">
        <v>93</v>
      </c>
      <c r="G7" s="61" t="s">
        <v>94</v>
      </c>
      <c r="H7" s="61" t="s">
        <v>95</v>
      </c>
      <c r="I7" s="325" t="s">
        <v>96</v>
      </c>
      <c r="J7" s="326"/>
    </row>
    <row r="8" spans="1:10" x14ac:dyDescent="0.2">
      <c r="A8" s="327">
        <v>95670781</v>
      </c>
      <c r="B8" s="327"/>
      <c r="C8" s="328">
        <v>44293</v>
      </c>
      <c r="D8" s="329"/>
      <c r="E8" s="113">
        <v>44323</v>
      </c>
      <c r="F8" s="169" t="s">
        <v>131</v>
      </c>
      <c r="G8" s="62"/>
      <c r="H8" s="62"/>
      <c r="I8" s="330"/>
      <c r="J8" s="331"/>
    </row>
    <row r="10" spans="1:10" ht="23.25" customHeight="1" thickBot="1" x14ac:dyDescent="0.25"/>
    <row r="11" spans="1:10" ht="24.75" customHeight="1" thickTop="1" x14ac:dyDescent="0.2">
      <c r="A11" s="332" t="s">
        <v>98</v>
      </c>
      <c r="B11" s="332"/>
      <c r="C11" s="333" t="s">
        <v>99</v>
      </c>
      <c r="D11" s="334"/>
      <c r="E11" s="332" t="s">
        <v>100</v>
      </c>
      <c r="F11" s="332"/>
      <c r="G11" s="333" t="s">
        <v>101</v>
      </c>
      <c r="H11" s="334"/>
      <c r="I11" s="335" t="s">
        <v>102</v>
      </c>
      <c r="J11" s="335"/>
    </row>
    <row r="12" spans="1:10" x14ac:dyDescent="0.2">
      <c r="A12" s="327" t="s">
        <v>103</v>
      </c>
      <c r="B12" s="327"/>
      <c r="C12" s="327">
        <v>3750</v>
      </c>
      <c r="D12" s="327"/>
      <c r="E12" s="327">
        <v>1000</v>
      </c>
      <c r="F12" s="327"/>
      <c r="G12" s="339">
        <v>712</v>
      </c>
      <c r="H12" s="339"/>
      <c r="I12" s="340"/>
      <c r="J12" s="340"/>
    </row>
    <row r="13" spans="1:10" x14ac:dyDescent="0.2">
      <c r="A13" s="341"/>
      <c r="B13" s="342"/>
      <c r="C13" s="342"/>
      <c r="D13" s="342"/>
      <c r="E13" s="342"/>
      <c r="F13" s="342"/>
      <c r="G13" s="342"/>
      <c r="H13" s="342"/>
      <c r="I13" s="342"/>
      <c r="J13" s="342"/>
    </row>
    <row r="15" spans="1:10" ht="13.5" thickBot="1" x14ac:dyDescent="0.25"/>
    <row r="16" spans="1:10" ht="26.25" thickTop="1" x14ac:dyDescent="0.2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 x14ac:dyDescent="0.2">
      <c r="A17" s="343" t="s">
        <v>110</v>
      </c>
      <c r="B17" s="344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5"/>
      <c r="H17" s="346"/>
      <c r="I17" s="345">
        <f>+E17</f>
        <v>7632</v>
      </c>
      <c r="J17" s="346"/>
    </row>
    <row r="18" spans="1:10" x14ac:dyDescent="0.2">
      <c r="A18" s="343" t="s">
        <v>111</v>
      </c>
      <c r="B18" s="344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5"/>
      <c r="H18" s="346"/>
      <c r="I18" s="345">
        <f>+E18</f>
        <v>3388</v>
      </c>
      <c r="J18" s="346"/>
    </row>
    <row r="19" spans="1:10" x14ac:dyDescent="0.2">
      <c r="A19" s="343" t="s">
        <v>112</v>
      </c>
      <c r="B19" s="344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5"/>
      <c r="H19" s="346"/>
      <c r="I19" s="345">
        <f>+E19</f>
        <v>2677</v>
      </c>
      <c r="J19" s="346"/>
    </row>
    <row r="20" spans="1:10" ht="15" x14ac:dyDescent="0.25">
      <c r="A20" s="347" t="s">
        <v>113</v>
      </c>
      <c r="B20" s="348"/>
      <c r="C20" s="68"/>
      <c r="D20" s="69"/>
      <c r="E20" s="68">
        <f>SUM(E17:E19)</f>
        <v>13697</v>
      </c>
      <c r="F20" s="70"/>
      <c r="G20" s="349"/>
      <c r="H20" s="350"/>
      <c r="I20" s="349"/>
      <c r="J20" s="350"/>
    </row>
    <row r="21" spans="1:10" x14ac:dyDescent="0.2">
      <c r="C21" s="110" t="s">
        <v>18</v>
      </c>
      <c r="D21" t="s">
        <v>114</v>
      </c>
      <c r="G21" s="351"/>
      <c r="H21" s="351"/>
    </row>
    <row r="22" spans="1:10" ht="13.5" thickBot="1" x14ac:dyDescent="0.25">
      <c r="G22" s="352"/>
      <c r="H22" s="352"/>
    </row>
    <row r="23" spans="1:10" ht="13.5" thickTop="1" x14ac:dyDescent="0.2">
      <c r="A23" s="353" t="s">
        <v>115</v>
      </c>
      <c r="B23" s="354"/>
      <c r="C23" s="355"/>
      <c r="D23" s="332" t="s">
        <v>116</v>
      </c>
      <c r="E23" s="332" t="s">
        <v>117</v>
      </c>
      <c r="F23" s="360" t="s">
        <v>118</v>
      </c>
      <c r="G23" s="362" t="s">
        <v>119</v>
      </c>
      <c r="H23" s="362"/>
      <c r="I23" s="363" t="s">
        <v>120</v>
      </c>
      <c r="J23" s="363"/>
    </row>
    <row r="24" spans="1:10" x14ac:dyDescent="0.2">
      <c r="A24" s="356"/>
      <c r="B24" s="357"/>
      <c r="C24" s="358"/>
      <c r="D24" s="359"/>
      <c r="E24" s="359"/>
      <c r="F24" s="361"/>
      <c r="G24" s="168" t="s">
        <v>121</v>
      </c>
      <c r="H24" s="71" t="s">
        <v>122</v>
      </c>
      <c r="I24" s="363"/>
      <c r="J24" s="363"/>
    </row>
    <row r="25" spans="1:10" ht="15" x14ac:dyDescent="0.25">
      <c r="A25" s="364" t="s">
        <v>123</v>
      </c>
      <c r="B25" s="365"/>
      <c r="C25" s="366"/>
      <c r="D25" s="67">
        <f>+E17</f>
        <v>7632</v>
      </c>
      <c r="E25" s="72">
        <v>0.95140000000000002</v>
      </c>
      <c r="F25" s="73">
        <f>PRODUCT(D25*E25)</f>
        <v>7261.0848000000005</v>
      </c>
      <c r="G25" s="150">
        <v>14</v>
      </c>
      <c r="H25" s="65">
        <f>PRODUCT(0.14,F25)</f>
        <v>1016.5518720000001</v>
      </c>
      <c r="I25" s="367">
        <f>SUM(H25,F25)</f>
        <v>8277.6366720000005</v>
      </c>
      <c r="J25" s="368"/>
    </row>
    <row r="26" spans="1:10" ht="15" x14ac:dyDescent="0.25">
      <c r="A26" s="369" t="s">
        <v>124</v>
      </c>
      <c r="B26" s="370"/>
      <c r="C26" s="371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67">
        <f t="shared" ref="I26:I31" si="0">SUM(H26,F26)</f>
        <v>2697.83052</v>
      </c>
      <c r="J26" s="368"/>
    </row>
    <row r="27" spans="1:10" ht="15" x14ac:dyDescent="0.25">
      <c r="A27" s="369" t="s">
        <v>125</v>
      </c>
      <c r="B27" s="370"/>
      <c r="C27" s="371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67">
        <f>SUM(H27,F27)</f>
        <v>4060.0881120000004</v>
      </c>
      <c r="J27" s="368"/>
    </row>
    <row r="28" spans="1:10" ht="15" x14ac:dyDescent="0.25">
      <c r="A28" s="369" t="s">
        <v>126</v>
      </c>
      <c r="B28" s="370"/>
      <c r="C28" s="37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7">
        <f t="shared" si="0"/>
        <v>50025.103799999997</v>
      </c>
      <c r="J28" s="368"/>
    </row>
    <row r="29" spans="1:10" ht="15" x14ac:dyDescent="0.25">
      <c r="A29" s="380" t="s">
        <v>127</v>
      </c>
      <c r="B29" s="381"/>
      <c r="C29" s="382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3">
        <f t="shared" si="0"/>
        <v>0</v>
      </c>
      <c r="J29" s="384"/>
    </row>
    <row r="30" spans="1:10" ht="15" x14ac:dyDescent="0.25">
      <c r="A30" s="369" t="s">
        <v>128</v>
      </c>
      <c r="B30" s="370"/>
      <c r="C30" s="37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7">
        <f>SUM(H30,F30)</f>
        <v>1009.2</v>
      </c>
      <c r="J30" s="368"/>
    </row>
    <row r="31" spans="1:10" ht="15.75" thickBot="1" x14ac:dyDescent="0.3">
      <c r="A31" s="372" t="s">
        <v>129</v>
      </c>
      <c r="B31" s="373"/>
      <c r="C31" s="374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7">
        <f t="shared" si="0"/>
        <v>1596.44</v>
      </c>
      <c r="J31" s="368"/>
    </row>
    <row r="32" spans="1:10" ht="21" x14ac:dyDescent="0.2">
      <c r="A32" s="375" t="s">
        <v>130</v>
      </c>
      <c r="B32" s="376"/>
      <c r="C32" s="376"/>
      <c r="D32" s="376"/>
      <c r="E32" s="376"/>
      <c r="F32" s="84">
        <f>SUM(F25:F31)</f>
        <v>59403.753599999996</v>
      </c>
      <c r="G32" s="85"/>
      <c r="H32" s="86"/>
      <c r="I32" s="379">
        <f>SUM(I25:J31)</f>
        <v>67666.299104000005</v>
      </c>
      <c r="J32" s="379"/>
    </row>
    <row r="33" spans="1:10" ht="21.75" thickBot="1" x14ac:dyDescent="0.25">
      <c r="A33" s="377"/>
      <c r="B33" s="378"/>
      <c r="C33" s="378"/>
      <c r="D33" s="378"/>
      <c r="E33" s="378"/>
      <c r="F33" s="87"/>
      <c r="G33" s="88"/>
      <c r="H33" s="89"/>
      <c r="I33" s="379"/>
      <c r="J33" s="379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5"/>
      <c r="B1" s="304" t="s">
        <v>132</v>
      </c>
      <c r="C1" s="305"/>
      <c r="D1" s="305"/>
      <c r="E1" s="305"/>
      <c r="F1" s="388" t="s">
        <v>88</v>
      </c>
      <c r="G1" s="389"/>
      <c r="H1" s="390"/>
    </row>
    <row r="2" spans="1:8" ht="15.75" customHeight="1" thickBot="1" x14ac:dyDescent="0.25">
      <c r="A2" s="386"/>
      <c r="B2" s="306"/>
      <c r="C2" s="307"/>
      <c r="D2" s="307"/>
      <c r="E2" s="307"/>
      <c r="F2" s="391"/>
      <c r="G2" s="392"/>
      <c r="H2" s="393"/>
    </row>
    <row r="3" spans="1:8" ht="15" customHeight="1" x14ac:dyDescent="0.2">
      <c r="A3" s="386"/>
      <c r="B3" s="306"/>
      <c r="C3" s="307"/>
      <c r="D3" s="307"/>
      <c r="E3" s="307"/>
      <c r="F3" s="388" t="s">
        <v>89</v>
      </c>
      <c r="G3" s="389"/>
      <c r="H3" s="390"/>
    </row>
    <row r="4" spans="1:8" ht="15.75" customHeight="1" thickBot="1" x14ac:dyDescent="0.25">
      <c r="A4" s="387"/>
      <c r="B4" s="308"/>
      <c r="C4" s="309"/>
      <c r="D4" s="309"/>
      <c r="E4" s="309"/>
      <c r="F4" s="394"/>
      <c r="G4" s="395"/>
      <c r="H4" s="39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70"/>
      <c r="B8" s="95" t="s">
        <v>137</v>
      </c>
      <c r="C8" s="96">
        <v>117748.9</v>
      </c>
      <c r="D8" s="97">
        <v>44044</v>
      </c>
      <c r="E8" s="96">
        <v>121259</v>
      </c>
      <c r="F8" s="97">
        <v>44440</v>
      </c>
      <c r="G8" s="98">
        <f>E8-C8</f>
        <v>3510.1000000000058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7" t="s">
        <v>116</v>
      </c>
      <c r="C10" s="398"/>
      <c r="D10" s="399" t="s">
        <v>138</v>
      </c>
      <c r="E10" s="399"/>
      <c r="F10" s="397" t="s">
        <v>139</v>
      </c>
      <c r="G10" s="400"/>
      <c r="H10" s="398"/>
    </row>
    <row r="11" spans="1:8" ht="15" x14ac:dyDescent="0.25">
      <c r="A11" s="102" t="s">
        <v>140</v>
      </c>
      <c r="B11" s="401"/>
      <c r="C11" s="401"/>
      <c r="D11" s="401"/>
      <c r="E11" s="401"/>
      <c r="F11" s="401">
        <v>23</v>
      </c>
      <c r="G11" s="401"/>
      <c r="H11" s="401"/>
    </row>
    <row r="12" spans="1:8" ht="21" x14ac:dyDescent="0.35">
      <c r="A12" s="402" t="s">
        <v>141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142</v>
      </c>
      <c r="B13" s="401">
        <f>G8</f>
        <v>3510.1000000000058</v>
      </c>
      <c r="C13" s="401"/>
      <c r="D13" s="401">
        <v>8.7899999999999991</v>
      </c>
      <c r="E13" s="401"/>
      <c r="F13" s="403">
        <f>PRODUCT(D13,B13)</f>
        <v>30853.77900000005</v>
      </c>
      <c r="G13" s="403"/>
      <c r="H13" s="403"/>
    </row>
    <row r="14" spans="1:8" ht="45" customHeight="1" x14ac:dyDescent="0.2">
      <c r="A14" s="404" t="s">
        <v>143</v>
      </c>
      <c r="B14" s="404"/>
      <c r="C14" s="404"/>
      <c r="D14" s="404"/>
      <c r="E14" s="404"/>
      <c r="F14" s="404"/>
      <c r="G14" s="404"/>
      <c r="H14" s="404"/>
    </row>
    <row r="15" spans="1:8" x14ac:dyDescent="0.2">
      <c r="A15" s="405"/>
      <c r="B15" s="405"/>
      <c r="C15" s="405"/>
      <c r="D15" s="405"/>
      <c r="E15" s="405"/>
      <c r="F15" s="405"/>
      <c r="G15" s="405"/>
      <c r="H15" s="405"/>
    </row>
    <row r="16" spans="1:8" ht="15" x14ac:dyDescent="0.25">
      <c r="A16" s="103" t="s">
        <v>144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 x14ac:dyDescent="0.25">
      <c r="A17" s="103" t="s">
        <v>145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 x14ac:dyDescent="0.25">
      <c r="A18" s="103" t="s">
        <v>146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 x14ac:dyDescent="0.25">
      <c r="A19" s="103" t="s">
        <v>147</v>
      </c>
      <c r="B19" s="401">
        <f>G8</f>
        <v>3510.1000000000058</v>
      </c>
      <c r="C19" s="401"/>
      <c r="D19" s="401">
        <v>2.61</v>
      </c>
      <c r="E19" s="401"/>
      <c r="F19" s="401">
        <f>PRODUCT(D19,B19)</f>
        <v>9161.3610000000153</v>
      </c>
      <c r="G19" s="401"/>
      <c r="H19" s="401"/>
    </row>
    <row r="20" spans="1:8" ht="18.75" x14ac:dyDescent="0.3">
      <c r="A20" s="417" t="s">
        <v>148</v>
      </c>
      <c r="B20" s="418"/>
      <c r="C20" s="418"/>
      <c r="D20" s="418"/>
      <c r="E20" s="419"/>
      <c r="F20" s="420">
        <f>SUM(F11+F13+F16+F17+F18+F19)</f>
        <v>40038.140000000065</v>
      </c>
      <c r="G20" s="420"/>
      <c r="H20" s="420"/>
    </row>
    <row r="21" spans="1:8" ht="15" x14ac:dyDescent="0.25">
      <c r="A21" s="406" t="s">
        <v>149</v>
      </c>
      <c r="B21" s="407"/>
      <c r="C21" s="407"/>
      <c r="D21" s="407"/>
      <c r="E21" s="408"/>
      <c r="F21" s="401">
        <f>PRODUCT(F20,0.07)</f>
        <v>2802.6698000000047</v>
      </c>
      <c r="G21" s="401"/>
      <c r="H21" s="401"/>
    </row>
    <row r="22" spans="1:8" ht="15" x14ac:dyDescent="0.25">
      <c r="A22" s="421" t="s">
        <v>150</v>
      </c>
      <c r="B22" s="422"/>
      <c r="C22" s="422"/>
      <c r="D22" s="422"/>
      <c r="E22" s="423"/>
      <c r="F22" s="401">
        <v>208.26</v>
      </c>
      <c r="G22" s="401"/>
      <c r="H22" s="401"/>
    </row>
    <row r="23" spans="1:8" ht="15.75" x14ac:dyDescent="0.25">
      <c r="A23" s="406" t="s">
        <v>151</v>
      </c>
      <c r="B23" s="407"/>
      <c r="C23" s="407"/>
      <c r="D23" s="407"/>
      <c r="E23" s="408"/>
      <c r="F23" s="409">
        <f>SUM(F21:H22)</f>
        <v>3010.9298000000044</v>
      </c>
      <c r="G23" s="409"/>
      <c r="H23" s="409"/>
    </row>
    <row r="24" spans="1:8" x14ac:dyDescent="0.2">
      <c r="A24" s="410" t="s">
        <v>152</v>
      </c>
      <c r="B24" s="411"/>
      <c r="C24" s="411"/>
      <c r="D24" s="411"/>
      <c r="E24" s="412"/>
      <c r="F24" s="416">
        <f>SUM(F20,F23)</f>
        <v>43049.06980000007</v>
      </c>
      <c r="G24" s="416"/>
      <c r="H24" s="416"/>
    </row>
    <row r="25" spans="1:8" x14ac:dyDescent="0.2">
      <c r="A25" s="413"/>
      <c r="B25" s="414"/>
      <c r="C25" s="414"/>
      <c r="D25" s="414"/>
      <c r="E25" s="415"/>
      <c r="F25" s="416"/>
      <c r="G25" s="416"/>
      <c r="H25" s="416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5"/>
      <c r="B1" s="304" t="s">
        <v>132</v>
      </c>
      <c r="C1" s="305"/>
      <c r="D1" s="305"/>
      <c r="E1" s="305"/>
      <c r="F1" s="388" t="s">
        <v>88</v>
      </c>
      <c r="G1" s="389"/>
      <c r="H1" s="390"/>
    </row>
    <row r="2" spans="1:8" ht="15.75" customHeight="1" thickBot="1" x14ac:dyDescent="0.25">
      <c r="A2" s="386"/>
      <c r="B2" s="306"/>
      <c r="C2" s="307"/>
      <c r="D2" s="307"/>
      <c r="E2" s="307"/>
      <c r="F2" s="391"/>
      <c r="G2" s="392"/>
      <c r="H2" s="393"/>
    </row>
    <row r="3" spans="1:8" ht="15" customHeight="1" x14ac:dyDescent="0.2">
      <c r="A3" s="386"/>
      <c r="B3" s="306"/>
      <c r="C3" s="307"/>
      <c r="D3" s="307"/>
      <c r="E3" s="307"/>
      <c r="F3" s="388" t="s">
        <v>89</v>
      </c>
      <c r="G3" s="389"/>
      <c r="H3" s="390"/>
    </row>
    <row r="4" spans="1:8" ht="15.75" customHeight="1" thickBot="1" x14ac:dyDescent="0.25">
      <c r="A4" s="387"/>
      <c r="B4" s="308"/>
      <c r="C4" s="309"/>
      <c r="D4" s="309"/>
      <c r="E4" s="309"/>
      <c r="F4" s="394"/>
      <c r="G4" s="395"/>
      <c r="H4" s="39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70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7" t="s">
        <v>116</v>
      </c>
      <c r="C10" s="398"/>
      <c r="D10" s="399" t="s">
        <v>138</v>
      </c>
      <c r="E10" s="399"/>
      <c r="F10" s="397" t="s">
        <v>139</v>
      </c>
      <c r="G10" s="400"/>
      <c r="H10" s="398"/>
    </row>
    <row r="11" spans="1:8" ht="15" x14ac:dyDescent="0.25">
      <c r="A11" s="102" t="s">
        <v>140</v>
      </c>
      <c r="B11" s="401"/>
      <c r="C11" s="401"/>
      <c r="D11" s="401"/>
      <c r="E11" s="401"/>
      <c r="F11" s="401">
        <v>23</v>
      </c>
      <c r="G11" s="401"/>
      <c r="H11" s="401"/>
    </row>
    <row r="12" spans="1:8" ht="21" x14ac:dyDescent="0.35">
      <c r="A12" s="402" t="s">
        <v>141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142</v>
      </c>
      <c r="B13" s="401">
        <f>G8</f>
        <v>98</v>
      </c>
      <c r="C13" s="401"/>
      <c r="D13" s="401">
        <v>8.5</v>
      </c>
      <c r="E13" s="401"/>
      <c r="F13" s="403">
        <f>PRODUCT(D13,B13)</f>
        <v>833</v>
      </c>
      <c r="G13" s="403"/>
      <c r="H13" s="403"/>
    </row>
    <row r="14" spans="1:8" ht="45" customHeight="1" x14ac:dyDescent="0.2">
      <c r="A14" s="404" t="s">
        <v>143</v>
      </c>
      <c r="B14" s="404"/>
      <c r="C14" s="404"/>
      <c r="D14" s="404"/>
      <c r="E14" s="404"/>
      <c r="F14" s="404"/>
      <c r="G14" s="404"/>
      <c r="H14" s="404"/>
    </row>
    <row r="15" spans="1:8" x14ac:dyDescent="0.2">
      <c r="A15" s="405"/>
      <c r="B15" s="405"/>
      <c r="C15" s="405"/>
      <c r="D15" s="405"/>
      <c r="E15" s="405"/>
      <c r="F15" s="405"/>
      <c r="G15" s="405"/>
      <c r="H15" s="405"/>
    </row>
    <row r="16" spans="1:8" ht="15" x14ac:dyDescent="0.25">
      <c r="A16" s="103" t="s">
        <v>144</v>
      </c>
      <c r="B16" s="401">
        <v>0</v>
      </c>
      <c r="C16" s="401"/>
      <c r="D16" s="401">
        <v>0</v>
      </c>
      <c r="E16" s="401"/>
      <c r="F16" s="401">
        <f>PRODUCT(D16,B16)</f>
        <v>0</v>
      </c>
      <c r="G16" s="401"/>
      <c r="H16" s="401"/>
    </row>
    <row r="17" spans="1:8" ht="15" x14ac:dyDescent="0.25">
      <c r="A17" s="103" t="s">
        <v>145</v>
      </c>
      <c r="B17" s="401">
        <v>0</v>
      </c>
      <c r="C17" s="401"/>
      <c r="D17" s="401">
        <v>0</v>
      </c>
      <c r="E17" s="401"/>
      <c r="F17" s="401">
        <f>PRODUCT(D17,B17)</f>
        <v>0</v>
      </c>
      <c r="G17" s="401"/>
      <c r="H17" s="401"/>
    </row>
    <row r="18" spans="1:8" ht="15" x14ac:dyDescent="0.25">
      <c r="A18" s="103" t="s">
        <v>146</v>
      </c>
      <c r="B18" s="401">
        <v>0</v>
      </c>
      <c r="C18" s="401"/>
      <c r="D18" s="401">
        <v>0</v>
      </c>
      <c r="E18" s="401"/>
      <c r="F18" s="401">
        <f>PRODUCT(D18,B18)</f>
        <v>0</v>
      </c>
      <c r="G18" s="401"/>
      <c r="H18" s="401"/>
    </row>
    <row r="19" spans="1:8" ht="15" x14ac:dyDescent="0.25">
      <c r="A19" s="103" t="s">
        <v>147</v>
      </c>
      <c r="B19" s="401">
        <v>0</v>
      </c>
      <c r="C19" s="401"/>
      <c r="D19" s="424">
        <v>0</v>
      </c>
      <c r="E19" s="425"/>
      <c r="F19" s="424">
        <v>0</v>
      </c>
      <c r="G19" s="425"/>
      <c r="H19" s="170"/>
    </row>
    <row r="20" spans="1:8" ht="15" x14ac:dyDescent="0.25">
      <c r="A20" s="103" t="s">
        <v>153</v>
      </c>
      <c r="B20" s="401">
        <f>G8</f>
        <v>98</v>
      </c>
      <c r="C20" s="401"/>
      <c r="D20" s="401">
        <v>2.54</v>
      </c>
      <c r="E20" s="401"/>
      <c r="F20" s="401">
        <f>PRODUCT(D20,B20)</f>
        <v>248.92000000000002</v>
      </c>
      <c r="G20" s="401"/>
      <c r="H20" s="401"/>
    </row>
    <row r="21" spans="1:8" ht="18.75" x14ac:dyDescent="0.3">
      <c r="A21" s="417" t="s">
        <v>148</v>
      </c>
      <c r="B21" s="418"/>
      <c r="C21" s="418"/>
      <c r="D21" s="418"/>
      <c r="E21" s="419"/>
      <c r="F21" s="420">
        <f>SUM(F11+F13+F16+F17+F18+F20)</f>
        <v>1104.92</v>
      </c>
      <c r="G21" s="420"/>
      <c r="H21" s="420"/>
    </row>
    <row r="22" spans="1:8" ht="15" x14ac:dyDescent="0.25">
      <c r="A22" s="406" t="s">
        <v>149</v>
      </c>
      <c r="B22" s="407"/>
      <c r="C22" s="407"/>
      <c r="D22" s="407"/>
      <c r="E22" s="408"/>
      <c r="F22" s="401">
        <f>PRODUCT(F21,0.07)</f>
        <v>77.344400000000007</v>
      </c>
      <c r="G22" s="401"/>
      <c r="H22" s="401"/>
    </row>
    <row r="23" spans="1:8" ht="15" x14ac:dyDescent="0.25">
      <c r="A23" s="421" t="s">
        <v>150</v>
      </c>
      <c r="B23" s="422"/>
      <c r="C23" s="422"/>
      <c r="D23" s="422"/>
      <c r="E23" s="423"/>
      <c r="F23" s="401">
        <v>208.26</v>
      </c>
      <c r="G23" s="401"/>
      <c r="H23" s="401"/>
    </row>
    <row r="24" spans="1:8" ht="15.75" x14ac:dyDescent="0.25">
      <c r="A24" s="406" t="s">
        <v>151</v>
      </c>
      <c r="B24" s="407"/>
      <c r="C24" s="407"/>
      <c r="D24" s="407"/>
      <c r="E24" s="408"/>
      <c r="F24" s="409">
        <f>SUM(F22:H23)</f>
        <v>285.6044</v>
      </c>
      <c r="G24" s="409"/>
      <c r="H24" s="409"/>
    </row>
    <row r="25" spans="1:8" x14ac:dyDescent="0.2">
      <c r="A25" s="410" t="s">
        <v>152</v>
      </c>
      <c r="B25" s="411"/>
      <c r="C25" s="411"/>
      <c r="D25" s="411"/>
      <c r="E25" s="412"/>
      <c r="F25" s="416">
        <f>SUM(F21,F24)</f>
        <v>1390.5244</v>
      </c>
      <c r="G25" s="416"/>
      <c r="H25" s="416"/>
    </row>
    <row r="26" spans="1:8" x14ac:dyDescent="0.2">
      <c r="A26" s="413"/>
      <c r="B26" s="414"/>
      <c r="C26" s="414"/>
      <c r="D26" s="414"/>
      <c r="E26" s="415"/>
      <c r="F26" s="416"/>
      <c r="G26" s="416"/>
      <c r="H26" s="416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5"/>
      <c r="B1" s="304" t="s">
        <v>154</v>
      </c>
      <c r="C1" s="305"/>
      <c r="D1" s="305"/>
      <c r="E1" s="305"/>
      <c r="F1" s="388" t="s">
        <v>88</v>
      </c>
      <c r="G1" s="389"/>
      <c r="H1" s="390"/>
    </row>
    <row r="2" spans="1:8" ht="15.75" customHeight="1" thickBot="1" x14ac:dyDescent="0.25">
      <c r="A2" s="386"/>
      <c r="B2" s="306"/>
      <c r="C2" s="307"/>
      <c r="D2" s="307"/>
      <c r="E2" s="307"/>
      <c r="F2" s="391"/>
      <c r="G2" s="392"/>
      <c r="H2" s="393"/>
    </row>
    <row r="3" spans="1:8" ht="15" customHeight="1" x14ac:dyDescent="0.2">
      <c r="A3" s="386"/>
      <c r="B3" s="306"/>
      <c r="C3" s="307"/>
      <c r="D3" s="307"/>
      <c r="E3" s="307"/>
      <c r="F3" s="388" t="s">
        <v>89</v>
      </c>
      <c r="G3" s="389"/>
      <c r="H3" s="390"/>
    </row>
    <row r="4" spans="1:8" ht="15.75" customHeight="1" thickBot="1" x14ac:dyDescent="0.25">
      <c r="A4" s="387"/>
      <c r="B4" s="308"/>
      <c r="C4" s="309"/>
      <c r="D4" s="309"/>
      <c r="E4" s="309"/>
      <c r="F4" s="394"/>
      <c r="G4" s="395"/>
      <c r="H4" s="39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70"/>
      <c r="B8" s="95" t="s">
        <v>137</v>
      </c>
      <c r="C8" s="96">
        <v>2559</v>
      </c>
      <c r="D8" s="97">
        <v>44409</v>
      </c>
      <c r="E8" s="96">
        <v>2560</v>
      </c>
      <c r="F8" s="97">
        <v>44440</v>
      </c>
      <c r="G8" s="98">
        <f>E8-C8</f>
        <v>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7" t="s">
        <v>116</v>
      </c>
      <c r="C10" s="398"/>
      <c r="D10" s="399" t="s">
        <v>138</v>
      </c>
      <c r="E10" s="399"/>
      <c r="F10" s="397" t="s">
        <v>139</v>
      </c>
      <c r="G10" s="400"/>
      <c r="H10" s="398"/>
    </row>
    <row r="11" spans="1:8" ht="15" x14ac:dyDescent="0.25">
      <c r="A11" s="102" t="s">
        <v>140</v>
      </c>
      <c r="B11" s="401"/>
      <c r="C11" s="401"/>
      <c r="D11" s="401"/>
      <c r="E11" s="401"/>
      <c r="F11" s="401">
        <v>15</v>
      </c>
      <c r="G11" s="401"/>
      <c r="H11" s="401"/>
    </row>
    <row r="12" spans="1:8" ht="21" x14ac:dyDescent="0.35">
      <c r="A12" s="402" t="s">
        <v>141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155</v>
      </c>
      <c r="B13" s="401">
        <f>G8</f>
        <v>1</v>
      </c>
      <c r="C13" s="401"/>
      <c r="D13" s="401">
        <v>16.48</v>
      </c>
      <c r="E13" s="401"/>
      <c r="F13" s="403">
        <f>PRODUCT(D13,B13)</f>
        <v>16.48</v>
      </c>
      <c r="G13" s="403"/>
      <c r="H13" s="403"/>
    </row>
    <row r="14" spans="1:8" ht="15" x14ac:dyDescent="0.25">
      <c r="A14" s="102" t="s">
        <v>156</v>
      </c>
      <c r="B14" s="424"/>
      <c r="C14" s="425"/>
      <c r="D14" s="424"/>
      <c r="E14" s="425"/>
      <c r="F14" s="424"/>
      <c r="G14" s="425"/>
      <c r="H14" s="111"/>
    </row>
    <row r="15" spans="1:8" ht="15" x14ac:dyDescent="0.25">
      <c r="A15" s="102" t="s">
        <v>157</v>
      </c>
      <c r="B15" s="424"/>
      <c r="C15" s="425"/>
      <c r="D15" s="424"/>
      <c r="E15" s="425"/>
      <c r="F15" s="424"/>
      <c r="G15" s="425"/>
      <c r="H15" s="111"/>
    </row>
    <row r="16" spans="1:8" ht="15" x14ac:dyDescent="0.25">
      <c r="A16" s="102" t="s">
        <v>158</v>
      </c>
      <c r="B16" s="424"/>
      <c r="C16" s="425"/>
      <c r="D16" s="424"/>
      <c r="E16" s="425"/>
      <c r="F16" s="424"/>
      <c r="G16" s="425"/>
      <c r="H16" s="111"/>
    </row>
    <row r="17" spans="1:8" ht="15" x14ac:dyDescent="0.25">
      <c r="A17" s="102" t="s">
        <v>159</v>
      </c>
      <c r="B17" s="424"/>
      <c r="C17" s="425"/>
      <c r="D17" s="424"/>
      <c r="E17" s="425"/>
      <c r="F17" s="424"/>
      <c r="G17" s="425"/>
      <c r="H17" s="111"/>
    </row>
    <row r="18" spans="1:8" ht="45" customHeight="1" x14ac:dyDescent="0.2">
      <c r="A18" s="404" t="s">
        <v>143</v>
      </c>
      <c r="B18" s="404"/>
      <c r="C18" s="404"/>
      <c r="D18" s="404"/>
      <c r="E18" s="404"/>
      <c r="F18" s="404"/>
      <c r="G18" s="404"/>
      <c r="H18" s="404"/>
    </row>
    <row r="19" spans="1:8" x14ac:dyDescent="0.2">
      <c r="A19" s="405"/>
      <c r="B19" s="405"/>
      <c r="C19" s="405"/>
      <c r="D19" s="405"/>
      <c r="E19" s="405"/>
      <c r="F19" s="405"/>
      <c r="G19" s="405"/>
      <c r="H19" s="405"/>
    </row>
    <row r="20" spans="1:8" ht="15" x14ac:dyDescent="0.25">
      <c r="A20" s="103" t="s">
        <v>144</v>
      </c>
      <c r="B20" s="401">
        <v>0</v>
      </c>
      <c r="C20" s="401"/>
      <c r="D20" s="401">
        <v>0</v>
      </c>
      <c r="E20" s="401"/>
      <c r="F20" s="401">
        <f>PRODUCT(D20,B20)</f>
        <v>0</v>
      </c>
      <c r="G20" s="401"/>
      <c r="H20" s="401"/>
    </row>
    <row r="21" spans="1:8" ht="15" x14ac:dyDescent="0.25">
      <c r="A21" s="103" t="s">
        <v>145</v>
      </c>
      <c r="B21" s="401">
        <v>0</v>
      </c>
      <c r="C21" s="401"/>
      <c r="D21" s="401">
        <v>0</v>
      </c>
      <c r="E21" s="401"/>
      <c r="F21" s="401">
        <f>PRODUCT(D21,B21)</f>
        <v>0</v>
      </c>
      <c r="G21" s="401"/>
      <c r="H21" s="401"/>
    </row>
    <row r="22" spans="1:8" ht="15" x14ac:dyDescent="0.25">
      <c r="A22" s="103" t="s">
        <v>146</v>
      </c>
      <c r="B22" s="401">
        <v>0</v>
      </c>
      <c r="C22" s="401"/>
      <c r="D22" s="401">
        <v>0</v>
      </c>
      <c r="E22" s="401"/>
      <c r="F22" s="401">
        <f>PRODUCT(D22,B22)</f>
        <v>0</v>
      </c>
      <c r="G22" s="401"/>
      <c r="H22" s="401"/>
    </row>
    <row r="23" spans="1:8" ht="15" x14ac:dyDescent="0.25">
      <c r="A23" s="103" t="s">
        <v>147</v>
      </c>
      <c r="B23" s="401">
        <f>G8</f>
        <v>1</v>
      </c>
      <c r="C23" s="401"/>
      <c r="D23" s="401">
        <v>0</v>
      </c>
      <c r="E23" s="401"/>
      <c r="F23" s="401">
        <f>PRODUCT(D23,B23)</f>
        <v>0</v>
      </c>
      <c r="G23" s="401"/>
      <c r="H23" s="401"/>
    </row>
    <row r="24" spans="1:8" ht="15" x14ac:dyDescent="0.25">
      <c r="A24" s="103" t="s">
        <v>153</v>
      </c>
      <c r="B24" s="424">
        <v>0</v>
      </c>
      <c r="C24" s="425"/>
      <c r="D24" s="424">
        <v>2.54</v>
      </c>
      <c r="E24" s="425"/>
      <c r="F24" s="424">
        <f>B24*D24</f>
        <v>0</v>
      </c>
      <c r="G24" s="425"/>
      <c r="H24" s="170"/>
    </row>
    <row r="25" spans="1:8" ht="18.75" x14ac:dyDescent="0.3">
      <c r="A25" s="417" t="s">
        <v>148</v>
      </c>
      <c r="B25" s="418"/>
      <c r="C25" s="418"/>
      <c r="D25" s="418"/>
      <c r="E25" s="419"/>
      <c r="F25" s="426">
        <f>SUM(F11+F13+F20+F21+F22+F23)</f>
        <v>31.48</v>
      </c>
      <c r="G25" s="420"/>
      <c r="H25" s="420"/>
    </row>
    <row r="26" spans="1:8" ht="15" x14ac:dyDescent="0.25">
      <c r="A26" s="406" t="s">
        <v>149</v>
      </c>
      <c r="B26" s="407"/>
      <c r="C26" s="407"/>
      <c r="D26" s="407"/>
      <c r="E26" s="408"/>
      <c r="F26" s="401">
        <v>63.63</v>
      </c>
      <c r="G26" s="401"/>
      <c r="H26" s="401"/>
    </row>
    <row r="27" spans="1:8" ht="15" x14ac:dyDescent="0.25">
      <c r="A27" s="421" t="s">
        <v>150</v>
      </c>
      <c r="B27" s="422"/>
      <c r="C27" s="422"/>
      <c r="D27" s="422"/>
      <c r="E27" s="423"/>
      <c r="F27" s="401">
        <v>2.4300000000000002</v>
      </c>
      <c r="G27" s="401"/>
      <c r="H27" s="401"/>
    </row>
    <row r="28" spans="1:8" ht="15.75" x14ac:dyDescent="0.25">
      <c r="A28" s="406" t="s">
        <v>151</v>
      </c>
      <c r="B28" s="407"/>
      <c r="C28" s="407"/>
      <c r="D28" s="407"/>
      <c r="E28" s="408"/>
      <c r="F28" s="409">
        <f>SUM(F26:H27)</f>
        <v>66.06</v>
      </c>
      <c r="G28" s="409"/>
      <c r="H28" s="409"/>
    </row>
    <row r="29" spans="1:8" x14ac:dyDescent="0.2">
      <c r="A29" s="410" t="s">
        <v>152</v>
      </c>
      <c r="B29" s="411"/>
      <c r="C29" s="411"/>
      <c r="D29" s="411"/>
      <c r="E29" s="412"/>
      <c r="F29" s="416">
        <f>SUM(F25,F28)</f>
        <v>97.54</v>
      </c>
      <c r="G29" s="416"/>
      <c r="H29" s="416"/>
    </row>
    <row r="30" spans="1:8" x14ac:dyDescent="0.2">
      <c r="A30" s="413"/>
      <c r="B30" s="414"/>
      <c r="C30" s="414"/>
      <c r="D30" s="414"/>
      <c r="E30" s="415"/>
      <c r="F30" s="416"/>
      <c r="G30" s="416"/>
      <c r="H30" s="416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1" zoomScaleNormal="100" workbookViewId="0">
      <selection activeCell="J24" sqref="J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7" t="s">
        <v>160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">
      <c r="B8" s="106" t="s">
        <v>173</v>
      </c>
      <c r="C8" s="433"/>
      <c r="D8" s="434"/>
      <c r="E8" s="434"/>
      <c r="F8" s="434"/>
      <c r="G8" s="434"/>
      <c r="H8" s="434"/>
      <c r="I8" s="434"/>
      <c r="J8" s="434"/>
      <c r="K8" s="435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/>
      <c r="L14" s="104"/>
      <c r="M14" s="104"/>
      <c r="N14" s="104"/>
    </row>
    <row r="15" spans="2:14" ht="21" thickBot="1" x14ac:dyDescent="0.35">
      <c r="C15" s="430" t="s">
        <v>180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4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 x14ac:dyDescent="0.2">
      <c r="B18" s="106" t="s">
        <v>173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49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7" t="s">
        <v>181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6" spans="2:14" ht="21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">
      <c r="B8" s="106" t="s">
        <v>173</v>
      </c>
      <c r="C8" s="433"/>
      <c r="D8" s="434"/>
      <c r="E8" s="434"/>
      <c r="F8" s="434"/>
      <c r="G8" s="434"/>
      <c r="H8" s="434"/>
      <c r="I8" s="434"/>
      <c r="J8" s="434"/>
      <c r="K8" s="435"/>
      <c r="L8" s="104"/>
      <c r="M8" s="104">
        <v>3298</v>
      </c>
      <c r="N8" s="104">
        <v>3866</v>
      </c>
    </row>
    <row r="9" spans="2:14" ht="39" customHeight="1" x14ac:dyDescent="0.2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/>
      <c r="L14" s="104"/>
      <c r="M14" s="104"/>
      <c r="N14" s="104"/>
    </row>
    <row r="15" spans="2:14" ht="21" thickBot="1" x14ac:dyDescent="0.35">
      <c r="C15" s="430" t="s">
        <v>182</v>
      </c>
      <c r="D15" s="438"/>
      <c r="E15" s="438"/>
      <c r="F15" s="438"/>
      <c r="G15" s="438"/>
      <c r="H15" s="438"/>
      <c r="I15" s="438"/>
      <c r="J15" s="438"/>
      <c r="K15" s="438"/>
      <c r="L15" s="438"/>
      <c r="M15" s="438"/>
      <c r="N15" s="439"/>
    </row>
    <row r="17" spans="2:15" ht="18" customHeight="1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 x14ac:dyDescent="0.2">
      <c r="B18" s="106" t="s">
        <v>173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49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5" zoomScaleNormal="100" workbookViewId="0">
      <selection activeCell="J24" sqref="J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7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3.25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">
      <c r="B8" s="106" t="s">
        <v>173</v>
      </c>
      <c r="C8" s="433"/>
      <c r="D8" s="434"/>
      <c r="E8" s="434"/>
      <c r="F8" s="434"/>
      <c r="G8" s="434"/>
      <c r="H8" s="434"/>
      <c r="I8" s="434"/>
      <c r="J8" s="434"/>
      <c r="K8" s="435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/>
      <c r="L14" s="104"/>
      <c r="M14" s="104"/>
      <c r="N14" s="104"/>
    </row>
    <row r="15" spans="2:14" ht="21" thickBot="1" x14ac:dyDescent="0.35">
      <c r="C15" s="430" t="s">
        <v>184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4" ht="17.25" customHeight="1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 x14ac:dyDescent="0.2">
      <c r="B18" s="106" t="s">
        <v>173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2023-02-21T12:34:06Z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