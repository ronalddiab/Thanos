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0" sheetId="1" r:id="rId3"/>
  </sheets>
  <definedNames>
    <definedName name="_xlnm.Print_Area" localSheetId="2">'11 - 2020'!$A$1:$J$36</definedName>
  </definedNames>
  <calcPr calcId="162913"/>
</workbook>
</file>

<file path=xl/calcChain.xml><?xml version="1.0" encoding="utf-8"?>
<calcChain xmlns="http://schemas.openxmlformats.org/spreadsheetml/2006/main">
  <c r="L16" i="3" l="1"/>
  <c r="K16" i="3"/>
  <c r="I16" i="3"/>
  <c r="G16" i="3"/>
  <c r="E16" i="3"/>
  <c r="J16" i="2"/>
  <c r="I16" i="2"/>
  <c r="H16" i="2"/>
  <c r="F16" i="2"/>
  <c r="E16" i="2"/>
  <c r="E14" i="3" l="1"/>
  <c r="G14" i="3"/>
  <c r="I14" i="3"/>
  <c r="K14" i="3"/>
  <c r="L14" i="3"/>
  <c r="J15" i="2"/>
  <c r="I15" i="2"/>
  <c r="H15" i="2"/>
  <c r="F15" i="2"/>
  <c r="E15" i="2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A16" i="1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I39" i="1"/>
  <c r="K38" i="1"/>
  <c r="J38" i="1"/>
  <c r="I38" i="1"/>
  <c r="H38" i="1"/>
  <c r="H39" i="1" s="1"/>
  <c r="G38" i="1"/>
  <c r="F38" i="1"/>
  <c r="E38" i="1"/>
  <c r="C38" i="1"/>
  <c r="B38" i="1"/>
  <c r="A9" i="1"/>
  <c r="A10" i="1" s="1"/>
  <c r="A11" i="1" s="1"/>
  <c r="A12" i="1" s="1"/>
  <c r="A13" i="1" s="1"/>
  <c r="A14" i="1" s="1"/>
  <c r="A15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8" i="1"/>
  <c r="J31" i="2" l="1"/>
  <c r="I31" i="2"/>
  <c r="H31" i="2"/>
  <c r="F31" i="2"/>
  <c r="E31" i="2"/>
  <c r="E30" i="2" l="1"/>
  <c r="J30" i="2"/>
  <c r="I30" i="2"/>
  <c r="H30" i="2"/>
  <c r="F30" i="2"/>
  <c r="L30" i="3"/>
  <c r="K30" i="3"/>
  <c r="I30" i="3"/>
  <c r="G30" i="3"/>
  <c r="E30" i="3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6" i="3" l="1"/>
  <c r="K26" i="3"/>
  <c r="I26" i="3"/>
  <c r="G26" i="3"/>
  <c r="E26" i="3"/>
  <c r="J26" i="2"/>
  <c r="I26" i="2"/>
  <c r="H26" i="2"/>
  <c r="F26" i="2"/>
  <c r="E26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E19" i="3" l="1"/>
  <c r="G19" i="3"/>
  <c r="L19" i="3"/>
  <c r="K19" i="3"/>
  <c r="I19" i="3"/>
  <c r="L18" i="3"/>
  <c r="K18" i="3"/>
  <c r="I18" i="3"/>
  <c r="G18" i="3"/>
  <c r="E18" i="3"/>
  <c r="L15" i="3" l="1"/>
  <c r="K15" i="3"/>
  <c r="I15" i="3"/>
  <c r="G15" i="3"/>
  <c r="E15" i="3"/>
  <c r="L2" i="3" l="1"/>
  <c r="K2" i="3"/>
  <c r="I2" i="3"/>
  <c r="G2" i="3"/>
  <c r="E2" i="3"/>
  <c r="J2" i="2"/>
  <c r="I2" i="2"/>
  <c r="H2" i="2"/>
  <c r="F2" i="2"/>
  <c r="E2" i="2"/>
  <c r="I40" i="1" l="1"/>
  <c r="H40" i="1"/>
  <c r="J27" i="2" l="1"/>
  <c r="I27" i="2"/>
  <c r="H27" i="2"/>
  <c r="F27" i="2"/>
  <c r="E27" i="2"/>
  <c r="L27" i="3"/>
  <c r="K27" i="3"/>
  <c r="I27" i="3"/>
  <c r="G27" i="3"/>
  <c r="E27" i="3"/>
  <c r="L25" i="3" l="1"/>
  <c r="K25" i="3"/>
  <c r="I25" i="3"/>
  <c r="G25" i="3"/>
  <c r="E25" i="3"/>
  <c r="J25" i="2"/>
  <c r="I25" i="2"/>
  <c r="H25" i="2"/>
  <c r="F25" i="2"/>
  <c r="E25" i="2"/>
  <c r="J19" i="2" l="1"/>
  <c r="I19" i="2"/>
  <c r="H19" i="2"/>
  <c r="F19" i="2"/>
  <c r="E19" i="2"/>
  <c r="J18" i="2" l="1"/>
  <c r="I18" i="2"/>
  <c r="H18" i="2"/>
  <c r="F18" i="2"/>
  <c r="E18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<sst xmlns="http://schemas.openxmlformats.org/spreadsheetml/2006/main" count="105" uniqueCount="38">
  <si>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</si>
  <si>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</si>
  <si>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</si>
  <si>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</si>
  <si>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</si>
  <si>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</si>
  <si>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</si>
  <si>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</si>
  <si>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</si>
  <si>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</si>
  <si>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</si>
  <si>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</si>
  <si>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</si>
  <si>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</si>
  <si>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</si>
  <si>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</si>
  <si>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</si>
  <si>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</si>
  <si>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</si>
  <si>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</si>
  <si>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</si>
  <si>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</si>
  <si>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</si>
  <si>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</si>
  <si>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</si>
  <si>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</si>
  <si>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</si>
  <si>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</si>
  <si>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</si>
  <si>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</si>
  <si>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</si>
  <si>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</si>
  <si>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</si>
  <si>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</si>
  <si>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</si>
  <si>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</si>
  <si>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</si>
  <si>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November'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</si>
</sst>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workbookViewId="0">
      <selection activeCell="P24" sqref="P24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11</v>
      </c>
      <c r="D2">
        <v>2020</v>
      </c>
      <c r="E2" s="24">
        <f>'11 - 2020'!B8-'11 - 2020'!B7+'11 - 2020'!C8-'11 - 2020'!C7</f>
        <v>9153.5900000000838</v>
      </c>
      <c r="F2" s="22">
        <v>0.11799999999999999</v>
      </c>
      <c r="G2" s="24">
        <f>(('11 - 2020'!E8-'11 - 2020'!E7)+('11 - 2020'!F8-'11 - 2020'!F7)+('11 - 2020'!G8-'11 - 2020'!G7))*1.81</f>
        <v>88.69</v>
      </c>
      <c r="H2" s="22">
        <v>0.99</v>
      </c>
      <c r="I2" s="24">
        <f>'11 - 2020'!J8-'11 - 2020'!J7</f>
        <v>22844</v>
      </c>
      <c r="J2" s="22">
        <v>8.1000000000000003E-2</v>
      </c>
      <c r="K2" s="56">
        <f>'11 - 2020'!H8-'11 - 2020'!H7</f>
        <v>0</v>
      </c>
      <c r="L2" s="24">
        <f>'11 - 2020'!I8-'11 - 2020'!I7</f>
        <v>71</v>
      </c>
      <c r="M2" s="23">
        <v>4.393629424766913</v>
      </c>
      <c r="N2" s="48">
        <v>40</v>
      </c>
    </row>
    <row r="3" spans="1:15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'11 - 2020'!B9-'11 - 2020'!B8+'11 - 2020'!C9-'11 - 2020'!C8</f>
        <v>8852.4099999999162</v>
      </c>
      <c r="F3" s="22">
        <v>0.11799999999999999</v>
      </c>
      <c r="G3" s="24">
        <f>(('11 - 2020'!E9-'11 - 2020'!E8)+('11 - 2020'!F9-'11 - 2020'!F8)+('11 - 2020'!G9-'11 - 2020'!G8))*1.81</f>
        <v>95.93</v>
      </c>
      <c r="H3" s="22">
        <v>0.99</v>
      </c>
      <c r="I3" s="24">
        <f>'11 - 2020'!J9-'11 - 2020'!J8</f>
        <v>21810</v>
      </c>
      <c r="J3" s="22">
        <v>8.1000000000000003E-2</v>
      </c>
      <c r="K3" s="56">
        <f>'11 - 2020'!H9-'11 - 2020'!H8</f>
        <v>0</v>
      </c>
      <c r="L3" s="24">
        <f>'11 - 2020'!I9-'11 - 2020'!I8</f>
        <v>60</v>
      </c>
      <c r="M3" s="23">
        <v>4.393629424766913</v>
      </c>
      <c r="N3" s="48">
        <v>44</v>
      </c>
    </row>
    <row r="4" spans="1:15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'11 - 2020'!B10-'11 - 2020'!B9+'11 - 2020'!C10-'11 - 2020'!C9</f>
        <v>9039.3999999999069</v>
      </c>
      <c r="F4" s="22">
        <v>0.11799999999999999</v>
      </c>
      <c r="G4" s="24">
        <f>(('11 - 2020'!E10-'11 - 2020'!E9)+('11 - 2020'!F10-'11 - 2020'!F9)+('11 - 2020'!G10-'11 - 2020'!G9))*1.81</f>
        <v>106.02980000000234</v>
      </c>
      <c r="H4" s="22">
        <v>0.99</v>
      </c>
      <c r="I4" s="24">
        <f>'11 - 2020'!J10-'11 - 2020'!J9</f>
        <v>23914</v>
      </c>
      <c r="J4" s="22">
        <v>8.1000000000000003E-2</v>
      </c>
      <c r="K4" s="56">
        <f>'11 - 2020'!H10-'11 - 2020'!H9</f>
        <v>0</v>
      </c>
      <c r="L4" s="24">
        <f>'11 - 2020'!I10-'11 - 2020'!I9</f>
        <v>54</v>
      </c>
      <c r="M4" s="23">
        <v>4.393629424766913</v>
      </c>
      <c r="N4" s="48">
        <v>40</v>
      </c>
    </row>
    <row r="5" spans="1:15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'11 - 2020'!B11-'11 - 2020'!B10+'11 - 2020'!C11-'11 - 2020'!C10</f>
        <v>8999.3999999999069</v>
      </c>
      <c r="F5" s="22">
        <v>0.11799999999999999</v>
      </c>
      <c r="G5" s="24">
        <f>(('11 - 2020'!E11-'11 - 2020'!E10)+('11 - 2020'!F11-'11 - 2020'!F10)+('11 - 2020'!G11-'11 - 2020'!G10))*1.81</f>
        <v>83.531499999996868</v>
      </c>
      <c r="H5" s="22">
        <v>0.99</v>
      </c>
      <c r="I5" s="24">
        <f>'11 - 2020'!J11-'11 - 2020'!J10</f>
        <v>19504</v>
      </c>
      <c r="J5" s="22">
        <v>8.1000000000000003E-2</v>
      </c>
      <c r="K5" s="56">
        <f>'11 - 2020'!H11-'11 - 2020'!H10</f>
        <v>0</v>
      </c>
      <c r="L5" s="24">
        <f>'11 - 2020'!I11-'11 - 2020'!I10</f>
        <v>60</v>
      </c>
      <c r="M5" s="23">
        <v>4.393629424766913</v>
      </c>
      <c r="N5" s="48">
        <v>50</v>
      </c>
    </row>
    <row r="6" spans="1:15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'11 - 2020'!B12-'11 - 2020'!B11+'11 - 2020'!C12-'11 - 2020'!C11</f>
        <v>9843.8000000000466</v>
      </c>
      <c r="F6" s="22">
        <v>0.11799999999999999</v>
      </c>
      <c r="G6" s="24">
        <f>(('11 - 2020'!E12-'11 - 2020'!E11)+('11 - 2020'!F12-'11 - 2020'!F11)+('11 - 2020'!G12-'11 - 2020'!G11))*1.81</f>
        <v>95.332700000003427</v>
      </c>
      <c r="H6" s="22">
        <v>0.99</v>
      </c>
      <c r="I6" s="24">
        <f>'11 - 2020'!J12-'11 - 2020'!J11</f>
        <v>22064</v>
      </c>
      <c r="J6" s="22">
        <v>8.1000000000000003E-2</v>
      </c>
      <c r="K6" s="56">
        <f>'11 - 2020'!H12-'11 - 2020'!H11</f>
        <v>0</v>
      </c>
      <c r="L6" s="24">
        <f>'11 - 2020'!I12-'11 - 2020'!I11</f>
        <v>60</v>
      </c>
      <c r="M6" s="23">
        <v>4.393629424766913</v>
      </c>
      <c r="N6" s="48">
        <v>51</v>
      </c>
    </row>
    <row r="7" spans="1:15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'11 - 2020'!B13-'11 - 2020'!B12+'11 - 2020'!C13-'11 - 2020'!C12</f>
        <v>8333.3999999999069</v>
      </c>
      <c r="F7" s="22">
        <v>0.11799999999999999</v>
      </c>
      <c r="G7" s="24">
        <f>(('11 - 2020'!E13-'11 - 2020'!E12)+('11 - 2020'!F13-'11 - 2020'!F12)+('11 - 2020'!G13-'11 - 2020'!G12))*1.81</f>
        <v>110.46429999999461</v>
      </c>
      <c r="H7" s="22">
        <v>0.99</v>
      </c>
      <c r="I7" s="24">
        <f>'11 - 2020'!J13-'11 - 2020'!J12</f>
        <v>19404</v>
      </c>
      <c r="J7" s="22">
        <v>8.1000000000000003E-2</v>
      </c>
      <c r="K7" s="56">
        <f>'11 - 2020'!H13-'11 - 2020'!H12</f>
        <v>0</v>
      </c>
      <c r="L7" s="24">
        <f>'11 - 2020'!I13-'11 - 2020'!I12</f>
        <v>69</v>
      </c>
      <c r="M7" s="23">
        <v>4.393629424766913</v>
      </c>
      <c r="N7" s="48">
        <v>45</v>
      </c>
    </row>
    <row r="8" spans="1:15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'11 - 2020'!B14-'11 - 2020'!B13+'11 - 2020'!C14-'11 - 2020'!C13</f>
        <v>9565</v>
      </c>
      <c r="F8" s="22">
        <v>0.11799999999999999</v>
      </c>
      <c r="G8" s="24">
        <f>(('11 - 2020'!E14-'11 - 2020'!E13)+('11 - 2020'!F14-'11 - 2020'!F13)+('11 - 2020'!G14-'11 - 2020'!G13))*1.81</f>
        <v>106.0660000000056</v>
      </c>
      <c r="H8" s="22">
        <v>0.99</v>
      </c>
      <c r="I8" s="24">
        <f>'11 - 2020'!J14-'11 - 2020'!J13</f>
        <v>19352</v>
      </c>
      <c r="J8" s="22">
        <v>8.1000000000000003E-2</v>
      </c>
      <c r="K8" s="56">
        <f>'11 - 2020'!H14-'11 - 2020'!H13</f>
        <v>0</v>
      </c>
      <c r="L8" s="24">
        <f>'11 - 2020'!I14-'11 - 2020'!I13</f>
        <v>69</v>
      </c>
      <c r="M8" s="23">
        <v>4.393629424766913</v>
      </c>
      <c r="N8" s="48">
        <v>52</v>
      </c>
      <c r="O8" s="24"/>
    </row>
    <row r="9" spans="1:15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'11 - 2020'!B15-'11 - 2020'!B14+'11 - 2020'!C15-'11 - 2020'!C14</f>
        <v>9122.1999999999534</v>
      </c>
      <c r="F9" s="22">
        <v>0.11799999999999999</v>
      </c>
      <c r="G9" s="24">
        <f>(('11 - 2020'!E15-'11 - 2020'!E14)+('11 - 2020'!F15-'11 - 2020'!F14)+('11 - 2020'!G15-'11 - 2020'!G14))*1.81</f>
        <v>96.690199999999308</v>
      </c>
      <c r="H9" s="22">
        <v>0.99</v>
      </c>
      <c r="I9" s="24">
        <f>'11 - 2020'!J15-'11 - 2020'!J14</f>
        <v>18331</v>
      </c>
      <c r="J9" s="22">
        <v>8.1000000000000003E-2</v>
      </c>
      <c r="K9" s="56">
        <f>'11 - 2020'!H15-'11 - 2020'!H14</f>
        <v>0</v>
      </c>
      <c r="L9" s="24">
        <f>'11 - 2020'!I15-'11 - 2020'!I14</f>
        <v>80</v>
      </c>
      <c r="M9" s="23">
        <v>4.393629424766913</v>
      </c>
      <c r="N9" s="48">
        <v>58</v>
      </c>
    </row>
    <row r="10" spans="1:15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'11 - 2020'!B16-'11 - 2020'!B15+'11 - 2020'!C16-'11 - 2020'!C15</f>
        <v>9568.6999999999534</v>
      </c>
      <c r="F10" s="22">
        <v>0.11799999999999999</v>
      </c>
      <c r="G10" s="24">
        <f>(('11 - 2020'!E16-'11 - 2020'!E15)+('11 - 2020'!F16-'11 - 2020'!F15)+('11 - 2020'!G16-'11 - 2020'!G15))*1.81</f>
        <v>108.12939999999961</v>
      </c>
      <c r="H10" s="22">
        <v>0.99</v>
      </c>
      <c r="I10" s="24">
        <f>'11 - 2020'!J16-'11 - 2020'!J15</f>
        <v>21972</v>
      </c>
      <c r="J10" s="22">
        <v>8.1000000000000003E-2</v>
      </c>
      <c r="K10" s="56">
        <f>'11 - 2020'!H16-'11 - 2020'!H15</f>
        <v>0</v>
      </c>
      <c r="L10" s="24">
        <f>'11 - 2020'!I16-'11 - 2020'!I15</f>
        <v>90</v>
      </c>
      <c r="M10" s="23">
        <v>4.393629424766913</v>
      </c>
      <c r="N10" s="48">
        <v>60</v>
      </c>
    </row>
    <row r="11" spans="1:15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'11 - 2020'!B17-'11 - 2020'!B16+'11 - 2020'!C17-'11 - 2020'!C16</f>
        <v>8973.8000000000466</v>
      </c>
      <c r="F11" s="22">
        <v>0.11799999999999999</v>
      </c>
      <c r="G11" s="24">
        <f>(('11 - 2020'!E17-'11 - 2020'!E16)+('11 - 2020'!F17-'11 - 2020'!F16)+('11 - 2020'!G17-'11 - 2020'!G16))*1.81</f>
        <v>75.9114000000001</v>
      </c>
      <c r="H11" s="22">
        <v>0.99</v>
      </c>
      <c r="I11" s="24">
        <f>'11 - 2020'!J17-'11 - 2020'!J16</f>
        <v>23719</v>
      </c>
      <c r="J11" s="22">
        <v>8.1000000000000003E-2</v>
      </c>
      <c r="K11" s="56">
        <f>'11 - 2020'!H17-'11 - 2020'!H16</f>
        <v>0</v>
      </c>
      <c r="L11" s="24">
        <f>'11 - 2020'!I17-'11 - 2020'!I16</f>
        <v>78</v>
      </c>
      <c r="M11" s="23">
        <v>4.393629424766913</v>
      </c>
      <c r="N11" s="48">
        <v>60</v>
      </c>
    </row>
    <row r="12" spans="1:15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'11 - 2020'!B18-'11 - 2020'!B17+'11 - 2020'!C18-'11 - 2020'!C17</f>
        <v>9069.5</v>
      </c>
      <c r="F12" s="22">
        <v>0.11799999999999999</v>
      </c>
      <c r="G12" s="24">
        <f>(('11 - 2020'!E18-'11 - 2020'!E17)+('11 - 2020'!F18-'11 - 2020'!F17)+('11 - 2020'!G18-'11 - 2020'!G17))*1.81</f>
        <v>74.499600000000555</v>
      </c>
      <c r="H12" s="22">
        <v>0.99</v>
      </c>
      <c r="I12" s="24">
        <f>'11 - 2020'!J18-'11 - 2020'!J17</f>
        <v>25602</v>
      </c>
      <c r="J12" s="22">
        <v>8.1000000000000003E-2</v>
      </c>
      <c r="K12" s="56">
        <f>'11 - 2020'!H18-'11 - 2020'!H17</f>
        <v>0</v>
      </c>
      <c r="L12" s="24">
        <f>'11 - 2020'!I18-'11 - 2020'!I17</f>
        <v>60</v>
      </c>
      <c r="M12" s="23">
        <v>4.393629424766913</v>
      </c>
      <c r="N12" s="24">
        <v>63</v>
      </c>
    </row>
    <row r="13" spans="1:15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'11 - 2020'!B19-'11 - 2020'!B18+'11 - 2020'!C19-'11 - 2020'!C18</f>
        <v>10014.600000000093</v>
      </c>
      <c r="F13" s="22">
        <v>0.11799999999999999</v>
      </c>
      <c r="G13" s="24">
        <f>(('11 - 2020'!E19-'11 - 2020'!E18)+('11 - 2020'!F19-'11 - 2020'!F18)+('11 - 2020'!G19-'11 - 2020'!G18))*1.81</f>
        <v>79.8933999999973</v>
      </c>
      <c r="H13" s="22">
        <v>0.99</v>
      </c>
      <c r="I13" s="24">
        <f>'11 - 2020'!J19-'11 - 2020'!J18</f>
        <v>22980</v>
      </c>
      <c r="J13" s="22">
        <v>8.1000000000000003E-2</v>
      </c>
      <c r="K13" s="56">
        <f>'11 - 2020'!H19-'11 - 2020'!H18</f>
        <v>0</v>
      </c>
      <c r="L13" s="24">
        <f>'11 - 2020'!I19-'11 - 2020'!I18</f>
        <v>46</v>
      </c>
      <c r="M13" s="23">
        <v>4.393629424766913</v>
      </c>
      <c r="N13" s="24">
        <v>75</v>
      </c>
    </row>
    <row r="14" spans="1:15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'11 - 2020'!B20-'11 - 2020'!B19+'11 - 2020'!C20-'11 - 2020'!C19</f>
        <v>9994.3000000000466</v>
      </c>
      <c r="F14" s="22">
        <v>0.11799999999999999</v>
      </c>
      <c r="G14" s="24">
        <f>(('11 - 2020'!E20-'11 - 2020'!E19)+('11 - 2020'!F20-'11 - 2020'!F19)+('11 - 2020'!G20-'11 - 2020'!G19))*1.81</f>
        <v>75.223599999999081</v>
      </c>
      <c r="H14" s="22">
        <v>0.99</v>
      </c>
      <c r="I14" s="24">
        <f>'11 - 2020'!J20-'11 - 2020'!J19</f>
        <v>24232</v>
      </c>
      <c r="J14" s="22">
        <v>8.1000000000000003E-2</v>
      </c>
      <c r="K14" s="56">
        <f>'11 - 2020'!H20-'11 - 2020'!H19</f>
        <v>0</v>
      </c>
      <c r="L14" s="24">
        <f>'11 - 2020'!I20-'11 - 2020'!I19</f>
        <v>106</v>
      </c>
      <c r="M14" s="23">
        <v>4.393629424766913</v>
      </c>
      <c r="N14" s="24">
        <v>79</v>
      </c>
      <c r="O14" s="24"/>
    </row>
    <row r="15" spans="1:15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'11 - 2020'!B21-'11 - 2020'!B20+'11 - 2020'!C21-'11 - 2020'!C20</f>
        <v>9080</v>
      </c>
      <c r="F15" s="22">
        <v>0.11799999999999999</v>
      </c>
      <c r="G15" s="24">
        <f>(('11 - 2020'!E21-'11 - 2020'!E20)+('11 - 2020'!F21-'11 - 2020'!F20)+('11 - 2020'!G21-'11 - 2020'!G20))*1.81</f>
        <v>80.237300000002335</v>
      </c>
      <c r="H15" s="22">
        <v>0.99</v>
      </c>
      <c r="I15" s="24">
        <f>'11 - 2020'!J21-'11 - 2020'!J20</f>
        <v>22140</v>
      </c>
      <c r="J15" s="22">
        <v>8.1000000000000003E-2</v>
      </c>
      <c r="K15" s="56">
        <f>'11 - 2020'!H21-'11 - 2020'!H20</f>
        <v>0</v>
      </c>
      <c r="L15" s="24">
        <f>'11 - 2020'!I21-'11 - 2020'!I20</f>
        <v>60</v>
      </c>
      <c r="M15" s="23">
        <v>4.393629424766913</v>
      </c>
      <c r="N15" s="24">
        <v>70</v>
      </c>
    </row>
    <row r="16" spans="1:15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'11 - 2020'!B22-'11 - 2020'!B21+'11 - 2020'!C22-'11 - 2020'!C21</f>
        <v>9579.3000000000466</v>
      </c>
      <c r="F16" s="22">
        <v>0.11799999999999999</v>
      </c>
      <c r="G16" s="24">
        <f>(('11 - 2020'!E22-'11 - 2020'!E21)+('11 - 2020'!F22-'11 - 2020'!F21)+('11 - 2020'!G22-'11 - 2020'!G21))*1.81</f>
        <v>61.431400000000103</v>
      </c>
      <c r="H16" s="22">
        <v>0.99</v>
      </c>
      <c r="I16" s="24">
        <f>'11 - 2020'!J22-'11 - 2020'!J21</f>
        <v>22164</v>
      </c>
      <c r="J16" s="22">
        <v>8.1000000000000003E-2</v>
      </c>
      <c r="K16" s="56">
        <f>'11 - 2020'!H22-'11 - 2020'!H21</f>
        <v>0</v>
      </c>
      <c r="L16" s="24">
        <f>'11 - 2020'!I22-'11 - 2020'!I21</f>
        <v>130</v>
      </c>
      <c r="M16" s="23">
        <v>4.393629424766913</v>
      </c>
      <c r="N16" s="24">
        <v>68</v>
      </c>
    </row>
    <row r="17" spans="1:16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v>0</v>
      </c>
      <c r="F17" s="22">
        <v>0.11799999999999999</v>
      </c>
      <c r="G17" s="24">
        <v>0</v>
      </c>
      <c r="H17" s="22">
        <v>0.99</v>
      </c>
      <c r="I17" s="24">
        <v>0</v>
      </c>
      <c r="J17" s="22">
        <v>8.1000000000000003E-2</v>
      </c>
      <c r="K17" s="56">
        <v>0</v>
      </c>
      <c r="L17" s="24">
        <v>0</v>
      </c>
      <c r="M17" s="23">
        <v>4.393629424766913</v>
      </c>
      <c r="N17" s="24"/>
    </row>
    <row r="18" spans="1:16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'11 - 2020'!B24-'11 - 2020'!B23+'11 - 2020'!C24-'11 - 2020'!C23</f>
        <v>0</v>
      </c>
      <c r="F18" s="22">
        <v>0.11799999999999999</v>
      </c>
      <c r="G18" s="24">
        <f>(('11 - 2020'!E24-'11 - 2020'!E23)+('11 - 2020'!F24-'11 - 2020'!F23)+('11 - 2020'!G24-'11 - 2020'!G23))*1.81</f>
        <v>0</v>
      </c>
      <c r="H18" s="22">
        <v>0.99</v>
      </c>
      <c r="I18" s="24">
        <f>'11 - 2020'!J24-'11 - 2020'!J23</f>
        <v>0</v>
      </c>
      <c r="J18" s="22">
        <v>8.1000000000000003E-2</v>
      </c>
      <c r="K18" s="56">
        <f>'11 - 2020'!H24-'11 - 2020'!H23</f>
        <v>0</v>
      </c>
      <c r="L18" s="24">
        <f>'11 - 2020'!I24-'11 - 2020'!I23</f>
        <v>0</v>
      </c>
      <c r="M18" s="23">
        <v>4.393629424766913</v>
      </c>
      <c r="N18" s="24"/>
    </row>
    <row r="19" spans="1:16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'11 - 2020'!B25-'11 - 2020'!B24+'11 - 2020'!C25-'11 - 2020'!C24</f>
        <v>0</v>
      </c>
      <c r="F19" s="22">
        <v>0.11799999999999999</v>
      </c>
      <c r="G19" s="24">
        <f>(('11 - 2020'!E25-'11 - 2020'!E24)+('11 - 2020'!F25-'11 - 2020'!F24)+('11 - 2020'!G25-'11 - 2020'!G24))*1.81</f>
        <v>0</v>
      </c>
      <c r="H19" s="22">
        <v>0.99</v>
      </c>
      <c r="I19" s="24">
        <f>'11 - 2020'!J25-'11 - 2020'!J24</f>
        <v>0</v>
      </c>
      <c r="J19" s="22">
        <v>8.1000000000000003E-2</v>
      </c>
      <c r="K19" s="56">
        <f>'11 - 2020'!H25-'11 - 2020'!H24</f>
        <v>0</v>
      </c>
      <c r="L19" s="24">
        <f>'11 - 2020'!I25-'11 - 2020'!I24</f>
        <v>0</v>
      </c>
      <c r="M19" s="23">
        <v>4.393629424766913</v>
      </c>
      <c r="N19" s="49"/>
    </row>
    <row r="20" spans="1:16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'11 - 2020'!B26-'11 - 2020'!B25+'11 - 2020'!C26-'11 - 2020'!C25</f>
        <v>0</v>
      </c>
      <c r="F20" s="22">
        <v>0.11799999999999999</v>
      </c>
      <c r="G20" s="24">
        <f>(('11 - 2020'!E26-'11 - 2020'!E25)+('11 - 2020'!F26-'11 - 2020'!F25)+('11 - 2020'!G26-'11 - 2020'!G25))*1.81</f>
        <v>0</v>
      </c>
      <c r="H20" s="22">
        <v>0.99</v>
      </c>
      <c r="I20" s="24">
        <f>'11 - 2020'!J26-'11 - 2020'!J25</f>
        <v>0</v>
      </c>
      <c r="J20" s="22">
        <v>8.1000000000000003E-2</v>
      </c>
      <c r="K20" s="56">
        <f>'11 - 2020'!H26-'11 - 2020'!H25</f>
        <v>0</v>
      </c>
      <c r="L20" s="24">
        <f>'11 - 2020'!I26-'11 - 2020'!I25</f>
        <v>0</v>
      </c>
      <c r="M20" s="23">
        <v>4.393629424766913</v>
      </c>
      <c r="N20" s="49"/>
    </row>
    <row r="21" spans="1:16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'11 - 2020'!B27-'11 - 2020'!B26+'11 - 2020'!C27-'11 - 2020'!C26</f>
        <v>0</v>
      </c>
      <c r="F21" s="22">
        <v>0.11799999999999999</v>
      </c>
      <c r="G21" s="24">
        <f>(('11 - 2020'!E27-'11 - 2020'!E26)+('11 - 2020'!F27-'11 - 2020'!F26)+('11 - 2020'!G27-'11 - 2020'!G26))*1.81</f>
        <v>0</v>
      </c>
      <c r="H21" s="22">
        <v>0.99</v>
      </c>
      <c r="I21" s="24">
        <f>'11 - 2020'!J27-'11 - 2020'!J26</f>
        <v>0</v>
      </c>
      <c r="J21" s="22">
        <v>8.1000000000000003E-2</v>
      </c>
      <c r="K21" s="56">
        <f>'11 - 2020'!H27-'11 - 2020'!H26</f>
        <v>0</v>
      </c>
      <c r="L21" s="24">
        <f>'11 - 2020'!I27-'11 - 2020'!I26</f>
        <v>0</v>
      </c>
      <c r="M21" s="23">
        <v>4.393629424766913</v>
      </c>
      <c r="N21" s="49"/>
    </row>
    <row r="22" spans="1:16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'11 - 2020'!B28-'11 - 2020'!B27+'11 - 2020'!C28-'11 - 2020'!C27</f>
        <v>0</v>
      </c>
      <c r="F22" s="22">
        <v>0.11799999999999999</v>
      </c>
      <c r="G22" s="24">
        <f>(('11 - 2020'!E28-'11 - 2020'!E27)+('11 - 2020'!F28-'11 - 2020'!F27)+('11 - 2020'!G28-'11 - 2020'!G27))*1.81</f>
        <v>0</v>
      </c>
      <c r="H22" s="22">
        <v>0.99</v>
      </c>
      <c r="I22" s="24">
        <f>'11 - 2020'!J28-'11 - 2020'!J27</f>
        <v>0</v>
      </c>
      <c r="J22" s="22">
        <v>8.1000000000000003E-2</v>
      </c>
      <c r="K22" s="56">
        <f>'11 - 2020'!H28-'11 - 2020'!H27</f>
        <v>0</v>
      </c>
      <c r="L22" s="24">
        <f>'11 - 2020'!I28-'11 - 2020'!I27</f>
        <v>0</v>
      </c>
      <c r="M22" s="23">
        <v>4.393629424766913</v>
      </c>
      <c r="N22" s="49"/>
    </row>
    <row r="23" spans="1:16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'11 - 2020'!B29-'11 - 2020'!B28+'11 - 2020'!C29-'11 - 2020'!C28</f>
        <v>0</v>
      </c>
      <c r="F23" s="22">
        <v>0.11799999999999999</v>
      </c>
      <c r="G23" s="24">
        <f>(('11 - 2020'!E29-'11 - 2020'!E28)+('11 - 2020'!F29-'11 - 2020'!F28)+('11 - 2020'!G29-'11 - 2020'!G28))*1.81</f>
        <v>0</v>
      </c>
      <c r="H23" s="22">
        <v>0.99</v>
      </c>
      <c r="I23" s="24">
        <f>'11 - 2020'!J29-'11 - 2020'!J28</f>
        <v>0</v>
      </c>
      <c r="J23" s="22">
        <v>8.1000000000000003E-2</v>
      </c>
      <c r="K23" s="56">
        <f>'11 - 2020'!H29-'11 - 2020'!H28</f>
        <v>0</v>
      </c>
      <c r="L23" s="24">
        <f>'11 - 2020'!I29-'11 - 2020'!I28</f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'11 - 2020'!B30-'11 - 2020'!B29+'11 - 2020'!C30-'11 - 2020'!C29</f>
        <v>0</v>
      </c>
      <c r="F24" s="22">
        <v>0.11799999999999999</v>
      </c>
      <c r="G24" s="24">
        <f>(('11 - 2020'!E30-'11 - 2020'!E29)+('11 - 2020'!F30-'11 - 2020'!F29)+('11 - 2020'!G30-'11 - 2020'!G29))*1.81</f>
        <v>0</v>
      </c>
      <c r="H24" s="22">
        <v>0.99</v>
      </c>
      <c r="I24" s="24">
        <f>'11 - 2020'!J30-'11 - 2020'!J29</f>
        <v>0</v>
      </c>
      <c r="J24" s="22">
        <v>8.1000000000000003E-2</v>
      </c>
      <c r="K24" s="56">
        <f>'11 - 2020'!H30-'11 - 2020'!H29</f>
        <v>0</v>
      </c>
      <c r="L24" s="24">
        <f>'11 - 2020'!I30-'11 - 2020'!I29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'11 - 2020'!B31-'11 - 2020'!B30+'11 - 2020'!C31-'11 - 2020'!C30</f>
        <v>0</v>
      </c>
      <c r="F25" s="22">
        <v>0.11799999999999999</v>
      </c>
      <c r="G25" s="24">
        <f>(('11 - 2020'!E31-'11 - 2020'!E30)+('11 - 2020'!F31-'11 - 2020'!F30)+('11 - 2020'!G31-'11 - 2020'!G30))*1.81</f>
        <v>0</v>
      </c>
      <c r="H25" s="22">
        <v>0.99</v>
      </c>
      <c r="I25" s="24">
        <f>'11 - 2020'!J31-'11 - 2020'!J30</f>
        <v>0</v>
      </c>
      <c r="J25" s="22">
        <v>8.1000000000000003E-2</v>
      </c>
      <c r="K25" s="56">
        <f>'11 - 2020'!H31-'11 - 2020'!H30</f>
        <v>0</v>
      </c>
      <c r="L25" s="24">
        <f>'11 - 2020'!I31-'11 - 2020'!I30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'11 - 2020'!B32-'11 - 2020'!B31+'11 - 2020'!C32-'11 - 2020'!C31</f>
        <v>0</v>
      </c>
      <c r="F26" s="22">
        <v>0.11799999999999999</v>
      </c>
      <c r="G26" s="24">
        <f>(('11 - 2020'!E32-'11 - 2020'!E31)+('11 - 2020'!F32-'11 - 2020'!F31)+('11 - 2020'!G32-'11 - 2020'!G31))*1.81</f>
        <v>0</v>
      </c>
      <c r="H26" s="22">
        <v>0.99</v>
      </c>
      <c r="I26" s="24">
        <f>'11 - 2020'!J32-'11 - 2020'!J31</f>
        <v>0</v>
      </c>
      <c r="J26" s="22">
        <v>8.1000000000000003E-2</v>
      </c>
      <c r="K26" s="56">
        <f>'11 - 2020'!H32-'11 - 2020'!H31</f>
        <v>0</v>
      </c>
      <c r="L26" s="24">
        <f>'11 - 2020'!I32-'11 - 2020'!I31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'11 - 2020'!B33-'11 - 2020'!B32+'11 - 2020'!C33-'11 - 2020'!C32</f>
        <v>0</v>
      </c>
      <c r="F27" s="22">
        <v>0.11799999999999999</v>
      </c>
      <c r="G27" s="24">
        <f>(('11 - 2020'!E33-'11 - 2020'!E32)+('11 - 2020'!F33-'11 - 2020'!F32)+('11 - 2020'!G33-'11 - 2020'!G32))*1.81</f>
        <v>0</v>
      </c>
      <c r="H27" s="22">
        <v>0.99</v>
      </c>
      <c r="I27" s="24">
        <f>'11 - 2020'!J33-'11 - 2020'!J32</f>
        <v>0</v>
      </c>
      <c r="J27" s="22">
        <v>8.1000000000000003E-2</v>
      </c>
      <c r="K27" s="56">
        <f>'11 - 2020'!H33-'11 - 2020'!H32</f>
        <v>0</v>
      </c>
      <c r="L27" s="24">
        <f>'11 - 2020'!I33-'11 - 2020'!I32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'11 - 2020'!B34-'11 - 2020'!B33+'11 - 2020'!C34-'11 - 2020'!C33</f>
        <v>0</v>
      </c>
      <c r="F28" s="22">
        <v>0.11799999999999999</v>
      </c>
      <c r="G28" s="24">
        <f>(('11 - 2020'!E34-'11 - 2020'!E33)+('11 - 2020'!F34-'11 - 2020'!F33)+('11 - 2020'!G34-'11 - 2020'!G33))*1.81</f>
        <v>0</v>
      </c>
      <c r="H28" s="22">
        <v>0.99</v>
      </c>
      <c r="I28" s="24">
        <f>'11 - 2020'!J34-'11 - 2020'!J33</f>
        <v>0</v>
      </c>
      <c r="J28" s="22">
        <v>8.1000000000000003E-2</v>
      </c>
      <c r="K28" s="56">
        <f>'11 - 2020'!H34-'11 - 2020'!H33</f>
        <v>0</v>
      </c>
      <c r="L28" s="24">
        <f>'11 - 2020'!I34-'11 - 2020'!I33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'11 - 2020'!B35-'11 - 2020'!B34+'11 - 2020'!C35-'11 - 2020'!C34</f>
        <v>0</v>
      </c>
      <c r="F29" s="22">
        <v>0.11799999999999999</v>
      </c>
      <c r="G29" s="24">
        <f>(('11 - 2020'!E35-'11 - 2020'!E34)+('11 - 2020'!F35-'11 - 2020'!F34)+('11 - 2020'!G35-'11 - 2020'!G34))*1.81</f>
        <v>0</v>
      </c>
      <c r="H29" s="22">
        <v>0.99</v>
      </c>
      <c r="I29" s="24">
        <f>'11 - 2020'!J35-'11 - 2020'!J34</f>
        <v>0</v>
      </c>
      <c r="J29" s="22">
        <v>8.1000000000000003E-2</v>
      </c>
      <c r="K29" s="56">
        <f>'11 - 2020'!H35-'11 - 2020'!H34</f>
        <v>0</v>
      </c>
      <c r="L29" s="24">
        <f>'11 - 2020'!I35-'11 - 2020'!I34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'11 - 2020'!B36-'11 - 2020'!B35+'11 - 2020'!C36-'11 - 2020'!C35</f>
        <v>0</v>
      </c>
      <c r="F30" s="22">
        <v>0.11799999999999999</v>
      </c>
      <c r="G30" s="24">
        <f>(('11 - 2020'!E36-'11 - 2020'!E35)+('11 - 2020'!F36-'11 - 2020'!F35)+('11 - 2020'!G36-'11 - 2020'!G35))*1.81</f>
        <v>0</v>
      </c>
      <c r="H30" s="22">
        <v>0.99</v>
      </c>
      <c r="I30" s="24">
        <f>'11 - 2020'!J36-'11 - 2020'!J35</f>
        <v>0</v>
      </c>
      <c r="J30" s="22">
        <v>8.1000000000000003E-2</v>
      </c>
      <c r="K30" s="56">
        <f>'11 - 2020'!H36-'11 - 2020'!H35</f>
        <v>0</v>
      </c>
      <c r="L30" s="24">
        <f>'11 - 2020'!I36-'11 - 2020'!I35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11</v>
      </c>
      <c r="D31" s="22">
        <v>2020</v>
      </c>
      <c r="E31" s="24">
        <f>'11 - 2020'!B37-'11 - 2020'!B36+'11 - 2020'!C37-'11 - 2020'!C36</f>
        <v>0</v>
      </c>
      <c r="F31" s="22">
        <v>0.11799999999999999</v>
      </c>
      <c r="G31" s="24">
        <f>(('11 - 2020'!E37-'11 - 2020'!E36)+('11 - 2020'!F37-'11 - 2020'!F36)+('11 - 2020'!G37-'11 - 2020'!G36))*1.81</f>
        <v>0</v>
      </c>
      <c r="H31" s="22">
        <v>0.99</v>
      </c>
      <c r="I31" s="24">
        <f>'11 - 2020'!J37-'11 - 2020'!J36</f>
        <v>0</v>
      </c>
      <c r="J31" s="22">
        <v>8.1000000000000003E-2</v>
      </c>
      <c r="K31" s="56">
        <f>'11 - 2020'!H37-'11 - 2020'!H36</f>
        <v>0</v>
      </c>
      <c r="L31" s="24">
        <f>'11 - 2020'!I37-'11 - 2020'!I36</f>
        <v>0</v>
      </c>
      <c r="M31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3" workbookViewId="0">
      <selection activeCell="B34" sqref="B34:B3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11</v>
      </c>
      <c r="D2">
        <v>2020</v>
      </c>
      <c r="E2" s="24">
        <f>'11 - 2020'!B8-'11 - 2020'!B7</f>
        <v>3355.59</v>
      </c>
      <c r="F2" s="24">
        <f>'11 - 2020'!C8-'11 - 2020'!C7</f>
        <v>5798</v>
      </c>
      <c r="G2" s="22">
        <v>0.11799999999999999</v>
      </c>
      <c r="H2" s="24">
        <f>'11 - 2020'!E8-'11 - 2020'!E7</f>
        <v>16</v>
      </c>
      <c r="I2" s="24">
        <f>'11 - 2020'!F8-'11 - 2020'!F7</f>
        <v>4</v>
      </c>
      <c r="J2" s="24">
        <f>'11 - 2020'!G8-'11 - 2020'!G7</f>
        <v>29</v>
      </c>
      <c r="K2" s="22">
        <v>0.74</v>
      </c>
      <c r="L2" s="24">
        <v>40</v>
      </c>
      <c r="M2" s="12"/>
    </row>
    <row r="3" spans="1:13" x14ac:dyDescent="0.25">
      <c r="A3" t="s">
        <v>27</v>
      </c>
      <c r="B3">
        <f>B2+1</f>
        <v>2</v>
      </c>
      <c r="C3" s="22">
        <v>11</v>
      </c>
      <c r="D3" s="22">
        <v>2020</v>
      </c>
      <c r="E3" s="24">
        <f>'11 - 2020'!B9-'11 - 2020'!B8</f>
        <v>3347.41</v>
      </c>
      <c r="F3" s="24">
        <f>'11 - 2020'!C9-'11 - 2020'!C8</f>
        <v>5505</v>
      </c>
      <c r="G3" s="22">
        <v>0.11799999999999999</v>
      </c>
      <c r="H3" s="24">
        <f>'11 - 2020'!E9-'11 - 2020'!E8</f>
        <v>22</v>
      </c>
      <c r="I3" s="24">
        <f>'11 - 2020'!F9-'11 - 2020'!F8</f>
        <v>5</v>
      </c>
      <c r="J3" s="24">
        <f>'11 - 2020'!G9-'11 - 2020'!G8</f>
        <v>26</v>
      </c>
      <c r="K3" s="22">
        <v>0.74</v>
      </c>
      <c r="L3" s="48">
        <v>44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11</v>
      </c>
      <c r="D4" s="22">
        <v>2020</v>
      </c>
      <c r="E4" s="24">
        <f>'11 - 2020'!B10-'11 - 2020'!B9</f>
        <v>3455.3999999999996</v>
      </c>
      <c r="F4" s="24">
        <f>'11 - 2020'!C10-'11 - 2020'!C9</f>
        <v>5584</v>
      </c>
      <c r="G4" s="22">
        <v>0.11799999999999999</v>
      </c>
      <c r="H4" s="24">
        <f>'11 - 2020'!E10-'11 - 2020'!E9</f>
        <v>25</v>
      </c>
      <c r="I4" s="24">
        <f>'11 - 2020'!F10-'11 - 2020'!F9</f>
        <v>5.6100000000001273</v>
      </c>
      <c r="J4" s="24">
        <f>'11 - 2020'!G10-'11 - 2020'!G9</f>
        <v>27.970000000001164</v>
      </c>
      <c r="K4" s="22">
        <v>0.74</v>
      </c>
      <c r="L4" s="48">
        <v>40</v>
      </c>
      <c r="M4" s="12"/>
    </row>
    <row r="5" spans="1:13" x14ac:dyDescent="0.25">
      <c r="A5" t="s">
        <v>27</v>
      </c>
      <c r="B5">
        <f t="shared" si="0"/>
        <v>4</v>
      </c>
      <c r="C5" s="22">
        <v>11</v>
      </c>
      <c r="D5" s="22">
        <v>2020</v>
      </c>
      <c r="E5" s="24">
        <f>'11 - 2020'!B11-'11 - 2020'!B10</f>
        <v>3415.3999999999996</v>
      </c>
      <c r="F5" s="24">
        <f>'11 - 2020'!C11-'11 - 2020'!C10</f>
        <v>5584</v>
      </c>
      <c r="G5" s="22">
        <v>0.11799999999999999</v>
      </c>
      <c r="H5" s="24">
        <f>'11 - 2020'!E11-'11 - 2020'!E10</f>
        <v>16.1299999999992</v>
      </c>
      <c r="I5" s="24">
        <f>'11 - 2020'!F11-'11 - 2020'!F10</f>
        <v>4.4000000000000909</v>
      </c>
      <c r="J5" s="24">
        <f>'11 - 2020'!G11-'11 - 2020'!G10</f>
        <v>25.619999999998981</v>
      </c>
      <c r="K5" s="22">
        <v>0.74</v>
      </c>
      <c r="L5" s="48">
        <v>50</v>
      </c>
      <c r="M5" s="12"/>
    </row>
    <row r="6" spans="1:13" x14ac:dyDescent="0.25">
      <c r="A6" t="s">
        <v>27</v>
      </c>
      <c r="B6">
        <f t="shared" si="0"/>
        <v>5</v>
      </c>
      <c r="C6" s="22">
        <v>11</v>
      </c>
      <c r="D6" s="22">
        <v>2020</v>
      </c>
      <c r="E6" s="24">
        <f>'11 - 2020'!B12-'11 - 2020'!B11</f>
        <v>3731.7999999999993</v>
      </c>
      <c r="F6" s="24">
        <f>'11 - 2020'!C12-'11 - 2020'!C11</f>
        <v>6112</v>
      </c>
      <c r="G6" s="22">
        <v>0.11799999999999999</v>
      </c>
      <c r="H6" s="24">
        <f>'11 - 2020'!E12-'11 - 2020'!E11</f>
        <v>21.3700000000008</v>
      </c>
      <c r="I6" s="24">
        <f>'11 - 2020'!F12-'11 - 2020'!F11</f>
        <v>4.4899999999997817</v>
      </c>
      <c r="J6" s="24">
        <f>'11 - 2020'!G12-'11 - 2020'!G11</f>
        <v>26.81000000000131</v>
      </c>
      <c r="K6" s="22">
        <v>0.74</v>
      </c>
      <c r="L6" s="48">
        <v>51</v>
      </c>
      <c r="M6" s="13"/>
    </row>
    <row r="7" spans="1:13" x14ac:dyDescent="0.25">
      <c r="A7" t="s">
        <v>27</v>
      </c>
      <c r="B7">
        <f t="shared" si="0"/>
        <v>6</v>
      </c>
      <c r="C7" s="22">
        <v>11</v>
      </c>
      <c r="D7" s="22">
        <v>2020</v>
      </c>
      <c r="E7" s="24">
        <f>'11 - 2020'!B13-'11 - 2020'!B12</f>
        <v>3095.4000000000015</v>
      </c>
      <c r="F7" s="24">
        <f>'11 - 2020'!C13-'11 - 2020'!C12</f>
        <v>5238</v>
      </c>
      <c r="G7" s="22">
        <v>0.11799999999999999</v>
      </c>
      <c r="H7" s="24">
        <f>'11 - 2020'!E13-'11 - 2020'!E12</f>
        <v>25.239999999999782</v>
      </c>
      <c r="I7" s="24">
        <f>'11 - 2020'!F13-'11 - 2020'!F12</f>
        <v>4.5</v>
      </c>
      <c r="J7" s="24">
        <f>'11 - 2020'!G13-'11 - 2020'!G12</f>
        <v>31.289999999997235</v>
      </c>
      <c r="K7" s="22">
        <v>0.74</v>
      </c>
      <c r="L7" s="48">
        <v>45</v>
      </c>
      <c r="M7" s="13"/>
    </row>
    <row r="8" spans="1:13" x14ac:dyDescent="0.25">
      <c r="A8" t="s">
        <v>27</v>
      </c>
      <c r="B8">
        <f t="shared" si="0"/>
        <v>7</v>
      </c>
      <c r="C8" s="22">
        <v>11</v>
      </c>
      <c r="D8" s="22">
        <v>2020</v>
      </c>
      <c r="E8" s="24">
        <f>'11 - 2020'!B14-'11 - 2020'!B13</f>
        <v>3675</v>
      </c>
      <c r="F8" s="24">
        <f>'11 - 2020'!C14-'11 - 2020'!C13</f>
        <v>5890</v>
      </c>
      <c r="G8" s="22">
        <v>0.11799999999999999</v>
      </c>
      <c r="H8" s="24">
        <f>'11 - 2020'!E14-'11 - 2020'!E13</f>
        <v>25.040000000000873</v>
      </c>
      <c r="I8" s="24">
        <f>'11 - 2020'!F14-'11 - 2020'!F13</f>
        <v>4.5500000000001819</v>
      </c>
      <c r="J8" s="24">
        <f>'11 - 2020'!G14-'11 - 2020'!G13</f>
        <v>29.010000000002037</v>
      </c>
      <c r="K8" s="22">
        <v>0.74</v>
      </c>
      <c r="L8" s="48">
        <v>52</v>
      </c>
      <c r="M8" s="13"/>
    </row>
    <row r="9" spans="1:13" x14ac:dyDescent="0.25">
      <c r="A9" t="s">
        <v>27</v>
      </c>
      <c r="B9">
        <f t="shared" si="0"/>
        <v>8</v>
      </c>
      <c r="C9" s="22">
        <v>11</v>
      </c>
      <c r="D9" s="22">
        <v>2020</v>
      </c>
      <c r="E9" s="24">
        <f>'11 - 2020'!B15-'11 - 2020'!B14</f>
        <v>3404.2000000000007</v>
      </c>
      <c r="F9" s="24">
        <f>'11 - 2020'!C15-'11 - 2020'!C14</f>
        <v>5718</v>
      </c>
      <c r="G9" s="22">
        <v>0.11799999999999999</v>
      </c>
      <c r="H9" s="24">
        <f>'11 - 2020'!E15-'11 - 2020'!E14</f>
        <v>21.869999999998981</v>
      </c>
      <c r="I9" s="24">
        <f>'11 - 2020'!F15-'11 - 2020'!F14</f>
        <v>4.2599999999997635</v>
      </c>
      <c r="J9" s="24">
        <f>'11 - 2020'!G15-'11 - 2020'!G14</f>
        <v>27.290000000000873</v>
      </c>
      <c r="K9" s="22">
        <v>0.74</v>
      </c>
      <c r="L9" s="48">
        <v>58</v>
      </c>
      <c r="M9" s="13"/>
    </row>
    <row r="10" spans="1:13" x14ac:dyDescent="0.25">
      <c r="A10" t="s">
        <v>27</v>
      </c>
      <c r="B10">
        <f t="shared" si="0"/>
        <v>9</v>
      </c>
      <c r="C10" s="22">
        <v>11</v>
      </c>
      <c r="D10" s="22">
        <v>2020</v>
      </c>
      <c r="E10" s="24">
        <f>'11 - 2020'!B16-'11 - 2020'!B15</f>
        <v>3689.7000000000007</v>
      </c>
      <c r="F10" s="24">
        <f>'11 - 2020'!C16-'11 - 2020'!C15</f>
        <v>5879</v>
      </c>
      <c r="G10" s="22">
        <v>0.11799999999999999</v>
      </c>
      <c r="H10" s="24">
        <f>'11 - 2020'!E16-'11 - 2020'!E15</f>
        <v>25.760000000000218</v>
      </c>
      <c r="I10" s="24">
        <f>'11 - 2020'!F16-'11 - 2020'!F15</f>
        <v>4.75</v>
      </c>
      <c r="J10" s="24">
        <f>'11 - 2020'!G16-'11 - 2020'!G15</f>
        <v>29.229999999999563</v>
      </c>
      <c r="K10" s="22">
        <v>0.74</v>
      </c>
      <c r="L10" s="48">
        <v>60</v>
      </c>
      <c r="M10" s="13"/>
    </row>
    <row r="11" spans="1:13" x14ac:dyDescent="0.25">
      <c r="A11" t="s">
        <v>27</v>
      </c>
      <c r="B11">
        <f t="shared" si="0"/>
        <v>10</v>
      </c>
      <c r="C11" s="22">
        <v>11</v>
      </c>
      <c r="D11" s="22">
        <v>2020</v>
      </c>
      <c r="E11" s="24">
        <f>'11 - 2020'!B17-'11 - 2020'!B16</f>
        <v>3307.7999999999956</v>
      </c>
      <c r="F11" s="24">
        <f>'11 - 2020'!C17-'11 - 2020'!C16</f>
        <v>5666</v>
      </c>
      <c r="G11" s="22">
        <v>0.11799999999999999</v>
      </c>
      <c r="H11" s="24">
        <f>'11 - 2020'!E17-'11 - 2020'!E16</f>
        <v>8.9600000000009459</v>
      </c>
      <c r="I11" s="24">
        <f>'11 - 2020'!F17-'11 - 2020'!F16</f>
        <v>4.6100000000001273</v>
      </c>
      <c r="J11" s="24">
        <f>'11 - 2020'!G17-'11 - 2020'!G16</f>
        <v>28.369999999998981</v>
      </c>
      <c r="K11" s="22">
        <v>0.74</v>
      </c>
      <c r="L11" s="48">
        <v>60</v>
      </c>
      <c r="M11" s="13"/>
    </row>
    <row r="12" spans="1:13" x14ac:dyDescent="0.25">
      <c r="A12" t="s">
        <v>27</v>
      </c>
      <c r="B12">
        <f t="shared" si="0"/>
        <v>11</v>
      </c>
      <c r="C12" s="22">
        <v>11</v>
      </c>
      <c r="D12" s="22">
        <v>2020</v>
      </c>
      <c r="E12" s="24">
        <f>'11 - 2020'!B18-'11 - 2020'!B17</f>
        <v>3388.5</v>
      </c>
      <c r="F12" s="24">
        <f>'11 - 2020'!C18-'11 - 2020'!C17</f>
        <v>5681</v>
      </c>
      <c r="G12" s="22">
        <v>0.11799999999999999</v>
      </c>
      <c r="H12" s="24">
        <f>'11 - 2020'!E18-'11 - 2020'!E17</f>
        <v>8.6999999999989086</v>
      </c>
      <c r="I12" s="24">
        <f>'11 - 2020'!F18-'11 - 2020'!F17</f>
        <v>4.8099999999999454</v>
      </c>
      <c r="J12" s="24">
        <f>'11 - 2020'!G18-'11 - 2020'!G17</f>
        <v>27.650000000001455</v>
      </c>
      <c r="K12" s="22">
        <v>0.74</v>
      </c>
      <c r="L12" s="24">
        <v>63</v>
      </c>
      <c r="M12" s="13"/>
    </row>
    <row r="13" spans="1:13" x14ac:dyDescent="0.25">
      <c r="A13" t="s">
        <v>27</v>
      </c>
      <c r="B13">
        <f t="shared" si="0"/>
        <v>12</v>
      </c>
      <c r="C13" s="22">
        <v>11</v>
      </c>
      <c r="D13" s="22">
        <v>2020</v>
      </c>
      <c r="E13" s="24">
        <f>'11 - 2020'!B19-'11 - 2020'!B18</f>
        <v>3684.6000000000058</v>
      </c>
      <c r="F13" s="24">
        <f>'11 - 2020'!C19-'11 - 2020'!C18</f>
        <v>6330</v>
      </c>
      <c r="G13" s="22">
        <v>0.11799999999999999</v>
      </c>
      <c r="H13" s="24">
        <f>'11 - 2020'!E19-'11 - 2020'!E18</f>
        <v>8.2200000000011642</v>
      </c>
      <c r="I13" s="24">
        <f>'11 - 2020'!F19-'11 - 2020'!F18</f>
        <v>3.7899999999999636</v>
      </c>
      <c r="J13" s="24">
        <f>'11 - 2020'!G19-'11 - 2020'!G18</f>
        <v>32.129999999997381</v>
      </c>
      <c r="K13" s="22">
        <v>0.74</v>
      </c>
      <c r="L13" s="24">
        <v>75</v>
      </c>
      <c r="M13" s="13"/>
    </row>
    <row r="14" spans="1:13" x14ac:dyDescent="0.25">
      <c r="A14" t="s">
        <v>27</v>
      </c>
      <c r="B14">
        <f t="shared" si="0"/>
        <v>13</v>
      </c>
      <c r="C14" s="22">
        <v>11</v>
      </c>
      <c r="D14" s="22">
        <v>2020</v>
      </c>
      <c r="E14" s="24">
        <f>'11 - 2020'!B20-'11 - 2020'!B19</f>
        <v>3620.2999999999956</v>
      </c>
      <c r="F14" s="24">
        <f>'11 - 2020'!C20-'11 - 2020'!C19</f>
        <v>6374</v>
      </c>
      <c r="G14" s="22">
        <v>0.11799999999999999</v>
      </c>
      <c r="H14" s="24">
        <f>'11 - 2020'!E20-'11 - 2020'!E19</f>
        <v>1.5999999999985448</v>
      </c>
      <c r="I14" s="24">
        <f>'11 - 2020'!F20-'11 - 2020'!F19</f>
        <v>4.5100000000002183</v>
      </c>
      <c r="J14" s="24">
        <f>'11 - 2020'!G20-'11 - 2020'!G19</f>
        <v>35.450000000000728</v>
      </c>
      <c r="K14" s="22">
        <v>0.74</v>
      </c>
      <c r="L14" s="24">
        <v>79</v>
      </c>
      <c r="M14" s="13"/>
    </row>
    <row r="15" spans="1:13" x14ac:dyDescent="0.25">
      <c r="A15" t="s">
        <v>27</v>
      </c>
      <c r="B15">
        <f t="shared" si="0"/>
        <v>14</v>
      </c>
      <c r="C15" s="22">
        <v>11</v>
      </c>
      <c r="D15" s="22">
        <v>2020</v>
      </c>
      <c r="E15" s="24">
        <f>'11 - 2020'!B21-'11 - 2020'!B20</f>
        <v>3401</v>
      </c>
      <c r="F15" s="24">
        <f>'11 - 2020'!C21-'11 - 2020'!C20</f>
        <v>5679</v>
      </c>
      <c r="G15" s="22">
        <v>0.11799999999999999</v>
      </c>
      <c r="H15" s="24">
        <f>'11 - 2020'!E21-'11 - 2020'!E20</f>
        <v>6.4899999999997817</v>
      </c>
      <c r="I15" s="24">
        <f>'11 - 2020'!F21-'11 - 2020'!F20</f>
        <v>4.419999999999618</v>
      </c>
      <c r="J15" s="24">
        <f>'11 - 2020'!G21-'11 - 2020'!G20</f>
        <v>33.420000000001892</v>
      </c>
      <c r="K15" s="22">
        <v>0.74</v>
      </c>
      <c r="L15" s="24">
        <v>70</v>
      </c>
      <c r="M15" s="13"/>
    </row>
    <row r="16" spans="1:13" x14ac:dyDescent="0.25">
      <c r="A16" t="s">
        <v>27</v>
      </c>
      <c r="B16">
        <f t="shared" si="0"/>
        <v>15</v>
      </c>
      <c r="C16" s="22">
        <v>11</v>
      </c>
      <c r="D16" s="22">
        <v>2020</v>
      </c>
      <c r="E16" s="24">
        <f>'11 - 2020'!B22-'11 - 2020'!B21</f>
        <v>3535.3000000000029</v>
      </c>
      <c r="F16" s="24">
        <f>'11 - 2020'!C22-'11 - 2020'!C21</f>
        <v>6044</v>
      </c>
      <c r="G16" s="22">
        <v>0.11799999999999999</v>
      </c>
      <c r="H16" s="24">
        <f>'11 - 2020'!E22-'11 - 2020'!E21</f>
        <v>2</v>
      </c>
      <c r="I16" s="24">
        <f>'11 - 2020'!F22-'11 - 2020'!F21</f>
        <v>4.0300000000002001</v>
      </c>
      <c r="J16" s="24">
        <f>'11 - 2020'!G22-'11 - 2020'!G21</f>
        <v>27.909999999999854</v>
      </c>
      <c r="K16" s="22">
        <v>0.74</v>
      </c>
      <c r="L16" s="24">
        <v>68</v>
      </c>
      <c r="M16" s="13"/>
    </row>
    <row r="17" spans="1:13" x14ac:dyDescent="0.25">
      <c r="A17" t="s">
        <v>27</v>
      </c>
      <c r="B17">
        <f t="shared" si="0"/>
        <v>16</v>
      </c>
      <c r="C17" s="22">
        <v>11</v>
      </c>
      <c r="D17" s="22">
        <v>2020</v>
      </c>
      <c r="E17" s="24">
        <v>0</v>
      </c>
      <c r="F17" s="24">
        <v>0</v>
      </c>
      <c r="G17" s="22">
        <v>0.11799999999999999</v>
      </c>
      <c r="H17" s="24">
        <v>0</v>
      </c>
      <c r="I17" s="24">
        <v>0</v>
      </c>
      <c r="J17" s="24">
        <v>0</v>
      </c>
      <c r="K17" s="22">
        <v>0.74</v>
      </c>
      <c r="L17" s="24"/>
      <c r="M17" s="13"/>
    </row>
    <row r="18" spans="1:13" x14ac:dyDescent="0.25">
      <c r="A18" t="s">
        <v>27</v>
      </c>
      <c r="B18">
        <f t="shared" si="0"/>
        <v>17</v>
      </c>
      <c r="C18" s="22">
        <v>11</v>
      </c>
      <c r="D18" s="22">
        <v>2020</v>
      </c>
      <c r="E18" s="24">
        <f>'11 - 2020'!B24-'11 - 2020'!B23</f>
        <v>0</v>
      </c>
      <c r="F18" s="24">
        <f>'11 - 2020'!C24-'11 - 2020'!C23</f>
        <v>0</v>
      </c>
      <c r="G18" s="22">
        <v>0.11799999999999999</v>
      </c>
      <c r="H18" s="24">
        <f>'11 - 2020'!E24-'11 - 2020'!E23</f>
        <v>0</v>
      </c>
      <c r="I18" s="24">
        <f>'11 - 2020'!F24-'11 - 2020'!F23</f>
        <v>0</v>
      </c>
      <c r="J18" s="24">
        <f>'11 - 2020'!G24-'11 - 2020'!G23</f>
        <v>0</v>
      </c>
      <c r="K18" s="22">
        <v>0.74</v>
      </c>
      <c r="L18" s="24"/>
      <c r="M18" s="13"/>
    </row>
    <row r="19" spans="1:13" x14ac:dyDescent="0.25">
      <c r="A19" t="s">
        <v>27</v>
      </c>
      <c r="B19">
        <f>B18+1</f>
        <v>18</v>
      </c>
      <c r="C19" s="22">
        <v>11</v>
      </c>
      <c r="D19" s="22">
        <v>2020</v>
      </c>
      <c r="E19" s="24">
        <f>'11 - 2020'!B25-'11 - 2020'!B24</f>
        <v>0</v>
      </c>
      <c r="F19" s="24">
        <f>'11 - 2020'!C25-'11 - 2020'!C24</f>
        <v>0</v>
      </c>
      <c r="G19" s="22">
        <v>0.11799999999999999</v>
      </c>
      <c r="H19" s="24">
        <f>'11 - 2020'!E25-'11 - 2020'!E24</f>
        <v>0</v>
      </c>
      <c r="I19" s="24">
        <f>'11 - 2020'!F25-'11 - 2020'!F24</f>
        <v>0</v>
      </c>
      <c r="J19" s="24">
        <f>'11 - 2020'!G25-'11 - 2020'!G24</f>
        <v>0</v>
      </c>
      <c r="K19" s="22">
        <v>0.74</v>
      </c>
      <c r="L19" s="24"/>
      <c r="M19" s="13"/>
    </row>
    <row r="20" spans="1:13" x14ac:dyDescent="0.25">
      <c r="A20" t="s">
        <v>27</v>
      </c>
      <c r="B20">
        <f t="shared" si="0"/>
        <v>19</v>
      </c>
      <c r="C20" s="22">
        <v>11</v>
      </c>
      <c r="D20" s="22">
        <v>2020</v>
      </c>
      <c r="E20" s="24">
        <f>'11 - 2020'!B26-'11 - 2020'!B25</f>
        <v>0</v>
      </c>
      <c r="F20" s="24">
        <f>'11 - 2020'!C26-'11 - 2020'!C25</f>
        <v>0</v>
      </c>
      <c r="G20" s="22">
        <v>0.11799999999999999</v>
      </c>
      <c r="H20" s="24">
        <f>'11 - 2020'!E26-'11 - 2020'!E25</f>
        <v>0</v>
      </c>
      <c r="I20" s="24">
        <f>'11 - 2020'!F26-'11 - 2020'!F25</f>
        <v>0</v>
      </c>
      <c r="J20" s="24">
        <f>'11 - 2020'!G26-'11 - 2020'!G25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11</v>
      </c>
      <c r="D21" s="22">
        <v>2020</v>
      </c>
      <c r="E21" s="24">
        <f>'11 - 2020'!B27-'11 - 2020'!B26</f>
        <v>0</v>
      </c>
      <c r="F21" s="24">
        <f>'11 - 2020'!C27-'11 - 2020'!C26</f>
        <v>0</v>
      </c>
      <c r="G21" s="22">
        <v>0.11799999999999999</v>
      </c>
      <c r="H21" s="24">
        <f>'11 - 2020'!E27-'11 - 2020'!E26</f>
        <v>0</v>
      </c>
      <c r="I21" s="24">
        <f>'11 - 2020'!F27-'11 - 2020'!F26</f>
        <v>0</v>
      </c>
      <c r="J21" s="24">
        <f>'11 - 2020'!G27-'11 - 2020'!G26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11</v>
      </c>
      <c r="D22" s="22">
        <v>2020</v>
      </c>
      <c r="E22" s="24">
        <f>'11 - 2020'!B28-'11 - 2020'!B27</f>
        <v>0</v>
      </c>
      <c r="F22" s="24">
        <f>'11 - 2020'!C28-'11 - 2020'!C27</f>
        <v>0</v>
      </c>
      <c r="G22" s="22">
        <v>0.11799999999999999</v>
      </c>
      <c r="H22" s="24">
        <f>'11 - 2020'!E28-'11 - 2020'!E27</f>
        <v>0</v>
      </c>
      <c r="I22" s="24">
        <f>'11 - 2020'!F28-'11 - 2020'!F27</f>
        <v>0</v>
      </c>
      <c r="J22" s="24">
        <f>'11 - 2020'!G28-'11 - 2020'!G27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11</v>
      </c>
      <c r="D23" s="22">
        <v>2020</v>
      </c>
      <c r="E23" s="24">
        <f>'11 - 2020'!B29-'11 - 2020'!B28</f>
        <v>0</v>
      </c>
      <c r="F23" s="24">
        <f>'11 - 2020'!C29-'11 - 2020'!C28</f>
        <v>0</v>
      </c>
      <c r="G23" s="22">
        <v>0.11799999999999999</v>
      </c>
      <c r="H23" s="24">
        <f>'11 - 2020'!E29-'11 - 2020'!E28</f>
        <v>0</v>
      </c>
      <c r="I23" s="24">
        <f>'11 - 2020'!F29-'11 - 2020'!F28</f>
        <v>0</v>
      </c>
      <c r="J23" s="24">
        <f>'11 - 2020'!G29-'11 - 2020'!G28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11</v>
      </c>
      <c r="D24" s="22">
        <v>2020</v>
      </c>
      <c r="E24" s="24">
        <f>'11 - 2020'!B30-'11 - 2020'!B29</f>
        <v>0</v>
      </c>
      <c r="F24" s="24">
        <f>'11 - 2020'!C30-'11 - 2020'!C29</f>
        <v>0</v>
      </c>
      <c r="G24" s="22">
        <v>0.11799999999999999</v>
      </c>
      <c r="H24" s="24">
        <f>'11 - 2020'!E30-'11 - 2020'!E29</f>
        <v>0</v>
      </c>
      <c r="I24" s="24">
        <f>'11 - 2020'!F30-'11 - 2020'!F29</f>
        <v>0</v>
      </c>
      <c r="J24" s="24">
        <f>'11 - 2020'!G30-'11 - 2020'!G29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11</v>
      </c>
      <c r="D25" s="22">
        <v>2020</v>
      </c>
      <c r="E25" s="24">
        <f>'11 - 2020'!B31-'11 - 2020'!B30</f>
        <v>0</v>
      </c>
      <c r="F25" s="24">
        <f>'11 - 2020'!C31-'11 - 2020'!C30</f>
        <v>0</v>
      </c>
      <c r="G25" s="22">
        <v>0.11799999999999999</v>
      </c>
      <c r="H25" s="24">
        <f>'11 - 2020'!E31-'11 - 2020'!E30</f>
        <v>0</v>
      </c>
      <c r="I25" s="24">
        <f>'11 - 2020'!F31-'11 - 2020'!F30</f>
        <v>0</v>
      </c>
      <c r="J25" s="24">
        <f>'11 - 2020'!G31-'11 - 2020'!G30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11</v>
      </c>
      <c r="D26" s="22">
        <v>2020</v>
      </c>
      <c r="E26" s="24">
        <f>'11 - 2020'!B32-'11 - 2020'!B31</f>
        <v>0</v>
      </c>
      <c r="F26" s="24">
        <f>'11 - 2020'!C32-'11 - 2020'!C31</f>
        <v>0</v>
      </c>
      <c r="G26" s="22">
        <v>0.11799999999999999</v>
      </c>
      <c r="H26" s="24">
        <f>'11 - 2020'!E32-'11 - 2020'!E31</f>
        <v>0</v>
      </c>
      <c r="I26" s="24">
        <f>'11 - 2020'!F32-'11 - 2020'!F31</f>
        <v>0</v>
      </c>
      <c r="J26" s="24">
        <f>'11 - 2020'!G32-'11 - 2020'!G31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11</v>
      </c>
      <c r="D27" s="22">
        <v>2020</v>
      </c>
      <c r="E27" s="24">
        <f>'11 - 2020'!B33-'11 - 2020'!B32</f>
        <v>0</v>
      </c>
      <c r="F27" s="24">
        <f>'11 - 2020'!C33-'11 - 2020'!C32</f>
        <v>0</v>
      </c>
      <c r="G27" s="22">
        <v>0.11799999999999999</v>
      </c>
      <c r="H27" s="24">
        <f>'11 - 2020'!E33-'11 - 2020'!E32</f>
        <v>0</v>
      </c>
      <c r="I27" s="24">
        <f>'11 - 2020'!F33-'11 - 2020'!F32</f>
        <v>0</v>
      </c>
      <c r="J27" s="24">
        <f>'11 - 2020'!G33-'11 - 2020'!G32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11</v>
      </c>
      <c r="D28" s="22">
        <v>2020</v>
      </c>
      <c r="E28" s="24">
        <f>'11 - 2020'!B34-'11 - 2020'!B33</f>
        <v>0</v>
      </c>
      <c r="F28" s="24">
        <f>'11 - 2020'!C34-'11 - 2020'!C33</f>
        <v>0</v>
      </c>
      <c r="G28" s="22">
        <v>0.11799999999999999</v>
      </c>
      <c r="H28" s="24">
        <f>'11 - 2020'!E34-'11 - 2020'!E33</f>
        <v>0</v>
      </c>
      <c r="I28" s="24">
        <f>'11 - 2020'!F34-'11 - 2020'!F33</f>
        <v>0</v>
      </c>
      <c r="J28" s="24">
        <f>'11 - 2020'!G34-'11 - 2020'!G33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11</v>
      </c>
      <c r="D29" s="22">
        <v>2020</v>
      </c>
      <c r="E29" s="24">
        <f>'11 - 2020'!B35-'11 - 2020'!B34</f>
        <v>0</v>
      </c>
      <c r="F29" s="24">
        <f>'11 - 2020'!C35-'11 - 2020'!C34</f>
        <v>0</v>
      </c>
      <c r="G29" s="22">
        <v>0.11799999999999999</v>
      </c>
      <c r="H29" s="24">
        <f>'11 - 2020'!E35-'11 - 2020'!E34</f>
        <v>0</v>
      </c>
      <c r="I29" s="24">
        <f>'11 - 2020'!F35-'11 - 2020'!F34</f>
        <v>0</v>
      </c>
      <c r="J29" s="24">
        <f>'11 - 2020'!G35-'11 - 2020'!G34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11</v>
      </c>
      <c r="D30" s="22">
        <v>2020</v>
      </c>
      <c r="E30" s="24">
        <f>'11 - 2020'!B36-'11 - 2020'!B35</f>
        <v>0</v>
      </c>
      <c r="F30" s="24">
        <f>'11 - 2020'!C36-'11 - 2020'!C35</f>
        <v>0</v>
      </c>
      <c r="G30" s="22">
        <v>0.11799999999999999</v>
      </c>
      <c r="H30" s="24">
        <f>'11 - 2020'!E36-'11 - 2020'!E35</f>
        <v>0</v>
      </c>
      <c r="I30" s="24">
        <f>'11 - 2020'!F36-'11 - 2020'!F35</f>
        <v>0</v>
      </c>
      <c r="J30" s="24">
        <f>'11 - 2020'!G36-'11 - 2020'!G35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11</v>
      </c>
      <c r="D31" s="22">
        <v>2020</v>
      </c>
      <c r="E31" s="24">
        <f>'11 - 2020'!B37-'11 - 2020'!B36</f>
        <v>0</v>
      </c>
      <c r="F31" s="24">
        <f>'11 - 2020'!C37-'11 - 2020'!C36</f>
        <v>0</v>
      </c>
      <c r="G31" s="22">
        <v>0.11799999999999999</v>
      </c>
      <c r="H31" s="24">
        <f>'11 - 2020'!E37-'11 - 2020'!E36</f>
        <v>0</v>
      </c>
      <c r="I31" s="24">
        <f>'11 - 2020'!F37-'11 - 2020'!F36</f>
        <v>0</v>
      </c>
      <c r="J31" s="24">
        <f>'11 - 2020'!G37-'11 - 2020'!G36</f>
        <v>0</v>
      </c>
      <c r="K31" s="22">
        <v>0.74</v>
      </c>
      <c r="L31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C28" sqref="C28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37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 t="s">
        <v>36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44135</v>
      </c>
      <c r="B7" s="15">
        <v>2300</v>
      </c>
      <c r="C7" s="15">
        <v>1616467</v>
      </c>
      <c r="D7" s="16">
        <v>0.28000000000000003</v>
      </c>
      <c r="E7" s="17">
        <v>12996</v>
      </c>
      <c r="F7" s="17">
        <v>2584</v>
      </c>
      <c r="G7" s="17">
        <v>22586</v>
      </c>
      <c r="H7" s="15">
        <v>14528</v>
      </c>
      <c r="I7" s="15">
        <v>100881</v>
      </c>
      <c r="J7" s="15">
        <v>42834712</v>
      </c>
      <c r="K7" s="52"/>
      <c r="L7" s="53"/>
      <c r="M7" s="46"/>
    </row>
    <row r="8" spans="1:15" ht="12.75" customHeight="1" x14ac:dyDescent="0.25">
      <c r="A8" s="45">
        <f>A7+1</f>
        <v>44136</v>
      </c>
      <c r="B8" s="34">
        <v>5655.59</v>
      </c>
      <c r="C8" s="35">
        <v>1622265</v>
      </c>
      <c r="D8" s="36">
        <v>0.85</v>
      </c>
      <c r="E8" s="37">
        <v>13012</v>
      </c>
      <c r="F8" s="37">
        <v>2588</v>
      </c>
      <c r="G8" s="37">
        <v>22615</v>
      </c>
      <c r="H8" s="38">
        <v>14528</v>
      </c>
      <c r="I8" s="38">
        <v>100952</v>
      </c>
      <c r="J8" s="38">
        <v>42857556</v>
      </c>
      <c r="K8" s="39"/>
      <c r="L8" s="40"/>
      <c r="M8" s="46"/>
    </row>
    <row r="9" spans="1:15" ht="12.75" customHeight="1" x14ac:dyDescent="0.25">
      <c r="A9" s="45">
        <f t="shared" ref="A9:A37" si="0">A8+1</f>
        <v>44137</v>
      </c>
      <c r="B9" s="25">
        <v>9003</v>
      </c>
      <c r="C9" s="19">
        <v>1627770</v>
      </c>
      <c r="D9" s="36">
        <v>0.8</v>
      </c>
      <c r="E9" s="21">
        <v>13034</v>
      </c>
      <c r="F9" s="21">
        <v>2593</v>
      </c>
      <c r="G9" s="21">
        <v>22641</v>
      </c>
      <c r="H9" s="19">
        <v>14528</v>
      </c>
      <c r="I9" s="15">
        <v>101012</v>
      </c>
      <c r="J9" s="15">
        <v>42879366</v>
      </c>
      <c r="K9" s="18"/>
      <c r="L9" s="30"/>
      <c r="M9" s="46"/>
    </row>
    <row r="10" spans="1:15" ht="12.75" customHeight="1" x14ac:dyDescent="0.25">
      <c r="A10" s="45">
        <f t="shared" si="0"/>
        <v>44138</v>
      </c>
      <c r="B10" s="15">
        <v>12458.4</v>
      </c>
      <c r="C10" s="15">
        <v>1633354</v>
      </c>
      <c r="D10" s="16">
        <v>0.75</v>
      </c>
      <c r="E10" s="21">
        <v>13059</v>
      </c>
      <c r="F10" s="21">
        <v>2598.61</v>
      </c>
      <c r="G10" s="21">
        <v>22668.97</v>
      </c>
      <c r="H10" s="19">
        <v>14528</v>
      </c>
      <c r="I10" s="15">
        <v>101066</v>
      </c>
      <c r="J10" s="61">
        <v>42903280</v>
      </c>
      <c r="K10" s="18"/>
      <c r="L10" s="30"/>
      <c r="M10" s="46"/>
    </row>
    <row r="11" spans="1:15" ht="12.75" customHeight="1" x14ac:dyDescent="0.25">
      <c r="A11" s="45">
        <f t="shared" si="0"/>
        <v>44139</v>
      </c>
      <c r="B11" s="15">
        <v>15873.8</v>
      </c>
      <c r="C11" s="15">
        <v>1638938</v>
      </c>
      <c r="D11" s="16">
        <v>0.7</v>
      </c>
      <c r="E11" s="21">
        <v>13075.13</v>
      </c>
      <c r="F11" s="21">
        <v>2603.0100000000002</v>
      </c>
      <c r="G11" s="21">
        <v>22694.59</v>
      </c>
      <c r="H11" s="19">
        <v>14528</v>
      </c>
      <c r="I11" s="15">
        <v>101126</v>
      </c>
      <c r="J11" s="15">
        <v>42922784</v>
      </c>
      <c r="K11" s="18"/>
      <c r="L11" s="30"/>
      <c r="M11" s="46"/>
    </row>
    <row r="12" spans="1:15" ht="12.75" customHeight="1" x14ac:dyDescent="0.25">
      <c r="A12" s="45">
        <f t="shared" si="0"/>
        <v>44140</v>
      </c>
      <c r="B12" s="63">
        <v>19605.599999999999</v>
      </c>
      <c r="C12" s="63">
        <v>1645050</v>
      </c>
      <c r="D12" s="16">
        <v>0.61</v>
      </c>
      <c r="E12" s="63">
        <v>13096.5</v>
      </c>
      <c r="F12" s="63">
        <v>2607.5</v>
      </c>
      <c r="G12" s="63">
        <v>22721.4</v>
      </c>
      <c r="H12" s="63">
        <v>14528</v>
      </c>
      <c r="I12" s="63">
        <v>101186</v>
      </c>
      <c r="J12" s="63">
        <v>42944848</v>
      </c>
      <c r="K12" s="18"/>
      <c r="L12" s="30"/>
      <c r="M12" s="46"/>
    </row>
    <row r="13" spans="1:15" ht="12.75" customHeight="1" x14ac:dyDescent="0.25">
      <c r="A13" s="45">
        <f t="shared" si="0"/>
        <v>44141</v>
      </c>
      <c r="B13" s="64">
        <v>22701</v>
      </c>
      <c r="C13" s="17">
        <v>1650288</v>
      </c>
      <c r="D13" s="16">
        <v>0.55000000000000004</v>
      </c>
      <c r="E13" s="21">
        <v>13121.74</v>
      </c>
      <c r="F13" s="21">
        <v>2612</v>
      </c>
      <c r="G13" s="21">
        <v>22752.69</v>
      </c>
      <c r="H13" s="15">
        <v>14528</v>
      </c>
      <c r="I13" s="17">
        <v>101255</v>
      </c>
      <c r="J13" s="17">
        <v>42964252</v>
      </c>
      <c r="K13" s="18"/>
      <c r="L13" s="30"/>
      <c r="M13" s="46"/>
    </row>
    <row r="14" spans="1:15" ht="12.75" customHeight="1" x14ac:dyDescent="0.25">
      <c r="A14" s="45">
        <f t="shared" si="0"/>
        <v>44142</v>
      </c>
      <c r="B14" s="15">
        <v>26376</v>
      </c>
      <c r="C14" s="15">
        <v>1656178</v>
      </c>
      <c r="D14" s="16">
        <v>0.48</v>
      </c>
      <c r="E14" s="21">
        <v>13146.78</v>
      </c>
      <c r="F14" s="21">
        <v>2616.5500000000002</v>
      </c>
      <c r="G14" s="17">
        <v>22781.7</v>
      </c>
      <c r="H14" s="15">
        <v>14528</v>
      </c>
      <c r="I14" s="15">
        <v>101324</v>
      </c>
      <c r="J14" s="15">
        <v>42983604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44143</v>
      </c>
      <c r="B15" s="15">
        <v>29780.2</v>
      </c>
      <c r="C15" s="15">
        <v>1661896</v>
      </c>
      <c r="D15" s="16">
        <v>0.4</v>
      </c>
      <c r="E15" s="21">
        <v>13168.65</v>
      </c>
      <c r="F15" s="21">
        <v>2620.81</v>
      </c>
      <c r="G15" s="17">
        <v>22808.99</v>
      </c>
      <c r="H15" s="15">
        <v>14528</v>
      </c>
      <c r="I15" s="15">
        <v>101404</v>
      </c>
      <c r="J15" s="15">
        <v>43001935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44144</v>
      </c>
      <c r="B16" s="46">
        <v>33469.9</v>
      </c>
      <c r="C16" s="15">
        <v>1667775</v>
      </c>
      <c r="D16" s="16">
        <v>0.35</v>
      </c>
      <c r="E16" s="21">
        <v>13194.41</v>
      </c>
      <c r="F16" s="21">
        <v>2625.56</v>
      </c>
      <c r="G16" s="17">
        <v>22838.22</v>
      </c>
      <c r="H16" s="15">
        <v>14528</v>
      </c>
      <c r="I16" s="15">
        <v>101494</v>
      </c>
      <c r="J16" s="15">
        <v>43023907</v>
      </c>
      <c r="K16" s="18"/>
      <c r="L16" s="30"/>
      <c r="M16" s="46"/>
    </row>
    <row r="17" spans="1:16" ht="12.75" customHeight="1" x14ac:dyDescent="0.25">
      <c r="A17" s="45">
        <f t="shared" si="0"/>
        <v>44145</v>
      </c>
      <c r="B17" s="17">
        <v>36777.699999999997</v>
      </c>
      <c r="C17" s="17">
        <v>1673441</v>
      </c>
      <c r="D17" s="26">
        <v>0.3</v>
      </c>
      <c r="E17" s="21">
        <v>13203.37</v>
      </c>
      <c r="F17" s="21">
        <v>2630.17</v>
      </c>
      <c r="G17" s="17">
        <v>22866.59</v>
      </c>
      <c r="H17" s="15">
        <v>14528</v>
      </c>
      <c r="I17" s="17">
        <v>101572</v>
      </c>
      <c r="J17" s="17">
        <v>43047626</v>
      </c>
      <c r="K17" s="18"/>
      <c r="L17" s="30"/>
      <c r="M17" s="46"/>
    </row>
    <row r="18" spans="1:16" ht="12.75" customHeight="1" x14ac:dyDescent="0.25">
      <c r="A18" s="45">
        <f t="shared" si="0"/>
        <v>44146</v>
      </c>
      <c r="B18" s="15">
        <v>40166.199999999997</v>
      </c>
      <c r="C18" s="15">
        <v>1679122</v>
      </c>
      <c r="D18" s="16">
        <v>0.8</v>
      </c>
      <c r="E18" s="21">
        <v>13212.07</v>
      </c>
      <c r="F18" s="21">
        <v>2634.98</v>
      </c>
      <c r="G18" s="17">
        <v>22894.240000000002</v>
      </c>
      <c r="H18" s="15">
        <v>14528</v>
      </c>
      <c r="I18" s="15">
        <v>101632</v>
      </c>
      <c r="J18" s="15">
        <v>43073228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44147</v>
      </c>
      <c r="B19" s="57">
        <v>43850.8</v>
      </c>
      <c r="C19" s="57">
        <v>1685452</v>
      </c>
      <c r="D19" s="16">
        <v>0.73</v>
      </c>
      <c r="E19" s="58">
        <v>13220.29</v>
      </c>
      <c r="F19" s="21">
        <v>2638.77</v>
      </c>
      <c r="G19" s="58">
        <v>22926.37</v>
      </c>
      <c r="H19" s="15">
        <v>14528</v>
      </c>
      <c r="I19" s="57">
        <v>101678</v>
      </c>
      <c r="J19" s="57">
        <v>43096208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44148</v>
      </c>
      <c r="B20" s="57">
        <v>47471.1</v>
      </c>
      <c r="C20" s="57">
        <v>1691826</v>
      </c>
      <c r="D20" s="16">
        <v>0.65</v>
      </c>
      <c r="E20" s="58">
        <v>13221.89</v>
      </c>
      <c r="F20" s="21">
        <v>2643.28</v>
      </c>
      <c r="G20" s="58">
        <v>22961.82</v>
      </c>
      <c r="H20" s="15">
        <v>14528</v>
      </c>
      <c r="I20" s="57">
        <v>101784</v>
      </c>
      <c r="J20" s="57">
        <v>43120440</v>
      </c>
      <c r="K20" s="18"/>
      <c r="L20" s="30"/>
      <c r="M20" s="46"/>
    </row>
    <row r="21" spans="1:16" ht="12.75" customHeight="1" x14ac:dyDescent="0.25">
      <c r="A21" s="45">
        <f t="shared" si="0"/>
        <v>44149</v>
      </c>
      <c r="B21" s="57">
        <v>50872.1</v>
      </c>
      <c r="C21" s="57">
        <v>1697505</v>
      </c>
      <c r="D21" s="16">
        <v>0.57999999999999996</v>
      </c>
      <c r="E21" s="58">
        <v>13228.38</v>
      </c>
      <c r="F21" s="21">
        <v>2647.7</v>
      </c>
      <c r="G21" s="58">
        <v>22995.24</v>
      </c>
      <c r="H21" s="15">
        <v>14528</v>
      </c>
      <c r="I21" s="57">
        <v>101844</v>
      </c>
      <c r="J21" s="57">
        <v>43142580</v>
      </c>
      <c r="K21" s="18"/>
      <c r="L21" s="30"/>
      <c r="M21" s="46"/>
    </row>
    <row r="22" spans="1:16" ht="12.75" customHeight="1" x14ac:dyDescent="0.25">
      <c r="A22" s="45">
        <f t="shared" si="0"/>
        <v>44150</v>
      </c>
      <c r="B22" s="57">
        <v>54407.4</v>
      </c>
      <c r="C22" s="57">
        <v>1703549</v>
      </c>
      <c r="D22" s="16">
        <v>0.52</v>
      </c>
      <c r="E22" s="58">
        <v>13230.38</v>
      </c>
      <c r="F22" s="21">
        <v>2651.73</v>
      </c>
      <c r="G22" s="58">
        <v>23023.15</v>
      </c>
      <c r="H22" s="15">
        <v>14528</v>
      </c>
      <c r="I22" s="58">
        <v>101974</v>
      </c>
      <c r="J22" s="57">
        <v>43164744</v>
      </c>
      <c r="K22" s="25"/>
      <c r="L22" s="30"/>
      <c r="M22" s="46"/>
    </row>
    <row r="23" spans="1:16" ht="12.75" customHeight="1" x14ac:dyDescent="0.25">
      <c r="A23" s="45">
        <f t="shared" si="0"/>
        <v>44151</v>
      </c>
      <c r="B23" s="57"/>
      <c r="C23" s="57"/>
      <c r="D23" s="16"/>
      <c r="E23" s="58"/>
      <c r="F23" s="21"/>
      <c r="G23" s="58"/>
      <c r="H23" s="15"/>
      <c r="I23" s="57"/>
      <c r="J23" s="57"/>
      <c r="K23" s="25"/>
      <c r="L23" s="30"/>
      <c r="M23" s="46"/>
    </row>
    <row r="24" spans="1:16" ht="12.75" customHeight="1" x14ac:dyDescent="0.25">
      <c r="A24" s="45">
        <f t="shared" si="0"/>
        <v>44152</v>
      </c>
      <c r="B24" s="57"/>
      <c r="C24" s="57"/>
      <c r="D24" s="16"/>
      <c r="E24" s="58"/>
      <c r="F24" s="21"/>
      <c r="G24" s="58"/>
      <c r="H24" s="15"/>
      <c r="I24" s="57"/>
      <c r="J24" s="57"/>
      <c r="K24" s="18"/>
      <c r="L24" s="31"/>
      <c r="M24" s="46"/>
    </row>
    <row r="25" spans="1:16" ht="12.75" customHeight="1" x14ac:dyDescent="0.25">
      <c r="A25" s="45">
        <f t="shared" si="0"/>
        <v>44153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f t="shared" si="0"/>
        <v>44154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f t="shared" si="0"/>
        <v>44155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f t="shared" si="0"/>
        <v>44156</v>
      </c>
      <c r="B28" s="59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f t="shared" si="0"/>
        <v>44157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44158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44159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44160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44161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44162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44163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44164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44165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7" t="s">
        <v>35</v>
      </c>
      <c r="B38" s="33">
        <f>B37-B7</f>
        <v>-2300</v>
      </c>
      <c r="C38" s="33">
        <f>C37-C7</f>
        <v>-1616467</v>
      </c>
      <c r="D38" s="33"/>
      <c r="E38" s="33">
        <f t="shared" ref="E38:K38" si="1">E37-E7</f>
        <v>-12996</v>
      </c>
      <c r="F38" s="33">
        <f t="shared" si="1"/>
        <v>-2584</v>
      </c>
      <c r="G38" s="33">
        <f t="shared" si="1"/>
        <v>-22586</v>
      </c>
      <c r="H38" s="33">
        <f t="shared" si="1"/>
        <v>-14528</v>
      </c>
      <c r="I38" s="33">
        <f t="shared" si="1"/>
        <v>-100881</v>
      </c>
      <c r="J38" s="33">
        <f t="shared" si="1"/>
        <v>-42834712</v>
      </c>
      <c r="K38" s="33">
        <f t="shared" si="1"/>
        <v>0</v>
      </c>
      <c r="M38" s="46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-22190692.688999999</v>
      </c>
      <c r="J39" s="24"/>
      <c r="K39" s="22"/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-702957052.04140794</v>
      </c>
      <c r="I40" s="33">
        <f>I39*219.969</f>
        <v>-4881264480.1066408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11 - 2020</vt:lpstr>
      <vt:lpstr>'11 - 2020'!Print_Area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2020-11-15T04:29:07Z</dcterms:modified>
</cp:coreProperties>
</file>