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<sst xmlns="http://schemas.openxmlformats.org/spreadsheetml/2006/main" count="128" uniqueCount="49">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</sst>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54730</v>
      </c>
      <c r="F11" s="11">
        <v>5.0000000000000001E-3</v>
      </c>
      <c r="G11" s="12">
        <f>Submetering!R11</f>
        <v>554.94110599999999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57600</v>
      </c>
      <c r="F12" s="11">
        <v>5.0000000000000001E-3</v>
      </c>
      <c r="G12" s="12">
        <f>Submetering!R12</f>
        <v>548.50590899999997</v>
      </c>
      <c r="H12" s="11">
        <v>0.52800000000000002</v>
      </c>
      <c r="I12" s="12">
        <f>Hotel!B17</f>
        <v>61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56280</v>
      </c>
      <c r="F13" s="11">
        <v>5.0000000000000001E-3</v>
      </c>
      <c r="G13" s="12">
        <f>Submetering!R13</f>
        <v>522.76512099999991</v>
      </c>
      <c r="H13" s="11">
        <v>0.52800000000000002</v>
      </c>
      <c r="I13" s="12">
        <f>Hotel!B18</f>
        <v>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59380</v>
      </c>
      <c r="F14" s="11">
        <v>5.0000000000000001E-3</v>
      </c>
      <c r="G14" s="12">
        <f>Submetering!R14</f>
        <v>623.45702700000004</v>
      </c>
      <c r="H14" s="11">
        <v>0.52800000000000002</v>
      </c>
      <c r="I14" s="12">
        <f>Hotel!B19</f>
        <v>87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55640</v>
      </c>
      <c r="F15" s="11">
        <v>5.0000000000000001E-3</v>
      </c>
      <c r="G15" s="12">
        <f>Submetering!R15</f>
        <v>508.38056299999994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55890</v>
      </c>
      <c r="F16" s="11">
        <v>5.0000000000000001E-3</v>
      </c>
      <c r="G16" s="12">
        <f>Submetering!R16</f>
        <v>1051.9654390000001</v>
      </c>
      <c r="H16" s="11">
        <v>0.52800000000000002</v>
      </c>
      <c r="I16" s="12">
        <f>Hotel!B21</f>
        <v>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57450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43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55470</v>
      </c>
      <c r="F18" s="11">
        <v>5.0000000000000001E-3</v>
      </c>
      <c r="G18" s="12">
        <f>Submetering!R18</f>
        <v>620.05015800000001</v>
      </c>
      <c r="H18" s="11">
        <v>0.52800000000000002</v>
      </c>
      <c r="I18" s="12">
        <f>Hotel!B23</f>
        <v>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58280</v>
      </c>
      <c r="F19" s="11">
        <v>5.0000000000000001E-3</v>
      </c>
      <c r="G19" s="12">
        <f>Submetering!R19</f>
        <v>612.47933799999998</v>
      </c>
      <c r="H19" s="11">
        <v>0.52800000000000002</v>
      </c>
      <c r="I19" s="12">
        <f>Hotel!B24</f>
        <v>71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59250</v>
      </c>
      <c r="F20" s="11">
        <v>5.0000000000000001E-3</v>
      </c>
      <c r="G20" s="12">
        <f>Submetering!R20</f>
        <v>571.21836899999994</v>
      </c>
      <c r="H20" s="11">
        <v>0.52800000000000002</v>
      </c>
      <c r="I20" s="12">
        <f>Hotel!B25</f>
        <v>64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62690</v>
      </c>
      <c r="F21" s="11">
        <v>5.0000000000000001E-3</v>
      </c>
      <c r="G21" s="12">
        <f>Submetering!R21</f>
        <v>607.17976399999998</v>
      </c>
      <c r="H21" s="11">
        <v>0.52800000000000002</v>
      </c>
      <c r="I21" s="12">
        <f>Hotel!B26</f>
        <v>103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58960</v>
      </c>
      <c r="F22" s="11">
        <v>5.0000000000000001E-3</v>
      </c>
      <c r="G22" s="12">
        <f>Submetering!R22</f>
        <v>454.62774100000001</v>
      </c>
      <c r="H22" s="11">
        <v>0.52800000000000002</v>
      </c>
      <c r="I22" s="12">
        <f>Hotel!B27</f>
        <v>91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57870</v>
      </c>
      <c r="F23" s="11">
        <v>5.0000000000000001E-3</v>
      </c>
      <c r="G23" s="12">
        <f>Submetering!R23</f>
        <v>457.656069</v>
      </c>
      <c r="H23" s="11">
        <v>0.52800000000000002</v>
      </c>
      <c r="I23" s="12">
        <f>Hotel!B28</f>
        <v>71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59250</v>
      </c>
      <c r="F24" s="11">
        <v>5.0000000000000001E-3</v>
      </c>
      <c r="G24" s="12">
        <f>Submetering!R24</f>
        <v>773.35926299999994</v>
      </c>
      <c r="H24" s="11">
        <v>0.52800000000000002</v>
      </c>
      <c r="I24" s="12">
        <f>Hotel!B29</f>
        <v>84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560</v>
      </c>
      <c r="F11" s="4">
        <f>Hotel!R16</f>
        <v>8580</v>
      </c>
      <c r="G11" s="4">
        <f>Hotel!S16</f>
        <v>0</v>
      </c>
      <c r="H11" s="4">
        <f>Hotel!T16</f>
        <v>1370</v>
      </c>
      <c r="I11" s="4">
        <f>Hotel!U16</f>
        <v>4730</v>
      </c>
      <c r="J11" s="4">
        <f>Hotel!V16</f>
        <v>4330</v>
      </c>
      <c r="K11" s="4">
        <f>Hotel!W16</f>
        <v>2330</v>
      </c>
      <c r="L11" s="4">
        <f>Hotel!X16</f>
        <v>4490</v>
      </c>
      <c r="M11" s="4">
        <f>Hotel!Y16</f>
        <v>5330</v>
      </c>
      <c r="N11" s="4">
        <f>Hotel!Z16</f>
        <v>2420</v>
      </c>
      <c r="O11" s="4">
        <f>Hotel!AA16</f>
        <v>2950</v>
      </c>
      <c r="P11" s="4">
        <f>Hotel!AB16</f>
        <v>6990</v>
      </c>
      <c r="Q11" s="4">
        <f>Hotel!AC16</f>
        <v>10650</v>
      </c>
      <c r="R11" s="4">
        <f>Hotel!AV16*0.00378541*100</f>
        <v>554.94110599999999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570</v>
      </c>
      <c r="F12" s="4">
        <f>Hotel!R17</f>
        <v>9280</v>
      </c>
      <c r="G12" s="4" t="str">
        <f>Hotel!S17</f>
        <v>0</v>
      </c>
      <c r="H12" s="4">
        <f>Hotel!T17</f>
        <v>1390</v>
      </c>
      <c r="I12" s="4">
        <f>Hotel!U17</f>
        <v>5030</v>
      </c>
      <c r="J12" s="4">
        <f>Hotel!V17</f>
        <v>4290</v>
      </c>
      <c r="K12" s="4">
        <f>Hotel!W17</f>
        <v>2510</v>
      </c>
      <c r="L12" s="4">
        <f>Hotel!X17</f>
        <v>4910</v>
      </c>
      <c r="M12" s="4">
        <f>Hotel!Y17</f>
        <v>5440</v>
      </c>
      <c r="N12" s="4">
        <f>Hotel!Z17</f>
        <v>2580</v>
      </c>
      <c r="O12" s="4">
        <f>Hotel!AA17</f>
        <v>3000</v>
      </c>
      <c r="P12" s="4">
        <f>Hotel!AB17</f>
        <v>7220</v>
      </c>
      <c r="Q12" s="4">
        <f>Hotel!AC17</f>
        <v>11380</v>
      </c>
      <c r="R12" s="4">
        <f>Hotel!AV17*0.00378541*100</f>
        <v>548.50590899999997</v>
      </c>
      <c r="S12" s="4">
        <f>Hotel!B17</f>
        <v>61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570</v>
      </c>
      <c r="F13" s="4">
        <f>Hotel!R18</f>
        <v>9920</v>
      </c>
      <c r="G13" s="4">
        <f>Hotel!S18</f>
        <v>0</v>
      </c>
      <c r="H13" s="4">
        <f>Hotel!T18</f>
        <v>1400</v>
      </c>
      <c r="I13" s="4">
        <f>Hotel!U18</f>
        <v>4930</v>
      </c>
      <c r="J13" s="4">
        <f>Hotel!V18</f>
        <v>4240</v>
      </c>
      <c r="K13" s="4">
        <f>Hotel!W18</f>
        <v>2440</v>
      </c>
      <c r="L13" s="4">
        <f>Hotel!X18</f>
        <v>4900</v>
      </c>
      <c r="M13" s="4">
        <f>Hotel!Y18</f>
        <v>5550</v>
      </c>
      <c r="N13" s="4">
        <f>Hotel!Z18</f>
        <v>2570</v>
      </c>
      <c r="O13" s="4">
        <f>Hotel!AA18</f>
        <v>2850</v>
      </c>
      <c r="P13" s="4">
        <f>Hotel!AB18</f>
        <v>7320</v>
      </c>
      <c r="Q13" s="4">
        <f>Hotel!AC18</f>
        <v>9590</v>
      </c>
      <c r="R13" s="4">
        <f>Hotel!AV18*0.00378541*100</f>
        <v>522.76512099999991</v>
      </c>
      <c r="S13" s="4">
        <f>Hotel!B18</f>
        <v>68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570</v>
      </c>
      <c r="F14" s="4">
        <f>Hotel!R19</f>
        <v>10270</v>
      </c>
      <c r="G14" s="4">
        <f>Hotel!S19</f>
        <v>0</v>
      </c>
      <c r="H14" s="4">
        <f>Hotel!T19</f>
        <v>1430</v>
      </c>
      <c r="I14" s="4">
        <f>Hotel!U19</f>
        <v>5230</v>
      </c>
      <c r="J14" s="4">
        <f>Hotel!V19</f>
        <v>4450</v>
      </c>
      <c r="K14" s="4">
        <f>Hotel!W19</f>
        <v>2520</v>
      </c>
      <c r="L14" s="4">
        <f>Hotel!X19</f>
        <v>4920</v>
      </c>
      <c r="M14" s="4">
        <f>Hotel!Y19</f>
        <v>5960</v>
      </c>
      <c r="N14" s="4">
        <f>Hotel!Z19</f>
        <v>2590</v>
      </c>
      <c r="O14" s="4">
        <f>Hotel!AA19</f>
        <v>3140</v>
      </c>
      <c r="P14" s="4">
        <f>Hotel!AB19</f>
        <v>7450</v>
      </c>
      <c r="Q14" s="4">
        <f>Hotel!AC19</f>
        <v>10850</v>
      </c>
      <c r="R14" s="4">
        <f>Hotel!AV19*0.00378541*100</f>
        <v>623.45702700000004</v>
      </c>
      <c r="S14" s="4">
        <f>Hotel!B19</f>
        <v>87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530</v>
      </c>
      <c r="F15" s="4">
        <f>Hotel!R20</f>
        <v>9020</v>
      </c>
      <c r="G15" s="4">
        <f>Hotel!S20</f>
        <v>0</v>
      </c>
      <c r="H15" s="4">
        <f>Hotel!T20</f>
        <v>1320</v>
      </c>
      <c r="I15" s="4">
        <f>Hotel!U20</f>
        <v>4740</v>
      </c>
      <c r="J15" s="4">
        <f>Hotel!V20</f>
        <v>4250</v>
      </c>
      <c r="K15" s="4">
        <f>Hotel!W20</f>
        <v>2300</v>
      </c>
      <c r="L15" s="4">
        <f>Hotel!X20</f>
        <v>4520</v>
      </c>
      <c r="M15" s="4">
        <f>Hotel!Y20</f>
        <v>5060</v>
      </c>
      <c r="N15" s="4">
        <f>Hotel!Z20</f>
        <v>2460</v>
      </c>
      <c r="O15" s="4">
        <f>Hotel!AA20</f>
        <v>3110</v>
      </c>
      <c r="P15" s="4">
        <f>Hotel!AB20</f>
        <v>6850</v>
      </c>
      <c r="Q15" s="4">
        <f>Hotel!AC20</f>
        <v>11480</v>
      </c>
      <c r="R15" s="4">
        <f>Hotel!AV20*0.00378541*100</f>
        <v>508.38056299999994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550</v>
      </c>
      <c r="F16" s="4">
        <f>Hotel!R21</f>
        <v>8950</v>
      </c>
      <c r="G16" s="4">
        <f>Hotel!S21</f>
        <v>0</v>
      </c>
      <c r="H16" s="4">
        <f>Hotel!T21</f>
        <v>1350</v>
      </c>
      <c r="I16" s="4">
        <f>Hotel!U21</f>
        <v>5170</v>
      </c>
      <c r="J16" s="4">
        <f>Hotel!V21</f>
        <v>4400</v>
      </c>
      <c r="K16" s="4">
        <f>Hotel!W21</f>
        <v>2410</v>
      </c>
      <c r="L16" s="4">
        <f>Hotel!X21</f>
        <v>4490</v>
      </c>
      <c r="M16" s="4">
        <f>Hotel!Y21</f>
        <v>4760</v>
      </c>
      <c r="N16" s="4">
        <f>Hotel!Z21</f>
        <v>2450</v>
      </c>
      <c r="O16" s="4">
        <f>Hotel!AA21</f>
        <v>3060</v>
      </c>
      <c r="P16" s="4">
        <f>Hotel!AB21</f>
        <v>6810</v>
      </c>
      <c r="Q16" s="4">
        <f>Hotel!AC21</f>
        <v>11490</v>
      </c>
      <c r="R16" s="4">
        <f>Hotel!AV21*0.00378541*100</f>
        <v>1051.9654390000001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570</v>
      </c>
      <c r="F17" s="4">
        <f>Hotel!R22</f>
        <v>9260</v>
      </c>
      <c r="G17" s="4">
        <f>Hotel!S22</f>
        <v>0</v>
      </c>
      <c r="H17" s="4">
        <f>Hotel!T22</f>
        <v>1430</v>
      </c>
      <c r="I17" s="4">
        <f>Hotel!U22</f>
        <v>4970</v>
      </c>
      <c r="J17" s="4">
        <f>Hotel!V22</f>
        <v>4390</v>
      </c>
      <c r="K17" s="4">
        <f>Hotel!W22</f>
        <v>2520</v>
      </c>
      <c r="L17" s="4">
        <f>Hotel!X22</f>
        <v>4710</v>
      </c>
      <c r="M17" s="4">
        <f>Hotel!Y22</f>
        <v>4950</v>
      </c>
      <c r="N17" s="4">
        <f>Hotel!Z22</f>
        <v>2440</v>
      </c>
      <c r="O17" s="4">
        <f>Hotel!AA22</f>
        <v>3020</v>
      </c>
      <c r="P17" s="4">
        <f>Hotel!AB22</f>
        <v>7280</v>
      </c>
      <c r="Q17" s="4">
        <f>Hotel!AC22</f>
        <v>11910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550</v>
      </c>
      <c r="F18" s="4">
        <f>Hotel!R23</f>
        <v>9050</v>
      </c>
      <c r="G18" s="4">
        <f>Hotel!S23</f>
        <v>0</v>
      </c>
      <c r="H18" s="4">
        <f>Hotel!T23</f>
        <v>1370</v>
      </c>
      <c r="I18" s="4">
        <f>Hotel!U23</f>
        <v>4460</v>
      </c>
      <c r="J18" s="4">
        <f>Hotel!V23</f>
        <v>4280</v>
      </c>
      <c r="K18" s="4">
        <f>Hotel!W23</f>
        <v>2400</v>
      </c>
      <c r="L18" s="4">
        <f>Hotel!X23</f>
        <v>4600</v>
      </c>
      <c r="M18" s="4">
        <f>Hotel!Y23</f>
        <v>4890</v>
      </c>
      <c r="N18" s="4">
        <f>Hotel!Z23</f>
        <v>2260</v>
      </c>
      <c r="O18" s="4">
        <f>Hotel!AA23</f>
        <v>3010</v>
      </c>
      <c r="P18" s="4">
        <f>Hotel!AB23</f>
        <v>6870</v>
      </c>
      <c r="Q18" s="4">
        <f>Hotel!AC23</f>
        <v>11730</v>
      </c>
      <c r="R18" s="4">
        <f>Hotel!AV23*0.00378541*100</f>
        <v>620.05015800000001</v>
      </c>
      <c r="S18" s="4">
        <f>Hotel!B23</f>
        <v>42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570</v>
      </c>
      <c r="F19" s="4">
        <f>Hotel!R24</f>
        <v>8020</v>
      </c>
      <c r="G19" s="4">
        <f>Hotel!S24</f>
        <v>0</v>
      </c>
      <c r="H19" s="4">
        <f>Hotel!T24</f>
        <v>1410</v>
      </c>
      <c r="I19" s="4">
        <f>Hotel!U24</f>
        <v>4600</v>
      </c>
      <c r="J19" s="4">
        <f>Hotel!V24</f>
        <v>4330</v>
      </c>
      <c r="K19" s="4">
        <f>Hotel!W24</f>
        <v>2610</v>
      </c>
      <c r="L19" s="4">
        <f>Hotel!X24</f>
        <v>4830</v>
      </c>
      <c r="M19" s="4">
        <f>Hotel!Y24</f>
        <v>5130</v>
      </c>
      <c r="N19" s="4">
        <f>Hotel!Z24</f>
        <v>2360</v>
      </c>
      <c r="O19" s="4">
        <f>Hotel!AA24</f>
        <v>3120</v>
      </c>
      <c r="P19" s="4">
        <f>Hotel!AB24</f>
        <v>7310</v>
      </c>
      <c r="Q19" s="4">
        <f>Hotel!AC24</f>
        <v>13990</v>
      </c>
      <c r="R19" s="4">
        <f>Hotel!AV24*0.00378541*100</f>
        <v>612.47933799999998</v>
      </c>
      <c r="S19" s="4">
        <f>Hotel!B24</f>
        <v>71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>
        <f>Hotel!Q25</f>
        <v>550</v>
      </c>
      <c r="F20" s="4">
        <f>Hotel!R25</f>
        <v>8000</v>
      </c>
      <c r="G20" s="4">
        <f>Hotel!S25</f>
        <v>0</v>
      </c>
      <c r="H20" s="4">
        <f>Hotel!T25</f>
        <v>1340</v>
      </c>
      <c r="I20" s="4">
        <f>Hotel!U25</f>
        <v>5960</v>
      </c>
      <c r="J20" s="4">
        <f>Hotel!V25</f>
        <v>4430</v>
      </c>
      <c r="K20" s="4">
        <f>Hotel!W25</f>
        <v>2460</v>
      </c>
      <c r="L20" s="4">
        <f>Hotel!X25</f>
        <v>4790</v>
      </c>
      <c r="M20" s="4">
        <f>Hotel!Y25</f>
        <v>4870</v>
      </c>
      <c r="N20" s="4">
        <f>Hotel!Z25</f>
        <v>2400</v>
      </c>
      <c r="O20" s="4">
        <f>Hotel!AA25</f>
        <v>3050</v>
      </c>
      <c r="P20" s="4">
        <f>Hotel!AB25</f>
        <v>7280</v>
      </c>
      <c r="Q20" s="4">
        <f>Hotel!AC25</f>
        <v>14120</v>
      </c>
      <c r="R20" s="4">
        <f>Hotel!AV25*0.00378541*100</f>
        <v>571.21836899999994</v>
      </c>
      <c r="S20" s="4">
        <f>Hotel!B25</f>
        <v>64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590</v>
      </c>
      <c r="F21" s="4">
        <f>Hotel!R26</f>
        <v>8040</v>
      </c>
      <c r="G21" s="4">
        <f>Hotel!S26</f>
        <v>0</v>
      </c>
      <c r="H21" s="4">
        <f>Hotel!T26</f>
        <v>1430</v>
      </c>
      <c r="I21" s="4">
        <f>Hotel!U26</f>
        <v>5550</v>
      </c>
      <c r="J21" s="4">
        <f>Hotel!V26</f>
        <v>4660</v>
      </c>
      <c r="K21" s="4">
        <f>Hotel!W26</f>
        <v>2650</v>
      </c>
      <c r="L21" s="4">
        <f>Hotel!X26</f>
        <v>5160</v>
      </c>
      <c r="M21" s="4">
        <f>Hotel!Y26</f>
        <v>5170</v>
      </c>
      <c r="N21" s="4">
        <f>Hotel!Z26</f>
        <v>2600</v>
      </c>
      <c r="O21" s="4">
        <f>Hotel!AA26</f>
        <v>3230</v>
      </c>
      <c r="P21" s="4">
        <f>Hotel!AB26</f>
        <v>8180</v>
      </c>
      <c r="Q21" s="4">
        <f>Hotel!AC26</f>
        <v>15430</v>
      </c>
      <c r="R21" s="4">
        <f>Hotel!AV26*0.00378541*100</f>
        <v>607.17976399999998</v>
      </c>
      <c r="S21" s="4">
        <f>Hotel!B26</f>
        <v>103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570</v>
      </c>
      <c r="F22" s="4">
        <f>Hotel!R27</f>
        <v>7210</v>
      </c>
      <c r="G22" s="4">
        <f>Hotel!S27</f>
        <v>0</v>
      </c>
      <c r="H22" s="4">
        <f>Hotel!T27</f>
        <v>1390</v>
      </c>
      <c r="I22" s="4">
        <f>Hotel!U27</f>
        <v>5290</v>
      </c>
      <c r="J22" s="4">
        <f>Hotel!V27</f>
        <v>4360</v>
      </c>
      <c r="K22" s="4">
        <f>Hotel!W27</f>
        <v>2500</v>
      </c>
      <c r="L22" s="4">
        <f>Hotel!X27</f>
        <v>5240</v>
      </c>
      <c r="M22" s="4">
        <f>Hotel!Y27</f>
        <v>5020</v>
      </c>
      <c r="N22" s="4">
        <f>Hotel!Z27</f>
        <v>2610</v>
      </c>
      <c r="O22" s="4">
        <f>Hotel!AA27</f>
        <v>3110</v>
      </c>
      <c r="P22" s="4">
        <f>Hotel!AB27</f>
        <v>8270</v>
      </c>
      <c r="Q22" s="4">
        <f>Hotel!AC27</f>
        <v>13390</v>
      </c>
      <c r="R22" s="4">
        <f>Hotel!AV27*0.00378541*100</f>
        <v>454.62774100000001</v>
      </c>
      <c r="S22" s="4">
        <f>Hotel!B27</f>
        <v>91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560</v>
      </c>
      <c r="F23" s="4">
        <f>Hotel!R28</f>
        <v>7230</v>
      </c>
      <c r="G23" s="4">
        <f>Hotel!S28</f>
        <v>0</v>
      </c>
      <c r="H23" s="4">
        <f>Hotel!T28</f>
        <v>1350</v>
      </c>
      <c r="I23" s="4">
        <f>Hotel!U28</f>
        <v>4880</v>
      </c>
      <c r="J23" s="4">
        <f>Hotel!V28</f>
        <v>4250</v>
      </c>
      <c r="K23" s="4">
        <f>Hotel!W28</f>
        <v>2470</v>
      </c>
      <c r="L23" s="4">
        <f>Hotel!X28</f>
        <v>5240</v>
      </c>
      <c r="M23" s="4">
        <f>Hotel!Y28</f>
        <v>4990</v>
      </c>
      <c r="N23" s="4">
        <f>Hotel!Z28</f>
        <v>2600</v>
      </c>
      <c r="O23" s="4">
        <f>Hotel!AA28</f>
        <v>2960</v>
      </c>
      <c r="P23" s="4">
        <f>Hotel!AB28</f>
        <v>8280</v>
      </c>
      <c r="Q23" s="4">
        <f>Hotel!AC28</f>
        <v>13060</v>
      </c>
      <c r="R23" s="4">
        <f>Hotel!AV28*0.00378541*100</f>
        <v>457.656069</v>
      </c>
      <c r="S23" s="4">
        <f>Hotel!B28</f>
        <v>71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560</v>
      </c>
      <c r="F24" s="4">
        <f>Hotel!R29</f>
        <v>8090</v>
      </c>
      <c r="G24" s="4">
        <f>Hotel!S29</f>
        <v>0</v>
      </c>
      <c r="H24" s="4">
        <f>Hotel!T29</f>
        <v>1290</v>
      </c>
      <c r="I24" s="4">
        <f>Hotel!U29</f>
        <v>5370</v>
      </c>
      <c r="J24" s="4">
        <f>Hotel!V29</f>
        <v>4400</v>
      </c>
      <c r="K24" s="4">
        <f>Hotel!W29</f>
        <v>2570</v>
      </c>
      <c r="L24" s="4">
        <f>Hotel!X29</f>
        <v>4790</v>
      </c>
      <c r="M24" s="4">
        <f>Hotel!Y29</f>
        <v>4640</v>
      </c>
      <c r="N24" s="4">
        <f>Hotel!Z29</f>
        <v>2600</v>
      </c>
      <c r="O24" s="4">
        <f>Hotel!AA29</f>
        <v>3030</v>
      </c>
      <c r="P24" s="4">
        <f>Hotel!AB29</f>
        <v>8250</v>
      </c>
      <c r="Q24" s="4">
        <f>Hotel!AC29</f>
        <v>13660</v>
      </c>
      <c r="R24" s="4">
        <f>Hotel!AV29*0.00378541*100</f>
        <v>773.35926299999994</v>
      </c>
      <c r="S24" s="4">
        <f>Hotel!B29</f>
        <v>84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P34" sqref="AP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>
        <v>65</v>
      </c>
      <c r="C16" s="24">
        <v>7470690</v>
      </c>
      <c r="D16" s="24">
        <v>17847710</v>
      </c>
      <c r="E16" s="24">
        <v>3198960</v>
      </c>
      <c r="F16" s="24">
        <v>3846300</v>
      </c>
      <c r="G16" s="24">
        <v>11345000</v>
      </c>
      <c r="H16" s="24">
        <v>6324020</v>
      </c>
      <c r="I16" s="24">
        <v>5599100</v>
      </c>
      <c r="J16" s="24">
        <v>6866910</v>
      </c>
      <c r="K16" s="24">
        <v>10359060</v>
      </c>
      <c r="L16" s="24">
        <v>4393500</v>
      </c>
      <c r="M16" s="24">
        <v>8575630</v>
      </c>
      <c r="N16" s="24">
        <v>13578930</v>
      </c>
      <c r="O16" s="24">
        <v>18842240</v>
      </c>
      <c r="Q16" s="37">
        <f t="shared" si="17"/>
        <v>560</v>
      </c>
      <c r="R16" s="37">
        <f t="shared" si="18"/>
        <v>8580</v>
      </c>
      <c r="S16" s="37">
        <f t="shared" si="16"/>
        <v>0</v>
      </c>
      <c r="T16" s="37">
        <f t="shared" si="19"/>
        <v>1370</v>
      </c>
      <c r="U16" s="37">
        <f t="shared" si="20"/>
        <v>4730</v>
      </c>
      <c r="V16" s="37">
        <f t="shared" si="21"/>
        <v>4330</v>
      </c>
      <c r="W16" s="37">
        <f t="shared" si="22"/>
        <v>2330</v>
      </c>
      <c r="X16" s="37">
        <f t="shared" si="23"/>
        <v>4490</v>
      </c>
      <c r="Y16" s="37">
        <f t="shared" si="24"/>
        <v>5330</v>
      </c>
      <c r="Z16" s="37">
        <f t="shared" si="25"/>
        <v>2420</v>
      </c>
      <c r="AA16" s="37">
        <f t="shared" si="26"/>
        <v>2950</v>
      </c>
      <c r="AB16" s="37">
        <f t="shared" si="27"/>
        <v>6990</v>
      </c>
      <c r="AC16" s="37">
        <f t="shared" si="28"/>
        <v>10650</v>
      </c>
      <c r="AD16" s="35">
        <f t="shared" si="29"/>
        <v>54730</v>
      </c>
      <c r="AF16" s="20">
        <f t="shared" si="1"/>
        <v>2.8000000000000003</v>
      </c>
      <c r="AG16" s="20">
        <f t="shared" si="2"/>
        <v>42.9</v>
      </c>
      <c r="AH16" s="20">
        <f t="shared" si="3"/>
        <v>0</v>
      </c>
      <c r="AI16" s="20">
        <f t="shared" si="4"/>
        <v>6.8500000000000005</v>
      </c>
      <c r="AJ16" s="20">
        <f t="shared" si="5"/>
        <v>23.650000000000002</v>
      </c>
      <c r="AK16" s="20">
        <f t="shared" si="6"/>
        <v>21.650000000000002</v>
      </c>
      <c r="AL16" s="20">
        <f t="shared" si="7"/>
        <v>11.65</v>
      </c>
      <c r="AM16" s="20">
        <f t="shared" si="8"/>
        <v>22.45</v>
      </c>
      <c r="AN16" s="20">
        <f t="shared" si="9"/>
        <v>26.650000000000002</v>
      </c>
      <c r="AO16" s="20">
        <f t="shared" si="10"/>
        <v>12.1</v>
      </c>
      <c r="AP16" s="20">
        <f t="shared" si="11"/>
        <v>14.75</v>
      </c>
      <c r="AQ16" s="20">
        <f t="shared" si="12"/>
        <v>34.950000000000003</v>
      </c>
      <c r="AR16" s="20">
        <f t="shared" si="13"/>
        <v>53.25</v>
      </c>
      <c r="AS16" s="35">
        <f t="shared" si="30"/>
        <v>273.65000000000003</v>
      </c>
      <c r="AU16" s="47">
        <v>478933</v>
      </c>
      <c r="AV16" s="37">
        <f t="shared" si="31"/>
        <v>1466</v>
      </c>
      <c r="AW16" s="35">
        <f t="shared" si="14"/>
        <v>2.9319999999999999</v>
      </c>
    </row>
    <row r="17" spans="1:49" x14ac:dyDescent="0.25">
      <c r="A17" s="23">
        <v>44572</v>
      </c>
      <c r="B17" s="40">
        <v>61</v>
      </c>
      <c r="C17" s="24">
        <v>7471260</v>
      </c>
      <c r="D17" s="24">
        <v>17856990</v>
      </c>
      <c r="E17" s="24">
        <v>3198950</v>
      </c>
      <c r="F17" s="24">
        <v>3847690</v>
      </c>
      <c r="G17" s="24">
        <v>11350030</v>
      </c>
      <c r="H17" s="24">
        <v>6328310</v>
      </c>
      <c r="I17" s="24">
        <v>5601610</v>
      </c>
      <c r="J17" s="24">
        <v>6871820</v>
      </c>
      <c r="K17" s="24">
        <v>10364500</v>
      </c>
      <c r="L17" s="24">
        <v>4396080</v>
      </c>
      <c r="M17" s="24">
        <v>8578630</v>
      </c>
      <c r="N17" s="24">
        <v>13586150</v>
      </c>
      <c r="O17" s="24">
        <v>18853620</v>
      </c>
      <c r="Q17" s="37">
        <f t="shared" si="17"/>
        <v>570</v>
      </c>
      <c r="R17" s="37">
        <f t="shared" si="18"/>
        <v>9280</v>
      </c>
      <c r="S17" s="37" t="str">
        <f t="shared" si="16"/>
        <v>0</v>
      </c>
      <c r="T17" s="37">
        <f t="shared" si="19"/>
        <v>1390</v>
      </c>
      <c r="U17" s="37">
        <f t="shared" si="20"/>
        <v>5030</v>
      </c>
      <c r="V17" s="37">
        <f t="shared" si="21"/>
        <v>4290</v>
      </c>
      <c r="W17" s="37">
        <f t="shared" si="22"/>
        <v>2510</v>
      </c>
      <c r="X17" s="37">
        <f t="shared" si="23"/>
        <v>4910</v>
      </c>
      <c r="Y17" s="37">
        <f t="shared" si="24"/>
        <v>5440</v>
      </c>
      <c r="Z17" s="37">
        <f t="shared" si="25"/>
        <v>2580</v>
      </c>
      <c r="AA17" s="37">
        <f t="shared" si="26"/>
        <v>3000</v>
      </c>
      <c r="AB17" s="37">
        <f t="shared" si="27"/>
        <v>7220</v>
      </c>
      <c r="AC17" s="37">
        <f t="shared" si="28"/>
        <v>11380</v>
      </c>
      <c r="AD17" s="35">
        <f t="shared" si="29"/>
        <v>57600</v>
      </c>
      <c r="AF17" s="20">
        <f t="shared" si="1"/>
        <v>2.85</v>
      </c>
      <c r="AG17" s="20">
        <f t="shared" si="2"/>
        <v>46.4</v>
      </c>
      <c r="AH17" s="20">
        <f t="shared" si="3"/>
        <v>0</v>
      </c>
      <c r="AI17" s="20">
        <f t="shared" si="4"/>
        <v>6.95</v>
      </c>
      <c r="AJ17" s="20">
        <f t="shared" si="5"/>
        <v>25.150000000000002</v>
      </c>
      <c r="AK17" s="20">
        <f t="shared" si="6"/>
        <v>21.45</v>
      </c>
      <c r="AL17" s="20">
        <f t="shared" si="7"/>
        <v>12.55</v>
      </c>
      <c r="AM17" s="20">
        <f t="shared" si="8"/>
        <v>24.55</v>
      </c>
      <c r="AN17" s="20">
        <f t="shared" si="9"/>
        <v>27.2</v>
      </c>
      <c r="AO17" s="20">
        <f t="shared" si="10"/>
        <v>12.9</v>
      </c>
      <c r="AP17" s="20">
        <f t="shared" si="11"/>
        <v>15</v>
      </c>
      <c r="AQ17" s="20">
        <f t="shared" si="12"/>
        <v>36.1</v>
      </c>
      <c r="AR17" s="20">
        <f t="shared" si="13"/>
        <v>56.9</v>
      </c>
      <c r="AS17" s="35">
        <f t="shared" si="30"/>
        <v>288</v>
      </c>
      <c r="AU17" s="47">
        <v>480382</v>
      </c>
      <c r="AV17" s="37">
        <f t="shared" si="31"/>
        <v>1449</v>
      </c>
      <c r="AW17" s="35">
        <f t="shared" si="14"/>
        <v>2.8980000000000001</v>
      </c>
    </row>
    <row r="18" spans="1:49" x14ac:dyDescent="0.25">
      <c r="A18" s="23">
        <v>44573</v>
      </c>
      <c r="B18" s="40">
        <v>68</v>
      </c>
      <c r="C18" s="24">
        <v>7471830</v>
      </c>
      <c r="D18" s="24">
        <v>17866910</v>
      </c>
      <c r="E18" s="24">
        <v>3198950</v>
      </c>
      <c r="F18" s="24">
        <v>3849090</v>
      </c>
      <c r="G18" s="24">
        <v>11354960</v>
      </c>
      <c r="H18" s="24">
        <v>6332550</v>
      </c>
      <c r="I18" s="24">
        <v>5604050</v>
      </c>
      <c r="J18" s="24">
        <v>6876720</v>
      </c>
      <c r="K18" s="24">
        <v>10370050</v>
      </c>
      <c r="L18" s="24">
        <v>4398650</v>
      </c>
      <c r="M18" s="24">
        <v>8581480</v>
      </c>
      <c r="N18" s="24">
        <v>13593470</v>
      </c>
      <c r="O18" s="24">
        <v>18863210</v>
      </c>
      <c r="Q18" s="37">
        <f t="shared" si="17"/>
        <v>570</v>
      </c>
      <c r="R18" s="37">
        <f t="shared" si="18"/>
        <v>9920</v>
      </c>
      <c r="S18" s="37">
        <f t="shared" si="16"/>
        <v>0</v>
      </c>
      <c r="T18" s="37">
        <f t="shared" si="19"/>
        <v>1400</v>
      </c>
      <c r="U18" s="37">
        <f t="shared" si="20"/>
        <v>4930</v>
      </c>
      <c r="V18" s="37">
        <f t="shared" si="21"/>
        <v>4240</v>
      </c>
      <c r="W18" s="37">
        <f t="shared" si="22"/>
        <v>2440</v>
      </c>
      <c r="X18" s="37">
        <f t="shared" si="23"/>
        <v>4900</v>
      </c>
      <c r="Y18" s="37">
        <f t="shared" si="24"/>
        <v>5550</v>
      </c>
      <c r="Z18" s="37">
        <f t="shared" si="25"/>
        <v>2570</v>
      </c>
      <c r="AA18" s="37">
        <f t="shared" si="26"/>
        <v>2850</v>
      </c>
      <c r="AB18" s="37">
        <f t="shared" si="27"/>
        <v>7320</v>
      </c>
      <c r="AC18" s="37">
        <f t="shared" si="28"/>
        <v>9590</v>
      </c>
      <c r="AD18" s="35">
        <f t="shared" si="29"/>
        <v>56280</v>
      </c>
      <c r="AF18" s="20">
        <f t="shared" si="1"/>
        <v>2.85</v>
      </c>
      <c r="AG18" s="20">
        <f t="shared" si="2"/>
        <v>49.6</v>
      </c>
      <c r="AH18" s="20">
        <f t="shared" si="3"/>
        <v>0</v>
      </c>
      <c r="AI18" s="20">
        <f t="shared" si="4"/>
        <v>7</v>
      </c>
      <c r="AJ18" s="20">
        <f t="shared" si="5"/>
        <v>24.650000000000002</v>
      </c>
      <c r="AK18" s="20">
        <f t="shared" si="6"/>
        <v>21.2</v>
      </c>
      <c r="AL18" s="20">
        <f t="shared" si="7"/>
        <v>12.200000000000001</v>
      </c>
      <c r="AM18" s="20">
        <f t="shared" si="8"/>
        <v>24.5</v>
      </c>
      <c r="AN18" s="20">
        <f t="shared" si="9"/>
        <v>27.75</v>
      </c>
      <c r="AO18" s="20">
        <f t="shared" si="10"/>
        <v>12.85</v>
      </c>
      <c r="AP18" s="20">
        <f t="shared" si="11"/>
        <v>14.25</v>
      </c>
      <c r="AQ18" s="20">
        <f t="shared" si="12"/>
        <v>36.6</v>
      </c>
      <c r="AR18" s="20">
        <f t="shared" si="13"/>
        <v>47.95</v>
      </c>
      <c r="AS18" s="35">
        <f t="shared" si="30"/>
        <v>281.39999999999998</v>
      </c>
      <c r="AU18" s="47">
        <v>481763</v>
      </c>
      <c r="AV18" s="37">
        <f t="shared" si="31"/>
        <v>1381</v>
      </c>
      <c r="AW18" s="35">
        <f t="shared" si="14"/>
        <v>2.762</v>
      </c>
    </row>
    <row r="19" spans="1:49" x14ac:dyDescent="0.25">
      <c r="A19" s="23">
        <v>44574</v>
      </c>
      <c r="B19" s="40">
        <v>87</v>
      </c>
      <c r="C19" s="24">
        <v>7472400</v>
      </c>
      <c r="D19" s="24">
        <v>17877180</v>
      </c>
      <c r="E19" s="24">
        <v>3198950</v>
      </c>
      <c r="F19" s="24">
        <v>3850520</v>
      </c>
      <c r="G19" s="24">
        <v>11360190</v>
      </c>
      <c r="H19" s="24">
        <v>6337000</v>
      </c>
      <c r="I19" s="24">
        <v>5606570</v>
      </c>
      <c r="J19" s="24">
        <v>6881640</v>
      </c>
      <c r="K19" s="24">
        <v>10376010</v>
      </c>
      <c r="L19" s="24">
        <v>4401240</v>
      </c>
      <c r="M19" s="24">
        <v>8584620</v>
      </c>
      <c r="N19" s="24">
        <v>13600920</v>
      </c>
      <c r="O19" s="24">
        <v>18874060</v>
      </c>
      <c r="Q19" s="37">
        <f t="shared" si="17"/>
        <v>570</v>
      </c>
      <c r="R19" s="37">
        <f t="shared" si="18"/>
        <v>10270</v>
      </c>
      <c r="S19" s="37">
        <f t="shared" si="16"/>
        <v>0</v>
      </c>
      <c r="T19" s="37">
        <f t="shared" si="19"/>
        <v>1430</v>
      </c>
      <c r="U19" s="37">
        <f t="shared" si="20"/>
        <v>5230</v>
      </c>
      <c r="V19" s="37">
        <f t="shared" si="21"/>
        <v>4450</v>
      </c>
      <c r="W19" s="37">
        <f t="shared" si="22"/>
        <v>2520</v>
      </c>
      <c r="X19" s="37">
        <f t="shared" si="23"/>
        <v>4920</v>
      </c>
      <c r="Y19" s="37">
        <f t="shared" si="24"/>
        <v>5960</v>
      </c>
      <c r="Z19" s="37">
        <f t="shared" si="25"/>
        <v>2590</v>
      </c>
      <c r="AA19" s="37">
        <f t="shared" si="26"/>
        <v>3140</v>
      </c>
      <c r="AB19" s="37">
        <f t="shared" si="27"/>
        <v>7450</v>
      </c>
      <c r="AC19" s="37">
        <f t="shared" si="28"/>
        <v>10850</v>
      </c>
      <c r="AD19" s="35">
        <f t="shared" si="29"/>
        <v>59380</v>
      </c>
      <c r="AF19" s="20">
        <f t="shared" si="1"/>
        <v>2.85</v>
      </c>
      <c r="AG19" s="20">
        <f t="shared" si="2"/>
        <v>51.35</v>
      </c>
      <c r="AH19" s="20">
        <f t="shared" si="3"/>
        <v>0</v>
      </c>
      <c r="AI19" s="20">
        <f t="shared" si="4"/>
        <v>7.15</v>
      </c>
      <c r="AJ19" s="20">
        <f t="shared" si="5"/>
        <v>26.150000000000002</v>
      </c>
      <c r="AK19" s="20">
        <f t="shared" si="6"/>
        <v>22.25</v>
      </c>
      <c r="AL19" s="20">
        <f t="shared" si="7"/>
        <v>12.6</v>
      </c>
      <c r="AM19" s="20">
        <f t="shared" si="8"/>
        <v>24.6</v>
      </c>
      <c r="AN19" s="20">
        <f t="shared" si="9"/>
        <v>29.8</v>
      </c>
      <c r="AO19" s="20">
        <f t="shared" si="10"/>
        <v>12.950000000000001</v>
      </c>
      <c r="AP19" s="20">
        <f t="shared" si="11"/>
        <v>15.700000000000001</v>
      </c>
      <c r="AQ19" s="20">
        <f t="shared" si="12"/>
        <v>37.25</v>
      </c>
      <c r="AR19" s="20">
        <f t="shared" si="13"/>
        <v>54.25</v>
      </c>
      <c r="AS19" s="35">
        <f t="shared" si="30"/>
        <v>296.89999999999998</v>
      </c>
      <c r="AU19" s="47">
        <v>483410</v>
      </c>
      <c r="AV19" s="37">
        <f t="shared" si="31"/>
        <v>1647</v>
      </c>
      <c r="AW19" s="35">
        <f t="shared" si="14"/>
        <v>3.294</v>
      </c>
    </row>
    <row r="20" spans="1:49" x14ac:dyDescent="0.25">
      <c r="A20" s="23">
        <v>44575</v>
      </c>
      <c r="B20" s="40">
        <v>88</v>
      </c>
      <c r="C20" s="24">
        <v>7472930</v>
      </c>
      <c r="D20" s="24">
        <v>17886200</v>
      </c>
      <c r="E20" s="24">
        <v>3198950</v>
      </c>
      <c r="F20" s="24">
        <v>3851840</v>
      </c>
      <c r="G20" s="24">
        <v>11364930</v>
      </c>
      <c r="H20" s="24">
        <v>6341250</v>
      </c>
      <c r="I20" s="24">
        <v>5608870</v>
      </c>
      <c r="J20" s="24">
        <v>6886160</v>
      </c>
      <c r="K20" s="24">
        <v>10381070</v>
      </c>
      <c r="L20" s="24">
        <v>4403700</v>
      </c>
      <c r="M20" s="24">
        <v>8587730</v>
      </c>
      <c r="N20" s="24">
        <v>13607770</v>
      </c>
      <c r="O20" s="24">
        <v>18885540</v>
      </c>
      <c r="Q20" s="37">
        <f t="shared" si="17"/>
        <v>530</v>
      </c>
      <c r="R20" s="37">
        <f t="shared" si="18"/>
        <v>9020</v>
      </c>
      <c r="S20" s="37">
        <f t="shared" si="16"/>
        <v>0</v>
      </c>
      <c r="T20" s="37">
        <f t="shared" si="19"/>
        <v>1320</v>
      </c>
      <c r="U20" s="37">
        <f t="shared" si="20"/>
        <v>4740</v>
      </c>
      <c r="V20" s="37">
        <f t="shared" si="21"/>
        <v>4250</v>
      </c>
      <c r="W20" s="37">
        <f t="shared" si="22"/>
        <v>2300</v>
      </c>
      <c r="X20" s="37">
        <f t="shared" si="23"/>
        <v>4520</v>
      </c>
      <c r="Y20" s="37">
        <f t="shared" si="24"/>
        <v>5060</v>
      </c>
      <c r="Z20" s="37">
        <f t="shared" si="25"/>
        <v>2460</v>
      </c>
      <c r="AA20" s="37">
        <f t="shared" si="26"/>
        <v>3110</v>
      </c>
      <c r="AB20" s="37">
        <f t="shared" si="27"/>
        <v>6850</v>
      </c>
      <c r="AC20" s="37">
        <f t="shared" si="28"/>
        <v>11480</v>
      </c>
      <c r="AD20" s="35">
        <f t="shared" si="29"/>
        <v>55640</v>
      </c>
      <c r="AF20" s="20">
        <f t="shared" si="1"/>
        <v>2.65</v>
      </c>
      <c r="AG20" s="20">
        <f t="shared" si="2"/>
        <v>45.1</v>
      </c>
      <c r="AH20" s="20">
        <f t="shared" si="3"/>
        <v>0</v>
      </c>
      <c r="AI20" s="20">
        <f t="shared" si="4"/>
        <v>6.6000000000000005</v>
      </c>
      <c r="AJ20" s="20">
        <f t="shared" si="5"/>
        <v>23.7</v>
      </c>
      <c r="AK20" s="20">
        <f t="shared" si="6"/>
        <v>21.25</v>
      </c>
      <c r="AL20" s="20">
        <f t="shared" si="7"/>
        <v>11.5</v>
      </c>
      <c r="AM20" s="20">
        <f t="shared" si="8"/>
        <v>22.6</v>
      </c>
      <c r="AN20" s="20">
        <f t="shared" si="9"/>
        <v>25.3</v>
      </c>
      <c r="AO20" s="20">
        <f t="shared" si="10"/>
        <v>12.3</v>
      </c>
      <c r="AP20" s="20">
        <f t="shared" si="11"/>
        <v>15.55</v>
      </c>
      <c r="AQ20" s="20">
        <f t="shared" si="12"/>
        <v>34.25</v>
      </c>
      <c r="AR20" s="20">
        <f t="shared" si="13"/>
        <v>57.4</v>
      </c>
      <c r="AS20" s="35">
        <f t="shared" si="30"/>
        <v>278.20000000000005</v>
      </c>
      <c r="AU20" s="47">
        <v>484753</v>
      </c>
      <c r="AV20" s="37">
        <f t="shared" si="31"/>
        <v>1343</v>
      </c>
      <c r="AW20" s="35">
        <f t="shared" si="14"/>
        <v>2.6859999999999999</v>
      </c>
    </row>
    <row r="21" spans="1:49" x14ac:dyDescent="0.25">
      <c r="A21" s="23">
        <v>44576</v>
      </c>
      <c r="B21" s="40">
        <v>57</v>
      </c>
      <c r="C21" s="24">
        <v>7473480</v>
      </c>
      <c r="D21" s="24">
        <v>17895150</v>
      </c>
      <c r="E21" s="24">
        <v>3198950</v>
      </c>
      <c r="F21" s="24">
        <v>3853190</v>
      </c>
      <c r="G21" s="24">
        <v>11370100</v>
      </c>
      <c r="H21" s="24">
        <v>6345650</v>
      </c>
      <c r="I21" s="24">
        <v>5611280</v>
      </c>
      <c r="J21" s="24">
        <v>6890650</v>
      </c>
      <c r="K21" s="24">
        <v>10385830</v>
      </c>
      <c r="L21" s="24">
        <v>4406150</v>
      </c>
      <c r="M21" s="24">
        <v>8590790</v>
      </c>
      <c r="N21" s="24">
        <v>13614580</v>
      </c>
      <c r="O21" s="24">
        <v>18897030</v>
      </c>
      <c r="Q21" s="37">
        <f t="shared" si="17"/>
        <v>550</v>
      </c>
      <c r="R21" s="37">
        <f t="shared" si="18"/>
        <v>8950</v>
      </c>
      <c r="S21" s="37">
        <f t="shared" si="16"/>
        <v>0</v>
      </c>
      <c r="T21" s="37">
        <f t="shared" si="19"/>
        <v>1350</v>
      </c>
      <c r="U21" s="37">
        <f t="shared" si="20"/>
        <v>5170</v>
      </c>
      <c r="V21" s="37">
        <f t="shared" si="21"/>
        <v>4400</v>
      </c>
      <c r="W21" s="37">
        <f t="shared" si="22"/>
        <v>2410</v>
      </c>
      <c r="X21" s="37">
        <f t="shared" si="23"/>
        <v>4490</v>
      </c>
      <c r="Y21" s="37">
        <f t="shared" si="24"/>
        <v>4760</v>
      </c>
      <c r="Z21" s="37">
        <f t="shared" si="25"/>
        <v>2450</v>
      </c>
      <c r="AA21" s="37">
        <f t="shared" si="26"/>
        <v>3060</v>
      </c>
      <c r="AB21" s="37">
        <f t="shared" si="27"/>
        <v>6810</v>
      </c>
      <c r="AC21" s="37">
        <f t="shared" si="28"/>
        <v>11490</v>
      </c>
      <c r="AD21" s="35">
        <f t="shared" si="29"/>
        <v>55890</v>
      </c>
      <c r="AF21" s="20">
        <f t="shared" si="1"/>
        <v>2.75</v>
      </c>
      <c r="AG21" s="20">
        <f t="shared" si="2"/>
        <v>44.75</v>
      </c>
      <c r="AH21" s="20">
        <f t="shared" si="3"/>
        <v>0</v>
      </c>
      <c r="AI21" s="20">
        <f t="shared" si="4"/>
        <v>6.75</v>
      </c>
      <c r="AJ21" s="20">
        <f t="shared" si="5"/>
        <v>25.85</v>
      </c>
      <c r="AK21" s="20">
        <f t="shared" si="6"/>
        <v>22</v>
      </c>
      <c r="AL21" s="20">
        <f t="shared" si="7"/>
        <v>12.05</v>
      </c>
      <c r="AM21" s="20">
        <f t="shared" si="8"/>
        <v>22.45</v>
      </c>
      <c r="AN21" s="20">
        <f t="shared" si="9"/>
        <v>23.8</v>
      </c>
      <c r="AO21" s="20">
        <f t="shared" si="10"/>
        <v>12.25</v>
      </c>
      <c r="AP21" s="20">
        <f t="shared" si="11"/>
        <v>15.3</v>
      </c>
      <c r="AQ21" s="20">
        <f t="shared" si="12"/>
        <v>34.049999999999997</v>
      </c>
      <c r="AR21" s="20">
        <f t="shared" si="13"/>
        <v>57.45</v>
      </c>
      <c r="AS21" s="35">
        <f t="shared" si="30"/>
        <v>279.45</v>
      </c>
      <c r="AU21" s="47">
        <v>487532</v>
      </c>
      <c r="AV21" s="37">
        <f t="shared" si="31"/>
        <v>2779</v>
      </c>
      <c r="AW21" s="35">
        <f t="shared" si="14"/>
        <v>5.5579999999999998</v>
      </c>
    </row>
    <row r="22" spans="1:49" x14ac:dyDescent="0.25">
      <c r="A22" s="23">
        <v>44577</v>
      </c>
      <c r="B22" s="40">
        <v>43</v>
      </c>
      <c r="C22" s="24">
        <v>7474050</v>
      </c>
      <c r="D22" s="24">
        <v>17904410</v>
      </c>
      <c r="E22" s="24">
        <v>3198950</v>
      </c>
      <c r="F22" s="24">
        <v>3854620</v>
      </c>
      <c r="G22" s="24">
        <v>11375070</v>
      </c>
      <c r="H22" s="24">
        <v>6350040</v>
      </c>
      <c r="I22" s="24">
        <v>5613800</v>
      </c>
      <c r="J22" s="44">
        <v>6895360</v>
      </c>
      <c r="K22" s="24">
        <v>10390780</v>
      </c>
      <c r="L22" s="24">
        <v>4408590</v>
      </c>
      <c r="M22" s="24">
        <v>8593810</v>
      </c>
      <c r="N22" s="24">
        <v>13621860</v>
      </c>
      <c r="O22" s="44">
        <v>18908940</v>
      </c>
      <c r="Q22" s="37">
        <f t="shared" si="17"/>
        <v>570</v>
      </c>
      <c r="R22" s="37">
        <f t="shared" si="18"/>
        <v>9260</v>
      </c>
      <c r="S22" s="37">
        <f t="shared" si="16"/>
        <v>0</v>
      </c>
      <c r="T22" s="37">
        <f t="shared" si="19"/>
        <v>1430</v>
      </c>
      <c r="U22" s="37">
        <f t="shared" si="20"/>
        <v>4970</v>
      </c>
      <c r="V22" s="37">
        <f t="shared" si="21"/>
        <v>4390</v>
      </c>
      <c r="W22" s="37">
        <f t="shared" si="22"/>
        <v>2520</v>
      </c>
      <c r="X22" s="37">
        <f t="shared" si="23"/>
        <v>4710</v>
      </c>
      <c r="Y22" s="37">
        <f t="shared" si="24"/>
        <v>4950</v>
      </c>
      <c r="Z22" s="37">
        <f t="shared" si="25"/>
        <v>2440</v>
      </c>
      <c r="AA22" s="37">
        <f t="shared" si="26"/>
        <v>3020</v>
      </c>
      <c r="AB22" s="37">
        <f t="shared" si="27"/>
        <v>7280</v>
      </c>
      <c r="AC22" s="37">
        <f t="shared" si="28"/>
        <v>11910</v>
      </c>
      <c r="AD22" s="35">
        <f t="shared" si="29"/>
        <v>57450</v>
      </c>
      <c r="AF22" s="20">
        <f t="shared" si="1"/>
        <v>2.85</v>
      </c>
      <c r="AG22" s="20">
        <f t="shared" si="2"/>
        <v>46.300000000000004</v>
      </c>
      <c r="AH22" s="20">
        <f t="shared" si="3"/>
        <v>0</v>
      </c>
      <c r="AI22" s="20">
        <f t="shared" si="4"/>
        <v>7.15</v>
      </c>
      <c r="AJ22" s="20">
        <f t="shared" si="5"/>
        <v>24.85</v>
      </c>
      <c r="AK22" s="20">
        <f t="shared" si="6"/>
        <v>21.95</v>
      </c>
      <c r="AL22" s="20">
        <f t="shared" si="7"/>
        <v>12.6</v>
      </c>
      <c r="AM22" s="20">
        <f t="shared" si="8"/>
        <v>23.55</v>
      </c>
      <c r="AN22" s="20">
        <f t="shared" si="9"/>
        <v>24.75</v>
      </c>
      <c r="AO22" s="20">
        <f t="shared" si="10"/>
        <v>12.200000000000001</v>
      </c>
      <c r="AP22" s="20">
        <f t="shared" si="11"/>
        <v>15.1</v>
      </c>
      <c r="AQ22" s="20">
        <f t="shared" si="12"/>
        <v>36.4</v>
      </c>
      <c r="AR22" s="20">
        <f t="shared" si="13"/>
        <v>59.550000000000004</v>
      </c>
      <c r="AS22" s="35">
        <f t="shared" si="30"/>
        <v>287.25</v>
      </c>
      <c r="AU22" s="47">
        <v>489116</v>
      </c>
      <c r="AV22" s="37">
        <f t="shared" si="31"/>
        <v>1584</v>
      </c>
      <c r="AW22" s="35">
        <f t="shared" si="14"/>
        <v>3.1680000000000001</v>
      </c>
    </row>
    <row r="23" spans="1:49" x14ac:dyDescent="0.25">
      <c r="A23" s="23">
        <v>44578</v>
      </c>
      <c r="B23" s="40">
        <v>42</v>
      </c>
      <c r="C23" s="24">
        <v>7474600</v>
      </c>
      <c r="D23" s="24">
        <v>17913460</v>
      </c>
      <c r="E23" s="24">
        <v>3198950</v>
      </c>
      <c r="F23" s="24">
        <v>3855990</v>
      </c>
      <c r="G23" s="24">
        <v>11379530</v>
      </c>
      <c r="H23" s="24">
        <v>6354320</v>
      </c>
      <c r="I23" s="24">
        <v>5616200</v>
      </c>
      <c r="J23" s="24">
        <v>6899960</v>
      </c>
      <c r="K23" s="24">
        <v>10395670</v>
      </c>
      <c r="L23" s="24">
        <v>4410850</v>
      </c>
      <c r="M23" s="24">
        <v>8596820</v>
      </c>
      <c r="N23" s="24">
        <v>13628730</v>
      </c>
      <c r="O23" s="24">
        <v>18920670</v>
      </c>
      <c r="Q23" s="37">
        <f t="shared" si="17"/>
        <v>550</v>
      </c>
      <c r="R23" s="37">
        <f t="shared" si="18"/>
        <v>9050</v>
      </c>
      <c r="S23" s="37">
        <f t="shared" si="16"/>
        <v>0</v>
      </c>
      <c r="T23" s="37">
        <f t="shared" si="19"/>
        <v>1370</v>
      </c>
      <c r="U23" s="37">
        <f t="shared" si="20"/>
        <v>4460</v>
      </c>
      <c r="V23" s="37">
        <f t="shared" si="21"/>
        <v>4280</v>
      </c>
      <c r="W23" s="37">
        <f t="shared" si="22"/>
        <v>2400</v>
      </c>
      <c r="X23" s="37">
        <f t="shared" si="23"/>
        <v>4600</v>
      </c>
      <c r="Y23" s="37">
        <f t="shared" si="24"/>
        <v>4890</v>
      </c>
      <c r="Z23" s="37">
        <f t="shared" si="25"/>
        <v>2260</v>
      </c>
      <c r="AA23" s="37">
        <f t="shared" si="26"/>
        <v>3010</v>
      </c>
      <c r="AB23" s="37">
        <f t="shared" si="27"/>
        <v>6870</v>
      </c>
      <c r="AC23" s="37">
        <f t="shared" si="28"/>
        <v>11730</v>
      </c>
      <c r="AD23" s="35">
        <f t="shared" si="29"/>
        <v>55470</v>
      </c>
      <c r="AF23" s="20">
        <f t="shared" si="1"/>
        <v>2.75</v>
      </c>
      <c r="AG23" s="20">
        <f t="shared" si="2"/>
        <v>45.25</v>
      </c>
      <c r="AH23" s="20">
        <f t="shared" si="3"/>
        <v>0</v>
      </c>
      <c r="AI23" s="20">
        <f t="shared" si="4"/>
        <v>6.8500000000000005</v>
      </c>
      <c r="AJ23" s="20">
        <f t="shared" si="5"/>
        <v>22.3</v>
      </c>
      <c r="AK23" s="20">
        <f t="shared" si="6"/>
        <v>21.400000000000002</v>
      </c>
      <c r="AL23" s="20">
        <f t="shared" si="7"/>
        <v>12</v>
      </c>
      <c r="AM23" s="20">
        <f t="shared" si="8"/>
        <v>23</v>
      </c>
      <c r="AN23" s="20">
        <f t="shared" si="9"/>
        <v>24.45</v>
      </c>
      <c r="AO23" s="20">
        <f t="shared" si="10"/>
        <v>11.3</v>
      </c>
      <c r="AP23" s="20">
        <f t="shared" si="11"/>
        <v>15.05</v>
      </c>
      <c r="AQ23" s="20">
        <f t="shared" si="12"/>
        <v>34.35</v>
      </c>
      <c r="AR23" s="20">
        <f t="shared" si="13"/>
        <v>58.65</v>
      </c>
      <c r="AS23" s="35">
        <f t="shared" si="30"/>
        <v>277.35000000000002</v>
      </c>
      <c r="AU23" s="47">
        <v>490754</v>
      </c>
      <c r="AV23" s="37">
        <f t="shared" si="31"/>
        <v>1638</v>
      </c>
      <c r="AW23" s="35">
        <f t="shared" si="14"/>
        <v>3.2760000000000002</v>
      </c>
    </row>
    <row r="24" spans="1:49" x14ac:dyDescent="0.25">
      <c r="A24" s="23">
        <v>44579</v>
      </c>
      <c r="B24" s="40">
        <v>71</v>
      </c>
      <c r="C24" s="24">
        <v>7475170</v>
      </c>
      <c r="D24" s="24">
        <v>17921480</v>
      </c>
      <c r="E24" s="24">
        <v>3198950</v>
      </c>
      <c r="F24" s="24">
        <v>3857400</v>
      </c>
      <c r="G24" s="24">
        <v>11384130</v>
      </c>
      <c r="H24" s="24">
        <v>6358650</v>
      </c>
      <c r="I24" s="24">
        <v>5618810</v>
      </c>
      <c r="J24" s="24">
        <v>6904790</v>
      </c>
      <c r="K24" s="24">
        <v>10400800</v>
      </c>
      <c r="L24" s="24">
        <v>4413210</v>
      </c>
      <c r="M24" s="24">
        <v>8599940</v>
      </c>
      <c r="N24" s="24">
        <v>13636040</v>
      </c>
      <c r="O24" s="24">
        <v>18934660</v>
      </c>
      <c r="Q24" s="37">
        <f t="shared" si="17"/>
        <v>570</v>
      </c>
      <c r="R24" s="37">
        <f t="shared" si="18"/>
        <v>8020</v>
      </c>
      <c r="S24" s="37">
        <f t="shared" si="16"/>
        <v>0</v>
      </c>
      <c r="T24" s="37">
        <f t="shared" si="19"/>
        <v>1410</v>
      </c>
      <c r="U24" s="37">
        <f t="shared" si="20"/>
        <v>4600</v>
      </c>
      <c r="V24" s="37">
        <f t="shared" si="21"/>
        <v>4330</v>
      </c>
      <c r="W24" s="37">
        <f t="shared" si="22"/>
        <v>2610</v>
      </c>
      <c r="X24" s="37">
        <f t="shared" si="23"/>
        <v>4830</v>
      </c>
      <c r="Y24" s="37">
        <f t="shared" si="24"/>
        <v>5130</v>
      </c>
      <c r="Z24" s="37">
        <f t="shared" si="25"/>
        <v>2360</v>
      </c>
      <c r="AA24" s="37">
        <f t="shared" si="26"/>
        <v>3120</v>
      </c>
      <c r="AB24" s="37">
        <f t="shared" si="27"/>
        <v>7310</v>
      </c>
      <c r="AC24" s="37">
        <f t="shared" si="28"/>
        <v>13990</v>
      </c>
      <c r="AD24" s="35">
        <f t="shared" si="29"/>
        <v>58280</v>
      </c>
      <c r="AF24" s="20">
        <f t="shared" si="1"/>
        <v>2.85</v>
      </c>
      <c r="AG24" s="20">
        <f t="shared" si="2"/>
        <v>40.1</v>
      </c>
      <c r="AH24" s="20">
        <f t="shared" si="3"/>
        <v>0</v>
      </c>
      <c r="AI24" s="20">
        <f t="shared" si="4"/>
        <v>7.05</v>
      </c>
      <c r="AJ24" s="20">
        <f t="shared" si="5"/>
        <v>23</v>
      </c>
      <c r="AK24" s="20">
        <f t="shared" si="6"/>
        <v>21.650000000000002</v>
      </c>
      <c r="AL24" s="20">
        <f t="shared" si="7"/>
        <v>13.05</v>
      </c>
      <c r="AM24" s="20">
        <f t="shared" si="8"/>
        <v>24.150000000000002</v>
      </c>
      <c r="AN24" s="20">
        <f t="shared" si="9"/>
        <v>25.650000000000002</v>
      </c>
      <c r="AO24" s="20">
        <f t="shared" si="10"/>
        <v>11.8</v>
      </c>
      <c r="AP24" s="20">
        <f t="shared" si="11"/>
        <v>15.6</v>
      </c>
      <c r="AQ24" s="20">
        <f t="shared" si="12"/>
        <v>36.550000000000004</v>
      </c>
      <c r="AR24" s="20">
        <f t="shared" si="13"/>
        <v>69.95</v>
      </c>
      <c r="AS24" s="35">
        <f t="shared" si="30"/>
        <v>291.40000000000003</v>
      </c>
      <c r="AU24" s="47">
        <v>492372</v>
      </c>
      <c r="AV24" s="37">
        <f t="shared" si="31"/>
        <v>1618</v>
      </c>
      <c r="AW24" s="35">
        <f t="shared" si="14"/>
        <v>3.2360000000000002</v>
      </c>
    </row>
    <row r="25" spans="1:49" x14ac:dyDescent="0.25">
      <c r="A25" s="23">
        <v>44580</v>
      </c>
      <c r="B25" s="40">
        <v>64</v>
      </c>
      <c r="C25" s="24">
        <v>7475720</v>
      </c>
      <c r="D25" s="24">
        <v>17929480</v>
      </c>
      <c r="E25" s="24">
        <v>3198950</v>
      </c>
      <c r="F25" s="24">
        <v>3858740</v>
      </c>
      <c r="G25" s="24">
        <v>11390090</v>
      </c>
      <c r="H25" s="24">
        <v>6363080</v>
      </c>
      <c r="I25" s="24">
        <v>5621270</v>
      </c>
      <c r="J25" s="24">
        <v>6909580</v>
      </c>
      <c r="K25" s="24">
        <v>10405670</v>
      </c>
      <c r="L25" s="24">
        <v>4415610</v>
      </c>
      <c r="M25" s="24">
        <v>8602990</v>
      </c>
      <c r="N25" s="24">
        <v>13643320</v>
      </c>
      <c r="O25" s="24">
        <v>18948780</v>
      </c>
      <c r="Q25" s="37">
        <f t="shared" ref="Q25:AC27" si="33">IF((C25-C24&lt;0), "0",C25-C24)</f>
        <v>550</v>
      </c>
      <c r="R25" s="37">
        <f t="shared" si="33"/>
        <v>8000</v>
      </c>
      <c r="S25" s="37">
        <f t="shared" si="33"/>
        <v>0</v>
      </c>
      <c r="T25" s="37">
        <f t="shared" si="33"/>
        <v>1340</v>
      </c>
      <c r="U25" s="37">
        <f t="shared" si="33"/>
        <v>5960</v>
      </c>
      <c r="V25" s="37">
        <f t="shared" si="33"/>
        <v>4430</v>
      </c>
      <c r="W25" s="37">
        <f t="shared" si="33"/>
        <v>2460</v>
      </c>
      <c r="X25" s="37">
        <f t="shared" si="33"/>
        <v>4790</v>
      </c>
      <c r="Y25" s="37">
        <f t="shared" si="33"/>
        <v>4870</v>
      </c>
      <c r="Z25" s="37">
        <f t="shared" si="33"/>
        <v>2400</v>
      </c>
      <c r="AA25" s="37">
        <f t="shared" si="33"/>
        <v>3050</v>
      </c>
      <c r="AB25" s="37">
        <f t="shared" si="33"/>
        <v>7280</v>
      </c>
      <c r="AC25" s="37">
        <f t="shared" si="33"/>
        <v>14120</v>
      </c>
      <c r="AD25" s="35">
        <f t="shared" si="29"/>
        <v>59250</v>
      </c>
      <c r="AF25" s="20">
        <f t="shared" si="1"/>
        <v>2.75</v>
      </c>
      <c r="AG25" s="20">
        <f t="shared" si="2"/>
        <v>40</v>
      </c>
      <c r="AH25" s="20">
        <f t="shared" si="3"/>
        <v>0</v>
      </c>
      <c r="AI25" s="20">
        <f t="shared" si="4"/>
        <v>6.7</v>
      </c>
      <c r="AJ25" s="20">
        <f t="shared" si="5"/>
        <v>29.8</v>
      </c>
      <c r="AK25" s="20">
        <f t="shared" si="6"/>
        <v>22.150000000000002</v>
      </c>
      <c r="AL25" s="20">
        <f t="shared" si="7"/>
        <v>12.3</v>
      </c>
      <c r="AM25" s="20">
        <f t="shared" si="8"/>
        <v>23.95</v>
      </c>
      <c r="AN25" s="20">
        <f t="shared" si="9"/>
        <v>24.35</v>
      </c>
      <c r="AO25" s="20">
        <f t="shared" si="10"/>
        <v>12</v>
      </c>
      <c r="AP25" s="20">
        <f t="shared" si="11"/>
        <v>15.25</v>
      </c>
      <c r="AQ25" s="20">
        <f t="shared" si="12"/>
        <v>36.4</v>
      </c>
      <c r="AR25" s="20">
        <f t="shared" si="13"/>
        <v>70.600000000000009</v>
      </c>
      <c r="AS25" s="35">
        <f t="shared" si="30"/>
        <v>296.25</v>
      </c>
      <c r="AU25" s="47">
        <v>493881</v>
      </c>
      <c r="AV25" s="37">
        <f t="shared" si="31"/>
        <v>1509</v>
      </c>
      <c r="AW25" s="35">
        <f t="shared" si="14"/>
        <v>3.0180000000000002</v>
      </c>
    </row>
    <row r="26" spans="1:49" x14ac:dyDescent="0.25">
      <c r="A26" s="23">
        <v>44581</v>
      </c>
      <c r="B26" s="40">
        <v>103</v>
      </c>
      <c r="C26" s="24">
        <v>7476310</v>
      </c>
      <c r="D26" s="24">
        <v>17937520</v>
      </c>
      <c r="E26" s="24">
        <v>3198950</v>
      </c>
      <c r="F26" s="24">
        <v>3860170</v>
      </c>
      <c r="G26" s="24">
        <v>11395640</v>
      </c>
      <c r="H26" s="24">
        <v>6367740</v>
      </c>
      <c r="I26" s="24">
        <v>5623920</v>
      </c>
      <c r="J26" s="24">
        <v>6914740</v>
      </c>
      <c r="K26" s="24">
        <v>10410840</v>
      </c>
      <c r="L26" s="24">
        <v>4418210</v>
      </c>
      <c r="M26" s="24">
        <v>8606220</v>
      </c>
      <c r="N26" s="24">
        <v>13651500</v>
      </c>
      <c r="O26" s="24">
        <v>18964210</v>
      </c>
      <c r="Q26" s="37">
        <f t="shared" si="33"/>
        <v>590</v>
      </c>
      <c r="R26" s="37">
        <f t="shared" si="33"/>
        <v>8040</v>
      </c>
      <c r="S26" s="37">
        <f t="shared" si="33"/>
        <v>0</v>
      </c>
      <c r="T26" s="37">
        <f t="shared" si="33"/>
        <v>1430</v>
      </c>
      <c r="U26" s="37">
        <f t="shared" si="33"/>
        <v>5550</v>
      </c>
      <c r="V26" s="37">
        <f t="shared" si="33"/>
        <v>4660</v>
      </c>
      <c r="W26" s="37">
        <f t="shared" si="33"/>
        <v>2650</v>
      </c>
      <c r="X26" s="37">
        <f t="shared" si="33"/>
        <v>5160</v>
      </c>
      <c r="Y26" s="37">
        <f t="shared" si="33"/>
        <v>5170</v>
      </c>
      <c r="Z26" s="37">
        <f t="shared" si="33"/>
        <v>2600</v>
      </c>
      <c r="AA26" s="37">
        <f t="shared" si="33"/>
        <v>3230</v>
      </c>
      <c r="AB26" s="37">
        <f t="shared" si="33"/>
        <v>8180</v>
      </c>
      <c r="AC26" s="37">
        <f t="shared" si="33"/>
        <v>15430</v>
      </c>
      <c r="AD26" s="35">
        <f t="shared" si="29"/>
        <v>62690</v>
      </c>
      <c r="AF26" s="20">
        <f t="shared" si="1"/>
        <v>2.95</v>
      </c>
      <c r="AG26" s="20">
        <f t="shared" si="2"/>
        <v>40.200000000000003</v>
      </c>
      <c r="AH26" s="20">
        <f t="shared" si="3"/>
        <v>0</v>
      </c>
      <c r="AI26" s="20">
        <f t="shared" si="4"/>
        <v>7.15</v>
      </c>
      <c r="AJ26" s="20">
        <f t="shared" si="5"/>
        <v>27.75</v>
      </c>
      <c r="AK26" s="20">
        <f t="shared" si="6"/>
        <v>23.3</v>
      </c>
      <c r="AL26" s="20">
        <f t="shared" si="7"/>
        <v>13.25</v>
      </c>
      <c r="AM26" s="20">
        <f t="shared" si="8"/>
        <v>25.8</v>
      </c>
      <c r="AN26" s="20">
        <f t="shared" si="9"/>
        <v>25.85</v>
      </c>
      <c r="AO26" s="20">
        <f t="shared" si="10"/>
        <v>13</v>
      </c>
      <c r="AP26" s="20">
        <f t="shared" si="11"/>
        <v>16.149999999999999</v>
      </c>
      <c r="AQ26" s="20">
        <f t="shared" si="12"/>
        <v>40.9</v>
      </c>
      <c r="AR26" s="20">
        <f t="shared" si="13"/>
        <v>77.150000000000006</v>
      </c>
      <c r="AS26" s="35">
        <f t="shared" si="30"/>
        <v>313.45000000000005</v>
      </c>
      <c r="AU26" s="47">
        <v>495485</v>
      </c>
      <c r="AV26" s="37">
        <f t="shared" si="31"/>
        <v>1604</v>
      </c>
      <c r="AW26" s="35">
        <f t="shared" si="14"/>
        <v>3.2080000000000002</v>
      </c>
    </row>
    <row r="27" spans="1:49" x14ac:dyDescent="0.25">
      <c r="A27" s="23">
        <v>44582</v>
      </c>
      <c r="B27" s="40">
        <v>91</v>
      </c>
      <c r="C27" s="24">
        <v>7476880</v>
      </c>
      <c r="D27" s="24">
        <v>17944730</v>
      </c>
      <c r="E27" s="24">
        <v>3198950</v>
      </c>
      <c r="F27" s="24">
        <v>3861560</v>
      </c>
      <c r="G27" s="24">
        <v>11400930</v>
      </c>
      <c r="H27" s="24">
        <v>6372100</v>
      </c>
      <c r="I27" s="24">
        <v>5626420</v>
      </c>
      <c r="J27" s="24">
        <v>6919980</v>
      </c>
      <c r="K27" s="24">
        <v>10415860</v>
      </c>
      <c r="L27" s="24">
        <v>4420820</v>
      </c>
      <c r="M27" s="24">
        <v>8609330</v>
      </c>
      <c r="N27" s="24">
        <v>13659770</v>
      </c>
      <c r="O27" s="24">
        <v>18977600</v>
      </c>
      <c r="Q27" s="37">
        <f t="shared" si="33"/>
        <v>570</v>
      </c>
      <c r="R27" s="37">
        <f t="shared" si="33"/>
        <v>7210</v>
      </c>
      <c r="S27" s="37">
        <f t="shared" si="33"/>
        <v>0</v>
      </c>
      <c r="T27" s="37">
        <f t="shared" si="33"/>
        <v>1390</v>
      </c>
      <c r="U27" s="37">
        <f t="shared" si="33"/>
        <v>5290</v>
      </c>
      <c r="V27" s="37">
        <f t="shared" si="33"/>
        <v>4360</v>
      </c>
      <c r="W27" s="37">
        <f t="shared" si="33"/>
        <v>2500</v>
      </c>
      <c r="X27" s="37">
        <f t="shared" si="33"/>
        <v>5240</v>
      </c>
      <c r="Y27" s="37">
        <f t="shared" si="33"/>
        <v>5020</v>
      </c>
      <c r="Z27" s="37">
        <f t="shared" si="33"/>
        <v>2610</v>
      </c>
      <c r="AA27" s="37">
        <f t="shared" si="33"/>
        <v>3110</v>
      </c>
      <c r="AB27" s="37">
        <f t="shared" si="33"/>
        <v>8270</v>
      </c>
      <c r="AC27" s="37">
        <f t="shared" si="33"/>
        <v>13390</v>
      </c>
      <c r="AD27" s="35">
        <f t="shared" si="29"/>
        <v>58960</v>
      </c>
      <c r="AF27" s="20">
        <f t="shared" si="1"/>
        <v>2.85</v>
      </c>
      <c r="AG27" s="20">
        <f t="shared" si="2"/>
        <v>36.050000000000004</v>
      </c>
      <c r="AH27" s="20">
        <f t="shared" si="3"/>
        <v>0</v>
      </c>
      <c r="AI27" s="20">
        <f t="shared" si="4"/>
        <v>6.95</v>
      </c>
      <c r="AJ27" s="20">
        <f t="shared" si="5"/>
        <v>26.45</v>
      </c>
      <c r="AK27" s="20">
        <f t="shared" si="6"/>
        <v>21.8</v>
      </c>
      <c r="AL27" s="20">
        <f t="shared" si="7"/>
        <v>12.5</v>
      </c>
      <c r="AM27" s="20">
        <f t="shared" si="8"/>
        <v>26.2</v>
      </c>
      <c r="AN27" s="20">
        <f t="shared" si="9"/>
        <v>25.1</v>
      </c>
      <c r="AO27" s="20">
        <f t="shared" si="10"/>
        <v>13.05</v>
      </c>
      <c r="AP27" s="20">
        <f t="shared" si="11"/>
        <v>15.55</v>
      </c>
      <c r="AQ27" s="20">
        <f t="shared" si="12"/>
        <v>41.35</v>
      </c>
      <c r="AR27" s="20">
        <f t="shared" si="13"/>
        <v>66.95</v>
      </c>
      <c r="AS27" s="35">
        <f t="shared" si="30"/>
        <v>294.8</v>
      </c>
      <c r="AU27" s="47">
        <v>496686</v>
      </c>
      <c r="AV27" s="37">
        <f>IF((AU27-AU26&lt;0),"0",AU27-AU26)</f>
        <v>1201</v>
      </c>
      <c r="AW27" s="35">
        <f t="shared" si="14"/>
        <v>2.4020000000000001</v>
      </c>
    </row>
    <row r="28" spans="1:49" x14ac:dyDescent="0.25">
      <c r="A28" s="23">
        <v>44583</v>
      </c>
      <c r="B28" s="40">
        <v>71</v>
      </c>
      <c r="C28" s="24">
        <v>7477440</v>
      </c>
      <c r="D28" s="24">
        <v>17951960</v>
      </c>
      <c r="E28" s="24">
        <v>3198950</v>
      </c>
      <c r="F28" s="24">
        <v>3862910</v>
      </c>
      <c r="G28" s="24">
        <v>11405810</v>
      </c>
      <c r="H28" s="24">
        <v>6376350</v>
      </c>
      <c r="I28" s="24">
        <v>5628890</v>
      </c>
      <c r="J28" s="24">
        <v>6925220</v>
      </c>
      <c r="K28" s="24">
        <v>10420850</v>
      </c>
      <c r="L28" s="24">
        <v>4423420</v>
      </c>
      <c r="M28" s="24">
        <v>8612290</v>
      </c>
      <c r="N28" s="24">
        <v>13668050</v>
      </c>
      <c r="O28" s="24">
        <v>18990660</v>
      </c>
      <c r="Q28" s="37">
        <f t="shared" si="17"/>
        <v>560</v>
      </c>
      <c r="R28" s="37">
        <f t="shared" si="18"/>
        <v>7230</v>
      </c>
      <c r="S28" s="37">
        <f t="shared" si="16"/>
        <v>0</v>
      </c>
      <c r="T28" s="37">
        <f t="shared" si="19"/>
        <v>1350</v>
      </c>
      <c r="U28" s="37">
        <f t="shared" si="20"/>
        <v>4880</v>
      </c>
      <c r="V28" s="37">
        <f t="shared" si="21"/>
        <v>4250</v>
      </c>
      <c r="W28" s="37">
        <f t="shared" si="22"/>
        <v>2470</v>
      </c>
      <c r="X28" s="37">
        <f t="shared" si="23"/>
        <v>5240</v>
      </c>
      <c r="Y28" s="37">
        <f t="shared" si="24"/>
        <v>4990</v>
      </c>
      <c r="Z28" s="37">
        <f t="shared" si="25"/>
        <v>2600</v>
      </c>
      <c r="AA28" s="37">
        <f t="shared" si="26"/>
        <v>2960</v>
      </c>
      <c r="AB28" s="37">
        <f t="shared" si="27"/>
        <v>8280</v>
      </c>
      <c r="AC28" s="37">
        <f t="shared" si="28"/>
        <v>13060</v>
      </c>
      <c r="AD28" s="35">
        <f t="shared" si="29"/>
        <v>57870</v>
      </c>
      <c r="AF28" s="20">
        <f t="shared" si="1"/>
        <v>2.8000000000000003</v>
      </c>
      <c r="AG28" s="20">
        <f t="shared" si="2"/>
        <v>36.15</v>
      </c>
      <c r="AH28" s="20">
        <f t="shared" si="3"/>
        <v>0</v>
      </c>
      <c r="AI28" s="20">
        <f t="shared" si="4"/>
        <v>6.75</v>
      </c>
      <c r="AJ28" s="20">
        <f t="shared" si="5"/>
        <v>24.400000000000002</v>
      </c>
      <c r="AK28" s="20">
        <f t="shared" si="6"/>
        <v>21.25</v>
      </c>
      <c r="AL28" s="20">
        <f t="shared" si="7"/>
        <v>12.35</v>
      </c>
      <c r="AM28" s="20">
        <f t="shared" si="8"/>
        <v>26.2</v>
      </c>
      <c r="AN28" s="20">
        <f t="shared" si="9"/>
        <v>24.95</v>
      </c>
      <c r="AO28" s="20">
        <f t="shared" si="10"/>
        <v>13</v>
      </c>
      <c r="AP28" s="20">
        <f t="shared" si="11"/>
        <v>14.8</v>
      </c>
      <c r="AQ28" s="20">
        <f t="shared" si="12"/>
        <v>41.4</v>
      </c>
      <c r="AR28" s="20">
        <f t="shared" si="13"/>
        <v>65.3</v>
      </c>
      <c r="AS28" s="35">
        <f t="shared" si="30"/>
        <v>289.34999999999997</v>
      </c>
      <c r="AU28" s="47">
        <v>497895</v>
      </c>
      <c r="AV28" s="37">
        <f>IF((AU28-AU27&lt;0),"0",AU28-AU27)</f>
        <v>1209</v>
      </c>
      <c r="AW28" s="35">
        <f t="shared" si="14"/>
        <v>2.4180000000000001</v>
      </c>
    </row>
    <row r="29" spans="1:49" x14ac:dyDescent="0.25">
      <c r="A29" s="23">
        <v>44584</v>
      </c>
      <c r="B29" s="40">
        <v>84</v>
      </c>
      <c r="C29" s="24">
        <v>7478000</v>
      </c>
      <c r="D29" s="24">
        <v>17960050</v>
      </c>
      <c r="E29" s="24">
        <v>3198950</v>
      </c>
      <c r="F29" s="24">
        <v>3864200</v>
      </c>
      <c r="G29" s="24">
        <v>11411180</v>
      </c>
      <c r="H29" s="24">
        <v>6380750</v>
      </c>
      <c r="I29" s="24">
        <v>5631460</v>
      </c>
      <c r="J29" s="24">
        <v>6930010</v>
      </c>
      <c r="K29" s="24">
        <v>10425490</v>
      </c>
      <c r="L29" s="24">
        <v>4426020</v>
      </c>
      <c r="M29" s="24">
        <v>8615320</v>
      </c>
      <c r="N29" s="24">
        <v>13676300</v>
      </c>
      <c r="O29" s="24">
        <v>19004320</v>
      </c>
      <c r="Q29" s="37">
        <f t="shared" si="17"/>
        <v>560</v>
      </c>
      <c r="R29" s="37">
        <f t="shared" si="18"/>
        <v>8090</v>
      </c>
      <c r="S29" s="37">
        <f t="shared" si="16"/>
        <v>0</v>
      </c>
      <c r="T29" s="37">
        <f t="shared" si="19"/>
        <v>1290</v>
      </c>
      <c r="U29" s="37">
        <f t="shared" si="20"/>
        <v>5370</v>
      </c>
      <c r="V29" s="37">
        <f t="shared" si="21"/>
        <v>4400</v>
      </c>
      <c r="W29" s="37">
        <f t="shared" si="22"/>
        <v>2570</v>
      </c>
      <c r="X29" s="37">
        <f t="shared" si="23"/>
        <v>4790</v>
      </c>
      <c r="Y29" s="37">
        <f t="shared" si="24"/>
        <v>4640</v>
      </c>
      <c r="Z29" s="37">
        <f t="shared" si="25"/>
        <v>2600</v>
      </c>
      <c r="AA29" s="37">
        <f t="shared" si="26"/>
        <v>3030</v>
      </c>
      <c r="AB29" s="37">
        <f t="shared" si="27"/>
        <v>8250</v>
      </c>
      <c r="AC29" s="37">
        <f t="shared" si="28"/>
        <v>13660</v>
      </c>
      <c r="AD29" s="35">
        <f t="shared" si="29"/>
        <v>59250</v>
      </c>
      <c r="AF29" s="20">
        <f t="shared" si="1"/>
        <v>2.8000000000000003</v>
      </c>
      <c r="AG29" s="20">
        <f t="shared" si="2"/>
        <v>40.450000000000003</v>
      </c>
      <c r="AH29" s="20">
        <f t="shared" si="3"/>
        <v>0</v>
      </c>
      <c r="AI29" s="20">
        <f t="shared" si="4"/>
        <v>6.45</v>
      </c>
      <c r="AJ29" s="20">
        <f t="shared" si="5"/>
        <v>26.85</v>
      </c>
      <c r="AK29" s="20">
        <f t="shared" si="6"/>
        <v>22</v>
      </c>
      <c r="AL29" s="20">
        <f t="shared" si="7"/>
        <v>12.85</v>
      </c>
      <c r="AM29" s="20">
        <f t="shared" si="8"/>
        <v>23.95</v>
      </c>
      <c r="AN29" s="20">
        <f t="shared" si="9"/>
        <v>23.2</v>
      </c>
      <c r="AO29" s="20">
        <f t="shared" si="10"/>
        <v>13</v>
      </c>
      <c r="AP29" s="20">
        <f t="shared" si="11"/>
        <v>15.15</v>
      </c>
      <c r="AQ29" s="20">
        <f t="shared" si="12"/>
        <v>41.25</v>
      </c>
      <c r="AR29" s="20">
        <f t="shared" si="13"/>
        <v>68.3</v>
      </c>
      <c r="AS29" s="35">
        <f t="shared" si="30"/>
        <v>296.25</v>
      </c>
      <c r="AU29" s="47">
        <v>499938</v>
      </c>
      <c r="AV29" s="37">
        <f t="shared" ref="AV29:AV35" si="34">IF((AU29-AU28&lt;0),"0",AU29-AU28)</f>
        <v>2043</v>
      </c>
      <c r="AW29" s="35">
        <f t="shared" si="14"/>
        <v>4.0860000000000003</v>
      </c>
    </row>
    <row r="30" spans="1:49" x14ac:dyDescent="0.25">
      <c r="A30" s="23">
        <v>44585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7"/>
        <v>0</v>
      </c>
      <c r="R30" s="37" t="str">
        <f t="shared" si="18"/>
        <v>0</v>
      </c>
      <c r="S30" s="37" t="str">
        <f t="shared" si="16"/>
        <v>0</v>
      </c>
      <c r="T30" s="37" t="str">
        <f t="shared" si="19"/>
        <v>0</v>
      </c>
      <c r="U30" s="37" t="str">
        <f t="shared" si="20"/>
        <v>0</v>
      </c>
      <c r="V30" s="37" t="str">
        <f t="shared" si="21"/>
        <v>0</v>
      </c>
      <c r="W30" s="37" t="str">
        <f t="shared" si="22"/>
        <v>0</v>
      </c>
      <c r="X30" s="37" t="str">
        <f t="shared" si="23"/>
        <v>0</v>
      </c>
      <c r="Y30" s="37" t="str">
        <f t="shared" si="24"/>
        <v>0</v>
      </c>
      <c r="Z30" s="37" t="str">
        <f t="shared" si="25"/>
        <v>0</v>
      </c>
      <c r="AA30" s="37" t="str">
        <f t="shared" si="26"/>
        <v>0</v>
      </c>
      <c r="AB30" s="37" t="str">
        <f t="shared" si="27"/>
        <v>0</v>
      </c>
      <c r="AC30" s="37" t="str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 t="str">
        <f t="shared" si="34"/>
        <v>0</v>
      </c>
      <c r="AW30" s="35">
        <f t="shared" si="14"/>
        <v>0</v>
      </c>
    </row>
    <row r="31" spans="1:49" x14ac:dyDescent="0.25">
      <c r="A31" s="23">
        <v>44586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12960</v>
      </c>
      <c r="R38" s="38">
        <f t="shared" ref="R38:AD38" si="62">SUM(R7:R37)</f>
        <v>194020</v>
      </c>
      <c r="S38" s="38">
        <f t="shared" si="62"/>
        <v>10</v>
      </c>
      <c r="T38" s="38">
        <f t="shared" si="62"/>
        <v>31580</v>
      </c>
      <c r="U38" s="38">
        <f t="shared" si="62"/>
        <v>119920</v>
      </c>
      <c r="V38" s="38">
        <f t="shared" si="62"/>
        <v>101130</v>
      </c>
      <c r="W38" s="38">
        <f t="shared" si="62"/>
        <v>58150</v>
      </c>
      <c r="X38" s="38">
        <f t="shared" si="62"/>
        <v>110140</v>
      </c>
      <c r="Y38" s="38">
        <f t="shared" si="62"/>
        <v>117920</v>
      </c>
      <c r="Z38" s="38">
        <f t="shared" si="62"/>
        <v>58900</v>
      </c>
      <c r="AA38" s="38">
        <f t="shared" si="62"/>
        <v>72510</v>
      </c>
      <c r="AB38" s="38">
        <f t="shared" si="62"/>
        <v>171060</v>
      </c>
      <c r="AC38" s="38">
        <f t="shared" si="62"/>
        <v>273410</v>
      </c>
      <c r="AD38" s="38">
        <f t="shared" si="62"/>
        <v>1321710</v>
      </c>
      <c r="AF38" s="35">
        <f>SUM(AF7:AF37)</f>
        <v>64.800000000000011</v>
      </c>
      <c r="AG38" s="35">
        <f t="shared" ref="AG38:AS38" si="63">SUM(AG7:AG37)</f>
        <v>970.1</v>
      </c>
      <c r="AH38" s="35">
        <f t="shared" si="63"/>
        <v>0.05</v>
      </c>
      <c r="AI38" s="35">
        <f t="shared" si="63"/>
        <v>157.89999999999998</v>
      </c>
      <c r="AJ38" s="35">
        <f t="shared" si="63"/>
        <v>599.6</v>
      </c>
      <c r="AK38" s="35">
        <f t="shared" si="63"/>
        <v>505.65</v>
      </c>
      <c r="AL38" s="35">
        <f t="shared" si="63"/>
        <v>290.75000000000006</v>
      </c>
      <c r="AM38" s="35">
        <f t="shared" si="63"/>
        <v>550.70000000000005</v>
      </c>
      <c r="AN38" s="35">
        <f t="shared" si="63"/>
        <v>589.60000000000014</v>
      </c>
      <c r="AO38" s="35">
        <f t="shared" si="63"/>
        <v>294.5</v>
      </c>
      <c r="AP38" s="35">
        <f t="shared" si="63"/>
        <v>362.55</v>
      </c>
      <c r="AQ38" s="35">
        <f t="shared" si="63"/>
        <v>855.3</v>
      </c>
      <c r="AR38" s="35">
        <f t="shared" si="63"/>
        <v>1367.0500000000002</v>
      </c>
      <c r="AS38" s="35">
        <f t="shared" si="63"/>
        <v>6608.5500000000011</v>
      </c>
      <c r="AU38" s="48"/>
      <c r="AV38" s="35">
        <f>SUM(AV7:AV34)</f>
        <v>36291</v>
      </c>
      <c r="AW38" s="35">
        <f>SUM(AW7:AW34)</f>
        <v>72.582000000000008</v>
      </c>
    </row>
    <row r="39" spans="1:49" x14ac:dyDescent="0.25">
      <c r="D39">
        <v>5.0000000000000001E-3</v>
      </c>
      <c r="AV39" s="36">
        <f>AV38*0.00378541*1000</f>
        <v>137376.31430999999</v>
      </c>
    </row>
    <row r="40" spans="1:49" x14ac:dyDescent="0.25">
      <c r="D40">
        <v>2E-3</v>
      </c>
      <c r="AV40">
        <f>AV39/31</f>
        <v>4431.4940099999994</v>
      </c>
    </row>
    <row r="41" spans="1:49" x14ac:dyDescent="0.25">
      <c r="AV41">
        <f>AV38*0.00378541</f>
        <v>137.37631431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2022-01-24T04:33:44Z</dcterms:modified>
</cp:coreProperties>
</file>