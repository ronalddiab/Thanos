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4AB381C-C422-447D-972C-FF1351056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Daily " sheetId="3" r:id="rId1"/>
    <sheet name="Submetering Daily " sheetId="2" r:id="rId2"/>
    <sheet name="06 - 2022" sheetId="5" r:id="rId3"/>
  </sheets>
  <definedNames>
    <definedName name="_xlnm.Print_Area" localSheetId="2">'06 - 2022'!$A$1:$J$35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1" i="2" l="1"/>
  <c r="I31" i="2"/>
  <c r="H31" i="2"/>
  <c r="F31" i="2"/>
  <c r="E31" i="2"/>
  <c r="L31" i="3"/>
  <c r="K31" i="3"/>
  <c r="I31" i="3"/>
  <c r="G31" i="3"/>
  <c r="E31" i="3"/>
  <c r="J30" i="2" l="1"/>
  <c r="I30" i="2"/>
  <c r="H30" i="2"/>
  <c r="F30" i="2"/>
  <c r="E30" i="2"/>
  <c r="L30" i="3"/>
  <c r="K30" i="3"/>
  <c r="I30" i="3"/>
  <c r="G30" i="3"/>
  <c r="E30" i="3"/>
  <c r="J29" i="2" l="1"/>
  <c r="I29" i="2"/>
  <c r="H29" i="2"/>
  <c r="F29" i="2"/>
  <c r="E29" i="2"/>
  <c r="L29" i="3"/>
  <c r="K29" i="3"/>
  <c r="I29" i="3"/>
  <c r="G29" i="3"/>
  <c r="E29" i="3"/>
  <c r="J26" i="2" l="1"/>
  <c r="I26" i="2"/>
  <c r="H26" i="2"/>
  <c r="F26" i="2"/>
  <c r="E26" i="2"/>
  <c r="L26" i="3"/>
  <c r="K26" i="3"/>
  <c r="I26" i="3"/>
  <c r="G26" i="3"/>
  <c r="E26" i="3"/>
  <c r="K38" i="5"/>
  <c r="J25" i="2" l="1"/>
  <c r="I25" i="2"/>
  <c r="H25" i="2"/>
  <c r="F25" i="2"/>
  <c r="E25" i="2"/>
  <c r="L25" i="3"/>
  <c r="K25" i="3"/>
  <c r="I25" i="3"/>
  <c r="G25" i="3"/>
  <c r="E25" i="3"/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8" i="5" l="1"/>
  <c r="I38" i="5"/>
  <c r="H38" i="5"/>
  <c r="G38" i="5"/>
  <c r="F38" i="5"/>
  <c r="E38" i="5"/>
  <c r="C38" i="5"/>
  <c r="B38" i="5"/>
  <c r="A8" i="5"/>
  <c r="A9" i="5" s="1"/>
  <c r="A10" i="5" s="1"/>
  <c r="A11" i="5" l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<sst xmlns="http://schemas.openxmlformats.org/spreadsheetml/2006/main" count="105" uniqueCount="38">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</sst>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6" fontId="0" fillId="0" borderId="0" xfId="1" applyNumberFormat="1" applyFont="1"/>
    <xf numFmtId="10" fontId="0" fillId="0" borderId="0" xfId="1" applyNumberFormat="1" applyFont="1"/>
    <xf numFmtId="164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164" fontId="4" fillId="0" borderId="1" xfId="2" applyFont="1" applyFill="1" applyBorder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164" fontId="5" fillId="0" borderId="1" xfId="2" applyFont="1" applyBorder="1" applyAlignment="1" applyProtection="1">
      <alignment horizontal="center" vertical="center"/>
      <protection locked="0"/>
    </xf>
    <xf numFmtId="164" fontId="5" fillId="0" borderId="1" xfId="2" applyFont="1" applyFill="1" applyBorder="1" applyAlignment="1" applyProtection="1">
      <alignment horizontal="center" vertical="center"/>
      <protection locked="0"/>
    </xf>
    <xf numFmtId="164" fontId="5" fillId="2" borderId="1" xfId="2" applyFont="1" applyFill="1" applyBorder="1" applyAlignment="1" applyProtection="1">
      <alignment horizontal="center" vertical="center"/>
      <protection locked="0"/>
    </xf>
    <xf numFmtId="164" fontId="6" fillId="0" borderId="1" xfId="2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164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4" fontId="5" fillId="0" borderId="4" xfId="2" applyFont="1" applyFill="1" applyBorder="1" applyAlignment="1">
      <alignment horizontal="center" vertical="center"/>
    </xf>
    <xf numFmtId="164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64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4" fontId="4" fillId="0" borderId="13" xfId="2" applyFont="1" applyBorder="1" applyAlignment="1">
      <alignment horizontal="center" vertical="center"/>
    </xf>
    <xf numFmtId="164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164" fontId="5" fillId="0" borderId="13" xfId="2" applyFont="1" applyFill="1" applyBorder="1" applyAlignment="1">
      <alignment horizontal="center" vertical="center"/>
    </xf>
    <xf numFmtId="164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6" fillId="0" borderId="1" xfId="2" applyFont="1" applyBorder="1" applyAlignment="1">
      <alignment horizontal="center" vertical="center"/>
    </xf>
    <xf numFmtId="164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"/>
  <sheetViews>
    <sheetView tabSelected="1" workbookViewId="0">
      <selection activeCell="L4" sqref="L4"/>
    </sheetView>
  </sheetViews>
  <sheetFormatPr defaultColWidth="11.5546875" defaultRowHeight="14.4" x14ac:dyDescent="0.3"/>
  <cols>
    <col min="4" max="4" width="13.44140625" customWidth="1"/>
    <col min="5" max="5" width="12.5546875" style="4" customWidth="1"/>
    <col min="6" max="6" width="12.5546875" customWidth="1"/>
    <col min="7" max="7" width="11.5546875" style="4"/>
    <col min="9" max="9" width="11.5546875" style="4"/>
    <col min="13" max="13" width="11.5546875" style="1"/>
    <col min="14" max="14" width="11.5546875" style="20"/>
    <col min="251" max="251" width="13.44140625" customWidth="1"/>
    <col min="252" max="253" width="12.5546875" customWidth="1"/>
  </cols>
  <sheetData>
    <row r="1" spans="1:21" ht="57.6" x14ac:dyDescent="0.3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3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3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3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3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3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3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3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3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3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3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3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3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3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3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3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3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3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3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9800.4199999999255</v>
      </c>
      <c r="F19" s="14">
        <v>0.11799999999999999</v>
      </c>
      <c r="G19" s="16">
        <f>'06 - 2022'!D25-'06 - 2022'!D24+'06 - 2022'!E25-'06 - 2022'!E24</f>
        <v>23.590000000000146</v>
      </c>
      <c r="H19" s="14">
        <v>0.99</v>
      </c>
      <c r="I19" s="16">
        <f>'06 - 2022'!J25-'06 - 2022'!J24</f>
        <v>37955</v>
      </c>
      <c r="J19" s="14">
        <v>8.1000000000000003E-2</v>
      </c>
      <c r="K19" s="23">
        <f>'06 - 2022'!H25-'06 - 2022'!H24</f>
        <v>0</v>
      </c>
      <c r="L19" s="16">
        <f>'06 - 2022'!I25-'06 - 2022'!I24</f>
        <v>132</v>
      </c>
      <c r="M19" s="15">
        <v>4.393629424766913</v>
      </c>
      <c r="N19" s="16">
        <v>73</v>
      </c>
    </row>
    <row r="20" spans="1:17" x14ac:dyDescent="0.3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9833.9000000000233</v>
      </c>
      <c r="F20" s="14">
        <v>0.11799999999999999</v>
      </c>
      <c r="G20" s="16">
        <f>'06 - 2022'!D26-'06 - 2022'!D25+'06 - 2022'!E26-'06 - 2022'!E25</f>
        <v>27.980000000000018</v>
      </c>
      <c r="H20" s="14">
        <v>0.99</v>
      </c>
      <c r="I20" s="16">
        <f>'06 - 2022'!J26-'06 - 2022'!J25</f>
        <v>39235</v>
      </c>
      <c r="J20" s="14">
        <v>8.1000000000000003E-2</v>
      </c>
      <c r="K20" s="23">
        <f>'06 - 2022'!H26-'06 - 2022'!H25</f>
        <v>0</v>
      </c>
      <c r="L20" s="16">
        <f>'06 - 2022'!I26-'06 - 2022'!I25</f>
        <v>123</v>
      </c>
      <c r="M20" s="15">
        <v>4.393629424766913</v>
      </c>
      <c r="N20" s="16">
        <v>56</v>
      </c>
    </row>
    <row r="21" spans="1:17" x14ac:dyDescent="0.3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9796.0999999999767</v>
      </c>
      <c r="F21" s="14">
        <v>0.11799999999999999</v>
      </c>
      <c r="G21" s="16">
        <f>'06 - 2022'!D27-'06 - 2022'!D26+'06 - 2022'!E27-'06 - 2022'!E26</f>
        <v>27.019999999999527</v>
      </c>
      <c r="H21" s="14">
        <v>0.99</v>
      </c>
      <c r="I21" s="16">
        <f>'06 - 2022'!J27-'06 - 2022'!J26</f>
        <v>35009</v>
      </c>
      <c r="J21" s="14">
        <v>8.1000000000000003E-2</v>
      </c>
      <c r="K21" s="23">
        <f>'06 - 2022'!H27-'06 - 2022'!H26</f>
        <v>0</v>
      </c>
      <c r="L21" s="16">
        <f>'06 - 2022'!I27-'06 - 2022'!I26</f>
        <v>99</v>
      </c>
      <c r="M21" s="15">
        <v>4.393629424766913</v>
      </c>
      <c r="N21" s="16">
        <v>46</v>
      </c>
    </row>
    <row r="22" spans="1:17" x14ac:dyDescent="0.3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9897</v>
      </c>
      <c r="F22" s="14">
        <v>0.11799999999999999</v>
      </c>
      <c r="G22" s="16">
        <f>'06 - 2022'!D28-'06 - 2022'!D27+'06 - 2022'!E28-'06 - 2022'!E27</f>
        <v>24.239999999999782</v>
      </c>
      <c r="H22" s="14">
        <v>0.99</v>
      </c>
      <c r="I22" s="16">
        <f>'06 - 2022'!J28-'06 - 2022'!J27</f>
        <v>35089</v>
      </c>
      <c r="J22" s="14">
        <v>8.1000000000000003E-2</v>
      </c>
      <c r="K22" s="23">
        <f>'06 - 2022'!H28-'06 - 2022'!H27</f>
        <v>0</v>
      </c>
      <c r="L22" s="16">
        <f>'06 - 2022'!I28-'06 - 2022'!I27</f>
        <v>113</v>
      </c>
      <c r="M22" s="15">
        <v>4.393629424766913</v>
      </c>
      <c r="N22" s="16">
        <v>58</v>
      </c>
    </row>
    <row r="23" spans="1:17" x14ac:dyDescent="0.3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10129.600000000093</v>
      </c>
      <c r="F23" s="14">
        <v>0.11799999999999999</v>
      </c>
      <c r="G23" s="16">
        <f>'06 - 2022'!D29-'06 - 2022'!D28+'06 - 2022'!E29-'06 - 2022'!E28</f>
        <v>27.040000000000418</v>
      </c>
      <c r="H23" s="14">
        <v>0.99</v>
      </c>
      <c r="I23" s="16">
        <f>'06 - 2022'!J29-'06 - 2022'!J28</f>
        <v>31860</v>
      </c>
      <c r="J23" s="14">
        <v>8.1000000000000003E-2</v>
      </c>
      <c r="K23" s="23">
        <f>'06 - 2022'!H29-'06 - 2022'!H28</f>
        <v>0</v>
      </c>
      <c r="L23" s="16">
        <f>'06 - 2022'!I29-'06 - 2022'!I28</f>
        <v>102</v>
      </c>
      <c r="M23" s="15">
        <v>4.393629424766913</v>
      </c>
      <c r="N23" s="16">
        <v>67</v>
      </c>
    </row>
    <row r="24" spans="1:17" x14ac:dyDescent="0.3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9443.2999999999302</v>
      </c>
      <c r="F24" s="14">
        <v>0.11799999999999999</v>
      </c>
      <c r="G24" s="16">
        <f>'06 - 2022'!D30-'06 - 2022'!D29+'06 - 2022'!E30-'06 - 2022'!E29</f>
        <v>26.489999999999782</v>
      </c>
      <c r="H24" s="14">
        <v>0.99</v>
      </c>
      <c r="I24" s="16">
        <f>'06 - 2022'!J30-'06 - 2022'!J29</f>
        <v>27862</v>
      </c>
      <c r="J24" s="14">
        <v>8.1000000000000003E-2</v>
      </c>
      <c r="K24" s="23">
        <f>'06 - 2022'!H30-'06 - 2022'!H29</f>
        <v>0</v>
      </c>
      <c r="L24" s="16">
        <f>'06 - 2022'!I30-'06 - 2022'!I29</f>
        <v>117</v>
      </c>
      <c r="M24" s="15">
        <v>4.393629424766913</v>
      </c>
      <c r="N24" s="16">
        <v>79</v>
      </c>
    </row>
    <row r="25" spans="1:17" x14ac:dyDescent="0.3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9777.9000000000233</v>
      </c>
      <c r="F25" s="14">
        <v>0.11799999999999999</v>
      </c>
      <c r="G25" s="16">
        <f>'06 - 2022'!D31-'06 - 2022'!D30+'06 - 2022'!E31-'06 - 2022'!E30</f>
        <v>24.199999999999818</v>
      </c>
      <c r="H25" s="14">
        <v>0.99</v>
      </c>
      <c r="I25" s="16">
        <f>'06 - 2022'!J31-'06 - 2022'!J30</f>
        <v>35663</v>
      </c>
      <c r="J25" s="14">
        <v>8.1000000000000003E-2</v>
      </c>
      <c r="K25" s="23">
        <f>'06 - 2022'!H31-'06 - 2022'!H30</f>
        <v>0</v>
      </c>
      <c r="L25" s="16">
        <f>'06 - 2022'!I31-'06 - 2022'!I30</f>
        <v>122</v>
      </c>
      <c r="M25" s="15">
        <v>4.393629424766913</v>
      </c>
      <c r="N25" s="16">
        <v>68</v>
      </c>
      <c r="P25" s="12"/>
    </row>
    <row r="26" spans="1:17" x14ac:dyDescent="0.3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10403.899999999907</v>
      </c>
      <c r="F26" s="14">
        <v>0.11799999999999999</v>
      </c>
      <c r="G26" s="16">
        <f>'06 - 2022'!D32-'06 - 2022'!D31+'06 - 2022'!E32-'06 - 2022'!E31</f>
        <v>25.429999999999836</v>
      </c>
      <c r="H26" s="14">
        <v>0.99</v>
      </c>
      <c r="I26" s="16">
        <f>'06 - 2022'!J32-'06 - 2022'!J31</f>
        <v>36589</v>
      </c>
      <c r="J26" s="14">
        <v>8.1000000000000003E-2</v>
      </c>
      <c r="K26" s="23">
        <f>'06 - 2022'!H32-'06 - 2022'!H31</f>
        <v>0</v>
      </c>
      <c r="L26" s="16">
        <f>'06 - 2022'!I32-'06 - 2022'!I31</f>
        <v>112</v>
      </c>
      <c r="M26" s="15">
        <v>4.393629424766913</v>
      </c>
      <c r="N26" s="16">
        <v>63</v>
      </c>
    </row>
    <row r="27" spans="1:17" x14ac:dyDescent="0.3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9547.3000000000466</v>
      </c>
      <c r="F27" s="14">
        <v>0.11799999999999999</v>
      </c>
      <c r="G27" s="16">
        <f>'06 - 2022'!D33-'06 - 2022'!D32+'06 - 2022'!E33-'06 - 2022'!E32</f>
        <v>24.619999999999891</v>
      </c>
      <c r="H27" s="14">
        <v>0.99</v>
      </c>
      <c r="I27" s="16">
        <f>'06 - 2022'!J33-'06 - 2022'!J32</f>
        <v>37354</v>
      </c>
      <c r="J27" s="14">
        <v>8.1000000000000003E-2</v>
      </c>
      <c r="K27" s="23">
        <f>'06 - 2022'!H33-'06 - 2022'!H32</f>
        <v>0</v>
      </c>
      <c r="L27" s="16">
        <f>'06 - 2022'!I33-'06 - 2022'!I32</f>
        <v>104</v>
      </c>
      <c r="M27" s="15">
        <v>4.393629424766913</v>
      </c>
      <c r="N27" s="16">
        <v>60</v>
      </c>
    </row>
    <row r="28" spans="1:17" x14ac:dyDescent="0.3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9728</v>
      </c>
      <c r="F28" s="14">
        <v>0.11799999999999999</v>
      </c>
      <c r="G28" s="16">
        <f>'06 - 2022'!D34-'06 - 2022'!D33+'06 - 2022'!E34-'06 - 2022'!E33</f>
        <v>26.410000000000309</v>
      </c>
      <c r="H28" s="14">
        <v>0.99</v>
      </c>
      <c r="I28" s="16">
        <f>'06 - 2022'!J34-'06 - 2022'!J33</f>
        <v>38745</v>
      </c>
      <c r="J28" s="14">
        <v>8.1000000000000003E-2</v>
      </c>
      <c r="K28" s="23">
        <f>'06 - 2022'!H34-'06 - 2022'!H33</f>
        <v>0</v>
      </c>
      <c r="L28" s="16">
        <f>'06 - 2022'!I34-'06 - 2022'!I33</f>
        <v>113</v>
      </c>
      <c r="M28" s="15">
        <v>4.393629424766913</v>
      </c>
      <c r="N28" s="16">
        <v>51</v>
      </c>
    </row>
    <row r="29" spans="1:17" x14ac:dyDescent="0.3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9922.5</v>
      </c>
      <c r="F29" s="14">
        <v>0.11799999999999999</v>
      </c>
      <c r="G29" s="16">
        <f>'06 - 2022'!D35-'06 - 2022'!D34+'06 - 2022'!E35-'06 - 2022'!E34</f>
        <v>24.609999999999673</v>
      </c>
      <c r="H29" s="14">
        <v>0.99</v>
      </c>
      <c r="I29" s="16">
        <f>'06 - 2022'!J35-'06 - 2022'!J34</f>
        <v>40476</v>
      </c>
      <c r="J29" s="14">
        <v>8.1000000000000003E-2</v>
      </c>
      <c r="K29" s="23">
        <f>'06 - 2022'!H35-'06 - 2022'!H34</f>
        <v>0</v>
      </c>
      <c r="L29" s="16">
        <f>'06 - 2022'!I35-'06 - 2022'!I34</f>
        <v>112</v>
      </c>
      <c r="M29" s="15">
        <v>4.393629424766913</v>
      </c>
      <c r="N29" s="19">
        <v>61</v>
      </c>
    </row>
    <row r="30" spans="1:17" x14ac:dyDescent="0.3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9771.6000000000931</v>
      </c>
      <c r="F30" s="14">
        <v>0.11799999999999999</v>
      </c>
      <c r="G30" s="16">
        <f>'06 - 2022'!D36-'06 - 2022'!D35+'06 - 2022'!E36-'06 - 2022'!E35</f>
        <v>24.790000000000418</v>
      </c>
      <c r="H30" s="14">
        <v>0.99</v>
      </c>
      <c r="I30" s="16">
        <f>'06 - 2022'!J36-'06 - 2022'!J35</f>
        <v>40975</v>
      </c>
      <c r="J30" s="14">
        <v>8.1000000000000003E-2</v>
      </c>
      <c r="K30" s="23">
        <f>'06 - 2022'!H36-'06 - 2022'!H35</f>
        <v>0</v>
      </c>
      <c r="L30" s="16">
        <f>'06 - 2022'!I36-'06 - 2022'!I35</f>
        <v>109</v>
      </c>
      <c r="M30" s="15">
        <v>4.393629424766913</v>
      </c>
      <c r="N30" s="20">
        <v>67</v>
      </c>
    </row>
    <row r="31" spans="1:17" x14ac:dyDescent="0.3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9956.3000000000466</v>
      </c>
      <c r="F31" s="14">
        <v>0.11799999999999999</v>
      </c>
      <c r="G31" s="16">
        <f>'06 - 2022'!D37-'06 - 2022'!D36+'06 - 2022'!E37-'06 - 2022'!E36</f>
        <v>22.929999999999836</v>
      </c>
      <c r="H31" s="14">
        <v>0.99</v>
      </c>
      <c r="I31" s="16">
        <f>'06 - 2022'!J37-'06 - 2022'!J36</f>
        <v>41723</v>
      </c>
      <c r="J31" s="14">
        <v>8.1000000000000003E-2</v>
      </c>
      <c r="K31" s="23">
        <f>'06 - 2022'!H37-'06 - 2022'!H36</f>
        <v>0</v>
      </c>
      <c r="L31" s="16">
        <f>'06 - 2022'!I37-'06 - 2022'!I36</f>
        <v>106</v>
      </c>
      <c r="M31" s="15">
        <v>4.393629424766913</v>
      </c>
      <c r="N31" s="20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opLeftCell="A4" workbookViewId="0">
      <selection activeCell="E31" sqref="E31:K31"/>
    </sheetView>
  </sheetViews>
  <sheetFormatPr defaultColWidth="12.5546875" defaultRowHeight="14.4" x14ac:dyDescent="0.3"/>
  <cols>
    <col min="1" max="3" width="11.5546875" customWidth="1"/>
    <col min="4" max="4" width="13.44140625" customWidth="1"/>
    <col min="5" max="6" width="12.5546875" style="4"/>
    <col min="8" max="10" width="11.5546875" style="4" customWidth="1"/>
    <col min="11" max="248" width="11.5546875" customWidth="1"/>
    <col min="249" max="249" width="13.44140625" customWidth="1"/>
  </cols>
  <sheetData>
    <row r="1" spans="1:13" s="6" customFormat="1" ht="43.2" x14ac:dyDescent="0.3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3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3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3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3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3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3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3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3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3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3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3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3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3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3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3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3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3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3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3923</v>
      </c>
      <c r="F19" s="16">
        <f>'06 - 2022'!C25-'06 - 2022'!C24</f>
        <v>5877.4199999999255</v>
      </c>
      <c r="G19" s="14">
        <v>0.11799999999999999</v>
      </c>
      <c r="H19" s="16">
        <f>'06 - 2022'!E25-'06 - 2022'!E24</f>
        <v>23.650000000000091</v>
      </c>
      <c r="I19" s="16">
        <f>'06 - 2022'!F25-'06 - 2022'!F24</f>
        <v>8.1399999999998727</v>
      </c>
      <c r="J19" s="16">
        <f>'06 - 2022'!G25-'06 - 2022'!G24</f>
        <v>37.979999999995925</v>
      </c>
      <c r="K19" s="14">
        <v>0.74</v>
      </c>
      <c r="L19" s="16">
        <v>73</v>
      </c>
      <c r="M19" s="11"/>
    </row>
    <row r="20" spans="1:13" x14ac:dyDescent="0.3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3887</v>
      </c>
      <c r="F20" s="16">
        <f>'06 - 2022'!C26-'06 - 2022'!C25</f>
        <v>5946.9000000000233</v>
      </c>
      <c r="G20" s="14">
        <v>0.11799999999999999</v>
      </c>
      <c r="H20" s="16">
        <f>'06 - 2022'!E26-'06 - 2022'!E25</f>
        <v>27.460000000000036</v>
      </c>
      <c r="I20" s="16">
        <f>'06 - 2022'!F26-'06 - 2022'!F25</f>
        <v>8.4800000000000182</v>
      </c>
      <c r="J20" s="16">
        <f>'06 - 2022'!G26-'06 - 2022'!G25</f>
        <v>36.849999999998545</v>
      </c>
      <c r="K20" s="14">
        <v>0.74</v>
      </c>
      <c r="L20" s="4">
        <v>56</v>
      </c>
      <c r="M20" s="11"/>
    </row>
    <row r="21" spans="1:13" x14ac:dyDescent="0.3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3948</v>
      </c>
      <c r="F21" s="16">
        <f>'06 - 2022'!C27-'06 - 2022'!C26</f>
        <v>5848.0999999999767</v>
      </c>
      <c r="G21" s="14">
        <v>0.11799999999999999</v>
      </c>
      <c r="H21" s="16">
        <f>'06 - 2022'!E27-'06 - 2022'!E26</f>
        <v>27.089999999999691</v>
      </c>
      <c r="I21" s="16">
        <f>'06 - 2022'!F27-'06 - 2022'!F26</f>
        <v>8.1900000000000546</v>
      </c>
      <c r="J21" s="16">
        <f>'06 - 2022'!G27-'06 - 2022'!G26</f>
        <v>34.470000000001164</v>
      </c>
      <c r="K21" s="14">
        <v>0.74</v>
      </c>
      <c r="L21" s="4">
        <v>46</v>
      </c>
      <c r="M21" s="11"/>
    </row>
    <row r="22" spans="1:13" x14ac:dyDescent="0.3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4095</v>
      </c>
      <c r="F22" s="16">
        <f>'06 - 2022'!C28-'06 - 2022'!C27</f>
        <v>5802</v>
      </c>
      <c r="G22" s="14">
        <v>0.11799999999999999</v>
      </c>
      <c r="H22" s="16">
        <f>'06 - 2022'!E28-'06 - 2022'!E27</f>
        <v>24.309999999999945</v>
      </c>
      <c r="I22" s="16">
        <f>'06 - 2022'!F28-'06 - 2022'!F27</f>
        <v>7.4800000000000182</v>
      </c>
      <c r="J22" s="16">
        <f>'06 - 2022'!G28-'06 - 2022'!G27</f>
        <v>34.010000000002037</v>
      </c>
      <c r="K22" s="14">
        <v>0.74</v>
      </c>
      <c r="L22" s="16">
        <v>58</v>
      </c>
      <c r="M22" s="11"/>
    </row>
    <row r="23" spans="1:13" x14ac:dyDescent="0.3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4167</v>
      </c>
      <c r="F23" s="16">
        <f>'06 - 2022'!C29-'06 - 2022'!C28</f>
        <v>5962.6000000000931</v>
      </c>
      <c r="G23" s="14">
        <v>0.11799999999999999</v>
      </c>
      <c r="H23" s="16">
        <f>'06 - 2022'!E29-'06 - 2022'!E28</f>
        <v>27.100000000000364</v>
      </c>
      <c r="I23" s="16">
        <f>'06 - 2022'!F29-'06 - 2022'!F28</f>
        <v>8.7600000000002183</v>
      </c>
      <c r="J23" s="16">
        <f>'06 - 2022'!G29-'06 - 2022'!G28</f>
        <v>32.959999999999127</v>
      </c>
      <c r="K23" s="14">
        <v>0.74</v>
      </c>
      <c r="L23" s="16">
        <v>67</v>
      </c>
      <c r="M23" s="11"/>
    </row>
    <row r="24" spans="1:13" x14ac:dyDescent="0.3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3769</v>
      </c>
      <c r="F24" s="16">
        <f>'06 - 2022'!C30-'06 - 2022'!C29</f>
        <v>5674.2999999999302</v>
      </c>
      <c r="G24" s="14">
        <v>0.11799999999999999</v>
      </c>
      <c r="H24" s="16">
        <f>'06 - 2022'!E30-'06 - 2022'!E29</f>
        <v>26.579999999999927</v>
      </c>
      <c r="I24" s="16">
        <f>'06 - 2022'!F30-'06 - 2022'!F29</f>
        <v>7.4699999999997999</v>
      </c>
      <c r="J24" s="16">
        <f>'06 - 2022'!G30-'06 - 2022'!G29</f>
        <v>31.370000000002619</v>
      </c>
      <c r="K24" s="14">
        <v>0.74</v>
      </c>
      <c r="L24" s="16">
        <v>79</v>
      </c>
      <c r="M24" s="11"/>
    </row>
    <row r="25" spans="1:13" x14ac:dyDescent="0.3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3837</v>
      </c>
      <c r="F25" s="16">
        <f>'06 - 2022'!C31-'06 - 2022'!C30</f>
        <v>5940.9000000000233</v>
      </c>
      <c r="G25" s="14">
        <v>0.11799999999999999</v>
      </c>
      <c r="H25" s="16">
        <f>'06 - 2022'!E31-'06 - 2022'!E30</f>
        <v>24.289999999999964</v>
      </c>
      <c r="I25" s="16">
        <f>'06 - 2022'!F31-'06 - 2022'!F30</f>
        <v>7.6199999999998909</v>
      </c>
      <c r="J25" s="16">
        <f>'06 - 2022'!G31-'06 - 2022'!G30</f>
        <v>34.970000000001164</v>
      </c>
      <c r="K25" s="14">
        <v>0.74</v>
      </c>
      <c r="L25" s="4">
        <v>68</v>
      </c>
      <c r="M25" s="11"/>
    </row>
    <row r="26" spans="1:13" x14ac:dyDescent="0.3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4207</v>
      </c>
      <c r="F26" s="16">
        <f>'06 - 2022'!C32-'06 - 2022'!C31</f>
        <v>6196.8999999999069</v>
      </c>
      <c r="G26" s="14">
        <v>0.11799999999999999</v>
      </c>
      <c r="H26" s="16">
        <f>'06 - 2022'!E32-'06 - 2022'!E31</f>
        <v>25.480000000000018</v>
      </c>
      <c r="I26" s="16">
        <f>'06 - 2022'!F32-'06 - 2022'!F31</f>
        <v>7.2300000000000182</v>
      </c>
      <c r="J26" s="16">
        <f>'06 - 2022'!G32-'06 - 2022'!G31</f>
        <v>33.119999999995343</v>
      </c>
      <c r="K26" s="14">
        <v>0.74</v>
      </c>
      <c r="L26" s="4">
        <v>63</v>
      </c>
      <c r="M26" s="11"/>
    </row>
    <row r="27" spans="1:13" x14ac:dyDescent="0.3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3828</v>
      </c>
      <c r="F27" s="16">
        <f>'06 - 2022'!C33-'06 - 2022'!C32</f>
        <v>5719.3000000000466</v>
      </c>
      <c r="G27" s="14">
        <v>0.11799999999999999</v>
      </c>
      <c r="H27" s="16">
        <f>'06 - 2022'!E33-'06 - 2022'!E32</f>
        <v>24.199999999999818</v>
      </c>
      <c r="I27" s="16">
        <f>'06 - 2022'!F33-'06 - 2022'!F32</f>
        <v>7.8600000000001273</v>
      </c>
      <c r="J27" s="16">
        <f>'06 - 2022'!G33-'06 - 2022'!G32</f>
        <v>32.150000000001455</v>
      </c>
      <c r="K27" s="14">
        <v>0.74</v>
      </c>
      <c r="L27" s="16">
        <v>60</v>
      </c>
      <c r="M27" s="11"/>
    </row>
    <row r="28" spans="1:13" x14ac:dyDescent="0.3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3903</v>
      </c>
      <c r="F28" s="16">
        <f>'06 - 2022'!C34-'06 - 2022'!C33</f>
        <v>5825</v>
      </c>
      <c r="G28" s="14">
        <v>0.11799999999999999</v>
      </c>
      <c r="H28" s="16">
        <f>'06 - 2022'!E34-'06 - 2022'!E33</f>
        <v>26.470000000000255</v>
      </c>
      <c r="I28" s="16">
        <f>'06 - 2022'!F34-'06 - 2022'!F33</f>
        <v>8.6700000000000728</v>
      </c>
      <c r="J28" s="16">
        <f>'06 - 2022'!G34-'06 - 2022'!G33</f>
        <v>35.379999999997381</v>
      </c>
      <c r="K28" s="14">
        <v>0.74</v>
      </c>
      <c r="L28" s="4">
        <v>51</v>
      </c>
      <c r="M28" s="11"/>
    </row>
    <row r="29" spans="1:13" x14ac:dyDescent="0.3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4033</v>
      </c>
      <c r="F29" s="16">
        <f>'06 - 2022'!C35-'06 - 2022'!C34</f>
        <v>5889.5</v>
      </c>
      <c r="G29" s="14">
        <v>0.11799999999999999</v>
      </c>
      <c r="H29" s="16">
        <f>'06 - 2022'!E35-'06 - 2022'!E34</f>
        <v>24.669999999999618</v>
      </c>
      <c r="I29" s="16">
        <f>'06 - 2022'!F35-'06 - 2022'!F34</f>
        <v>6.8599999999996726</v>
      </c>
      <c r="J29" s="16">
        <f>'06 - 2022'!G35-'06 - 2022'!G34</f>
        <v>35.240000000005239</v>
      </c>
      <c r="K29" s="14">
        <v>0.74</v>
      </c>
      <c r="L29" s="4">
        <v>61</v>
      </c>
      <c r="M29" s="11"/>
    </row>
    <row r="30" spans="1:13" x14ac:dyDescent="0.3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3962</v>
      </c>
      <c r="F30" s="16">
        <f>'06 - 2022'!C36-'06 - 2022'!C35</f>
        <v>5809.6000000000931</v>
      </c>
      <c r="G30" s="14">
        <v>0.11799999999999999</v>
      </c>
      <c r="H30" s="16">
        <f>'06 - 2022'!E36-'06 - 2022'!E35</f>
        <v>24.870000000000346</v>
      </c>
      <c r="I30" s="16">
        <f>'06 - 2022'!F36-'06 - 2022'!F35</f>
        <v>8.2100000000000364</v>
      </c>
      <c r="J30" s="16">
        <f>'06 - 2022'!G36-'06 - 2022'!G35</f>
        <v>30.479999999995925</v>
      </c>
      <c r="K30" s="14">
        <v>0.74</v>
      </c>
      <c r="L30" s="16">
        <v>67</v>
      </c>
    </row>
    <row r="31" spans="1:13" x14ac:dyDescent="0.3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3987</v>
      </c>
      <c r="F31" s="16">
        <f>'06 - 2022'!C37-'06 - 2022'!C36</f>
        <v>5969.3000000000466</v>
      </c>
      <c r="G31" s="14">
        <v>0.11799999999999999</v>
      </c>
      <c r="H31" s="16">
        <f>'06 - 2022'!E37-'06 - 2022'!E36</f>
        <v>23</v>
      </c>
      <c r="I31" s="16">
        <f>'06 - 2022'!F37-'06 - 2022'!F36</f>
        <v>6.2200000000002547</v>
      </c>
      <c r="J31" s="16">
        <f>'06 - 2022'!G37-'06 - 2022'!G36</f>
        <v>33.569999999999709</v>
      </c>
      <c r="K31" s="14">
        <v>0.74</v>
      </c>
      <c r="L31" s="16">
        <v>68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opLeftCell="A7" zoomScaleNormal="100" workbookViewId="0">
      <selection activeCell="A8" sqref="A8"/>
    </sheetView>
  </sheetViews>
  <sheetFormatPr defaultColWidth="9.109375" defaultRowHeight="14.4" x14ac:dyDescent="0.3"/>
  <cols>
    <col min="1" max="1" width="13.5546875" style="14" customWidth="1"/>
    <col min="2" max="2" width="13.33203125" style="14" customWidth="1"/>
    <col min="3" max="3" width="13.109375" style="14" customWidth="1"/>
    <col min="4" max="4" width="9.88671875" style="14" customWidth="1"/>
    <col min="5" max="5" width="11.44140625" style="14" customWidth="1"/>
    <col min="6" max="6" width="11.6640625" style="14" customWidth="1"/>
    <col min="7" max="7" width="11.33203125" style="14" customWidth="1"/>
    <col min="8" max="8" width="13.5546875" style="14" customWidth="1"/>
    <col min="9" max="9" width="15.109375" style="14" customWidth="1"/>
    <col min="10" max="10" width="14.33203125" style="14" customWidth="1"/>
    <col min="11" max="11" width="16.44140625" style="14" customWidth="1"/>
    <col min="12" max="12" width="39" style="14" customWidth="1"/>
    <col min="13" max="13" width="14.109375" style="14" customWidth="1"/>
    <col min="14" max="16384" width="9.109375" style="14"/>
  </cols>
  <sheetData>
    <row r="1" spans="1:17" x14ac:dyDescent="0.3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" x14ac:dyDescent="0.3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2" thickBot="1" x14ac:dyDescent="0.35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2" thickBot="1" x14ac:dyDescent="0.35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5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" customHeight="1" thickBot="1" x14ac:dyDescent="0.35">
      <c r="A7" s="59">
        <v>44712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" customHeight="1" thickTop="1" x14ac:dyDescent="0.3">
      <c r="A8" s="67">
        <f>A7+1</f>
        <v>44713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" customHeight="1" x14ac:dyDescent="0.3">
      <c r="A9" s="67">
        <f t="shared" ref="A9:A37" si="0">A8+1</f>
        <v>44714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" customHeight="1" x14ac:dyDescent="0.3">
      <c r="A10" s="67">
        <f t="shared" si="0"/>
        <v>44715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>
        <v>3500</v>
      </c>
      <c r="L10" s="72"/>
      <c r="M10" s="52"/>
    </row>
    <row r="11" spans="1:17" s="28" customFormat="1" ht="12.9" customHeight="1" x14ac:dyDescent="0.3">
      <c r="A11" s="67">
        <f t="shared" si="0"/>
        <v>44716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" customHeight="1" x14ac:dyDescent="0.3">
      <c r="A12" s="67">
        <f t="shared" si="0"/>
        <v>44717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" customHeight="1" x14ac:dyDescent="0.3">
      <c r="A13" s="67">
        <f t="shared" si="0"/>
        <v>44718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" customHeight="1" x14ac:dyDescent="0.3">
      <c r="A14" s="67">
        <f t="shared" si="0"/>
        <v>44719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" customHeight="1" x14ac:dyDescent="0.3">
      <c r="A15" s="67">
        <f t="shared" si="0"/>
        <v>44720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" customHeight="1" x14ac:dyDescent="0.3">
      <c r="A16" s="67">
        <f t="shared" si="0"/>
        <v>44721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" customHeight="1" x14ac:dyDescent="0.3">
      <c r="A17" s="67">
        <f t="shared" si="0"/>
        <v>44722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>
        <v>3850</v>
      </c>
      <c r="L17" s="72"/>
      <c r="M17" s="52"/>
      <c r="N17" s="29"/>
      <c r="O17" s="29"/>
      <c r="P17" s="29"/>
      <c r="Q17" s="29"/>
    </row>
    <row r="18" spans="1:19" s="28" customFormat="1" ht="12.9" customHeight="1" x14ac:dyDescent="0.3">
      <c r="A18" s="67">
        <f t="shared" si="0"/>
        <v>44723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" customHeight="1" x14ac:dyDescent="0.3">
      <c r="A19" s="67">
        <f t="shared" si="0"/>
        <v>44724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" customHeight="1" x14ac:dyDescent="0.3">
      <c r="A20" s="67">
        <f t="shared" si="0"/>
        <v>44725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" customHeight="1" x14ac:dyDescent="0.3">
      <c r="A21" s="67">
        <f t="shared" si="0"/>
        <v>44726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" customHeight="1" x14ac:dyDescent="0.3">
      <c r="A22" s="67">
        <f t="shared" si="0"/>
        <v>44727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" customHeight="1" x14ac:dyDescent="0.3">
      <c r="A23" s="67">
        <f t="shared" si="0"/>
        <v>44728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" customHeight="1" x14ac:dyDescent="0.3">
      <c r="A24" s="67">
        <f t="shared" si="0"/>
        <v>44729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" customHeight="1" x14ac:dyDescent="0.3">
      <c r="A25" s="67">
        <f t="shared" si="0"/>
        <v>44730</v>
      </c>
      <c r="B25" s="38">
        <v>184120</v>
      </c>
      <c r="C25" s="38">
        <v>1013504.7</v>
      </c>
      <c r="D25" s="43">
        <v>0.26</v>
      </c>
      <c r="E25" s="40">
        <v>2330.59</v>
      </c>
      <c r="F25" s="26">
        <v>2449.35</v>
      </c>
      <c r="G25" s="38">
        <v>43045.85</v>
      </c>
      <c r="H25" s="68">
        <v>14528</v>
      </c>
      <c r="I25" s="37">
        <v>161062</v>
      </c>
      <c r="J25" s="37">
        <v>56377015</v>
      </c>
      <c r="K25" s="76"/>
      <c r="L25" s="75"/>
      <c r="M25" s="52"/>
      <c r="N25" s="31"/>
      <c r="O25" s="31"/>
      <c r="P25" s="29"/>
      <c r="Q25" s="29"/>
    </row>
    <row r="26" spans="1:19" s="28" customFormat="1" ht="12.9" customHeight="1" x14ac:dyDescent="0.3">
      <c r="A26" s="67">
        <f t="shared" si="0"/>
        <v>44731</v>
      </c>
      <c r="B26" s="38">
        <v>188007</v>
      </c>
      <c r="C26" s="38">
        <v>1019451.6</v>
      </c>
      <c r="D26" s="43">
        <v>0.78</v>
      </c>
      <c r="E26" s="40">
        <v>2358.0500000000002</v>
      </c>
      <c r="F26" s="26">
        <v>2457.83</v>
      </c>
      <c r="G26" s="38">
        <v>43082.7</v>
      </c>
      <c r="H26" s="68">
        <v>14528</v>
      </c>
      <c r="I26" s="37">
        <v>161185</v>
      </c>
      <c r="J26" s="37">
        <v>56416250</v>
      </c>
      <c r="K26" s="71">
        <v>4100</v>
      </c>
      <c r="L26" s="75"/>
      <c r="M26" s="52"/>
      <c r="N26" s="31"/>
      <c r="O26" s="31"/>
      <c r="P26" s="29"/>
      <c r="Q26" s="29"/>
    </row>
    <row r="27" spans="1:19" s="28" customFormat="1" ht="12.9" customHeight="1" x14ac:dyDescent="0.3">
      <c r="A27" s="67">
        <f t="shared" si="0"/>
        <v>44732</v>
      </c>
      <c r="B27" s="37">
        <v>191955</v>
      </c>
      <c r="C27" s="37">
        <v>1025299.7</v>
      </c>
      <c r="D27" s="43">
        <v>0.71</v>
      </c>
      <c r="E27" s="45">
        <v>2385.14</v>
      </c>
      <c r="F27" s="26">
        <v>2466.02</v>
      </c>
      <c r="G27" s="38">
        <v>43117.17</v>
      </c>
      <c r="H27" s="68">
        <v>14528</v>
      </c>
      <c r="I27" s="37">
        <v>161284</v>
      </c>
      <c r="J27" s="37">
        <v>56451259</v>
      </c>
      <c r="K27" s="71"/>
      <c r="L27" s="72"/>
      <c r="M27" s="52"/>
    </row>
    <row r="28" spans="1:19" s="28" customFormat="1" ht="12.9" customHeight="1" x14ac:dyDescent="0.3">
      <c r="A28" s="67">
        <f t="shared" si="0"/>
        <v>44733</v>
      </c>
      <c r="B28" s="37">
        <v>196050</v>
      </c>
      <c r="C28" s="37">
        <v>1031101.7</v>
      </c>
      <c r="D28" s="43">
        <v>0.64</v>
      </c>
      <c r="E28" s="45">
        <v>2409.4499999999998</v>
      </c>
      <c r="F28" s="26">
        <v>2473.5</v>
      </c>
      <c r="G28" s="38">
        <v>43151.18</v>
      </c>
      <c r="H28" s="68">
        <v>14528</v>
      </c>
      <c r="I28" s="37">
        <v>161397</v>
      </c>
      <c r="J28" s="37">
        <v>56486348</v>
      </c>
      <c r="K28" s="71"/>
      <c r="L28" s="72"/>
      <c r="M28" s="52"/>
    </row>
    <row r="29" spans="1:19" s="28" customFormat="1" ht="12.9" customHeight="1" x14ac:dyDescent="0.3">
      <c r="A29" s="67">
        <f t="shared" si="0"/>
        <v>44734</v>
      </c>
      <c r="B29" s="37">
        <v>200217</v>
      </c>
      <c r="C29" s="37">
        <v>1037064.3</v>
      </c>
      <c r="D29" s="43">
        <v>0.57999999999999996</v>
      </c>
      <c r="E29" s="45">
        <v>2436.5500000000002</v>
      </c>
      <c r="F29" s="26">
        <v>2482.2600000000002</v>
      </c>
      <c r="G29" s="38">
        <v>43184.14</v>
      </c>
      <c r="H29" s="68">
        <v>14528</v>
      </c>
      <c r="I29" s="37">
        <v>161499</v>
      </c>
      <c r="J29" s="37">
        <v>56518208</v>
      </c>
      <c r="K29" s="71"/>
      <c r="L29" s="72"/>
      <c r="M29" s="52"/>
      <c r="N29" s="27"/>
    </row>
    <row r="30" spans="1:19" s="28" customFormat="1" ht="12.9" customHeight="1" x14ac:dyDescent="0.3">
      <c r="A30" s="67">
        <f t="shared" si="0"/>
        <v>44735</v>
      </c>
      <c r="B30" s="37">
        <v>203986</v>
      </c>
      <c r="C30" s="37">
        <v>1042738.6</v>
      </c>
      <c r="D30" s="43">
        <v>0.49</v>
      </c>
      <c r="E30" s="45">
        <v>2463.13</v>
      </c>
      <c r="F30" s="26">
        <v>2489.73</v>
      </c>
      <c r="G30" s="38">
        <v>43215.51</v>
      </c>
      <c r="H30" s="68">
        <v>14528</v>
      </c>
      <c r="I30" s="37">
        <v>161616</v>
      </c>
      <c r="J30" s="37">
        <v>56546070</v>
      </c>
      <c r="K30" s="71"/>
      <c r="L30" s="72"/>
      <c r="M30" s="52"/>
    </row>
    <row r="31" spans="1:19" s="28" customFormat="1" ht="12.9" customHeight="1" x14ac:dyDescent="0.3">
      <c r="A31" s="67">
        <f t="shared" si="0"/>
        <v>44736</v>
      </c>
      <c r="B31" s="37">
        <v>207823</v>
      </c>
      <c r="C31" s="37">
        <v>1048679.5</v>
      </c>
      <c r="D31" s="43">
        <v>0.4</v>
      </c>
      <c r="E31" s="45">
        <v>2487.42</v>
      </c>
      <c r="F31" s="26">
        <v>2497.35</v>
      </c>
      <c r="G31" s="38">
        <v>43250.48</v>
      </c>
      <c r="H31" s="68">
        <v>14528</v>
      </c>
      <c r="I31" s="37">
        <v>161738</v>
      </c>
      <c r="J31" s="37">
        <v>56581733</v>
      </c>
      <c r="K31" s="71"/>
      <c r="L31" s="77"/>
      <c r="M31" s="52"/>
      <c r="N31" s="27"/>
      <c r="O31" s="27"/>
    </row>
    <row r="32" spans="1:19" s="28" customFormat="1" ht="12.9" customHeight="1" x14ac:dyDescent="0.3">
      <c r="A32" s="67">
        <f t="shared" si="0"/>
        <v>44737</v>
      </c>
      <c r="B32" s="37">
        <v>212030</v>
      </c>
      <c r="C32" s="37">
        <v>1054876.3999999999</v>
      </c>
      <c r="D32" s="43">
        <v>0.35</v>
      </c>
      <c r="E32" s="40">
        <v>2512.9</v>
      </c>
      <c r="F32" s="26">
        <v>2504.58</v>
      </c>
      <c r="G32" s="38">
        <v>43283.6</v>
      </c>
      <c r="H32" s="68">
        <v>14528</v>
      </c>
      <c r="I32" s="37">
        <v>161850</v>
      </c>
      <c r="J32" s="37">
        <v>56618322</v>
      </c>
      <c r="K32" s="71"/>
      <c r="L32" s="77"/>
      <c r="M32" s="52"/>
      <c r="N32" s="27"/>
      <c r="O32" s="27"/>
    </row>
    <row r="33" spans="1:16" s="28" customFormat="1" ht="12.9" customHeight="1" x14ac:dyDescent="0.3">
      <c r="A33" s="67">
        <f t="shared" si="0"/>
        <v>44738</v>
      </c>
      <c r="B33" s="37">
        <v>215858</v>
      </c>
      <c r="C33" s="37">
        <v>1060595.7</v>
      </c>
      <c r="D33" s="43">
        <v>0.77</v>
      </c>
      <c r="E33" s="40">
        <v>2537.1</v>
      </c>
      <c r="F33" s="26">
        <v>2512.44</v>
      </c>
      <c r="G33" s="38">
        <v>43315.75</v>
      </c>
      <c r="H33" s="68">
        <v>14528</v>
      </c>
      <c r="I33" s="37">
        <v>161954</v>
      </c>
      <c r="J33" s="37">
        <v>56655676</v>
      </c>
      <c r="K33" s="71">
        <v>3451</v>
      </c>
      <c r="L33" s="72"/>
      <c r="M33" s="53"/>
      <c r="N33" s="27"/>
      <c r="O33" s="27"/>
    </row>
    <row r="34" spans="1:16" s="28" customFormat="1" ht="12.9" customHeight="1" x14ac:dyDescent="0.3">
      <c r="A34" s="67">
        <f t="shared" si="0"/>
        <v>44739</v>
      </c>
      <c r="B34" s="38">
        <v>219761</v>
      </c>
      <c r="C34" s="39">
        <v>1066420.7</v>
      </c>
      <c r="D34" s="43">
        <v>0.71</v>
      </c>
      <c r="E34" s="45">
        <v>2563.5700000000002</v>
      </c>
      <c r="F34" s="26">
        <v>2521.11</v>
      </c>
      <c r="G34" s="38">
        <v>43351.13</v>
      </c>
      <c r="H34" s="68">
        <v>14528</v>
      </c>
      <c r="I34" s="38">
        <v>162067</v>
      </c>
      <c r="J34" s="38">
        <v>56694421</v>
      </c>
      <c r="K34" s="71"/>
      <c r="L34" s="72"/>
      <c r="M34" s="53"/>
      <c r="N34" s="27"/>
      <c r="P34" s="27"/>
    </row>
    <row r="35" spans="1:16" s="28" customFormat="1" ht="12.9" customHeight="1" x14ac:dyDescent="0.3">
      <c r="A35" s="67">
        <f>A34+1</f>
        <v>44740</v>
      </c>
      <c r="B35" s="35">
        <v>223794</v>
      </c>
      <c r="C35" s="41">
        <v>1072310.2</v>
      </c>
      <c r="D35" s="43">
        <v>0.65</v>
      </c>
      <c r="E35" s="40">
        <v>2588.2399999999998</v>
      </c>
      <c r="F35" s="34">
        <v>2527.9699999999998</v>
      </c>
      <c r="G35" s="34">
        <v>43386.37</v>
      </c>
      <c r="H35" s="68">
        <v>14528</v>
      </c>
      <c r="I35" s="35">
        <v>162179</v>
      </c>
      <c r="J35" s="35">
        <v>56734897</v>
      </c>
      <c r="K35" s="71"/>
      <c r="L35" s="72"/>
      <c r="M35" s="52"/>
      <c r="N35" s="27"/>
      <c r="O35" s="27"/>
    </row>
    <row r="36" spans="1:16" s="28" customFormat="1" ht="12.9" customHeight="1" x14ac:dyDescent="0.3">
      <c r="A36" s="78">
        <f t="shared" si="0"/>
        <v>44741</v>
      </c>
      <c r="B36" s="35">
        <v>227756</v>
      </c>
      <c r="C36" s="41">
        <v>1078119.8</v>
      </c>
      <c r="D36" s="43">
        <v>0.56999999999999995</v>
      </c>
      <c r="E36" s="40">
        <v>2613.11</v>
      </c>
      <c r="F36" s="34">
        <v>2536.1799999999998</v>
      </c>
      <c r="G36" s="34">
        <v>43416.85</v>
      </c>
      <c r="H36" s="68">
        <v>14528</v>
      </c>
      <c r="I36" s="35">
        <v>162288</v>
      </c>
      <c r="J36" s="35">
        <v>56775872</v>
      </c>
      <c r="K36" s="71"/>
      <c r="L36" s="71"/>
      <c r="M36" s="52"/>
      <c r="N36" s="27"/>
      <c r="O36" s="27"/>
    </row>
    <row r="37" spans="1:16" s="28" customFormat="1" ht="12.9" customHeight="1" x14ac:dyDescent="0.3">
      <c r="A37" s="78">
        <f t="shared" si="0"/>
        <v>44742</v>
      </c>
      <c r="B37" s="35">
        <v>231743</v>
      </c>
      <c r="C37" s="41">
        <v>1084089.1000000001</v>
      </c>
      <c r="D37" s="43">
        <v>0.5</v>
      </c>
      <c r="E37" s="40">
        <v>2636.11</v>
      </c>
      <c r="F37" s="34">
        <v>2542.4</v>
      </c>
      <c r="G37" s="34">
        <v>43450.42</v>
      </c>
      <c r="H37" s="68">
        <v>14528</v>
      </c>
      <c r="I37" s="35">
        <v>162394</v>
      </c>
      <c r="J37" s="35">
        <v>56817595</v>
      </c>
      <c r="K37" s="71"/>
      <c r="L37" s="71"/>
      <c r="M37" s="52"/>
      <c r="N37" s="27"/>
      <c r="O37" s="27"/>
    </row>
    <row r="38" spans="1:16" s="28" customFormat="1" ht="12.9" customHeight="1" x14ac:dyDescent="0.3">
      <c r="A38" s="79" t="s">
        <v>35</v>
      </c>
      <c r="B38" s="80">
        <f>B37-B7</f>
        <v>118417</v>
      </c>
      <c r="C38" s="80">
        <f>C37-C7</f>
        <v>172567.10000000009</v>
      </c>
      <c r="D38" s="80"/>
      <c r="E38" s="80">
        <f t="shared" ref="E38:J38" si="1">E37-E7</f>
        <v>769.05000000000018</v>
      </c>
      <c r="F38" s="80">
        <f t="shared" si="1"/>
        <v>240.61000000000013</v>
      </c>
      <c r="G38" s="80">
        <f t="shared" si="1"/>
        <v>1003.3199999999997</v>
      </c>
      <c r="H38" s="80">
        <f t="shared" si="1"/>
        <v>0</v>
      </c>
      <c r="I38" s="80">
        <f t="shared" si="1"/>
        <v>3463</v>
      </c>
      <c r="J38" s="80">
        <f t="shared" si="1"/>
        <v>971069</v>
      </c>
      <c r="K38" s="80">
        <f>SUM(K7:K37)</f>
        <v>14901</v>
      </c>
      <c r="L38" s="54"/>
      <c r="M38" s="52"/>
      <c r="N38" s="27"/>
      <c r="O38" s="27"/>
    </row>
    <row r="39" spans="1:16" s="28" customFormat="1" ht="12.9" customHeight="1" x14ac:dyDescent="0.3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3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3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3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06 - 2022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Joe Khoury</cp:lastModifiedBy>
  <cp:lastPrinted>2020-05-02T15:33:01Z</cp:lastPrinted>
  <dcterms:created xsi:type="dcterms:W3CDTF">2017-04-26T09:20:12Z</dcterms:created>
  <dcterms:modified xsi:type="dcterms:W3CDTF">2022-07-18T08:17:10Z</dcterms:modified>
</cp:coreProperties>
</file>