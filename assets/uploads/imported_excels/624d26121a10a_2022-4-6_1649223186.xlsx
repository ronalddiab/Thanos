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03" documentId="13_ncr:1_{76C55D63-F869-4AF5-AAA3-3D809A91432B}" xr6:coauthVersionLast="47" xr6:coauthVersionMax="47" xr10:uidLastSave="{4E8EDA47-85F8-4E53-AE31-8E0AC5ECAC40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" i="27" l="1"/>
  <c r="J9" i="27"/>
  <c r="J8" i="27"/>
  <c r="J7" i="27"/>
  <c r="J6" i="27"/>
  <c r="J5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L11" i="27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<sst xmlns="http://schemas.openxmlformats.org/spreadsheetml/2006/main" count="71" uniqueCount="33">
  <si>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</si>
  <si>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</si>
  <si>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</si>
  <si>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</si>
  <si>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</si>
  <si>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</si>
  <si>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</si>
  <si>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</si>
  <si>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</si>
  <si>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</si>
  <si>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</si>
  <si>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</si>
  <si>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</si>
  <si>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</si>
  <si>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</si>
  <si>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April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</si>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</sst>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0" fontId="13" fillId="0" borderId="57" xfId="6" applyFont="1" applyBorder="1" applyAlignment="1">
      <alignment horizontal="center" vertical="center"/>
    </xf>
    <xf numFmtId="0" fontId="10" fillId="0" borderId="58" xfId="6" applyFont="1" applyBorder="1"/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71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3" fillId="0" borderId="52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3" fillId="0" borderId="55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workbookViewId="0">
      <selection activeCell="H33" sqref="H33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4</v>
      </c>
      <c r="D2" s="10">
        <v>2022</v>
      </c>
      <c r="E2" s="11">
        <f>IF(Electricity!F8&lt;0,0,Electricity!F8)</f>
        <v>19180.000000001201</v>
      </c>
      <c r="F2" s="14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2994</v>
      </c>
      <c r="J2" s="92">
        <v>0.21186441</v>
      </c>
      <c r="K2" s="11">
        <f>IF('Water, Gas, Diesel'!F6&lt;0,0,'Water, Gas, Diesel'!F6)</f>
        <v>232</v>
      </c>
      <c r="L2" s="92">
        <v>1.6949000000000001</v>
      </c>
      <c r="M2" s="11">
        <f>Electricity!H8</f>
        <v>109</v>
      </c>
      <c r="O2" s="116"/>
    </row>
    <row r="3" spans="1:15">
      <c r="A3" s="8" t="s">
        <v>13</v>
      </c>
      <c r="B3" s="9">
        <f>B2+1</f>
        <v>2</v>
      </c>
      <c r="C3" s="9">
        <v>4</v>
      </c>
      <c r="D3" s="10">
        <v>2022</v>
      </c>
      <c r="E3" s="11">
        <f>IF(Electricity!F9&lt;0,0,Electricity!F9)</f>
        <v>16132.499999994252</v>
      </c>
      <c r="F3" s="14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2420</v>
      </c>
      <c r="J3" s="92">
        <v>0.21186441</v>
      </c>
      <c r="K3" s="11">
        <f>IF('Water, Gas, Diesel'!F7&lt;0,0,'Water, Gas, Diesel'!F7)</f>
        <v>235</v>
      </c>
      <c r="L3" s="92">
        <v>1.6949000000000001</v>
      </c>
      <c r="M3" s="11">
        <f>Electricity!H9</f>
        <v>49</v>
      </c>
    </row>
    <row r="4" spans="1:15">
      <c r="A4" s="8" t="s">
        <v>13</v>
      </c>
      <c r="B4" s="9">
        <f t="shared" ref="B4:B31" si="0">B3+1</f>
        <v>3</v>
      </c>
      <c r="C4" s="9">
        <v>4</v>
      </c>
      <c r="D4" s="10">
        <v>2022</v>
      </c>
      <c r="E4" s="11">
        <f>IF(Electricity!F10&lt;0,0,Electricity!F10)</f>
        <v>18147.500000004584</v>
      </c>
      <c r="F4" s="14">
        <v>9.3200000000000005E-2</v>
      </c>
      <c r="G4" s="11">
        <f>IF('Water, Gas, Diesel'!K8&lt;0,0,'Water, Gas, Diesel'!K8)</f>
        <v>120</v>
      </c>
      <c r="H4" s="92">
        <v>0.7</v>
      </c>
      <c r="I4" s="11">
        <f>IF('Water, Gas, Diesel'!C8&lt;0,0,'Water, Gas, Diesel'!C8)</f>
        <v>2829</v>
      </c>
      <c r="J4" s="92">
        <v>0.21186441</v>
      </c>
      <c r="K4" s="11">
        <f>IF('Water, Gas, Diesel'!F8&lt;0,0,'Water, Gas, Diesel'!F8)</f>
        <v>194</v>
      </c>
      <c r="L4" s="92">
        <v>1.6949000000000001</v>
      </c>
      <c r="M4" s="11">
        <f>Electricity!H10</f>
        <v>47</v>
      </c>
    </row>
    <row r="5" spans="1:15">
      <c r="A5" s="8" t="s">
        <v>13</v>
      </c>
      <c r="B5" s="9">
        <f t="shared" si="0"/>
        <v>4</v>
      </c>
      <c r="C5" s="9">
        <v>4</v>
      </c>
      <c r="D5" s="10">
        <v>2022</v>
      </c>
      <c r="E5" s="11">
        <f>IF(Electricity!F11&lt;0,0,Electricity!F11)</f>
        <v>17357.500000002801</v>
      </c>
      <c r="F5" s="14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2834</v>
      </c>
      <c r="J5" s="92">
        <v>0.21186441</v>
      </c>
      <c r="K5" s="11">
        <f>IF('Water, Gas, Diesel'!F9&lt;0,0,'Water, Gas, Diesel'!F9)</f>
        <v>159</v>
      </c>
      <c r="L5" s="92">
        <v>1.6949000000000001</v>
      </c>
      <c r="M5" s="11">
        <f>Electricity!H11</f>
        <v>51</v>
      </c>
    </row>
    <row r="6" spans="1:15">
      <c r="A6" s="8" t="s">
        <v>13</v>
      </c>
      <c r="B6" s="9">
        <f t="shared" si="0"/>
        <v>5</v>
      </c>
      <c r="C6" s="9">
        <v>4</v>
      </c>
      <c r="D6" s="10">
        <v>2022</v>
      </c>
      <c r="E6" s="11">
        <f>IF(Electricity!F12&lt;0,0,Electricity!F12)</f>
        <v>0</v>
      </c>
      <c r="F6" s="14">
        <v>9.3200000000000005E-2</v>
      </c>
      <c r="G6" s="11">
        <f>IF('Water, Gas, Diesel'!K10&lt;0,0,'Water, Gas, Diesel'!K10)</f>
        <v>12270</v>
      </c>
      <c r="H6" s="92">
        <v>0.7</v>
      </c>
      <c r="I6" s="11">
        <f>IF('Water, Gas, Diesel'!C10&lt;0,0,'Water, Gas, Diesel'!C10)</f>
        <v>0</v>
      </c>
      <c r="J6" s="92">
        <v>0.21186441</v>
      </c>
      <c r="K6" s="11">
        <f>IF('Water, Gas, Diesel'!F10&lt;0,0,'Water, Gas, Diesel'!F10)</f>
        <v>0</v>
      </c>
      <c r="L6" s="92">
        <v>1.6949000000000001</v>
      </c>
      <c r="M6" s="11">
        <f>Electricity!H12</f>
        <v>53</v>
      </c>
    </row>
    <row r="7" spans="1:15">
      <c r="A7" s="8" t="s">
        <v>13</v>
      </c>
      <c r="B7" s="9">
        <f t="shared" si="0"/>
        <v>6</v>
      </c>
      <c r="C7" s="9">
        <v>4</v>
      </c>
      <c r="D7" s="10">
        <v>2022</v>
      </c>
      <c r="E7" s="11">
        <f>IF(Electricity!F13&lt;0,0,Electricity!F13)</f>
        <v>0</v>
      </c>
      <c r="F7" s="14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0</v>
      </c>
      <c r="J7" s="92">
        <v>0.21186441</v>
      </c>
      <c r="K7" s="11">
        <f>IF('Water, Gas, Diesel'!F11&lt;0,0,'Water, Gas, Diesel'!F11)</f>
        <v>0</v>
      </c>
      <c r="L7" s="92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4</v>
      </c>
      <c r="D8" s="10">
        <v>2022</v>
      </c>
      <c r="E8" s="11">
        <f>IF(Electricity!F14&lt;0,0,Electricity!F14)</f>
        <v>0</v>
      </c>
      <c r="F8" s="14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0</v>
      </c>
      <c r="J8" s="92">
        <v>0.21186441</v>
      </c>
      <c r="K8" s="11">
        <f>IF('Water, Gas, Diesel'!F12&lt;0,0,'Water, Gas, Diesel'!F12)</f>
        <v>0</v>
      </c>
      <c r="L8" s="92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4</v>
      </c>
      <c r="D9" s="10">
        <v>2022</v>
      </c>
      <c r="E9" s="11">
        <f>IF(Electricity!F15&lt;0,0,Electricity!F15)</f>
        <v>0</v>
      </c>
      <c r="F9" s="14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0</v>
      </c>
      <c r="J9" s="92">
        <v>0.21186441</v>
      </c>
      <c r="K9" s="11">
        <f>IF('Water, Gas, Diesel'!F13&lt;0,0,'Water, Gas, Diesel'!F13)</f>
        <v>0</v>
      </c>
      <c r="L9" s="92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4</v>
      </c>
      <c r="D10" s="10">
        <v>2022</v>
      </c>
      <c r="E10" s="11">
        <f>IF(Electricity!F16&lt;0,0,Electricity!F16)</f>
        <v>0</v>
      </c>
      <c r="F10" s="14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0</v>
      </c>
      <c r="J10" s="92">
        <v>0.21186441</v>
      </c>
      <c r="K10" s="11">
        <f>IF('Water, Gas, Diesel'!F14&lt;0,0,'Water, Gas, Diesel'!F14)</f>
        <v>0</v>
      </c>
      <c r="L10" s="92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4</v>
      </c>
      <c r="D11" s="10">
        <v>2022</v>
      </c>
      <c r="E11" s="11">
        <f>IF(Electricity!F17&lt;0,0,Electricity!F17)</f>
        <v>0</v>
      </c>
      <c r="F11" s="14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0</v>
      </c>
      <c r="J11" s="92">
        <v>0.21186441</v>
      </c>
      <c r="K11" s="11">
        <f>IF('Water, Gas, Diesel'!F15&lt;0,0,'Water, Gas, Diesel'!F15)</f>
        <v>0</v>
      </c>
      <c r="L11" s="92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4</v>
      </c>
      <c r="D12" s="10">
        <v>2022</v>
      </c>
      <c r="E12" s="11">
        <f>IF(Electricity!F18&lt;0,0,Electricity!F18)</f>
        <v>0</v>
      </c>
      <c r="F12" s="14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0</v>
      </c>
      <c r="J12" s="92">
        <v>0.21186441</v>
      </c>
      <c r="K12" s="11">
        <f>IF('Water, Gas, Diesel'!F16&lt;0,0,'Water, Gas, Diesel'!F16)</f>
        <v>0</v>
      </c>
      <c r="L12" s="92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4</v>
      </c>
      <c r="D13" s="10">
        <v>2022</v>
      </c>
      <c r="E13" s="11">
        <f>IF(Electricity!F19&lt;0,0,Electricity!F19)</f>
        <v>0</v>
      </c>
      <c r="F13" s="14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0</v>
      </c>
      <c r="J13" s="92">
        <v>0.21186441</v>
      </c>
      <c r="K13" s="11">
        <f>IF('Water, Gas, Diesel'!F17&lt;0,0,'Water, Gas, Diesel'!F17)</f>
        <v>0</v>
      </c>
      <c r="L13" s="92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4</v>
      </c>
      <c r="D14" s="10">
        <v>2022</v>
      </c>
      <c r="E14" s="11">
        <f>IF(Electricity!F20&lt;0,0,Electricity!F20)</f>
        <v>0</v>
      </c>
      <c r="F14" s="14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0</v>
      </c>
      <c r="J14" s="92">
        <v>0.21186441</v>
      </c>
      <c r="K14" s="11">
        <f>IF('Water, Gas, Diesel'!F18&lt;0,0,'Water, Gas, Diesel'!F18)</f>
        <v>0</v>
      </c>
      <c r="L14" s="92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4</v>
      </c>
      <c r="D15" s="10">
        <v>2022</v>
      </c>
      <c r="E15" s="11">
        <f>IF(Electricity!F21&lt;0,0,Electricity!F21)</f>
        <v>0</v>
      </c>
      <c r="F15" s="14">
        <v>9.3200000000000005E-2</v>
      </c>
      <c r="G15" s="11">
        <f>IF('Water, Gas, Diesel'!K19&lt;0,0,'Water, Gas, Diesel'!K19)</f>
        <v>0</v>
      </c>
      <c r="H15" s="92">
        <v>0.7</v>
      </c>
      <c r="I15" s="11">
        <f>IF('Water, Gas, Diesel'!C19&lt;0,0,'Water, Gas, Diesel'!C19)</f>
        <v>0</v>
      </c>
      <c r="J15" s="92">
        <v>0.21186441</v>
      </c>
      <c r="K15" s="11">
        <f>IF('Water, Gas, Diesel'!F19&lt;0,0,'Water, Gas, Diesel'!F19)</f>
        <v>0</v>
      </c>
      <c r="L15" s="92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4</v>
      </c>
      <c r="D16" s="10">
        <v>2022</v>
      </c>
      <c r="E16" s="11">
        <f>IF(Electricity!F22&lt;0,0,Electricity!F22)</f>
        <v>0</v>
      </c>
      <c r="F16" s="14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0</v>
      </c>
      <c r="J16" s="92">
        <v>0.21186441</v>
      </c>
      <c r="K16" s="11">
        <f>IF('Water, Gas, Diesel'!F20&lt;0,0,'Water, Gas, Diesel'!F20)</f>
        <v>0</v>
      </c>
      <c r="L16" s="92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4</v>
      </c>
      <c r="D17" s="10">
        <v>2022</v>
      </c>
      <c r="E17" s="11">
        <f>IF(Electricity!F23&lt;0,0,Electricity!F23)</f>
        <v>0</v>
      </c>
      <c r="F17" s="14">
        <v>9.3200000000000005E-2</v>
      </c>
      <c r="G17" s="11">
        <f>IF('Water, Gas, Diesel'!K21&lt;0,0,'Water, Gas, Diesel'!K21)</f>
        <v>0</v>
      </c>
      <c r="H17" s="92">
        <v>0.7</v>
      </c>
      <c r="I17" s="11">
        <f>IF('Water, Gas, Diesel'!C21&lt;0,0,'Water, Gas, Diesel'!C21)</f>
        <v>0</v>
      </c>
      <c r="J17" s="92">
        <v>0.21186441</v>
      </c>
      <c r="K17" s="11">
        <f>IF('Water, Gas, Diesel'!F21&lt;0,0,'Water, Gas, Diesel'!F21)</f>
        <v>0</v>
      </c>
      <c r="L17" s="92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4</v>
      </c>
      <c r="D18" s="10">
        <v>2022</v>
      </c>
      <c r="E18" s="11">
        <f>IF(Electricity!F24&lt;0,0,Electricity!F24)</f>
        <v>0</v>
      </c>
      <c r="F18" s="14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0</v>
      </c>
      <c r="J18" s="92">
        <v>0.21186441</v>
      </c>
      <c r="K18" s="11">
        <f>IF('Water, Gas, Diesel'!F22&lt;0,0,'Water, Gas, Diesel'!F22)</f>
        <v>0</v>
      </c>
      <c r="L18" s="92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4</v>
      </c>
      <c r="D19" s="10">
        <v>2022</v>
      </c>
      <c r="E19" s="11">
        <f>IF(Electricity!F25&lt;0,0,Electricity!F25)</f>
        <v>0</v>
      </c>
      <c r="F19" s="14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0</v>
      </c>
      <c r="J19" s="92">
        <v>0.21186441</v>
      </c>
      <c r="K19" s="11">
        <f>IF('Water, Gas, Diesel'!F23&lt;0,0,'Water, Gas, Diesel'!F23)</f>
        <v>0</v>
      </c>
      <c r="L19" s="92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4</v>
      </c>
      <c r="D20" s="10">
        <v>2022</v>
      </c>
      <c r="E20" s="11">
        <f>IF(Electricity!F26&lt;0,0,Electricity!F26)</f>
        <v>0</v>
      </c>
      <c r="F20" s="14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0</v>
      </c>
      <c r="J20" s="92">
        <v>0.21186441</v>
      </c>
      <c r="K20" s="11">
        <f>IF('Water, Gas, Diesel'!F24&lt;0,0,'Water, Gas, Diesel'!F24)</f>
        <v>0</v>
      </c>
      <c r="L20" s="92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4</v>
      </c>
      <c r="D21" s="10">
        <v>2022</v>
      </c>
      <c r="E21" s="11">
        <f>IF(Electricity!F27&lt;0,0,Electricity!F27)</f>
        <v>0</v>
      </c>
      <c r="F21" s="14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0</v>
      </c>
      <c r="J21" s="92">
        <v>0.21186441</v>
      </c>
      <c r="K21" s="11">
        <f>IF('Water, Gas, Diesel'!F25&lt;0,0,'Water, Gas, Diesel'!F25)</f>
        <v>0</v>
      </c>
      <c r="L21" s="92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4</v>
      </c>
      <c r="D22" s="10">
        <v>2022</v>
      </c>
      <c r="E22" s="11">
        <f>IF(Electricity!F28&lt;0,0,Electricity!F28)</f>
        <v>0</v>
      </c>
      <c r="F22" s="14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0</v>
      </c>
      <c r="J22" s="92">
        <v>0.21186441</v>
      </c>
      <c r="K22" s="11">
        <f>IF('Water, Gas, Diesel'!F26&lt;0,0,'Water, Gas, Diesel'!F26)</f>
        <v>0</v>
      </c>
      <c r="L22" s="9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4</v>
      </c>
      <c r="D23" s="10">
        <v>2022</v>
      </c>
      <c r="E23" s="11">
        <f>IF(Electricity!F29&lt;0,0,Electricity!F29)</f>
        <v>0</v>
      </c>
      <c r="F23" s="14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0</v>
      </c>
      <c r="J23" s="92">
        <v>0.21186441</v>
      </c>
      <c r="K23" s="11">
        <f>IF('Water, Gas, Diesel'!F27&lt;0,0,'Water, Gas, Diesel'!F27)</f>
        <v>0</v>
      </c>
      <c r="L23" s="9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4</v>
      </c>
      <c r="D24" s="10">
        <v>2022</v>
      </c>
      <c r="E24" s="11">
        <f>IF(Electricity!F30&lt;0,0,Electricity!F30)</f>
        <v>0</v>
      </c>
      <c r="F24" s="14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0</v>
      </c>
      <c r="J24" s="92">
        <v>0.21186441</v>
      </c>
      <c r="K24" s="11">
        <f>IF('Water, Gas, Diesel'!F28&lt;0,0,'Water, Gas, Diesel'!F28)</f>
        <v>0</v>
      </c>
      <c r="L24" s="9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4</v>
      </c>
      <c r="D25" s="10">
        <v>2022</v>
      </c>
      <c r="E25" s="11">
        <f>IF(Electricity!F31&lt;0,0,Electricity!F31)</f>
        <v>0</v>
      </c>
      <c r="F25" s="14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0</v>
      </c>
      <c r="J25" s="92">
        <v>0.21186441</v>
      </c>
      <c r="K25" s="11">
        <f>IF('Water, Gas, Diesel'!F29&lt;0,0,'Water, Gas, Diesel'!F29)</f>
        <v>0</v>
      </c>
      <c r="L25" s="9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4</v>
      </c>
      <c r="D26" s="10">
        <v>2022</v>
      </c>
      <c r="E26" s="11">
        <f>IF(Electricity!F32&lt;0,0,Electricity!F32)</f>
        <v>0</v>
      </c>
      <c r="F26" s="14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0</v>
      </c>
      <c r="J26" s="92">
        <v>0.21186441</v>
      </c>
      <c r="K26" s="11">
        <f>IF('Water, Gas, Diesel'!F30&lt;0,0,'Water, Gas, Diesel'!F30)</f>
        <v>0</v>
      </c>
      <c r="L26" s="9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4</v>
      </c>
      <c r="D27" s="10">
        <v>2022</v>
      </c>
      <c r="E27" s="11">
        <f>IF(Electricity!F33&lt;0,0,Electricity!F33)</f>
        <v>0</v>
      </c>
      <c r="F27" s="14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0</v>
      </c>
      <c r="J27" s="92">
        <v>0.21186441</v>
      </c>
      <c r="K27" s="11">
        <f>IF('Water, Gas, Diesel'!F31&lt;0,0,'Water, Gas, Diesel'!F31)</f>
        <v>0</v>
      </c>
      <c r="L27" s="9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4</v>
      </c>
      <c r="D28" s="10">
        <v>2022</v>
      </c>
      <c r="E28" s="11">
        <f>IF(Electricity!F34&lt;0,0,Electricity!F34)</f>
        <v>0</v>
      </c>
      <c r="F28" s="14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4</v>
      </c>
      <c r="D29" s="10">
        <v>2022</v>
      </c>
      <c r="E29" s="11">
        <f>IF(Electricity!F35&lt;0,0,Electricity!F35)</f>
        <v>0</v>
      </c>
      <c r="F29" s="14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4</v>
      </c>
      <c r="D30" s="10">
        <v>2022</v>
      </c>
      <c r="E30" s="11">
        <f>IF(Electricity!F36&lt;0,0,Electricity!F36)</f>
        <v>0</v>
      </c>
      <c r="F30" s="14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4</v>
      </c>
      <c r="D31" s="10">
        <v>2022</v>
      </c>
      <c r="E31" s="11">
        <f>IF(Electricity!F37&lt;0,0,Electricity!F37)</f>
        <v>0</v>
      </c>
      <c r="F31" s="14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7" activePane="bottomLeft" state="frozen"/>
      <selection pane="bottomLeft" activeCell="G7" sqref="G7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05" t="s">
        <v>14</v>
      </c>
      <c r="B1" s="137"/>
      <c r="C1" s="138"/>
      <c r="D1" s="138"/>
      <c r="E1" s="138"/>
      <c r="F1" s="138"/>
      <c r="G1" s="138"/>
      <c r="H1" s="139"/>
    </row>
    <row r="2" spans="1:8" ht="15.75" customHeight="1">
      <c r="A2" s="142" t="s">
        <v>15</v>
      </c>
      <c r="B2" s="145" t="s">
        <v>16</v>
      </c>
      <c r="C2" s="146"/>
      <c r="D2" s="146"/>
      <c r="E2" s="147"/>
      <c r="F2" s="148" t="s">
        <v>17</v>
      </c>
      <c r="G2" s="150" t="s">
        <v>18</v>
      </c>
      <c r="H2" s="140" t="s">
        <v>19</v>
      </c>
    </row>
    <row r="3" spans="1:8">
      <c r="A3" s="143"/>
      <c r="B3" s="152" t="s">
        <v>20</v>
      </c>
      <c r="C3" s="153"/>
      <c r="D3" s="152" t="s">
        <v>21</v>
      </c>
      <c r="E3" s="153"/>
      <c r="F3" s="148"/>
      <c r="G3" s="150"/>
      <c r="H3" s="140"/>
    </row>
    <row r="4" spans="1:8">
      <c r="A4" s="143"/>
      <c r="B4" s="154"/>
      <c r="C4" s="155"/>
      <c r="D4" s="154"/>
      <c r="E4" s="155"/>
      <c r="F4" s="148"/>
      <c r="G4" s="150"/>
      <c r="H4" s="140"/>
    </row>
    <row r="5" spans="1:8" ht="15.75" thickBot="1">
      <c r="A5" s="144"/>
      <c r="B5" s="17" t="s">
        <v>22</v>
      </c>
      <c r="C5" s="72" t="s">
        <v>23</v>
      </c>
      <c r="D5" s="73" t="s">
        <v>22</v>
      </c>
      <c r="E5" s="72" t="s">
        <v>23</v>
      </c>
      <c r="F5" s="149"/>
      <c r="G5" s="151"/>
      <c r="H5" s="141"/>
    </row>
    <row r="6" spans="1:8" ht="15.75" hidden="1">
      <c r="A6" s="106"/>
      <c r="B6" s="24"/>
      <c r="C6" s="74"/>
      <c r="D6" s="75"/>
      <c r="E6" s="74"/>
      <c r="F6" s="27"/>
      <c r="G6" s="76"/>
      <c r="H6" s="107"/>
    </row>
    <row r="7" spans="1:8" ht="27.75" customHeight="1">
      <c r="A7" s="108">
        <v>31</v>
      </c>
      <c r="B7" s="78">
        <v>15029.504000000001</v>
      </c>
      <c r="C7" s="79">
        <f t="shared" ref="C7:C24" si="0">(B8-B7)*2500</f>
        <v>7500</v>
      </c>
      <c r="D7" s="78">
        <v>15391.891</v>
      </c>
      <c r="E7" s="79">
        <f t="shared" ref="E7:E24" si="1">(D8-D7)*2500</f>
        <v>11494.999999999891</v>
      </c>
      <c r="F7" s="104">
        <f t="shared" ref="F7:F38" si="2">C7+E7</f>
        <v>18994.999999999891</v>
      </c>
      <c r="G7" s="77">
        <f>F7*0.0932</f>
        <v>1770.3339999999898</v>
      </c>
      <c r="H7" s="136">
        <v>107</v>
      </c>
    </row>
    <row r="8" spans="1:8" ht="30.95" customHeight="1">
      <c r="A8" s="109">
        <v>1</v>
      </c>
      <c r="B8" s="103">
        <v>15032.504000000001</v>
      </c>
      <c r="C8" s="80">
        <f t="shared" si="0"/>
        <v>9299.9999999983629</v>
      </c>
      <c r="D8" s="81">
        <v>15396.489</v>
      </c>
      <c r="E8" s="80">
        <f t="shared" si="1"/>
        <v>9880.0000000028376</v>
      </c>
      <c r="F8" s="51">
        <f t="shared" si="2"/>
        <v>19180.000000001201</v>
      </c>
      <c r="G8" s="77">
        <f t="shared" ref="G8:G38" si="3">F8*0.0932</f>
        <v>1787.5760000001119</v>
      </c>
      <c r="H8" s="110">
        <v>109</v>
      </c>
    </row>
    <row r="9" spans="1:8" ht="30.95" customHeight="1">
      <c r="A9" s="111">
        <v>2</v>
      </c>
      <c r="B9" s="82">
        <v>15036.224</v>
      </c>
      <c r="C9" s="39">
        <f t="shared" si="0"/>
        <v>7289.9999999981446</v>
      </c>
      <c r="D9" s="81">
        <v>15400.441000000001</v>
      </c>
      <c r="E9" s="39">
        <f t="shared" si="1"/>
        <v>8842.4999999961074</v>
      </c>
      <c r="F9" s="47">
        <f t="shared" si="2"/>
        <v>16132.499999994252</v>
      </c>
      <c r="G9" s="77">
        <f t="shared" si="3"/>
        <v>1503.5489999994643</v>
      </c>
      <c r="H9" s="112">
        <v>49</v>
      </c>
    </row>
    <row r="10" spans="1:8" ht="30.95" customHeight="1">
      <c r="A10" s="109">
        <v>3</v>
      </c>
      <c r="B10" s="86">
        <v>15039.14</v>
      </c>
      <c r="C10" s="80">
        <f t="shared" si="0"/>
        <v>8230.0000000032014</v>
      </c>
      <c r="D10" s="83">
        <v>15403.977999999999</v>
      </c>
      <c r="E10" s="80">
        <f t="shared" si="1"/>
        <v>9917.5000000013824</v>
      </c>
      <c r="F10" s="51">
        <f t="shared" si="2"/>
        <v>18147.500000004584</v>
      </c>
      <c r="G10" s="77">
        <f t="shared" si="3"/>
        <v>1691.3470000004272</v>
      </c>
      <c r="H10" s="112">
        <v>47</v>
      </c>
    </row>
    <row r="11" spans="1:8" ht="30.95" customHeight="1">
      <c r="A11" s="111">
        <v>4</v>
      </c>
      <c r="B11" s="84">
        <v>15042.432000000001</v>
      </c>
      <c r="C11" s="39">
        <f t="shared" si="0"/>
        <v>7789.9999999999636</v>
      </c>
      <c r="D11" s="85">
        <v>15407.945</v>
      </c>
      <c r="E11" s="39">
        <f t="shared" si="1"/>
        <v>9567.5000000028376</v>
      </c>
      <c r="F11" s="47">
        <f t="shared" si="2"/>
        <v>17357.500000002801</v>
      </c>
      <c r="G11" s="77">
        <f t="shared" si="3"/>
        <v>1617.7190000002611</v>
      </c>
      <c r="H11" s="112">
        <v>51</v>
      </c>
    </row>
    <row r="12" spans="1:8" ht="30.95" customHeight="1">
      <c r="A12" s="109">
        <v>5</v>
      </c>
      <c r="B12" s="86">
        <v>15045.548000000001</v>
      </c>
      <c r="C12" s="80">
        <f t="shared" si="0"/>
        <v>-37613870</v>
      </c>
      <c r="D12" s="83">
        <v>15411.772000000001</v>
      </c>
      <c r="E12" s="80">
        <f t="shared" si="1"/>
        <v>-38529430</v>
      </c>
      <c r="F12" s="51">
        <f t="shared" si="2"/>
        <v>-76143300</v>
      </c>
      <c r="G12" s="77">
        <f t="shared" si="3"/>
        <v>-7096555.5600000005</v>
      </c>
      <c r="H12" s="112">
        <v>53</v>
      </c>
    </row>
    <row r="13" spans="1:8" ht="30.95" customHeight="1">
      <c r="A13" s="111">
        <v>6</v>
      </c>
      <c r="B13" s="84"/>
      <c r="C13" s="39">
        <f t="shared" si="0"/>
        <v>0</v>
      </c>
      <c r="D13" s="85"/>
      <c r="E13" s="39">
        <f t="shared" si="1"/>
        <v>0</v>
      </c>
      <c r="F13" s="47">
        <f t="shared" si="2"/>
        <v>0</v>
      </c>
      <c r="G13" s="77">
        <f t="shared" si="3"/>
        <v>0</v>
      </c>
      <c r="H13" s="112"/>
    </row>
    <row r="14" spans="1:8" ht="30.95" customHeight="1">
      <c r="A14" s="109">
        <v>7</v>
      </c>
      <c r="B14" s="86"/>
      <c r="C14" s="80">
        <f t="shared" si="0"/>
        <v>0</v>
      </c>
      <c r="D14" s="113"/>
      <c r="E14" s="80">
        <f t="shared" si="1"/>
        <v>0</v>
      </c>
      <c r="F14" s="51">
        <f t="shared" si="2"/>
        <v>0</v>
      </c>
      <c r="G14" s="77">
        <f t="shared" si="3"/>
        <v>0</v>
      </c>
      <c r="H14" s="112"/>
    </row>
    <row r="15" spans="1:8" ht="30.95" customHeight="1">
      <c r="A15" s="111">
        <v>8</v>
      </c>
      <c r="B15" s="84"/>
      <c r="C15" s="39">
        <f t="shared" si="0"/>
        <v>0</v>
      </c>
      <c r="D15" s="87"/>
      <c r="E15" s="39">
        <f t="shared" si="1"/>
        <v>0</v>
      </c>
      <c r="F15" s="47">
        <f t="shared" si="2"/>
        <v>0</v>
      </c>
      <c r="G15" s="77">
        <f t="shared" si="3"/>
        <v>0</v>
      </c>
      <c r="H15" s="112"/>
    </row>
    <row r="16" spans="1:8" ht="30.95" customHeight="1">
      <c r="A16" s="109">
        <v>9</v>
      </c>
      <c r="B16" s="88"/>
      <c r="C16" s="80">
        <f t="shared" si="0"/>
        <v>0</v>
      </c>
      <c r="D16" s="89"/>
      <c r="E16" s="80">
        <f t="shared" si="1"/>
        <v>0</v>
      </c>
      <c r="F16" s="51">
        <f t="shared" si="2"/>
        <v>0</v>
      </c>
      <c r="G16" s="77">
        <f t="shared" si="3"/>
        <v>0</v>
      </c>
      <c r="H16" s="112"/>
    </row>
    <row r="17" spans="1:8" ht="30.95" customHeight="1">
      <c r="A17" s="111">
        <v>10</v>
      </c>
      <c r="B17" s="86"/>
      <c r="C17" s="39">
        <f t="shared" si="0"/>
        <v>0</v>
      </c>
      <c r="D17" s="113"/>
      <c r="E17" s="39">
        <f t="shared" si="1"/>
        <v>0</v>
      </c>
      <c r="F17" s="47">
        <f t="shared" si="2"/>
        <v>0</v>
      </c>
      <c r="G17" s="77">
        <f t="shared" si="3"/>
        <v>0</v>
      </c>
      <c r="H17" s="112"/>
    </row>
    <row r="18" spans="1:8" ht="30.95" customHeight="1">
      <c r="A18" s="109">
        <v>11</v>
      </c>
      <c r="B18" s="84"/>
      <c r="C18" s="80">
        <f t="shared" si="0"/>
        <v>0</v>
      </c>
      <c r="D18" s="87"/>
      <c r="E18" s="80">
        <f t="shared" si="1"/>
        <v>0</v>
      </c>
      <c r="F18" s="51">
        <f t="shared" si="2"/>
        <v>0</v>
      </c>
      <c r="G18" s="77">
        <f t="shared" si="3"/>
        <v>0</v>
      </c>
      <c r="H18" s="112"/>
    </row>
    <row r="19" spans="1:8" ht="30.95" customHeight="1">
      <c r="A19" s="111">
        <v>12</v>
      </c>
      <c r="B19" s="86"/>
      <c r="C19" s="39">
        <f t="shared" si="0"/>
        <v>0</v>
      </c>
      <c r="D19" s="113"/>
      <c r="E19" s="39">
        <f t="shared" si="1"/>
        <v>0</v>
      </c>
      <c r="F19" s="47">
        <f t="shared" si="2"/>
        <v>0</v>
      </c>
      <c r="G19" s="77">
        <f t="shared" si="3"/>
        <v>0</v>
      </c>
      <c r="H19" s="112"/>
    </row>
    <row r="20" spans="1:8" ht="30.95" customHeight="1">
      <c r="A20" s="109">
        <v>13</v>
      </c>
      <c r="B20" s="84"/>
      <c r="C20" s="80">
        <f t="shared" si="0"/>
        <v>0</v>
      </c>
      <c r="D20" s="90"/>
      <c r="E20" s="80">
        <f t="shared" si="1"/>
        <v>0</v>
      </c>
      <c r="F20" s="51">
        <f t="shared" si="2"/>
        <v>0</v>
      </c>
      <c r="G20" s="77">
        <f t="shared" si="3"/>
        <v>0</v>
      </c>
      <c r="H20" s="112"/>
    </row>
    <row r="21" spans="1:8" ht="30.95" customHeight="1">
      <c r="A21" s="111">
        <v>14</v>
      </c>
      <c r="B21" s="84"/>
      <c r="C21" s="39">
        <f t="shared" si="0"/>
        <v>0</v>
      </c>
      <c r="D21" s="87"/>
      <c r="E21" s="39">
        <f t="shared" si="1"/>
        <v>0</v>
      </c>
      <c r="F21" s="47">
        <f t="shared" si="2"/>
        <v>0</v>
      </c>
      <c r="G21" s="77">
        <f t="shared" si="3"/>
        <v>0</v>
      </c>
      <c r="H21" s="112"/>
    </row>
    <row r="22" spans="1:8" ht="30.95" customHeight="1">
      <c r="A22" s="109">
        <v>15</v>
      </c>
      <c r="B22" s="84"/>
      <c r="C22" s="80">
        <f t="shared" si="0"/>
        <v>0</v>
      </c>
      <c r="D22" s="67"/>
      <c r="E22" s="80">
        <f t="shared" si="1"/>
        <v>0</v>
      </c>
      <c r="F22" s="51">
        <f t="shared" si="2"/>
        <v>0</v>
      </c>
      <c r="G22" s="77">
        <f t="shared" si="3"/>
        <v>0</v>
      </c>
      <c r="H22" s="112"/>
    </row>
    <row r="23" spans="1:8" ht="30.95" customHeight="1">
      <c r="A23" s="111">
        <v>16</v>
      </c>
      <c r="B23" s="93"/>
      <c r="C23" s="39">
        <f t="shared" si="0"/>
        <v>0</v>
      </c>
      <c r="D23" s="94"/>
      <c r="E23" s="39">
        <f t="shared" si="1"/>
        <v>0</v>
      </c>
      <c r="F23" s="47">
        <f t="shared" si="2"/>
        <v>0</v>
      </c>
      <c r="G23" s="77">
        <f t="shared" si="3"/>
        <v>0</v>
      </c>
      <c r="H23" s="112"/>
    </row>
    <row r="24" spans="1:8" ht="30.95" customHeight="1">
      <c r="A24" s="109">
        <v>17</v>
      </c>
      <c r="B24" s="95"/>
      <c r="C24" s="80">
        <f t="shared" si="0"/>
        <v>0</v>
      </c>
      <c r="D24" s="113"/>
      <c r="E24" s="80">
        <f t="shared" si="1"/>
        <v>0</v>
      </c>
      <c r="F24" s="51">
        <f t="shared" si="2"/>
        <v>0</v>
      </c>
      <c r="G24" s="77">
        <f t="shared" si="3"/>
        <v>0</v>
      </c>
      <c r="H24" s="112"/>
    </row>
    <row r="25" spans="1:8" ht="30.95" customHeight="1">
      <c r="A25" s="111">
        <v>18</v>
      </c>
      <c r="B25" s="84"/>
      <c r="C25" s="39">
        <f>(B26-B25)*2500</f>
        <v>0</v>
      </c>
      <c r="D25" s="87"/>
      <c r="E25" s="39">
        <f>(D26-D25)*2500</f>
        <v>0</v>
      </c>
      <c r="F25" s="47">
        <f t="shared" si="2"/>
        <v>0</v>
      </c>
      <c r="G25" s="77">
        <f t="shared" si="3"/>
        <v>0</v>
      </c>
      <c r="H25" s="112"/>
    </row>
    <row r="26" spans="1:8" ht="30.95" customHeight="1">
      <c r="A26" s="109">
        <v>19</v>
      </c>
      <c r="B26" s="86"/>
      <c r="C26" s="80">
        <f t="shared" ref="C26:C38" si="4">(B27-B26)*2500</f>
        <v>0</v>
      </c>
      <c r="D26" s="113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12"/>
    </row>
    <row r="27" spans="1:8" ht="30.95" customHeight="1">
      <c r="A27" s="111">
        <v>20</v>
      </c>
      <c r="B27" s="84"/>
      <c r="C27" s="39">
        <f t="shared" si="4"/>
        <v>0</v>
      </c>
      <c r="D27" s="90"/>
      <c r="E27" s="39">
        <f t="shared" si="5"/>
        <v>0</v>
      </c>
      <c r="F27" s="51">
        <f t="shared" si="2"/>
        <v>0</v>
      </c>
      <c r="G27" s="77">
        <f t="shared" si="3"/>
        <v>0</v>
      </c>
      <c r="H27" s="112"/>
    </row>
    <row r="28" spans="1:8" ht="30.95" customHeight="1">
      <c r="A28" s="109">
        <v>21</v>
      </c>
      <c r="B28" s="86"/>
      <c r="C28" s="80">
        <f t="shared" si="4"/>
        <v>0</v>
      </c>
      <c r="D28" s="113"/>
      <c r="E28" s="80">
        <f t="shared" si="5"/>
        <v>0</v>
      </c>
      <c r="F28" s="47">
        <f t="shared" si="2"/>
        <v>0</v>
      </c>
      <c r="G28" s="77">
        <f t="shared" si="3"/>
        <v>0</v>
      </c>
      <c r="H28" s="112"/>
    </row>
    <row r="29" spans="1:8" ht="30.95" customHeight="1">
      <c r="A29" s="111">
        <v>22</v>
      </c>
      <c r="B29" s="84"/>
      <c r="C29" s="39">
        <f t="shared" si="4"/>
        <v>0</v>
      </c>
      <c r="D29" s="87"/>
      <c r="E29" s="39">
        <f t="shared" si="5"/>
        <v>0</v>
      </c>
      <c r="F29" s="51">
        <f t="shared" si="2"/>
        <v>0</v>
      </c>
      <c r="G29" s="77">
        <f t="shared" si="3"/>
        <v>0</v>
      </c>
      <c r="H29" s="112"/>
    </row>
    <row r="30" spans="1:8" ht="30.95" customHeight="1">
      <c r="A30" s="109">
        <v>23</v>
      </c>
      <c r="B30" s="86"/>
      <c r="C30" s="80">
        <f t="shared" si="4"/>
        <v>0</v>
      </c>
      <c r="D30" s="113"/>
      <c r="E30" s="80">
        <f t="shared" si="5"/>
        <v>0</v>
      </c>
      <c r="F30" s="47">
        <f t="shared" si="2"/>
        <v>0</v>
      </c>
      <c r="G30" s="77">
        <f t="shared" si="3"/>
        <v>0</v>
      </c>
      <c r="H30" s="112"/>
    </row>
    <row r="31" spans="1:8" ht="30.95" customHeight="1">
      <c r="A31" s="111">
        <v>24</v>
      </c>
      <c r="B31" s="84"/>
      <c r="C31" s="39">
        <f t="shared" si="4"/>
        <v>0</v>
      </c>
      <c r="D31" s="87"/>
      <c r="E31" s="39">
        <f t="shared" si="5"/>
        <v>0</v>
      </c>
      <c r="F31" s="51">
        <f t="shared" si="2"/>
        <v>0</v>
      </c>
      <c r="G31" s="77">
        <f t="shared" si="3"/>
        <v>0</v>
      </c>
      <c r="H31" s="112"/>
    </row>
    <row r="32" spans="1:8" ht="30.95" customHeight="1">
      <c r="A32" s="109">
        <v>25</v>
      </c>
      <c r="B32" s="86"/>
      <c r="C32" s="80">
        <f t="shared" si="4"/>
        <v>0</v>
      </c>
      <c r="D32" s="113"/>
      <c r="E32" s="80">
        <f t="shared" si="5"/>
        <v>0</v>
      </c>
      <c r="F32" s="47">
        <f t="shared" si="2"/>
        <v>0</v>
      </c>
      <c r="G32" s="77">
        <f t="shared" si="3"/>
        <v>0</v>
      </c>
      <c r="H32" s="112"/>
    </row>
    <row r="33" spans="1:8" ht="30.95" customHeight="1">
      <c r="A33" s="111">
        <v>26</v>
      </c>
      <c r="B33" s="84"/>
      <c r="C33" s="39">
        <f t="shared" si="4"/>
        <v>0</v>
      </c>
      <c r="D33" s="87"/>
      <c r="E33" s="39">
        <f t="shared" si="5"/>
        <v>0</v>
      </c>
      <c r="F33" s="51">
        <f t="shared" si="2"/>
        <v>0</v>
      </c>
      <c r="G33" s="77">
        <f t="shared" si="3"/>
        <v>0</v>
      </c>
      <c r="H33" s="112"/>
    </row>
    <row r="34" spans="1:8" ht="30.95" customHeight="1">
      <c r="A34" s="109">
        <v>27</v>
      </c>
      <c r="B34" s="86"/>
      <c r="C34" s="80">
        <f t="shared" si="4"/>
        <v>0</v>
      </c>
      <c r="D34" s="113"/>
      <c r="E34" s="39">
        <f t="shared" si="5"/>
        <v>0</v>
      </c>
      <c r="F34" s="47">
        <f t="shared" si="2"/>
        <v>0</v>
      </c>
      <c r="G34" s="77">
        <f t="shared" si="3"/>
        <v>0</v>
      </c>
      <c r="H34" s="112"/>
    </row>
    <row r="35" spans="1:8" ht="30.95" customHeight="1">
      <c r="A35" s="111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7">
        <f t="shared" si="3"/>
        <v>0</v>
      </c>
      <c r="H35" s="112"/>
    </row>
    <row r="36" spans="1:8" ht="30.95" customHeight="1">
      <c r="A36" s="109">
        <v>29</v>
      </c>
      <c r="B36" s="86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10"/>
    </row>
    <row r="37" spans="1:8" ht="30.95" customHeight="1">
      <c r="A37" s="125">
        <v>30</v>
      </c>
      <c r="B37" s="126"/>
      <c r="C37" s="66">
        <f>(B38-B37)*2500</f>
        <v>0</v>
      </c>
      <c r="D37" s="127"/>
      <c r="E37" s="66">
        <f>(D38-D37)*2500</f>
        <v>0</v>
      </c>
      <c r="F37" s="61">
        <f t="shared" si="2"/>
        <v>0</v>
      </c>
      <c r="G37" s="135">
        <f t="shared" si="3"/>
        <v>0</v>
      </c>
      <c r="H37" s="128"/>
    </row>
    <row r="38" spans="1:8" ht="30.95" customHeight="1">
      <c r="A38" s="117">
        <v>1</v>
      </c>
      <c r="B38" s="119"/>
      <c r="C38" s="120">
        <f t="shared" si="4"/>
        <v>0</v>
      </c>
      <c r="D38" s="121"/>
      <c r="E38" s="120">
        <f t="shared" si="5"/>
        <v>0</v>
      </c>
      <c r="F38" s="122">
        <f t="shared" si="2"/>
        <v>0</v>
      </c>
      <c r="G38" s="123">
        <f t="shared" si="3"/>
        <v>0</v>
      </c>
      <c r="H38" s="124"/>
    </row>
    <row r="39" spans="1:8">
      <c r="B39" s="67"/>
      <c r="C39" s="67"/>
      <c r="D39" s="67"/>
      <c r="E39" s="67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7" activePane="bottomLeft" state="frozen"/>
      <selection pane="bottomLeft" activeCell="O10" sqref="O10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2" t="s">
        <v>14</v>
      </c>
      <c r="B1" s="157" t="s">
        <v>24</v>
      </c>
      <c r="C1" s="158"/>
      <c r="D1" s="159"/>
      <c r="E1" s="160" t="s">
        <v>25</v>
      </c>
      <c r="F1" s="158"/>
      <c r="G1" s="158"/>
      <c r="H1" s="158"/>
      <c r="I1" s="159"/>
      <c r="J1" s="160" t="s">
        <v>26</v>
      </c>
      <c r="K1" s="158"/>
      <c r="L1" s="161"/>
    </row>
    <row r="2" spans="1:12" ht="27" customHeight="1">
      <c r="A2" s="156"/>
      <c r="B2" s="162"/>
      <c r="C2" s="163"/>
      <c r="D2" s="164"/>
      <c r="E2" s="162"/>
      <c r="F2" s="163"/>
      <c r="G2" s="163"/>
      <c r="H2" s="163"/>
      <c r="I2" s="164"/>
      <c r="J2" s="162"/>
      <c r="K2" s="163"/>
      <c r="L2" s="164"/>
    </row>
    <row r="3" spans="1:12" ht="59.25" customHeight="1">
      <c r="A3" s="102" t="s">
        <v>15</v>
      </c>
      <c r="B3" s="17" t="s">
        <v>22</v>
      </c>
      <c r="C3" s="18" t="s">
        <v>27</v>
      </c>
      <c r="D3" s="19" t="s">
        <v>28</v>
      </c>
      <c r="E3" s="99" t="s">
        <v>22</v>
      </c>
      <c r="F3" s="20" t="s">
        <v>23</v>
      </c>
      <c r="G3" s="21" t="s">
        <v>29</v>
      </c>
      <c r="H3" s="21" t="s">
        <v>30</v>
      </c>
      <c r="I3" s="9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100">
        <v>31</v>
      </c>
      <c r="B5" s="100">
        <v>6692412</v>
      </c>
      <c r="C5" s="114">
        <f>B6-B5</f>
        <v>3897</v>
      </c>
      <c r="D5" s="34">
        <f>C5*0.21186441</f>
        <v>825.63560576999998</v>
      </c>
      <c r="E5" s="35">
        <v>519682</v>
      </c>
      <c r="F5" s="115">
        <f>E6-E5</f>
        <v>190</v>
      </c>
      <c r="G5" s="36">
        <f>F5*0.84746</f>
        <v>161.01740000000001</v>
      </c>
      <c r="H5" s="36">
        <f>F5*0.84746</f>
        <v>161.01740000000001</v>
      </c>
      <c r="I5" s="101">
        <f>G5+H5</f>
        <v>322.03480000000002</v>
      </c>
      <c r="J5" s="37">
        <f>5820+6460</f>
        <v>12280</v>
      </c>
      <c r="K5" s="38">
        <f>J5-J6</f>
        <v>-30</v>
      </c>
      <c r="L5" s="39">
        <f>K5*0.7</f>
        <v>-21</v>
      </c>
    </row>
    <row r="6" spans="1:12" ht="32.450000000000003" customHeight="1">
      <c r="A6" s="40">
        <v>1</v>
      </c>
      <c r="B6" s="100">
        <v>6696309</v>
      </c>
      <c r="C6" s="53">
        <f t="shared" ref="C6:C15" si="0">B7-B6</f>
        <v>2994</v>
      </c>
      <c r="D6" s="41">
        <f>C6*0.21186441</f>
        <v>634.32204353999998</v>
      </c>
      <c r="E6" s="42">
        <v>519872</v>
      </c>
      <c r="F6" s="54">
        <f t="shared" ref="F6:F15" si="1">E7-E6</f>
        <v>232</v>
      </c>
      <c r="G6" s="43">
        <f>F6*0.84746</f>
        <v>196.61071999999999</v>
      </c>
      <c r="H6" s="43">
        <f>F6*0.84746</f>
        <v>196.61071999999999</v>
      </c>
      <c r="I6" s="44">
        <f t="shared" ref="I6:I36" si="2">G6+H6</f>
        <v>393.22143999999997</v>
      </c>
      <c r="J6" s="37">
        <f>5860+6450</f>
        <v>12310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6699303</v>
      </c>
      <c r="C7" s="55">
        <f t="shared" si="0"/>
        <v>2420</v>
      </c>
      <c r="D7" s="46">
        <f>C7*0.21186441</f>
        <v>512.71187220000002</v>
      </c>
      <c r="E7" s="47">
        <v>520104</v>
      </c>
      <c r="F7" s="56">
        <f t="shared" si="1"/>
        <v>235</v>
      </c>
      <c r="G7" s="48">
        <f t="shared" ref="G7:G36" si="4">F7*0.84746</f>
        <v>199.15309999999999</v>
      </c>
      <c r="H7" s="48">
        <f t="shared" ref="H7:H36" si="5">F7*0.84746</f>
        <v>199.15309999999999</v>
      </c>
      <c r="I7" s="49">
        <f t="shared" si="2"/>
        <v>398.30619999999999</v>
      </c>
      <c r="J7" s="37">
        <f>5860+6450</f>
        <v>12310</v>
      </c>
      <c r="K7" s="38">
        <f t="shared" si="3"/>
        <v>0</v>
      </c>
      <c r="L7" s="39">
        <f>K7*0.7</f>
        <v>0</v>
      </c>
    </row>
    <row r="8" spans="1:12" ht="32.450000000000003" customHeight="1">
      <c r="A8" s="40">
        <v>3</v>
      </c>
      <c r="B8" s="40">
        <v>6701723</v>
      </c>
      <c r="C8" s="53">
        <f t="shared" si="0"/>
        <v>2829</v>
      </c>
      <c r="D8" s="46">
        <f t="shared" ref="D8:D36" si="6">C8*0.21186441</f>
        <v>599.36441589000003</v>
      </c>
      <c r="E8" s="47">
        <v>520339</v>
      </c>
      <c r="F8" s="54">
        <f t="shared" si="1"/>
        <v>194</v>
      </c>
      <c r="G8" s="43">
        <f t="shared" si="4"/>
        <v>164.40724</v>
      </c>
      <c r="H8" s="43">
        <f t="shared" si="5"/>
        <v>164.40724</v>
      </c>
      <c r="I8" s="49">
        <f t="shared" si="2"/>
        <v>328.81448</v>
      </c>
      <c r="J8" s="37">
        <f>5860+6450</f>
        <v>12310</v>
      </c>
      <c r="K8" s="38">
        <f t="shared" si="3"/>
        <v>120</v>
      </c>
      <c r="L8" s="39">
        <f>K8*0.7</f>
        <v>84</v>
      </c>
    </row>
    <row r="9" spans="1:12" ht="32.450000000000003" customHeight="1">
      <c r="A9" s="45">
        <v>4</v>
      </c>
      <c r="B9" s="45">
        <v>6704552</v>
      </c>
      <c r="C9" s="55">
        <f t="shared" si="0"/>
        <v>2834</v>
      </c>
      <c r="D9" s="46">
        <f t="shared" si="6"/>
        <v>600.42373794000002</v>
      </c>
      <c r="E9" s="47">
        <v>520533</v>
      </c>
      <c r="F9" s="56">
        <f t="shared" si="1"/>
        <v>159</v>
      </c>
      <c r="G9" s="48">
        <f t="shared" si="4"/>
        <v>134.74614</v>
      </c>
      <c r="H9" s="48">
        <f t="shared" si="5"/>
        <v>134.74614</v>
      </c>
      <c r="I9" s="49">
        <f t="shared" si="2"/>
        <v>269.49227999999999</v>
      </c>
      <c r="J9" s="37">
        <f>5740+6450</f>
        <v>12190</v>
      </c>
      <c r="K9" s="38">
        <f t="shared" si="3"/>
        <v>-80</v>
      </c>
      <c r="L9" s="39">
        <f>K9*0.7</f>
        <v>-56</v>
      </c>
    </row>
    <row r="10" spans="1:12" ht="32.450000000000003" customHeight="1">
      <c r="A10" s="40">
        <v>5</v>
      </c>
      <c r="B10" s="40">
        <v>6707386</v>
      </c>
      <c r="C10" s="53">
        <f t="shared" si="0"/>
        <v>-6707386</v>
      </c>
      <c r="D10" s="46">
        <f t="shared" si="6"/>
        <v>-1421056.37753226</v>
      </c>
      <c r="E10" s="47">
        <v>520692</v>
      </c>
      <c r="F10" s="54">
        <f t="shared" si="1"/>
        <v>-520692</v>
      </c>
      <c r="G10" s="43">
        <f t="shared" si="4"/>
        <v>-441265.64231999998</v>
      </c>
      <c r="H10" s="43">
        <f t="shared" si="5"/>
        <v>-441265.64231999998</v>
      </c>
      <c r="I10" s="49">
        <f t="shared" si="2"/>
        <v>-882531.28463999997</v>
      </c>
      <c r="J10" s="37">
        <f>5820+6450</f>
        <v>12270</v>
      </c>
      <c r="K10" s="38">
        <f t="shared" si="3"/>
        <v>12270</v>
      </c>
      <c r="L10" s="39">
        <f>K10*0.7</f>
        <v>8589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6"/>
        <v>0</v>
      </c>
      <c r="E11" s="47"/>
      <c r="F11" s="56">
        <f t="shared" si="1"/>
        <v>0</v>
      </c>
      <c r="G11" s="48">
        <f t="shared" si="4"/>
        <v>0</v>
      </c>
      <c r="H11" s="48">
        <f t="shared" si="5"/>
        <v>0</v>
      </c>
      <c r="I11" s="49">
        <f t="shared" si="2"/>
        <v>0</v>
      </c>
      <c r="J11" s="37"/>
      <c r="K11" s="38">
        <f t="shared" si="3"/>
        <v>0</v>
      </c>
      <c r="L11" s="39">
        <f>K11*0.7</f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6"/>
        <v>0</v>
      </c>
      <c r="E12" s="47"/>
      <c r="F12" s="54">
        <f t="shared" si="1"/>
        <v>0</v>
      </c>
      <c r="G12" s="43">
        <f t="shared" si="4"/>
        <v>0</v>
      </c>
      <c r="H12" s="43">
        <f t="shared" si="5"/>
        <v>0</v>
      </c>
      <c r="I12" s="49">
        <f t="shared" si="2"/>
        <v>0</v>
      </c>
      <c r="J12" s="37"/>
      <c r="K12" s="38">
        <f t="shared" si="3"/>
        <v>0</v>
      </c>
      <c r="L12" s="39">
        <f>K12*0.7</f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6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>K13*0.7</f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6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>K14*0.7</f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6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>K15*0.7</f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6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>K16*0.7</f>
        <v>0</v>
      </c>
    </row>
    <row r="17" spans="1:12" ht="32.450000000000003" customHeight="1">
      <c r="A17" s="45">
        <v>12</v>
      </c>
      <c r="B17" s="45"/>
      <c r="C17" s="55">
        <f t="shared" ref="C17:C35" si="7">B18-B17</f>
        <v>0</v>
      </c>
      <c r="D17" s="46">
        <f t="shared" si="6"/>
        <v>0</v>
      </c>
      <c r="E17" s="47"/>
      <c r="F17" s="56">
        <f t="shared" ref="F17:F35" si="8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>K17*0.7</f>
        <v>0</v>
      </c>
    </row>
    <row r="18" spans="1:12" ht="32.450000000000003" customHeight="1">
      <c r="A18" s="40">
        <v>13</v>
      </c>
      <c r="B18" s="40"/>
      <c r="C18" s="53">
        <f t="shared" si="7"/>
        <v>0</v>
      </c>
      <c r="D18" s="46">
        <f t="shared" si="6"/>
        <v>0</v>
      </c>
      <c r="E18" s="51"/>
      <c r="F18" s="54">
        <f t="shared" si="8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>K18*0.7</f>
        <v>0</v>
      </c>
    </row>
    <row r="19" spans="1:12" ht="32.450000000000003" customHeight="1">
      <c r="A19" s="45">
        <v>14</v>
      </c>
      <c r="B19" s="45"/>
      <c r="C19" s="55">
        <f t="shared" si="7"/>
        <v>0</v>
      </c>
      <c r="D19" s="46">
        <f t="shared" si="6"/>
        <v>0</v>
      </c>
      <c r="E19" s="52"/>
      <c r="F19" s="56">
        <f t="shared" si="8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>K19*0.7</f>
        <v>0</v>
      </c>
    </row>
    <row r="20" spans="1:12" ht="32.450000000000003" customHeight="1">
      <c r="A20" s="40">
        <v>15</v>
      </c>
      <c r="B20" s="40"/>
      <c r="C20" s="53">
        <f t="shared" si="7"/>
        <v>0</v>
      </c>
      <c r="D20" s="46">
        <f t="shared" si="6"/>
        <v>0</v>
      </c>
      <c r="E20" s="51"/>
      <c r="F20" s="54">
        <f t="shared" si="8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>K20*0.7</f>
        <v>0</v>
      </c>
    </row>
    <row r="21" spans="1:12" ht="32.450000000000003" customHeight="1">
      <c r="A21" s="45">
        <v>16</v>
      </c>
      <c r="B21" s="95"/>
      <c r="C21" s="55">
        <f t="shared" si="7"/>
        <v>0</v>
      </c>
      <c r="D21" s="46">
        <f t="shared" si="6"/>
        <v>0</v>
      </c>
      <c r="E21" s="96"/>
      <c r="F21" s="56">
        <f t="shared" si="8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97"/>
      <c r="K21" s="38">
        <f t="shared" si="3"/>
        <v>0</v>
      </c>
      <c r="L21" s="39">
        <f>K21*0.7</f>
        <v>0</v>
      </c>
    </row>
    <row r="22" spans="1:12" ht="32.450000000000003" customHeight="1">
      <c r="A22" s="40">
        <v>17</v>
      </c>
      <c r="B22" s="40"/>
      <c r="C22" s="53">
        <f t="shared" si="7"/>
        <v>0</v>
      </c>
      <c r="D22" s="46">
        <f t="shared" si="6"/>
        <v>0</v>
      </c>
      <c r="E22" s="52"/>
      <c r="F22" s="54">
        <f t="shared" si="8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>K22*0.7</f>
        <v>0</v>
      </c>
    </row>
    <row r="23" spans="1:12" ht="32.450000000000003" customHeight="1">
      <c r="A23" s="45">
        <v>18</v>
      </c>
      <c r="B23" s="45"/>
      <c r="C23" s="55">
        <f t="shared" si="7"/>
        <v>0</v>
      </c>
      <c r="D23" s="46">
        <f t="shared" si="6"/>
        <v>0</v>
      </c>
      <c r="E23" s="52"/>
      <c r="F23" s="56">
        <f t="shared" si="8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>K23*0.7</f>
        <v>0</v>
      </c>
    </row>
    <row r="24" spans="1:12" ht="32.450000000000003" customHeight="1">
      <c r="A24" s="40">
        <v>19</v>
      </c>
      <c r="B24" s="40"/>
      <c r="C24" s="53">
        <f t="shared" si="7"/>
        <v>0</v>
      </c>
      <c r="D24" s="46">
        <f t="shared" si="6"/>
        <v>0</v>
      </c>
      <c r="E24" s="52"/>
      <c r="F24" s="54">
        <f t="shared" si="8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>K24*0.7</f>
        <v>0</v>
      </c>
    </row>
    <row r="25" spans="1:12" ht="32.450000000000003" customHeight="1">
      <c r="A25" s="45">
        <v>20</v>
      </c>
      <c r="B25" s="45"/>
      <c r="C25" s="55">
        <f t="shared" si="7"/>
        <v>0</v>
      </c>
      <c r="D25" s="46">
        <f t="shared" si="6"/>
        <v>0</v>
      </c>
      <c r="E25" s="52"/>
      <c r="F25" s="56">
        <f t="shared" si="8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>K25*0.7</f>
        <v>0</v>
      </c>
    </row>
    <row r="26" spans="1:12" ht="32.450000000000003" customHeight="1">
      <c r="A26" s="40">
        <v>21</v>
      </c>
      <c r="B26" s="40"/>
      <c r="C26" s="53">
        <f t="shared" si="7"/>
        <v>0</v>
      </c>
      <c r="D26" s="46">
        <f t="shared" si="6"/>
        <v>0</v>
      </c>
      <c r="E26" s="52"/>
      <c r="F26" s="54">
        <f t="shared" si="8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>K26*0.7</f>
        <v>0</v>
      </c>
    </row>
    <row r="27" spans="1:12" ht="32.450000000000003" customHeight="1">
      <c r="A27" s="45">
        <v>22</v>
      </c>
      <c r="B27" s="45"/>
      <c r="C27" s="55">
        <f t="shared" si="7"/>
        <v>0</v>
      </c>
      <c r="D27" s="46">
        <f t="shared" si="6"/>
        <v>0</v>
      </c>
      <c r="E27" s="52"/>
      <c r="F27" s="56">
        <f t="shared" si="8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>K27*0.7</f>
        <v>0</v>
      </c>
    </row>
    <row r="28" spans="1:12" ht="32.450000000000003" customHeight="1">
      <c r="A28" s="40">
        <v>23</v>
      </c>
      <c r="B28" s="40"/>
      <c r="C28" s="53">
        <f t="shared" si="7"/>
        <v>0</v>
      </c>
      <c r="D28" s="46">
        <f t="shared" si="6"/>
        <v>0</v>
      </c>
      <c r="E28" s="52"/>
      <c r="F28" s="54">
        <f t="shared" si="8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>K28*0.7</f>
        <v>0</v>
      </c>
    </row>
    <row r="29" spans="1:12" ht="32.450000000000003" customHeight="1">
      <c r="A29" s="45">
        <v>24</v>
      </c>
      <c r="B29" s="45"/>
      <c r="C29" s="55">
        <f t="shared" si="7"/>
        <v>0</v>
      </c>
      <c r="D29" s="46">
        <f t="shared" si="6"/>
        <v>0</v>
      </c>
      <c r="E29" s="52"/>
      <c r="F29" s="56">
        <f t="shared" si="8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>K29*0.7</f>
        <v>0</v>
      </c>
    </row>
    <row r="30" spans="1:12" ht="32.450000000000003" customHeight="1">
      <c r="A30" s="40">
        <v>25</v>
      </c>
      <c r="B30" s="40"/>
      <c r="C30" s="53">
        <f t="shared" si="7"/>
        <v>0</v>
      </c>
      <c r="D30" s="46">
        <f t="shared" si="6"/>
        <v>0</v>
      </c>
      <c r="E30" s="52"/>
      <c r="F30" s="54">
        <f t="shared" si="8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>K30*0.7</f>
        <v>0</v>
      </c>
    </row>
    <row r="31" spans="1:12" ht="32.450000000000003" customHeight="1">
      <c r="A31" s="45">
        <v>26</v>
      </c>
      <c r="B31" s="45"/>
      <c r="C31" s="55">
        <f t="shared" si="7"/>
        <v>0</v>
      </c>
      <c r="D31" s="46">
        <f t="shared" si="6"/>
        <v>0</v>
      </c>
      <c r="E31" s="52"/>
      <c r="F31" s="56">
        <f t="shared" si="8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>K31*0.7</f>
        <v>0</v>
      </c>
    </row>
    <row r="32" spans="1:12" ht="32.450000000000003" customHeight="1">
      <c r="A32" s="40">
        <v>27</v>
      </c>
      <c r="B32" s="40"/>
      <c r="C32" s="53">
        <f t="shared" si="7"/>
        <v>0</v>
      </c>
      <c r="D32" s="46">
        <f t="shared" si="6"/>
        <v>0</v>
      </c>
      <c r="E32" s="52"/>
      <c r="F32" s="55">
        <f t="shared" si="8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>K32*0.7</f>
        <v>0</v>
      </c>
    </row>
    <row r="33" spans="1:12" ht="32.450000000000003" customHeight="1">
      <c r="A33" s="45">
        <v>28</v>
      </c>
      <c r="B33" s="45"/>
      <c r="C33" s="55">
        <f t="shared" si="7"/>
        <v>0</v>
      </c>
      <c r="D33" s="46">
        <f t="shared" si="6"/>
        <v>0</v>
      </c>
      <c r="E33" s="52"/>
      <c r="F33" s="54">
        <f t="shared" si="8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>K33*0.7</f>
        <v>0</v>
      </c>
    </row>
    <row r="34" spans="1:12" ht="32.450000000000003" customHeight="1">
      <c r="A34" s="40">
        <v>29</v>
      </c>
      <c r="B34" s="40"/>
      <c r="C34" s="55">
        <f t="shared" si="7"/>
        <v>0</v>
      </c>
      <c r="D34" s="46">
        <f t="shared" si="6"/>
        <v>0</v>
      </c>
      <c r="E34" s="52"/>
      <c r="F34" s="55">
        <f t="shared" si="8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>K34*0.7</f>
        <v>0</v>
      </c>
    </row>
    <row r="35" spans="1:12" ht="32.450000000000003" customHeight="1">
      <c r="A35" s="57">
        <v>30</v>
      </c>
      <c r="B35" s="58"/>
      <c r="C35" s="59">
        <f t="shared" si="7"/>
        <v>0</v>
      </c>
      <c r="D35" s="60">
        <f t="shared" si="6"/>
        <v>0</v>
      </c>
      <c r="E35" s="61"/>
      <c r="F35" s="59">
        <f t="shared" si="8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>K35*0.7</f>
        <v>0</v>
      </c>
    </row>
    <row r="36" spans="1:12" ht="32.450000000000003" customHeight="1">
      <c r="A36" s="117">
        <v>1</v>
      </c>
      <c r="B36" s="119"/>
      <c r="C36" s="129">
        <f t="shared" ref="C36" si="9">B37-B36</f>
        <v>0</v>
      </c>
      <c r="D36" s="130">
        <f t="shared" si="6"/>
        <v>0</v>
      </c>
      <c r="E36" s="122"/>
      <c r="F36" s="129">
        <f t="shared" ref="F36" si="10">E37-E36</f>
        <v>0</v>
      </c>
      <c r="G36" s="131">
        <f t="shared" ref="G36" si="11">F36*0.84746</f>
        <v>0</v>
      </c>
      <c r="H36" s="131">
        <f t="shared" ref="H36" si="12">F36*0.84746</f>
        <v>0</v>
      </c>
      <c r="I36" s="118">
        <f t="shared" ref="I36" si="13">G36+H36</f>
        <v>0</v>
      </c>
      <c r="J36" s="132"/>
      <c r="K36" s="133">
        <f t="shared" ref="K36" si="14">J36-J37</f>
        <v>0</v>
      </c>
      <c r="L36" s="134">
        <f>K36*0.7</f>
        <v>0</v>
      </c>
    </row>
    <row r="37" spans="1:12">
      <c r="B37" s="67"/>
      <c r="C37" s="68"/>
      <c r="D37" s="68"/>
      <c r="J37" s="67"/>
      <c r="K37" s="67"/>
      <c r="L37" s="67"/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2022-04-06T05:32:22Z</dcterms:modified>
  <cp:category/>
  <cp:contentStatus/>
</cp:coreProperties>
</file>