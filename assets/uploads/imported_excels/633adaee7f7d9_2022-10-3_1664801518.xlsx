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c r="G33" i="1"/>
  <c r="E33" i="1"/>
  <c r="X15" i="3"/>
  <c r="AH35" i="2" l="1"/>
  <c r="AG35" i="2"/>
  <c r="AF35" i="2"/>
  <c r="W35" i="2"/>
  <c r="V35" i="2"/>
  <c r="Q35" i="2" l="1"/>
  <c r="P35" i="2"/>
  <c r="O35" i="2"/>
  <c r="N35" i="2"/>
  <c r="M35" i="2"/>
  <c r="J35" i="2" l="1"/>
  <c r="I35" i="2"/>
  <c r="H35" i="2"/>
  <c r="G35" i="2"/>
  <c r="F35" i="2"/>
  <c r="E35" i="2"/>
  <c r="D35" i="2"/>
  <c r="C35" i="2"/>
  <c r="B35" i="2"/>
  <c r="AH34" i="2" l="1"/>
  <c r="AG34" i="2"/>
  <c r="AF34" i="2"/>
  <c r="W34" i="2"/>
  <c r="V34" i="2"/>
  <c r="Q34" i="2" l="1"/>
  <c r="P34" i="2"/>
  <c r="O34" i="2"/>
  <c r="N34" i="2"/>
  <c r="M34" i="2"/>
  <c r="J34" i="2" l="1"/>
  <c r="I34" i="2"/>
  <c r="H34" i="2"/>
  <c r="G34" i="2"/>
  <c r="F34" i="2"/>
  <c r="E34" i="2"/>
  <c r="D34" i="2"/>
  <c r="C34" i="2"/>
  <c r="B34" i="2"/>
  <c r="AH33" i="2" l="1"/>
  <c r="AG33" i="2"/>
  <c r="AF33" i="2"/>
  <c r="W33" i="2"/>
  <c r="V33" i="2"/>
  <c r="Q33" i="2" l="1"/>
  <c r="P33" i="2"/>
  <c r="O33" i="2"/>
  <c r="N33" i="2"/>
  <c r="M33" i="2"/>
  <c r="J33" i="2" l="1"/>
  <c r="I33" i="2"/>
  <c r="H33" i="2"/>
  <c r="G33" i="2"/>
  <c r="F33" i="2"/>
  <c r="E33" i="2"/>
  <c r="D33" i="2"/>
  <c r="C33" i="2"/>
  <c r="B33" i="2"/>
  <c r="AH32" i="2" l="1"/>
  <c r="AG32" i="2"/>
  <c r="AF32" i="2"/>
  <c r="W32" i="2"/>
  <c r="V32" i="2"/>
  <c r="Q32" i="2" l="1"/>
  <c r="P32" i="2"/>
  <c r="O32" i="2"/>
  <c r="N32" i="2"/>
  <c r="M32" i="2"/>
  <c r="J32" i="2" l="1"/>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F30" i="2"/>
  <c r="AH29" i="2"/>
  <c r="AG30" i="2"/>
  <c r="AG29" i="2"/>
  <c r="AF29" i="2"/>
  <c r="W30" i="2"/>
  <c r="V30" i="2"/>
  <c r="W29" i="2"/>
  <c r="V29" i="2"/>
  <c r="Q30" i="2" l="1"/>
  <c r="P30" i="2"/>
  <c r="Q29" i="2"/>
  <c r="P29" i="2"/>
  <c r="O30" i="2"/>
  <c r="N30" i="2"/>
  <c r="M30" i="2"/>
  <c r="O29" i="2"/>
  <c r="N29" i="2"/>
  <c r="M29" i="2"/>
  <c r="J30" i="2" l="1"/>
  <c r="I30" i="2"/>
  <c r="H30" i="2"/>
  <c r="G30" i="2"/>
  <c r="F30" i="2"/>
  <c r="E30" i="2"/>
  <c r="D30" i="2"/>
  <c r="C30" i="2"/>
  <c r="B30" i="2"/>
  <c r="J29" i="2"/>
  <c r="I29" i="2"/>
  <c r="H29" i="2"/>
  <c r="G29" i="2"/>
  <c r="F29" i="2"/>
  <c r="E29" i="2"/>
  <c r="D29" i="2"/>
  <c r="C29" i="2"/>
  <c r="B29" i="2"/>
  <c r="AH28" i="2" l="1"/>
  <c r="AF28" i="2"/>
  <c r="AH27" i="2"/>
  <c r="AG28" i="2"/>
  <c r="AG27" i="2"/>
  <c r="AF27" i="2"/>
  <c r="AD27" i="2"/>
  <c r="W28" i="2"/>
  <c r="V28" i="2"/>
  <c r="W27" i="2"/>
  <c r="V27" i="2"/>
  <c r="Q28" i="2" l="1"/>
  <c r="P28" i="2"/>
  <c r="Q27" i="2"/>
  <c r="P27" i="2"/>
  <c r="O28" i="2"/>
  <c r="N28" i="2"/>
  <c r="M28" i="2"/>
  <c r="O27" i="2"/>
  <c r="N27" i="2"/>
  <c r="M27" i="2"/>
  <c r="J28" i="2" l="1"/>
  <c r="I28" i="2"/>
  <c r="H28" i="2"/>
  <c r="G28" i="2"/>
  <c r="F28" i="2"/>
  <c r="E28" i="2"/>
  <c r="D28" i="2"/>
  <c r="C28" i="2"/>
  <c r="B28" i="2"/>
  <c r="J27" i="2"/>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l="1"/>
  <c r="P25" i="2"/>
  <c r="O25" i="2"/>
  <c r="N25" i="2"/>
  <c r="M25" i="2"/>
  <c r="J25" i="2" l="1"/>
  <c r="I25" i="2"/>
  <c r="H25" i="2"/>
  <c r="G25" i="2"/>
  <c r="F25" i="2"/>
  <c r="E25" i="2"/>
  <c r="D25" i="2"/>
  <c r="C25" i="2"/>
  <c r="B25" i="2"/>
  <c r="AH24" i="2" l="1"/>
  <c r="AH23" i="2"/>
  <c r="AH22" i="2"/>
  <c r="AF24" i="2"/>
  <c r="AF23" i="2"/>
  <c r="AG24" i="2"/>
  <c r="AG23" i="2"/>
  <c r="AG22" i="2"/>
  <c r="AF22" i="2"/>
  <c r="W24" i="2"/>
  <c r="V24" i="2"/>
  <c r="W23" i="2"/>
  <c r="V23" i="2"/>
  <c r="W22" i="2"/>
  <c r="V22" i="2"/>
  <c r="Q24" i="2" l="1"/>
  <c r="P24" i="2"/>
  <c r="Q23" i="2"/>
  <c r="P23" i="2"/>
  <c r="Q22" i="2"/>
  <c r="P22" i="2"/>
  <c r="O24" i="2"/>
  <c r="N24" i="2"/>
  <c r="M24" i="2"/>
  <c r="O23" i="2"/>
  <c r="N23" i="2"/>
  <c r="M23" i="2"/>
  <c r="O22" i="2"/>
  <c r="N22" i="2"/>
  <c r="M22" i="2"/>
  <c r="J24" i="2" l="1"/>
  <c r="I24" i="2"/>
  <c r="H24" i="2"/>
  <c r="G24" i="2"/>
  <c r="F24" i="2"/>
  <c r="E24" i="2"/>
  <c r="D24" i="2"/>
  <c r="C24" i="2"/>
  <c r="B24" i="2"/>
  <c r="J23" i="2"/>
  <c r="I23" i="2"/>
  <c r="H23" i="2"/>
  <c r="G23" i="2"/>
  <c r="F23" i="2"/>
  <c r="E23" i="2"/>
  <c r="D23" i="2"/>
  <c r="C23" i="2"/>
  <c r="B23" i="2"/>
  <c r="J22" i="2"/>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l="1"/>
  <c r="V20" i="2"/>
  <c r="Q20" i="2" l="1"/>
  <c r="P20" i="2"/>
  <c r="O20" i="2"/>
  <c r="N20" i="2"/>
  <c r="M20" i="2"/>
  <c r="J20" i="2" l="1"/>
  <c r="I20" i="2"/>
  <c r="H20" i="2"/>
  <c r="G20" i="2"/>
  <c r="F20" i="2"/>
  <c r="E20" i="2"/>
  <c r="D20" i="2"/>
  <c r="C20" i="2"/>
  <c r="B20" i="2"/>
  <c r="AH19" i="2" l="1"/>
  <c r="AG19" i="2"/>
  <c r="AF19" i="2"/>
  <c r="W19" i="2"/>
  <c r="V19" i="2"/>
  <c r="Q19" i="2" l="1"/>
  <c r="P19" i="2"/>
  <c r="O19" i="2"/>
  <c r="N19" i="2"/>
  <c r="M19" i="2"/>
  <c r="B19" i="2"/>
  <c r="C19" i="2"/>
  <c r="D19" i="2"/>
  <c r="E19" i="2"/>
  <c r="F19" i="2"/>
  <c r="G19" i="2"/>
  <c r="H19" i="2"/>
  <c r="I19" i="2"/>
  <c r="J19" i="2"/>
  <c r="AH18" i="2" l="1"/>
  <c r="AG18" i="2"/>
  <c r="AF18" i="2"/>
  <c r="W18" i="2"/>
  <c r="V18" i="2"/>
  <c r="Q18" i="2" l="1"/>
  <c r="P18" i="2"/>
  <c r="O18" i="2"/>
  <c r="N18" i="2"/>
  <c r="M18" i="2"/>
  <c r="J18" i="2" l="1"/>
  <c r="I18" i="2"/>
  <c r="H18" i="2"/>
  <c r="G18" i="2"/>
  <c r="F18" i="2"/>
  <c r="E18" i="2"/>
  <c r="D18" i="2"/>
  <c r="C18" i="2"/>
  <c r="B18" i="2"/>
  <c r="AH17" i="2" l="1"/>
  <c r="AG17" i="2"/>
  <c r="AF17" i="2"/>
  <c r="W17" i="2"/>
  <c r="V17" i="2"/>
  <c r="Q17" i="2" l="1"/>
  <c r="P17" i="2"/>
  <c r="O17" i="2"/>
  <c r="N17" i="2"/>
  <c r="M17" i="2"/>
  <c r="J17" i="2" l="1"/>
  <c r="I17" i="2"/>
  <c r="H17" i="2"/>
  <c r="G17" i="2"/>
  <c r="F17" i="2"/>
  <c r="E17" i="2"/>
  <c r="D17" i="2"/>
  <c r="C17" i="2"/>
  <c r="B17" i="2"/>
  <c r="AH16" i="2" l="1"/>
  <c r="AF16" i="2"/>
  <c r="AH15" i="2"/>
  <c r="AG16" i="2"/>
  <c r="AG15" i="2"/>
  <c r="AF15" i="2"/>
  <c r="W16" i="2"/>
  <c r="V16" i="2"/>
  <c r="W15" i="2"/>
  <c r="V15" i="2"/>
  <c r="Q16" i="2" l="1"/>
  <c r="P16" i="2"/>
  <c r="Q15" i="2"/>
  <c r="P15" i="2"/>
  <c r="O16" i="2"/>
  <c r="N16" i="2"/>
  <c r="M16" i="2"/>
  <c r="O15" i="2"/>
  <c r="N15" i="2"/>
  <c r="M15" i="2"/>
  <c r="J16" i="2" l="1"/>
  <c r="I16" i="2"/>
  <c r="H16" i="2"/>
  <c r="G16" i="2"/>
  <c r="F16" i="2"/>
  <c r="E16" i="2"/>
  <c r="D16" i="2"/>
  <c r="C16" i="2"/>
  <c r="B16" i="2"/>
  <c r="J15" i="2"/>
  <c r="I15" i="2"/>
  <c r="H15" i="2"/>
  <c r="G15" i="2"/>
  <c r="F15" i="2"/>
  <c r="E15" i="2"/>
  <c r="D15" i="2"/>
  <c r="C15" i="2"/>
  <c r="B15" i="2"/>
  <c r="AH14" i="2" l="1"/>
  <c r="AF14" i="2"/>
  <c r="AH13" i="2"/>
  <c r="AF13" i="2"/>
  <c r="AH12" i="2"/>
  <c r="AF12" i="2"/>
  <c r="AH11" i="2"/>
  <c r="AF11" i="2"/>
  <c r="AH10" i="2"/>
  <c r="AG14" i="2"/>
  <c r="AG13" i="2"/>
  <c r="AG12" i="2"/>
  <c r="AG11" i="2"/>
  <c r="AG10" i="2"/>
  <c r="AF10" i="2"/>
  <c r="W14" i="2"/>
  <c r="V14" i="2"/>
  <c r="W13" i="2"/>
  <c r="V13" i="2"/>
  <c r="W12" i="2"/>
  <c r="V12" i="2"/>
  <c r="W11" i="2"/>
  <c r="V11" i="2"/>
  <c r="W10" i="2"/>
  <c r="V10" i="2"/>
  <c r="Q14" i="2" l="1"/>
  <c r="P14" i="2"/>
  <c r="Q13" i="2"/>
  <c r="P13" i="2"/>
  <c r="Q12" i="2"/>
  <c r="P12" i="2"/>
  <c r="Q11" i="2"/>
  <c r="P11" i="2"/>
  <c r="Q10" i="2"/>
  <c r="P10" i="2"/>
  <c r="O14" i="2"/>
  <c r="N14" i="2"/>
  <c r="M14" i="2"/>
  <c r="O13" i="2"/>
  <c r="N13" i="2"/>
  <c r="M13" i="2"/>
  <c r="O12" i="2"/>
  <c r="N12" i="2"/>
  <c r="M12" i="2"/>
  <c r="O11" i="2"/>
  <c r="N11" i="2"/>
  <c r="M11" i="2"/>
  <c r="O10" i="2"/>
  <c r="N10" i="2"/>
  <c r="M10" i="2"/>
  <c r="J14" i="2" l="1"/>
  <c r="I14" i="2"/>
  <c r="H14" i="2"/>
  <c r="G14" i="2"/>
  <c r="F14" i="2"/>
  <c r="E14" i="2"/>
  <c r="D14" i="2"/>
  <c r="C14" i="2"/>
  <c r="B14" i="2"/>
  <c r="J13" i="2"/>
  <c r="I13" i="2"/>
  <c r="H13" i="2"/>
  <c r="G13" i="2"/>
  <c r="F13" i="2"/>
  <c r="E13" i="2"/>
  <c r="D13" i="2"/>
  <c r="C13" i="2"/>
  <c r="B13" i="2"/>
  <c r="J12" i="2"/>
  <c r="I12" i="2"/>
  <c r="H12" i="2"/>
  <c r="G12" i="2"/>
  <c r="F12" i="2"/>
  <c r="E12" i="2"/>
  <c r="D12" i="2"/>
  <c r="C12" i="2"/>
  <c r="B12" i="2"/>
  <c r="J11" i="2"/>
  <c r="I11" i="2"/>
  <c r="H11" i="2"/>
  <c r="G11" i="2"/>
  <c r="F11" i="2"/>
  <c r="E11" i="2"/>
  <c r="D11" i="2"/>
  <c r="C11" i="2"/>
  <c r="B11" i="2"/>
  <c r="J10" i="2"/>
  <c r="I10" i="2"/>
  <c r="H10" i="2"/>
  <c r="G10" i="2"/>
  <c r="F10" i="2"/>
  <c r="E10" i="2"/>
  <c r="D10" i="2"/>
  <c r="C10" i="2"/>
  <c r="B10" i="2"/>
  <c r="AH9" i="2" l="1"/>
  <c r="AF9" i="2"/>
  <c r="AH8" i="2"/>
  <c r="AG9" i="2"/>
  <c r="AG8" i="2"/>
  <c r="AF8" i="2"/>
  <c r="W9" i="2"/>
  <c r="V9" i="2"/>
  <c r="W8" i="2"/>
  <c r="V8" i="2"/>
  <c r="Q9" i="2" l="1"/>
  <c r="P9" i="2"/>
  <c r="Q8" i="2"/>
  <c r="P8" i="2"/>
  <c r="O9" i="2"/>
  <c r="N9" i="2"/>
  <c r="M9" i="2"/>
  <c r="O8" i="2"/>
  <c r="N8" i="2"/>
  <c r="M8" i="2"/>
  <c r="J9" i="2" l="1"/>
  <c r="I9" i="2"/>
  <c r="H9" i="2"/>
  <c r="G9" i="2"/>
  <c r="F9" i="2"/>
  <c r="E9" i="2"/>
  <c r="D9" i="2"/>
  <c r="C9" i="2"/>
  <c r="B9" i="2"/>
  <c r="J8" i="2"/>
  <c r="I8" i="2"/>
  <c r="H8" i="2"/>
  <c r="G8" i="2"/>
  <c r="F8" i="2"/>
  <c r="E8" i="2"/>
  <c r="D8" i="2"/>
  <c r="C8" i="2"/>
  <c r="B8" i="2"/>
  <c r="AH7" i="2" l="1"/>
  <c r="AG7" i="2"/>
  <c r="AF7" i="2"/>
  <c r="W7" i="2"/>
  <c r="V7" i="2"/>
  <c r="Q7" i="2" l="1"/>
  <c r="P7" i="2"/>
  <c r="O7" i="2"/>
  <c r="N7" i="2"/>
  <c r="M7" i="2"/>
  <c r="J7" i="2" l="1"/>
  <c r="I7" i="2"/>
  <c r="H7" i="2"/>
  <c r="G7" i="2"/>
  <c r="F7" i="2"/>
  <c r="E7" i="2"/>
  <c r="D7" i="2"/>
  <c r="C7" i="2"/>
  <c r="B7" i="2"/>
  <c r="AH6" i="2" l="1"/>
  <c r="AG6" i="2"/>
  <c r="AF6" i="2"/>
  <c r="W6" i="2"/>
  <c r="V6" i="2"/>
  <c r="Q6" i="2" l="1"/>
  <c r="P6" i="2"/>
  <c r="O6" i="2"/>
  <c r="N6" i="2"/>
  <c r="M6" i="2"/>
  <c r="J6" i="2" l="1"/>
  <c r="I6" i="2"/>
  <c r="H6" i="2"/>
  <c r="G6" i="2"/>
  <c r="F6" i="2"/>
  <c r="E6" i="2"/>
  <c r="D6" i="2"/>
  <c r="C6" i="2"/>
  <c r="B6" i="2"/>
  <c r="H37" i="2" l="1"/>
  <c r="J37" i="2"/>
  <c r="I37" i="2"/>
  <c r="M31" i="1" l="1"/>
  <c r="N31" i="1"/>
  <c r="M32" i="1"/>
  <c r="N32" i="1"/>
  <c r="B31" i="1"/>
  <c r="U31" i="3"/>
  <c r="V31" i="3"/>
  <c r="W31" i="3"/>
  <c r="U32" i="3"/>
  <c r="V32" i="3"/>
  <c r="W32" i="3"/>
  <c r="Y32" i="3"/>
  <c r="E31" i="3"/>
  <c r="F31" i="3"/>
  <c r="G31" i="3"/>
  <c r="H31" i="3"/>
  <c r="I31" i="3"/>
  <c r="J31" i="3"/>
  <c r="K31" i="3"/>
  <c r="L31" i="3"/>
  <c r="M31" i="3"/>
  <c r="Q31" i="3"/>
  <c r="R31" i="3"/>
  <c r="E32" i="3"/>
  <c r="F32" i="3"/>
  <c r="G32" i="3"/>
  <c r="H32" i="3"/>
  <c r="I32" i="3"/>
  <c r="J32" i="3"/>
  <c r="K32" i="3"/>
  <c r="L32" i="3"/>
  <c r="M32" i="3"/>
  <c r="Q32" i="3"/>
  <c r="R32" i="3"/>
  <c r="B31" i="3"/>
  <c r="AI35" i="2"/>
  <c r="AK35" i="2" s="1"/>
  <c r="AI36" i="2"/>
  <c r="AK36" i="2" s="1"/>
  <c r="AC35" i="2"/>
  <c r="AD35" i="2" s="1"/>
  <c r="AE35" i="2" s="1"/>
  <c r="AC36" i="2"/>
  <c r="AD36" i="2" s="1"/>
  <c r="AE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T31" i="3"/>
  <c r="AO35" i="2"/>
  <c r="P32" i="3"/>
  <c r="G32" i="1" s="1"/>
  <c r="P31" i="3"/>
  <c r="G31" i="1" s="1"/>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2" i="1" l="1"/>
  <c r="S32" i="3"/>
  <c r="S31" i="3"/>
  <c r="I31" i="1"/>
  <c r="AI6" i="2"/>
  <c r="AC6" i="2"/>
  <c r="AN37" i="2" l="1"/>
  <c r="AH37" i="2"/>
  <c r="AG37" i="2"/>
  <c r="AF37" i="2"/>
  <c r="G37" i="2"/>
  <c r="D37" i="2"/>
  <c r="Z33" i="3"/>
  <c r="Z7" i="2"/>
  <c r="K6" i="2" l="1"/>
  <c r="L6" i="2" l="1"/>
  <c r="M12" i="1"/>
  <c r="M13" i="1"/>
  <c r="M14" i="1"/>
  <c r="M15" i="1"/>
  <c r="M16" i="1"/>
  <c r="M17" i="1"/>
  <c r="M18" i="1"/>
  <c r="M19" i="1"/>
  <c r="M20" i="1"/>
  <c r="M21" i="1"/>
  <c r="M22" i="1"/>
  <c r="M23" i="1"/>
  <c r="M24" i="1"/>
  <c r="M25" i="1"/>
  <c r="M26" i="1"/>
  <c r="M28" i="1"/>
  <c r="M29" i="1"/>
  <c r="M30"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27" i="1"/>
  <c r="N33" i="1" l="1"/>
  <c r="Z9" i="2"/>
  <c r="P5" i="3" s="1"/>
  <c r="G5" i="1" s="1"/>
  <c r="Z10" i="2"/>
  <c r="AA10" i="2" s="1"/>
  <c r="Z11" i="2"/>
  <c r="AA11" i="2" s="1"/>
  <c r="Z12" i="2"/>
  <c r="Z13" i="2"/>
  <c r="AA13" i="2" s="1"/>
  <c r="Z14" i="2"/>
  <c r="AA14" i="2" s="1"/>
  <c r="Z15" i="2"/>
  <c r="AA15" i="2" s="1"/>
  <c r="Z16" i="2"/>
  <c r="AA16" i="2" s="1"/>
  <c r="AD17" i="2"/>
  <c r="AE17" i="2" s="1"/>
  <c r="R15" i="2"/>
  <c r="O11" i="3" s="1"/>
  <c r="R16" i="2"/>
  <c r="O12" i="3" s="1"/>
  <c r="R17" i="2"/>
  <c r="O13" i="3" s="1"/>
  <c r="R18" i="2"/>
  <c r="R19" i="2"/>
  <c r="O15" i="3" s="1"/>
  <c r="R20" i="2"/>
  <c r="O16" i="3" s="1"/>
  <c r="R21" i="2"/>
  <c r="O17" i="3" s="1"/>
  <c r="R22" i="2"/>
  <c r="O18" i="3" s="1"/>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E27" i="2"/>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24" i="3"/>
  <c r="N3" i="3"/>
  <c r="P28" i="3" l="1"/>
  <c r="G28" i="1" s="1"/>
  <c r="K28" i="1"/>
  <c r="U32" i="2"/>
  <c r="T23" i="3"/>
  <c r="AL25" i="2"/>
  <c r="AM25" i="2" s="1"/>
  <c r="P17" i="3"/>
  <c r="G17" i="1" s="1"/>
  <c r="U19" i="2"/>
  <c r="P15" i="3"/>
  <c r="S15" i="3" s="1"/>
  <c r="U15" i="2"/>
  <c r="AO15" i="2" s="1"/>
  <c r="P9" i="3"/>
  <c r="G9" i="1" s="1"/>
  <c r="P27" i="3"/>
  <c r="S27" i="3" s="1"/>
  <c r="P19" i="3"/>
  <c r="G19" i="1" s="1"/>
  <c r="T28" i="3"/>
  <c r="T27" i="3"/>
  <c r="N19" i="3"/>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AO30" i="2" s="1"/>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AO9" i="2" s="1"/>
  <c r="P10" i="3"/>
  <c r="P25" i="3"/>
  <c r="G25" i="1" s="1"/>
  <c r="N9" i="3"/>
  <c r="K9" i="1" s="1"/>
  <c r="N16" i="3"/>
  <c r="K16" i="1" s="1"/>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T4" i="3"/>
  <c r="AO19" i="2"/>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U10" i="2"/>
  <c r="AO10" i="2" s="1"/>
  <c r="AL18" i="2"/>
  <c r="AM18" i="2" s="1"/>
  <c r="P6" i="3"/>
  <c r="P16" i="3"/>
  <c r="AA27" i="2"/>
  <c r="AO27" i="2" s="1"/>
  <c r="S17" i="3" l="1"/>
  <c r="G15" i="1"/>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sz val="9"/>
            <color indexed="81"/>
            <rFont val="Tahoma"/>
            <family val="2"/>
          </rPr>
          <t xml:space="preserve">
Cost/ unit updated based on current Invoice 27/05/2022</t>
        </r>
      </text>
    </comment>
    <comment ref="AM2" authorId="0" shapeId="0">
      <text>
        <r>
          <rPr>
            <sz val="9"/>
            <color indexed="81"/>
            <rFont val="Tahoma"/>
            <family val="2"/>
          </rPr>
          <t xml:space="preserve">
Cost/ unit updated based on current Invoice 27/05/2022</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<sst xmlns="http://schemas.openxmlformats.org/spreadsheetml/2006/main" count="220" uniqueCount="103">
  <si>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</si>
  <si>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</si>
  <si>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</si>
  <si>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</si>
  <si>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</si>
  <si>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</si>
  <si>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</si>
  <si>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</si>
  <si>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</si>
  <si>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</si>
  <si>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</si>
  <si>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</si>
  <si>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</si>
  <si>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</si>
  <si>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</si>
  <si>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</si>
  <si>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</si>
  <si>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</si>
  <si>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</si>
  <si>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</si>
  <si>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</si>
  <si>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</si>
  <si>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</si>
  <si>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</si>
  <si>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</si>
  <si>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</si>
  <si>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</si>
  <si>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</si>
  <si>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</si>
  <si>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</si>
  <si>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</si>
  <si>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</si>
  <si>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</si>
  <si>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</si>
  <si>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</si>
  <si>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</si>
  <si>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</si>
  <si>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</si>
  <si>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</si>
  <si>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</si>
  <si>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</si>
  <si>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</si>
  <si>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</si>
  <si>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</si>
  <si>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</si>
  <si>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</si>
  <si>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</si>
  <si>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</si>
  <si>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</si>
  <si>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</si>
  <si>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</si>
  <si>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</si>
  <si>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</si>
  <si>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</si>
  <si>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</si>
  <si>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</si>
  <si>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</si>
  <si>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</si>
  <si>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</si>
  <si>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</si>
  <si>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</si>
  <si>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</si>
  <si>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</si>
  <si>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</si>
  <si>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</si>
  <si>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</si>
  <si>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</si>
  <si>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</si>
  <si>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</si>
  <si>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</si>
  <si>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</si>
  <si>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</si>
  <si>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</si>
  <si>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</si>
  <si>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</si>
  <si>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</si>
  <si>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</si>
  <si>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</si>
  <si>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</si>
  <si>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</si>
  <si>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</si>
  <si>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</si>
  <si>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</si>
  <si>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</si>
  <si>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</si>
  <si>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</si>
  <si>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</si>
  <si>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</si>
  <si>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</si>
  <si>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</si>
  <si>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</si>
  <si>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</si>
  <si>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</si>
  <si>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</si>
  <si>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</si>
  <si>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</si>
  <si>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</si>
  <si>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</si>
  <si>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</si>
  <si>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</si>
  <si>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</si>
  <si>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</si>
  <si>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0.327899/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</si>
</sst>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5">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4" fontId="0" fillId="0" borderId="1" xfId="0" applyNumberFormat="1"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M33" sqref="M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9</v>
      </c>
      <c r="D2" s="107">
        <v>2022</v>
      </c>
      <c r="E2" s="101">
        <f>Submetering!E2+Submetering!F2+Submetering!G2+Submetering!H2+Submetering!I2+Submetering!J2+Submetering!K2</f>
        <v>31883</v>
      </c>
      <c r="F2" s="109">
        <v>0.2</v>
      </c>
      <c r="G2" s="101">
        <f>Submetering!P2</f>
        <v>776</v>
      </c>
      <c r="H2" s="109">
        <v>6.47</v>
      </c>
      <c r="I2" s="101">
        <f>Submetering!T2-Submetering!T2*15%-Submetering!X2</f>
        <v>64281.282199998546</v>
      </c>
      <c r="J2" s="100">
        <v>0.21</v>
      </c>
      <c r="K2" s="101">
        <f>Submetering!N2-Submetering!O2</f>
        <v>135.4509999999982</v>
      </c>
      <c r="L2" s="109">
        <v>7.84</v>
      </c>
      <c r="M2" s="101">
        <v>56</v>
      </c>
      <c r="N2" s="102">
        <f>Submetering!Z2</f>
        <v>91</v>
      </c>
    </row>
    <row r="3" spans="1:15" x14ac:dyDescent="0.25">
      <c r="A3" s="110" t="s">
        <v>80</v>
      </c>
      <c r="B3" s="72">
        <f>B2+1</f>
        <v>2</v>
      </c>
      <c r="C3" s="73">
        <v>9</v>
      </c>
      <c r="D3" s="72">
        <v>2022</v>
      </c>
      <c r="E3" s="71">
        <f>Submetering!E3+Submetering!F3+Submetering!G3+Submetering!H3+Submetering!I3+Submetering!J3+Submetering!K3</f>
        <v>31873</v>
      </c>
      <c r="F3" s="74">
        <v>0.2</v>
      </c>
      <c r="G3" s="71">
        <f>Submetering!P3</f>
        <v>750</v>
      </c>
      <c r="H3" s="74">
        <v>6.47</v>
      </c>
      <c r="I3" s="71">
        <f>Submetering!T3-Submetering!T3*15%-Submetering!X3</f>
        <v>62812.739600002911</v>
      </c>
      <c r="J3" s="70">
        <v>0.21</v>
      </c>
      <c r="K3" s="71">
        <f>Submetering!N3-Submetering!O3</f>
        <v>106.75400000000445</v>
      </c>
      <c r="L3" s="74">
        <v>7.84</v>
      </c>
      <c r="M3" s="71">
        <v>47</v>
      </c>
      <c r="N3" s="104">
        <f>Submetering!Z3</f>
        <v>88</v>
      </c>
    </row>
    <row r="4" spans="1:15" x14ac:dyDescent="0.25">
      <c r="A4" s="110" t="s">
        <v>80</v>
      </c>
      <c r="B4" s="72">
        <f t="shared" ref="B4:B31" si="0">B3+1</f>
        <v>3</v>
      </c>
      <c r="C4" s="73">
        <v>9</v>
      </c>
      <c r="D4" s="72">
        <v>2022</v>
      </c>
      <c r="E4" s="71">
        <f>Submetering!E4+Submetering!F4+Submetering!G4+Submetering!H4+Submetering!I4+Submetering!J4+Submetering!K4</f>
        <v>32051</v>
      </c>
      <c r="F4" s="74">
        <v>0.2</v>
      </c>
      <c r="G4" s="71">
        <f>Submetering!P4</f>
        <v>794</v>
      </c>
      <c r="H4" s="74">
        <v>6.47</v>
      </c>
      <c r="I4" s="71">
        <f>Submetering!T4-Submetering!T4*15%-Submetering!X4</f>
        <v>62205.817599999995</v>
      </c>
      <c r="J4" s="70">
        <v>0.21</v>
      </c>
      <c r="K4" s="71">
        <f>Submetering!N4-Submetering!O4</f>
        <v>91.573999999996886</v>
      </c>
      <c r="L4" s="74">
        <v>7.84</v>
      </c>
      <c r="M4" s="71">
        <v>47</v>
      </c>
      <c r="N4" s="104">
        <f>Submetering!Z4</f>
        <v>84</v>
      </c>
    </row>
    <row r="5" spans="1:15" x14ac:dyDescent="0.25">
      <c r="A5" s="110" t="s">
        <v>80</v>
      </c>
      <c r="B5" s="72">
        <f t="shared" si="0"/>
        <v>4</v>
      </c>
      <c r="C5" s="73">
        <v>9</v>
      </c>
      <c r="D5" s="72">
        <v>2022</v>
      </c>
      <c r="E5" s="71">
        <f>Submetering!E5+Submetering!F5+Submetering!G5+Submetering!H5+Submetering!I5+Submetering!J5+Submetering!K5</f>
        <v>32159</v>
      </c>
      <c r="F5" s="74">
        <v>0.2</v>
      </c>
      <c r="G5" s="71">
        <f>Submetering!P5</f>
        <v>706</v>
      </c>
      <c r="H5" s="74">
        <v>6.47</v>
      </c>
      <c r="I5" s="71">
        <f>Submetering!T5-Submetering!T5*15%-Submetering!X5</f>
        <v>57278.520000000004</v>
      </c>
      <c r="J5" s="70">
        <v>0.21</v>
      </c>
      <c r="K5" s="81">
        <f>Submetering!N5-Submetering!O5</f>
        <v>124.73300000000199</v>
      </c>
      <c r="L5" s="74">
        <v>7.84</v>
      </c>
      <c r="M5" s="71">
        <v>71</v>
      </c>
      <c r="N5" s="104">
        <f>Submetering!Z5</f>
        <v>107</v>
      </c>
    </row>
    <row r="6" spans="1:15" x14ac:dyDescent="0.25">
      <c r="A6" s="110" t="s">
        <v>80</v>
      </c>
      <c r="B6" s="72">
        <f t="shared" si="0"/>
        <v>5</v>
      </c>
      <c r="C6" s="73">
        <v>9</v>
      </c>
      <c r="D6" s="72">
        <v>2022</v>
      </c>
      <c r="E6" s="71">
        <f>Submetering!E6+Submetering!F6+Submetering!G6+Submetering!H6+Submetering!I6+Submetering!J6+Submetering!K6</f>
        <v>32851</v>
      </c>
      <c r="F6" s="74">
        <v>0.2</v>
      </c>
      <c r="G6" s="71">
        <f>Submetering!P6</f>
        <v>753</v>
      </c>
      <c r="H6" s="74">
        <v>6.47</v>
      </c>
      <c r="I6" s="71">
        <f>Submetering!T6-Submetering!T6*15%-Submetering!X6</f>
        <v>57092.836399995635</v>
      </c>
      <c r="J6" s="70">
        <v>0.21</v>
      </c>
      <c r="K6" s="71">
        <f>Submetering!N6-Submetering!O6</f>
        <v>114.18099999999959</v>
      </c>
      <c r="L6" s="74">
        <v>7.84</v>
      </c>
      <c r="M6" s="71">
        <v>84</v>
      </c>
      <c r="N6" s="104">
        <f>Submetering!Z6</f>
        <v>124</v>
      </c>
    </row>
    <row r="7" spans="1:15" x14ac:dyDescent="0.25">
      <c r="A7" s="110" t="s">
        <v>80</v>
      </c>
      <c r="B7" s="72">
        <f t="shared" si="0"/>
        <v>6</v>
      </c>
      <c r="C7" s="73">
        <v>9</v>
      </c>
      <c r="D7" s="72">
        <v>2022</v>
      </c>
      <c r="E7" s="71">
        <f>Submetering!E7+Submetering!F7+Submetering!G7+Submetering!H7+Submetering!I7+Submetering!J7+Submetering!K7</f>
        <v>32975</v>
      </c>
      <c r="F7" s="74">
        <v>0.2</v>
      </c>
      <c r="G7" s="71">
        <f>Submetering!P7</f>
        <v>733</v>
      </c>
      <c r="H7" s="74">
        <v>6.47</v>
      </c>
      <c r="I7" s="71">
        <f>Submetering!T7-Submetering!T7*15%-Submetering!X7</f>
        <v>52669.749400000001</v>
      </c>
      <c r="J7" s="70">
        <v>0.21</v>
      </c>
      <c r="K7" s="71">
        <f>Submetering!N7-Submetering!O7</f>
        <v>136.7510000000002</v>
      </c>
      <c r="L7" s="74">
        <v>7.84</v>
      </c>
      <c r="M7" s="71">
        <v>96</v>
      </c>
      <c r="N7" s="104">
        <f>Submetering!Z7</f>
        <v>131</v>
      </c>
    </row>
    <row r="8" spans="1:15" x14ac:dyDescent="0.25">
      <c r="A8" s="110" t="s">
        <v>80</v>
      </c>
      <c r="B8" s="72">
        <f t="shared" si="0"/>
        <v>7</v>
      </c>
      <c r="C8" s="73">
        <v>9</v>
      </c>
      <c r="D8" s="72">
        <v>2022</v>
      </c>
      <c r="E8" s="71">
        <f>Submetering!E8+Submetering!F8+Submetering!G8+Submetering!H8+Submetering!I8+Submetering!J8+Submetering!K8</f>
        <v>33233</v>
      </c>
      <c r="F8" s="74">
        <v>0.2</v>
      </c>
      <c r="G8" s="71">
        <f>Submetering!P8</f>
        <v>719</v>
      </c>
      <c r="H8" s="74">
        <v>6.47</v>
      </c>
      <c r="I8" s="71">
        <f>Submetering!T8-Submetering!T8*15%-Submetering!X8</f>
        <v>54962.005600000004</v>
      </c>
      <c r="J8" s="70">
        <v>0.21</v>
      </c>
      <c r="K8" s="71">
        <f>Submetering!N8-Submetering!O8</f>
        <v>138.64300000000367</v>
      </c>
      <c r="L8" s="74">
        <v>7.84</v>
      </c>
      <c r="M8" s="71">
        <v>111</v>
      </c>
      <c r="N8" s="104">
        <f>Submetering!Z8</f>
        <v>156</v>
      </c>
    </row>
    <row r="9" spans="1:15" x14ac:dyDescent="0.25">
      <c r="A9" s="110" t="s">
        <v>80</v>
      </c>
      <c r="B9" s="72">
        <f t="shared" si="0"/>
        <v>8</v>
      </c>
      <c r="C9" s="73">
        <v>9</v>
      </c>
      <c r="D9" s="72">
        <v>2022</v>
      </c>
      <c r="E9" s="71">
        <f>Submetering!E9+Submetering!F9+Submetering!G9+Submetering!H9+Submetering!I9+Submetering!J9+Submetering!K9</f>
        <v>33284</v>
      </c>
      <c r="F9" s="74">
        <v>0.2</v>
      </c>
      <c r="G9" s="71">
        <f>Submetering!P9</f>
        <v>772</v>
      </c>
      <c r="H9" s="74">
        <v>6.47</v>
      </c>
      <c r="I9" s="71">
        <f>Submetering!T9-Submetering!T9*15%-Submetering!X9</f>
        <v>55467.551400005832</v>
      </c>
      <c r="J9" s="70">
        <v>0.21</v>
      </c>
      <c r="K9" s="71">
        <f>Submetering!N9-Submetering!O9</f>
        <v>137.69999999999345</v>
      </c>
      <c r="L9" s="74">
        <v>7.84</v>
      </c>
      <c r="M9" s="71">
        <v>90</v>
      </c>
      <c r="N9" s="104">
        <f>Submetering!Z9</f>
        <v>135</v>
      </c>
      <c r="O9" s="1" t="s">
        <v>12</v>
      </c>
    </row>
    <row r="10" spans="1:15" x14ac:dyDescent="0.25">
      <c r="A10" s="110" t="s">
        <v>80</v>
      </c>
      <c r="B10" s="72">
        <f t="shared" si="0"/>
        <v>9</v>
      </c>
      <c r="C10" s="73">
        <v>9</v>
      </c>
      <c r="D10" s="72">
        <v>2022</v>
      </c>
      <c r="E10" s="71">
        <f>Submetering!E10+Submetering!F10+Submetering!G10+Submetering!H10+Submetering!I10+Submetering!J10+Submetering!K10</f>
        <v>32639</v>
      </c>
      <c r="F10" s="74">
        <v>0.2</v>
      </c>
      <c r="G10" s="71">
        <f>Submetering!P10</f>
        <v>802</v>
      </c>
      <c r="H10" s="74">
        <v>6.47</v>
      </c>
      <c r="I10" s="71">
        <f>Submetering!T10-Submetering!T10*15%-Submetering!X10</f>
        <v>57497.046999994185</v>
      </c>
      <c r="J10" s="70">
        <v>0.21</v>
      </c>
      <c r="K10" s="71">
        <f>Submetering!N10-Submetering!O10</f>
        <v>101.21900000000005</v>
      </c>
      <c r="L10" s="74">
        <v>7.84</v>
      </c>
      <c r="M10" s="71">
        <v>63</v>
      </c>
      <c r="N10" s="104">
        <f>Submetering!Z10</f>
        <v>108</v>
      </c>
    </row>
    <row r="11" spans="1:15" x14ac:dyDescent="0.25">
      <c r="A11" s="110" t="s">
        <v>80</v>
      </c>
      <c r="B11" s="72">
        <f t="shared" si="0"/>
        <v>10</v>
      </c>
      <c r="C11" s="73">
        <v>9</v>
      </c>
      <c r="D11" s="72">
        <v>2022</v>
      </c>
      <c r="E11" s="71">
        <f>Submetering!E11+Submetering!F11+Submetering!G11+Submetering!H11+Submetering!I11+Submetering!J11+Submetering!K11</f>
        <v>32225</v>
      </c>
      <c r="F11" s="74">
        <v>0.2</v>
      </c>
      <c r="G11" s="71">
        <f>Submetering!P11</f>
        <v>810</v>
      </c>
      <c r="H11" s="74">
        <v>6.47</v>
      </c>
      <c r="I11" s="71">
        <f>Submetering!T11-Submetering!T11*15%-Submetering!X11</f>
        <v>63234.019000005821</v>
      </c>
      <c r="J11" s="70">
        <v>0.21</v>
      </c>
      <c r="K11" s="71">
        <f>Submetering!N11-Submetering!O11</f>
        <v>111.94200000000274</v>
      </c>
      <c r="L11" s="74">
        <v>7.84</v>
      </c>
      <c r="M11" s="71">
        <v>53</v>
      </c>
      <c r="N11" s="104">
        <f>Submetering!Z11</f>
        <v>94</v>
      </c>
    </row>
    <row r="12" spans="1:15" x14ac:dyDescent="0.25">
      <c r="A12" s="110" t="s">
        <v>80</v>
      </c>
      <c r="B12" s="72">
        <f t="shared" si="0"/>
        <v>11</v>
      </c>
      <c r="C12" s="73">
        <v>9</v>
      </c>
      <c r="D12" s="72">
        <v>2022</v>
      </c>
      <c r="E12" s="71">
        <f>Submetering!E12+Submetering!F12+Submetering!G12+Submetering!H12+Submetering!I12+Submetering!J12+Submetering!K12</f>
        <v>31937</v>
      </c>
      <c r="F12" s="74">
        <v>0.2</v>
      </c>
      <c r="G12" s="71">
        <f>Submetering!P12</f>
        <v>773</v>
      </c>
      <c r="H12" s="74">
        <v>6.47</v>
      </c>
      <c r="I12" s="71">
        <f>Submetering!T12-Submetering!T12*15%-Submetering!X12</f>
        <v>60679.905999994182</v>
      </c>
      <c r="J12" s="70">
        <v>0.21</v>
      </c>
      <c r="K12" s="71">
        <f>Submetering!N12-Submetering!O12</f>
        <v>93.63799999999901</v>
      </c>
      <c r="L12" s="74">
        <v>7.84</v>
      </c>
      <c r="M12" s="71">
        <f>Submetering!Y12</f>
        <v>81</v>
      </c>
      <c r="N12" s="104">
        <f>Submetering!Z12</f>
        <v>104</v>
      </c>
    </row>
    <row r="13" spans="1:15" x14ac:dyDescent="0.25">
      <c r="A13" s="110" t="s">
        <v>80</v>
      </c>
      <c r="B13" s="72">
        <f t="shared" si="0"/>
        <v>12</v>
      </c>
      <c r="C13" s="73">
        <v>9</v>
      </c>
      <c r="D13" s="72">
        <v>2022</v>
      </c>
      <c r="E13" s="71">
        <f>Submetering!E13+Submetering!F13+Submetering!G13+Submetering!H13+Submetering!I13+Submetering!J13+Submetering!K13</f>
        <v>33045</v>
      </c>
      <c r="F13" s="74">
        <v>0.2</v>
      </c>
      <c r="G13" s="71">
        <f>Submetering!P13</f>
        <v>773</v>
      </c>
      <c r="H13" s="74">
        <v>6.47</v>
      </c>
      <c r="I13" s="71">
        <f>Submetering!T13-Submetering!T13*15%-Submetering!X13</f>
        <v>66081.487200001458</v>
      </c>
      <c r="J13" s="70">
        <v>0.21</v>
      </c>
      <c r="K13" s="71">
        <f>Submetering!N13-Submetering!O13</f>
        <v>128.24899999999798</v>
      </c>
      <c r="L13" s="74">
        <v>7.84</v>
      </c>
      <c r="M13" s="71">
        <f>Submetering!Y13</f>
        <v>126</v>
      </c>
      <c r="N13" s="104">
        <f>Submetering!Z13</f>
        <v>139</v>
      </c>
    </row>
    <row r="14" spans="1:15" x14ac:dyDescent="0.25">
      <c r="A14" s="110" t="s">
        <v>80</v>
      </c>
      <c r="B14" s="72">
        <f t="shared" si="0"/>
        <v>13</v>
      </c>
      <c r="C14" s="73">
        <v>9</v>
      </c>
      <c r="D14" s="72">
        <v>2022</v>
      </c>
      <c r="E14" s="71">
        <f>Submetering!E14+Submetering!F14+Submetering!G14+Submetering!H14+Submetering!I14+Submetering!J14+Submetering!K14</f>
        <v>33312</v>
      </c>
      <c r="F14" s="74">
        <v>0.2</v>
      </c>
      <c r="G14" s="71">
        <f>Submetering!P14</f>
        <v>807</v>
      </c>
      <c r="H14" s="74">
        <v>6.47</v>
      </c>
      <c r="I14" s="71">
        <f>Submetering!T14-Submetering!T14*15%-Submetering!X14</f>
        <v>67748.222200001459</v>
      </c>
      <c r="J14" s="70">
        <v>0.21</v>
      </c>
      <c r="K14" s="71">
        <f>Submetering!N14-Submetering!O14</f>
        <v>114.26000000000295</v>
      </c>
      <c r="L14" s="74">
        <v>7.84</v>
      </c>
      <c r="M14" s="71">
        <f>Submetering!Y14</f>
        <v>121</v>
      </c>
      <c r="N14" s="104">
        <f>Submetering!Z14</f>
        <v>135</v>
      </c>
    </row>
    <row r="15" spans="1:15" x14ac:dyDescent="0.25">
      <c r="A15" s="110" t="s">
        <v>80</v>
      </c>
      <c r="B15" s="72">
        <f t="shared" si="0"/>
        <v>14</v>
      </c>
      <c r="C15" s="73">
        <v>9</v>
      </c>
      <c r="D15" s="72">
        <v>2022</v>
      </c>
      <c r="E15" s="71">
        <f>Submetering!E15+Submetering!F15+Submetering!G15+Submetering!H15+Submetering!I15+Submetering!J15+Submetering!K15</f>
        <v>34672</v>
      </c>
      <c r="F15" s="74">
        <v>0.2</v>
      </c>
      <c r="G15" s="71">
        <f>Submetering!P15</f>
        <v>804</v>
      </c>
      <c r="H15" s="74">
        <v>6.47</v>
      </c>
      <c r="I15" s="71">
        <f>Submetering!T15-Submetering!T15*15%-Submetering!X15</f>
        <v>67164.027999998551</v>
      </c>
      <c r="J15" s="70">
        <v>0.21</v>
      </c>
      <c r="K15" s="81">
        <f>Submetering!N15-Submetering!O15</f>
        <v>139.41399999999885</v>
      </c>
      <c r="L15" s="74">
        <v>7.84</v>
      </c>
      <c r="M15" s="71">
        <f>Submetering!Y15</f>
        <v>172</v>
      </c>
      <c r="N15" s="104">
        <f>Submetering!Z15</f>
        <v>205</v>
      </c>
    </row>
    <row r="16" spans="1:15" x14ac:dyDescent="0.25">
      <c r="A16" s="110" t="s">
        <v>80</v>
      </c>
      <c r="B16" s="72">
        <f t="shared" si="0"/>
        <v>15</v>
      </c>
      <c r="C16" s="73">
        <v>9</v>
      </c>
      <c r="D16" s="72">
        <v>2022</v>
      </c>
      <c r="E16" s="71">
        <f>Submetering!E16+Submetering!F16+Submetering!G16+Submetering!H16+Submetering!I16+Submetering!J16+Submetering!K16</f>
        <v>34869</v>
      </c>
      <c r="F16" s="74">
        <v>0.2</v>
      </c>
      <c r="G16" s="71">
        <f>Submetering!P16</f>
        <v>778</v>
      </c>
      <c r="H16" s="74">
        <v>6.47</v>
      </c>
      <c r="I16" s="71">
        <f>Submetering!T16-Submetering!T16*15%-Submetering!X16</f>
        <v>64379.320400002907</v>
      </c>
      <c r="J16" s="70">
        <v>0.21</v>
      </c>
      <c r="K16" s="71">
        <f>Submetering!N16-Submetering!O16</f>
        <v>131.11000000000786</v>
      </c>
      <c r="L16" s="74">
        <v>7.84</v>
      </c>
      <c r="M16" s="71">
        <f>Submetering!Y16</f>
        <v>149</v>
      </c>
      <c r="N16" s="104">
        <f>Submetering!Z16</f>
        <v>187</v>
      </c>
    </row>
    <row r="17" spans="1:14" x14ac:dyDescent="0.25">
      <c r="A17" s="110" t="s">
        <v>80</v>
      </c>
      <c r="B17" s="72">
        <f t="shared" si="0"/>
        <v>16</v>
      </c>
      <c r="C17" s="73">
        <v>9</v>
      </c>
      <c r="D17" s="72">
        <v>2022</v>
      </c>
      <c r="E17" s="71">
        <f>Submetering!E17+Submetering!F17+Submetering!G17+Submetering!H17+Submetering!I17+Submetering!J17+Submetering!K17</f>
        <v>35366</v>
      </c>
      <c r="F17" s="74">
        <v>0.2</v>
      </c>
      <c r="G17" s="71">
        <f>Submetering!P17</f>
        <v>805</v>
      </c>
      <c r="H17" s="74">
        <v>6.47</v>
      </c>
      <c r="I17" s="71">
        <f>Submetering!T17-Submetering!T17*15%-Submetering!X17</f>
        <v>70427.856399998534</v>
      </c>
      <c r="J17" s="70">
        <v>0.21</v>
      </c>
      <c r="K17" s="71">
        <f>Submetering!N17-Submetering!O17</f>
        <v>136.0609999999906</v>
      </c>
      <c r="L17" s="74">
        <v>7.84</v>
      </c>
      <c r="M17" s="71">
        <f>Submetering!Y17</f>
        <v>112</v>
      </c>
      <c r="N17" s="104">
        <f>Submetering!Z17</f>
        <v>143</v>
      </c>
    </row>
    <row r="18" spans="1:14" x14ac:dyDescent="0.25">
      <c r="A18" s="110" t="s">
        <v>80</v>
      </c>
      <c r="B18" s="72">
        <f t="shared" si="0"/>
        <v>17</v>
      </c>
      <c r="C18" s="73">
        <v>9</v>
      </c>
      <c r="D18" s="72">
        <v>2022</v>
      </c>
      <c r="E18" s="71">
        <f>Submetering!E18+Submetering!F18+Submetering!G18+Submetering!H18+Submetering!I18+Submetering!J18+Submetering!K18</f>
        <v>34629</v>
      </c>
      <c r="F18" s="74">
        <v>0.2</v>
      </c>
      <c r="G18" s="71">
        <f>Submetering!P18</f>
        <v>769</v>
      </c>
      <c r="H18" s="74">
        <v>6.47</v>
      </c>
      <c r="I18" s="71">
        <f>Submetering!T18-Submetering!T18*15%-Submetering!X18</f>
        <v>61239.76000000292</v>
      </c>
      <c r="J18" s="70">
        <v>0.21</v>
      </c>
      <c r="K18" s="71">
        <f>Submetering!N18-Submetering!O18</f>
        <v>117.42799999999897</v>
      </c>
      <c r="L18" s="74">
        <v>7.84</v>
      </c>
      <c r="M18" s="71">
        <f>Submetering!Y18</f>
        <v>70</v>
      </c>
      <c r="N18" s="104">
        <f>Submetering!Z18</f>
        <v>100</v>
      </c>
    </row>
    <row r="19" spans="1:14" x14ac:dyDescent="0.25">
      <c r="A19" s="110" t="s">
        <v>80</v>
      </c>
      <c r="B19" s="72">
        <f t="shared" si="0"/>
        <v>18</v>
      </c>
      <c r="C19" s="73">
        <v>9</v>
      </c>
      <c r="D19" s="72">
        <v>2022</v>
      </c>
      <c r="E19" s="71">
        <f>Submetering!E19+Submetering!F19+Submetering!G19+Submetering!H19+Submetering!I19+Submetering!J19+Submetering!K19</f>
        <v>33215</v>
      </c>
      <c r="F19" s="74">
        <v>0.2</v>
      </c>
      <c r="G19" s="71">
        <f>Submetering!P19</f>
        <v>706</v>
      </c>
      <c r="H19" s="74">
        <v>6.47</v>
      </c>
      <c r="I19" s="71">
        <f>Submetering!T19-Submetering!T19*15%-Submetering!X19</f>
        <v>57508.569999999992</v>
      </c>
      <c r="J19" s="70">
        <v>0.21</v>
      </c>
      <c r="K19" s="71">
        <f>Submetering!N19-Submetering!O19</f>
        <v>113.67300000000523</v>
      </c>
      <c r="L19" s="74">
        <v>7.84</v>
      </c>
      <c r="M19" s="71">
        <f>Submetering!Y19</f>
        <v>83</v>
      </c>
      <c r="N19" s="104">
        <f>Submetering!Z19</f>
        <v>112</v>
      </c>
    </row>
    <row r="20" spans="1:14" x14ac:dyDescent="0.25">
      <c r="A20" s="110" t="s">
        <v>80</v>
      </c>
      <c r="B20" s="72">
        <f t="shared" si="0"/>
        <v>19</v>
      </c>
      <c r="C20" s="73">
        <v>9</v>
      </c>
      <c r="D20" s="72">
        <v>2022</v>
      </c>
      <c r="E20" s="71">
        <f>Submetering!E20+Submetering!F20+Submetering!G20+Submetering!H20+Submetering!I20+Submetering!J20+Submetering!K20</f>
        <v>34455</v>
      </c>
      <c r="F20" s="74">
        <v>0.2</v>
      </c>
      <c r="G20" s="71">
        <f>Submetering!P20</f>
        <v>754</v>
      </c>
      <c r="H20" s="74">
        <v>6.47</v>
      </c>
      <c r="I20" s="71">
        <f>Submetering!T20-Submetering!T20*15%-Submetering!X20</f>
        <v>60799.963399997097</v>
      </c>
      <c r="J20" s="70">
        <v>0.21</v>
      </c>
      <c r="K20" s="71">
        <f>Submetering!N20-Submetering!O20</f>
        <v>43.100999999994201</v>
      </c>
      <c r="L20" s="74">
        <v>7.84</v>
      </c>
      <c r="M20" s="71">
        <f>Submetering!Y20</f>
        <v>139</v>
      </c>
      <c r="N20" s="104">
        <f>Submetering!Z20</f>
        <v>175</v>
      </c>
    </row>
    <row r="21" spans="1:14" x14ac:dyDescent="0.25">
      <c r="A21" s="110" t="s">
        <v>80</v>
      </c>
      <c r="B21" s="72">
        <f t="shared" si="0"/>
        <v>20</v>
      </c>
      <c r="C21" s="73">
        <v>9</v>
      </c>
      <c r="D21" s="72">
        <v>2022</v>
      </c>
      <c r="E21" s="71">
        <f>Submetering!E21+Submetering!F21+Submetering!G21+Submetering!H21+Submetering!I21+Submetering!J21+Submetering!K21</f>
        <v>35756</v>
      </c>
      <c r="F21" s="74">
        <v>0.2</v>
      </c>
      <c r="G21" s="71">
        <f>Submetering!P21</f>
        <v>852</v>
      </c>
      <c r="H21" s="74">
        <v>6.47</v>
      </c>
      <c r="I21" s="71">
        <f>Submetering!T21-Submetering!T21*15%-Submetering!X21</f>
        <v>61280.973800002917</v>
      </c>
      <c r="J21" s="70">
        <v>0.21</v>
      </c>
      <c r="K21" s="71">
        <f>Submetering!N21-Submetering!O21</f>
        <v>134.95800000000781</v>
      </c>
      <c r="L21" s="74">
        <v>7.84</v>
      </c>
      <c r="M21" s="71">
        <f>Submetering!Y21</f>
        <v>168</v>
      </c>
      <c r="N21" s="104">
        <f>Submetering!Z21</f>
        <v>212</v>
      </c>
    </row>
    <row r="22" spans="1:14" x14ac:dyDescent="0.25">
      <c r="A22" s="110" t="s">
        <v>80</v>
      </c>
      <c r="B22" s="72">
        <f t="shared" si="0"/>
        <v>21</v>
      </c>
      <c r="C22" s="73">
        <v>9</v>
      </c>
      <c r="D22" s="72">
        <v>2022</v>
      </c>
      <c r="E22" s="71">
        <f>Submetering!E22+Submetering!F22+Submetering!G22+Submetering!H22+Submetering!I22+Submetering!J22+Submetering!K22</f>
        <v>35092</v>
      </c>
      <c r="F22" s="74">
        <v>0.2</v>
      </c>
      <c r="G22" s="71">
        <f>Submetering!P22</f>
        <v>790</v>
      </c>
      <c r="H22" s="74">
        <v>6.47</v>
      </c>
      <c r="I22" s="71">
        <f>Submetering!T22-Submetering!T22*15%-Submetering!X22</f>
        <v>54986.663999998535</v>
      </c>
      <c r="J22" s="70">
        <v>0.21</v>
      </c>
      <c r="K22" s="71">
        <f>Submetering!N22-Submetering!O22</f>
        <v>142.28799999999501</v>
      </c>
      <c r="L22" s="74">
        <v>7.84</v>
      </c>
      <c r="M22" s="71">
        <f>Submetering!Y22</f>
        <v>147</v>
      </c>
      <c r="N22" s="104">
        <f>Submetering!Z22</f>
        <v>202</v>
      </c>
    </row>
    <row r="23" spans="1:14" x14ac:dyDescent="0.25">
      <c r="A23" s="110" t="s">
        <v>80</v>
      </c>
      <c r="B23" s="72">
        <f t="shared" si="0"/>
        <v>22</v>
      </c>
      <c r="C23" s="73">
        <v>9</v>
      </c>
      <c r="D23" s="72">
        <v>2022</v>
      </c>
      <c r="E23" s="71">
        <f>Submetering!E23+Submetering!F23+Submetering!G23+Submetering!H23+Submetering!I23+Submetering!J23+Submetering!K23</f>
        <v>34963</v>
      </c>
      <c r="F23" s="74">
        <v>0.2</v>
      </c>
      <c r="G23" s="71">
        <f>Submetering!P23</f>
        <v>786</v>
      </c>
      <c r="H23" s="74">
        <v>6.47</v>
      </c>
      <c r="I23" s="71">
        <f>Submetering!T23-Submetering!T23*15%-Submetering!X23</f>
        <v>60500.630999998539</v>
      </c>
      <c r="J23" s="70">
        <v>0.21</v>
      </c>
      <c r="K23" s="71">
        <f>Submetering!N23-Submetering!O23</f>
        <v>133.85300000000279</v>
      </c>
      <c r="L23" s="74">
        <v>7.84</v>
      </c>
      <c r="M23" s="71">
        <f>Submetering!Y23</f>
        <v>128</v>
      </c>
      <c r="N23" s="104">
        <f>Submetering!Z23</f>
        <v>177</v>
      </c>
    </row>
    <row r="24" spans="1:14" x14ac:dyDescent="0.25">
      <c r="A24" s="110" t="s">
        <v>80</v>
      </c>
      <c r="B24" s="72">
        <f t="shared" si="0"/>
        <v>23</v>
      </c>
      <c r="C24" s="73">
        <v>9</v>
      </c>
      <c r="D24" s="72">
        <v>2022</v>
      </c>
      <c r="E24" s="71">
        <f>Submetering!E24+Submetering!F24+Submetering!G24+Submetering!H24+Submetering!I24+Submetering!J24+Submetering!K24</f>
        <v>34617</v>
      </c>
      <c r="F24" s="74">
        <v>0.2</v>
      </c>
      <c r="G24" s="71">
        <f>Submetering!P24</f>
        <v>833</v>
      </c>
      <c r="H24" s="74">
        <v>6.47</v>
      </c>
      <c r="I24" s="71">
        <f>Submetering!T24-Submetering!T24*15%-Submetering!X24</f>
        <v>62571.73079999855</v>
      </c>
      <c r="J24" s="70">
        <v>0.21</v>
      </c>
      <c r="K24" s="71">
        <f>Submetering!N24-Submetering!O24</f>
        <v>145.55199999999513</v>
      </c>
      <c r="L24" s="74">
        <v>7.84</v>
      </c>
      <c r="M24" s="71">
        <f>Submetering!Y24</f>
        <v>79</v>
      </c>
      <c r="N24" s="104">
        <f>Submetering!Z24</f>
        <v>131</v>
      </c>
    </row>
    <row r="25" spans="1:14" x14ac:dyDescent="0.25">
      <c r="A25" s="110" t="s">
        <v>80</v>
      </c>
      <c r="B25" s="72">
        <f t="shared" si="0"/>
        <v>24</v>
      </c>
      <c r="C25" s="73">
        <v>9</v>
      </c>
      <c r="D25" s="72">
        <v>2022</v>
      </c>
      <c r="E25" s="71">
        <f>Submetering!E25+Submetering!F25+Submetering!G25+Submetering!H25+Submetering!I25+Submetering!J25+Submetering!K25</f>
        <v>34069</v>
      </c>
      <c r="F25" s="74">
        <v>0.2</v>
      </c>
      <c r="G25" s="71">
        <f>Submetering!P25</f>
        <v>761</v>
      </c>
      <c r="H25" s="74">
        <v>6.47</v>
      </c>
      <c r="I25" s="71">
        <f>Submetering!T25-Submetering!T25*15%-Submetering!X25</f>
        <v>68099.305600004373</v>
      </c>
      <c r="J25" s="70">
        <v>0.21</v>
      </c>
      <c r="K25" s="71">
        <f>Submetering!N25-Submetering!O25</f>
        <v>105.07100000000719</v>
      </c>
      <c r="L25" s="74">
        <v>7.84</v>
      </c>
      <c r="M25" s="71">
        <f>Submetering!Y25</f>
        <v>55</v>
      </c>
      <c r="N25" s="104">
        <f>Submetering!Z25</f>
        <v>102</v>
      </c>
    </row>
    <row r="26" spans="1:14" x14ac:dyDescent="0.25">
      <c r="A26" s="110" t="s">
        <v>80</v>
      </c>
      <c r="B26" s="72">
        <f>B25+1</f>
        <v>25</v>
      </c>
      <c r="C26" s="73">
        <v>9</v>
      </c>
      <c r="D26" s="72">
        <v>2022</v>
      </c>
      <c r="E26" s="71">
        <f>Submetering!E26+Submetering!F26+Submetering!G26+Submetering!H26+Submetering!I26+Submetering!J26+Submetering!K26</f>
        <v>33069</v>
      </c>
      <c r="F26" s="74">
        <v>0.2</v>
      </c>
      <c r="G26" s="71">
        <f>Submetering!P26</f>
        <v>715</v>
      </c>
      <c r="H26" s="74">
        <v>6.47</v>
      </c>
      <c r="I26" s="71">
        <f>Submetering!T26-Submetering!T26*15%-Submetering!X26</f>
        <v>68111.968599998552</v>
      </c>
      <c r="J26" s="70">
        <v>0.21</v>
      </c>
      <c r="K26" s="71">
        <f>Submetering!N26-Submetering!O26</f>
        <v>94.876999999996769</v>
      </c>
      <c r="L26" s="74">
        <v>7.84</v>
      </c>
      <c r="M26" s="71">
        <f>Submetering!Y26</f>
        <v>74</v>
      </c>
      <c r="N26" s="104">
        <f>Submetering!Z26</f>
        <v>101</v>
      </c>
    </row>
    <row r="27" spans="1:14" x14ac:dyDescent="0.25">
      <c r="A27" s="110" t="s">
        <v>80</v>
      </c>
      <c r="B27" s="72">
        <f t="shared" si="0"/>
        <v>26</v>
      </c>
      <c r="C27" s="73">
        <v>9</v>
      </c>
      <c r="D27" s="72">
        <v>2022</v>
      </c>
      <c r="E27" s="71">
        <f>Submetering!E27+Submetering!F27+Submetering!G27+Submetering!H27+Submetering!I27+Submetering!J27+Submetering!K27</f>
        <v>33775</v>
      </c>
      <c r="F27" s="74">
        <v>0.2</v>
      </c>
      <c r="G27" s="71">
        <f>Submetering!P27</f>
        <v>714</v>
      </c>
      <c r="H27" s="74">
        <v>6.47</v>
      </c>
      <c r="I27" s="71">
        <f>Submetering!T27-Submetering!T27*15%-Submetering!X27</f>
        <v>66489.00459999709</v>
      </c>
      <c r="J27" s="70">
        <v>0.21</v>
      </c>
      <c r="K27" s="71">
        <f>Submetering!N27-Submetering!O27</f>
        <v>97.564999999997781</v>
      </c>
      <c r="L27" s="74">
        <v>7.84</v>
      </c>
      <c r="M27" s="71">
        <f>Submetering!Y27</f>
        <v>123</v>
      </c>
      <c r="N27" s="104">
        <f>Submetering!Z27</f>
        <v>146</v>
      </c>
    </row>
    <row r="28" spans="1:14" x14ac:dyDescent="0.25">
      <c r="A28" s="110" t="s">
        <v>80</v>
      </c>
      <c r="B28" s="72">
        <f t="shared" si="0"/>
        <v>27</v>
      </c>
      <c r="C28" s="73">
        <v>9</v>
      </c>
      <c r="D28" s="72">
        <v>2022</v>
      </c>
      <c r="E28" s="71">
        <f>Submetering!E28+Submetering!F28+Submetering!G28+Submetering!H28+Submetering!I28+Submetering!J28+Submetering!K28</f>
        <v>34279</v>
      </c>
      <c r="F28" s="74">
        <v>0.2</v>
      </c>
      <c r="G28" s="71">
        <f>Submetering!P28</f>
        <v>780</v>
      </c>
      <c r="H28" s="74">
        <v>6.47</v>
      </c>
      <c r="I28" s="71">
        <f>Submetering!T28-Submetering!T28*15%-Submetering!X28</f>
        <v>59025.021999998557</v>
      </c>
      <c r="J28" s="70">
        <v>0.21</v>
      </c>
      <c r="K28" s="71">
        <f>Submetering!N28-Submetering!O28</f>
        <v>106.1810000000014</v>
      </c>
      <c r="L28" s="74">
        <v>7.84</v>
      </c>
      <c r="M28" s="71">
        <f>Submetering!Y28</f>
        <v>151</v>
      </c>
      <c r="N28" s="104">
        <f>Submetering!Z28</f>
        <v>187</v>
      </c>
    </row>
    <row r="29" spans="1:14" x14ac:dyDescent="0.25">
      <c r="A29" s="110" t="s">
        <v>80</v>
      </c>
      <c r="B29" s="72">
        <f t="shared" si="0"/>
        <v>28</v>
      </c>
      <c r="C29" s="73">
        <v>9</v>
      </c>
      <c r="D29" s="72">
        <v>2022</v>
      </c>
      <c r="E29" s="71">
        <f>Submetering!E29+Submetering!F29+Submetering!G29+Submetering!H29+Submetering!I29+Submetering!J29+Submetering!K29</f>
        <v>34333</v>
      </c>
      <c r="F29" s="74">
        <v>0.2</v>
      </c>
      <c r="G29" s="71">
        <f>Submetering!P29</f>
        <v>830</v>
      </c>
      <c r="H29" s="74">
        <v>6.47</v>
      </c>
      <c r="I29" s="71">
        <f>Submetering!T29-Submetering!T29*15%-Submetering!X29</f>
        <v>53851.282999999996</v>
      </c>
      <c r="J29" s="70">
        <v>0.21</v>
      </c>
      <c r="K29" s="71">
        <f>Submetering!N29-Submetering!O29</f>
        <v>104.27399999999943</v>
      </c>
      <c r="L29" s="74">
        <v>7.84</v>
      </c>
      <c r="M29" s="71">
        <f>Submetering!Y29</f>
        <v>133</v>
      </c>
      <c r="N29" s="104">
        <f>Submetering!Z29</f>
        <v>183</v>
      </c>
    </row>
    <row r="30" spans="1:14" x14ac:dyDescent="0.25">
      <c r="A30" s="110" t="s">
        <v>80</v>
      </c>
      <c r="B30" s="72">
        <f t="shared" si="0"/>
        <v>29</v>
      </c>
      <c r="C30" s="73">
        <v>9</v>
      </c>
      <c r="D30" s="72">
        <v>2022</v>
      </c>
      <c r="E30" s="71">
        <f>Submetering!E30+Submetering!F30+Submetering!G30+Submetering!H30+Submetering!I30+Submetering!J30+Submetering!K30</f>
        <v>35146</v>
      </c>
      <c r="F30" s="74">
        <v>0.2</v>
      </c>
      <c r="G30" s="71">
        <f>Submetering!P30</f>
        <v>770</v>
      </c>
      <c r="H30" s="74">
        <v>6.47</v>
      </c>
      <c r="I30" s="71">
        <f>Submetering!T30-Submetering!T30*15%-Submetering!X30</f>
        <v>52111.013999999996</v>
      </c>
      <c r="J30" s="70">
        <v>0.21</v>
      </c>
      <c r="K30" s="71">
        <f>Submetering!N30-Submetering!O30</f>
        <v>121.83799999999974</v>
      </c>
      <c r="L30" s="74">
        <v>7.84</v>
      </c>
      <c r="M30" s="71">
        <f>Submetering!Y30</f>
        <v>126</v>
      </c>
      <c r="N30" s="104">
        <f>Submetering!Z30</f>
        <v>179</v>
      </c>
    </row>
    <row r="31" spans="1:14" x14ac:dyDescent="0.25">
      <c r="A31" s="110" t="s">
        <v>80</v>
      </c>
      <c r="B31" s="72">
        <f t="shared" si="0"/>
        <v>30</v>
      </c>
      <c r="C31" s="73">
        <v>9</v>
      </c>
      <c r="D31" s="72">
        <v>2022</v>
      </c>
      <c r="E31" s="71">
        <f>Submetering!E31+Submetering!F31+Submetering!G31+Submetering!H31+Submetering!I31+Submetering!J31+Submetering!K31</f>
        <v>35502</v>
      </c>
      <c r="F31" s="74">
        <v>0.2</v>
      </c>
      <c r="G31" s="71">
        <f>Submetering!P31</f>
        <v>840</v>
      </c>
      <c r="H31" s="74">
        <v>6.47</v>
      </c>
      <c r="I31" s="71">
        <f>Submetering!T31-Submetering!T31*15%-Submetering!X31</f>
        <v>56463.750800001464</v>
      </c>
      <c r="J31" s="70">
        <v>0.21</v>
      </c>
      <c r="K31" s="71">
        <f>Submetering!N31-Submetering!O31</f>
        <v>118.3779999999997</v>
      </c>
      <c r="L31" s="74">
        <v>7.84</v>
      </c>
      <c r="M31" s="71">
        <f>Submetering!Y31</f>
        <v>118</v>
      </c>
      <c r="N31" s="104">
        <f>Submetering!Z31</f>
        <v>183</v>
      </c>
    </row>
    <row r="32" spans="1:14" x14ac:dyDescent="0.25">
      <c r="A32" s="110" t="s">
        <v>80</v>
      </c>
      <c r="B32" s="72"/>
      <c r="C32" s="73"/>
      <c r="D32" s="72">
        <v>2022</v>
      </c>
      <c r="E32" s="71">
        <f>Submetering!E32+Submetering!F32+Submetering!G32+Submetering!H32+Submetering!I32+Submetering!J32+Submetering!K32</f>
        <v>0</v>
      </c>
      <c r="F32" s="74">
        <v>0.2</v>
      </c>
      <c r="G32" s="71" t="str">
        <f>Submetering!P32</f>
        <v>0</v>
      </c>
      <c r="H32" s="74">
        <v>6.47</v>
      </c>
      <c r="I32" s="71">
        <f>Submetering!T32-Submetering!T32*15%-Submetering!X32</f>
        <v>0</v>
      </c>
      <c r="J32" s="70">
        <v>0.21</v>
      </c>
      <c r="K32" s="71">
        <f>Submetering!N32-Submetering!O32</f>
        <v>0</v>
      </c>
      <c r="L32" s="74">
        <v>7.84</v>
      </c>
      <c r="M32" s="71">
        <f>Submetering!Y32</f>
        <v>0</v>
      </c>
      <c r="N32" s="104">
        <f>Submetering!Z32</f>
        <v>0</v>
      </c>
    </row>
    <row r="33" spans="5:14" x14ac:dyDescent="0.25">
      <c r="E33" s="4">
        <f>SUM(E2:E32)</f>
        <v>1011274</v>
      </c>
      <c r="G33" s="4">
        <f>SUM(G2:G32)</f>
        <v>23255</v>
      </c>
      <c r="I33" s="4">
        <f>SUM(I2:I32)</f>
        <v>1827022.0299999982</v>
      </c>
      <c r="K33" s="4">
        <f>SUM(K2:K32)</f>
        <v>3520.7169999999996</v>
      </c>
      <c r="M33" s="4">
        <f>SUM(M2:M32)</f>
        <v>3073</v>
      </c>
      <c r="N33" s="4">
        <f>SUM(N2:N32)</f>
        <v>4221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 sqref="Y2:Y3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9</v>
      </c>
      <c r="D2" s="99">
        <v>2022</v>
      </c>
      <c r="E2" s="101">
        <f>'FS-AD Daily '!B6</f>
        <v>5626</v>
      </c>
      <c r="F2" s="101">
        <f>'FS-AD Daily '!C6</f>
        <v>3965</v>
      </c>
      <c r="G2" s="101">
        <f>'FS-AD Daily '!D6</f>
        <v>840</v>
      </c>
      <c r="H2" s="101">
        <f>'FS-AD Daily '!E6</f>
        <v>6353</v>
      </c>
      <c r="I2" s="101">
        <f>'FS-AD Daily '!F6</f>
        <v>6147</v>
      </c>
      <c r="J2" s="101">
        <f>'FS-AD Daily '!G6</f>
        <v>2634</v>
      </c>
      <c r="K2" s="101">
        <f>'FS-AD Daily '!H6</f>
        <v>6318</v>
      </c>
      <c r="L2" s="101">
        <f>'FS-AD Daily '!I6</f>
        <v>2424</v>
      </c>
      <c r="M2" s="101">
        <f>'FS-AD Daily '!J6</f>
        <v>6623</v>
      </c>
      <c r="N2" s="101">
        <f>'FS-AD Daily '!T6</f>
        <v>206.76599999999598</v>
      </c>
      <c r="O2" s="101">
        <f>'FS-AD Daily '!R6</f>
        <v>71.314999999997781</v>
      </c>
      <c r="P2" s="101">
        <f>'FS-AD Daily '!Z6</f>
        <v>776</v>
      </c>
      <c r="Q2" s="101">
        <f>'FS-AD Daily '!V6</f>
        <v>245.30000000004657</v>
      </c>
      <c r="R2" s="101">
        <f>'FS-AD Daily '!W6</f>
        <v>200.68000000002212</v>
      </c>
      <c r="S2" s="101">
        <f>P2-Q2-R2</f>
        <v>330.01999999993131</v>
      </c>
      <c r="T2" s="101">
        <f>'FS-AD Daily '!AD6*3.516</f>
        <v>107860.33199999999</v>
      </c>
      <c r="U2" s="101">
        <f>('FS-AD Daily '!AF6)*1000</f>
        <v>57500</v>
      </c>
      <c r="V2" s="101">
        <f>('FS-AD Daily '!AG6)*1000</f>
        <v>0</v>
      </c>
      <c r="W2" s="101">
        <f>'FS-AD Daily '!AH6*1000</f>
        <v>16500</v>
      </c>
      <c r="X2" s="101">
        <f>('FS-AD Daily '!AK6)*1000</f>
        <v>27400.000000001455</v>
      </c>
      <c r="Y2" s="101">
        <v>56</v>
      </c>
      <c r="Z2" s="102">
        <v>91</v>
      </c>
    </row>
    <row r="3" spans="1:26" x14ac:dyDescent="0.25">
      <c r="A3" s="103" t="s">
        <v>80</v>
      </c>
      <c r="B3" s="69">
        <f>B2+1</f>
        <v>2</v>
      </c>
      <c r="C3" s="70">
        <v>9</v>
      </c>
      <c r="D3" s="69">
        <v>2022</v>
      </c>
      <c r="E3" s="71">
        <f>'FS-AD Daily '!B7</f>
        <v>5504</v>
      </c>
      <c r="F3" s="71">
        <f>'FS-AD Daily '!C7</f>
        <v>3996</v>
      </c>
      <c r="G3" s="71">
        <f>'FS-AD Daily '!D7</f>
        <v>900</v>
      </c>
      <c r="H3" s="71">
        <f>'FS-AD Daily '!E7</f>
        <v>6315</v>
      </c>
      <c r="I3" s="71">
        <f>'FS-AD Daily '!F7</f>
        <v>6216</v>
      </c>
      <c r="J3" s="71">
        <f>'FS-AD Daily '!G7</f>
        <v>2651</v>
      </c>
      <c r="K3" s="71">
        <f>'FS-AD Daily '!H7</f>
        <v>6291</v>
      </c>
      <c r="L3" s="71">
        <f>'FS-AD Daily '!I7</f>
        <v>2460</v>
      </c>
      <c r="M3" s="71">
        <f>'FS-AD Daily '!J7</f>
        <v>6854</v>
      </c>
      <c r="N3" s="71">
        <f>'FS-AD Daily '!T7</f>
        <v>182.84800000000541</v>
      </c>
      <c r="O3" s="71">
        <f>'FS-AD Daily '!R7</f>
        <v>76.09400000000096</v>
      </c>
      <c r="P3" s="71">
        <f>'FS-AD Daily '!Z7</f>
        <v>750</v>
      </c>
      <c r="Q3" s="71">
        <f>'FS-AD Daily '!V7</f>
        <v>238.59999999997672</v>
      </c>
      <c r="R3" s="71">
        <f>'FS-AD Daily '!W7</f>
        <v>179.52999999999884</v>
      </c>
      <c r="S3" s="71">
        <f t="shared" ref="S3:S30" si="0">P3-Q3-R3</f>
        <v>331.87000000002445</v>
      </c>
      <c r="T3" s="71">
        <f>'FS-AD Daily '!AD7*3.516</f>
        <v>106485.576</v>
      </c>
      <c r="U3" s="71">
        <f>('FS-AD Daily '!AF7)*1000</f>
        <v>55899.999999994179</v>
      </c>
      <c r="V3" s="71">
        <f>('FS-AD Daily '!AG7)*1000</f>
        <v>0</v>
      </c>
      <c r="W3" s="71">
        <f>'FS-AD Daily '!AH7*1000</f>
        <v>16099.999999998545</v>
      </c>
      <c r="X3" s="71">
        <f>('FS-AD Daily '!AK7)*1000</f>
        <v>27699.99999999709</v>
      </c>
      <c r="Y3" s="71">
        <v>47</v>
      </c>
      <c r="Z3" s="104">
        <v>88</v>
      </c>
    </row>
    <row r="4" spans="1:26" x14ac:dyDescent="0.25">
      <c r="A4" s="103" t="s">
        <v>80</v>
      </c>
      <c r="B4" s="69">
        <f t="shared" ref="B4:B31" si="1">B3+1</f>
        <v>3</v>
      </c>
      <c r="C4" s="70">
        <v>9</v>
      </c>
      <c r="D4" s="69">
        <v>2022</v>
      </c>
      <c r="E4" s="71">
        <f>'FS-AD Daily '!B8</f>
        <v>5421</v>
      </c>
      <c r="F4" s="71">
        <f>'FS-AD Daily '!C8</f>
        <v>3777</v>
      </c>
      <c r="G4" s="71">
        <f>'FS-AD Daily '!D8</f>
        <v>852</v>
      </c>
      <c r="H4" s="71">
        <f>'FS-AD Daily '!E8</f>
        <v>6554</v>
      </c>
      <c r="I4" s="71">
        <f>'FS-AD Daily '!F8</f>
        <v>6341</v>
      </c>
      <c r="J4" s="71">
        <f>'FS-AD Daily '!G8</f>
        <v>2764</v>
      </c>
      <c r="K4" s="71">
        <f>'FS-AD Daily '!H8</f>
        <v>6342</v>
      </c>
      <c r="L4" s="71">
        <f>'FS-AD Daily '!I8</f>
        <v>2374</v>
      </c>
      <c r="M4" s="71">
        <f>'FS-AD Daily '!J8</f>
        <v>6998</v>
      </c>
      <c r="N4" s="71">
        <f>'FS-AD Daily '!T8</f>
        <v>176.4049999999952</v>
      </c>
      <c r="O4" s="71">
        <f>'FS-AD Daily '!R8</f>
        <v>84.830999999998312</v>
      </c>
      <c r="P4" s="71">
        <f>'FS-AD Daily '!Z8</f>
        <v>794</v>
      </c>
      <c r="Q4" s="71">
        <f>'FS-AD Daily '!V8</f>
        <v>237</v>
      </c>
      <c r="R4" s="71">
        <f>'FS-AD Daily '!W8</f>
        <v>202.85999999998603</v>
      </c>
      <c r="S4" s="71">
        <f t="shared" si="0"/>
        <v>354.14000000001397</v>
      </c>
      <c r="T4" s="71">
        <f>'FS-AD Daily '!AD8*3.516</f>
        <v>105536.25599999999</v>
      </c>
      <c r="U4" s="71">
        <f>('FS-AD Daily '!AF8)*1000</f>
        <v>55400.000000008731</v>
      </c>
      <c r="V4" s="71">
        <f>('FS-AD Daily '!AG8)*1000</f>
        <v>0</v>
      </c>
      <c r="W4" s="71">
        <f>'FS-AD Daily '!AH8*1000</f>
        <v>16100.000000005821</v>
      </c>
      <c r="X4" s="71">
        <f>('FS-AD Daily '!AK8)*1000</f>
        <v>27500</v>
      </c>
      <c r="Y4" s="71">
        <v>47</v>
      </c>
      <c r="Z4" s="104">
        <v>84</v>
      </c>
    </row>
    <row r="5" spans="1:26" x14ac:dyDescent="0.25">
      <c r="A5" s="103" t="s">
        <v>80</v>
      </c>
      <c r="B5" s="69">
        <f t="shared" si="1"/>
        <v>4</v>
      </c>
      <c r="C5" s="70">
        <v>9</v>
      </c>
      <c r="D5" s="69">
        <v>2022</v>
      </c>
      <c r="E5" s="71">
        <f>'FS-AD Daily '!B9</f>
        <v>5505</v>
      </c>
      <c r="F5" s="71">
        <f>'FS-AD Daily '!C9</f>
        <v>3729</v>
      </c>
      <c r="G5" s="71">
        <f>'FS-AD Daily '!D9</f>
        <v>930</v>
      </c>
      <c r="H5" s="71">
        <f>'FS-AD Daily '!E9</f>
        <v>6794</v>
      </c>
      <c r="I5" s="71">
        <f>'FS-AD Daily '!F9</f>
        <v>6035</v>
      </c>
      <c r="J5" s="71">
        <f>'FS-AD Daily '!G9</f>
        <v>2875</v>
      </c>
      <c r="K5" s="71">
        <f>'FS-AD Daily '!H9</f>
        <v>6291</v>
      </c>
      <c r="L5" s="71">
        <f>'FS-AD Daily '!I9</f>
        <v>2428</v>
      </c>
      <c r="M5" s="71">
        <f>'FS-AD Daily '!J9</f>
        <v>7153</v>
      </c>
      <c r="N5" s="71">
        <f>'FS-AD Daily '!T9</f>
        <v>195.66600000000108</v>
      </c>
      <c r="O5" s="71">
        <f>'FS-AD Daily '!R9</f>
        <v>70.932999999999083</v>
      </c>
      <c r="P5" s="71">
        <f>'FS-AD Daily '!Z9</f>
        <v>706</v>
      </c>
      <c r="Q5" s="71">
        <f>'FS-AD Daily '!V9</f>
        <v>212.20000000001164</v>
      </c>
      <c r="R5" s="71">
        <f>'FS-AD Daily '!W9</f>
        <v>206.01000000000931</v>
      </c>
      <c r="S5" s="71">
        <f t="shared" si="0"/>
        <v>287.78999999997905</v>
      </c>
      <c r="T5" s="71">
        <f>'FS-AD Daily '!AD9*3.516</f>
        <v>99151.2</v>
      </c>
      <c r="U5" s="71">
        <f>('FS-AD Daily '!AF9)*1000</f>
        <v>56399.999999994179</v>
      </c>
      <c r="V5" s="71">
        <f>('FS-AD Daily '!AG9)*1000</f>
        <v>0</v>
      </c>
      <c r="W5" s="71">
        <f>'FS-AD Daily '!AH9*1000</f>
        <v>15599.999999998545</v>
      </c>
      <c r="X5" s="71">
        <f>('FS-AD Daily '!AK9)*1000</f>
        <v>27000</v>
      </c>
      <c r="Y5" s="71">
        <v>71</v>
      </c>
      <c r="Z5" s="104">
        <v>107</v>
      </c>
    </row>
    <row r="6" spans="1:26" x14ac:dyDescent="0.25">
      <c r="A6" s="103" t="s">
        <v>80</v>
      </c>
      <c r="B6" s="69">
        <f t="shared" si="1"/>
        <v>5</v>
      </c>
      <c r="C6" s="70">
        <v>9</v>
      </c>
      <c r="D6" s="69">
        <v>2022</v>
      </c>
      <c r="E6" s="71">
        <f>'FS-AD Daily '!B10</f>
        <v>5791</v>
      </c>
      <c r="F6" s="71">
        <f>'FS-AD Daily '!C10</f>
        <v>4266</v>
      </c>
      <c r="G6" s="71">
        <f>'FS-AD Daily '!D10</f>
        <v>890</v>
      </c>
      <c r="H6" s="71">
        <f>'FS-AD Daily '!E10</f>
        <v>6558</v>
      </c>
      <c r="I6" s="71">
        <f>'FS-AD Daily '!F10</f>
        <v>6183</v>
      </c>
      <c r="J6" s="71">
        <f>'FS-AD Daily '!G10</f>
        <v>2985</v>
      </c>
      <c r="K6" s="71">
        <f>'FS-AD Daily '!H10</f>
        <v>6178</v>
      </c>
      <c r="L6" s="71">
        <f>'FS-AD Daily '!I10</f>
        <v>2488</v>
      </c>
      <c r="M6" s="71">
        <f>'FS-AD Daily '!J10</f>
        <v>7031</v>
      </c>
      <c r="N6" s="71">
        <f>'FS-AD Daily '!T10</f>
        <v>182.23600000000079</v>
      </c>
      <c r="O6" s="71">
        <f>'FS-AD Daily '!R10</f>
        <v>68.055000000001201</v>
      </c>
      <c r="P6" s="71">
        <f>'FS-AD Daily '!Z10</f>
        <v>753</v>
      </c>
      <c r="Q6" s="71">
        <f>'FS-AD Daily '!V10</f>
        <v>219.70000000001164</v>
      </c>
      <c r="R6" s="71">
        <f>'FS-AD Daily '!W10</f>
        <v>190.04000000000815</v>
      </c>
      <c r="S6" s="71">
        <f t="shared" si="0"/>
        <v>343.25999999998021</v>
      </c>
      <c r="T6" s="71">
        <f>'FS-AD Daily '!AD10*3.516</f>
        <v>101520.984</v>
      </c>
      <c r="U6" s="71">
        <f>('FS-AD Daily '!AF10)*1000</f>
        <v>46500</v>
      </c>
      <c r="V6" s="71">
        <f>('FS-AD Daily '!AG10)*1000</f>
        <v>0</v>
      </c>
      <c r="W6" s="71">
        <f>'FS-AD Daily '!AH10*1000</f>
        <v>16299.999999995634</v>
      </c>
      <c r="X6" s="71">
        <f>('FS-AD Daily '!AK10)*1000</f>
        <v>29200.000000004366</v>
      </c>
      <c r="Y6" s="71">
        <v>84</v>
      </c>
      <c r="Z6" s="104">
        <v>124</v>
      </c>
    </row>
    <row r="7" spans="1:26" x14ac:dyDescent="0.25">
      <c r="A7" s="103" t="s">
        <v>80</v>
      </c>
      <c r="B7" s="69">
        <f t="shared" si="1"/>
        <v>6</v>
      </c>
      <c r="C7" s="70">
        <v>9</v>
      </c>
      <c r="D7" s="69">
        <v>2022</v>
      </c>
      <c r="E7" s="71">
        <f>'FS-AD Daily '!B11</f>
        <v>5942</v>
      </c>
      <c r="F7" s="71">
        <f>'FS-AD Daily '!C11</f>
        <v>4107</v>
      </c>
      <c r="G7" s="71">
        <f>'FS-AD Daily '!D11</f>
        <v>937</v>
      </c>
      <c r="H7" s="71">
        <f>'FS-AD Daily '!E11</f>
        <v>6696</v>
      </c>
      <c r="I7" s="71">
        <f>'FS-AD Daily '!F11</f>
        <v>6181</v>
      </c>
      <c r="J7" s="71">
        <f>'FS-AD Daily '!G11</f>
        <v>2893</v>
      </c>
      <c r="K7" s="71">
        <f>'FS-AD Daily '!H11</f>
        <v>6219</v>
      </c>
      <c r="L7" s="71">
        <f>'FS-AD Daily '!I11</f>
        <v>2519</v>
      </c>
      <c r="M7" s="71">
        <f>'FS-AD Daily '!J11</f>
        <v>7285</v>
      </c>
      <c r="N7" s="71">
        <f>'FS-AD Daily '!T11</f>
        <v>209.89300000000003</v>
      </c>
      <c r="O7" s="71">
        <f>'FS-AD Daily '!R11</f>
        <v>73.141999999999825</v>
      </c>
      <c r="P7" s="71">
        <f>'FS-AD Daily '!Z11</f>
        <v>733</v>
      </c>
      <c r="Q7" s="71">
        <f>'FS-AD Daily '!V11</f>
        <v>239</v>
      </c>
      <c r="R7" s="71">
        <f>'FS-AD Daily '!W11</f>
        <v>198.04999999998836</v>
      </c>
      <c r="S7" s="71">
        <f t="shared" si="0"/>
        <v>295.95000000001164</v>
      </c>
      <c r="T7" s="71">
        <f>'FS-AD Daily '!AD11*3.516</f>
        <v>97846.763999999996</v>
      </c>
      <c r="U7" s="71">
        <f>('FS-AD Daily '!AF11)*1000</f>
        <v>47199.99999999709</v>
      </c>
      <c r="V7" s="71">
        <f>('FS-AD Daily '!AG11)*1000</f>
        <v>0</v>
      </c>
      <c r="W7" s="71">
        <f>'FS-AD Daily '!AH11*1000</f>
        <v>16200.000000004366</v>
      </c>
      <c r="X7" s="71">
        <f>('FS-AD Daily '!AK11)*1000</f>
        <v>30500</v>
      </c>
      <c r="Y7" s="71">
        <v>96</v>
      </c>
      <c r="Z7" s="104">
        <v>131</v>
      </c>
    </row>
    <row r="8" spans="1:26" x14ac:dyDescent="0.25">
      <c r="A8" s="103" t="s">
        <v>80</v>
      </c>
      <c r="B8" s="69">
        <f t="shared" si="1"/>
        <v>7</v>
      </c>
      <c r="C8" s="70">
        <v>9</v>
      </c>
      <c r="D8" s="69">
        <v>2022</v>
      </c>
      <c r="E8" s="71">
        <f>'FS-AD Daily '!B12</f>
        <v>5892</v>
      </c>
      <c r="F8" s="71">
        <f>'FS-AD Daily '!C12</f>
        <v>4477</v>
      </c>
      <c r="G8" s="71">
        <f>'FS-AD Daily '!D12</f>
        <v>921</v>
      </c>
      <c r="H8" s="71">
        <f>'FS-AD Daily '!E12</f>
        <v>6656</v>
      </c>
      <c r="I8" s="71">
        <f>'FS-AD Daily '!F12</f>
        <v>6218</v>
      </c>
      <c r="J8" s="71">
        <f>'FS-AD Daily '!G12</f>
        <v>2958</v>
      </c>
      <c r="K8" s="71">
        <f>'FS-AD Daily '!H12</f>
        <v>6111</v>
      </c>
      <c r="L8" s="71">
        <f>'FS-AD Daily '!I12</f>
        <v>2557</v>
      </c>
      <c r="M8" s="71">
        <f>'FS-AD Daily '!J12</f>
        <v>7206</v>
      </c>
      <c r="N8" s="71">
        <f>'FS-AD Daily '!T12</f>
        <v>213.21400000000358</v>
      </c>
      <c r="O8" s="71">
        <f>'FS-AD Daily '!R12</f>
        <v>74.570999999999913</v>
      </c>
      <c r="P8" s="71">
        <f>'FS-AD Daily '!Z12</f>
        <v>719</v>
      </c>
      <c r="Q8" s="71">
        <f>'FS-AD Daily '!V12</f>
        <v>219</v>
      </c>
      <c r="R8" s="71">
        <f>'FS-AD Daily '!W12</f>
        <v>199.04999999998836</v>
      </c>
      <c r="S8" s="71">
        <f t="shared" si="0"/>
        <v>300.95000000001164</v>
      </c>
      <c r="T8" s="71">
        <f>'FS-AD Daily '!AD12*3.516</f>
        <v>100543.53600000001</v>
      </c>
      <c r="U8" s="71">
        <f>('FS-AD Daily '!AF12)*1000</f>
        <v>49400.000000008731</v>
      </c>
      <c r="V8" s="71">
        <f>('FS-AD Daily '!AG12)*1000</f>
        <v>0</v>
      </c>
      <c r="W8" s="71">
        <f>'FS-AD Daily '!AH12*1000</f>
        <v>16500</v>
      </c>
      <c r="X8" s="71">
        <f>('FS-AD Daily '!AK12)*1000</f>
        <v>30500</v>
      </c>
      <c r="Y8" s="71">
        <v>111</v>
      </c>
      <c r="Z8" s="104">
        <v>156</v>
      </c>
    </row>
    <row r="9" spans="1:26" x14ac:dyDescent="0.25">
      <c r="A9" s="103" t="s">
        <v>80</v>
      </c>
      <c r="B9" s="69">
        <f t="shared" si="1"/>
        <v>8</v>
      </c>
      <c r="C9" s="70">
        <v>9</v>
      </c>
      <c r="D9" s="69">
        <v>2022</v>
      </c>
      <c r="E9" s="71">
        <f>'FS-AD Daily '!B13</f>
        <v>6066</v>
      </c>
      <c r="F9" s="71">
        <f>'FS-AD Daily '!C13</f>
        <v>4118</v>
      </c>
      <c r="G9" s="71">
        <f>'FS-AD Daily '!D13</f>
        <v>922</v>
      </c>
      <c r="H9" s="71">
        <f>'FS-AD Daily '!E13</f>
        <v>6868</v>
      </c>
      <c r="I9" s="71">
        <f>'FS-AD Daily '!F13</f>
        <v>6253</v>
      </c>
      <c r="J9" s="71">
        <f>'FS-AD Daily '!G13</f>
        <v>2969</v>
      </c>
      <c r="K9" s="71">
        <f>'FS-AD Daily '!H13</f>
        <v>6088</v>
      </c>
      <c r="L9" s="71">
        <f>'FS-AD Daily '!I13</f>
        <v>2510</v>
      </c>
      <c r="M9" s="71">
        <f>'FS-AD Daily '!J13</f>
        <v>7414</v>
      </c>
      <c r="N9" s="71">
        <f>'FS-AD Daily '!T13</f>
        <v>220.0879999999961</v>
      </c>
      <c r="O9" s="71">
        <f>'FS-AD Daily '!R13</f>
        <v>82.388000000002648</v>
      </c>
      <c r="P9" s="71">
        <f>'FS-AD Daily '!Z13</f>
        <v>772</v>
      </c>
      <c r="Q9" s="71">
        <f>'FS-AD Daily '!V13</f>
        <v>239.89999999996508</v>
      </c>
      <c r="R9" s="71">
        <f>'FS-AD Daily '!W13</f>
        <v>155</v>
      </c>
      <c r="S9" s="71">
        <f t="shared" si="0"/>
        <v>377.10000000003492</v>
      </c>
      <c r="T9" s="71">
        <f>'FS-AD Daily '!AD13*3.516</f>
        <v>101608.88400000001</v>
      </c>
      <c r="U9" s="71">
        <f>('FS-AD Daily '!AF13)*1000</f>
        <v>50399.999999994179</v>
      </c>
      <c r="V9" s="71">
        <f>('FS-AD Daily '!AG13)*1000</f>
        <v>0</v>
      </c>
      <c r="W9" s="71">
        <f>'FS-AD Daily '!AH13*1000</f>
        <v>16500</v>
      </c>
      <c r="X9" s="71">
        <f>('FS-AD Daily '!AK13)*1000</f>
        <v>30899.999999994179</v>
      </c>
      <c r="Y9" s="71">
        <v>90</v>
      </c>
      <c r="Z9" s="104">
        <v>135</v>
      </c>
    </row>
    <row r="10" spans="1:26" x14ac:dyDescent="0.25">
      <c r="A10" s="103" t="s">
        <v>80</v>
      </c>
      <c r="B10" s="69">
        <f t="shared" si="1"/>
        <v>9</v>
      </c>
      <c r="C10" s="70">
        <v>9</v>
      </c>
      <c r="D10" s="69">
        <v>2022</v>
      </c>
      <c r="E10" s="71">
        <f>'FS-AD Daily '!B14</f>
        <v>6107</v>
      </c>
      <c r="F10" s="71">
        <f>'FS-AD Daily '!C14</f>
        <v>4105</v>
      </c>
      <c r="G10" s="71">
        <f>'FS-AD Daily '!D14</f>
        <v>941</v>
      </c>
      <c r="H10" s="71">
        <f>'FS-AD Daily '!E14</f>
        <v>6715</v>
      </c>
      <c r="I10" s="71">
        <f>'FS-AD Daily '!F14</f>
        <v>6377</v>
      </c>
      <c r="J10" s="71">
        <f>'FS-AD Daily '!G14</f>
        <v>2828</v>
      </c>
      <c r="K10" s="71">
        <f>'FS-AD Daily '!H14</f>
        <v>5566</v>
      </c>
      <c r="L10" s="71">
        <f>'FS-AD Daily '!I14</f>
        <v>2503</v>
      </c>
      <c r="M10" s="71">
        <f>'FS-AD Daily '!J14</f>
        <v>7654</v>
      </c>
      <c r="N10" s="71">
        <f>'FS-AD Daily '!T14</f>
        <v>187.05999999999767</v>
      </c>
      <c r="O10" s="71">
        <f>'FS-AD Daily '!R14</f>
        <v>85.840999999997621</v>
      </c>
      <c r="P10" s="71">
        <f>'FS-AD Daily '!Z14</f>
        <v>802</v>
      </c>
      <c r="Q10" s="71">
        <f>'FS-AD Daily '!V14</f>
        <v>229</v>
      </c>
      <c r="R10" s="71">
        <f>'FS-AD Daily '!W14</f>
        <v>204.99000000001979</v>
      </c>
      <c r="S10" s="71">
        <f t="shared" si="0"/>
        <v>368.00999999998021</v>
      </c>
      <c r="T10" s="71">
        <f>'FS-AD Daily '!AD14*3.516</f>
        <v>104231.82</v>
      </c>
      <c r="U10" s="71">
        <f>('FS-AD Daily '!AF14)*1000</f>
        <v>52300.00000000291</v>
      </c>
      <c r="V10" s="71">
        <f>('FS-AD Daily '!AG14)*1000</f>
        <v>0</v>
      </c>
      <c r="W10" s="71">
        <f>'FS-AD Daily '!AH14*1000</f>
        <v>16599.999999998545</v>
      </c>
      <c r="X10" s="71">
        <f>('FS-AD Daily '!AK14)*1000</f>
        <v>31100.000000005821</v>
      </c>
      <c r="Y10" s="71">
        <v>63</v>
      </c>
      <c r="Z10" s="104">
        <v>108</v>
      </c>
    </row>
    <row r="11" spans="1:26" x14ac:dyDescent="0.25">
      <c r="A11" s="103" t="s">
        <v>80</v>
      </c>
      <c r="B11" s="69">
        <f t="shared" si="1"/>
        <v>10</v>
      </c>
      <c r="C11" s="70">
        <v>9</v>
      </c>
      <c r="D11" s="69">
        <v>2022</v>
      </c>
      <c r="E11" s="71">
        <f>'FS-AD Daily '!B15</f>
        <v>5916</v>
      </c>
      <c r="F11" s="71">
        <f>'FS-AD Daily '!C15</f>
        <v>3879</v>
      </c>
      <c r="G11" s="71">
        <f>'FS-AD Daily '!D15</f>
        <v>954</v>
      </c>
      <c r="H11" s="71">
        <f>'FS-AD Daily '!E15</f>
        <v>6695</v>
      </c>
      <c r="I11" s="71">
        <f>'FS-AD Daily '!F15</f>
        <v>6434</v>
      </c>
      <c r="J11" s="71">
        <f>'FS-AD Daily '!G15</f>
        <v>2687</v>
      </c>
      <c r="K11" s="71">
        <f>'FS-AD Daily '!H15</f>
        <v>5660</v>
      </c>
      <c r="L11" s="71">
        <f>'FS-AD Daily '!I15</f>
        <v>2460</v>
      </c>
      <c r="M11" s="71">
        <f>'FS-AD Daily '!J15</f>
        <v>7480</v>
      </c>
      <c r="N11" s="71">
        <f>'FS-AD Daily '!T15</f>
        <v>204.13700000000244</v>
      </c>
      <c r="O11" s="71">
        <f>'FS-AD Daily '!R15</f>
        <v>92.194999999999709</v>
      </c>
      <c r="P11" s="71">
        <f>'FS-AD Daily '!Z15</f>
        <v>810</v>
      </c>
      <c r="Q11" s="71">
        <f>'FS-AD Daily '!V15</f>
        <v>222.60000000003492</v>
      </c>
      <c r="R11" s="71">
        <f>'FS-AD Daily '!W15</f>
        <v>222.17999999999302</v>
      </c>
      <c r="S11" s="71">
        <f t="shared" si="0"/>
        <v>365.21999999997206</v>
      </c>
      <c r="T11" s="71">
        <f>'FS-AD Daily '!AD15*3.516</f>
        <v>111334.14</v>
      </c>
      <c r="U11" s="71">
        <f>('FS-AD Daily '!AF15)*1000</f>
        <v>56899.999999994179</v>
      </c>
      <c r="V11" s="71">
        <f>('FS-AD Daily '!AG15)*1000</f>
        <v>0</v>
      </c>
      <c r="W11" s="71">
        <f>'FS-AD Daily '!AH15*1000</f>
        <v>16599.999999998545</v>
      </c>
      <c r="X11" s="71">
        <f>('FS-AD Daily '!AK15)*1000</f>
        <v>31399.999999994179</v>
      </c>
      <c r="Y11" s="71">
        <v>53</v>
      </c>
      <c r="Z11" s="104">
        <v>94</v>
      </c>
    </row>
    <row r="12" spans="1:26" x14ac:dyDescent="0.25">
      <c r="A12" s="103" t="s">
        <v>80</v>
      </c>
      <c r="B12" s="69">
        <f t="shared" si="1"/>
        <v>11</v>
      </c>
      <c r="C12" s="70">
        <v>9</v>
      </c>
      <c r="D12" s="69">
        <v>2022</v>
      </c>
      <c r="E12" s="71">
        <f>'FS-AD Daily '!B16</f>
        <v>5636</v>
      </c>
      <c r="F12" s="71">
        <f>'FS-AD Daily '!C16</f>
        <v>4031</v>
      </c>
      <c r="G12" s="71">
        <f>'FS-AD Daily '!D16</f>
        <v>947</v>
      </c>
      <c r="H12" s="71">
        <f>'FS-AD Daily '!E16</f>
        <v>6537</v>
      </c>
      <c r="I12" s="71">
        <f>'FS-AD Daily '!F16</f>
        <v>6044</v>
      </c>
      <c r="J12" s="71">
        <f>'FS-AD Daily '!G16</f>
        <v>2747</v>
      </c>
      <c r="K12" s="71">
        <f>'FS-AD Daily '!H16</f>
        <v>5995</v>
      </c>
      <c r="L12" s="71">
        <f>'FS-AD Daily '!I16</f>
        <v>2457</v>
      </c>
      <c r="M12" s="71">
        <f>'FS-AD Daily '!J16</f>
        <v>7539</v>
      </c>
      <c r="N12" s="71">
        <f>'FS-AD Daily '!T16</f>
        <v>169.29899999999907</v>
      </c>
      <c r="O12" s="71">
        <f>'FS-AD Daily '!R16</f>
        <v>75.661000000000058</v>
      </c>
      <c r="P12" s="71">
        <f>'FS-AD Daily '!Z16</f>
        <v>773</v>
      </c>
      <c r="Q12" s="71">
        <f>'FS-AD Daily '!V16</f>
        <v>219.29999999998836</v>
      </c>
      <c r="R12" s="71">
        <f>'FS-AD Daily '!W16</f>
        <v>214.39999999999418</v>
      </c>
      <c r="S12" s="71">
        <f t="shared" si="0"/>
        <v>339.30000000001746</v>
      </c>
      <c r="T12" s="71">
        <f>'FS-AD Daily '!AD16*3.516</f>
        <v>107976.36</v>
      </c>
      <c r="U12" s="71">
        <f>('FS-AD Daily '!AF16)*1000</f>
        <v>53500</v>
      </c>
      <c r="V12" s="71">
        <f>('FS-AD Daily '!AG16)*1000</f>
        <v>0</v>
      </c>
      <c r="W12" s="71">
        <f>'FS-AD Daily '!AH16*1000</f>
        <v>16200.000000004366</v>
      </c>
      <c r="X12" s="71">
        <f>('FS-AD Daily '!AK16)*1000</f>
        <v>31100.000000005821</v>
      </c>
      <c r="Y12" s="71">
        <v>81</v>
      </c>
      <c r="Z12" s="104">
        <v>104</v>
      </c>
    </row>
    <row r="13" spans="1:26" x14ac:dyDescent="0.25">
      <c r="A13" s="103" t="s">
        <v>80</v>
      </c>
      <c r="B13" s="69">
        <f t="shared" si="1"/>
        <v>12</v>
      </c>
      <c r="C13" s="70">
        <v>9</v>
      </c>
      <c r="D13" s="69">
        <v>2022</v>
      </c>
      <c r="E13" s="71">
        <f>'FS-AD Daily '!B17</f>
        <v>5832</v>
      </c>
      <c r="F13" s="71">
        <f>'FS-AD Daily '!C17</f>
        <v>4316</v>
      </c>
      <c r="G13" s="71">
        <f>'FS-AD Daily '!D17</f>
        <v>959</v>
      </c>
      <c r="H13" s="71">
        <f>'FS-AD Daily '!E17</f>
        <v>6710</v>
      </c>
      <c r="I13" s="71">
        <f>'FS-AD Daily '!F17</f>
        <v>6251</v>
      </c>
      <c r="J13" s="71">
        <f>'FS-AD Daily '!G17</f>
        <v>2866</v>
      </c>
      <c r="K13" s="71">
        <f>'FS-AD Daily '!H17</f>
        <v>6111</v>
      </c>
      <c r="L13" s="71">
        <f>'FS-AD Daily '!I17</f>
        <v>2518</v>
      </c>
      <c r="M13" s="71">
        <f>'FS-AD Daily '!J17</f>
        <v>7709</v>
      </c>
      <c r="N13" s="71">
        <f>'FS-AD Daily '!T17</f>
        <v>232.54799999999886</v>
      </c>
      <c r="O13" s="71">
        <f>'FS-AD Daily '!R17</f>
        <v>104.29900000000089</v>
      </c>
      <c r="P13" s="71">
        <f>'FS-AD Daily '!Z17</f>
        <v>773</v>
      </c>
      <c r="Q13" s="71">
        <f>'FS-AD Daily '!V17</f>
        <v>230.5</v>
      </c>
      <c r="R13" s="71">
        <f>'FS-AD Daily '!W17</f>
        <v>208.04000000000815</v>
      </c>
      <c r="S13" s="71">
        <f t="shared" si="0"/>
        <v>334.45999999999185</v>
      </c>
      <c r="T13" s="71">
        <f>'FS-AD Daily '!AD17*3.516</f>
        <v>115507.632</v>
      </c>
      <c r="U13" s="71">
        <f>('FS-AD Daily '!AF17)*1000</f>
        <v>57900.000000008731</v>
      </c>
      <c r="V13" s="71">
        <f>('FS-AD Daily '!AG17)*1000</f>
        <v>0</v>
      </c>
      <c r="W13" s="71">
        <f>'FS-AD Daily '!AH17*1000</f>
        <v>17000</v>
      </c>
      <c r="X13" s="71">
        <f>('FS-AD Daily '!AK17)*1000</f>
        <v>32099.999999998545</v>
      </c>
      <c r="Y13" s="71">
        <v>126</v>
      </c>
      <c r="Z13" s="104">
        <v>139</v>
      </c>
    </row>
    <row r="14" spans="1:26" x14ac:dyDescent="0.25">
      <c r="A14" s="103" t="s">
        <v>80</v>
      </c>
      <c r="B14" s="69">
        <f t="shared" si="1"/>
        <v>13</v>
      </c>
      <c r="C14" s="70">
        <v>9</v>
      </c>
      <c r="D14" s="69">
        <v>2022</v>
      </c>
      <c r="E14" s="71">
        <f>'FS-AD Daily '!B18</f>
        <v>5939</v>
      </c>
      <c r="F14" s="71">
        <f>'FS-AD Daily '!C18</f>
        <v>4481</v>
      </c>
      <c r="G14" s="71">
        <f>'FS-AD Daily '!D18</f>
        <v>955</v>
      </c>
      <c r="H14" s="71">
        <f>'FS-AD Daily '!E18</f>
        <v>6975</v>
      </c>
      <c r="I14" s="71">
        <f>'FS-AD Daily '!F18</f>
        <v>6286</v>
      </c>
      <c r="J14" s="71">
        <f>'FS-AD Daily '!G18</f>
        <v>3017</v>
      </c>
      <c r="K14" s="71">
        <f>'FS-AD Daily '!H18</f>
        <v>5659</v>
      </c>
      <c r="L14" s="71">
        <f>'FS-AD Daily '!I18</f>
        <v>2491</v>
      </c>
      <c r="M14" s="71">
        <f>'FS-AD Daily '!J18</f>
        <v>8037</v>
      </c>
      <c r="N14" s="71">
        <f>'FS-AD Daily '!T18</f>
        <v>254.34700000000521</v>
      </c>
      <c r="O14" s="71">
        <f>'FS-AD Daily '!R18</f>
        <v>140.08700000000226</v>
      </c>
      <c r="P14" s="71">
        <f>'FS-AD Daily '!Z18</f>
        <v>807</v>
      </c>
      <c r="Q14" s="71">
        <f>'FS-AD Daily '!V18</f>
        <v>237.70000000001164</v>
      </c>
      <c r="R14" s="71">
        <f>'FS-AD Daily '!W18</f>
        <v>203.32000000000698</v>
      </c>
      <c r="S14" s="71">
        <f t="shared" si="0"/>
        <v>365.97999999998137</v>
      </c>
      <c r="T14" s="71">
        <f>'FS-AD Daily '!AD18*3.516</f>
        <v>118056.732</v>
      </c>
      <c r="U14" s="71">
        <f>('FS-AD Daily '!AF18)*1000</f>
        <v>59300.00000000291</v>
      </c>
      <c r="V14" s="71">
        <f>('FS-AD Daily '!AG18)*1000</f>
        <v>0</v>
      </c>
      <c r="W14" s="71">
        <f>'FS-AD Daily '!AH18*1000</f>
        <v>18099.999999998545</v>
      </c>
      <c r="X14" s="71">
        <f>('FS-AD Daily '!AK18)*1000</f>
        <v>32599.999999998545</v>
      </c>
      <c r="Y14" s="71">
        <v>121</v>
      </c>
      <c r="Z14" s="104">
        <v>135</v>
      </c>
    </row>
    <row r="15" spans="1:26" x14ac:dyDescent="0.25">
      <c r="A15" s="103" t="s">
        <v>80</v>
      </c>
      <c r="B15" s="69">
        <f t="shared" si="1"/>
        <v>14</v>
      </c>
      <c r="C15" s="70">
        <v>9</v>
      </c>
      <c r="D15" s="69">
        <v>2022</v>
      </c>
      <c r="E15" s="71">
        <f>'FS-AD Daily '!B19</f>
        <v>6184</v>
      </c>
      <c r="F15" s="71">
        <f>'FS-AD Daily '!C19</f>
        <v>5309</v>
      </c>
      <c r="G15" s="71">
        <f>'FS-AD Daily '!D19</f>
        <v>984</v>
      </c>
      <c r="H15" s="71">
        <f>'FS-AD Daily '!E19</f>
        <v>7049</v>
      </c>
      <c r="I15" s="71">
        <f>'FS-AD Daily '!F19</f>
        <v>6396</v>
      </c>
      <c r="J15" s="71">
        <f>'FS-AD Daily '!G19</f>
        <v>3081</v>
      </c>
      <c r="K15" s="71">
        <f>'FS-AD Daily '!H19</f>
        <v>5669</v>
      </c>
      <c r="L15" s="71">
        <f>'FS-AD Daily '!I19</f>
        <v>2487</v>
      </c>
      <c r="M15" s="71">
        <f>'FS-AD Daily '!J19</f>
        <v>7960</v>
      </c>
      <c r="N15" s="71">
        <f>'FS-AD Daily '!T19</f>
        <v>280.5779999999977</v>
      </c>
      <c r="O15" s="71">
        <f>'FS-AD Daily '!R19</f>
        <v>141.16399999999885</v>
      </c>
      <c r="P15" s="71">
        <f>'FS-AD Daily '!Z19</f>
        <v>804</v>
      </c>
      <c r="Q15" s="71">
        <f>'FS-AD Daily '!V19</f>
        <v>243.89999999996508</v>
      </c>
      <c r="R15" s="71">
        <f>'FS-AD Daily '!W19</f>
        <v>203.80999999999767</v>
      </c>
      <c r="S15" s="71">
        <f t="shared" si="0"/>
        <v>356.29000000003725</v>
      </c>
      <c r="T15" s="71">
        <f>'FS-AD Daily '!AD19*3.516</f>
        <v>115957.68000000001</v>
      </c>
      <c r="U15" s="71">
        <f>('FS-AD Daily '!AF19)*1000</f>
        <v>59199.99999999709</v>
      </c>
      <c r="V15" s="71">
        <f>('FS-AD Daily '!AG19)*1000</f>
        <v>0</v>
      </c>
      <c r="W15" s="71">
        <f>'FS-AD Daily '!AH19*1000</f>
        <v>18299.999999995634</v>
      </c>
      <c r="X15" s="71">
        <f>('FS-AD Daily '!AK19)*1000</f>
        <v>31400.000000001455</v>
      </c>
      <c r="Y15" s="71">
        <v>172</v>
      </c>
      <c r="Z15" s="104">
        <v>205</v>
      </c>
    </row>
    <row r="16" spans="1:26" x14ac:dyDescent="0.25">
      <c r="A16" s="103" t="s">
        <v>80</v>
      </c>
      <c r="B16" s="69">
        <f t="shared" si="1"/>
        <v>15</v>
      </c>
      <c r="C16" s="70">
        <v>9</v>
      </c>
      <c r="D16" s="69">
        <v>2022</v>
      </c>
      <c r="E16" s="71">
        <f>'FS-AD Daily '!B20</f>
        <v>6126</v>
      </c>
      <c r="F16" s="71">
        <f>'FS-AD Daily '!C20</f>
        <v>5512</v>
      </c>
      <c r="G16" s="71">
        <f>'FS-AD Daily '!D20</f>
        <v>973</v>
      </c>
      <c r="H16" s="71">
        <f>'FS-AD Daily '!E20</f>
        <v>6752</v>
      </c>
      <c r="I16" s="71">
        <f>'FS-AD Daily '!F20</f>
        <v>6416</v>
      </c>
      <c r="J16" s="71">
        <f>'FS-AD Daily '!G20</f>
        <v>3163</v>
      </c>
      <c r="K16" s="71">
        <f>'FS-AD Daily '!H20</f>
        <v>5927</v>
      </c>
      <c r="L16" s="71">
        <f>'FS-AD Daily '!I20</f>
        <v>2508</v>
      </c>
      <c r="M16" s="71">
        <f>'FS-AD Daily '!J20</f>
        <v>8005</v>
      </c>
      <c r="N16" s="71">
        <f>'FS-AD Daily '!T20</f>
        <v>270.47300000000541</v>
      </c>
      <c r="O16" s="71">
        <f>'FS-AD Daily '!R20</f>
        <v>139.36299999999756</v>
      </c>
      <c r="P16" s="71">
        <f>'FS-AD Daily '!Z20</f>
        <v>778</v>
      </c>
      <c r="Q16" s="71">
        <f>'FS-AD Daily '!V20</f>
        <v>256.5</v>
      </c>
      <c r="R16" s="71">
        <f>'FS-AD Daily '!W20</f>
        <v>205.47000000000116</v>
      </c>
      <c r="S16" s="71">
        <f t="shared" si="0"/>
        <v>316.02999999999884</v>
      </c>
      <c r="T16" s="71">
        <f>'FS-AD Daily '!AD20*3.516</f>
        <v>111858.024</v>
      </c>
      <c r="U16" s="71">
        <f>('FS-AD Daily '!AF20)*1000</f>
        <v>56399.999999994179</v>
      </c>
      <c r="V16" s="71">
        <f>('FS-AD Daily '!AG20)*1000</f>
        <v>0</v>
      </c>
      <c r="W16" s="71">
        <f>'FS-AD Daily '!AH20*1000</f>
        <v>18100.000000005821</v>
      </c>
      <c r="X16" s="71">
        <f>('FS-AD Daily '!AK20)*1000</f>
        <v>30699.99999999709</v>
      </c>
      <c r="Y16" s="71">
        <v>149</v>
      </c>
      <c r="Z16" s="104">
        <v>187</v>
      </c>
    </row>
    <row r="17" spans="1:26" x14ac:dyDescent="0.25">
      <c r="A17" s="103" t="s">
        <v>80</v>
      </c>
      <c r="B17" s="69">
        <f t="shared" si="1"/>
        <v>16</v>
      </c>
      <c r="C17" s="70">
        <v>9</v>
      </c>
      <c r="D17" s="69">
        <v>2022</v>
      </c>
      <c r="E17" s="71">
        <f>'FS-AD Daily '!B21</f>
        <v>6057</v>
      </c>
      <c r="F17" s="71">
        <f>'FS-AD Daily '!C21</f>
        <v>5500</v>
      </c>
      <c r="G17" s="71">
        <f>'FS-AD Daily '!D21</f>
        <v>944</v>
      </c>
      <c r="H17" s="71">
        <f>'FS-AD Daily '!E21</f>
        <v>6811</v>
      </c>
      <c r="I17" s="71">
        <f>'FS-AD Daily '!F21</f>
        <v>6480</v>
      </c>
      <c r="J17" s="71">
        <f>'FS-AD Daily '!G21</f>
        <v>3189</v>
      </c>
      <c r="K17" s="71">
        <f>'FS-AD Daily '!H21</f>
        <v>6385</v>
      </c>
      <c r="L17" s="71">
        <f>'FS-AD Daily '!I21</f>
        <v>2458</v>
      </c>
      <c r="M17" s="71">
        <f>'FS-AD Daily '!J21</f>
        <v>8082</v>
      </c>
      <c r="N17" s="71">
        <f>'FS-AD Daily '!T21</f>
        <v>283.58599999999205</v>
      </c>
      <c r="O17" s="71">
        <f>'FS-AD Daily '!R21</f>
        <v>147.52500000000146</v>
      </c>
      <c r="P17" s="71">
        <f>'FS-AD Daily '!Z21</f>
        <v>805</v>
      </c>
      <c r="Q17" s="71">
        <f>'FS-AD Daily '!V21</f>
        <v>250.29999999998836</v>
      </c>
      <c r="R17" s="71">
        <f>'FS-AD Daily '!W21</f>
        <v>194.53999999997905</v>
      </c>
      <c r="S17" s="71">
        <f t="shared" si="0"/>
        <v>360.1600000000326</v>
      </c>
      <c r="T17" s="71">
        <f>'FS-AD Daily '!AD21*3.516</f>
        <v>121562.18399999999</v>
      </c>
      <c r="U17" s="71">
        <f>('FS-AD Daily '!AF21)*1000</f>
        <v>61199.99999999709</v>
      </c>
      <c r="V17" s="71">
        <f>('FS-AD Daily '!AG21)*1000</f>
        <v>0</v>
      </c>
      <c r="W17" s="71">
        <f>'FS-AD Daily '!AH21*1000</f>
        <v>18899.999999994179</v>
      </c>
      <c r="X17" s="71">
        <f>('FS-AD Daily '!AK21)*1000</f>
        <v>32900.000000001455</v>
      </c>
      <c r="Y17" s="71">
        <v>112</v>
      </c>
      <c r="Z17" s="104">
        <v>143</v>
      </c>
    </row>
    <row r="18" spans="1:26" x14ac:dyDescent="0.25">
      <c r="A18" s="103" t="s">
        <v>80</v>
      </c>
      <c r="B18" s="69">
        <f t="shared" si="1"/>
        <v>17</v>
      </c>
      <c r="C18" s="70">
        <v>9</v>
      </c>
      <c r="D18" s="69">
        <v>2022</v>
      </c>
      <c r="E18" s="71">
        <f>'FS-AD Daily '!B22</f>
        <v>6309</v>
      </c>
      <c r="F18" s="71">
        <f>'FS-AD Daily '!C22</f>
        <v>4971</v>
      </c>
      <c r="G18" s="71">
        <f>'FS-AD Daily '!D22</f>
        <v>952</v>
      </c>
      <c r="H18" s="71">
        <f>'FS-AD Daily '!E22</f>
        <v>6848</v>
      </c>
      <c r="I18" s="71">
        <f>'FS-AD Daily '!F22</f>
        <v>6217</v>
      </c>
      <c r="J18" s="71">
        <f>'FS-AD Daily '!G22</f>
        <v>2965</v>
      </c>
      <c r="K18" s="71">
        <f>'FS-AD Daily '!H22</f>
        <v>6367</v>
      </c>
      <c r="L18" s="71">
        <f>'FS-AD Daily '!I22</f>
        <v>2478</v>
      </c>
      <c r="M18" s="71">
        <f>'FS-AD Daily '!J22</f>
        <v>8046</v>
      </c>
      <c r="N18" s="71">
        <f>'FS-AD Daily '!T22</f>
        <v>252.33599999999933</v>
      </c>
      <c r="O18" s="71">
        <f>'FS-AD Daily '!R22</f>
        <v>134.90800000000036</v>
      </c>
      <c r="P18" s="71">
        <f>'FS-AD Daily '!Z22</f>
        <v>769</v>
      </c>
      <c r="Q18" s="71">
        <f>'FS-AD Daily '!V22</f>
        <v>244.80000000004657</v>
      </c>
      <c r="R18" s="71">
        <f>'FS-AD Daily '!W22</f>
        <v>188.30000000001746</v>
      </c>
      <c r="S18" s="71">
        <f t="shared" si="0"/>
        <v>335.89999999993597</v>
      </c>
      <c r="T18" s="71">
        <f>'FS-AD Daily '!AD22*3.516</f>
        <v>111105.60000000001</v>
      </c>
      <c r="U18" s="71">
        <f>('FS-AD Daily '!AF22)*1000</f>
        <v>55900.000000008731</v>
      </c>
      <c r="V18" s="71">
        <f>('FS-AD Daily '!AG22)*1000</f>
        <v>0</v>
      </c>
      <c r="W18" s="71">
        <f>'FS-AD Daily '!AH22*1000</f>
        <v>18500</v>
      </c>
      <c r="X18" s="71">
        <f>('FS-AD Daily '!AK22)*1000</f>
        <v>33199.99999999709</v>
      </c>
      <c r="Y18" s="71">
        <v>70</v>
      </c>
      <c r="Z18" s="104">
        <v>100</v>
      </c>
    </row>
    <row r="19" spans="1:26" x14ac:dyDescent="0.25">
      <c r="A19" s="103" t="s">
        <v>80</v>
      </c>
      <c r="B19" s="69">
        <f t="shared" si="1"/>
        <v>18</v>
      </c>
      <c r="C19" s="70">
        <v>9</v>
      </c>
      <c r="D19" s="69">
        <v>2022</v>
      </c>
      <c r="E19" s="71">
        <f>'FS-AD Daily '!B23</f>
        <v>6004</v>
      </c>
      <c r="F19" s="71">
        <f>'FS-AD Daily '!C23</f>
        <v>4796</v>
      </c>
      <c r="G19" s="71">
        <f>'FS-AD Daily '!D23</f>
        <v>900</v>
      </c>
      <c r="H19" s="71">
        <f>'FS-AD Daily '!E23</f>
        <v>6619</v>
      </c>
      <c r="I19" s="71">
        <f>'FS-AD Daily '!F23</f>
        <v>5854</v>
      </c>
      <c r="J19" s="71">
        <f>'FS-AD Daily '!G23</f>
        <v>2804</v>
      </c>
      <c r="K19" s="71">
        <f>'FS-AD Daily '!H23</f>
        <v>6238</v>
      </c>
      <c r="L19" s="71">
        <f>'FS-AD Daily '!I23</f>
        <v>2536</v>
      </c>
      <c r="M19" s="71">
        <f>'FS-AD Daily '!J23</f>
        <v>7677</v>
      </c>
      <c r="N19" s="71">
        <f>'FS-AD Daily '!T23</f>
        <v>206.38000000000466</v>
      </c>
      <c r="O19" s="71">
        <f>'FS-AD Daily '!R23</f>
        <v>92.706999999999425</v>
      </c>
      <c r="P19" s="71">
        <f>'FS-AD Daily '!Z23</f>
        <v>706</v>
      </c>
      <c r="Q19" s="71">
        <f>'FS-AD Daily '!V23</f>
        <v>219.5</v>
      </c>
      <c r="R19" s="71">
        <f>'FS-AD Daily '!W23</f>
        <v>181.44999999998254</v>
      </c>
      <c r="S19" s="71">
        <f t="shared" si="0"/>
        <v>305.05000000001746</v>
      </c>
      <c r="T19" s="71">
        <f>'FS-AD Daily '!AD23*3.516</f>
        <v>105304.2</v>
      </c>
      <c r="U19" s="71">
        <f>('FS-AD Daily '!AF23)*1000</f>
        <v>53199.99999999709</v>
      </c>
      <c r="V19" s="71">
        <f>('FS-AD Daily '!AG23)*1000</f>
        <v>0</v>
      </c>
      <c r="W19" s="71">
        <f>'FS-AD Daily '!AH23*1000</f>
        <v>17200.000000004366</v>
      </c>
      <c r="X19" s="71">
        <f>('FS-AD Daily '!AK23)*1000</f>
        <v>32000</v>
      </c>
      <c r="Y19" s="71">
        <v>83</v>
      </c>
      <c r="Z19" s="104">
        <v>112</v>
      </c>
    </row>
    <row r="20" spans="1:26" x14ac:dyDescent="0.25">
      <c r="A20" s="103" t="s">
        <v>80</v>
      </c>
      <c r="B20" s="69">
        <f t="shared" si="1"/>
        <v>19</v>
      </c>
      <c r="C20" s="70">
        <v>9</v>
      </c>
      <c r="D20" s="69">
        <v>2022</v>
      </c>
      <c r="E20" s="71">
        <f>'FS-AD Daily '!B24</f>
        <v>6045</v>
      </c>
      <c r="F20" s="71">
        <f>'FS-AD Daily '!C24</f>
        <v>5390</v>
      </c>
      <c r="G20" s="71">
        <f>'FS-AD Daily '!D24</f>
        <v>1010</v>
      </c>
      <c r="H20" s="71">
        <f>'FS-AD Daily '!E24</f>
        <v>6592</v>
      </c>
      <c r="I20" s="71">
        <f>'FS-AD Daily '!F24</f>
        <v>6222</v>
      </c>
      <c r="J20" s="71">
        <f>'FS-AD Daily '!G24</f>
        <v>2868</v>
      </c>
      <c r="K20" s="71">
        <f>'FS-AD Daily '!H24</f>
        <v>6328</v>
      </c>
      <c r="L20" s="71">
        <f>'FS-AD Daily '!I24</f>
        <v>2444</v>
      </c>
      <c r="M20" s="71">
        <f>'FS-AD Daily '!J24</f>
        <v>7956</v>
      </c>
      <c r="N20" s="71">
        <f>'FS-AD Daily '!T24</f>
        <v>208.27799999999479</v>
      </c>
      <c r="O20" s="71">
        <f>'FS-AD Daily '!R24</f>
        <v>165.17700000000059</v>
      </c>
      <c r="P20" s="71">
        <f>'FS-AD Daily '!Z24</f>
        <v>754</v>
      </c>
      <c r="Q20" s="71">
        <f>'FS-AD Daily '!V24</f>
        <v>226.79999999998836</v>
      </c>
      <c r="R20" s="71">
        <f>'FS-AD Daily '!W24</f>
        <v>179.66000000000349</v>
      </c>
      <c r="S20" s="71">
        <f t="shared" si="0"/>
        <v>347.54000000000815</v>
      </c>
      <c r="T20" s="71">
        <f>'FS-AD Daily '!AD24*3.516</f>
        <v>110117.60400000001</v>
      </c>
      <c r="U20" s="71">
        <f>('FS-AD Daily '!AF24)*1000</f>
        <v>56399.999999994179</v>
      </c>
      <c r="V20" s="71">
        <f>('FS-AD Daily '!AG24)*1000</f>
        <v>0</v>
      </c>
      <c r="W20" s="71">
        <f>'FS-AD Daily '!AH24*1000</f>
        <v>17000</v>
      </c>
      <c r="X20" s="71">
        <f>('FS-AD Daily '!AK24)*1000</f>
        <v>32800.00000000291</v>
      </c>
      <c r="Y20" s="71">
        <v>139</v>
      </c>
      <c r="Z20" s="104">
        <v>175</v>
      </c>
    </row>
    <row r="21" spans="1:26" x14ac:dyDescent="0.25">
      <c r="A21" s="103" t="s">
        <v>80</v>
      </c>
      <c r="B21" s="69">
        <f t="shared" si="1"/>
        <v>20</v>
      </c>
      <c r="C21" s="70">
        <v>9</v>
      </c>
      <c r="D21" s="69">
        <v>2022</v>
      </c>
      <c r="E21" s="71">
        <f>'FS-AD Daily '!B25</f>
        <v>6252</v>
      </c>
      <c r="F21" s="71">
        <f>'FS-AD Daily '!C25</f>
        <v>5935</v>
      </c>
      <c r="G21" s="71">
        <f>'FS-AD Daily '!D25</f>
        <v>949</v>
      </c>
      <c r="H21" s="71">
        <f>'FS-AD Daily '!E25</f>
        <v>6660</v>
      </c>
      <c r="I21" s="71">
        <f>'FS-AD Daily '!F25</f>
        <v>6272</v>
      </c>
      <c r="J21" s="71">
        <f>'FS-AD Daily '!G25</f>
        <v>3186</v>
      </c>
      <c r="K21" s="71">
        <f>'FS-AD Daily '!H25</f>
        <v>6502</v>
      </c>
      <c r="L21" s="71">
        <f>'FS-AD Daily '!I25</f>
        <v>2510</v>
      </c>
      <c r="M21" s="71">
        <f>'FS-AD Daily '!J25</f>
        <v>8076</v>
      </c>
      <c r="N21" s="71">
        <f>'FS-AD Daily '!T25</f>
        <v>220.56600000000617</v>
      </c>
      <c r="O21" s="71">
        <f>'FS-AD Daily '!R25</f>
        <v>85.607999999998356</v>
      </c>
      <c r="P21" s="71">
        <f>'FS-AD Daily '!Z25</f>
        <v>852</v>
      </c>
      <c r="Q21" s="71">
        <f>'FS-AD Daily '!V25</f>
        <v>257.5</v>
      </c>
      <c r="R21" s="71">
        <f>'FS-AD Daily '!W25</f>
        <v>200.66000000000349</v>
      </c>
      <c r="S21" s="71">
        <f t="shared" si="0"/>
        <v>393.83999999999651</v>
      </c>
      <c r="T21" s="71">
        <f>'FS-AD Daily '!AD25*3.516</f>
        <v>113507.02800000001</v>
      </c>
      <c r="U21" s="71">
        <f>('FS-AD Daily '!AF25)*1000</f>
        <v>57200.000000011642</v>
      </c>
      <c r="V21" s="71">
        <f>('FS-AD Daily '!AG25)*1000</f>
        <v>0</v>
      </c>
      <c r="W21" s="71">
        <f>'FS-AD Daily '!AH25*1000</f>
        <v>18099.999999998545</v>
      </c>
      <c r="X21" s="71">
        <f>('FS-AD Daily '!AK25)*1000</f>
        <v>35199.99999999709</v>
      </c>
      <c r="Y21" s="71">
        <v>168</v>
      </c>
      <c r="Z21" s="104">
        <v>212</v>
      </c>
    </row>
    <row r="22" spans="1:26" x14ac:dyDescent="0.25">
      <c r="A22" s="103" t="s">
        <v>80</v>
      </c>
      <c r="B22" s="69">
        <f t="shared" si="1"/>
        <v>21</v>
      </c>
      <c r="C22" s="70">
        <v>9</v>
      </c>
      <c r="D22" s="69">
        <v>2022</v>
      </c>
      <c r="E22" s="71">
        <f>'FS-AD Daily '!B26</f>
        <v>6228</v>
      </c>
      <c r="F22" s="71">
        <f>'FS-AD Daily '!C26</f>
        <v>5511</v>
      </c>
      <c r="G22" s="71">
        <f>'FS-AD Daily '!D26</f>
        <v>960</v>
      </c>
      <c r="H22" s="71">
        <f>'FS-AD Daily '!E26</f>
        <v>6559</v>
      </c>
      <c r="I22" s="71">
        <f>'FS-AD Daily '!F26</f>
        <v>6364</v>
      </c>
      <c r="J22" s="71">
        <f>'FS-AD Daily '!G26</f>
        <v>3119</v>
      </c>
      <c r="K22" s="71">
        <f>'FS-AD Daily '!H26</f>
        <v>6351</v>
      </c>
      <c r="L22" s="71">
        <f>'FS-AD Daily '!I26</f>
        <v>2488</v>
      </c>
      <c r="M22" s="71">
        <f>'FS-AD Daily '!J26</f>
        <v>7837</v>
      </c>
      <c r="N22" s="71">
        <f>'FS-AD Daily '!T26</f>
        <v>227.09799999999814</v>
      </c>
      <c r="O22" s="71">
        <f>'FS-AD Daily '!R26</f>
        <v>84.810000000003129</v>
      </c>
      <c r="P22" s="71">
        <f>'FS-AD Daily '!Z26</f>
        <v>790</v>
      </c>
      <c r="Q22" s="71">
        <f>'FS-AD Daily '!V26</f>
        <v>266.79999999998836</v>
      </c>
      <c r="R22" s="71">
        <f>'FS-AD Daily '!W26</f>
        <v>181.64000000001397</v>
      </c>
      <c r="S22" s="71">
        <f t="shared" si="0"/>
        <v>341.55999999999767</v>
      </c>
      <c r="T22" s="71">
        <f>'FS-AD Daily '!AD26*3.516</f>
        <v>102807.84</v>
      </c>
      <c r="U22" s="71">
        <f>('FS-AD Daily '!AF26)*1000</f>
        <v>51199.99999999709</v>
      </c>
      <c r="V22" s="71">
        <f>('FS-AD Daily '!AG26)*1000</f>
        <v>0</v>
      </c>
      <c r="W22" s="71">
        <f>'FS-AD Daily '!AH26*1000</f>
        <v>16900.000000001455</v>
      </c>
      <c r="X22" s="71">
        <f>('FS-AD Daily '!AK26)*1000</f>
        <v>32400.000000001455</v>
      </c>
      <c r="Y22" s="71">
        <v>147</v>
      </c>
      <c r="Z22" s="104">
        <v>202</v>
      </c>
    </row>
    <row r="23" spans="1:26" x14ac:dyDescent="0.25">
      <c r="A23" s="103" t="s">
        <v>80</v>
      </c>
      <c r="B23" s="69">
        <f t="shared" si="1"/>
        <v>22</v>
      </c>
      <c r="C23" s="70">
        <v>9</v>
      </c>
      <c r="D23" s="69">
        <v>2022</v>
      </c>
      <c r="E23" s="71">
        <f>'FS-AD Daily '!B27</f>
        <v>6259</v>
      </c>
      <c r="F23" s="71">
        <f>'FS-AD Daily '!C27</f>
        <v>5253</v>
      </c>
      <c r="G23" s="71">
        <f>'FS-AD Daily '!D27</f>
        <v>961</v>
      </c>
      <c r="H23" s="71">
        <f>'FS-AD Daily '!E27</f>
        <v>6677</v>
      </c>
      <c r="I23" s="71">
        <f>'FS-AD Daily '!F27</f>
        <v>6303</v>
      </c>
      <c r="J23" s="71">
        <f>'FS-AD Daily '!G27</f>
        <v>3144</v>
      </c>
      <c r="K23" s="71">
        <f>'FS-AD Daily '!H27</f>
        <v>6366</v>
      </c>
      <c r="L23" s="71">
        <f>'FS-AD Daily '!I27</f>
        <v>2398</v>
      </c>
      <c r="M23" s="71">
        <f>'FS-AD Daily '!J27</f>
        <v>7929</v>
      </c>
      <c r="N23" s="71">
        <f>'FS-AD Daily '!T27</f>
        <v>244.47200000000157</v>
      </c>
      <c r="O23" s="71">
        <f>'FS-AD Daily '!R27</f>
        <v>110.61899999999878</v>
      </c>
      <c r="P23" s="71">
        <f>'FS-AD Daily '!Z27</f>
        <v>786</v>
      </c>
      <c r="Q23" s="71">
        <f>'FS-AD Daily '!V27</f>
        <v>263.5</v>
      </c>
      <c r="R23" s="71">
        <f>'FS-AD Daily '!W27</f>
        <v>174.36999999999534</v>
      </c>
      <c r="S23" s="71">
        <f t="shared" si="0"/>
        <v>348.13000000000466</v>
      </c>
      <c r="T23" s="71">
        <f>'FS-AD Daily '!AD27*3.516</f>
        <v>109294.86</v>
      </c>
      <c r="U23" s="71">
        <f>('FS-AD Daily '!AF27)*1000</f>
        <v>55399.999999994179</v>
      </c>
      <c r="V23" s="71">
        <f>('FS-AD Daily '!AG27)*1000</f>
        <v>0</v>
      </c>
      <c r="W23" s="71">
        <f>'FS-AD Daily '!AH27*1000</f>
        <v>17500</v>
      </c>
      <c r="X23" s="71">
        <f>('FS-AD Daily '!AK27)*1000</f>
        <v>32400.000000001455</v>
      </c>
      <c r="Y23" s="71">
        <v>128</v>
      </c>
      <c r="Z23" s="104">
        <v>177</v>
      </c>
    </row>
    <row r="24" spans="1:26" x14ac:dyDescent="0.25">
      <c r="A24" s="103" t="s">
        <v>80</v>
      </c>
      <c r="B24" s="69">
        <f t="shared" si="1"/>
        <v>23</v>
      </c>
      <c r="C24" s="70">
        <v>9</v>
      </c>
      <c r="D24" s="69">
        <v>2022</v>
      </c>
      <c r="E24" s="71">
        <f>'FS-AD Daily '!B28</f>
        <v>6324</v>
      </c>
      <c r="F24" s="71">
        <f>'FS-AD Daily '!C28</f>
        <v>5070</v>
      </c>
      <c r="G24" s="71">
        <f>'FS-AD Daily '!D28</f>
        <v>979</v>
      </c>
      <c r="H24" s="71">
        <f>'FS-AD Daily '!E28</f>
        <v>6543</v>
      </c>
      <c r="I24" s="71">
        <f>'FS-AD Daily '!F28</f>
        <v>6347</v>
      </c>
      <c r="J24" s="71">
        <f>'FS-AD Daily '!G28</f>
        <v>3021</v>
      </c>
      <c r="K24" s="71">
        <f>'FS-AD Daily '!H28</f>
        <v>6333</v>
      </c>
      <c r="L24" s="71">
        <f>'FS-AD Daily '!I28</f>
        <v>2392</v>
      </c>
      <c r="M24" s="71">
        <f>'FS-AD Daily '!J28</f>
        <v>8128</v>
      </c>
      <c r="N24" s="71">
        <f>'FS-AD Daily '!T28</f>
        <v>239.72999999999593</v>
      </c>
      <c r="O24" s="71">
        <f>'FS-AD Daily '!R28</f>
        <v>94.178000000000793</v>
      </c>
      <c r="P24" s="71">
        <f>'FS-AD Daily '!Z28</f>
        <v>833</v>
      </c>
      <c r="Q24" s="71">
        <f>'FS-AD Daily '!V28</f>
        <v>268</v>
      </c>
      <c r="R24" s="71">
        <f>'FS-AD Daily '!W28</f>
        <v>178.42999999999302</v>
      </c>
      <c r="S24" s="71">
        <f t="shared" si="0"/>
        <v>386.57000000000698</v>
      </c>
      <c r="T24" s="71">
        <f>'FS-AD Daily '!AD28*3.516</f>
        <v>111731.448</v>
      </c>
      <c r="U24" s="71">
        <f>('FS-AD Daily '!AF28)*1000</f>
        <v>57000</v>
      </c>
      <c r="V24" s="71">
        <f>('FS-AD Daily '!AG28)*1000</f>
        <v>0</v>
      </c>
      <c r="W24" s="71">
        <f>'FS-AD Daily '!AH28*1000</f>
        <v>17599.999999998545</v>
      </c>
      <c r="X24" s="71">
        <f>('FS-AD Daily '!AK28)*1000</f>
        <v>32400.000000001455</v>
      </c>
      <c r="Y24" s="71">
        <v>79</v>
      </c>
      <c r="Z24" s="104">
        <v>131</v>
      </c>
    </row>
    <row r="25" spans="1:26" x14ac:dyDescent="0.25">
      <c r="A25" s="103" t="s">
        <v>80</v>
      </c>
      <c r="B25" s="69">
        <f t="shared" si="1"/>
        <v>24</v>
      </c>
      <c r="C25" s="70">
        <v>9</v>
      </c>
      <c r="D25" s="69">
        <v>2022</v>
      </c>
      <c r="E25" s="71">
        <f>'FS-AD Daily '!B29</f>
        <v>6091</v>
      </c>
      <c r="F25" s="71">
        <f>'FS-AD Daily '!C29</f>
        <v>5061</v>
      </c>
      <c r="G25" s="71">
        <f>'FS-AD Daily '!D29</f>
        <v>957</v>
      </c>
      <c r="H25" s="71">
        <f>'FS-AD Daily '!E29</f>
        <v>6504</v>
      </c>
      <c r="I25" s="71">
        <f>'FS-AD Daily '!F29</f>
        <v>6357</v>
      </c>
      <c r="J25" s="71">
        <f>'FS-AD Daily '!G29</f>
        <v>2894</v>
      </c>
      <c r="K25" s="71">
        <f>'FS-AD Daily '!H29</f>
        <v>6205</v>
      </c>
      <c r="L25" s="71">
        <f>'FS-AD Daily '!I29</f>
        <v>2344</v>
      </c>
      <c r="M25" s="71">
        <f>'FS-AD Daily '!J29</f>
        <v>8216</v>
      </c>
      <c r="N25" s="71">
        <f>'FS-AD Daily '!T29</f>
        <v>207.90500000000611</v>
      </c>
      <c r="O25" s="71">
        <f>'FS-AD Daily '!R29</f>
        <v>102.83399999999892</v>
      </c>
      <c r="P25" s="71">
        <f>'FS-AD Daily '!Z29</f>
        <v>761</v>
      </c>
      <c r="Q25" s="71">
        <f>'FS-AD Daily '!V29</f>
        <v>244.90000000002328</v>
      </c>
      <c r="R25" s="71">
        <f>'FS-AD Daily '!W29</f>
        <v>176.57000000000698</v>
      </c>
      <c r="S25" s="71">
        <f t="shared" si="0"/>
        <v>339.52999999996973</v>
      </c>
      <c r="T25" s="71">
        <f>'FS-AD Daily '!AD29*3.516</f>
        <v>119881.53600000001</v>
      </c>
      <c r="U25" s="71">
        <f>('FS-AD Daily '!AF29)*1000</f>
        <v>61800.00000000291</v>
      </c>
      <c r="V25" s="71">
        <f>('FS-AD Daily '!AG29)*1000</f>
        <v>0</v>
      </c>
      <c r="W25" s="71">
        <f>'FS-AD Daily '!AH29*1000</f>
        <v>17300.00000000291</v>
      </c>
      <c r="X25" s="71">
        <f>('FS-AD Daily '!AK29)*1000</f>
        <v>33799.999999995634</v>
      </c>
      <c r="Y25" s="71">
        <v>55</v>
      </c>
      <c r="Z25" s="104">
        <v>102</v>
      </c>
    </row>
    <row r="26" spans="1:26" x14ac:dyDescent="0.25">
      <c r="A26" s="103" t="s">
        <v>80</v>
      </c>
      <c r="B26" s="69">
        <f>B25+1</f>
        <v>25</v>
      </c>
      <c r="C26" s="70">
        <v>9</v>
      </c>
      <c r="D26" s="69">
        <v>2022</v>
      </c>
      <c r="E26" s="71">
        <f>'FS-AD Daily '!B30</f>
        <v>6188</v>
      </c>
      <c r="F26" s="71">
        <f>'FS-AD Daily '!C30</f>
        <v>4209</v>
      </c>
      <c r="G26" s="71">
        <f>'FS-AD Daily '!D30</f>
        <v>957</v>
      </c>
      <c r="H26" s="71">
        <f>'FS-AD Daily '!E30</f>
        <v>6652</v>
      </c>
      <c r="I26" s="71">
        <f>'FS-AD Daily '!F30</f>
        <v>6060</v>
      </c>
      <c r="J26" s="71">
        <f>'FS-AD Daily '!G30</f>
        <v>2808</v>
      </c>
      <c r="K26" s="71">
        <f>'FS-AD Daily '!H30</f>
        <v>6195</v>
      </c>
      <c r="L26" s="71">
        <f>'FS-AD Daily '!I30</f>
        <v>2438</v>
      </c>
      <c r="M26" s="71">
        <f>'FS-AD Daily '!J30</f>
        <v>8062</v>
      </c>
      <c r="N26" s="71">
        <f>'FS-AD Daily '!T30</f>
        <v>190.62799999999697</v>
      </c>
      <c r="O26" s="71">
        <f>'FS-AD Daily '!R30</f>
        <v>95.751000000000204</v>
      </c>
      <c r="P26" s="71">
        <f>'FS-AD Daily '!Z30</f>
        <v>715</v>
      </c>
      <c r="Q26" s="71">
        <f>'FS-AD Daily '!V30</f>
        <v>218.29999999998836</v>
      </c>
      <c r="R26" s="71">
        <f>'FS-AD Daily '!W30</f>
        <v>178.75999999998021</v>
      </c>
      <c r="S26" s="71">
        <f t="shared" si="0"/>
        <v>317.94000000003143</v>
      </c>
      <c r="T26" s="71">
        <f>'FS-AD Daily '!AD30*3.516</f>
        <v>120602.31600000001</v>
      </c>
      <c r="U26" s="71">
        <f>('FS-AD Daily '!AF30)*1000</f>
        <v>61500</v>
      </c>
      <c r="V26" s="71">
        <f>('FS-AD Daily '!AG30)*1000</f>
        <v>0</v>
      </c>
      <c r="W26" s="71">
        <f>'FS-AD Daily '!AH30*1000</f>
        <v>17399.999999994179</v>
      </c>
      <c r="X26" s="71">
        <f>('FS-AD Daily '!AK30)*1000</f>
        <v>34400.000000001455</v>
      </c>
      <c r="Y26" s="71">
        <v>74</v>
      </c>
      <c r="Z26" s="104">
        <v>101</v>
      </c>
    </row>
    <row r="27" spans="1:26" x14ac:dyDescent="0.25">
      <c r="A27" s="103" t="s">
        <v>80</v>
      </c>
      <c r="B27" s="69">
        <f t="shared" si="1"/>
        <v>26</v>
      </c>
      <c r="C27" s="70">
        <v>9</v>
      </c>
      <c r="D27" s="69">
        <v>2022</v>
      </c>
      <c r="E27" s="71">
        <f>'FS-AD Daily '!B31</f>
        <v>6249</v>
      </c>
      <c r="F27" s="71">
        <f>'FS-AD Daily '!C31</f>
        <v>4297</v>
      </c>
      <c r="G27" s="71">
        <f>'FS-AD Daily '!D31</f>
        <v>956</v>
      </c>
      <c r="H27" s="71">
        <f>'FS-AD Daily '!E31</f>
        <v>6827</v>
      </c>
      <c r="I27" s="71">
        <f>'FS-AD Daily '!F31</f>
        <v>6123</v>
      </c>
      <c r="J27" s="71">
        <f>'FS-AD Daily '!G31</f>
        <v>3052</v>
      </c>
      <c r="K27" s="71">
        <f>'FS-AD Daily '!H31</f>
        <v>6271</v>
      </c>
      <c r="L27" s="71">
        <f>'FS-AD Daily '!I31</f>
        <v>2442</v>
      </c>
      <c r="M27" s="71">
        <f>'FS-AD Daily '!J31</f>
        <v>8222</v>
      </c>
      <c r="N27" s="71">
        <f>'FS-AD Daily '!T31</f>
        <v>192.71599999999671</v>
      </c>
      <c r="O27" s="71">
        <f>'FS-AD Daily '!R31</f>
        <v>95.15099999999893</v>
      </c>
      <c r="P27" s="71">
        <f>'FS-AD Daily '!Z31</f>
        <v>714</v>
      </c>
      <c r="Q27" s="71">
        <f>'FS-AD Daily '!V31</f>
        <v>228.29999999998836</v>
      </c>
      <c r="R27" s="71">
        <f>'FS-AD Daily '!W31</f>
        <v>165.91000000000349</v>
      </c>
      <c r="S27" s="71">
        <f t="shared" si="0"/>
        <v>319.79000000000815</v>
      </c>
      <c r="T27" s="71">
        <f>'FS-AD Daily '!AD31*3.516</f>
        <v>121516.476</v>
      </c>
      <c r="U27" s="71">
        <f>('FS-AD Daily '!AF31)*1000</f>
        <v>62100.000000005821</v>
      </c>
      <c r="V27" s="71">
        <f>('FS-AD Daily '!AG31)*1000</f>
        <v>0</v>
      </c>
      <c r="W27" s="71">
        <f>'FS-AD Daily '!AH31*1000</f>
        <v>17300.00000000291</v>
      </c>
      <c r="X27" s="71">
        <f>('FS-AD Daily '!AK31)*1000</f>
        <v>36800.00000000291</v>
      </c>
      <c r="Y27" s="71">
        <v>123</v>
      </c>
      <c r="Z27" s="104">
        <v>146</v>
      </c>
    </row>
    <row r="28" spans="1:26" x14ac:dyDescent="0.25">
      <c r="A28" s="103" t="s">
        <v>80</v>
      </c>
      <c r="B28" s="69">
        <f t="shared" si="1"/>
        <v>27</v>
      </c>
      <c r="C28" s="70">
        <v>9</v>
      </c>
      <c r="D28" s="69">
        <v>2022</v>
      </c>
      <c r="E28" s="71">
        <f>'FS-AD Daily '!B32</f>
        <v>6315</v>
      </c>
      <c r="F28" s="71">
        <f>'FS-AD Daily '!C32</f>
        <v>4546</v>
      </c>
      <c r="G28" s="71">
        <f>'FS-AD Daily '!D32</f>
        <v>1014</v>
      </c>
      <c r="H28" s="71">
        <f>'FS-AD Daily '!E32</f>
        <v>6885</v>
      </c>
      <c r="I28" s="71">
        <f>'FS-AD Daily '!F32</f>
        <v>6077</v>
      </c>
      <c r="J28" s="71">
        <f>'FS-AD Daily '!G32</f>
        <v>3115</v>
      </c>
      <c r="K28" s="71">
        <f>'FS-AD Daily '!H32</f>
        <v>6327</v>
      </c>
      <c r="L28" s="71">
        <f>'FS-AD Daily '!I32</f>
        <v>2474</v>
      </c>
      <c r="M28" s="71">
        <f>'FS-AD Daily '!J32</f>
        <v>8011</v>
      </c>
      <c r="N28" s="71">
        <f>'FS-AD Daily '!T32</f>
        <v>183.2960000000021</v>
      </c>
      <c r="O28" s="71">
        <f>'FS-AD Daily '!R32</f>
        <v>77.115000000000691</v>
      </c>
      <c r="P28" s="71">
        <f>'FS-AD Daily '!Z32</f>
        <v>780</v>
      </c>
      <c r="Q28" s="71">
        <f>'FS-AD Daily '!V32</f>
        <v>242</v>
      </c>
      <c r="R28" s="71">
        <f>'FS-AD Daily '!W32</f>
        <v>182.44599999999627</v>
      </c>
      <c r="S28" s="71">
        <f t="shared" si="0"/>
        <v>355.55400000000373</v>
      </c>
      <c r="T28" s="71">
        <f>'FS-AD Daily '!AD32*3.516</f>
        <v>118735.32</v>
      </c>
      <c r="U28" s="71">
        <f>('FS-AD Daily '!AF32)*1000</f>
        <v>60199.99999999709</v>
      </c>
      <c r="V28" s="71">
        <f>('FS-AD Daily '!AG32)*1000</f>
        <v>0</v>
      </c>
      <c r="W28" s="71">
        <f>'FS-AD Daily '!AH32*1000</f>
        <v>17500</v>
      </c>
      <c r="X28" s="71">
        <f>('FS-AD Daily '!AK32)*1000</f>
        <v>41900.000000001455</v>
      </c>
      <c r="Y28" s="71">
        <v>151</v>
      </c>
      <c r="Z28" s="104">
        <v>187</v>
      </c>
    </row>
    <row r="29" spans="1:26" x14ac:dyDescent="0.25">
      <c r="A29" s="103" t="s">
        <v>80</v>
      </c>
      <c r="B29" s="69">
        <f t="shared" si="1"/>
        <v>28</v>
      </c>
      <c r="C29" s="70">
        <v>9</v>
      </c>
      <c r="D29" s="69">
        <v>2022</v>
      </c>
      <c r="E29" s="71">
        <f>'FS-AD Daily '!B33</f>
        <v>6735</v>
      </c>
      <c r="F29" s="71">
        <f>'FS-AD Daily '!C33</f>
        <v>4406</v>
      </c>
      <c r="G29" s="71">
        <f>'FS-AD Daily '!D33</f>
        <v>964</v>
      </c>
      <c r="H29" s="71">
        <f>'FS-AD Daily '!E33</f>
        <v>6876</v>
      </c>
      <c r="I29" s="71">
        <f>'FS-AD Daily '!F33</f>
        <v>6107</v>
      </c>
      <c r="J29" s="71">
        <f>'FS-AD Daily '!G33</f>
        <v>3137</v>
      </c>
      <c r="K29" s="71">
        <f>'FS-AD Daily '!H33</f>
        <v>6108</v>
      </c>
      <c r="L29" s="71">
        <f>'FS-AD Daily '!I33</f>
        <v>2480</v>
      </c>
      <c r="M29" s="71">
        <f>'FS-AD Daily '!J33</f>
        <v>7761</v>
      </c>
      <c r="N29" s="71">
        <f>'FS-AD Daily '!T33</f>
        <v>183.36999999999898</v>
      </c>
      <c r="O29" s="71">
        <f>'FS-AD Daily '!R33</f>
        <v>79.095999999999549</v>
      </c>
      <c r="P29" s="71">
        <f>'FS-AD Daily '!Z33</f>
        <v>830</v>
      </c>
      <c r="Q29" s="71">
        <f>'FS-AD Daily '!V33</f>
        <v>254</v>
      </c>
      <c r="R29" s="71">
        <f>'FS-AD Daily '!W33</f>
        <v>182.14400000000023</v>
      </c>
      <c r="S29" s="71">
        <f t="shared" si="0"/>
        <v>393.85599999999977</v>
      </c>
      <c r="T29" s="71">
        <f>'FS-AD Daily '!AD33*3.516</f>
        <v>112177.98</v>
      </c>
      <c r="U29" s="71">
        <f>('FS-AD Daily '!AF33)*1000</f>
        <v>57000</v>
      </c>
      <c r="V29" s="71">
        <f>('FS-AD Daily '!AG33)*1000</f>
        <v>0</v>
      </c>
      <c r="W29" s="71">
        <f>'FS-AD Daily '!AH33*1000</f>
        <v>17000</v>
      </c>
      <c r="X29" s="71">
        <f>('FS-AD Daily '!AK33)*1000</f>
        <v>41500</v>
      </c>
      <c r="Y29" s="71">
        <v>133</v>
      </c>
      <c r="Z29" s="104">
        <v>183</v>
      </c>
    </row>
    <row r="30" spans="1:26" x14ac:dyDescent="0.25">
      <c r="A30" s="103" t="s">
        <v>80</v>
      </c>
      <c r="B30" s="69">
        <f t="shared" si="1"/>
        <v>29</v>
      </c>
      <c r="C30" s="70">
        <v>9</v>
      </c>
      <c r="D30" s="69">
        <v>2022</v>
      </c>
      <c r="E30" s="71">
        <f>'FS-AD Daily '!B34</f>
        <v>6969</v>
      </c>
      <c r="F30" s="71">
        <f>'FS-AD Daily '!C34</f>
        <v>4552</v>
      </c>
      <c r="G30" s="71">
        <f>'FS-AD Daily '!D34</f>
        <v>870</v>
      </c>
      <c r="H30" s="71">
        <f>'FS-AD Daily '!E34</f>
        <v>6951</v>
      </c>
      <c r="I30" s="71">
        <f>'FS-AD Daily '!F34</f>
        <v>6177</v>
      </c>
      <c r="J30" s="71">
        <f>'FS-AD Daily '!G34</f>
        <v>3167</v>
      </c>
      <c r="K30" s="71">
        <f>'FS-AD Daily '!H34</f>
        <v>6460</v>
      </c>
      <c r="L30" s="71">
        <f>'FS-AD Daily '!I34</f>
        <v>2485</v>
      </c>
      <c r="M30" s="71">
        <f>'FS-AD Daily '!J34</f>
        <v>7712</v>
      </c>
      <c r="N30" s="71">
        <f>'FS-AD Daily '!T34</f>
        <v>203.26699999999983</v>
      </c>
      <c r="O30" s="71">
        <f>'FS-AD Daily '!R34</f>
        <v>81.429000000000087</v>
      </c>
      <c r="P30" s="71">
        <f>'FS-AD Daily '!Z34</f>
        <v>770</v>
      </c>
      <c r="Q30" s="71">
        <f>'FS-AD Daily '!V34</f>
        <v>253</v>
      </c>
      <c r="R30" s="71">
        <f>'FS-AD Daily '!W34</f>
        <v>178</v>
      </c>
      <c r="S30" s="71">
        <f t="shared" si="0"/>
        <v>339</v>
      </c>
      <c r="T30" s="71">
        <f>'FS-AD Daily '!AD34*3.516</f>
        <v>110718.84</v>
      </c>
      <c r="U30" s="71">
        <f>('FS-AD Daily '!AF34)*1000</f>
        <v>57000</v>
      </c>
      <c r="V30" s="71">
        <f>('FS-AD Daily '!AG34)*1000</f>
        <v>0</v>
      </c>
      <c r="W30" s="71">
        <f>'FS-AD Daily '!AH34*1000</f>
        <v>16000</v>
      </c>
      <c r="X30" s="71">
        <f>('FS-AD Daily '!AK34)*1000</f>
        <v>42000</v>
      </c>
      <c r="Y30" s="71">
        <v>126</v>
      </c>
      <c r="Z30" s="104">
        <v>179</v>
      </c>
    </row>
    <row r="31" spans="1:26" x14ac:dyDescent="0.25">
      <c r="A31" s="103" t="s">
        <v>80</v>
      </c>
      <c r="B31" s="69">
        <f t="shared" si="1"/>
        <v>30</v>
      </c>
      <c r="C31" s="70">
        <v>9</v>
      </c>
      <c r="D31" s="69">
        <v>2022</v>
      </c>
      <c r="E31" s="71">
        <f>'FS-AD Daily '!B35</f>
        <v>6779</v>
      </c>
      <c r="F31" s="71">
        <f>'FS-AD Daily '!C35</f>
        <v>5088</v>
      </c>
      <c r="G31" s="71">
        <f>'FS-AD Daily '!D35</f>
        <v>1004</v>
      </c>
      <c r="H31" s="71">
        <f>'FS-AD Daily '!E35</f>
        <v>6928</v>
      </c>
      <c r="I31" s="71">
        <f>'FS-AD Daily '!F35</f>
        <v>6233</v>
      </c>
      <c r="J31" s="71">
        <f>'FS-AD Daily '!G35</f>
        <v>3087</v>
      </c>
      <c r="K31" s="71">
        <f>'FS-AD Daily '!H35</f>
        <v>6383</v>
      </c>
      <c r="L31" s="71">
        <f>'FS-AD Daily '!I35</f>
        <v>2453</v>
      </c>
      <c r="M31" s="71">
        <f>'FS-AD Daily '!J35</f>
        <v>7885</v>
      </c>
      <c r="N31" s="71">
        <f>'FS-AD Daily '!T35</f>
        <v>202.75</v>
      </c>
      <c r="O31" s="71">
        <f>'FS-AD Daily '!R35</f>
        <v>84.372000000000298</v>
      </c>
      <c r="P31" s="71">
        <f>'FS-AD Daily '!Z35</f>
        <v>840</v>
      </c>
      <c r="Q31" s="71">
        <f>'FS-AD Daily '!V35</f>
        <v>288.29999999998836</v>
      </c>
      <c r="R31" s="71">
        <f>'FS-AD Daily '!W35</f>
        <v>155.61000000001513</v>
      </c>
      <c r="S31" s="71">
        <f t="shared" ref="S31:S32" si="2">P31-Q31-R31</f>
        <v>396.08999999999651</v>
      </c>
      <c r="T31" s="71">
        <f>'FS-AD Daily '!AD35*3.516</f>
        <v>114192.648</v>
      </c>
      <c r="U31" s="71">
        <f>('FS-AD Daily '!AF35)*1000</f>
        <v>56500</v>
      </c>
      <c r="V31" s="71">
        <f>('FS-AD Daily '!AG35)*1000</f>
        <v>0</v>
      </c>
      <c r="W31" s="71">
        <f>'FS-AD Daily '!AH35*1000</f>
        <v>16500</v>
      </c>
      <c r="X31" s="71">
        <f>('FS-AD Daily '!AK35)*1000</f>
        <v>40599.999999998545</v>
      </c>
      <c r="Y31" s="71">
        <v>118</v>
      </c>
      <c r="Z31" s="121">
        <v>183</v>
      </c>
    </row>
    <row r="32" spans="1:26" ht="15.75" thickBot="1" x14ac:dyDescent="0.3">
      <c r="A32" s="103" t="s">
        <v>80</v>
      </c>
      <c r="B32" s="69"/>
      <c r="C32" s="70"/>
      <c r="D32" s="69">
        <v>2022</v>
      </c>
      <c r="E32" s="71">
        <f>'FS-AD Daily '!B36</f>
        <v>0</v>
      </c>
      <c r="F32" s="71">
        <f>'FS-AD Daily '!C36</f>
        <v>0</v>
      </c>
      <c r="G32" s="71">
        <f>'FS-AD Daily '!D36</f>
        <v>0</v>
      </c>
      <c r="H32" s="71">
        <f>'FS-AD Daily '!E36</f>
        <v>0</v>
      </c>
      <c r="I32" s="71">
        <f>'FS-AD Daily '!F36</f>
        <v>0</v>
      </c>
      <c r="J32" s="71">
        <f>'FS-AD Daily '!G36</f>
        <v>0</v>
      </c>
      <c r="K32" s="71">
        <f>'FS-AD Daily '!H36</f>
        <v>0</v>
      </c>
      <c r="L32" s="71">
        <f>'FS-AD Daily '!I36</f>
        <v>0</v>
      </c>
      <c r="M32" s="71">
        <f>'FS-AD Daily '!J36</f>
        <v>0</v>
      </c>
      <c r="N32" s="71">
        <f>'FS-AD Daily '!T36</f>
        <v>0</v>
      </c>
      <c r="O32" s="71">
        <f>'FS-AD Daily '!R36</f>
        <v>0</v>
      </c>
      <c r="P32" s="71" t="str">
        <f>'FS-AD Daily '!Z36</f>
        <v>0</v>
      </c>
      <c r="Q32" s="71">
        <f>'FS-AD Daily '!V36</f>
        <v>0</v>
      </c>
      <c r="R32" s="71">
        <f>'FS-AD Daily '!W36</f>
        <v>0</v>
      </c>
      <c r="S32" s="71">
        <f t="shared" si="2"/>
        <v>0</v>
      </c>
      <c r="T32" s="71">
        <f>'FS-AD Daily '!AD36*3.516</f>
        <v>0</v>
      </c>
      <c r="U32" s="71">
        <f>('FS-AD Daily '!AF36)*1000</f>
        <v>0</v>
      </c>
      <c r="V32" s="71">
        <f>('FS-AD Daily '!AG36)*1000</f>
        <v>0</v>
      </c>
      <c r="W32" s="71">
        <f>'FS-AD Daily '!AH36*1000</f>
        <v>0</v>
      </c>
      <c r="X32" s="71">
        <f>('FS-AD Daily '!AK36)*1000</f>
        <v>0</v>
      </c>
      <c r="Y32" s="71">
        <f>'FS-AD Daily '!AN36</f>
        <v>0</v>
      </c>
      <c r="Z32" s="105"/>
    </row>
    <row r="33" spans="9:26" x14ac:dyDescent="0.25">
      <c r="I33" s="4">
        <f t="shared" ref="I33:W33" si="3">SUM(I2:I32)</f>
        <v>186971</v>
      </c>
      <c r="J33" s="4">
        <f t="shared" si="3"/>
        <v>88674</v>
      </c>
      <c r="K33" s="4">
        <f t="shared" si="3"/>
        <v>185244</v>
      </c>
      <c r="L33" s="4">
        <f t="shared" si="3"/>
        <v>74004</v>
      </c>
      <c r="M33" s="4">
        <f t="shared" si="3"/>
        <v>230548</v>
      </c>
      <c r="N33" s="4">
        <f t="shared" si="3"/>
        <v>6431.9359999999979</v>
      </c>
      <c r="O33" s="4">
        <f t="shared" si="3"/>
        <v>2911.2189999999982</v>
      </c>
      <c r="P33" s="4">
        <f t="shared" si="3"/>
        <v>23255</v>
      </c>
      <c r="Q33" s="4">
        <f t="shared" si="3"/>
        <v>7216.2000000000116</v>
      </c>
      <c r="R33" s="4">
        <f t="shared" si="3"/>
        <v>5691.9200000000128</v>
      </c>
      <c r="S33" s="4">
        <f t="shared" si="3"/>
        <v>10346.879999999976</v>
      </c>
      <c r="T33" s="4">
        <f t="shared" si="3"/>
        <v>3308731.7999999989</v>
      </c>
      <c r="U33" s="4">
        <f t="shared" si="3"/>
        <v>1677800.0000000028</v>
      </c>
      <c r="V33" s="4">
        <f t="shared" si="3"/>
        <v>0</v>
      </c>
      <c r="W33" s="4">
        <f t="shared" si="3"/>
        <v>511400.00000000146</v>
      </c>
      <c r="X33" s="4">
        <f>'FS-AD Daily '!U38</f>
        <v>27602.421279999999</v>
      </c>
      <c r="Y33" s="4">
        <f>SUM(Y2:Y32)</f>
        <v>3073</v>
      </c>
      <c r="Z33" s="4">
        <f>SUM(Z2:Z32)</f>
        <v>4221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opLeftCell="T1" zoomScale="85" zoomScaleNormal="85" workbookViewId="0">
      <pane ySplit="5" topLeftCell="A6" activePane="bottomLeft" state="frozen"/>
      <selection pane="bottomLeft" activeCell="AN6" sqref="AN6:AN35"/>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0" t="s">
        <v>14</v>
      </c>
      <c r="C1" s="130"/>
      <c r="D1" s="130"/>
      <c r="E1" s="130"/>
      <c r="F1" s="130"/>
      <c r="G1" s="130"/>
      <c r="H1" s="130"/>
      <c r="I1" s="130"/>
      <c r="J1" s="130"/>
      <c r="K1" s="25" t="s">
        <v>15</v>
      </c>
      <c r="L1" s="26" t="s">
        <v>16</v>
      </c>
      <c r="M1" s="27" t="s">
        <v>17</v>
      </c>
      <c r="N1" s="28" t="s">
        <v>18</v>
      </c>
      <c r="O1" s="28" t="s">
        <v>19</v>
      </c>
      <c r="P1" s="65" t="s">
        <v>20</v>
      </c>
      <c r="Q1" s="30" t="s">
        <v>21</v>
      </c>
      <c r="R1" s="31" t="s">
        <v>22</v>
      </c>
      <c r="S1" s="29" t="s">
        <v>23</v>
      </c>
      <c r="T1" s="32" t="s">
        <v>24</v>
      </c>
      <c r="U1" s="33" t="s">
        <v>25</v>
      </c>
      <c r="V1" s="32" t="s">
        <v>26</v>
      </c>
      <c r="W1" s="32" t="s">
        <v>27</v>
      </c>
      <c r="X1" s="131" t="s">
        <v>28</v>
      </c>
      <c r="Y1" s="131"/>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6" t="s">
        <v>41</v>
      </c>
      <c r="L2" s="125" t="s">
        <v>42</v>
      </c>
      <c r="M2" s="10"/>
      <c r="N2" s="10"/>
      <c r="O2" s="10"/>
      <c r="P2" s="10"/>
      <c r="Q2" s="10"/>
      <c r="R2" s="10"/>
      <c r="S2" s="134"/>
      <c r="T2" s="47"/>
      <c r="U2" s="128"/>
      <c r="V2" s="45"/>
      <c r="W2" s="45"/>
      <c r="X2" s="22">
        <v>1</v>
      </c>
      <c r="Y2" s="22">
        <v>2</v>
      </c>
      <c r="Z2" s="23"/>
      <c r="AA2" s="125" t="s">
        <v>100</v>
      </c>
      <c r="AB2" s="43"/>
      <c r="AC2" s="126" t="s">
        <v>43</v>
      </c>
      <c r="AD2" s="127"/>
      <c r="AE2" s="128" t="s">
        <v>102</v>
      </c>
      <c r="AF2" s="45"/>
      <c r="AG2" s="45"/>
      <c r="AH2" s="45"/>
      <c r="AI2" s="44"/>
      <c r="AJ2" s="44"/>
      <c r="AK2" s="44"/>
      <c r="AL2" s="44"/>
      <c r="AM2" s="128" t="s">
        <v>102</v>
      </c>
      <c r="AN2" s="129"/>
      <c r="AO2" s="124"/>
    </row>
    <row r="3" spans="1:44" ht="15" customHeight="1" x14ac:dyDescent="0.25">
      <c r="A3" s="9"/>
      <c r="B3" s="11" t="s">
        <v>44</v>
      </c>
      <c r="C3" s="11" t="s">
        <v>45</v>
      </c>
      <c r="D3" s="11" t="s">
        <v>46</v>
      </c>
      <c r="E3" s="11" t="s">
        <v>47</v>
      </c>
      <c r="F3" s="11" t="s">
        <v>48</v>
      </c>
      <c r="G3" s="11" t="s">
        <v>49</v>
      </c>
      <c r="H3" s="11" t="s">
        <v>50</v>
      </c>
      <c r="I3" s="11" t="s">
        <v>51</v>
      </c>
      <c r="J3" s="11" t="s">
        <v>52</v>
      </c>
      <c r="K3" s="132"/>
      <c r="L3" s="133"/>
      <c r="M3" s="10"/>
      <c r="N3" s="10"/>
      <c r="O3" s="10"/>
      <c r="P3" s="10"/>
      <c r="Q3" s="10"/>
      <c r="R3" s="10"/>
      <c r="S3" s="134"/>
      <c r="T3" s="47"/>
      <c r="U3" s="128"/>
      <c r="V3" s="45"/>
      <c r="W3" s="45"/>
      <c r="X3" s="11"/>
      <c r="Y3" s="11"/>
      <c r="Z3" s="12"/>
      <c r="AA3" s="125"/>
      <c r="AB3" s="43"/>
      <c r="AC3" s="126"/>
      <c r="AD3" s="127"/>
      <c r="AE3" s="128"/>
      <c r="AF3" s="45"/>
      <c r="AG3" s="45"/>
      <c r="AH3" s="45"/>
      <c r="AI3" s="13"/>
      <c r="AJ3" s="44"/>
      <c r="AK3" s="44"/>
      <c r="AL3" s="44"/>
      <c r="AM3" s="128"/>
      <c r="AN3" s="129"/>
      <c r="AO3" s="124"/>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4"/>
      <c r="T4" s="47"/>
      <c r="U4" s="128"/>
      <c r="V4" s="45"/>
      <c r="W4" s="45"/>
      <c r="X4" s="52"/>
      <c r="Y4" s="87">
        <v>1135267</v>
      </c>
      <c r="Z4" s="12"/>
      <c r="AA4" s="125"/>
      <c r="AB4" s="86">
        <v>16151083</v>
      </c>
      <c r="AC4" s="126"/>
      <c r="AD4" s="127"/>
      <c r="AE4" s="128"/>
      <c r="AF4" s="45"/>
      <c r="AG4" s="45"/>
      <c r="AH4" s="45"/>
      <c r="AI4" s="43">
        <v>57143</v>
      </c>
      <c r="AJ4" s="43"/>
      <c r="AK4" s="43"/>
      <c r="AL4" s="43"/>
      <c r="AM4" s="128"/>
      <c r="AN4" s="129"/>
      <c r="AO4" s="124"/>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44805</v>
      </c>
      <c r="B6" s="86">
        <f>14753195-14747569</f>
        <v>5626</v>
      </c>
      <c r="C6" s="86">
        <f>9479759-9475794</f>
        <v>3965</v>
      </c>
      <c r="D6" s="86">
        <f>1891618-1890778</f>
        <v>840</v>
      </c>
      <c r="E6" s="86">
        <f>14359149-14352796</f>
        <v>6353</v>
      </c>
      <c r="F6" s="86">
        <f>14001881-13995734</f>
        <v>6147</v>
      </c>
      <c r="G6" s="86">
        <f>9542810-9540176</f>
        <v>2634</v>
      </c>
      <c r="H6" s="86">
        <f>11119711-11113393</f>
        <v>6318</v>
      </c>
      <c r="I6" s="86">
        <f>6187201-6184777</f>
        <v>2424</v>
      </c>
      <c r="J6" s="86">
        <f>14490085-14483462</f>
        <v>6623</v>
      </c>
      <c r="K6" s="63">
        <f>SUM(B6:H6)</f>
        <v>31883</v>
      </c>
      <c r="L6" s="40">
        <f>K6*0.2</f>
        <v>6376.6</v>
      </c>
      <c r="M6" s="83">
        <f>50130.304-49955.265</f>
        <v>175.03899999999703</v>
      </c>
      <c r="N6" s="83">
        <f>5309.929-5306.836</f>
        <v>3.0929999999998472</v>
      </c>
      <c r="O6" s="83">
        <f>10511.757-10511.637</f>
        <v>0.11999999999898137</v>
      </c>
      <c r="P6" s="82">
        <f>20940.75-20872.648</f>
        <v>68.101999999998952</v>
      </c>
      <c r="Q6" s="83">
        <f>31290.393-31258.666</f>
        <v>31.726999999998952</v>
      </c>
      <c r="R6" s="84">
        <f t="shared" ref="R6:R34" si="0">N6+O6+P6</f>
        <v>71.314999999997781</v>
      </c>
      <c r="S6" s="84">
        <f t="shared" ref="S6:S34" si="1">(N6+O6+P6)*7.84</f>
        <v>559.10959999998261</v>
      </c>
      <c r="T6" s="64">
        <f t="shared" ref="T6:T34" si="2">M6+Q6</f>
        <v>206.76599999999598</v>
      </c>
      <c r="U6" s="84">
        <f>T6*7.84</f>
        <v>1621.0454399999685</v>
      </c>
      <c r="V6" s="84">
        <f>438174.4-437929.1</f>
        <v>245.30000000004657</v>
      </c>
      <c r="W6" s="84">
        <f>180304.73-180104.05</f>
        <v>200.68000000002212</v>
      </c>
      <c r="X6" s="85" t="s">
        <v>63</v>
      </c>
      <c r="Y6" s="85">
        <v>1136043</v>
      </c>
      <c r="Z6" s="61">
        <f>IF((Y6-Y5&lt;0), "0",Y6-Y4)</f>
        <v>776</v>
      </c>
      <c r="AA6" s="90">
        <f>Z6*6.47</f>
        <v>5020.72</v>
      </c>
      <c r="AB6" s="75">
        <v>16181760</v>
      </c>
      <c r="AC6" s="75">
        <f>AB4</f>
        <v>16151083</v>
      </c>
      <c r="AD6" s="41">
        <f t="shared" ref="AD6:AD34" si="3">IF((AB6-AC6&lt;0), "0",AB6-AC6)</f>
        <v>30677</v>
      </c>
      <c r="AE6" s="84">
        <f>AD6*0.327899</f>
        <v>10058.957623</v>
      </c>
      <c r="AF6" s="84">
        <f>105394-105336.5</f>
        <v>57.5</v>
      </c>
      <c r="AG6" s="84">
        <f t="shared" ref="AG6:AG35" si="4">50692.5-50692.5</f>
        <v>0</v>
      </c>
      <c r="AH6" s="84">
        <f>33242.1-33225.6</f>
        <v>16.5</v>
      </c>
      <c r="AI6" s="75">
        <f>AI4</f>
        <v>57143</v>
      </c>
      <c r="AJ6" s="75">
        <v>57170.400000000001</v>
      </c>
      <c r="AK6" s="59">
        <f>IF((AJ6-AI6)&lt;0, "0",AJ6-AI6)</f>
        <v>27.400000000001455</v>
      </c>
      <c r="AL6" s="120">
        <f t="shared" ref="AL6:AL34" si="5">AK6*(284.34513609)</f>
        <v>7791.0567288664133</v>
      </c>
      <c r="AM6" s="84">
        <f>AL6*0.327899</f>
        <v>2554.6797103385679</v>
      </c>
      <c r="AN6" s="101">
        <v>56</v>
      </c>
      <c r="AO6" s="77">
        <f t="shared" ref="AO6:AO36" si="6">L6+U6+AA6+AE6</f>
        <v>23077.323062999967</v>
      </c>
    </row>
    <row r="7" spans="1:44" x14ac:dyDescent="0.25">
      <c r="A7" s="79">
        <v>44806</v>
      </c>
      <c r="B7" s="86">
        <f>14758699-14753195</f>
        <v>5504</v>
      </c>
      <c r="C7" s="86">
        <f>9483755-9479759</f>
        <v>3996</v>
      </c>
      <c r="D7" s="86">
        <f>1892518-1891618</f>
        <v>900</v>
      </c>
      <c r="E7" s="86">
        <f>14365464-14359149</f>
        <v>6315</v>
      </c>
      <c r="F7" s="86">
        <f>14008097-14001881</f>
        <v>6216</v>
      </c>
      <c r="G7" s="86">
        <f>9545461-9542810</f>
        <v>2651</v>
      </c>
      <c r="H7" s="86">
        <f>11126002-11119711</f>
        <v>6291</v>
      </c>
      <c r="I7" s="86">
        <f>6189661-6187201</f>
        <v>2460</v>
      </c>
      <c r="J7" s="86">
        <f>14496939-14490085</f>
        <v>6854</v>
      </c>
      <c r="K7" s="86">
        <f>SUM(B7:H7)</f>
        <v>31873</v>
      </c>
      <c r="L7" s="14">
        <f>K7*0.2</f>
        <v>6374.6</v>
      </c>
      <c r="M7" s="83">
        <f>50290.709-50130.304</f>
        <v>160.40500000000611</v>
      </c>
      <c r="N7" s="83">
        <f>5312.447-5309.929</f>
        <v>2.5180000000000291</v>
      </c>
      <c r="O7" s="83">
        <f>10511.977-10511.757</f>
        <v>0.22000000000116415</v>
      </c>
      <c r="P7" s="82">
        <f>21014.106-20940.75</f>
        <v>73.355999999999767</v>
      </c>
      <c r="Q7" s="83">
        <f>31312.836-31290.393</f>
        <v>22.442999999999302</v>
      </c>
      <c r="R7" s="83">
        <f t="shared" si="0"/>
        <v>76.09400000000096</v>
      </c>
      <c r="S7" s="83">
        <f>(N7+O7+P7)*7.84</f>
        <v>596.57696000000749</v>
      </c>
      <c r="T7" s="83">
        <f>M7+Q7</f>
        <v>182.84800000000541</v>
      </c>
      <c r="U7" s="83">
        <f>T7*7.84</f>
        <v>1433.5283200000424</v>
      </c>
      <c r="V7" s="83">
        <f>438413-438174.4</f>
        <v>238.59999999997672</v>
      </c>
      <c r="W7" s="83">
        <f>180484.26-180304.73</f>
        <v>179.52999999999884</v>
      </c>
      <c r="X7" s="86" t="s">
        <v>63</v>
      </c>
      <c r="Y7" s="86">
        <v>1136793</v>
      </c>
      <c r="Z7" s="5">
        <f>IF((Y7-Y6&lt;0), "0",Y7-Y6)</f>
        <v>750</v>
      </c>
      <c r="AA7" s="14">
        <f t="shared" ref="AA7:AA34" si="7">Z7*6.47</f>
        <v>4852.5</v>
      </c>
      <c r="AB7" s="87">
        <v>16212046</v>
      </c>
      <c r="AC7" s="87">
        <f>AB6</f>
        <v>16181760</v>
      </c>
      <c r="AD7" s="5">
        <f t="shared" si="3"/>
        <v>30286</v>
      </c>
      <c r="AE7" s="83">
        <f>AD7*0.327899</f>
        <v>9930.7491140000002</v>
      </c>
      <c r="AF7" s="83">
        <f>105449.9-105394</f>
        <v>55.899999999994179</v>
      </c>
      <c r="AG7" s="83">
        <f t="shared" si="4"/>
        <v>0</v>
      </c>
      <c r="AH7" s="83">
        <f>33258.2-33242.1</f>
        <v>16.099999999998545</v>
      </c>
      <c r="AI7" s="87">
        <f>AJ6</f>
        <v>57170.400000000001</v>
      </c>
      <c r="AJ7" s="86">
        <v>57198.1</v>
      </c>
      <c r="AK7" s="48">
        <f t="shared" ref="AK7:AK34" si="8">IF((AJ7-AI7)&lt;0, "0",AJ7-AI7)</f>
        <v>27.69999999999709</v>
      </c>
      <c r="AL7" s="89">
        <f t="shared" si="5"/>
        <v>7876.3602696921716</v>
      </c>
      <c r="AM7" s="83">
        <f>AL7*0.327899</f>
        <v>2582.6506560717935</v>
      </c>
      <c r="AN7" s="71">
        <v>47</v>
      </c>
      <c r="AO7" s="78">
        <f t="shared" si="6"/>
        <v>22591.377434000045</v>
      </c>
    </row>
    <row r="8" spans="1:44" x14ac:dyDescent="0.25">
      <c r="A8" s="79">
        <v>44807</v>
      </c>
      <c r="B8" s="86">
        <f>14764120-14758699</f>
        <v>5421</v>
      </c>
      <c r="C8" s="86">
        <f>9487532-9483755</f>
        <v>3777</v>
      </c>
      <c r="D8" s="86">
        <f>1893370-1892518</f>
        <v>852</v>
      </c>
      <c r="E8" s="86">
        <f>14372018-14365464</f>
        <v>6554</v>
      </c>
      <c r="F8" s="86">
        <f>14014438-14008097</f>
        <v>6341</v>
      </c>
      <c r="G8" s="86">
        <f>9548225-9545461</f>
        <v>2764</v>
      </c>
      <c r="H8" s="86">
        <f>11132344-11126002</f>
        <v>6342</v>
      </c>
      <c r="I8" s="86">
        <f>6192035-6189661</f>
        <v>2374</v>
      </c>
      <c r="J8" s="86">
        <f>14503937-14496939</f>
        <v>6998</v>
      </c>
      <c r="K8" s="86">
        <f>SUM(B8:H8)</f>
        <v>32051</v>
      </c>
      <c r="L8" s="14">
        <f t="shared" ref="L8:L34" si="9">K8*0.2</f>
        <v>6410.2000000000007</v>
      </c>
      <c r="M8" s="83">
        <f>50458.128-50290.709</f>
        <v>167.41899999999441</v>
      </c>
      <c r="N8" s="83">
        <f>5315.429-5312.447</f>
        <v>2.9819999999999709</v>
      </c>
      <c r="O8" s="83">
        <f>10512.363-10511.977</f>
        <v>0.38599999999860302</v>
      </c>
      <c r="P8" s="82">
        <f>21095.569-21014.106</f>
        <v>81.462999999999738</v>
      </c>
      <c r="Q8" s="83">
        <f>31321.822-31312.836</f>
        <v>8.9860000000007858</v>
      </c>
      <c r="R8" s="83">
        <f t="shared" si="0"/>
        <v>84.830999999998312</v>
      </c>
      <c r="S8" s="83">
        <f>(N8+O8+P8)*7.84</f>
        <v>665.07503999998676</v>
      </c>
      <c r="T8" s="83">
        <f>M8+Q8</f>
        <v>176.4049999999952</v>
      </c>
      <c r="U8" s="83">
        <f>T8*7.84</f>
        <v>1383.0151999999623</v>
      </c>
      <c r="V8" s="83">
        <f>438650-438413</f>
        <v>237</v>
      </c>
      <c r="W8" s="83">
        <f>180687.12-180484.26</f>
        <v>202.85999999998603</v>
      </c>
      <c r="X8" s="86" t="s">
        <v>63</v>
      </c>
      <c r="Y8" s="86">
        <v>1137587</v>
      </c>
      <c r="Z8" s="5">
        <f t="shared" ref="Z8:Z34" si="10">IF((Y8-Y7&lt;0), "0",Y8-Y7)</f>
        <v>794</v>
      </c>
      <c r="AA8" s="14">
        <f t="shared" si="7"/>
        <v>5137.1799999999994</v>
      </c>
      <c r="AB8" s="87">
        <v>16242062</v>
      </c>
      <c r="AC8" s="87">
        <f t="shared" ref="AC8:AC34" si="11">AB7</f>
        <v>16212046</v>
      </c>
      <c r="AD8" s="5">
        <f t="shared" si="3"/>
        <v>30016</v>
      </c>
      <c r="AE8" s="83">
        <f t="shared" ref="AE8:AE36" si="12">AD8*0.327899</f>
        <v>9842.2163839999994</v>
      </c>
      <c r="AF8" s="83">
        <f>105505.3-105449.9</f>
        <v>55.400000000008731</v>
      </c>
      <c r="AG8" s="83">
        <f t="shared" si="4"/>
        <v>0</v>
      </c>
      <c r="AH8" s="83">
        <f>33274.3-33258.2</f>
        <v>16.100000000005821</v>
      </c>
      <c r="AI8" s="87">
        <f t="shared" ref="AI8:AI36" si="13">AJ7</f>
        <v>57198.1</v>
      </c>
      <c r="AJ8" s="86">
        <v>57225.599999999999</v>
      </c>
      <c r="AK8" s="48">
        <f t="shared" si="8"/>
        <v>27.5</v>
      </c>
      <c r="AL8" s="89">
        <f t="shared" si="5"/>
        <v>7819.4912424749991</v>
      </c>
      <c r="AM8" s="83">
        <f t="shared" ref="AM8:AM36" si="14">AL8*0.327899</f>
        <v>2564.0033589163095</v>
      </c>
      <c r="AN8" s="71">
        <v>47</v>
      </c>
      <c r="AO8" s="78">
        <f t="shared" si="6"/>
        <v>22772.611583999962</v>
      </c>
    </row>
    <row r="9" spans="1:44" x14ac:dyDescent="0.25">
      <c r="A9" s="79">
        <v>44808</v>
      </c>
      <c r="B9" s="86">
        <f>14769625-14764120</f>
        <v>5505</v>
      </c>
      <c r="C9" s="86">
        <f>9491261-9487532</f>
        <v>3729</v>
      </c>
      <c r="D9" s="86">
        <f>1894300-1893370</f>
        <v>930</v>
      </c>
      <c r="E9" s="86">
        <f>14378812-14372018</f>
        <v>6794</v>
      </c>
      <c r="F9" s="86">
        <f>14020473-14014438</f>
        <v>6035</v>
      </c>
      <c r="G9" s="86">
        <f>9551100-9548225</f>
        <v>2875</v>
      </c>
      <c r="H9" s="86">
        <f>11138635-11132344</f>
        <v>6291</v>
      </c>
      <c r="I9" s="86">
        <f>6194463-6192035</f>
        <v>2428</v>
      </c>
      <c r="J9" s="86">
        <f>14511090-14503937</f>
        <v>7153</v>
      </c>
      <c r="K9" s="86">
        <f t="shared" ref="K9:K34" si="15">SUM(B9:H9)</f>
        <v>32159</v>
      </c>
      <c r="L9" s="14">
        <f t="shared" si="9"/>
        <v>6431.8</v>
      </c>
      <c r="M9" s="83">
        <f>50627.227-50458.128</f>
        <v>169.09900000000198</v>
      </c>
      <c r="N9" s="83">
        <f>5317.534-5315.429</f>
        <v>2.1049999999995634</v>
      </c>
      <c r="O9" s="83">
        <f>10512.534-10512.363</f>
        <v>0.17100000000027649</v>
      </c>
      <c r="P9" s="82">
        <f>21164.226-21095.569</f>
        <v>68.656999999999243</v>
      </c>
      <c r="Q9" s="83">
        <f>31348.389-31321.822</f>
        <v>26.566999999999098</v>
      </c>
      <c r="R9" s="83">
        <f t="shared" si="0"/>
        <v>70.932999999999083</v>
      </c>
      <c r="S9" s="83">
        <f t="shared" si="1"/>
        <v>556.11471999999276</v>
      </c>
      <c r="T9" s="83">
        <f t="shared" si="2"/>
        <v>195.66600000000108</v>
      </c>
      <c r="U9" s="83">
        <f t="shared" ref="U9:U37" si="16">T9*7.84</f>
        <v>1534.0214400000084</v>
      </c>
      <c r="V9" s="83">
        <f>438862.2-438650</f>
        <v>212.20000000001164</v>
      </c>
      <c r="W9" s="83">
        <f>180893.13-180687.12</f>
        <v>206.01000000000931</v>
      </c>
      <c r="X9" s="86" t="s">
        <v>63</v>
      </c>
      <c r="Y9" s="86">
        <v>1138293</v>
      </c>
      <c r="Z9" s="5">
        <f t="shared" si="10"/>
        <v>706</v>
      </c>
      <c r="AA9" s="14">
        <f t="shared" si="7"/>
        <v>4567.82</v>
      </c>
      <c r="AB9" s="87">
        <v>16270262</v>
      </c>
      <c r="AC9" s="87">
        <f t="shared" si="11"/>
        <v>16242062</v>
      </c>
      <c r="AD9" s="5">
        <f t="shared" si="3"/>
        <v>28200</v>
      </c>
      <c r="AE9" s="83">
        <f t="shared" si="12"/>
        <v>9246.7518</v>
      </c>
      <c r="AF9" s="83">
        <f>105561.7-105505.3</f>
        <v>56.399999999994179</v>
      </c>
      <c r="AG9" s="83">
        <f t="shared" si="4"/>
        <v>0</v>
      </c>
      <c r="AH9" s="83">
        <f>33289.9-33274.3</f>
        <v>15.599999999998545</v>
      </c>
      <c r="AI9" s="87">
        <f t="shared" si="13"/>
        <v>57225.599999999999</v>
      </c>
      <c r="AJ9" s="86">
        <v>57252.6</v>
      </c>
      <c r="AK9" s="48">
        <f t="shared" si="8"/>
        <v>27</v>
      </c>
      <c r="AL9" s="89">
        <f t="shared" si="5"/>
        <v>7677.3186744299992</v>
      </c>
      <c r="AM9" s="83">
        <f t="shared" si="14"/>
        <v>2517.3851160269223</v>
      </c>
      <c r="AN9" s="71">
        <v>71</v>
      </c>
      <c r="AO9" s="78">
        <f t="shared" si="6"/>
        <v>21780.393240000009</v>
      </c>
    </row>
    <row r="10" spans="1:44" x14ac:dyDescent="0.25">
      <c r="A10" s="79">
        <v>44809</v>
      </c>
      <c r="B10" s="86">
        <f>14775416-14769625</f>
        <v>5791</v>
      </c>
      <c r="C10" s="86">
        <f>9495527-9491261</f>
        <v>4266</v>
      </c>
      <c r="D10" s="86">
        <f>1895190-1894300</f>
        <v>890</v>
      </c>
      <c r="E10" s="86">
        <f>14385370-14378812</f>
        <v>6558</v>
      </c>
      <c r="F10" s="86">
        <f>14026656-14020473</f>
        <v>6183</v>
      </c>
      <c r="G10" s="86">
        <f>9554085-9551100</f>
        <v>2985</v>
      </c>
      <c r="H10" s="86">
        <f>11144813-11138635</f>
        <v>6178</v>
      </c>
      <c r="I10" s="86">
        <f>6196951-6194463</f>
        <v>2488</v>
      </c>
      <c r="J10" s="86">
        <f>14518121-14511090</f>
        <v>7031</v>
      </c>
      <c r="K10" s="86">
        <f t="shared" si="15"/>
        <v>32851</v>
      </c>
      <c r="L10" s="14">
        <f t="shared" si="9"/>
        <v>6570.2000000000007</v>
      </c>
      <c r="M10" s="83">
        <f>50790.736-50627.227</f>
        <v>163.5089999999982</v>
      </c>
      <c r="N10" s="83">
        <f>5319.97-5317.534</f>
        <v>2.4360000000006039</v>
      </c>
      <c r="O10" s="83">
        <f>10512.651-10512.534</f>
        <v>0.11700000000018917</v>
      </c>
      <c r="P10" s="82">
        <f>21229.728-21164.226</f>
        <v>65.502000000000407</v>
      </c>
      <c r="Q10" s="83">
        <f>31367.116-31348.389</f>
        <v>18.72700000000259</v>
      </c>
      <c r="R10" s="83">
        <f t="shared" si="0"/>
        <v>68.055000000001201</v>
      </c>
      <c r="S10" s="83">
        <f t="shared" si="1"/>
        <v>533.55120000000943</v>
      </c>
      <c r="T10" s="83">
        <f t="shared" si="2"/>
        <v>182.23600000000079</v>
      </c>
      <c r="U10" s="83">
        <f t="shared" si="16"/>
        <v>1428.7302400000062</v>
      </c>
      <c r="V10" s="83">
        <f>439081.9-438862.2</f>
        <v>219.70000000001164</v>
      </c>
      <c r="W10" s="83">
        <f>181083.17-180893.13</f>
        <v>190.04000000000815</v>
      </c>
      <c r="X10" s="86" t="s">
        <v>63</v>
      </c>
      <c r="Y10" s="86">
        <v>1139046</v>
      </c>
      <c r="Z10" s="5">
        <f t="shared" si="10"/>
        <v>753</v>
      </c>
      <c r="AA10" s="14">
        <f t="shared" si="7"/>
        <v>4871.91</v>
      </c>
      <c r="AB10" s="87">
        <v>16299136</v>
      </c>
      <c r="AC10" s="87">
        <f t="shared" si="11"/>
        <v>16270262</v>
      </c>
      <c r="AD10" s="5">
        <f t="shared" si="3"/>
        <v>28874</v>
      </c>
      <c r="AE10" s="83">
        <f t="shared" si="12"/>
        <v>9467.7557259999994</v>
      </c>
      <c r="AF10" s="83">
        <f>105608.2-105561.7</f>
        <v>46.5</v>
      </c>
      <c r="AG10" s="83">
        <f t="shared" si="4"/>
        <v>0</v>
      </c>
      <c r="AH10" s="83">
        <f>33306.2-33289.9</f>
        <v>16.299999999995634</v>
      </c>
      <c r="AI10" s="87">
        <f t="shared" si="13"/>
        <v>57252.6</v>
      </c>
      <c r="AJ10" s="87">
        <v>57281.8</v>
      </c>
      <c r="AK10" s="48">
        <f t="shared" si="8"/>
        <v>29.200000000004366</v>
      </c>
      <c r="AL10" s="89">
        <f t="shared" si="5"/>
        <v>8302.8779738292415</v>
      </c>
      <c r="AM10" s="83">
        <f t="shared" si="14"/>
        <v>2722.5053847406343</v>
      </c>
      <c r="AN10" s="71">
        <v>84</v>
      </c>
      <c r="AO10" s="78">
        <f t="shared" si="6"/>
        <v>22338.595966000008</v>
      </c>
    </row>
    <row r="11" spans="1:44" x14ac:dyDescent="0.25">
      <c r="A11" s="79">
        <v>44810</v>
      </c>
      <c r="B11" s="86">
        <f>14781358-14775416</f>
        <v>5942</v>
      </c>
      <c r="C11" s="86">
        <f>9499634-9495527</f>
        <v>4107</v>
      </c>
      <c r="D11" s="86">
        <f>1896127-1895190</f>
        <v>937</v>
      </c>
      <c r="E11" s="86">
        <f>14392066-14385370</f>
        <v>6696</v>
      </c>
      <c r="F11" s="86">
        <f>14032837-14026656</f>
        <v>6181</v>
      </c>
      <c r="G11" s="86">
        <f>9556978-9554085</f>
        <v>2893</v>
      </c>
      <c r="H11" s="86">
        <f>11151032-11144813</f>
        <v>6219</v>
      </c>
      <c r="I11" s="86">
        <f>6199470-6196951</f>
        <v>2519</v>
      </c>
      <c r="J11" s="86">
        <f>14525406-14518121</f>
        <v>7285</v>
      </c>
      <c r="K11" s="86">
        <f t="shared" si="15"/>
        <v>32975</v>
      </c>
      <c r="L11" s="14">
        <f t="shared" si="9"/>
        <v>6595</v>
      </c>
      <c r="M11" s="83">
        <f>50966.369-50790.736</f>
        <v>175.63300000000163</v>
      </c>
      <c r="N11" s="83">
        <f>5322.837-5319.97</f>
        <v>2.8670000000001892</v>
      </c>
      <c r="O11" s="83">
        <f>10512.783-10512.651</f>
        <v>0.1319999999996071</v>
      </c>
      <c r="P11" s="82">
        <f>21299.871-21229.728</f>
        <v>70.143000000000029</v>
      </c>
      <c r="Q11" s="83">
        <f>31401.376-31367.116</f>
        <v>34.259999999998399</v>
      </c>
      <c r="R11" s="83">
        <f t="shared" si="0"/>
        <v>73.141999999999825</v>
      </c>
      <c r="S11" s="83">
        <f t="shared" si="1"/>
        <v>573.4332799999986</v>
      </c>
      <c r="T11" s="83">
        <f t="shared" si="2"/>
        <v>209.89300000000003</v>
      </c>
      <c r="U11" s="83">
        <f t="shared" si="16"/>
        <v>1645.5611200000003</v>
      </c>
      <c r="V11" s="83">
        <f>439320.9-439081.9</f>
        <v>239</v>
      </c>
      <c r="W11" s="83">
        <f>181281.22-181083.17</f>
        <v>198.04999999998836</v>
      </c>
      <c r="X11" s="86" t="s">
        <v>63</v>
      </c>
      <c r="Y11" s="86">
        <v>1139779</v>
      </c>
      <c r="Z11" s="5">
        <f t="shared" si="10"/>
        <v>733</v>
      </c>
      <c r="AA11" s="14">
        <f t="shared" si="7"/>
        <v>4742.51</v>
      </c>
      <c r="AB11" s="87">
        <v>16326965</v>
      </c>
      <c r="AC11" s="86">
        <f t="shared" si="11"/>
        <v>16299136</v>
      </c>
      <c r="AD11" s="5">
        <f t="shared" si="3"/>
        <v>27829</v>
      </c>
      <c r="AE11" s="83">
        <f t="shared" si="12"/>
        <v>9125.1012709999995</v>
      </c>
      <c r="AF11" s="83">
        <f>105655.4-105608.2</f>
        <v>47.19999999999709</v>
      </c>
      <c r="AG11" s="83">
        <f t="shared" si="4"/>
        <v>0</v>
      </c>
      <c r="AH11" s="83">
        <f>33322.4-33306.2</f>
        <v>16.200000000004366</v>
      </c>
      <c r="AI11" s="87">
        <f t="shared" si="13"/>
        <v>57281.8</v>
      </c>
      <c r="AJ11" s="87">
        <v>57312.3</v>
      </c>
      <c r="AK11" s="48">
        <f t="shared" si="8"/>
        <v>30.5</v>
      </c>
      <c r="AL11" s="89">
        <f t="shared" si="5"/>
        <v>8672.5266507449996</v>
      </c>
      <c r="AM11" s="83">
        <f t="shared" si="14"/>
        <v>2843.7128162526346</v>
      </c>
      <c r="AN11" s="71">
        <v>96</v>
      </c>
      <c r="AO11" s="78">
        <f t="shared" si="6"/>
        <v>22108.172391</v>
      </c>
    </row>
    <row r="12" spans="1:44" x14ac:dyDescent="0.25">
      <c r="A12" s="79">
        <v>44811</v>
      </c>
      <c r="B12" s="86">
        <f>14787250-14781358</f>
        <v>5892</v>
      </c>
      <c r="C12" s="86">
        <f>9504111-9499634</f>
        <v>4477</v>
      </c>
      <c r="D12" s="86">
        <f>1897048-1896127</f>
        <v>921</v>
      </c>
      <c r="E12" s="86">
        <f>14398722-14392066</f>
        <v>6656</v>
      </c>
      <c r="F12" s="86">
        <f>14039055-14032837</f>
        <v>6218</v>
      </c>
      <c r="G12" s="86">
        <f>9559936-9556978</f>
        <v>2958</v>
      </c>
      <c r="H12" s="86">
        <f>11157143-11151032</f>
        <v>6111</v>
      </c>
      <c r="I12" s="86">
        <f>6202027-6199470</f>
        <v>2557</v>
      </c>
      <c r="J12" s="86">
        <f>14532612-14525406</f>
        <v>7206</v>
      </c>
      <c r="K12" s="86">
        <f t="shared" si="15"/>
        <v>33233</v>
      </c>
      <c r="L12" s="14">
        <f t="shared" si="9"/>
        <v>6646.6</v>
      </c>
      <c r="M12" s="83">
        <f>51159.999-50966.369</f>
        <v>193.63000000000466</v>
      </c>
      <c r="N12" s="83">
        <f>5326.763-5322.837</f>
        <v>3.9259999999994761</v>
      </c>
      <c r="O12" s="83">
        <f>10512.93-10512.783</f>
        <v>0.14700000000084401</v>
      </c>
      <c r="P12" s="82">
        <f>21370.369-21299.871</f>
        <v>70.497999999999593</v>
      </c>
      <c r="Q12" s="83">
        <f>31420.96-31401.376</f>
        <v>19.583999999998923</v>
      </c>
      <c r="R12" s="83">
        <f t="shared" si="0"/>
        <v>74.570999999999913</v>
      </c>
      <c r="S12" s="83">
        <f t="shared" si="1"/>
        <v>584.63663999999926</v>
      </c>
      <c r="T12" s="83">
        <f t="shared" si="2"/>
        <v>213.21400000000358</v>
      </c>
      <c r="U12" s="83">
        <f t="shared" si="16"/>
        <v>1671.5977600000281</v>
      </c>
      <c r="V12" s="83">
        <f>439539.9-439320.9</f>
        <v>219</v>
      </c>
      <c r="W12" s="83">
        <f>181480.27-181281.22</f>
        <v>199.04999999998836</v>
      </c>
      <c r="X12" s="86" t="s">
        <v>63</v>
      </c>
      <c r="Y12" s="86">
        <v>1140498</v>
      </c>
      <c r="Z12" s="5">
        <f t="shared" si="10"/>
        <v>719</v>
      </c>
      <c r="AA12" s="14">
        <f t="shared" si="7"/>
        <v>4651.9299999999994</v>
      </c>
      <c r="AB12" s="87">
        <v>16355561</v>
      </c>
      <c r="AC12" s="86">
        <f t="shared" si="11"/>
        <v>16326965</v>
      </c>
      <c r="AD12" s="5">
        <f t="shared" si="3"/>
        <v>28596</v>
      </c>
      <c r="AE12" s="83">
        <f t="shared" si="12"/>
        <v>9376.5998039999995</v>
      </c>
      <c r="AF12" s="83">
        <f>105704.8-105655.4</f>
        <v>49.400000000008731</v>
      </c>
      <c r="AG12" s="83">
        <f t="shared" si="4"/>
        <v>0</v>
      </c>
      <c r="AH12" s="83">
        <f>33338.9-33322.4</f>
        <v>16.5</v>
      </c>
      <c r="AI12" s="87">
        <f t="shared" si="13"/>
        <v>57312.3</v>
      </c>
      <c r="AJ12" s="87">
        <v>57342.8</v>
      </c>
      <c r="AK12" s="48">
        <f t="shared" si="8"/>
        <v>30.5</v>
      </c>
      <c r="AL12" s="89">
        <f t="shared" si="5"/>
        <v>8672.5266507449996</v>
      </c>
      <c r="AM12" s="83">
        <f t="shared" si="14"/>
        <v>2843.7128162526346</v>
      </c>
      <c r="AN12" s="71">
        <v>111</v>
      </c>
      <c r="AO12" s="78">
        <f t="shared" si="6"/>
        <v>22346.72756400003</v>
      </c>
    </row>
    <row r="13" spans="1:44" x14ac:dyDescent="0.25">
      <c r="A13" s="79">
        <v>44812</v>
      </c>
      <c r="B13" s="86">
        <f>14793316-14787250</f>
        <v>6066</v>
      </c>
      <c r="C13" s="86">
        <f>9508229-9504111</f>
        <v>4118</v>
      </c>
      <c r="D13" s="86">
        <f>1897970-1897048</f>
        <v>922</v>
      </c>
      <c r="E13" s="86">
        <f>14405590-14398722</f>
        <v>6868</v>
      </c>
      <c r="F13" s="86">
        <f>14045308-14039055</f>
        <v>6253</v>
      </c>
      <c r="G13" s="86">
        <f>9562905-9559936</f>
        <v>2969</v>
      </c>
      <c r="H13" s="86">
        <f>11163231-11157143</f>
        <v>6088</v>
      </c>
      <c r="I13" s="86">
        <f>6204537-6202027</f>
        <v>2510</v>
      </c>
      <c r="J13" s="86">
        <f>14540026-14532612</f>
        <v>7414</v>
      </c>
      <c r="K13" s="86">
        <f t="shared" si="15"/>
        <v>33284</v>
      </c>
      <c r="L13" s="14">
        <f t="shared" si="9"/>
        <v>6656.8</v>
      </c>
      <c r="M13" s="83">
        <f>51350.661-51159.999</f>
        <v>190.66199999999662</v>
      </c>
      <c r="N13" s="83">
        <f>5329.31-5326.763</f>
        <v>2.5470000000004802</v>
      </c>
      <c r="O13" s="83">
        <f>10513.029-10512.93</f>
        <v>9.9000000000160071E-2</v>
      </c>
      <c r="P13" s="82">
        <f>21450.111-21370.369</f>
        <v>79.742000000002008</v>
      </c>
      <c r="Q13" s="83">
        <f>31450.386-31420.96</f>
        <v>29.425999999999476</v>
      </c>
      <c r="R13" s="83">
        <f t="shared" si="0"/>
        <v>82.388000000002648</v>
      </c>
      <c r="S13" s="83">
        <f t="shared" si="1"/>
        <v>645.9219200000208</v>
      </c>
      <c r="T13" s="83">
        <f t="shared" si="2"/>
        <v>220.0879999999961</v>
      </c>
      <c r="U13" s="83">
        <f t="shared" si="16"/>
        <v>1725.4899199999693</v>
      </c>
      <c r="V13" s="83">
        <f>439779.8-439539.9</f>
        <v>239.89999999996508</v>
      </c>
      <c r="W13" s="83">
        <f>181635.27-181480.27</f>
        <v>155</v>
      </c>
      <c r="X13" s="86" t="s">
        <v>63</v>
      </c>
      <c r="Y13" s="86">
        <v>1141270</v>
      </c>
      <c r="Z13" s="5">
        <f t="shared" si="10"/>
        <v>772</v>
      </c>
      <c r="AA13" s="14">
        <f t="shared" si="7"/>
        <v>4994.84</v>
      </c>
      <c r="AB13" s="87">
        <v>16384460</v>
      </c>
      <c r="AC13" s="86">
        <f t="shared" si="11"/>
        <v>16355561</v>
      </c>
      <c r="AD13" s="5">
        <f t="shared" si="3"/>
        <v>28899</v>
      </c>
      <c r="AE13" s="83">
        <f t="shared" si="12"/>
        <v>9475.9532010000003</v>
      </c>
      <c r="AF13" s="83">
        <f>105755.2-105704.8</f>
        <v>50.399999999994179</v>
      </c>
      <c r="AG13" s="83">
        <f t="shared" si="4"/>
        <v>0</v>
      </c>
      <c r="AH13" s="83">
        <f>33355.4-33338.9</f>
        <v>16.5</v>
      </c>
      <c r="AI13" s="87">
        <f t="shared" si="13"/>
        <v>57342.8</v>
      </c>
      <c r="AJ13" s="87">
        <v>57373.7</v>
      </c>
      <c r="AK13" s="48">
        <f t="shared" si="8"/>
        <v>30.899999999994179</v>
      </c>
      <c r="AL13" s="89">
        <f t="shared" si="5"/>
        <v>8786.2647051793447</v>
      </c>
      <c r="AM13" s="83">
        <f t="shared" si="14"/>
        <v>2881.0074105636018</v>
      </c>
      <c r="AN13" s="71">
        <v>90</v>
      </c>
      <c r="AO13" s="78">
        <f t="shared" si="6"/>
        <v>22853.083120999971</v>
      </c>
    </row>
    <row r="14" spans="1:44" x14ac:dyDescent="0.25">
      <c r="A14" s="79">
        <v>44813</v>
      </c>
      <c r="B14" s="86">
        <f>14799423-14793316</f>
        <v>6107</v>
      </c>
      <c r="C14" s="86">
        <f>9512334-9508229</f>
        <v>4105</v>
      </c>
      <c r="D14" s="86">
        <f>1898911-1897970</f>
        <v>941</v>
      </c>
      <c r="E14" s="86">
        <f>14412305-14405590</f>
        <v>6715</v>
      </c>
      <c r="F14" s="86">
        <f>14051685-14045308</f>
        <v>6377</v>
      </c>
      <c r="G14" s="86">
        <f>9565733-9562905</f>
        <v>2828</v>
      </c>
      <c r="H14" s="86">
        <f>11168797-11163231</f>
        <v>5566</v>
      </c>
      <c r="I14" s="86">
        <f>6207040-6204537</f>
        <v>2503</v>
      </c>
      <c r="J14" s="86">
        <f>14547680-14540026</f>
        <v>7654</v>
      </c>
      <c r="K14" s="86">
        <f t="shared" si="15"/>
        <v>32639</v>
      </c>
      <c r="L14" s="14">
        <f t="shared" si="9"/>
        <v>6527.8</v>
      </c>
      <c r="M14" s="83">
        <f>51528.791-51350.661</f>
        <v>178.12999999999738</v>
      </c>
      <c r="N14" s="83">
        <f>5332.509-5329.31</f>
        <v>3.1989999999996144</v>
      </c>
      <c r="O14" s="83">
        <f>10513.141-10513.029</f>
        <v>0.11199999999917054</v>
      </c>
      <c r="P14" s="82">
        <f>21532.641-21450.111</f>
        <v>82.529999999998836</v>
      </c>
      <c r="Q14" s="83">
        <f>31459.316-31450.386</f>
        <v>8.930000000000291</v>
      </c>
      <c r="R14" s="83">
        <f>N14+O14+P14</f>
        <v>85.840999999997621</v>
      </c>
      <c r="S14" s="83">
        <f t="shared" si="1"/>
        <v>672.99343999998132</v>
      </c>
      <c r="T14" s="83">
        <f t="shared" si="2"/>
        <v>187.05999999999767</v>
      </c>
      <c r="U14" s="83">
        <f t="shared" si="16"/>
        <v>1466.5503999999817</v>
      </c>
      <c r="V14" s="83">
        <f>440008.8-439779.8</f>
        <v>229</v>
      </c>
      <c r="W14" s="83">
        <f>181840.26-181635.27</f>
        <v>204.99000000001979</v>
      </c>
      <c r="X14" s="86" t="s">
        <v>63</v>
      </c>
      <c r="Y14" s="87">
        <v>1142072</v>
      </c>
      <c r="Z14" s="5">
        <f>IF((Y14-Y13&lt;0), "0",Y14-Y13)</f>
        <v>802</v>
      </c>
      <c r="AA14" s="14">
        <f t="shared" si="7"/>
        <v>5188.9399999999996</v>
      </c>
      <c r="AB14" s="87">
        <v>16414105</v>
      </c>
      <c r="AC14" s="86">
        <f t="shared" si="11"/>
        <v>16384460</v>
      </c>
      <c r="AD14" s="5">
        <f t="shared" si="3"/>
        <v>29645</v>
      </c>
      <c r="AE14" s="83">
        <f t="shared" si="12"/>
        <v>9720.5658550000007</v>
      </c>
      <c r="AF14" s="83">
        <f>105807.5-105755.2</f>
        <v>52.30000000000291</v>
      </c>
      <c r="AG14" s="83">
        <f t="shared" si="4"/>
        <v>0</v>
      </c>
      <c r="AH14" s="83">
        <f>33372-33355.4</f>
        <v>16.599999999998545</v>
      </c>
      <c r="AI14" s="87">
        <f t="shared" si="13"/>
        <v>57373.7</v>
      </c>
      <c r="AJ14" s="87">
        <v>57404.800000000003</v>
      </c>
      <c r="AK14" s="48">
        <f t="shared" si="8"/>
        <v>31.100000000005821</v>
      </c>
      <c r="AL14" s="89">
        <f t="shared" si="5"/>
        <v>8843.1337324006545</v>
      </c>
      <c r="AM14" s="83">
        <f t="shared" si="14"/>
        <v>2899.6547077204423</v>
      </c>
      <c r="AN14" s="71">
        <v>63</v>
      </c>
      <c r="AO14" s="78">
        <f t="shared" si="6"/>
        <v>22903.856254999984</v>
      </c>
    </row>
    <row r="15" spans="1:44" x14ac:dyDescent="0.25">
      <c r="A15" s="79">
        <v>44814</v>
      </c>
      <c r="B15" s="86">
        <f>14805339-14799423</f>
        <v>5916</v>
      </c>
      <c r="C15" s="86">
        <f>9516213-9512334</f>
        <v>3879</v>
      </c>
      <c r="D15" s="86">
        <f>1899865-1898911</f>
        <v>954</v>
      </c>
      <c r="E15" s="86">
        <f>14419000-14412305</f>
        <v>6695</v>
      </c>
      <c r="F15" s="86">
        <f>14058119-14051685</f>
        <v>6434</v>
      </c>
      <c r="G15" s="86">
        <f>9568420-9565733</f>
        <v>2687</v>
      </c>
      <c r="H15" s="86">
        <f>11174457-11168797</f>
        <v>5660</v>
      </c>
      <c r="I15" s="86">
        <f>6209500-6207040</f>
        <v>2460</v>
      </c>
      <c r="J15" s="86">
        <f>14555160-14547680</f>
        <v>7480</v>
      </c>
      <c r="K15" s="86">
        <f t="shared" si="15"/>
        <v>32225</v>
      </c>
      <c r="L15" s="14">
        <f t="shared" si="9"/>
        <v>6445</v>
      </c>
      <c r="M15" s="83">
        <f>51705.274-51528.791</f>
        <v>176.48300000000017</v>
      </c>
      <c r="N15" s="83">
        <f>5337.751-5332.509</f>
        <v>5.2420000000001892</v>
      </c>
      <c r="O15" s="83">
        <f>10513.38-10513.141</f>
        <v>0.23899999999957799</v>
      </c>
      <c r="P15" s="82">
        <f>21619.355-21532.641</f>
        <v>86.713999999999942</v>
      </c>
      <c r="Q15" s="83">
        <f>31486.97-31459.316</f>
        <v>27.65400000000227</v>
      </c>
      <c r="R15" s="83">
        <f t="shared" si="0"/>
        <v>92.194999999999709</v>
      </c>
      <c r="S15" s="83">
        <f t="shared" si="1"/>
        <v>722.80879999999775</v>
      </c>
      <c r="T15" s="83">
        <f t="shared" si="2"/>
        <v>204.13700000000244</v>
      </c>
      <c r="U15" s="83">
        <f t="shared" si="16"/>
        <v>1600.4340800000191</v>
      </c>
      <c r="V15" s="83">
        <f>440231.4-440008.8</f>
        <v>222.60000000003492</v>
      </c>
      <c r="W15" s="83">
        <f>182062.44-181840.26</f>
        <v>222.17999999999302</v>
      </c>
      <c r="X15" s="86" t="s">
        <v>63</v>
      </c>
      <c r="Y15" s="87">
        <v>1142882</v>
      </c>
      <c r="Z15" s="5">
        <f t="shared" si="10"/>
        <v>810</v>
      </c>
      <c r="AA15" s="14">
        <f t="shared" si="7"/>
        <v>5240.7</v>
      </c>
      <c r="AB15" s="87">
        <v>16445770</v>
      </c>
      <c r="AC15" s="86">
        <f t="shared" si="11"/>
        <v>16414105</v>
      </c>
      <c r="AD15" s="5">
        <f t="shared" si="3"/>
        <v>31665</v>
      </c>
      <c r="AE15" s="83">
        <f t="shared" si="12"/>
        <v>10382.921834999999</v>
      </c>
      <c r="AF15" s="83">
        <f>105864.4-105807.5</f>
        <v>56.899999999994179</v>
      </c>
      <c r="AG15" s="83">
        <f t="shared" si="4"/>
        <v>0</v>
      </c>
      <c r="AH15" s="83">
        <f>33388.6-33372</f>
        <v>16.599999999998545</v>
      </c>
      <c r="AI15" s="87">
        <f t="shared" si="13"/>
        <v>57404.800000000003</v>
      </c>
      <c r="AJ15" s="87">
        <v>57436.2</v>
      </c>
      <c r="AK15" s="48">
        <f t="shared" si="8"/>
        <v>31.399999999994179</v>
      </c>
      <c r="AL15" s="89">
        <f t="shared" si="5"/>
        <v>8928.4372732243446</v>
      </c>
      <c r="AM15" s="83">
        <f t="shared" si="14"/>
        <v>2927.6256534529894</v>
      </c>
      <c r="AN15" s="71">
        <v>53</v>
      </c>
      <c r="AO15" s="88">
        <f t="shared" si="6"/>
        <v>23669.055915000019</v>
      </c>
    </row>
    <row r="16" spans="1:44" x14ac:dyDescent="0.25">
      <c r="A16" s="79">
        <v>44815</v>
      </c>
      <c r="B16" s="86">
        <f>14810975-14805339</f>
        <v>5636</v>
      </c>
      <c r="C16" s="86">
        <f>9520244-9516213</f>
        <v>4031</v>
      </c>
      <c r="D16" s="86">
        <f>1900812-1899865</f>
        <v>947</v>
      </c>
      <c r="E16" s="86">
        <f>14425537-14419000</f>
        <v>6537</v>
      </c>
      <c r="F16" s="86">
        <f>14064163-14058119</f>
        <v>6044</v>
      </c>
      <c r="G16" s="86">
        <f>9571167-9568420</f>
        <v>2747</v>
      </c>
      <c r="H16" s="86">
        <f>11180452-11174457</f>
        <v>5995</v>
      </c>
      <c r="I16" s="86">
        <f>6211957-6209500</f>
        <v>2457</v>
      </c>
      <c r="J16" s="86">
        <f>14562699-14555160</f>
        <v>7539</v>
      </c>
      <c r="K16" s="86">
        <f t="shared" si="15"/>
        <v>31937</v>
      </c>
      <c r="L16" s="14">
        <f t="shared" si="9"/>
        <v>6387.4000000000005</v>
      </c>
      <c r="M16" s="83">
        <f>51861.38-51705.274</f>
        <v>156.10599999999977</v>
      </c>
      <c r="N16" s="83">
        <f>5340.232-5337.751</f>
        <v>2.4809999999997672</v>
      </c>
      <c r="O16" s="83">
        <f>10513.597-10513.38</f>
        <v>0.21700000000055297</v>
      </c>
      <c r="P16" s="82">
        <f>21692.318-21619.355</f>
        <v>72.962999999999738</v>
      </c>
      <c r="Q16" s="83">
        <f>31500.163-31486.97</f>
        <v>13.192999999999302</v>
      </c>
      <c r="R16" s="83">
        <f t="shared" si="0"/>
        <v>75.661000000000058</v>
      </c>
      <c r="S16" s="83">
        <f t="shared" si="1"/>
        <v>593.18224000000043</v>
      </c>
      <c r="T16" s="83">
        <f t="shared" si="2"/>
        <v>169.29899999999907</v>
      </c>
      <c r="U16" s="83">
        <f t="shared" si="16"/>
        <v>1327.3041599999926</v>
      </c>
      <c r="V16" s="83">
        <f>440450.7-440231.4</f>
        <v>219.29999999998836</v>
      </c>
      <c r="W16" s="83">
        <f>182276.84-182062.44</f>
        <v>214.39999999999418</v>
      </c>
      <c r="X16" s="86" t="s">
        <v>63</v>
      </c>
      <c r="Y16" s="87">
        <v>1143655</v>
      </c>
      <c r="Z16" s="5">
        <f t="shared" si="10"/>
        <v>773</v>
      </c>
      <c r="AA16" s="14">
        <f t="shared" si="7"/>
        <v>5001.3099999999995</v>
      </c>
      <c r="AB16" s="87">
        <v>16476480</v>
      </c>
      <c r="AC16" s="86">
        <f t="shared" si="11"/>
        <v>16445770</v>
      </c>
      <c r="AD16" s="5">
        <f t="shared" si="3"/>
        <v>30710</v>
      </c>
      <c r="AE16" s="83">
        <f t="shared" si="12"/>
        <v>10069.77829</v>
      </c>
      <c r="AF16" s="83">
        <f>105917.9-105864.4</f>
        <v>53.5</v>
      </c>
      <c r="AG16" s="83">
        <f t="shared" si="4"/>
        <v>0</v>
      </c>
      <c r="AH16" s="83">
        <f>33404.8-33388.6</f>
        <v>16.200000000004366</v>
      </c>
      <c r="AI16" s="87">
        <f t="shared" si="13"/>
        <v>57436.2</v>
      </c>
      <c r="AJ16" s="87">
        <v>57467.3</v>
      </c>
      <c r="AK16" s="48">
        <f t="shared" si="8"/>
        <v>31.100000000005821</v>
      </c>
      <c r="AL16" s="89">
        <f t="shared" si="5"/>
        <v>8843.1337324006545</v>
      </c>
      <c r="AM16" s="83">
        <f t="shared" si="14"/>
        <v>2899.6547077204423</v>
      </c>
      <c r="AN16" s="71">
        <v>81</v>
      </c>
      <c r="AO16" s="78">
        <f t="shared" si="6"/>
        <v>22785.792449999994</v>
      </c>
    </row>
    <row r="17" spans="1:41" x14ac:dyDescent="0.25">
      <c r="A17" s="79">
        <v>44816</v>
      </c>
      <c r="B17" s="86">
        <f>14816807-14810975</f>
        <v>5832</v>
      </c>
      <c r="C17" s="86">
        <f>9524560-9520244</f>
        <v>4316</v>
      </c>
      <c r="D17" s="86">
        <f>1901771-1900812</f>
        <v>959</v>
      </c>
      <c r="E17" s="86">
        <f>14432247-14425537</f>
        <v>6710</v>
      </c>
      <c r="F17" s="86">
        <f>14070414-14064163</f>
        <v>6251</v>
      </c>
      <c r="G17" s="86">
        <f>9574033-9571167</f>
        <v>2866</v>
      </c>
      <c r="H17" s="86">
        <f>11186563-11180452</f>
        <v>6111</v>
      </c>
      <c r="I17" s="86">
        <f>6214475-6211957</f>
        <v>2518</v>
      </c>
      <c r="J17" s="86">
        <f>14570408-14562699</f>
        <v>7709</v>
      </c>
      <c r="K17" s="86">
        <f t="shared" si="15"/>
        <v>33045</v>
      </c>
      <c r="L17" s="14">
        <f t="shared" si="9"/>
        <v>6609</v>
      </c>
      <c r="M17" s="83">
        <f>52064.899-51861.38</f>
        <v>203.51900000000023</v>
      </c>
      <c r="N17" s="83">
        <f>5378.891-5340.232</f>
        <v>38.658999999999651</v>
      </c>
      <c r="O17" s="83">
        <f>10513.842-10513.597</f>
        <v>0.24500000000080036</v>
      </c>
      <c r="P17" s="82">
        <f>21757.713-21692.318</f>
        <v>65.395000000000437</v>
      </c>
      <c r="Q17" s="83">
        <f>31529.192-31500.163</f>
        <v>29.028999999998632</v>
      </c>
      <c r="R17" s="83">
        <f t="shared" si="0"/>
        <v>104.29900000000089</v>
      </c>
      <c r="S17" s="83">
        <f t="shared" si="1"/>
        <v>817.70416000000694</v>
      </c>
      <c r="T17" s="83">
        <f t="shared" si="2"/>
        <v>232.54799999999886</v>
      </c>
      <c r="U17" s="83">
        <f t="shared" si="16"/>
        <v>1823.1763199999912</v>
      </c>
      <c r="V17" s="83">
        <f>440681.2-440450.7</f>
        <v>230.5</v>
      </c>
      <c r="W17" s="83">
        <f>182484.88-182276.84</f>
        <v>208.04000000000815</v>
      </c>
      <c r="X17" s="86" t="s">
        <v>63</v>
      </c>
      <c r="Y17" s="87">
        <v>1144428</v>
      </c>
      <c r="Z17" s="5">
        <f t="shared" si="10"/>
        <v>773</v>
      </c>
      <c r="AA17" s="14">
        <f t="shared" si="7"/>
        <v>5001.3099999999995</v>
      </c>
      <c r="AB17" s="87">
        <v>16509332</v>
      </c>
      <c r="AC17" s="86">
        <f t="shared" si="11"/>
        <v>16476480</v>
      </c>
      <c r="AD17" s="5">
        <f t="shared" si="3"/>
        <v>32852</v>
      </c>
      <c r="AE17" s="83">
        <f t="shared" si="12"/>
        <v>10772.137948</v>
      </c>
      <c r="AF17" s="83">
        <f>105975.8-105917.9</f>
        <v>57.900000000008731</v>
      </c>
      <c r="AG17" s="83">
        <f t="shared" si="4"/>
        <v>0</v>
      </c>
      <c r="AH17" s="83">
        <f>33421.8-33404.8</f>
        <v>17</v>
      </c>
      <c r="AI17" s="87">
        <f t="shared" si="13"/>
        <v>57467.3</v>
      </c>
      <c r="AJ17" s="87">
        <v>57499.4</v>
      </c>
      <c r="AK17" s="48">
        <f t="shared" si="8"/>
        <v>32.099999999998545</v>
      </c>
      <c r="AL17" s="89">
        <f t="shared" si="5"/>
        <v>9127.4788684885862</v>
      </c>
      <c r="AM17" s="83">
        <f t="shared" si="14"/>
        <v>2992.891193498539</v>
      </c>
      <c r="AN17" s="71">
        <v>126</v>
      </c>
      <c r="AO17" s="78">
        <f t="shared" si="6"/>
        <v>24205.624267999992</v>
      </c>
    </row>
    <row r="18" spans="1:41" x14ac:dyDescent="0.25">
      <c r="A18" s="79">
        <v>44817</v>
      </c>
      <c r="B18" s="86">
        <f>14822746-14816807</f>
        <v>5939</v>
      </c>
      <c r="C18" s="86">
        <f>9529041-9524560</f>
        <v>4481</v>
      </c>
      <c r="D18" s="86">
        <f>1902726-1901771</f>
        <v>955</v>
      </c>
      <c r="E18" s="86">
        <f>14439222-14432247</f>
        <v>6975</v>
      </c>
      <c r="F18" s="86">
        <f>14076700-14070414</f>
        <v>6286</v>
      </c>
      <c r="G18" s="86">
        <f>9577050-9574033</f>
        <v>3017</v>
      </c>
      <c r="H18" s="86">
        <f>11192222-11186563</f>
        <v>5659</v>
      </c>
      <c r="I18" s="86">
        <f>6216966-6214475</f>
        <v>2491</v>
      </c>
      <c r="J18" s="86">
        <f>14578445-14570408</f>
        <v>8037</v>
      </c>
      <c r="K18" s="86">
        <f t="shared" si="15"/>
        <v>33312</v>
      </c>
      <c r="L18" s="14">
        <f t="shared" si="9"/>
        <v>6662.4000000000005</v>
      </c>
      <c r="M18" s="83">
        <f>52306.086-52064.899</f>
        <v>241.18700000000536</v>
      </c>
      <c r="N18" s="123">
        <f>5448.069-5378.891</f>
        <v>69.178000000000793</v>
      </c>
      <c r="O18" s="83">
        <f>10514.118-10513.842</f>
        <v>0.27599999999983993</v>
      </c>
      <c r="P18" s="82">
        <f>21828.346-21757.713</f>
        <v>70.63300000000163</v>
      </c>
      <c r="Q18" s="83">
        <f>31542.352-31529.192</f>
        <v>13.159999999999854</v>
      </c>
      <c r="R18" s="83">
        <f t="shared" si="0"/>
        <v>140.08700000000226</v>
      </c>
      <c r="S18" s="83">
        <f t="shared" si="1"/>
        <v>1098.2820800000177</v>
      </c>
      <c r="T18" s="83">
        <f t="shared" si="2"/>
        <v>254.34700000000521</v>
      </c>
      <c r="U18" s="83">
        <f t="shared" si="16"/>
        <v>1994.0804800000408</v>
      </c>
      <c r="V18" s="83">
        <f>440918.9-440681.2</f>
        <v>237.70000000001164</v>
      </c>
      <c r="W18" s="83">
        <f>182688.2-182484.88</f>
        <v>203.32000000000698</v>
      </c>
      <c r="X18" s="86" t="s">
        <v>63</v>
      </c>
      <c r="Y18" s="87">
        <v>1145235</v>
      </c>
      <c r="Z18" s="5">
        <f t="shared" si="10"/>
        <v>807</v>
      </c>
      <c r="AA18" s="14">
        <f t="shared" si="7"/>
        <v>5221.29</v>
      </c>
      <c r="AB18" s="87">
        <v>16542909</v>
      </c>
      <c r="AC18" s="86">
        <f t="shared" si="11"/>
        <v>16509332</v>
      </c>
      <c r="AD18" s="5">
        <f t="shared" si="3"/>
        <v>33577</v>
      </c>
      <c r="AE18" s="83">
        <f t="shared" si="12"/>
        <v>11009.864723000001</v>
      </c>
      <c r="AF18" s="82">
        <f>106035.1-105975.8</f>
        <v>59.30000000000291</v>
      </c>
      <c r="AG18" s="83">
        <f t="shared" si="4"/>
        <v>0</v>
      </c>
      <c r="AH18" s="82">
        <f>33439.9-33421.8</f>
        <v>18.099999999998545</v>
      </c>
      <c r="AI18" s="87">
        <f t="shared" si="13"/>
        <v>57499.4</v>
      </c>
      <c r="AJ18" s="87">
        <v>57532</v>
      </c>
      <c r="AK18" s="48">
        <f t="shared" si="8"/>
        <v>32.599999999998545</v>
      </c>
      <c r="AL18" s="89">
        <f t="shared" si="5"/>
        <v>9269.6514365335861</v>
      </c>
      <c r="AM18" s="83">
        <f t="shared" si="14"/>
        <v>3039.5094363879261</v>
      </c>
      <c r="AN18" s="71">
        <v>121</v>
      </c>
      <c r="AO18" s="78">
        <f t="shared" si="6"/>
        <v>24887.635203000042</v>
      </c>
    </row>
    <row r="19" spans="1:41" x14ac:dyDescent="0.25">
      <c r="A19" s="79">
        <v>44818</v>
      </c>
      <c r="B19" s="86">
        <f>14828930-14822746</f>
        <v>6184</v>
      </c>
      <c r="C19" s="86">
        <f>9534350-9529041</f>
        <v>5309</v>
      </c>
      <c r="D19" s="86">
        <f>1903710-1902726</f>
        <v>984</v>
      </c>
      <c r="E19" s="86">
        <f>14446271-14439222</f>
        <v>7049</v>
      </c>
      <c r="F19" s="86">
        <f>14083096-14076700</f>
        <v>6396</v>
      </c>
      <c r="G19" s="86">
        <f>9580131-9577050</f>
        <v>3081</v>
      </c>
      <c r="H19" s="86">
        <f>11197891-11192222</f>
        <v>5669</v>
      </c>
      <c r="I19" s="86">
        <f>6219453-6216966</f>
        <v>2487</v>
      </c>
      <c r="J19" s="86">
        <f>14586405-14578445</f>
        <v>7960</v>
      </c>
      <c r="K19" s="86">
        <f t="shared" si="15"/>
        <v>34672</v>
      </c>
      <c r="L19" s="14">
        <f t="shared" si="9"/>
        <v>6934.4000000000005</v>
      </c>
      <c r="M19" s="83">
        <f>52558.903-52306.086</f>
        <v>252.81699999999546</v>
      </c>
      <c r="N19" s="123">
        <f>5509.924-5448.069</f>
        <v>61.854999999999563</v>
      </c>
      <c r="O19" s="83">
        <f>10514.483-10514.118</f>
        <v>0.36499999999978172</v>
      </c>
      <c r="P19" s="82">
        <f>21907.29-21828.346</f>
        <v>78.943999999999505</v>
      </c>
      <c r="Q19" s="83">
        <f>31570.113-31542.352</f>
        <v>27.761000000002241</v>
      </c>
      <c r="R19" s="83">
        <f t="shared" si="0"/>
        <v>141.16399999999885</v>
      </c>
      <c r="S19" s="83">
        <f t="shared" si="1"/>
        <v>1106.7257599999909</v>
      </c>
      <c r="T19" s="83">
        <f t="shared" si="2"/>
        <v>280.5779999999977</v>
      </c>
      <c r="U19" s="83">
        <f t="shared" si="16"/>
        <v>2199.7315199999821</v>
      </c>
      <c r="V19" s="83">
        <f>441162.8-440918.9</f>
        <v>243.89999999996508</v>
      </c>
      <c r="W19" s="83">
        <f>182892.01-182688.2</f>
        <v>203.80999999999767</v>
      </c>
      <c r="X19" s="86" t="s">
        <v>63</v>
      </c>
      <c r="Y19" s="87">
        <v>1146039</v>
      </c>
      <c r="Z19" s="5">
        <f t="shared" si="10"/>
        <v>804</v>
      </c>
      <c r="AA19" s="14">
        <f t="shared" si="7"/>
        <v>5201.88</v>
      </c>
      <c r="AB19" s="87">
        <v>16575889</v>
      </c>
      <c r="AC19" s="86">
        <f t="shared" si="11"/>
        <v>16542909</v>
      </c>
      <c r="AD19" s="5">
        <f t="shared" si="3"/>
        <v>32980</v>
      </c>
      <c r="AE19" s="83">
        <f t="shared" si="12"/>
        <v>10814.10902</v>
      </c>
      <c r="AF19" s="83">
        <f>106094.3-106035.1</f>
        <v>59.19999999999709</v>
      </c>
      <c r="AG19" s="83">
        <f t="shared" si="4"/>
        <v>0</v>
      </c>
      <c r="AH19" s="83">
        <f>33458.2-33439.9</f>
        <v>18.299999999995634</v>
      </c>
      <c r="AI19" s="87">
        <f t="shared" si="13"/>
        <v>57532</v>
      </c>
      <c r="AJ19" s="87">
        <v>57563.4</v>
      </c>
      <c r="AK19" s="48">
        <f t="shared" si="8"/>
        <v>31.400000000001455</v>
      </c>
      <c r="AL19" s="89">
        <f t="shared" si="5"/>
        <v>8928.4372732264128</v>
      </c>
      <c r="AM19" s="83">
        <f t="shared" si="14"/>
        <v>2927.6256534536674</v>
      </c>
      <c r="AN19" s="71">
        <v>172</v>
      </c>
      <c r="AO19" s="78">
        <f t="shared" si="6"/>
        <v>25150.120539999982</v>
      </c>
    </row>
    <row r="20" spans="1:41" x14ac:dyDescent="0.25">
      <c r="A20" s="79">
        <v>44819</v>
      </c>
      <c r="B20" s="86">
        <f>14835056-14828930</f>
        <v>6126</v>
      </c>
      <c r="C20" s="86">
        <f>9539862-9534350</f>
        <v>5512</v>
      </c>
      <c r="D20" s="86">
        <f>1904683-1903710</f>
        <v>973</v>
      </c>
      <c r="E20" s="86">
        <f>14453023-14446271</f>
        <v>6752</v>
      </c>
      <c r="F20" s="86">
        <f>14089512-14083096</f>
        <v>6416</v>
      </c>
      <c r="G20" s="86">
        <f>9583294-9580131</f>
        <v>3163</v>
      </c>
      <c r="H20" s="86">
        <f>11203818-11197891</f>
        <v>5927</v>
      </c>
      <c r="I20" s="86">
        <f>6221961-6219453</f>
        <v>2508</v>
      </c>
      <c r="J20" s="86">
        <f>14594410-14586405</f>
        <v>8005</v>
      </c>
      <c r="K20" s="86">
        <f t="shared" si="15"/>
        <v>34869</v>
      </c>
      <c r="L20" s="14">
        <f t="shared" si="9"/>
        <v>6973.8</v>
      </c>
      <c r="M20" s="83">
        <f>52815.249-52558.903</f>
        <v>256.34600000000501</v>
      </c>
      <c r="N20" s="123">
        <f>5571.254-5509.924</f>
        <v>61.329999999999927</v>
      </c>
      <c r="O20" s="83">
        <f>10514.578-10514.483</f>
        <v>9.4999999999345164E-2</v>
      </c>
      <c r="P20" s="82">
        <f>21985.228-21907.29</f>
        <v>77.937999999998283</v>
      </c>
      <c r="Q20" s="83">
        <f>31584.24-31570.113</f>
        <v>14.127000000000407</v>
      </c>
      <c r="R20" s="83">
        <f t="shared" si="0"/>
        <v>139.36299999999756</v>
      </c>
      <c r="S20" s="83">
        <f t="shared" si="1"/>
        <v>1092.6059199999809</v>
      </c>
      <c r="T20" s="83">
        <f t="shared" si="2"/>
        <v>270.47300000000541</v>
      </c>
      <c r="U20" s="83">
        <f t="shared" si="16"/>
        <v>2120.5083200000422</v>
      </c>
      <c r="V20" s="83">
        <f>441419.3-441162.8</f>
        <v>256.5</v>
      </c>
      <c r="W20" s="83">
        <f>183097.48-182892.01</f>
        <v>205.47000000000116</v>
      </c>
      <c r="X20" s="86" t="s">
        <v>63</v>
      </c>
      <c r="Y20" s="87">
        <v>1146817</v>
      </c>
      <c r="Z20" s="5">
        <f t="shared" si="10"/>
        <v>778</v>
      </c>
      <c r="AA20" s="14">
        <f t="shared" si="7"/>
        <v>5033.66</v>
      </c>
      <c r="AB20" s="87">
        <v>16607703</v>
      </c>
      <c r="AC20" s="86">
        <f t="shared" si="11"/>
        <v>16575889</v>
      </c>
      <c r="AD20" s="5">
        <f t="shared" si="3"/>
        <v>31814</v>
      </c>
      <c r="AE20" s="83">
        <f t="shared" si="12"/>
        <v>10431.778786000001</v>
      </c>
      <c r="AF20" s="83">
        <f>106150.7-106094.3</f>
        <v>56.399999999994179</v>
      </c>
      <c r="AG20" s="83">
        <f t="shared" si="4"/>
        <v>0</v>
      </c>
      <c r="AH20" s="83">
        <f>33476.3-33458.2</f>
        <v>18.100000000005821</v>
      </c>
      <c r="AI20" s="87">
        <f t="shared" si="13"/>
        <v>57563.4</v>
      </c>
      <c r="AJ20" s="87">
        <v>57594.1</v>
      </c>
      <c r="AK20" s="48">
        <f t="shared" si="8"/>
        <v>30.69999999999709</v>
      </c>
      <c r="AL20" s="89">
        <f t="shared" si="5"/>
        <v>8729.3956779621712</v>
      </c>
      <c r="AM20" s="83">
        <f t="shared" si="14"/>
        <v>2862.3601134081177</v>
      </c>
      <c r="AN20" s="71">
        <v>149</v>
      </c>
      <c r="AO20" s="78">
        <f t="shared" si="6"/>
        <v>24559.747106000043</v>
      </c>
    </row>
    <row r="21" spans="1:41" x14ac:dyDescent="0.25">
      <c r="A21" s="79">
        <v>44820</v>
      </c>
      <c r="B21" s="86">
        <f>14841113-14835056</f>
        <v>6057</v>
      </c>
      <c r="C21" s="86">
        <f>9545362-9539862</f>
        <v>5500</v>
      </c>
      <c r="D21" s="86">
        <f>1905627-1904683</f>
        <v>944</v>
      </c>
      <c r="E21" s="86">
        <f>14459834-14453023</f>
        <v>6811</v>
      </c>
      <c r="F21" s="86">
        <f>14095992-14089512</f>
        <v>6480</v>
      </c>
      <c r="G21" s="86">
        <f>9586483-9583294</f>
        <v>3189</v>
      </c>
      <c r="H21" s="86">
        <f>11210203-11203818</f>
        <v>6385</v>
      </c>
      <c r="I21" s="86">
        <f>6224419-6221961</f>
        <v>2458</v>
      </c>
      <c r="J21" s="86">
        <f>14602492-14594410</f>
        <v>8082</v>
      </c>
      <c r="K21" s="86">
        <f t="shared" si="15"/>
        <v>35366</v>
      </c>
      <c r="L21" s="14">
        <f t="shared" si="9"/>
        <v>7073.2000000000007</v>
      </c>
      <c r="M21" s="83">
        <f>53070.573-52815.249</f>
        <v>255.32399999999325</v>
      </c>
      <c r="N21" s="83">
        <f>5633.568-5571.254</f>
        <v>62.314000000000306</v>
      </c>
      <c r="O21" s="83">
        <f>10514.736-10514.578</f>
        <v>0.15800000000126602</v>
      </c>
      <c r="P21" s="82">
        <f>22070.281-21985.228</f>
        <v>85.052999999999884</v>
      </c>
      <c r="Q21" s="83">
        <f>31612.502-31584.24</f>
        <v>28.261999999998807</v>
      </c>
      <c r="R21" s="83">
        <f t="shared" si="0"/>
        <v>147.52500000000146</v>
      </c>
      <c r="S21" s="83">
        <f t="shared" si="1"/>
        <v>1156.5960000000114</v>
      </c>
      <c r="T21" s="83">
        <f t="shared" si="2"/>
        <v>283.58599999999205</v>
      </c>
      <c r="U21" s="83">
        <f t="shared" si="16"/>
        <v>2223.3142399999379</v>
      </c>
      <c r="V21" s="83">
        <f>441669.6-441419.3</f>
        <v>250.29999999998836</v>
      </c>
      <c r="W21" s="83">
        <f>183292.02-183097.48</f>
        <v>194.53999999997905</v>
      </c>
      <c r="X21" s="86" t="s">
        <v>63</v>
      </c>
      <c r="Y21" s="87">
        <v>1147622</v>
      </c>
      <c r="Z21" s="5">
        <f t="shared" si="10"/>
        <v>805</v>
      </c>
      <c r="AA21" s="14">
        <f t="shared" si="7"/>
        <v>5208.3499999999995</v>
      </c>
      <c r="AB21" s="87">
        <v>16642277</v>
      </c>
      <c r="AC21" s="86">
        <f t="shared" si="11"/>
        <v>16607703</v>
      </c>
      <c r="AD21" s="5">
        <f t="shared" si="3"/>
        <v>34574</v>
      </c>
      <c r="AE21" s="83">
        <f t="shared" si="12"/>
        <v>11336.780026</v>
      </c>
      <c r="AF21" s="83">
        <f>106211.9-106150.7</f>
        <v>61.19999999999709</v>
      </c>
      <c r="AG21" s="83">
        <f t="shared" si="4"/>
        <v>0</v>
      </c>
      <c r="AH21" s="83">
        <f>33495.2-33476.3</f>
        <v>18.899999999994179</v>
      </c>
      <c r="AI21" s="87">
        <f t="shared" si="13"/>
        <v>57594.1</v>
      </c>
      <c r="AJ21" s="87">
        <v>57627</v>
      </c>
      <c r="AK21" s="48">
        <f t="shared" si="8"/>
        <v>32.900000000001455</v>
      </c>
      <c r="AL21" s="89">
        <f t="shared" si="5"/>
        <v>9354.9549773614126</v>
      </c>
      <c r="AM21" s="83">
        <f t="shared" si="14"/>
        <v>3067.4803821218297</v>
      </c>
      <c r="AN21" s="71">
        <v>112</v>
      </c>
      <c r="AO21" s="78">
        <f t="shared" si="6"/>
        <v>25841.644265999937</v>
      </c>
    </row>
    <row r="22" spans="1:41" x14ac:dyDescent="0.25">
      <c r="A22" s="79">
        <v>44821</v>
      </c>
      <c r="B22" s="86">
        <f>14847422-14841113</f>
        <v>6309</v>
      </c>
      <c r="C22" s="86">
        <f>9550333-9545362</f>
        <v>4971</v>
      </c>
      <c r="D22" s="86">
        <f>1906579-1905627</f>
        <v>952</v>
      </c>
      <c r="E22" s="86">
        <f>14466682-14459834</f>
        <v>6848</v>
      </c>
      <c r="F22" s="86">
        <f>14102209-14095992</f>
        <v>6217</v>
      </c>
      <c r="G22" s="86">
        <f>9589448-9586483</f>
        <v>2965</v>
      </c>
      <c r="H22" s="86">
        <f>11216570-11210203</f>
        <v>6367</v>
      </c>
      <c r="I22" s="86">
        <f>6226897-6224419</f>
        <v>2478</v>
      </c>
      <c r="J22" s="86">
        <f>14610538-14602492</f>
        <v>8046</v>
      </c>
      <c r="K22" s="86">
        <f t="shared" si="15"/>
        <v>34629</v>
      </c>
      <c r="L22" s="14">
        <f t="shared" si="9"/>
        <v>6925.8</v>
      </c>
      <c r="M22" s="83">
        <f>53314.077-53070.573</f>
        <v>243.50400000000081</v>
      </c>
      <c r="N22" s="83">
        <f>5679.973-5633.568</f>
        <v>46.404999999999745</v>
      </c>
      <c r="O22" s="83">
        <f>10515.002-10514.736</f>
        <v>0.26599999999962165</v>
      </c>
      <c r="P22" s="82">
        <f>22158.518-22070.281</f>
        <v>88.23700000000099</v>
      </c>
      <c r="Q22" s="83">
        <f>31621.334-31612.502</f>
        <v>8.8319999999985157</v>
      </c>
      <c r="R22" s="83">
        <f t="shared" si="0"/>
        <v>134.90800000000036</v>
      </c>
      <c r="S22" s="83">
        <f t="shared" si="1"/>
        <v>1057.6787200000028</v>
      </c>
      <c r="T22" s="83">
        <f t="shared" si="2"/>
        <v>252.33599999999933</v>
      </c>
      <c r="U22" s="83">
        <f t="shared" si="16"/>
        <v>1978.3142399999947</v>
      </c>
      <c r="V22" s="83">
        <f>441914.4-441669.6</f>
        <v>244.80000000004657</v>
      </c>
      <c r="W22" s="83">
        <f>183480.32-183292.02</f>
        <v>188.30000000001746</v>
      </c>
      <c r="X22" s="86" t="s">
        <v>63</v>
      </c>
      <c r="Y22" s="87">
        <v>1148391</v>
      </c>
      <c r="Z22" s="5">
        <f t="shared" si="10"/>
        <v>769</v>
      </c>
      <c r="AA22" s="14">
        <f t="shared" si="7"/>
        <v>4975.4299999999994</v>
      </c>
      <c r="AB22" s="87">
        <v>16673877</v>
      </c>
      <c r="AC22" s="86">
        <f t="shared" si="11"/>
        <v>16642277</v>
      </c>
      <c r="AD22" s="5">
        <f t="shared" si="3"/>
        <v>31600</v>
      </c>
      <c r="AE22" s="83">
        <f t="shared" si="12"/>
        <v>10361.608399999999</v>
      </c>
      <c r="AF22" s="83">
        <f>106267.8-106211.9</f>
        <v>55.900000000008731</v>
      </c>
      <c r="AG22" s="83">
        <f t="shared" si="4"/>
        <v>0</v>
      </c>
      <c r="AH22" s="83">
        <f>33513.7-33495.2</f>
        <v>18.5</v>
      </c>
      <c r="AI22" s="87">
        <f t="shared" si="13"/>
        <v>57627</v>
      </c>
      <c r="AJ22" s="87">
        <v>57660.2</v>
      </c>
      <c r="AK22" s="48">
        <f t="shared" si="8"/>
        <v>33.19999999999709</v>
      </c>
      <c r="AL22" s="89">
        <f t="shared" si="5"/>
        <v>9440.2585181871727</v>
      </c>
      <c r="AM22" s="83">
        <f t="shared" si="14"/>
        <v>3095.4513278550558</v>
      </c>
      <c r="AN22" s="71">
        <v>70</v>
      </c>
      <c r="AO22" s="78">
        <f t="shared" si="6"/>
        <v>24241.152639999993</v>
      </c>
    </row>
    <row r="23" spans="1:41" x14ac:dyDescent="0.25">
      <c r="A23" s="79">
        <v>44822</v>
      </c>
      <c r="B23" s="86">
        <f>14853426-14847422</f>
        <v>6004</v>
      </c>
      <c r="C23" s="86">
        <f>9555129-9550333</f>
        <v>4796</v>
      </c>
      <c r="D23" s="86">
        <f>1907479-1906579</f>
        <v>900</v>
      </c>
      <c r="E23" s="86">
        <f>14473301-14466682</f>
        <v>6619</v>
      </c>
      <c r="F23" s="86">
        <f>14108063-14102209</f>
        <v>5854</v>
      </c>
      <c r="G23" s="86">
        <f>9592252-9589448</f>
        <v>2804</v>
      </c>
      <c r="H23" s="86">
        <f>11222808-11216570</f>
        <v>6238</v>
      </c>
      <c r="I23" s="86">
        <f>6229433-6226897</f>
        <v>2536</v>
      </c>
      <c r="J23" s="86">
        <f>14618215-14610538</f>
        <v>7677</v>
      </c>
      <c r="K23" s="86">
        <f t="shared" si="15"/>
        <v>33215</v>
      </c>
      <c r="L23" s="14">
        <f t="shared" si="9"/>
        <v>6643</v>
      </c>
      <c r="M23" s="83">
        <f>53492.817-53314.077</f>
        <v>178.74000000000524</v>
      </c>
      <c r="N23" s="83">
        <f>5720.782-5679.973</f>
        <v>40.809000000000196</v>
      </c>
      <c r="O23" s="83">
        <f>10515.133-10515.002</f>
        <v>0.13099999999940337</v>
      </c>
      <c r="P23" s="82">
        <f>22210.285-22158.518</f>
        <v>51.766999999999825</v>
      </c>
      <c r="Q23" s="83">
        <f>31648.974-31621.334</f>
        <v>27.639999999999418</v>
      </c>
      <c r="R23" s="83">
        <f t="shared" si="0"/>
        <v>92.706999999999425</v>
      </c>
      <c r="S23" s="83">
        <f t="shared" si="1"/>
        <v>726.82287999999551</v>
      </c>
      <c r="T23" s="83">
        <f t="shared" si="2"/>
        <v>206.38000000000466</v>
      </c>
      <c r="U23" s="83">
        <f t="shared" si="16"/>
        <v>1618.0192000000366</v>
      </c>
      <c r="V23" s="83">
        <f>442133.9-441914.4</f>
        <v>219.5</v>
      </c>
      <c r="W23" s="83">
        <f>183661.77-183480.32</f>
        <v>181.44999999998254</v>
      </c>
      <c r="X23" s="86" t="s">
        <v>63</v>
      </c>
      <c r="Y23" s="87">
        <v>1149097</v>
      </c>
      <c r="Z23" s="5">
        <f t="shared" si="10"/>
        <v>706</v>
      </c>
      <c r="AA23" s="14">
        <f t="shared" si="7"/>
        <v>4567.82</v>
      </c>
      <c r="AB23" s="87">
        <v>16703827</v>
      </c>
      <c r="AC23" s="86">
        <f t="shared" si="11"/>
        <v>16673877</v>
      </c>
      <c r="AD23" s="5">
        <f t="shared" si="3"/>
        <v>29950</v>
      </c>
      <c r="AE23" s="83">
        <f t="shared" si="12"/>
        <v>9820.5750499999995</v>
      </c>
      <c r="AF23" s="83">
        <f>106321-106267.8</f>
        <v>53.19999999999709</v>
      </c>
      <c r="AG23" s="83">
        <f t="shared" si="4"/>
        <v>0</v>
      </c>
      <c r="AH23" s="83">
        <f>33530.9-33513.7</f>
        <v>17.200000000004366</v>
      </c>
      <c r="AI23" s="87">
        <f t="shared" si="13"/>
        <v>57660.2</v>
      </c>
      <c r="AJ23" s="87">
        <v>57692.2</v>
      </c>
      <c r="AK23" s="48">
        <f t="shared" si="8"/>
        <v>32</v>
      </c>
      <c r="AL23" s="89">
        <f t="shared" si="5"/>
        <v>9099.0443548799994</v>
      </c>
      <c r="AM23" s="83">
        <f t="shared" si="14"/>
        <v>2983.567544920797</v>
      </c>
      <c r="AN23" s="71">
        <v>83</v>
      </c>
      <c r="AO23" s="78">
        <f t="shared" si="6"/>
        <v>22649.414250000038</v>
      </c>
    </row>
    <row r="24" spans="1:41" x14ac:dyDescent="0.25">
      <c r="A24" s="79">
        <v>44823</v>
      </c>
      <c r="B24" s="86">
        <f>14859471-14853426</f>
        <v>6045</v>
      </c>
      <c r="C24" s="86">
        <f>9560519-9555129</f>
        <v>5390</v>
      </c>
      <c r="D24" s="86">
        <f>1908489-1907479</f>
        <v>1010</v>
      </c>
      <c r="E24" s="86">
        <f>14479893-14473301</f>
        <v>6592</v>
      </c>
      <c r="F24" s="86">
        <f>14114285-14108063</f>
        <v>6222</v>
      </c>
      <c r="G24" s="86">
        <f>9595120-9592252</f>
        <v>2868</v>
      </c>
      <c r="H24" s="86">
        <f>11229136-11222808</f>
        <v>6328</v>
      </c>
      <c r="I24" s="86">
        <f>6231877-6229433</f>
        <v>2444</v>
      </c>
      <c r="J24" s="86">
        <f>14626171-14618215</f>
        <v>7956</v>
      </c>
      <c r="K24" s="86">
        <f t="shared" si="15"/>
        <v>34455</v>
      </c>
      <c r="L24" s="14">
        <f t="shared" si="9"/>
        <v>6891</v>
      </c>
      <c r="M24" s="83">
        <f>53691.488-53492.817</f>
        <v>198.67099999999482</v>
      </c>
      <c r="N24" s="83">
        <f>5757.277-5720.782</f>
        <v>36.494999999999891</v>
      </c>
      <c r="O24" s="83">
        <f>10515.22-10515.133</f>
        <v>8.6999999999534339E-2</v>
      </c>
      <c r="P24" s="82">
        <f>22338.88-22210.285</f>
        <v>128.59500000000116</v>
      </c>
      <c r="Q24" s="83">
        <f>31658.581-31648.974</f>
        <v>9.6069999999999709</v>
      </c>
      <c r="R24" s="83">
        <f t="shared" si="0"/>
        <v>165.17700000000059</v>
      </c>
      <c r="S24" s="83">
        <f t="shared" si="1"/>
        <v>1294.9876800000045</v>
      </c>
      <c r="T24" s="83">
        <f t="shared" si="2"/>
        <v>208.27799999999479</v>
      </c>
      <c r="U24" s="83">
        <f t="shared" si="16"/>
        <v>1632.8995199999592</v>
      </c>
      <c r="V24" s="83">
        <f>442360.7-442133.9</f>
        <v>226.79999999998836</v>
      </c>
      <c r="W24" s="83">
        <f>183841.43-183661.77</f>
        <v>179.66000000000349</v>
      </c>
      <c r="X24" s="86" t="s">
        <v>63</v>
      </c>
      <c r="Y24" s="87">
        <v>1149851</v>
      </c>
      <c r="Z24" s="5">
        <f t="shared" si="10"/>
        <v>754</v>
      </c>
      <c r="AA24" s="14">
        <f t="shared" si="7"/>
        <v>4878.38</v>
      </c>
      <c r="AB24" s="87">
        <v>16735146</v>
      </c>
      <c r="AC24" s="86">
        <f t="shared" si="11"/>
        <v>16703827</v>
      </c>
      <c r="AD24" s="5">
        <f t="shared" si="3"/>
        <v>31319</v>
      </c>
      <c r="AE24" s="83">
        <f t="shared" si="12"/>
        <v>10269.468781</v>
      </c>
      <c r="AF24" s="83">
        <f>106377.4-106321</f>
        <v>56.399999999994179</v>
      </c>
      <c r="AG24" s="83">
        <f t="shared" si="4"/>
        <v>0</v>
      </c>
      <c r="AH24" s="83">
        <f>33547.9-33530.9</f>
        <v>17</v>
      </c>
      <c r="AI24" s="87">
        <f t="shared" si="13"/>
        <v>57692.2</v>
      </c>
      <c r="AJ24" s="87">
        <v>57725</v>
      </c>
      <c r="AK24" s="48">
        <f t="shared" si="8"/>
        <v>32.80000000000291</v>
      </c>
      <c r="AL24" s="89">
        <f t="shared" si="5"/>
        <v>9326.5204637528277</v>
      </c>
      <c r="AM24" s="83">
        <f t="shared" si="14"/>
        <v>3058.1567335440886</v>
      </c>
      <c r="AN24" s="71">
        <v>139</v>
      </c>
      <c r="AO24" s="78">
        <f t="shared" si="6"/>
        <v>23671.74830099996</v>
      </c>
    </row>
    <row r="25" spans="1:41" x14ac:dyDescent="0.25">
      <c r="A25" s="79">
        <v>44824</v>
      </c>
      <c r="B25" s="86">
        <f>14865723-14859471</f>
        <v>6252</v>
      </c>
      <c r="C25" s="86">
        <f>9566454-9560519</f>
        <v>5935</v>
      </c>
      <c r="D25" s="86">
        <f>1909438-1908489</f>
        <v>949</v>
      </c>
      <c r="E25" s="86">
        <f>14486553-14479893</f>
        <v>6660</v>
      </c>
      <c r="F25" s="86">
        <f>14120557-14114285</f>
        <v>6272</v>
      </c>
      <c r="G25" s="86">
        <f>9598306-9595120</f>
        <v>3186</v>
      </c>
      <c r="H25" s="86">
        <f>11235638-11229136</f>
        <v>6502</v>
      </c>
      <c r="I25" s="86">
        <f>6234387-6231877</f>
        <v>2510</v>
      </c>
      <c r="J25" s="86">
        <f>14634247-14626171</f>
        <v>8076</v>
      </c>
      <c r="K25" s="86">
        <f t="shared" si="15"/>
        <v>35756</v>
      </c>
      <c r="L25" s="14">
        <f t="shared" si="9"/>
        <v>7151.2000000000007</v>
      </c>
      <c r="M25" s="83">
        <f>53887.199-53691.488</f>
        <v>195.71100000000297</v>
      </c>
      <c r="N25" s="83">
        <f>5760.671-5757.277</f>
        <v>3.3940000000002328</v>
      </c>
      <c r="O25" s="83">
        <f>10515.357-10515.22</f>
        <v>0.13700000000062573</v>
      </c>
      <c r="P25" s="82">
        <f>22420.957-22338.88</f>
        <v>82.076999999997497</v>
      </c>
      <c r="Q25" s="83">
        <f>31683.436-31658.581</f>
        <v>24.855000000003201</v>
      </c>
      <c r="R25" s="83">
        <f t="shared" si="0"/>
        <v>85.607999999998356</v>
      </c>
      <c r="S25" s="83">
        <f t="shared" si="1"/>
        <v>671.16671999998709</v>
      </c>
      <c r="T25" s="83">
        <f t="shared" si="2"/>
        <v>220.56600000000617</v>
      </c>
      <c r="U25" s="83">
        <f t="shared" si="16"/>
        <v>1729.2374400000483</v>
      </c>
      <c r="V25" s="83">
        <f>442618.2-442360.7</f>
        <v>257.5</v>
      </c>
      <c r="W25" s="83">
        <f>184042.09-183841.43</f>
        <v>200.66000000000349</v>
      </c>
      <c r="X25" s="86" t="s">
        <v>63</v>
      </c>
      <c r="Y25" s="87">
        <v>1150703</v>
      </c>
      <c r="Z25" s="5">
        <f t="shared" si="10"/>
        <v>852</v>
      </c>
      <c r="AA25" s="14">
        <f t="shared" si="7"/>
        <v>5512.44</v>
      </c>
      <c r="AB25" s="87">
        <v>16767429</v>
      </c>
      <c r="AC25" s="86">
        <f t="shared" si="11"/>
        <v>16735146</v>
      </c>
      <c r="AD25" s="5">
        <f t="shared" si="3"/>
        <v>32283</v>
      </c>
      <c r="AE25" s="83">
        <f t="shared" si="12"/>
        <v>10585.563416999999</v>
      </c>
      <c r="AF25" s="83">
        <f>106434.6-106377.4</f>
        <v>57.200000000011642</v>
      </c>
      <c r="AG25" s="83">
        <f t="shared" si="4"/>
        <v>0</v>
      </c>
      <c r="AH25" s="83">
        <f>33566-33547.9</f>
        <v>18.099999999998545</v>
      </c>
      <c r="AI25" s="87">
        <f t="shared" si="13"/>
        <v>57725</v>
      </c>
      <c r="AJ25" s="87">
        <v>57760.2</v>
      </c>
      <c r="AK25" s="48">
        <f t="shared" si="8"/>
        <v>35.19999999999709</v>
      </c>
      <c r="AL25" s="89">
        <f t="shared" si="5"/>
        <v>10008.948790367172</v>
      </c>
      <c r="AM25" s="83">
        <f t="shared" si="14"/>
        <v>3281.9242994126053</v>
      </c>
      <c r="AN25" s="71">
        <v>168</v>
      </c>
      <c r="AO25" s="78">
        <f t="shared" si="6"/>
        <v>24978.440857000045</v>
      </c>
    </row>
    <row r="26" spans="1:41" x14ac:dyDescent="0.25">
      <c r="A26" s="79">
        <v>44825</v>
      </c>
      <c r="B26" s="86">
        <f>14871951-14865723</f>
        <v>6228</v>
      </c>
      <c r="C26" s="86">
        <f>9571965-9566454</f>
        <v>5511</v>
      </c>
      <c r="D26" s="86">
        <f>1910398-1909438</f>
        <v>960</v>
      </c>
      <c r="E26" s="86">
        <f>14493112-14486553</f>
        <v>6559</v>
      </c>
      <c r="F26" s="86">
        <f>14126921-14120557</f>
        <v>6364</v>
      </c>
      <c r="G26" s="86">
        <f>9601425-9598306</f>
        <v>3119</v>
      </c>
      <c r="H26" s="86">
        <f>11241989-11235638</f>
        <v>6351</v>
      </c>
      <c r="I26" s="86">
        <f>6236875-6234387</f>
        <v>2488</v>
      </c>
      <c r="J26" s="86">
        <f>14642084-14634247</f>
        <v>7837</v>
      </c>
      <c r="K26" s="86">
        <f t="shared" si="15"/>
        <v>35092</v>
      </c>
      <c r="L26" s="14">
        <f t="shared" si="9"/>
        <v>7018.4000000000005</v>
      </c>
      <c r="M26" s="83">
        <f>54106.146-53887.199</f>
        <v>218.94700000000012</v>
      </c>
      <c r="N26" s="83">
        <f>5781.668-5760.671</f>
        <v>20.996999999999389</v>
      </c>
      <c r="O26" s="83">
        <f>10515.638-10515.357</f>
        <v>0.28100000000085856</v>
      </c>
      <c r="P26" s="82">
        <f>22484.489-22420.957</f>
        <v>63.532000000002881</v>
      </c>
      <c r="Q26" s="83">
        <f>31691.587-31683.436</f>
        <v>8.1509999999980209</v>
      </c>
      <c r="R26" s="83">
        <f t="shared" si="0"/>
        <v>84.810000000003129</v>
      </c>
      <c r="S26" s="83">
        <f t="shared" si="1"/>
        <v>664.91040000002454</v>
      </c>
      <c r="T26" s="83">
        <f t="shared" si="2"/>
        <v>227.09799999999814</v>
      </c>
      <c r="U26" s="83">
        <f t="shared" si="16"/>
        <v>1780.4483199999854</v>
      </c>
      <c r="V26" s="83">
        <f>442885-442618.2</f>
        <v>266.79999999998836</v>
      </c>
      <c r="W26" s="83">
        <f>184223.73-184042.09</f>
        <v>181.64000000001397</v>
      </c>
      <c r="X26" s="86" t="s">
        <v>63</v>
      </c>
      <c r="Y26" s="87">
        <v>1151493</v>
      </c>
      <c r="Z26" s="5">
        <f t="shared" si="10"/>
        <v>790</v>
      </c>
      <c r="AA26" s="14">
        <f t="shared" si="7"/>
        <v>5111.3</v>
      </c>
      <c r="AB26" s="87">
        <v>16796669</v>
      </c>
      <c r="AC26" s="86">
        <f t="shared" si="11"/>
        <v>16767429</v>
      </c>
      <c r="AD26" s="5">
        <f t="shared" si="3"/>
        <v>29240</v>
      </c>
      <c r="AE26" s="83">
        <f t="shared" si="12"/>
        <v>9587.7667600000004</v>
      </c>
      <c r="AF26" s="83">
        <f>106485.8-106434.6</f>
        <v>51.19999999999709</v>
      </c>
      <c r="AG26" s="83">
        <f t="shared" si="4"/>
        <v>0</v>
      </c>
      <c r="AH26" s="83">
        <f>33582.9-33566</f>
        <v>16.900000000001455</v>
      </c>
      <c r="AI26" s="87">
        <f t="shared" si="13"/>
        <v>57760.2</v>
      </c>
      <c r="AJ26" s="87">
        <v>57792.6</v>
      </c>
      <c r="AK26" s="48">
        <f t="shared" si="8"/>
        <v>32.400000000001455</v>
      </c>
      <c r="AL26" s="89">
        <f t="shared" si="5"/>
        <v>9212.7824093164127</v>
      </c>
      <c r="AM26" s="83">
        <f t="shared" si="14"/>
        <v>3020.8621392324426</v>
      </c>
      <c r="AN26" s="71">
        <v>147</v>
      </c>
      <c r="AO26" s="78">
        <f t="shared" si="6"/>
        <v>23497.915079999984</v>
      </c>
    </row>
    <row r="27" spans="1:41" x14ac:dyDescent="0.25">
      <c r="A27" s="79">
        <v>44826</v>
      </c>
      <c r="B27" s="86">
        <f>14878210-14871951</f>
        <v>6259</v>
      </c>
      <c r="C27" s="86">
        <f>9577218-9571965</f>
        <v>5253</v>
      </c>
      <c r="D27" s="86">
        <f>1911359-1910398</f>
        <v>961</v>
      </c>
      <c r="E27" s="86">
        <f>14499789-14493112</f>
        <v>6677</v>
      </c>
      <c r="F27" s="86">
        <f>14133224-14126921</f>
        <v>6303</v>
      </c>
      <c r="G27" s="86">
        <f>9604569-9601425</f>
        <v>3144</v>
      </c>
      <c r="H27" s="86">
        <f>11248355-11241989</f>
        <v>6366</v>
      </c>
      <c r="I27" s="86">
        <f>6239273-6236875</f>
        <v>2398</v>
      </c>
      <c r="J27" s="86">
        <f>14650013-14642084</f>
        <v>7929</v>
      </c>
      <c r="K27" s="86">
        <f t="shared" si="15"/>
        <v>34963</v>
      </c>
      <c r="L27" s="14">
        <f t="shared" si="9"/>
        <v>6992.6</v>
      </c>
      <c r="M27" s="83">
        <f>54315.805-54106.146</f>
        <v>209.65899999999965</v>
      </c>
      <c r="N27" s="83">
        <f>5823.088-5781.668</f>
        <v>41.420000000000073</v>
      </c>
      <c r="O27" s="83">
        <f>10515.837-10515.638</f>
        <v>0.19899999999870488</v>
      </c>
      <c r="P27" s="82">
        <f>22553.489-22484.489</f>
        <v>69</v>
      </c>
      <c r="Q27" s="83">
        <f>31726.4-31691.587</f>
        <v>34.813000000001921</v>
      </c>
      <c r="R27" s="83">
        <f t="shared" si="0"/>
        <v>110.61899999999878</v>
      </c>
      <c r="S27" s="83">
        <f t="shared" si="1"/>
        <v>867.25295999999037</v>
      </c>
      <c r="T27" s="83">
        <f t="shared" si="2"/>
        <v>244.47200000000157</v>
      </c>
      <c r="U27" s="83">
        <f t="shared" si="16"/>
        <v>1916.6604800000123</v>
      </c>
      <c r="V27" s="83">
        <f>443148.5-442885</f>
        <v>263.5</v>
      </c>
      <c r="W27" s="83">
        <f>184398.1-184223.73</f>
        <v>174.36999999999534</v>
      </c>
      <c r="X27" s="86" t="s">
        <v>63</v>
      </c>
      <c r="Y27" s="87">
        <v>1152279</v>
      </c>
      <c r="Z27" s="5">
        <f t="shared" si="10"/>
        <v>786</v>
      </c>
      <c r="AA27" s="14">
        <f t="shared" si="7"/>
        <v>5085.42</v>
      </c>
      <c r="AB27" s="87">
        <v>16827754</v>
      </c>
      <c r="AC27" s="86">
        <f t="shared" si="11"/>
        <v>16796669</v>
      </c>
      <c r="AD27" s="5">
        <f t="shared" si="3"/>
        <v>31085</v>
      </c>
      <c r="AE27" s="83">
        <f t="shared" si="12"/>
        <v>10192.740415</v>
      </c>
      <c r="AF27" s="83">
        <f>106541.2-106485.8</f>
        <v>55.399999999994179</v>
      </c>
      <c r="AG27" s="83">
        <f t="shared" si="4"/>
        <v>0</v>
      </c>
      <c r="AH27" s="83">
        <f>33600.4-33582.9</f>
        <v>17.5</v>
      </c>
      <c r="AI27" s="87">
        <f t="shared" si="13"/>
        <v>57792.6</v>
      </c>
      <c r="AJ27" s="87">
        <v>57825</v>
      </c>
      <c r="AK27" s="48">
        <f t="shared" si="8"/>
        <v>32.400000000001455</v>
      </c>
      <c r="AL27" s="89">
        <f t="shared" si="5"/>
        <v>9212.7824093164127</v>
      </c>
      <c r="AM27" s="83">
        <f t="shared" si="14"/>
        <v>3020.8621392324426</v>
      </c>
      <c r="AN27" s="71">
        <v>128</v>
      </c>
      <c r="AO27" s="78">
        <f t="shared" si="6"/>
        <v>24187.42089500001</v>
      </c>
    </row>
    <row r="28" spans="1:41" x14ac:dyDescent="0.25">
      <c r="A28" s="79">
        <v>44827</v>
      </c>
      <c r="B28" s="86">
        <f>14884534-14878210</f>
        <v>6324</v>
      </c>
      <c r="C28" s="86">
        <f>9582288-9577218</f>
        <v>5070</v>
      </c>
      <c r="D28" s="86">
        <f>1912338-1911359</f>
        <v>979</v>
      </c>
      <c r="E28" s="86">
        <f>14506332-14499789</f>
        <v>6543</v>
      </c>
      <c r="F28" s="86">
        <f>14139571-14133224</f>
        <v>6347</v>
      </c>
      <c r="G28" s="86">
        <f>9607590-9604569</f>
        <v>3021</v>
      </c>
      <c r="H28" s="86">
        <f>11254688-11248355</f>
        <v>6333</v>
      </c>
      <c r="I28" s="86">
        <f>6241665-6239273</f>
        <v>2392</v>
      </c>
      <c r="J28" s="86">
        <f>14658141-14650013</f>
        <v>8128</v>
      </c>
      <c r="K28" s="86">
        <f t="shared" si="15"/>
        <v>34617</v>
      </c>
      <c r="L28" s="14">
        <f t="shared" si="9"/>
        <v>6923.4000000000005</v>
      </c>
      <c r="M28" s="83">
        <f>54536.38-54315.805</f>
        <v>220.57499999999709</v>
      </c>
      <c r="N28" s="83">
        <f>5846.771-5823.088</f>
        <v>23.682999999999993</v>
      </c>
      <c r="O28" s="83">
        <f>10515.992-10515.837</f>
        <v>0.15500000000065484</v>
      </c>
      <c r="P28" s="82">
        <f>22623.829-22553.489</f>
        <v>70.340000000000146</v>
      </c>
      <c r="Q28" s="83">
        <f>31745.555-31726.4</f>
        <v>19.154999999998836</v>
      </c>
      <c r="R28" s="83">
        <f t="shared" si="0"/>
        <v>94.178000000000793</v>
      </c>
      <c r="S28" s="83">
        <f t="shared" si="1"/>
        <v>738.35552000000621</v>
      </c>
      <c r="T28" s="83">
        <f t="shared" si="2"/>
        <v>239.72999999999593</v>
      </c>
      <c r="U28" s="83">
        <f t="shared" si="16"/>
        <v>1879.4831999999681</v>
      </c>
      <c r="V28" s="83">
        <f>443416.5-443148.5</f>
        <v>268</v>
      </c>
      <c r="W28" s="83">
        <f>184576.53-184398.1</f>
        <v>178.42999999999302</v>
      </c>
      <c r="X28" s="86" t="s">
        <v>63</v>
      </c>
      <c r="Y28" s="87">
        <v>1153112</v>
      </c>
      <c r="Z28" s="5">
        <f t="shared" si="10"/>
        <v>833</v>
      </c>
      <c r="AA28" s="14">
        <f t="shared" si="7"/>
        <v>5389.51</v>
      </c>
      <c r="AB28" s="87">
        <v>16859532</v>
      </c>
      <c r="AC28" s="86">
        <f t="shared" si="11"/>
        <v>16827754</v>
      </c>
      <c r="AD28" s="5">
        <f t="shared" si="3"/>
        <v>31778</v>
      </c>
      <c r="AE28" s="83">
        <f t="shared" si="12"/>
        <v>10419.974421999999</v>
      </c>
      <c r="AF28" s="83">
        <f>106598.2-106541.2</f>
        <v>57</v>
      </c>
      <c r="AG28" s="83">
        <f t="shared" si="4"/>
        <v>0</v>
      </c>
      <c r="AH28" s="83">
        <f>33618-33600.4</f>
        <v>17.599999999998545</v>
      </c>
      <c r="AI28" s="87">
        <f t="shared" si="13"/>
        <v>57825</v>
      </c>
      <c r="AJ28" s="87">
        <v>57857.4</v>
      </c>
      <c r="AK28" s="48">
        <f t="shared" si="8"/>
        <v>32.400000000001455</v>
      </c>
      <c r="AL28" s="89">
        <f t="shared" si="5"/>
        <v>9212.7824093164127</v>
      </c>
      <c r="AM28" s="83">
        <f t="shared" si="14"/>
        <v>3020.8621392324426</v>
      </c>
      <c r="AN28" s="71">
        <v>79</v>
      </c>
      <c r="AO28" s="78">
        <f t="shared" si="6"/>
        <v>24612.367621999969</v>
      </c>
    </row>
    <row r="29" spans="1:41" x14ac:dyDescent="0.25">
      <c r="A29" s="79">
        <v>44828</v>
      </c>
      <c r="B29" s="86">
        <f>14890625-14884534</f>
        <v>6091</v>
      </c>
      <c r="C29" s="86">
        <f>9587349-9582288</f>
        <v>5061</v>
      </c>
      <c r="D29" s="86">
        <f>1913295-1912338</f>
        <v>957</v>
      </c>
      <c r="E29" s="86">
        <f>14512836-14506332</f>
        <v>6504</v>
      </c>
      <c r="F29" s="86">
        <f>14145928-14139571</f>
        <v>6357</v>
      </c>
      <c r="G29" s="86">
        <f>9610484-9607590</f>
        <v>2894</v>
      </c>
      <c r="H29" s="86">
        <f>11260893-11254688</f>
        <v>6205</v>
      </c>
      <c r="I29" s="86">
        <f>6244009-6241665</f>
        <v>2344</v>
      </c>
      <c r="J29" s="86">
        <f>14666357-14658141</f>
        <v>8216</v>
      </c>
      <c r="K29" s="86">
        <f t="shared" si="15"/>
        <v>34069</v>
      </c>
      <c r="L29" s="14">
        <f t="shared" si="9"/>
        <v>6813.8</v>
      </c>
      <c r="M29" s="83">
        <f>54736.099-54536.38</f>
        <v>199.7190000000046</v>
      </c>
      <c r="N29" s="83">
        <f>5877.486-5846.771</f>
        <v>30.715000000000146</v>
      </c>
      <c r="O29" s="83">
        <f>10516.382-10515.992</f>
        <v>0.38999999999941792</v>
      </c>
      <c r="P29" s="82">
        <f>22695.558-22623.829</f>
        <v>71.72899999999936</v>
      </c>
      <c r="Q29" s="83">
        <f>31753.741-31745.555</f>
        <v>8.1860000000015134</v>
      </c>
      <c r="R29" s="83">
        <f t="shared" si="0"/>
        <v>102.83399999999892</v>
      </c>
      <c r="S29" s="83">
        <f t="shared" si="1"/>
        <v>806.2185599999915</v>
      </c>
      <c r="T29" s="83">
        <f t="shared" si="2"/>
        <v>207.90500000000611</v>
      </c>
      <c r="U29" s="83">
        <f t="shared" si="16"/>
        <v>1629.9752000000478</v>
      </c>
      <c r="V29" s="83">
        <f>443661.4-443416.5</f>
        <v>244.90000000002328</v>
      </c>
      <c r="W29" s="83">
        <f>184753.1-184576.53</f>
        <v>176.57000000000698</v>
      </c>
      <c r="X29" s="86" t="s">
        <v>63</v>
      </c>
      <c r="Y29" s="87">
        <v>1153873</v>
      </c>
      <c r="Z29" s="5">
        <f t="shared" si="10"/>
        <v>761</v>
      </c>
      <c r="AA29" s="14">
        <f t="shared" si="7"/>
        <v>4923.67</v>
      </c>
      <c r="AB29" s="87">
        <v>16893628</v>
      </c>
      <c r="AC29" s="86">
        <f t="shared" si="11"/>
        <v>16859532</v>
      </c>
      <c r="AD29" s="5">
        <f t="shared" si="3"/>
        <v>34096</v>
      </c>
      <c r="AE29" s="83">
        <f t="shared" si="12"/>
        <v>11180.044303999999</v>
      </c>
      <c r="AF29" s="83">
        <f>106660-106598.2</f>
        <v>61.80000000000291</v>
      </c>
      <c r="AG29" s="83">
        <f t="shared" si="4"/>
        <v>0</v>
      </c>
      <c r="AH29" s="83">
        <f>33635.3-33618</f>
        <v>17.30000000000291</v>
      </c>
      <c r="AI29" s="87">
        <f t="shared" si="13"/>
        <v>57857.4</v>
      </c>
      <c r="AJ29" s="87">
        <v>57891.199999999997</v>
      </c>
      <c r="AK29" s="48">
        <f t="shared" si="8"/>
        <v>33.799999999995634</v>
      </c>
      <c r="AL29" s="89">
        <f t="shared" si="5"/>
        <v>9610.8655998407576</v>
      </c>
      <c r="AM29" s="83">
        <f t="shared" si="14"/>
        <v>3151.3932193221844</v>
      </c>
      <c r="AN29" s="71">
        <v>55</v>
      </c>
      <c r="AO29" s="78">
        <f t="shared" si="6"/>
        <v>24547.489504000048</v>
      </c>
    </row>
    <row r="30" spans="1:41" x14ac:dyDescent="0.25">
      <c r="A30" s="79">
        <v>44829</v>
      </c>
      <c r="B30" s="86">
        <f>14896813-14890625</f>
        <v>6188</v>
      </c>
      <c r="C30" s="86">
        <f>9591558-9587349</f>
        <v>4209</v>
      </c>
      <c r="D30" s="86">
        <f>1914252-1913295</f>
        <v>957</v>
      </c>
      <c r="E30" s="86">
        <f>14519488-14512836</f>
        <v>6652</v>
      </c>
      <c r="F30" s="86">
        <f>14151988-14145928</f>
        <v>6060</v>
      </c>
      <c r="G30" s="86">
        <f>9613292-9610484</f>
        <v>2808</v>
      </c>
      <c r="H30" s="86">
        <f>11267088-11260893</f>
        <v>6195</v>
      </c>
      <c r="I30" s="86">
        <f>6246447-6244009</f>
        <v>2438</v>
      </c>
      <c r="J30" s="86">
        <f>14674419-14666357</f>
        <v>8062</v>
      </c>
      <c r="K30" s="86">
        <f t="shared" si="15"/>
        <v>33069</v>
      </c>
      <c r="L30" s="14">
        <f t="shared" si="9"/>
        <v>6613.8</v>
      </c>
      <c r="M30" s="83">
        <f>54905.584-54736.099</f>
        <v>169.48500000000058</v>
      </c>
      <c r="N30" s="83">
        <f>5901.638-5877.486</f>
        <v>24.152000000000044</v>
      </c>
      <c r="O30" s="83">
        <f>10516.484-10516.382</f>
        <v>0.10200000000077125</v>
      </c>
      <c r="P30" s="82">
        <f>22767.055-22695.558</f>
        <v>71.496999999999389</v>
      </c>
      <c r="Q30" s="83">
        <f>31774.884-31753.741</f>
        <v>21.142999999996391</v>
      </c>
      <c r="R30" s="83">
        <f t="shared" si="0"/>
        <v>95.751000000000204</v>
      </c>
      <c r="S30" s="83">
        <f t="shared" si="1"/>
        <v>750.68784000000153</v>
      </c>
      <c r="T30" s="83">
        <f t="shared" si="2"/>
        <v>190.62799999999697</v>
      </c>
      <c r="U30" s="83">
        <f t="shared" si="16"/>
        <v>1494.5235199999763</v>
      </c>
      <c r="V30" s="83">
        <f>443879.7-443661.4</f>
        <v>218.29999999998836</v>
      </c>
      <c r="W30" s="83">
        <f>184931.86-184753.1</f>
        <v>178.75999999998021</v>
      </c>
      <c r="X30" s="86" t="s">
        <v>63</v>
      </c>
      <c r="Y30" s="87">
        <v>1154588</v>
      </c>
      <c r="Z30" s="5">
        <f t="shared" si="10"/>
        <v>715</v>
      </c>
      <c r="AA30" s="14">
        <f t="shared" si="7"/>
        <v>4626.05</v>
      </c>
      <c r="AB30" s="87">
        <v>16927929</v>
      </c>
      <c r="AC30" s="86">
        <f t="shared" si="11"/>
        <v>16893628</v>
      </c>
      <c r="AD30" s="5">
        <f t="shared" si="3"/>
        <v>34301</v>
      </c>
      <c r="AE30" s="83">
        <f t="shared" si="12"/>
        <v>11247.263599</v>
      </c>
      <c r="AF30" s="83">
        <f>106721.5-106660</f>
        <v>61.5</v>
      </c>
      <c r="AG30" s="83">
        <f t="shared" si="4"/>
        <v>0</v>
      </c>
      <c r="AH30" s="83">
        <f>33652.7-33635.3</f>
        <v>17.399999999994179</v>
      </c>
      <c r="AI30" s="87">
        <f t="shared" si="13"/>
        <v>57891.199999999997</v>
      </c>
      <c r="AJ30" s="87">
        <v>57925.599999999999</v>
      </c>
      <c r="AK30" s="48">
        <f t="shared" si="8"/>
        <v>34.400000000001455</v>
      </c>
      <c r="AL30" s="89">
        <f t="shared" si="5"/>
        <v>9781.4726814964124</v>
      </c>
      <c r="AM30" s="83">
        <f t="shared" si="14"/>
        <v>3207.3351107899921</v>
      </c>
      <c r="AN30" s="71">
        <v>74</v>
      </c>
      <c r="AO30" s="78">
        <f t="shared" si="6"/>
        <v>23981.637118999977</v>
      </c>
    </row>
    <row r="31" spans="1:41" x14ac:dyDescent="0.25">
      <c r="A31" s="79">
        <v>44830</v>
      </c>
      <c r="B31" s="86">
        <f>14903062-14896813</f>
        <v>6249</v>
      </c>
      <c r="C31" s="86">
        <f>9595855-9591558</f>
        <v>4297</v>
      </c>
      <c r="D31" s="86">
        <f>1915208-1914252</f>
        <v>956</v>
      </c>
      <c r="E31" s="86">
        <f>14526315-14519488</f>
        <v>6827</v>
      </c>
      <c r="F31" s="86">
        <f>14158111-14151988</f>
        <v>6123</v>
      </c>
      <c r="G31" s="86">
        <f>9616344-9613292</f>
        <v>3052</v>
      </c>
      <c r="H31" s="86">
        <f>11273359-11267088</f>
        <v>6271</v>
      </c>
      <c r="I31" s="86">
        <f>6248889-6246447</f>
        <v>2442</v>
      </c>
      <c r="J31" s="86">
        <f>14682641-14674419</f>
        <v>8222</v>
      </c>
      <c r="K31" s="86">
        <f t="shared" si="15"/>
        <v>33775</v>
      </c>
      <c r="L31" s="14">
        <f t="shared" si="9"/>
        <v>6755</v>
      </c>
      <c r="M31" s="83">
        <f>55082.92-54905.584</f>
        <v>177.33599999999569</v>
      </c>
      <c r="N31" s="83">
        <f>5920.107-5901.638</f>
        <v>18.469000000000051</v>
      </c>
      <c r="O31" s="83">
        <f>10516.524-10516.484</f>
        <v>3.9999999999054126E-2</v>
      </c>
      <c r="P31" s="82">
        <f>22843.697-22767.055</f>
        <v>76.641999999999825</v>
      </c>
      <c r="Q31" s="83">
        <f>31790.264-31774.884</f>
        <v>15.380000000001019</v>
      </c>
      <c r="R31" s="83">
        <f t="shared" si="0"/>
        <v>95.15099999999893</v>
      </c>
      <c r="S31" s="83">
        <f t="shared" si="1"/>
        <v>745.98383999999157</v>
      </c>
      <c r="T31" s="83">
        <f t="shared" si="2"/>
        <v>192.71599999999671</v>
      </c>
      <c r="U31" s="83">
        <f t="shared" si="16"/>
        <v>1510.8934399999741</v>
      </c>
      <c r="V31" s="83">
        <f>444108-443879.7</f>
        <v>228.29999999998836</v>
      </c>
      <c r="W31" s="83">
        <f>185097.77-184931.86</f>
        <v>165.91000000000349</v>
      </c>
      <c r="X31" s="86" t="s">
        <v>63</v>
      </c>
      <c r="Y31" s="87">
        <v>1155302</v>
      </c>
      <c r="Z31" s="5">
        <f t="shared" si="10"/>
        <v>714</v>
      </c>
      <c r="AA31" s="14">
        <f t="shared" si="7"/>
        <v>4619.58</v>
      </c>
      <c r="AB31" s="87">
        <v>16962490</v>
      </c>
      <c r="AC31" s="86">
        <f t="shared" si="11"/>
        <v>16927929</v>
      </c>
      <c r="AD31" s="5">
        <f t="shared" si="3"/>
        <v>34561</v>
      </c>
      <c r="AE31" s="83">
        <f t="shared" si="12"/>
        <v>11332.517339</v>
      </c>
      <c r="AF31" s="83">
        <f>106783.6-106721.5</f>
        <v>62.100000000005821</v>
      </c>
      <c r="AG31" s="83">
        <f t="shared" si="4"/>
        <v>0</v>
      </c>
      <c r="AH31" s="83">
        <f>33670-33652.7</f>
        <v>17.30000000000291</v>
      </c>
      <c r="AI31" s="87">
        <f t="shared" si="13"/>
        <v>57925.599999999999</v>
      </c>
      <c r="AJ31" s="87">
        <v>57962.400000000001</v>
      </c>
      <c r="AK31" s="48">
        <f t="shared" si="8"/>
        <v>36.80000000000291</v>
      </c>
      <c r="AL31" s="89">
        <f t="shared" si="5"/>
        <v>10463.901008112827</v>
      </c>
      <c r="AM31" s="83">
        <f t="shared" si="14"/>
        <v>3431.1026766591881</v>
      </c>
      <c r="AN31" s="71">
        <v>123</v>
      </c>
      <c r="AO31" s="78">
        <f t="shared" si="6"/>
        <v>24217.990778999974</v>
      </c>
    </row>
    <row r="32" spans="1:41" x14ac:dyDescent="0.25">
      <c r="A32" s="79">
        <v>44831</v>
      </c>
      <c r="B32" s="86">
        <f>14909377-14903062</f>
        <v>6315</v>
      </c>
      <c r="C32" s="86">
        <f>9600401-9595855</f>
        <v>4546</v>
      </c>
      <c r="D32" s="86">
        <f>1916222-1915208</f>
        <v>1014</v>
      </c>
      <c r="E32" s="86">
        <f>14533200-14526315</f>
        <v>6885</v>
      </c>
      <c r="F32" s="86">
        <f>14164188-14158111</f>
        <v>6077</v>
      </c>
      <c r="G32" s="86">
        <f>9619459-9616344</f>
        <v>3115</v>
      </c>
      <c r="H32" s="86">
        <f>11279686-11273359</f>
        <v>6327</v>
      </c>
      <c r="I32" s="86">
        <f>6251363-6248889</f>
        <v>2474</v>
      </c>
      <c r="J32" s="86">
        <f>14690652-14682641</f>
        <v>8011</v>
      </c>
      <c r="K32" s="86">
        <f t="shared" si="15"/>
        <v>34279</v>
      </c>
      <c r="L32" s="14">
        <f t="shared" si="9"/>
        <v>6855.8</v>
      </c>
      <c r="M32" s="83">
        <f>55241.85-55082.92</f>
        <v>158.93000000000029</v>
      </c>
      <c r="N32" s="83">
        <f>5923.819-5920.107</f>
        <v>3.7120000000004438</v>
      </c>
      <c r="O32" s="83">
        <f>10516.624-10516.524</f>
        <v>0.1000000000003638</v>
      </c>
      <c r="P32" s="82">
        <f>22917-22843.697</f>
        <v>73.302999999999884</v>
      </c>
      <c r="Q32" s="83">
        <f>31814.63-31790.264</f>
        <v>24.366000000001804</v>
      </c>
      <c r="R32" s="83">
        <f t="shared" si="0"/>
        <v>77.115000000000691</v>
      </c>
      <c r="S32" s="83">
        <f t="shared" si="1"/>
        <v>604.58160000000544</v>
      </c>
      <c r="T32" s="83">
        <f t="shared" si="2"/>
        <v>183.2960000000021</v>
      </c>
      <c r="U32" s="83">
        <f t="shared" si="16"/>
        <v>1437.0406400000163</v>
      </c>
      <c r="V32" s="122">
        <f>444350-444108</f>
        <v>242</v>
      </c>
      <c r="W32" s="122">
        <f>185280.216-185097.77</f>
        <v>182.44599999999627</v>
      </c>
      <c r="X32" s="86" t="s">
        <v>63</v>
      </c>
      <c r="Y32" s="87">
        <v>1156082</v>
      </c>
      <c r="Z32" s="5">
        <f t="shared" si="10"/>
        <v>780</v>
      </c>
      <c r="AA32" s="14">
        <f t="shared" si="7"/>
        <v>5046.5999999999995</v>
      </c>
      <c r="AB32" s="87">
        <v>16996260</v>
      </c>
      <c r="AC32" s="86">
        <f t="shared" si="11"/>
        <v>16962490</v>
      </c>
      <c r="AD32" s="5">
        <f t="shared" si="3"/>
        <v>33770</v>
      </c>
      <c r="AE32" s="83">
        <f t="shared" si="12"/>
        <v>11073.149229999999</v>
      </c>
      <c r="AF32" s="83">
        <f>106843.8-106783.6</f>
        <v>60.19999999999709</v>
      </c>
      <c r="AG32" s="83">
        <f t="shared" si="4"/>
        <v>0</v>
      </c>
      <c r="AH32" s="83">
        <f>33687.5-33670</f>
        <v>17.5</v>
      </c>
      <c r="AI32" s="87">
        <f t="shared" si="13"/>
        <v>57962.400000000001</v>
      </c>
      <c r="AJ32" s="87">
        <v>58004.3</v>
      </c>
      <c r="AK32" s="48">
        <f t="shared" si="8"/>
        <v>41.900000000001455</v>
      </c>
      <c r="AL32" s="89">
        <f t="shared" si="5"/>
        <v>11914.061202171413</v>
      </c>
      <c r="AM32" s="83">
        <f t="shared" si="14"/>
        <v>3906.6087541308043</v>
      </c>
      <c r="AN32" s="71">
        <v>151</v>
      </c>
      <c r="AO32" s="78">
        <f t="shared" si="6"/>
        <v>24412.589870000014</v>
      </c>
    </row>
    <row r="33" spans="1:41" x14ac:dyDescent="0.25">
      <c r="A33" s="79">
        <v>44832</v>
      </c>
      <c r="B33" s="86">
        <f>14916112-14909377</f>
        <v>6735</v>
      </c>
      <c r="C33" s="86">
        <f>9604807-9600401</f>
        <v>4406</v>
      </c>
      <c r="D33" s="86">
        <f>1917186-1916222</f>
        <v>964</v>
      </c>
      <c r="E33" s="86">
        <f>14540076-14533200</f>
        <v>6876</v>
      </c>
      <c r="F33" s="86">
        <f>14170295-14164188</f>
        <v>6107</v>
      </c>
      <c r="G33" s="86">
        <f>9622596-9619459</f>
        <v>3137</v>
      </c>
      <c r="H33" s="86">
        <f>11285794-11279686</f>
        <v>6108</v>
      </c>
      <c r="I33" s="86">
        <f>6253843-6251363</f>
        <v>2480</v>
      </c>
      <c r="J33" s="86">
        <f>14698413-14690652</f>
        <v>7761</v>
      </c>
      <c r="K33" s="86">
        <f t="shared" si="15"/>
        <v>34333</v>
      </c>
      <c r="L33" s="14">
        <f t="shared" si="9"/>
        <v>6866.6</v>
      </c>
      <c r="M33" s="83">
        <f>55416.85-55241.85</f>
        <v>175</v>
      </c>
      <c r="N33" s="83">
        <f>5927.753-5923.819</f>
        <v>3.933999999999287</v>
      </c>
      <c r="O33" s="83">
        <f>10516.786-10516.624</f>
        <v>0.16200000000026193</v>
      </c>
      <c r="P33" s="82">
        <f>22992-22917</f>
        <v>75</v>
      </c>
      <c r="Q33" s="83">
        <f>31823-31814.63</f>
        <v>8.3699999999989814</v>
      </c>
      <c r="R33" s="83">
        <f t="shared" si="0"/>
        <v>79.095999999999549</v>
      </c>
      <c r="S33" s="83">
        <f t="shared" si="1"/>
        <v>620.11263999999642</v>
      </c>
      <c r="T33" s="83">
        <f t="shared" si="2"/>
        <v>183.36999999999898</v>
      </c>
      <c r="U33" s="83">
        <f t="shared" si="16"/>
        <v>1437.620799999992</v>
      </c>
      <c r="V33" s="83">
        <f>444604-444350</f>
        <v>254</v>
      </c>
      <c r="W33" s="83">
        <f>185462.36-185280.216</f>
        <v>182.14400000000023</v>
      </c>
      <c r="X33" s="86" t="s">
        <v>63</v>
      </c>
      <c r="Y33" s="87">
        <v>1156912</v>
      </c>
      <c r="Z33" s="5">
        <f t="shared" si="10"/>
        <v>830</v>
      </c>
      <c r="AA33" s="14">
        <f t="shared" si="7"/>
        <v>5370.0999999999995</v>
      </c>
      <c r="AB33" s="87">
        <v>17028165</v>
      </c>
      <c r="AC33" s="86">
        <f t="shared" si="11"/>
        <v>16996260</v>
      </c>
      <c r="AD33" s="5">
        <f t="shared" si="3"/>
        <v>31905</v>
      </c>
      <c r="AE33" s="83">
        <f t="shared" si="12"/>
        <v>10461.617595</v>
      </c>
      <c r="AF33" s="83">
        <f>106900.8-106843.8</f>
        <v>57</v>
      </c>
      <c r="AG33" s="83">
        <f t="shared" si="4"/>
        <v>0</v>
      </c>
      <c r="AH33" s="83">
        <f>33704.5-33687.5</f>
        <v>17</v>
      </c>
      <c r="AI33" s="87">
        <f t="shared" si="13"/>
        <v>58004.3</v>
      </c>
      <c r="AJ33" s="87">
        <v>58045.8</v>
      </c>
      <c r="AK33" s="48">
        <f t="shared" si="8"/>
        <v>41.5</v>
      </c>
      <c r="AL33" s="89">
        <f t="shared" si="5"/>
        <v>11800.323147735</v>
      </c>
      <c r="AM33" s="83">
        <f t="shared" si="14"/>
        <v>3869.3141598191587</v>
      </c>
      <c r="AN33" s="71">
        <v>133</v>
      </c>
      <c r="AO33" s="78">
        <f t="shared" si="6"/>
        <v>24135.93839499999</v>
      </c>
    </row>
    <row r="34" spans="1:41" x14ac:dyDescent="0.25">
      <c r="A34" s="79">
        <v>44833</v>
      </c>
      <c r="B34" s="86">
        <f>14923081-14916112</f>
        <v>6969</v>
      </c>
      <c r="C34" s="86">
        <f>9609359-9604807</f>
        <v>4552</v>
      </c>
      <c r="D34" s="86">
        <f>1918056-1917186</f>
        <v>870</v>
      </c>
      <c r="E34" s="86">
        <f>14547027-14540076</f>
        <v>6951</v>
      </c>
      <c r="F34" s="86">
        <f>14176472-14170295</f>
        <v>6177</v>
      </c>
      <c r="G34" s="86">
        <f>9625763-9622596</f>
        <v>3167</v>
      </c>
      <c r="H34" s="86">
        <f>11292254-11285794</f>
        <v>6460</v>
      </c>
      <c r="I34" s="86">
        <f>6256328-6253843</f>
        <v>2485</v>
      </c>
      <c r="J34" s="86">
        <f>14706125-14698413</f>
        <v>7712</v>
      </c>
      <c r="K34" s="86">
        <f t="shared" si="15"/>
        <v>35146</v>
      </c>
      <c r="L34" s="14">
        <f t="shared" si="9"/>
        <v>7029.2000000000007</v>
      </c>
      <c r="M34" s="83">
        <f>55606.85-55416.85</f>
        <v>190</v>
      </c>
      <c r="N34" s="83">
        <f>5931.12-5927.753</f>
        <v>3.3670000000001892</v>
      </c>
      <c r="O34" s="83">
        <f>10516.848-10516.786</f>
        <v>6.1999999999898137E-2</v>
      </c>
      <c r="P34" s="82">
        <f>23070-22992</f>
        <v>78</v>
      </c>
      <c r="Q34" s="83">
        <f>31836.267-31823</f>
        <v>13.266999999999825</v>
      </c>
      <c r="R34" s="83">
        <f t="shared" si="0"/>
        <v>81.429000000000087</v>
      </c>
      <c r="S34" s="83">
        <f t="shared" si="1"/>
        <v>638.4033600000007</v>
      </c>
      <c r="T34" s="83">
        <f t="shared" si="2"/>
        <v>203.26699999999983</v>
      </c>
      <c r="U34" s="83">
        <f t="shared" si="16"/>
        <v>1593.6132799999987</v>
      </c>
      <c r="V34" s="122">
        <f>444857-444604</f>
        <v>253</v>
      </c>
      <c r="W34" s="122">
        <f>185640.36-185462.36</f>
        <v>178</v>
      </c>
      <c r="X34" s="86" t="s">
        <v>63</v>
      </c>
      <c r="Y34" s="87">
        <v>1157682</v>
      </c>
      <c r="Z34" s="5">
        <f t="shared" si="10"/>
        <v>770</v>
      </c>
      <c r="AA34" s="14">
        <f t="shared" si="7"/>
        <v>4981.8999999999996</v>
      </c>
      <c r="AB34" s="87">
        <v>17059655</v>
      </c>
      <c r="AC34" s="86">
        <f t="shared" si="11"/>
        <v>17028165</v>
      </c>
      <c r="AD34" s="5">
        <f t="shared" si="3"/>
        <v>31490</v>
      </c>
      <c r="AE34" s="83">
        <f t="shared" si="12"/>
        <v>10325.539510000001</v>
      </c>
      <c r="AF34" s="83">
        <f>106957.8-106900.8</f>
        <v>57</v>
      </c>
      <c r="AG34" s="83">
        <f t="shared" si="4"/>
        <v>0</v>
      </c>
      <c r="AH34" s="83">
        <f>33720.5-33704.5</f>
        <v>16</v>
      </c>
      <c r="AI34" s="87">
        <f t="shared" si="13"/>
        <v>58045.8</v>
      </c>
      <c r="AJ34" s="87">
        <v>58087.8</v>
      </c>
      <c r="AK34" s="48">
        <f t="shared" si="8"/>
        <v>42</v>
      </c>
      <c r="AL34" s="89">
        <f t="shared" si="5"/>
        <v>11942.49571578</v>
      </c>
      <c r="AM34" s="83">
        <f t="shared" si="14"/>
        <v>3915.9324027085463</v>
      </c>
      <c r="AN34" s="71">
        <v>126</v>
      </c>
      <c r="AO34" s="78">
        <f t="shared" si="6"/>
        <v>23930.252789999999</v>
      </c>
    </row>
    <row r="35" spans="1:41" x14ac:dyDescent="0.25">
      <c r="A35" s="79">
        <v>44834</v>
      </c>
      <c r="B35" s="86">
        <f>14929860-14923081</f>
        <v>6779</v>
      </c>
      <c r="C35" s="86">
        <f>9614447-9609359</f>
        <v>5088</v>
      </c>
      <c r="D35" s="86">
        <f>1919060-1918056</f>
        <v>1004</v>
      </c>
      <c r="E35" s="86">
        <f>14553955-14547027</f>
        <v>6928</v>
      </c>
      <c r="F35" s="86">
        <f>14182705-14176472</f>
        <v>6233</v>
      </c>
      <c r="G35" s="86">
        <f>9628850-9625763</f>
        <v>3087</v>
      </c>
      <c r="H35" s="86">
        <f>11298637-11292254</f>
        <v>6383</v>
      </c>
      <c r="I35" s="86">
        <f>6258781-6256328</f>
        <v>2453</v>
      </c>
      <c r="J35" s="86">
        <f>14714010-14706125</f>
        <v>7885</v>
      </c>
      <c r="K35" s="86">
        <f t="shared" ref="K35:K36" si="17">SUM(B35:H35)</f>
        <v>35502</v>
      </c>
      <c r="L35" s="14">
        <f t="shared" ref="L35:L36" si="18">K35*0.2</f>
        <v>7100.4000000000005</v>
      </c>
      <c r="M35" s="83">
        <f>55793.159-55606.85</f>
        <v>186.30900000000111</v>
      </c>
      <c r="N35" s="83">
        <f>5935.507-5931.12</f>
        <v>4.3869999999997162</v>
      </c>
      <c r="O35" s="83">
        <f>10517.083-10516.848</f>
        <v>0.23500000000058208</v>
      </c>
      <c r="P35" s="82">
        <f>23149.75-23070</f>
        <v>79.75</v>
      </c>
      <c r="Q35" s="83">
        <f>31852.708-31836.267</f>
        <v>16.440999999998894</v>
      </c>
      <c r="R35" s="83">
        <f t="shared" ref="R35:R36" si="19">N35+O35+P35</f>
        <v>84.372000000000298</v>
      </c>
      <c r="S35" s="83">
        <f t="shared" ref="S35:S36" si="20">(N35+O35+P35)*7.84</f>
        <v>661.47648000000231</v>
      </c>
      <c r="T35" s="83">
        <f t="shared" ref="T35:T36" si="21">M35+Q35</f>
        <v>202.75</v>
      </c>
      <c r="U35" s="83">
        <f t="shared" ref="U35:U36" si="22">T35*7.84</f>
        <v>1589.56</v>
      </c>
      <c r="V35" s="122">
        <f>445145.3-444857</f>
        <v>288.29999999998836</v>
      </c>
      <c r="W35" s="122">
        <f>185795.97-185640.36</f>
        <v>155.61000000001513</v>
      </c>
      <c r="X35" s="86" t="s">
        <v>63</v>
      </c>
      <c r="Y35" s="87">
        <v>1158522</v>
      </c>
      <c r="Z35" s="5">
        <f t="shared" ref="Z35:Z36" si="23">IF((Y35-Y34&lt;0), "0",Y35-Y34)</f>
        <v>840</v>
      </c>
      <c r="AA35" s="14">
        <f t="shared" ref="AA35:AA36" si="24">Z35*6.47</f>
        <v>5434.8</v>
      </c>
      <c r="AB35" s="87">
        <v>17092133</v>
      </c>
      <c r="AC35" s="86">
        <f t="shared" ref="AC35:AC36" si="25">AB34</f>
        <v>17059655</v>
      </c>
      <c r="AD35" s="5">
        <f t="shared" ref="AD35:AD36" si="26">IF((AB35-AC35&lt;0), "0",AB35-AC35)</f>
        <v>32478</v>
      </c>
      <c r="AE35" s="83">
        <f t="shared" si="12"/>
        <v>10649.503721999999</v>
      </c>
      <c r="AF35" s="83">
        <f>107014.3-106957.8</f>
        <v>56.5</v>
      </c>
      <c r="AG35" s="83">
        <f t="shared" si="4"/>
        <v>0</v>
      </c>
      <c r="AH35" s="83">
        <f>33737-33720.5</f>
        <v>16.5</v>
      </c>
      <c r="AI35" s="87">
        <f t="shared" si="13"/>
        <v>58087.8</v>
      </c>
      <c r="AJ35" s="87">
        <v>58128.4</v>
      </c>
      <c r="AK35" s="48">
        <f t="shared" ref="AK35:AK36" si="27">IF((AJ35-AI35)&lt;0, "0",AJ35-AI35)</f>
        <v>40.599999999998545</v>
      </c>
      <c r="AL35" s="89">
        <f t="shared" ref="AL35:AL36" si="28">AK35*(284.34513609)</f>
        <v>11544.412525253585</v>
      </c>
      <c r="AM35" s="83">
        <f t="shared" si="14"/>
        <v>3785.4013226181251</v>
      </c>
      <c r="AN35" s="71">
        <v>118</v>
      </c>
      <c r="AO35" s="78">
        <f t="shared" si="6"/>
        <v>24774.263722000003</v>
      </c>
    </row>
    <row r="36" spans="1:41" x14ac:dyDescent="0.25">
      <c r="A36" s="79"/>
      <c r="B36" s="86"/>
      <c r="C36" s="86"/>
      <c r="D36" s="86"/>
      <c r="E36" s="86"/>
      <c r="F36" s="86"/>
      <c r="G36" s="86"/>
      <c r="H36" s="86"/>
      <c r="I36" s="86"/>
      <c r="J36" s="86"/>
      <c r="K36" s="86">
        <f t="shared" si="17"/>
        <v>0</v>
      </c>
      <c r="L36" s="14">
        <f t="shared" si="18"/>
        <v>0</v>
      </c>
      <c r="M36" s="83"/>
      <c r="N36" s="83"/>
      <c r="O36" s="83"/>
      <c r="P36" s="82"/>
      <c r="Q36" s="83"/>
      <c r="R36" s="83">
        <f t="shared" si="19"/>
        <v>0</v>
      </c>
      <c r="S36" s="83">
        <f t="shared" si="20"/>
        <v>0</v>
      </c>
      <c r="T36" s="83">
        <f t="shared" si="21"/>
        <v>0</v>
      </c>
      <c r="U36" s="83">
        <f t="shared" si="22"/>
        <v>0</v>
      </c>
      <c r="V36" s="122"/>
      <c r="W36" s="122"/>
      <c r="X36" s="86" t="s">
        <v>63</v>
      </c>
      <c r="Y36" s="87"/>
      <c r="Z36" s="5" t="str">
        <f t="shared" si="23"/>
        <v>0</v>
      </c>
      <c r="AA36" s="14">
        <f t="shared" si="24"/>
        <v>0</v>
      </c>
      <c r="AB36" s="87"/>
      <c r="AC36" s="86">
        <f t="shared" si="25"/>
        <v>17092133</v>
      </c>
      <c r="AD36" s="5" t="str">
        <f t="shared" si="26"/>
        <v>0</v>
      </c>
      <c r="AE36" s="83">
        <f t="shared" si="12"/>
        <v>0</v>
      </c>
      <c r="AF36" s="83"/>
      <c r="AG36" s="83"/>
      <c r="AH36" s="83"/>
      <c r="AI36" s="87">
        <f t="shared" si="13"/>
        <v>58128.4</v>
      </c>
      <c r="AJ36" s="87"/>
      <c r="AK36" s="48" t="str">
        <f t="shared" si="27"/>
        <v>0</v>
      </c>
      <c r="AL36" s="89">
        <f t="shared" si="28"/>
        <v>0</v>
      </c>
      <c r="AM36" s="83">
        <f t="shared" si="14"/>
        <v>0</v>
      </c>
      <c r="AN36" s="5"/>
      <c r="AO36" s="78">
        <f t="shared" si="6"/>
        <v>0</v>
      </c>
    </row>
    <row r="37" spans="1:41" x14ac:dyDescent="0.25">
      <c r="A37" s="76"/>
      <c r="D37" s="6">
        <f>SUM(D6:D36)</f>
        <v>28282</v>
      </c>
      <c r="E37" s="6" t="s">
        <v>93</v>
      </c>
      <c r="G37" s="6">
        <f t="shared" ref="G37:L37" si="29">SUM(G6:G36)</f>
        <v>88674</v>
      </c>
      <c r="H37" s="6">
        <f t="shared" si="29"/>
        <v>185244</v>
      </c>
      <c r="I37" s="6">
        <f t="shared" si="29"/>
        <v>74004</v>
      </c>
      <c r="J37" s="6">
        <f t="shared" si="29"/>
        <v>230548</v>
      </c>
      <c r="K37" s="6">
        <f t="shared" si="29"/>
        <v>1011274</v>
      </c>
      <c r="L37" s="15">
        <f t="shared" si="29"/>
        <v>202254.79999999996</v>
      </c>
      <c r="R37" s="16">
        <f>SUM(R6:R36)</f>
        <v>2911.2189999999982</v>
      </c>
      <c r="T37" s="16">
        <f>SUM(T6:T36)</f>
        <v>6431.9359999999979</v>
      </c>
      <c r="U37" s="16">
        <f t="shared" si="16"/>
        <v>50426.378239999984</v>
      </c>
      <c r="Z37" s="17">
        <f>SUM(Z6:Z36)</f>
        <v>23255</v>
      </c>
      <c r="AA37" s="17">
        <f>SUM(AA6:AA36)</f>
        <v>150459.85</v>
      </c>
      <c r="AD37" s="17">
        <f>SUM(AD6:AD36)</f>
        <v>941050</v>
      </c>
      <c r="AE37" s="16">
        <f>AD37*0.334569</f>
        <v>314846.15745</v>
      </c>
      <c r="AF37" s="16">
        <f>SUM(AF6:AF36)</f>
        <v>1677.8000000000029</v>
      </c>
      <c r="AG37" s="16">
        <f>SUM(AG6:AG36)</f>
        <v>0</v>
      </c>
      <c r="AH37" s="16">
        <f>SUM(AH6:AH36)</f>
        <v>511.40000000000146</v>
      </c>
      <c r="AK37" s="42">
        <f>SUM(AK6:AK36)</f>
        <v>985.40000000000146</v>
      </c>
      <c r="AL37" s="42">
        <f>SUM(AL6:AL36)</f>
        <v>280193.69710308645</v>
      </c>
      <c r="AM37" s="42">
        <f>SUM(AM6:AM36)</f>
        <v>91875.233086404944</v>
      </c>
      <c r="AN37" s="42">
        <f>SUM(AN6:AN36)</f>
        <v>3073</v>
      </c>
      <c r="AO37" s="42">
        <f>SUM(AO6:AO36)</f>
        <v>711710.38219000003</v>
      </c>
    </row>
    <row r="38" spans="1:41" x14ac:dyDescent="0.25">
      <c r="D38" s="6" t="e">
        <f>#REF!*24</f>
        <v>#REF!</v>
      </c>
      <c r="E38" s="6" t="s">
        <v>1</v>
      </c>
      <c r="R38" s="16">
        <v>7.84</v>
      </c>
      <c r="T38" s="16" t="s">
        <v>99</v>
      </c>
      <c r="U38" s="16">
        <f>U37-R39</f>
        <v>27602.421279999999</v>
      </c>
    </row>
    <row r="39" spans="1:41" x14ac:dyDescent="0.25">
      <c r="D39" s="6" t="e">
        <f>D38*31</f>
        <v>#REF!</v>
      </c>
      <c r="E39" s="6" t="s">
        <v>2</v>
      </c>
      <c r="F39" s="6" t="s">
        <v>94</v>
      </c>
      <c r="G39" s="6" t="e">
        <f>D39*0.2</f>
        <v>#REF!</v>
      </c>
      <c r="R39" s="16">
        <f>R37*R38</f>
        <v>22823.956959999985</v>
      </c>
      <c r="U39" s="16">
        <f>U38/R38</f>
        <v>3520.7170000000001</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B0F865-9138-4E1D-8771-8D60B0AC9DE3}">
  <ds:schemaRefs>
    <ds:schemaRef ds:uri="http://www.w3.org/XML/1998/namespace"/>
    <ds:schemaRef ds:uri="http://purl.org/dc/terms/"/>
    <ds:schemaRef ds:uri="http://schemas.microsoft.com/office/2006/metadata/properties"/>
    <ds:schemaRef ds:uri="a21bcabd-71d1-4587-a317-3c23b4e73213"/>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999013b5-db2e-47f1-85a9-df7f954d7a1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2022-10-03T12:50:52Z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