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1\Oct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30" i="9" l="1"/>
  <c r="R31" i="9"/>
  <c r="R32" i="9"/>
  <c r="Q30" i="9"/>
  <c r="Q31" i="9"/>
  <c r="Q32" i="9"/>
  <c r="P29" i="9"/>
  <c r="P30" i="9"/>
  <c r="P31" i="9"/>
  <c r="P32" i="9"/>
  <c r="O30" i="9"/>
  <c r="O31" i="9"/>
  <c r="O32" i="9"/>
  <c r="N30" i="9"/>
  <c r="N31" i="9"/>
  <c r="M30" i="9"/>
  <c r="M31" i="9"/>
  <c r="M32" i="9"/>
  <c r="L30" i="9"/>
  <c r="L31" i="9"/>
  <c r="L32" i="9"/>
  <c r="K30" i="9"/>
  <c r="K31" i="9"/>
  <c r="K32" i="9"/>
  <c r="J30" i="9"/>
  <c r="J31" i="9"/>
  <c r="J32" i="9"/>
  <c r="I30" i="9"/>
  <c r="I31" i="9"/>
  <c r="I32" i="9"/>
  <c r="H30" i="9"/>
  <c r="H31" i="9"/>
  <c r="H32" i="9"/>
  <c r="G30" i="9"/>
  <c r="G31" i="9"/>
  <c r="G32" i="9"/>
  <c r="F30" i="9"/>
  <c r="F31" i="9"/>
  <c r="F32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AB36" i="7"/>
  <c r="AB37" i="7"/>
  <c r="AC31" i="7" l="1"/>
  <c r="Q26" i="9" s="1"/>
  <c r="AC32" i="7"/>
  <c r="Q27" i="9" s="1"/>
  <c r="AC33" i="7"/>
  <c r="Q28" i="9" s="1"/>
  <c r="AC34" i="7"/>
  <c r="Q29" i="9" s="1"/>
  <c r="AC35" i="7"/>
  <c r="AC36" i="7"/>
  <c r="AC37" i="7"/>
  <c r="I29" i="5" l="1"/>
  <c r="S29" i="9"/>
  <c r="Q35" i="7" l="1"/>
  <c r="Q34" i="7"/>
  <c r="E29" i="9" s="1"/>
  <c r="Q31" i="7"/>
  <c r="E26" i="9" s="1"/>
  <c r="Q33" i="7"/>
  <c r="E28" i="9" s="1"/>
  <c r="Q32" i="7"/>
  <c r="E27" i="9" s="1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W8" i="7" s="1"/>
  <c r="AV7" i="7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V28" i="7"/>
  <c r="AV29" i="7"/>
  <c r="AV30" i="7"/>
  <c r="AV31" i="7"/>
  <c r="AV32" i="7"/>
  <c r="AV33" i="7"/>
  <c r="AV34" i="7"/>
  <c r="AV35" i="7"/>
  <c r="AW35" i="7" s="1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AV26" i="7"/>
  <c r="AV9" i="7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R26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R27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R28" i="7"/>
  <c r="F23" i="9" s="1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R29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R30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R31" i="7"/>
  <c r="F26" i="9" s="1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R32" i="7"/>
  <c r="F27" i="9" s="1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R33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R34" i="7"/>
  <c r="F29" i="9" s="1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W34" i="7" l="1"/>
  <c r="R29" i="9"/>
  <c r="AO34" i="7"/>
  <c r="N29" i="9"/>
  <c r="AM34" i="7"/>
  <c r="L29" i="9"/>
  <c r="AL34" i="7"/>
  <c r="K29" i="9"/>
  <c r="AK34" i="7"/>
  <c r="J29" i="9"/>
  <c r="AJ34" i="7"/>
  <c r="I29" i="9"/>
  <c r="AH34" i="7"/>
  <c r="G29" i="9"/>
  <c r="AW33" i="7"/>
  <c r="R28" i="9"/>
  <c r="G28" i="5" s="1"/>
  <c r="AO33" i="7"/>
  <c r="N28" i="9"/>
  <c r="AN33" i="7"/>
  <c r="M28" i="9"/>
  <c r="AM33" i="7"/>
  <c r="L28" i="9"/>
  <c r="AG33" i="7"/>
  <c r="F28" i="9"/>
  <c r="AW32" i="7"/>
  <c r="R27" i="9"/>
  <c r="AO32" i="7"/>
  <c r="N27" i="9"/>
  <c r="AN32" i="7"/>
  <c r="M27" i="9"/>
  <c r="AJ32" i="7"/>
  <c r="I27" i="9"/>
  <c r="AI32" i="7"/>
  <c r="H27" i="9"/>
  <c r="AW31" i="7"/>
  <c r="R26" i="9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W28" i="7"/>
  <c r="R23" i="9"/>
  <c r="G23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R28" i="7"/>
  <c r="Q23" i="9"/>
  <c r="AO28" i="7"/>
  <c r="N23" i="9"/>
  <c r="AN28" i="7"/>
  <c r="M23" i="9"/>
  <c r="AL28" i="7"/>
  <c r="K23" i="9"/>
  <c r="AJ28" i="7"/>
  <c r="I23" i="9"/>
  <c r="AF28" i="7"/>
  <c r="E23" i="9"/>
  <c r="AW27" i="7"/>
  <c r="R22" i="9"/>
  <c r="G22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W26" i="7"/>
  <c r="R21" i="9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R2" i="9"/>
  <c r="G2" i="5" s="1"/>
  <c r="AW7" i="7"/>
  <c r="AR7" i="7"/>
  <c r="AC38" i="7"/>
  <c r="M2" i="9"/>
  <c r="Y38" i="7"/>
  <c r="P2" i="9"/>
  <c r="AB38" i="7"/>
  <c r="AM7" i="7"/>
  <c r="X38" i="7"/>
  <c r="AP7" i="7"/>
  <c r="AA38" i="7"/>
  <c r="AL7" i="7"/>
  <c r="W38" i="7"/>
  <c r="AG7" i="7"/>
  <c r="R38" i="7"/>
  <c r="E2" i="9"/>
  <c r="Q38" i="7"/>
  <c r="AO7" i="7"/>
  <c r="Z38" i="7"/>
  <c r="J2" i="9"/>
  <c r="V38" i="7"/>
  <c r="I2" i="9"/>
  <c r="U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G4" i="5"/>
  <c r="AW25" i="7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V38" i="7"/>
  <c r="AD19" i="7"/>
  <c r="AO25" i="7"/>
  <c r="AH20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H38" i="7" l="1"/>
  <c r="AK38" i="7"/>
  <c r="AQ38" i="7"/>
  <c r="AL38" i="7"/>
  <c r="AJ38" i="7"/>
  <c r="AI38" i="7"/>
  <c r="AR38" i="7"/>
  <c r="AP38" i="7"/>
  <c r="AO38" i="7"/>
  <c r="AN38" i="7"/>
  <c r="AM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AW38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AV39" i="7"/>
  <c r="AV40" i="7" s="1"/>
  <c r="AV41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<sst xmlns="http://schemas.openxmlformats.org/spreadsheetml/2006/main" count="128" uniqueCount="49">
  <si>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</si>
  <si>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</si>
  <si>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</si>
  <si>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</si>
  <si>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</si>
  <si>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</si>
  <si>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</si>
  <si>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</si>
  <si>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</si>
  <si>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</si>
  <si>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</si>
  <si>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</si>
  <si>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</si>
  <si>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</si>
  <si>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</si>
  <si>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</si>
  <si>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</si>
  <si>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</si>
  <si>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</si>
  <si>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</si>
  <si>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</si>
  <si>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</si>
  <si>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</si>
  <si>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</si>
  <si>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</si>
  <si>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</si>
  <si>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</si>
  <si>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</si>
  <si>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</si>
  <si>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</si>
  <si>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</si>
  <si>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</si>
  <si>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</si>
  <si>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</si>
  <si>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</si>
  <si>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</si>
  <si>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</si>
  <si>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</si>
  <si>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</si>
  <si>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</si>
  <si>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</si>
  <si>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</si>
  <si>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</si>
  <si>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</si>
  <si>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</si>
  <si>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</si>
  <si>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</si>
  <si>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</si>
  <si>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October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</si>
</sst>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0" fillId="2" borderId="5" xfId="0" applyFill="1" applyBorder="1"/>
    <xf numFmtId="0" fontId="0" fillId="4" borderId="0" xfId="0" applyFill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10</v>
      </c>
      <c r="D2" s="11">
        <v>2021</v>
      </c>
      <c r="E2" s="12">
        <f>Submetering!E2+Submetering!F2+Submetering!G2+Submetering!H2+Submetering!I2+Submetering!J2+Submetering!K2+Submetering!L2+Submetering!M2+Submetering!N2+Submetering!O2+Submetering!P2+Submetering!Q2</f>
        <v>58620</v>
      </c>
      <c r="F2" s="11">
        <v>5.0000000000000001E-3</v>
      </c>
      <c r="G2" s="12">
        <f>Submetering!R2</f>
        <v>691.21586600000001</v>
      </c>
      <c r="H2" s="11">
        <v>0.52800000000000002</v>
      </c>
      <c r="I2" s="12">
        <f>Hotel!B7</f>
        <v>151</v>
      </c>
    </row>
    <row r="3" spans="1:9" s="15" customFormat="1" x14ac:dyDescent="0.25">
      <c r="A3" s="21" t="s">
        <v>31</v>
      </c>
      <c r="B3" s="14">
        <f>B2+1</f>
        <v>2</v>
      </c>
      <c r="C3" s="3">
        <v>10</v>
      </c>
      <c r="D3" s="11">
        <v>2021</v>
      </c>
      <c r="E3" s="12">
        <f>Submetering!E3+Submetering!F3+Submetering!G3+Submetering!H3+Submetering!I3+Submetering!J3+Submetering!K3+Submetering!L3+Submetering!M3+Submetering!N3+Submetering!O3+Submetering!P3+Submetering!Q3</f>
        <v>72480</v>
      </c>
      <c r="F3" s="11">
        <v>5.0000000000000001E-3</v>
      </c>
      <c r="G3" s="12">
        <f>Submetering!R3</f>
        <v>952.78769699999998</v>
      </c>
      <c r="H3" s="11">
        <v>0.52800000000000002</v>
      </c>
      <c r="I3" s="12">
        <f>Hotel!B8</f>
        <v>92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10</v>
      </c>
      <c r="D4" s="11">
        <v>2021</v>
      </c>
      <c r="E4" s="12">
        <f>Submetering!E4+Submetering!F4+Submetering!G4+Submetering!H4+Submetering!I4+Submetering!J4+Submetering!K4+Submetering!L4+Submetering!M4+Submetering!N4+Submetering!O4+Submetering!P4+Submetering!Q4</f>
        <v>62910</v>
      </c>
      <c r="F4" s="11">
        <v>5.0000000000000001E-3</v>
      </c>
      <c r="G4" s="12">
        <f>Submetering!R4</f>
        <v>928.93961399999989</v>
      </c>
      <c r="H4" s="11">
        <v>0.52800000000000002</v>
      </c>
      <c r="I4" s="12">
        <f>Hotel!B9</f>
        <v>129</v>
      </c>
    </row>
    <row r="5" spans="1:9" s="15" customFormat="1" x14ac:dyDescent="0.25">
      <c r="A5" s="21" t="s">
        <v>31</v>
      </c>
      <c r="B5" s="14">
        <f t="shared" si="0"/>
        <v>4</v>
      </c>
      <c r="C5" s="3">
        <v>10</v>
      </c>
      <c r="D5" s="11">
        <v>2021</v>
      </c>
      <c r="E5" s="12">
        <f>Submetering!E5+Submetering!F5+Submetering!G5+Submetering!H5+Submetering!I5+Submetering!J5+Submetering!K5+Submetering!L5+Submetering!M5+Submetering!N5+Submetering!O5+Submetering!P5+Submetering!Q5</f>
        <v>67500</v>
      </c>
      <c r="F5" s="11">
        <v>5.0000000000000001E-3</v>
      </c>
      <c r="G5" s="12">
        <f>Submetering!R5</f>
        <v>878.21511999999996</v>
      </c>
      <c r="H5" s="11">
        <v>0.52800000000000002</v>
      </c>
      <c r="I5" s="12">
        <f>Hotel!B10</f>
        <v>129</v>
      </c>
    </row>
    <row r="6" spans="1:9" s="15" customFormat="1" x14ac:dyDescent="0.25">
      <c r="A6" s="21" t="s">
        <v>31</v>
      </c>
      <c r="B6" s="14">
        <f t="shared" si="0"/>
        <v>5</v>
      </c>
      <c r="C6" s="3">
        <v>10</v>
      </c>
      <c r="D6" s="11">
        <v>2021</v>
      </c>
      <c r="E6" s="12">
        <f>Submetering!E6+Submetering!F6+Submetering!G6+Submetering!H6+Submetering!I6+Submetering!J6+Submetering!K6+Submetering!L6+Submetering!M6+Submetering!N6+Submetering!O6+Submetering!P6+Submetering!Q6</f>
        <v>69400</v>
      </c>
      <c r="F6" s="11">
        <v>5.0000000000000001E-3</v>
      </c>
      <c r="G6" s="12">
        <f>Submetering!R6</f>
        <v>849.44600400000002</v>
      </c>
      <c r="H6" s="11">
        <v>0.52800000000000002</v>
      </c>
      <c r="I6" s="12">
        <f>Hotel!B11</f>
        <v>86</v>
      </c>
    </row>
    <row r="7" spans="1:9" s="15" customFormat="1" x14ac:dyDescent="0.25">
      <c r="A7" s="21" t="s">
        <v>31</v>
      </c>
      <c r="B7" s="14">
        <f t="shared" si="0"/>
        <v>6</v>
      </c>
      <c r="C7" s="3">
        <v>10</v>
      </c>
      <c r="D7" s="11">
        <v>2021</v>
      </c>
      <c r="E7" s="12">
        <f>Submetering!E7+Submetering!F7+Submetering!G7+Submetering!H7+Submetering!I7+Submetering!J7+Submetering!K7+Submetering!L7+Submetering!M7+Submetering!N7+Submetering!O7+Submetering!P7+Submetering!Q7</f>
        <v>68830</v>
      </c>
      <c r="F7" s="11">
        <v>5.0000000000000001E-3</v>
      </c>
      <c r="G7" s="12">
        <f>Submetering!R7</f>
        <v>992.9130429999999</v>
      </c>
      <c r="H7" s="11">
        <v>0.52800000000000002</v>
      </c>
      <c r="I7" s="12">
        <f>Hotel!B12</f>
        <v>98</v>
      </c>
    </row>
    <row r="8" spans="1:9" s="15" customFormat="1" x14ac:dyDescent="0.25">
      <c r="A8" s="21" t="s">
        <v>31</v>
      </c>
      <c r="B8" s="14">
        <f t="shared" si="0"/>
        <v>7</v>
      </c>
      <c r="C8" s="3">
        <v>10</v>
      </c>
      <c r="D8" s="11">
        <v>2021</v>
      </c>
      <c r="E8" s="12">
        <f>Submetering!E8+Submetering!F8+Submetering!G8+Submetering!H8+Submetering!I8+Submetering!J8+Submetering!K8+Submetering!L8+Submetering!M8+Submetering!N8+Submetering!O8+Submetering!P8+Submetering!Q8</f>
        <v>70500</v>
      </c>
      <c r="F8" s="11">
        <v>5.0000000000000001E-3</v>
      </c>
      <c r="G8" s="12">
        <f>Submetering!R8</f>
        <v>911.90526899999998</v>
      </c>
      <c r="H8" s="11">
        <v>0.52800000000000002</v>
      </c>
      <c r="I8" s="12">
        <f>Hotel!B13</f>
        <v>171</v>
      </c>
    </row>
    <row r="9" spans="1:9" s="15" customFormat="1" x14ac:dyDescent="0.25">
      <c r="A9" s="21" t="s">
        <v>31</v>
      </c>
      <c r="B9" s="14">
        <f t="shared" si="0"/>
        <v>8</v>
      </c>
      <c r="C9" s="3">
        <v>10</v>
      </c>
      <c r="D9" s="11">
        <v>2021</v>
      </c>
      <c r="E9" s="12">
        <f>Submetering!E9+Submetering!F9+Submetering!G9+Submetering!H9+Submetering!I9+Submetering!J9+Submetering!K9+Submetering!L9+Submetering!M9+Submetering!N9+Submetering!O9+Submetering!P9+Submetering!Q9</f>
        <v>72160</v>
      </c>
      <c r="F9" s="11">
        <v>5.0000000000000001E-3</v>
      </c>
      <c r="G9" s="12">
        <f>Submetering!R9</f>
        <v>913.79797400000007</v>
      </c>
      <c r="H9" s="11">
        <v>0.52800000000000002</v>
      </c>
      <c r="I9" s="12">
        <f>Hotel!B14</f>
        <v>187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10</v>
      </c>
      <c r="D10" s="11">
        <v>2021</v>
      </c>
      <c r="E10" s="12">
        <f>Submetering!E10+Submetering!F10+Submetering!G10+Submetering!H10+Submetering!I10+Submetering!J10+Submetering!K10+Submetering!L10+Submetering!M10+Submetering!N10+Submetering!O10+Submetering!P10+Submetering!Q10</f>
        <v>70490</v>
      </c>
      <c r="F10" s="11">
        <v>5.0000000000000001E-3</v>
      </c>
      <c r="G10" s="12">
        <f>Submetering!R10</f>
        <v>934.61772900000005</v>
      </c>
      <c r="H10" s="11">
        <v>0.52800000000000002</v>
      </c>
      <c r="I10" s="12">
        <f>Hotel!B15</f>
        <v>73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10</v>
      </c>
      <c r="D11" s="11">
        <v>2021</v>
      </c>
      <c r="E11" s="12">
        <f>Submetering!E11+Submetering!F11+Submetering!G11+Submetering!H11+Submetering!I11+Submetering!J11+Submetering!K11+Submetering!L11+Submetering!M11+Submetering!N11+Submetering!O11+Submetering!P11+Submetering!Q11</f>
        <v>66380</v>
      </c>
      <c r="F11" s="11">
        <v>5.0000000000000001E-3</v>
      </c>
      <c r="G11" s="12">
        <f>Submetering!R11</f>
        <v>1005.783437</v>
      </c>
      <c r="H11" s="11">
        <v>0.52800000000000002</v>
      </c>
      <c r="I11" s="12">
        <f>Hotel!B16</f>
        <v>88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10</v>
      </c>
      <c r="D12" s="11">
        <v>2021</v>
      </c>
      <c r="E12" s="12">
        <f>Submetering!E12+Submetering!F12+Submetering!G12+Submetering!H12+Submetering!I12+Submetering!J12+Submetering!K12+Submetering!L12+Submetering!M12+Submetering!N12+Submetering!O12+Submetering!P12+Submetering!Q12</f>
        <v>67940</v>
      </c>
      <c r="F12" s="11">
        <v>5.0000000000000001E-3</v>
      </c>
      <c r="G12" s="12">
        <f>Submetering!R12</f>
        <v>982.313895</v>
      </c>
      <c r="H12" s="11">
        <v>0.52800000000000002</v>
      </c>
      <c r="I12" s="12">
        <f>Hotel!B17</f>
        <v>84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10</v>
      </c>
      <c r="D13" s="11">
        <v>2021</v>
      </c>
      <c r="E13" s="12">
        <f>Submetering!E13+Submetering!F13+Submetering!G13+Submetering!H13+Submetering!I13+Submetering!J13+Submetering!K13+Submetering!L13+Submetering!M13+Submetering!N13+Submetering!O13+Submetering!P13+Submetering!Q13</f>
        <v>60850</v>
      </c>
      <c r="F13" s="11">
        <v>5.0000000000000001E-3</v>
      </c>
      <c r="G13" s="12">
        <f>Submetering!R13</f>
        <v>832.79020000000003</v>
      </c>
      <c r="H13" s="11">
        <v>0.52800000000000002</v>
      </c>
      <c r="I13" s="12">
        <f>Hotel!B18</f>
        <v>62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10</v>
      </c>
      <c r="D14" s="11">
        <v>2021</v>
      </c>
      <c r="E14" s="12">
        <f>Submetering!E14+Submetering!F14+Submetering!G14+Submetering!H14+Submetering!I14+Submetering!J14+Submetering!K14+Submetering!L14+Submetering!M14+Submetering!N14+Submetering!O14+Submetering!P14+Submetering!Q14</f>
        <v>64070</v>
      </c>
      <c r="F14" s="11">
        <v>5.0000000000000001E-3</v>
      </c>
      <c r="G14" s="12">
        <f>Submetering!R14</f>
        <v>873.29408699999999</v>
      </c>
      <c r="H14" s="11">
        <v>0.52800000000000002</v>
      </c>
      <c r="I14" s="12">
        <f>Hotel!B19</f>
        <v>58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10</v>
      </c>
      <c r="D15" s="11">
        <v>2021</v>
      </c>
      <c r="E15" s="12">
        <f>Submetering!E15+Submetering!F15+Submetering!G15+Submetering!H15+Submetering!I15+Submetering!J15+Submetering!K15+Submetering!L15+Submetering!M15+Submetering!N15+Submetering!O15+Submetering!P15+Submetering!Q15</f>
        <v>62230</v>
      </c>
      <c r="F15" s="11">
        <v>5.0000000000000001E-3</v>
      </c>
      <c r="G15" s="12">
        <f>Submetering!R15</f>
        <v>942.56709000000001</v>
      </c>
      <c r="H15" s="11">
        <v>0.52800000000000002</v>
      </c>
      <c r="I15" s="12">
        <f>Hotel!B20</f>
        <v>119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10</v>
      </c>
      <c r="D16" s="11">
        <v>2021</v>
      </c>
      <c r="E16" s="12">
        <f>Submetering!E16+Submetering!F16+Submetering!G16+Submetering!H16+Submetering!I16+Submetering!J16+Submetering!K16+Submetering!L16+Submetering!M16+Submetering!N16+Submetering!O16+Submetering!P16+Submetering!Q16</f>
        <v>60660</v>
      </c>
      <c r="F16" s="11">
        <v>5.0000000000000001E-3</v>
      </c>
      <c r="G16" s="12">
        <f>Submetering!R16</f>
        <v>889.94989099999998</v>
      </c>
      <c r="H16" s="11">
        <v>0.52800000000000002</v>
      </c>
      <c r="I16" s="12">
        <f>Hotel!B21</f>
        <v>145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10</v>
      </c>
      <c r="D17" s="11">
        <v>2021</v>
      </c>
      <c r="E17" s="12">
        <f>Submetering!E17+Submetering!F17+Submetering!G17+Submetering!H17+Submetering!I17+Submetering!J17+Submetering!K17+Submetering!L17+Submetering!M17+Submetering!N17+Submetering!O17+Submetering!P17+Submetering!Q17</f>
        <v>64190</v>
      </c>
      <c r="F17" s="11">
        <v>5.0000000000000001E-3</v>
      </c>
      <c r="G17" s="12">
        <f>Submetering!R17</f>
        <v>879.35074299999997</v>
      </c>
      <c r="H17" s="11">
        <v>0.52800000000000002</v>
      </c>
      <c r="I17" s="12">
        <f>Hotel!B22</f>
        <v>78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10</v>
      </c>
      <c r="D18" s="11">
        <v>2021</v>
      </c>
      <c r="E18" s="12">
        <f>Submetering!E18+Submetering!F18+Submetering!G18+Submetering!H18+Submetering!I18+Submetering!J18+Submetering!K18+Submetering!L18+Submetering!M18+Submetering!N18+Submetering!O18+Submetering!P18+Submetering!Q18</f>
        <v>59970</v>
      </c>
      <c r="F18" s="11">
        <v>5.0000000000000001E-3</v>
      </c>
      <c r="G18" s="12">
        <f>Submetering!R18</f>
        <v>871.02284099999997</v>
      </c>
      <c r="H18" s="11">
        <v>0.52800000000000002</v>
      </c>
      <c r="I18" s="12">
        <f>Hotel!B23</f>
        <v>60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10</v>
      </c>
      <c r="D19" s="11">
        <v>2021</v>
      </c>
      <c r="E19" s="12">
        <f>Submetering!E19+Submetering!F19+Submetering!G19+Submetering!H19+Submetering!I19+Submetering!J19+Submetering!K19+Submetering!L19+Submetering!M19+Submetering!N19+Submetering!O19+Submetering!P19+Submetering!Q19</f>
        <v>62420</v>
      </c>
      <c r="F19" s="11">
        <v>5.0000000000000001E-3</v>
      </c>
      <c r="G19" s="12">
        <f>Submetering!R19</f>
        <v>836.5756100000001</v>
      </c>
      <c r="H19" s="11">
        <v>0.52800000000000002</v>
      </c>
      <c r="I19" s="12">
        <f>Hotel!B24</f>
        <v>48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10</v>
      </c>
      <c r="D20" s="11">
        <v>2021</v>
      </c>
      <c r="E20" s="12">
        <f>Submetering!E20+Submetering!F20+Submetering!G20+Submetering!H20+Submetering!I20+Submetering!J20+Submetering!K20+Submetering!L20+Submetering!M20+Submetering!N20+Submetering!O20+Submetering!P20+Submetering!Q20</f>
        <v>62490</v>
      </c>
      <c r="F20" s="11">
        <v>5.0000000000000001E-3</v>
      </c>
      <c r="G20" s="12">
        <f>Submetering!R20</f>
        <v>783.95841099999996</v>
      </c>
      <c r="H20" s="11">
        <v>0.52800000000000002</v>
      </c>
      <c r="I20" s="12">
        <f>Hotel!B25</f>
        <v>75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10</v>
      </c>
      <c r="D21" s="11">
        <v>2021</v>
      </c>
      <c r="E21" s="12">
        <f>Submetering!E21+Submetering!F21+Submetering!G21+Submetering!H21+Submetering!I21+Submetering!J21+Submetering!K21+Submetering!L21+Submetering!M21+Submetering!N21+Submetering!O21+Submetering!P21+Submetering!Q21</f>
        <v>53250</v>
      </c>
      <c r="F21" s="11">
        <v>5.0000000000000001E-3</v>
      </c>
      <c r="G21" s="12">
        <f>Submetering!R21</f>
        <v>822.19105200000001</v>
      </c>
      <c r="H21" s="11">
        <v>0.52800000000000002</v>
      </c>
      <c r="I21" s="12">
        <f>Hotel!B26</f>
        <v>137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10</v>
      </c>
      <c r="D22" s="11">
        <v>2021</v>
      </c>
      <c r="E22" s="12">
        <f>Submetering!E22+Submetering!F22+Submetering!G22+Submetering!H22+Submetering!I22+Submetering!J22+Submetering!K22+Submetering!L22+Submetering!M22+Submetering!N22+Submetering!O22+Submetering!P22+Submetering!Q22</f>
        <v>65740</v>
      </c>
      <c r="F22" s="11">
        <v>5.0000000000000001E-3</v>
      </c>
      <c r="G22" s="12">
        <f>Submetering!R22</f>
        <v>910.39110499999992</v>
      </c>
      <c r="H22" s="11">
        <v>0.52800000000000002</v>
      </c>
      <c r="I22" s="12">
        <f>Hotel!B27</f>
        <v>192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10</v>
      </c>
      <c r="D23" s="11">
        <v>2021</v>
      </c>
      <c r="E23" s="12">
        <f>Submetering!E23+Submetering!F23+Submetering!G23+Submetering!H23+Submetering!I23+Submetering!J23+Submetering!K23+Submetering!L23+Submetering!M23+Submetering!N23+Submetering!O23+Submetering!P23+Submetering!Q23</f>
        <v>67440</v>
      </c>
      <c r="F23" s="11">
        <v>5.0000000000000001E-3</v>
      </c>
      <c r="G23" s="12">
        <f>Submetering!R23</f>
        <v>903.19882600000005</v>
      </c>
      <c r="H23" s="11">
        <v>0.52800000000000002</v>
      </c>
      <c r="I23" s="12">
        <f>Hotel!B28</f>
        <v>160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10</v>
      </c>
      <c r="D24" s="11">
        <v>2021</v>
      </c>
      <c r="E24" s="12">
        <f>Submetering!E24+Submetering!F24+Submetering!G24+Submetering!H24+Submetering!I24+Submetering!J24+Submetering!K24+Submetering!L24+Submetering!M24+Submetering!N24+Submetering!O24+Submetering!P24+Submetering!Q24</f>
        <v>59890</v>
      </c>
      <c r="F24" s="11">
        <v>5.0000000000000001E-3</v>
      </c>
      <c r="G24" s="12">
        <f>Submetering!R24</f>
        <v>775.63050899999996</v>
      </c>
      <c r="H24" s="11">
        <v>0.52800000000000002</v>
      </c>
      <c r="I24" s="12">
        <f>Hotel!B29</f>
        <v>85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10</v>
      </c>
      <c r="D25" s="11">
        <v>2021</v>
      </c>
      <c r="E25" s="12">
        <f>Submetering!E25+Submetering!F25+Submetering!G25+Submetering!H25+Submetering!I25+Submetering!J25+Submetering!K25+Submetering!L25+Submetering!M25+Submetering!N25+Submetering!O25+Submetering!P25+Submetering!Q25</f>
        <v>61360</v>
      </c>
      <c r="F25" s="11">
        <v>5.0000000000000001E-3</v>
      </c>
      <c r="G25" s="12">
        <f>Submetering!R25</f>
        <v>803.264002</v>
      </c>
      <c r="H25" s="11">
        <v>0.52800000000000002</v>
      </c>
      <c r="I25" s="12">
        <f>Hotel!B30</f>
        <v>65</v>
      </c>
    </row>
    <row r="26" spans="1:9" s="15" customFormat="1" x14ac:dyDescent="0.25">
      <c r="A26" s="21" t="s">
        <v>31</v>
      </c>
      <c r="B26" s="14">
        <f>B25+1</f>
        <v>25</v>
      </c>
      <c r="C26" s="3">
        <v>10</v>
      </c>
      <c r="D26" s="11">
        <v>2021</v>
      </c>
      <c r="E26" s="12">
        <f>Submetering!E26+Submetering!F26+Submetering!G26+Submetering!H26+Submetering!I26+Submetering!J26+Submetering!K26+Submetering!L26+Submetering!M26+Submetering!N26+Submetering!O26+Submetering!P26+Submetering!Q26</f>
        <v>62510</v>
      </c>
      <c r="F26" s="11">
        <v>5.0000000000000001E-3</v>
      </c>
      <c r="G26" s="12">
        <f>Submetering!R26</f>
        <v>880.8649069999999</v>
      </c>
      <c r="H26" s="11">
        <v>0.52800000000000002</v>
      </c>
      <c r="I26" s="12">
        <f>Hotel!B31</f>
        <v>45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10</v>
      </c>
      <c r="D27" s="11">
        <v>2021</v>
      </c>
      <c r="E27" s="12">
        <f>Submetering!E27+Submetering!F27+Submetering!G27+Submetering!H27+Submetering!I27+Submetering!J27+Submetering!K27+Submetering!L27+Submetering!M27+Submetering!N27+Submetering!O27+Submetering!P27+Submetering!Q27</f>
        <v>60260</v>
      </c>
      <c r="F27" s="11">
        <v>5.0000000000000001E-3</v>
      </c>
      <c r="G27" s="12">
        <f>Submetering!R27</f>
        <v>807.427953</v>
      </c>
      <c r="H27" s="11">
        <v>0.52800000000000002</v>
      </c>
      <c r="I27" s="12">
        <f>Hotel!B32</f>
        <v>58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10</v>
      </c>
      <c r="D28" s="11">
        <v>2021</v>
      </c>
      <c r="E28" s="12">
        <f>Submetering!E28+Submetering!F28+Submetering!G28+Submetering!H28+Submetering!I28+Submetering!J28+Submetering!K28+Submetering!L28+Submetering!M28+Submetering!N28+Submetering!O28+Submetering!P28+Submetering!Q28</f>
        <v>62300</v>
      </c>
      <c r="F28" s="11">
        <v>5.0000000000000001E-3</v>
      </c>
      <c r="G28" s="12">
        <f>Submetering!R28</f>
        <v>845.66059399999995</v>
      </c>
      <c r="H28" s="11">
        <v>0.52800000000000002</v>
      </c>
      <c r="I28" s="12">
        <f>Hotel!B33</f>
        <v>79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10</v>
      </c>
      <c r="D29" s="11">
        <v>2021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10</v>
      </c>
      <c r="D30" s="11">
        <v>2021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10</v>
      </c>
      <c r="D31" s="11">
        <v>2021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10</v>
      </c>
      <c r="D32" s="11">
        <v>2021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10</v>
      </c>
      <c r="D2" s="11">
        <v>2021</v>
      </c>
      <c r="E2" s="4">
        <f>Hotel!Q7</f>
        <v>7970</v>
      </c>
      <c r="F2" s="4">
        <f>Hotel!R7</f>
        <v>10930</v>
      </c>
      <c r="G2" s="4">
        <f>Hotel!S7</f>
        <v>110</v>
      </c>
      <c r="H2" s="4">
        <f>Hotel!T7</f>
        <v>1440</v>
      </c>
      <c r="I2" s="4">
        <f>Hotel!U7</f>
        <v>4030</v>
      </c>
      <c r="J2" s="4">
        <f>Hotel!V7</f>
        <v>3380</v>
      </c>
      <c r="K2" s="4">
        <f>Hotel!W7</f>
        <v>1880</v>
      </c>
      <c r="L2" s="4">
        <f>Hotel!X7</f>
        <v>4180</v>
      </c>
      <c r="M2" s="4">
        <f>Hotel!Y7</f>
        <v>4970</v>
      </c>
      <c r="N2" s="4">
        <f>Hotel!Z7</f>
        <v>2390</v>
      </c>
      <c r="O2" s="4">
        <f>Hotel!AA7</f>
        <v>2950</v>
      </c>
      <c r="P2" s="4">
        <f>Hotel!AB7</f>
        <v>6150</v>
      </c>
      <c r="Q2" s="4">
        <f>Hotel!AC7</f>
        <v>8240</v>
      </c>
      <c r="R2" s="4">
        <f>Hotel!AV7*0.00378541*100</f>
        <v>691.21586600000001</v>
      </c>
      <c r="S2" s="4">
        <f>Hotel!B7</f>
        <v>151</v>
      </c>
    </row>
    <row r="3" spans="1:19" x14ac:dyDescent="0.25">
      <c r="A3" s="21" t="s">
        <v>31</v>
      </c>
      <c r="B3" s="2">
        <f>B2+1</f>
        <v>2</v>
      </c>
      <c r="C3" s="3">
        <v>10</v>
      </c>
      <c r="D3" s="11">
        <v>2021</v>
      </c>
      <c r="E3" s="4">
        <f>Hotel!Q8</f>
        <v>10150</v>
      </c>
      <c r="F3" s="4">
        <f>Hotel!R8</f>
        <v>13180</v>
      </c>
      <c r="G3" s="4">
        <f>Hotel!S8</f>
        <v>120</v>
      </c>
      <c r="H3" s="4">
        <f>Hotel!T8</f>
        <v>1760</v>
      </c>
      <c r="I3" s="4">
        <f>Hotel!U8</f>
        <v>4870</v>
      </c>
      <c r="J3" s="4">
        <f>Hotel!V8</f>
        <v>4000</v>
      </c>
      <c r="K3" s="4">
        <f>Hotel!W8</f>
        <v>2340</v>
      </c>
      <c r="L3" s="4">
        <f>Hotel!X8</f>
        <v>4680</v>
      </c>
      <c r="M3" s="4">
        <f>Hotel!Y8</f>
        <v>5880</v>
      </c>
      <c r="N3" s="4">
        <f>Hotel!Z8</f>
        <v>2790</v>
      </c>
      <c r="O3" s="4">
        <f>Hotel!AA8</f>
        <v>3410</v>
      </c>
      <c r="P3" s="4">
        <f>Hotel!AB8</f>
        <v>7490</v>
      </c>
      <c r="Q3" s="4">
        <f>Hotel!AC8</f>
        <v>11810</v>
      </c>
      <c r="R3" s="4">
        <f>Hotel!AV8*0.00378541*100</f>
        <v>952.78769699999998</v>
      </c>
      <c r="S3" s="4">
        <f>Hotel!B8</f>
        <v>92</v>
      </c>
    </row>
    <row r="4" spans="1:19" x14ac:dyDescent="0.25">
      <c r="A4" s="21" t="s">
        <v>31</v>
      </c>
      <c r="B4" s="2">
        <f t="shared" ref="B4:B29" si="0">B3+1</f>
        <v>3</v>
      </c>
      <c r="C4" s="3">
        <v>10</v>
      </c>
      <c r="D4" s="11">
        <v>2021</v>
      </c>
      <c r="E4" s="4">
        <f>Hotel!Q9</f>
        <v>9210</v>
      </c>
      <c r="F4" s="4">
        <f>Hotel!R9</f>
        <v>11800</v>
      </c>
      <c r="G4" s="4">
        <f>Hotel!S9</f>
        <v>110</v>
      </c>
      <c r="H4" s="4">
        <f>Hotel!T9</f>
        <v>1580</v>
      </c>
      <c r="I4" s="4">
        <f>Hotel!U9</f>
        <v>4000</v>
      </c>
      <c r="J4" s="4">
        <f>Hotel!V9</f>
        <v>3160</v>
      </c>
      <c r="K4" s="4">
        <f>Hotel!W9</f>
        <v>2080</v>
      </c>
      <c r="L4" s="4">
        <f>Hotel!X9</f>
        <v>3950</v>
      </c>
      <c r="M4" s="4">
        <f>Hotel!Y9</f>
        <v>4960</v>
      </c>
      <c r="N4" s="4">
        <f>Hotel!Z9</f>
        <v>2410</v>
      </c>
      <c r="O4" s="4">
        <f>Hotel!AA9</f>
        <v>2980</v>
      </c>
      <c r="P4" s="4">
        <f>Hotel!AB9</f>
        <v>6580</v>
      </c>
      <c r="Q4" s="4">
        <f>Hotel!AC9</f>
        <v>10090</v>
      </c>
      <c r="R4" s="4">
        <f>Hotel!AV9*0.00378541*100</f>
        <v>928.93961399999989</v>
      </c>
      <c r="S4" s="4">
        <f>Hotel!B9</f>
        <v>129</v>
      </c>
    </row>
    <row r="5" spans="1:19" x14ac:dyDescent="0.25">
      <c r="A5" s="21" t="s">
        <v>31</v>
      </c>
      <c r="B5" s="2">
        <f t="shared" si="0"/>
        <v>4</v>
      </c>
      <c r="C5" s="3">
        <v>10</v>
      </c>
      <c r="D5" s="11">
        <v>2021</v>
      </c>
      <c r="E5" s="4">
        <f>Hotel!Q10</f>
        <v>9990</v>
      </c>
      <c r="F5" s="4">
        <f>Hotel!R10</f>
        <v>12970</v>
      </c>
      <c r="G5" s="4">
        <f>Hotel!S10</f>
        <v>140</v>
      </c>
      <c r="H5" s="4">
        <f>Hotel!T10</f>
        <v>1720</v>
      </c>
      <c r="I5" s="4">
        <f>Hotel!U10</f>
        <v>4400</v>
      </c>
      <c r="J5" s="4">
        <f>Hotel!V10</f>
        <v>3800</v>
      </c>
      <c r="K5" s="4">
        <f>Hotel!W10</f>
        <v>2330</v>
      </c>
      <c r="L5" s="4">
        <f>Hotel!X10</f>
        <v>4310</v>
      </c>
      <c r="M5" s="4">
        <f>Hotel!Y10</f>
        <v>5500</v>
      </c>
      <c r="N5" s="4">
        <f>Hotel!Z10</f>
        <v>2600</v>
      </c>
      <c r="O5" s="4">
        <f>Hotel!AA10</f>
        <v>3150</v>
      </c>
      <c r="P5" s="4">
        <f>Hotel!AB10</f>
        <v>7160</v>
      </c>
      <c r="Q5" s="4">
        <f>Hotel!AC10</f>
        <v>9430</v>
      </c>
      <c r="R5" s="4">
        <f>Hotel!AV10*0.00378541*100</f>
        <v>878.21511999999996</v>
      </c>
      <c r="S5" s="4">
        <f>Hotel!B10</f>
        <v>129</v>
      </c>
    </row>
    <row r="6" spans="1:19" x14ac:dyDescent="0.25">
      <c r="A6" s="21" t="s">
        <v>31</v>
      </c>
      <c r="B6" s="2">
        <f t="shared" si="0"/>
        <v>5</v>
      </c>
      <c r="C6" s="3">
        <v>10</v>
      </c>
      <c r="D6" s="11">
        <v>2021</v>
      </c>
      <c r="E6" s="4">
        <f>Hotel!Q11</f>
        <v>9620</v>
      </c>
      <c r="F6" s="4">
        <f>Hotel!R11</f>
        <v>12570</v>
      </c>
      <c r="G6" s="4">
        <f>Hotel!S11</f>
        <v>120</v>
      </c>
      <c r="H6" s="4">
        <f>Hotel!T11</f>
        <v>1680</v>
      </c>
      <c r="I6" s="4">
        <f>Hotel!U11</f>
        <v>4310</v>
      </c>
      <c r="J6" s="4">
        <f>Hotel!V11</f>
        <v>3890</v>
      </c>
      <c r="K6" s="4">
        <f>Hotel!W11</f>
        <v>2400</v>
      </c>
      <c r="L6" s="4">
        <f>Hotel!X11</f>
        <v>4650</v>
      </c>
      <c r="M6" s="4">
        <f>Hotel!Y11</f>
        <v>5840</v>
      </c>
      <c r="N6" s="4">
        <f>Hotel!Z11</f>
        <v>2560</v>
      </c>
      <c r="O6" s="4">
        <f>Hotel!AA11</f>
        <v>3180</v>
      </c>
      <c r="P6" s="4">
        <f>Hotel!AB11</f>
        <v>7020</v>
      </c>
      <c r="Q6" s="4">
        <f>Hotel!AC11</f>
        <v>11560</v>
      </c>
      <c r="R6" s="4">
        <f>Hotel!AV11*0.00378541*100</f>
        <v>849.44600400000002</v>
      </c>
      <c r="S6" s="4">
        <f>Hotel!B11</f>
        <v>86</v>
      </c>
    </row>
    <row r="7" spans="1:19" x14ac:dyDescent="0.25">
      <c r="A7" s="21" t="s">
        <v>31</v>
      </c>
      <c r="B7" s="2">
        <f t="shared" si="0"/>
        <v>6</v>
      </c>
      <c r="C7" s="3">
        <v>10</v>
      </c>
      <c r="D7" s="11">
        <v>2021</v>
      </c>
      <c r="E7" s="4">
        <f>Hotel!Q12</f>
        <v>9600</v>
      </c>
      <c r="F7" s="4">
        <f>Hotel!R12</f>
        <v>12570</v>
      </c>
      <c r="G7" s="4">
        <f>Hotel!S12</f>
        <v>110</v>
      </c>
      <c r="H7" s="4">
        <f>Hotel!T12</f>
        <v>1690</v>
      </c>
      <c r="I7" s="4">
        <f>Hotel!U12</f>
        <v>4370</v>
      </c>
      <c r="J7" s="4">
        <f>Hotel!V12</f>
        <v>3940</v>
      </c>
      <c r="K7" s="4">
        <f>Hotel!W12</f>
        <v>2450</v>
      </c>
      <c r="L7" s="4">
        <f>Hotel!X12</f>
        <v>4860</v>
      </c>
      <c r="M7" s="4">
        <f>Hotel!Y12</f>
        <v>5920</v>
      </c>
      <c r="N7" s="4">
        <f>Hotel!Z12</f>
        <v>2630</v>
      </c>
      <c r="O7" s="4">
        <f>Hotel!AA12</f>
        <v>3300</v>
      </c>
      <c r="P7" s="4">
        <f>Hotel!AB12</f>
        <v>7080</v>
      </c>
      <c r="Q7" s="4">
        <f>Hotel!AC12</f>
        <v>10310</v>
      </c>
      <c r="R7" s="4">
        <f>Hotel!AV12*0.00378541*100</f>
        <v>992.9130429999999</v>
      </c>
      <c r="S7" s="4">
        <f>Hotel!B12</f>
        <v>98</v>
      </c>
    </row>
    <row r="8" spans="1:19" x14ac:dyDescent="0.25">
      <c r="A8" s="21" t="s">
        <v>31</v>
      </c>
      <c r="B8" s="2">
        <f t="shared" si="0"/>
        <v>7</v>
      </c>
      <c r="C8" s="3">
        <v>10</v>
      </c>
      <c r="D8" s="11">
        <v>2021</v>
      </c>
      <c r="E8" s="4">
        <f>Hotel!Q13</f>
        <v>9970</v>
      </c>
      <c r="F8" s="4">
        <f>Hotel!R13</f>
        <v>12970</v>
      </c>
      <c r="G8" s="4">
        <f>Hotel!S13</f>
        <v>140</v>
      </c>
      <c r="H8" s="4">
        <f>Hotel!T13</f>
        <v>1710</v>
      </c>
      <c r="I8" s="4">
        <f>Hotel!U13</f>
        <v>4510</v>
      </c>
      <c r="J8" s="4">
        <f>Hotel!V13</f>
        <v>4100</v>
      </c>
      <c r="K8" s="4">
        <f>Hotel!W13</f>
        <v>2560</v>
      </c>
      <c r="L8" s="4">
        <f>Hotel!X13</f>
        <v>4860</v>
      </c>
      <c r="M8" s="4">
        <f>Hotel!Y13</f>
        <v>6120</v>
      </c>
      <c r="N8" s="4">
        <f>Hotel!Z13</f>
        <v>2810</v>
      </c>
      <c r="O8" s="4">
        <f>Hotel!AA13</f>
        <v>3310</v>
      </c>
      <c r="P8" s="4">
        <f>Hotel!AB13</f>
        <v>7250</v>
      </c>
      <c r="Q8" s="4">
        <f>Hotel!AC13</f>
        <v>10190</v>
      </c>
      <c r="R8" s="4">
        <f>Hotel!AV13*0.00378541*100</f>
        <v>911.90526899999998</v>
      </c>
      <c r="S8" s="4">
        <f>Hotel!B13</f>
        <v>171</v>
      </c>
    </row>
    <row r="9" spans="1:19" x14ac:dyDescent="0.25">
      <c r="A9" s="21" t="s">
        <v>31</v>
      </c>
      <c r="B9" s="2">
        <f t="shared" si="0"/>
        <v>8</v>
      </c>
      <c r="C9" s="3">
        <v>10</v>
      </c>
      <c r="D9" s="11">
        <v>2021</v>
      </c>
      <c r="E9" s="4">
        <f>Hotel!Q14</f>
        <v>9590</v>
      </c>
      <c r="F9" s="4">
        <f>Hotel!R14</f>
        <v>12590</v>
      </c>
      <c r="G9" s="4">
        <f>Hotel!S14</f>
        <v>100</v>
      </c>
      <c r="H9" s="4">
        <f>Hotel!T14</f>
        <v>1720</v>
      </c>
      <c r="I9" s="4">
        <f>Hotel!U14</f>
        <v>4920</v>
      </c>
      <c r="J9" s="4">
        <f>Hotel!V14</f>
        <v>4090</v>
      </c>
      <c r="K9" s="4">
        <f>Hotel!W14</f>
        <v>2460</v>
      </c>
      <c r="L9" s="4">
        <f>Hotel!X14</f>
        <v>4910</v>
      </c>
      <c r="M9" s="4">
        <f>Hotel!Y14</f>
        <v>6330</v>
      </c>
      <c r="N9" s="4">
        <f>Hotel!Z14</f>
        <v>3060</v>
      </c>
      <c r="O9" s="4">
        <f>Hotel!AA14</f>
        <v>3560</v>
      </c>
      <c r="P9" s="4">
        <f>Hotel!AB14</f>
        <v>7360</v>
      </c>
      <c r="Q9" s="4">
        <f>Hotel!AC14</f>
        <v>11470</v>
      </c>
      <c r="R9" s="4">
        <f>Hotel!AV14*0.00378541*100</f>
        <v>913.79797400000007</v>
      </c>
      <c r="S9" s="4">
        <f>Hotel!B14</f>
        <v>187</v>
      </c>
    </row>
    <row r="10" spans="1:19" x14ac:dyDescent="0.25">
      <c r="A10" s="21" t="s">
        <v>31</v>
      </c>
      <c r="B10" s="2">
        <f t="shared" si="0"/>
        <v>9</v>
      </c>
      <c r="C10" s="3">
        <v>10</v>
      </c>
      <c r="D10" s="11">
        <v>2021</v>
      </c>
      <c r="E10" s="4">
        <f>Hotel!Q15</f>
        <v>9360</v>
      </c>
      <c r="F10" s="4">
        <f>Hotel!R15</f>
        <v>12380</v>
      </c>
      <c r="G10" s="4">
        <f>Hotel!S15</f>
        <v>100</v>
      </c>
      <c r="H10" s="4">
        <f>Hotel!T15</f>
        <v>1700</v>
      </c>
      <c r="I10" s="4">
        <f>Hotel!U15</f>
        <v>4810</v>
      </c>
      <c r="J10" s="4">
        <f>Hotel!V15</f>
        <v>4010</v>
      </c>
      <c r="K10" s="4">
        <f>Hotel!W15</f>
        <v>2400</v>
      </c>
      <c r="L10" s="4">
        <f>Hotel!X15</f>
        <v>4780</v>
      </c>
      <c r="M10" s="4">
        <f>Hotel!Y15</f>
        <v>6150</v>
      </c>
      <c r="N10" s="4">
        <f>Hotel!Z15</f>
        <v>2750</v>
      </c>
      <c r="O10" s="4">
        <f>Hotel!AA15</f>
        <v>3450</v>
      </c>
      <c r="P10" s="4">
        <f>Hotel!AB15</f>
        <v>7310</v>
      </c>
      <c r="Q10" s="4">
        <f>Hotel!AC15</f>
        <v>11290</v>
      </c>
      <c r="R10" s="4">
        <f>Hotel!AV15*0.00378541*100</f>
        <v>934.61772900000005</v>
      </c>
      <c r="S10" s="4">
        <f>Hotel!B15</f>
        <v>73</v>
      </c>
    </row>
    <row r="11" spans="1:19" x14ac:dyDescent="0.25">
      <c r="A11" s="21" t="s">
        <v>31</v>
      </c>
      <c r="B11" s="2">
        <f t="shared" si="0"/>
        <v>10</v>
      </c>
      <c r="C11" s="3">
        <v>10</v>
      </c>
      <c r="D11" s="11">
        <v>2021</v>
      </c>
      <c r="E11" s="4">
        <f>Hotel!Q16</f>
        <v>8910</v>
      </c>
      <c r="F11" s="4">
        <f>Hotel!R16</f>
        <v>11830</v>
      </c>
      <c r="G11" s="4">
        <f>Hotel!S16</f>
        <v>100</v>
      </c>
      <c r="H11" s="4">
        <f>Hotel!T16</f>
        <v>1640</v>
      </c>
      <c r="I11" s="4">
        <f>Hotel!U16</f>
        <v>4320</v>
      </c>
      <c r="J11" s="4">
        <f>Hotel!V16</f>
        <v>3640</v>
      </c>
      <c r="K11" s="4">
        <f>Hotel!W16</f>
        <v>2370</v>
      </c>
      <c r="L11" s="4">
        <f>Hotel!X16</f>
        <v>4280</v>
      </c>
      <c r="M11" s="4">
        <f>Hotel!Y16</f>
        <v>5490</v>
      </c>
      <c r="N11" s="4">
        <f>Hotel!Z16</f>
        <v>2550</v>
      </c>
      <c r="O11" s="4">
        <f>Hotel!AA16</f>
        <v>3220</v>
      </c>
      <c r="P11" s="4">
        <f>Hotel!AB16</f>
        <v>6920</v>
      </c>
      <c r="Q11" s="4">
        <f>Hotel!AC16</f>
        <v>11110</v>
      </c>
      <c r="R11" s="4">
        <f>Hotel!AV16*0.00378541*100</f>
        <v>1005.783437</v>
      </c>
      <c r="S11" s="4">
        <f>Hotel!B16</f>
        <v>88</v>
      </c>
    </row>
    <row r="12" spans="1:19" x14ac:dyDescent="0.25">
      <c r="A12" s="21" t="s">
        <v>31</v>
      </c>
      <c r="B12" s="2">
        <f t="shared" si="0"/>
        <v>11</v>
      </c>
      <c r="C12" s="3">
        <v>10</v>
      </c>
      <c r="D12" s="11">
        <v>2021</v>
      </c>
      <c r="E12" s="4">
        <f>Hotel!Q17</f>
        <v>8660</v>
      </c>
      <c r="F12" s="4">
        <f>Hotel!R17</f>
        <v>12670</v>
      </c>
      <c r="G12" s="4">
        <f>Hotel!S17</f>
        <v>90</v>
      </c>
      <c r="H12" s="4">
        <f>Hotel!T17</f>
        <v>1770</v>
      </c>
      <c r="I12" s="4">
        <f>Hotel!U17</f>
        <v>4620</v>
      </c>
      <c r="J12" s="4">
        <f>Hotel!V17</f>
        <v>3990</v>
      </c>
      <c r="K12" s="4">
        <f>Hotel!W17</f>
        <v>2570</v>
      </c>
      <c r="L12" s="4">
        <f>Hotel!X17</f>
        <v>4500</v>
      </c>
      <c r="M12" s="4">
        <f>Hotel!Y17</f>
        <v>6100</v>
      </c>
      <c r="N12" s="4">
        <f>Hotel!Z17</f>
        <v>2660</v>
      </c>
      <c r="O12" s="4">
        <f>Hotel!AA17</f>
        <v>3450</v>
      </c>
      <c r="P12" s="4">
        <f>Hotel!AB17</f>
        <v>7340</v>
      </c>
      <c r="Q12" s="4">
        <f>Hotel!AC17</f>
        <v>9520</v>
      </c>
      <c r="R12" s="4">
        <f>Hotel!AV17*0.00378541*100</f>
        <v>982.313895</v>
      </c>
      <c r="S12" s="4">
        <f>Hotel!B17</f>
        <v>84</v>
      </c>
    </row>
    <row r="13" spans="1:19" x14ac:dyDescent="0.25">
      <c r="A13" s="21" t="s">
        <v>31</v>
      </c>
      <c r="B13" s="2">
        <f t="shared" si="0"/>
        <v>12</v>
      </c>
      <c r="C13" s="3">
        <v>10</v>
      </c>
      <c r="D13" s="11">
        <v>2021</v>
      </c>
      <c r="E13" s="4">
        <f>Hotel!Q18</f>
        <v>8640</v>
      </c>
      <c r="F13" s="4">
        <f>Hotel!R18</f>
        <v>6170</v>
      </c>
      <c r="G13" s="4">
        <f>Hotel!S18</f>
        <v>1880</v>
      </c>
      <c r="H13" s="4">
        <f>Hotel!T18</f>
        <v>1620</v>
      </c>
      <c r="I13" s="4">
        <f>Hotel!U18</f>
        <v>4040</v>
      </c>
      <c r="J13" s="4">
        <f>Hotel!V18</f>
        <v>3560</v>
      </c>
      <c r="K13" s="4">
        <f>Hotel!W18</f>
        <v>2370</v>
      </c>
      <c r="L13" s="4">
        <f>Hotel!X18</f>
        <v>4440</v>
      </c>
      <c r="M13" s="4">
        <f>Hotel!Y18</f>
        <v>5560</v>
      </c>
      <c r="N13" s="4">
        <f>Hotel!Z18</f>
        <v>2380</v>
      </c>
      <c r="O13" s="4">
        <f>Hotel!AA18</f>
        <v>3110</v>
      </c>
      <c r="P13" s="4">
        <f>Hotel!AB18</f>
        <v>6670</v>
      </c>
      <c r="Q13" s="4">
        <f>Hotel!AC18</f>
        <v>10410</v>
      </c>
      <c r="R13" s="4">
        <f>Hotel!AV18*0.00378541*100</f>
        <v>832.79020000000003</v>
      </c>
      <c r="S13" s="4">
        <f>Hotel!B18</f>
        <v>62</v>
      </c>
    </row>
    <row r="14" spans="1:19" x14ac:dyDescent="0.25">
      <c r="A14" s="21" t="s">
        <v>31</v>
      </c>
      <c r="B14" s="2">
        <f t="shared" si="0"/>
        <v>13</v>
      </c>
      <c r="C14" s="3">
        <v>10</v>
      </c>
      <c r="D14" s="11">
        <v>2021</v>
      </c>
      <c r="E14" s="4">
        <f>Hotel!Q19</f>
        <v>10190</v>
      </c>
      <c r="F14" s="4">
        <f>Hotel!R19</f>
        <v>3860</v>
      </c>
      <c r="G14" s="4">
        <f>Hotel!S19</f>
        <v>3030</v>
      </c>
      <c r="H14" s="4">
        <f>Hotel!T19</f>
        <v>1780</v>
      </c>
      <c r="I14" s="4">
        <f>Hotel!U19</f>
        <v>4480</v>
      </c>
      <c r="J14" s="4">
        <f>Hotel!V19</f>
        <v>3820</v>
      </c>
      <c r="K14" s="4">
        <f>Hotel!W19</f>
        <v>2710</v>
      </c>
      <c r="L14" s="4">
        <f>Hotel!X19</f>
        <v>4680</v>
      </c>
      <c r="M14" s="4">
        <f>Hotel!Y19</f>
        <v>6270</v>
      </c>
      <c r="N14" s="4">
        <f>Hotel!Z19</f>
        <v>2680</v>
      </c>
      <c r="O14" s="4">
        <f>Hotel!AA19</f>
        <v>3200</v>
      </c>
      <c r="P14" s="4">
        <f>Hotel!AB19</f>
        <v>7470</v>
      </c>
      <c r="Q14" s="4">
        <f>Hotel!AC19</f>
        <v>9900</v>
      </c>
      <c r="R14" s="4">
        <f>Hotel!AV19*0.00378541*100</f>
        <v>873.29408699999999</v>
      </c>
      <c r="S14" s="4">
        <f>Hotel!B19</f>
        <v>58</v>
      </c>
    </row>
    <row r="15" spans="1:19" x14ac:dyDescent="0.25">
      <c r="A15" s="21" t="s">
        <v>31</v>
      </c>
      <c r="B15" s="2">
        <f t="shared" si="0"/>
        <v>14</v>
      </c>
      <c r="C15" s="3">
        <v>10</v>
      </c>
      <c r="D15" s="11">
        <v>2021</v>
      </c>
      <c r="E15" s="4">
        <f>Hotel!Q20</f>
        <v>12080</v>
      </c>
      <c r="F15" s="4">
        <f>Hotel!R20</f>
        <v>3590</v>
      </c>
      <c r="G15" s="4">
        <f>Hotel!S20</f>
        <v>1440</v>
      </c>
      <c r="H15" s="4">
        <f>Hotel!T20</f>
        <v>1650</v>
      </c>
      <c r="I15" s="4">
        <f>Hotel!U20</f>
        <v>4130</v>
      </c>
      <c r="J15" s="4">
        <f>Hotel!V20</f>
        <v>3440</v>
      </c>
      <c r="K15" s="4">
        <f>Hotel!W20</f>
        <v>2300</v>
      </c>
      <c r="L15" s="4">
        <f>Hotel!X20</f>
        <v>4600</v>
      </c>
      <c r="M15" s="4">
        <f>Hotel!Y20</f>
        <v>5840</v>
      </c>
      <c r="N15" s="4">
        <f>Hotel!Z20</f>
        <v>2580</v>
      </c>
      <c r="O15" s="4">
        <f>Hotel!AA20</f>
        <v>3040</v>
      </c>
      <c r="P15" s="4">
        <f>Hotel!AB20</f>
        <v>6940</v>
      </c>
      <c r="Q15" s="4">
        <f>Hotel!AC20</f>
        <v>10600</v>
      </c>
      <c r="R15" s="4">
        <f>Hotel!AV20*0.00378541*100</f>
        <v>942.56709000000001</v>
      </c>
      <c r="S15" s="4">
        <f>Hotel!B20</f>
        <v>119</v>
      </c>
    </row>
    <row r="16" spans="1:19" x14ac:dyDescent="0.25">
      <c r="A16" s="21" t="s">
        <v>31</v>
      </c>
      <c r="B16" s="2">
        <f t="shared" si="0"/>
        <v>15</v>
      </c>
      <c r="C16" s="3">
        <v>10</v>
      </c>
      <c r="D16" s="11">
        <v>2021</v>
      </c>
      <c r="E16" s="4">
        <f>Hotel!Q21</f>
        <v>9330</v>
      </c>
      <c r="F16" s="4">
        <f>Hotel!R21</f>
        <v>3500</v>
      </c>
      <c r="G16" s="4">
        <f>Hotel!S21</f>
        <v>3100</v>
      </c>
      <c r="H16" s="4">
        <f>Hotel!T21</f>
        <v>1600</v>
      </c>
      <c r="I16" s="4">
        <f>Hotel!U21</f>
        <v>4240</v>
      </c>
      <c r="J16" s="4">
        <f>Hotel!V21</f>
        <v>3460</v>
      </c>
      <c r="K16" s="4">
        <f>Hotel!W21</f>
        <v>2330</v>
      </c>
      <c r="L16" s="4">
        <f>Hotel!X21</f>
        <v>4520</v>
      </c>
      <c r="M16" s="4">
        <f>Hotel!Y21</f>
        <v>5850</v>
      </c>
      <c r="N16" s="4">
        <f>Hotel!Z21</f>
        <v>2620</v>
      </c>
      <c r="O16" s="4">
        <f>Hotel!AA21</f>
        <v>3220</v>
      </c>
      <c r="P16" s="4">
        <f>Hotel!AB21</f>
        <v>7040</v>
      </c>
      <c r="Q16" s="4">
        <f>Hotel!AC21</f>
        <v>9850</v>
      </c>
      <c r="R16" s="4">
        <f>Hotel!AV21*0.00378541*100</f>
        <v>889.94989099999998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10</v>
      </c>
      <c r="D17" s="11">
        <v>2021</v>
      </c>
      <c r="E17" s="4">
        <f>Hotel!Q22</f>
        <v>9800</v>
      </c>
      <c r="F17" s="4">
        <f>Hotel!R22</f>
        <v>3690</v>
      </c>
      <c r="G17" s="4">
        <f>Hotel!S22</f>
        <v>3270</v>
      </c>
      <c r="H17" s="4">
        <f>Hotel!T22</f>
        <v>1680</v>
      </c>
      <c r="I17" s="4">
        <f>Hotel!U22</f>
        <v>4540</v>
      </c>
      <c r="J17" s="4">
        <f>Hotel!V22</f>
        <v>3580</v>
      </c>
      <c r="K17" s="4">
        <f>Hotel!W22</f>
        <v>2460</v>
      </c>
      <c r="L17" s="4">
        <f>Hotel!X22</f>
        <v>4510</v>
      </c>
      <c r="M17" s="4">
        <f>Hotel!Y22</f>
        <v>6000</v>
      </c>
      <c r="N17" s="4">
        <f>Hotel!Z22</f>
        <v>2690</v>
      </c>
      <c r="O17" s="4">
        <f>Hotel!AA22</f>
        <v>3240</v>
      </c>
      <c r="P17" s="4">
        <f>Hotel!AB22</f>
        <v>7400</v>
      </c>
      <c r="Q17" s="4">
        <f>Hotel!AC22</f>
        <v>11330</v>
      </c>
      <c r="R17" s="4">
        <f>Hotel!AV22*0.00378541*100</f>
        <v>879.35074299999997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10</v>
      </c>
      <c r="D18" s="11">
        <v>2021</v>
      </c>
      <c r="E18" s="4">
        <f>Hotel!Q23</f>
        <v>9400</v>
      </c>
      <c r="F18" s="4">
        <f>Hotel!R23</f>
        <v>3510</v>
      </c>
      <c r="G18" s="4">
        <f>Hotel!S23</f>
        <v>3140</v>
      </c>
      <c r="H18" s="4">
        <f>Hotel!T23</f>
        <v>1600</v>
      </c>
      <c r="I18" s="4">
        <f>Hotel!U23</f>
        <v>4210</v>
      </c>
      <c r="J18" s="4">
        <f>Hotel!V23</f>
        <v>3740</v>
      </c>
      <c r="K18" s="4">
        <f>Hotel!W23</f>
        <v>2320</v>
      </c>
      <c r="L18" s="4">
        <f>Hotel!X23</f>
        <v>3930</v>
      </c>
      <c r="M18" s="4">
        <f>Hotel!Y23</f>
        <v>5450</v>
      </c>
      <c r="N18" s="4">
        <f>Hotel!Z23</f>
        <v>2420</v>
      </c>
      <c r="O18" s="4">
        <f>Hotel!AA23</f>
        <v>3000</v>
      </c>
      <c r="P18" s="4">
        <f>Hotel!AB23</f>
        <v>6760</v>
      </c>
      <c r="Q18" s="4">
        <f>Hotel!AC23</f>
        <v>10490</v>
      </c>
      <c r="R18" s="4">
        <f>Hotel!AV23*0.00378541*100</f>
        <v>871.02284099999997</v>
      </c>
      <c r="S18" s="4">
        <f>Hotel!B23</f>
        <v>60</v>
      </c>
    </row>
    <row r="19" spans="1:19" x14ac:dyDescent="0.25">
      <c r="A19" s="21" t="s">
        <v>31</v>
      </c>
      <c r="B19" s="2">
        <f t="shared" si="0"/>
        <v>18</v>
      </c>
      <c r="C19" s="3">
        <v>10</v>
      </c>
      <c r="D19" s="11">
        <v>2021</v>
      </c>
      <c r="E19" s="4">
        <f>Hotel!Q24</f>
        <v>9310</v>
      </c>
      <c r="F19" s="4">
        <f>Hotel!R24</f>
        <v>3690</v>
      </c>
      <c r="G19" s="4">
        <f>Hotel!S24</f>
        <v>3090</v>
      </c>
      <c r="H19" s="4">
        <f>Hotel!T24</f>
        <v>1700</v>
      </c>
      <c r="I19" s="4">
        <f>Hotel!U24</f>
        <v>4260</v>
      </c>
      <c r="J19" s="4">
        <f>Hotel!V24</f>
        <v>3820</v>
      </c>
      <c r="K19" s="4">
        <f>Hotel!W24</f>
        <v>2490</v>
      </c>
      <c r="L19" s="4">
        <f>Hotel!X24</f>
        <v>4120</v>
      </c>
      <c r="M19" s="4">
        <f>Hotel!Y24</f>
        <v>5430</v>
      </c>
      <c r="N19" s="4">
        <f>Hotel!Z24</f>
        <v>2390</v>
      </c>
      <c r="O19" s="4">
        <f>Hotel!AA24</f>
        <v>2960</v>
      </c>
      <c r="P19" s="4">
        <f>Hotel!AB24</f>
        <v>7070</v>
      </c>
      <c r="Q19" s="4">
        <f>Hotel!AC24</f>
        <v>12090</v>
      </c>
      <c r="R19" s="4">
        <f>Hotel!AV24*0.00378541*100</f>
        <v>836.5756100000001</v>
      </c>
      <c r="S19" s="4">
        <f>Hotel!B24</f>
        <v>48</v>
      </c>
    </row>
    <row r="20" spans="1:19" x14ac:dyDescent="0.25">
      <c r="A20" s="21" t="s">
        <v>31</v>
      </c>
      <c r="B20" s="2">
        <f t="shared" si="0"/>
        <v>19</v>
      </c>
      <c r="C20" s="3">
        <v>10</v>
      </c>
      <c r="D20" s="11">
        <v>2021</v>
      </c>
      <c r="E20" s="4">
        <f>Hotel!Q25</f>
        <v>7660</v>
      </c>
      <c r="F20" s="4">
        <f>Hotel!R25</f>
        <v>3730</v>
      </c>
      <c r="G20" s="4">
        <f>Hotel!S25</f>
        <v>1880</v>
      </c>
      <c r="H20" s="4">
        <f>Hotel!T25</f>
        <v>1630</v>
      </c>
      <c r="I20" s="4">
        <f>Hotel!U25</f>
        <v>3800</v>
      </c>
      <c r="J20" s="4">
        <f>Hotel!V25</f>
        <v>3620</v>
      </c>
      <c r="K20" s="4">
        <f>Hotel!W25</f>
        <v>2320</v>
      </c>
      <c r="L20" s="4">
        <f>Hotel!X25</f>
        <v>4130</v>
      </c>
      <c r="M20" s="4">
        <f>Hotel!Y25</f>
        <v>5100</v>
      </c>
      <c r="N20" s="4">
        <f>Hotel!Z25</f>
        <v>2300</v>
      </c>
      <c r="O20" s="4">
        <f>Hotel!AA25</f>
        <v>2870</v>
      </c>
      <c r="P20" s="4">
        <f>Hotel!AB25</f>
        <v>12750</v>
      </c>
      <c r="Q20" s="4">
        <f>Hotel!AC25</f>
        <v>10700</v>
      </c>
      <c r="R20" s="4">
        <f>Hotel!AV25*0.00378541*100</f>
        <v>783.95841099999996</v>
      </c>
      <c r="S20" s="4">
        <f>Hotel!B25</f>
        <v>75</v>
      </c>
    </row>
    <row r="21" spans="1:19" x14ac:dyDescent="0.25">
      <c r="A21" s="21" t="s">
        <v>31</v>
      </c>
      <c r="B21" s="2">
        <f t="shared" si="0"/>
        <v>20</v>
      </c>
      <c r="C21" s="3">
        <v>10</v>
      </c>
      <c r="D21" s="11">
        <v>2021</v>
      </c>
      <c r="E21" s="4">
        <f>Hotel!Q26</f>
        <v>1060</v>
      </c>
      <c r="F21" s="4">
        <f>Hotel!R26</f>
        <v>7950</v>
      </c>
      <c r="G21" s="4">
        <f>Hotel!S26</f>
        <v>3280</v>
      </c>
      <c r="H21" s="4">
        <f>Hotel!T26</f>
        <v>1730</v>
      </c>
      <c r="I21" s="4">
        <f>Hotel!U26</f>
        <v>4350</v>
      </c>
      <c r="J21" s="4">
        <f>Hotel!V26</f>
        <v>3960</v>
      </c>
      <c r="K21" s="4">
        <f>Hotel!W26</f>
        <v>2490</v>
      </c>
      <c r="L21" s="4">
        <f>Hotel!X26</f>
        <v>4440</v>
      </c>
      <c r="M21" s="4">
        <f>Hotel!Y26</f>
        <v>5700</v>
      </c>
      <c r="N21" s="4">
        <f>Hotel!Z26</f>
        <v>2630</v>
      </c>
      <c r="O21" s="4">
        <f>Hotel!AA26</f>
        <v>3300</v>
      </c>
      <c r="P21" s="4">
        <f>Hotel!AB26</f>
        <v>1170</v>
      </c>
      <c r="Q21" s="4">
        <f>Hotel!AC26</f>
        <v>11190</v>
      </c>
      <c r="R21" s="4">
        <f>Hotel!AV26*0.00378541*100</f>
        <v>822.19105200000001</v>
      </c>
      <c r="S21" s="4">
        <f>Hotel!B26</f>
        <v>137</v>
      </c>
    </row>
    <row r="22" spans="1:19" x14ac:dyDescent="0.25">
      <c r="A22" s="21" t="s">
        <v>31</v>
      </c>
      <c r="B22" s="2">
        <f t="shared" si="0"/>
        <v>21</v>
      </c>
      <c r="C22" s="3">
        <v>10</v>
      </c>
      <c r="D22" s="11">
        <v>2021</v>
      </c>
      <c r="E22" s="4">
        <f>Hotel!Q27</f>
        <v>1010</v>
      </c>
      <c r="F22" s="4">
        <f>Hotel!R27</f>
        <v>14910</v>
      </c>
      <c r="G22" s="4">
        <f>Hotel!S27</f>
        <v>1530</v>
      </c>
      <c r="H22" s="4">
        <f>Hotel!T27</f>
        <v>1700</v>
      </c>
      <c r="I22" s="4">
        <f>Hotel!U27</f>
        <v>4580</v>
      </c>
      <c r="J22" s="4">
        <f>Hotel!V27</f>
        <v>4090</v>
      </c>
      <c r="K22" s="4">
        <f>Hotel!W27</f>
        <v>2490</v>
      </c>
      <c r="L22" s="4">
        <f>Hotel!X27</f>
        <v>4600</v>
      </c>
      <c r="M22" s="4">
        <f>Hotel!Y27</f>
        <v>5840</v>
      </c>
      <c r="N22" s="4">
        <f>Hotel!Z27</f>
        <v>2850</v>
      </c>
      <c r="O22" s="4">
        <f>Hotel!AA27</f>
        <v>3500</v>
      </c>
      <c r="P22" s="4">
        <f>Hotel!AB27</f>
        <v>7190</v>
      </c>
      <c r="Q22" s="4">
        <f>Hotel!AC27</f>
        <v>11450</v>
      </c>
      <c r="R22" s="4">
        <f>Hotel!AV27*0.00378541*100</f>
        <v>910.39110499999992</v>
      </c>
      <c r="S22" s="4">
        <f>Hotel!B27</f>
        <v>192</v>
      </c>
    </row>
    <row r="23" spans="1:19" x14ac:dyDescent="0.25">
      <c r="A23" s="21" t="s">
        <v>31</v>
      </c>
      <c r="B23" s="2">
        <f t="shared" si="0"/>
        <v>22</v>
      </c>
      <c r="C23" s="3">
        <v>10</v>
      </c>
      <c r="D23" s="11">
        <v>2021</v>
      </c>
      <c r="E23" s="4">
        <f>Hotel!Q28</f>
        <v>1060</v>
      </c>
      <c r="F23" s="4">
        <f>Hotel!R28</f>
        <v>12380</v>
      </c>
      <c r="G23" s="4">
        <f>Hotel!S28</f>
        <v>3070</v>
      </c>
      <c r="H23" s="4">
        <f>Hotel!T28</f>
        <v>1750</v>
      </c>
      <c r="I23" s="4">
        <f>Hotel!U28</f>
        <v>5090</v>
      </c>
      <c r="J23" s="4">
        <f>Hotel!V28</f>
        <v>3990</v>
      </c>
      <c r="K23" s="4">
        <f>Hotel!W28</f>
        <v>2540</v>
      </c>
      <c r="L23" s="4">
        <f>Hotel!X28</f>
        <v>4770</v>
      </c>
      <c r="M23" s="4">
        <f>Hotel!Y28</f>
        <v>5940</v>
      </c>
      <c r="N23" s="4">
        <f>Hotel!Z28</f>
        <v>3020</v>
      </c>
      <c r="O23" s="4">
        <f>Hotel!AA28</f>
        <v>3680</v>
      </c>
      <c r="P23" s="4">
        <f>Hotel!AB28</f>
        <v>7460</v>
      </c>
      <c r="Q23" s="4">
        <f>Hotel!AC28</f>
        <v>12690</v>
      </c>
      <c r="R23" s="4">
        <f>Hotel!AV28*0.00378541*100</f>
        <v>903.19882600000005</v>
      </c>
      <c r="S23" s="4">
        <f>Hotel!B28</f>
        <v>160</v>
      </c>
    </row>
    <row r="24" spans="1:19" x14ac:dyDescent="0.25">
      <c r="A24" s="21" t="s">
        <v>31</v>
      </c>
      <c r="B24" s="2">
        <f t="shared" si="0"/>
        <v>23</v>
      </c>
      <c r="C24" s="3">
        <v>10</v>
      </c>
      <c r="D24" s="11">
        <v>2021</v>
      </c>
      <c r="E24" s="4">
        <f>Hotel!Q29</f>
        <v>960</v>
      </c>
      <c r="F24" s="4">
        <f>Hotel!R29</f>
        <v>11100</v>
      </c>
      <c r="G24" s="4">
        <f>Hotel!S29</f>
        <v>2530</v>
      </c>
      <c r="H24" s="4">
        <f>Hotel!T29</f>
        <v>1560</v>
      </c>
      <c r="I24" s="4">
        <f>Hotel!U29</f>
        <v>4440</v>
      </c>
      <c r="J24" s="4">
        <f>Hotel!V29</f>
        <v>3930</v>
      </c>
      <c r="K24" s="4">
        <f>Hotel!W29</f>
        <v>2350</v>
      </c>
      <c r="L24" s="4">
        <f>Hotel!X29</f>
        <v>4480</v>
      </c>
      <c r="M24" s="4">
        <f>Hotel!Y29</f>
        <v>5030</v>
      </c>
      <c r="N24" s="4">
        <f>Hotel!Z29</f>
        <v>2450</v>
      </c>
      <c r="O24" s="4">
        <f>Hotel!AA29</f>
        <v>3270</v>
      </c>
      <c r="P24" s="4">
        <f>Hotel!AB29</f>
        <v>6710</v>
      </c>
      <c r="Q24" s="4">
        <f>Hotel!AC29</f>
        <v>11080</v>
      </c>
      <c r="R24" s="4">
        <f>Hotel!AV29*0.00378541*100</f>
        <v>775.63050899999996</v>
      </c>
      <c r="S24" s="4">
        <f>Hotel!B29</f>
        <v>85</v>
      </c>
    </row>
    <row r="25" spans="1:19" x14ac:dyDescent="0.25">
      <c r="A25" s="21" t="s">
        <v>31</v>
      </c>
      <c r="B25" s="2">
        <f t="shared" si="0"/>
        <v>24</v>
      </c>
      <c r="C25" s="3">
        <v>10</v>
      </c>
      <c r="D25" s="11">
        <v>2021</v>
      </c>
      <c r="E25" s="4">
        <f>Hotel!Q30</f>
        <v>1000</v>
      </c>
      <c r="F25" s="4">
        <f>Hotel!R30</f>
        <v>15430</v>
      </c>
      <c r="G25" s="4">
        <f>Hotel!S30</f>
        <v>70</v>
      </c>
      <c r="H25" s="4">
        <f>Hotel!T30</f>
        <v>1640</v>
      </c>
      <c r="I25" s="4">
        <f>Hotel!U30</f>
        <v>4020</v>
      </c>
      <c r="J25" s="4">
        <f>Hotel!V30</f>
        <v>3770</v>
      </c>
      <c r="K25" s="4">
        <f>Hotel!W30</f>
        <v>2440</v>
      </c>
      <c r="L25" s="4">
        <f>Hotel!X30</f>
        <v>4320</v>
      </c>
      <c r="M25" s="4">
        <f>Hotel!Y30</f>
        <v>5140</v>
      </c>
      <c r="N25" s="4">
        <f>Hotel!Z30</f>
        <v>2240</v>
      </c>
      <c r="O25" s="4">
        <f>Hotel!AA30</f>
        <v>3050</v>
      </c>
      <c r="P25" s="4">
        <f>Hotel!AB30</f>
        <v>6990</v>
      </c>
      <c r="Q25" s="4">
        <f>Hotel!AC30</f>
        <v>11250</v>
      </c>
      <c r="R25" s="4">
        <f>Hotel!AV30*0.00378541*100</f>
        <v>803.264002</v>
      </c>
      <c r="S25" s="4">
        <f>Hotel!B30</f>
        <v>65</v>
      </c>
    </row>
    <row r="26" spans="1:19" x14ac:dyDescent="0.25">
      <c r="A26" s="21" t="s">
        <v>31</v>
      </c>
      <c r="B26" s="2">
        <f>B25+1</f>
        <v>25</v>
      </c>
      <c r="C26" s="3">
        <v>10</v>
      </c>
      <c r="D26" s="11">
        <v>2021</v>
      </c>
      <c r="E26" s="4">
        <f>Hotel!Q31</f>
        <v>4980</v>
      </c>
      <c r="F26" s="4">
        <f>Hotel!R31</f>
        <v>11340</v>
      </c>
      <c r="G26" s="4">
        <f>Hotel!S31</f>
        <v>60</v>
      </c>
      <c r="H26" s="4">
        <f>Hotel!T31</f>
        <v>1680</v>
      </c>
      <c r="I26" s="4">
        <f>Hotel!U31</f>
        <v>4580</v>
      </c>
      <c r="J26" s="4">
        <f>Hotel!V31</f>
        <v>3910</v>
      </c>
      <c r="K26" s="4">
        <f>Hotel!W31</f>
        <v>2440</v>
      </c>
      <c r="L26" s="4">
        <f>Hotel!X31</f>
        <v>4610</v>
      </c>
      <c r="M26" s="4">
        <f>Hotel!Y31</f>
        <v>5120</v>
      </c>
      <c r="N26" s="4">
        <f>Hotel!Z31</f>
        <v>2320</v>
      </c>
      <c r="O26" s="4">
        <f>Hotel!AA31</f>
        <v>3120</v>
      </c>
      <c r="P26" s="4">
        <f>Hotel!AB31</f>
        <v>7210</v>
      </c>
      <c r="Q26" s="4">
        <f>Hotel!AC31</f>
        <v>11140</v>
      </c>
      <c r="R26" s="4">
        <f>Hotel!AV31*0.00378541*100</f>
        <v>880.8649069999999</v>
      </c>
      <c r="S26" s="4">
        <f>Hotel!B31</f>
        <v>45</v>
      </c>
    </row>
    <row r="27" spans="1:19" x14ac:dyDescent="0.25">
      <c r="A27" s="21" t="s">
        <v>31</v>
      </c>
      <c r="B27" s="2">
        <f t="shared" si="0"/>
        <v>26</v>
      </c>
      <c r="C27" s="3">
        <v>10</v>
      </c>
      <c r="D27" s="11">
        <v>2021</v>
      </c>
      <c r="E27" s="4">
        <f>Hotel!Q32</f>
        <v>12500</v>
      </c>
      <c r="F27" s="4">
        <f>Hotel!R32</f>
        <v>3660</v>
      </c>
      <c r="G27" s="4">
        <f>Hotel!S32</f>
        <v>60</v>
      </c>
      <c r="H27" s="4">
        <f>Hotel!T32</f>
        <v>1720</v>
      </c>
      <c r="I27" s="4">
        <f>Hotel!U32</f>
        <v>4590</v>
      </c>
      <c r="J27" s="4">
        <f>Hotel!V32</f>
        <v>3790</v>
      </c>
      <c r="K27" s="4">
        <f>Hotel!W32</f>
        <v>2460</v>
      </c>
      <c r="L27" s="4">
        <f>Hotel!X32</f>
        <v>4630</v>
      </c>
      <c r="M27" s="4">
        <f>Hotel!Y32</f>
        <v>5180</v>
      </c>
      <c r="N27" s="4">
        <f>Hotel!Z32</f>
        <v>2480</v>
      </c>
      <c r="O27" s="4">
        <f>Hotel!AA32</f>
        <v>2970</v>
      </c>
      <c r="P27" s="4">
        <f>Hotel!AB32</f>
        <v>7130</v>
      </c>
      <c r="Q27" s="4">
        <f>Hotel!AC32</f>
        <v>9090</v>
      </c>
      <c r="R27" s="4">
        <f>Hotel!AV32*0.00378541*100</f>
        <v>807.427953</v>
      </c>
      <c r="S27" s="4">
        <f>Hotel!B32</f>
        <v>58</v>
      </c>
    </row>
    <row r="28" spans="1:19" x14ac:dyDescent="0.25">
      <c r="A28" s="21" t="s">
        <v>31</v>
      </c>
      <c r="B28" s="2">
        <f t="shared" si="0"/>
        <v>27</v>
      </c>
      <c r="C28" s="3">
        <v>10</v>
      </c>
      <c r="D28" s="11">
        <v>2021</v>
      </c>
      <c r="E28" s="4">
        <f>Hotel!Q33</f>
        <v>12660</v>
      </c>
      <c r="F28" s="4">
        <f>Hotel!R33</f>
        <v>3690</v>
      </c>
      <c r="G28" s="4">
        <f>Hotel!S33</f>
        <v>80</v>
      </c>
      <c r="H28" s="4">
        <f>Hotel!T33</f>
        <v>1730</v>
      </c>
      <c r="I28" s="4">
        <f>Hotel!U33</f>
        <v>4430</v>
      </c>
      <c r="J28" s="4">
        <f>Hotel!V33</f>
        <v>3950</v>
      </c>
      <c r="K28" s="4">
        <f>Hotel!W33</f>
        <v>2480</v>
      </c>
      <c r="L28" s="4">
        <f>Hotel!X33</f>
        <v>4610</v>
      </c>
      <c r="M28" s="4">
        <f>Hotel!Y33</f>
        <v>5280</v>
      </c>
      <c r="N28" s="4">
        <f>Hotel!Z33</f>
        <v>2520</v>
      </c>
      <c r="O28" s="4">
        <f>Hotel!AA33</f>
        <v>2920</v>
      </c>
      <c r="P28" s="4">
        <f>Hotel!AB33</f>
        <v>7060</v>
      </c>
      <c r="Q28" s="4">
        <f>Hotel!AC33</f>
        <v>10890</v>
      </c>
      <c r="R28" s="4">
        <f>Hotel!AV33*0.00378541*100</f>
        <v>845.66059399999995</v>
      </c>
      <c r="S28" s="4">
        <f>Hotel!B33</f>
        <v>79</v>
      </c>
    </row>
    <row r="29" spans="1:19" x14ac:dyDescent="0.25">
      <c r="A29" s="21" t="s">
        <v>31</v>
      </c>
      <c r="B29" s="2">
        <f t="shared" si="0"/>
        <v>28</v>
      </c>
      <c r="C29" s="3">
        <v>10</v>
      </c>
      <c r="D29" s="11">
        <v>2021</v>
      </c>
      <c r="E29" s="4" t="str">
        <f>Hotel!Q34</f>
        <v>0</v>
      </c>
      <c r="F29" s="4" t="str">
        <f>Hotel!R34</f>
        <v>0</v>
      </c>
      <c r="G29" s="4" t="str">
        <f>Hotel!S34</f>
        <v>0</v>
      </c>
      <c r="H29" s="4" t="str">
        <f>Hotel!T34</f>
        <v>0</v>
      </c>
      <c r="I29" s="4" t="str">
        <f>Hotel!U34</f>
        <v>0</v>
      </c>
      <c r="J29" s="4" t="str">
        <f>Hotel!V34</f>
        <v>0</v>
      </c>
      <c r="K29" s="4" t="str">
        <f>Hotel!W34</f>
        <v>0</v>
      </c>
      <c r="L29" s="4" t="str">
        <f>Hotel!X34</f>
        <v>0</v>
      </c>
      <c r="M29" s="4" t="str">
        <f>Hotel!Y34</f>
        <v>0</v>
      </c>
      <c r="N29" s="4" t="str">
        <f>Hotel!Z34</f>
        <v>0</v>
      </c>
      <c r="O29" s="4" t="str">
        <f>Hotel!AA34</f>
        <v>0</v>
      </c>
      <c r="P29" s="4">
        <f>Hotel!AB34</f>
        <v>0</v>
      </c>
      <c r="Q29" s="4" t="str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10</v>
      </c>
      <c r="D30" s="11">
        <v>2021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10</v>
      </c>
      <c r="D31" s="11">
        <v>2021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10</v>
      </c>
      <c r="D32" s="11">
        <v>2021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AG1" zoomScale="93" zoomScaleNormal="93" workbookViewId="0">
      <selection activeCell="AP26" sqref="AP26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style="5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0.7109375" style="2" bestFit="1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44469</v>
      </c>
      <c r="B2" s="40">
        <v>133</v>
      </c>
      <c r="C2" s="24">
        <v>7086550</v>
      </c>
      <c r="D2" s="24">
        <v>17191060</v>
      </c>
      <c r="E2" s="24">
        <v>3057000</v>
      </c>
      <c r="F2" s="24">
        <v>3677390</v>
      </c>
      <c r="G2" s="24">
        <v>10863320</v>
      </c>
      <c r="H2" s="24">
        <v>5913660</v>
      </c>
      <c r="I2" s="24">
        <v>5346370</v>
      </c>
      <c r="J2" s="52">
        <v>6392190</v>
      </c>
      <c r="K2" s="24">
        <v>9788050</v>
      </c>
      <c r="L2" s="24">
        <v>4125950</v>
      </c>
      <c r="M2" s="24">
        <v>8250320</v>
      </c>
      <c r="N2" s="24">
        <v>12848170</v>
      </c>
      <c r="O2" s="24">
        <v>17711620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268829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9" t="s">
        <v>23</v>
      </c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Q4" s="61" t="s">
        <v>24</v>
      </c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3"/>
      <c r="AD4" s="28" t="s">
        <v>25</v>
      </c>
      <c r="AF4" s="64" t="s">
        <v>26</v>
      </c>
      <c r="AG4" s="64"/>
      <c r="AH4" s="64"/>
      <c r="AI4" s="64"/>
      <c r="AJ4" s="64"/>
      <c r="AK4" s="64"/>
      <c r="AL4" s="64"/>
      <c r="AM4" s="64"/>
      <c r="AN4" s="64"/>
      <c r="AO4" s="64"/>
      <c r="AP4" s="64"/>
      <c r="AQ4" s="64"/>
      <c r="AR4" s="64"/>
      <c r="AS4" s="29" t="s">
        <v>27</v>
      </c>
      <c r="AU4" s="56" t="s">
        <v>28</v>
      </c>
      <c r="AV4" s="57" t="s">
        <v>29</v>
      </c>
      <c r="AW4" s="58" t="s">
        <v>30</v>
      </c>
    </row>
    <row r="5" spans="1:49" ht="15.75" x14ac:dyDescent="0.25">
      <c r="A5" s="30">
        <v>2021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6"/>
      <c r="AV5" s="57"/>
      <c r="AW5" s="58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268829</v>
      </c>
    </row>
    <row r="7" spans="1:49" x14ac:dyDescent="0.25">
      <c r="A7" s="23">
        <v>44470</v>
      </c>
      <c r="B7" s="40">
        <v>151</v>
      </c>
      <c r="C7" s="24">
        <v>7094520</v>
      </c>
      <c r="D7" s="24">
        <v>17201990</v>
      </c>
      <c r="E7" s="24">
        <v>3057110</v>
      </c>
      <c r="F7" s="24">
        <v>3678830</v>
      </c>
      <c r="G7" s="24">
        <v>10867350</v>
      </c>
      <c r="H7" s="24">
        <v>5917040</v>
      </c>
      <c r="I7" s="24">
        <v>5348250</v>
      </c>
      <c r="J7" s="24">
        <v>6396370</v>
      </c>
      <c r="K7" s="24">
        <v>9793020</v>
      </c>
      <c r="L7" s="24">
        <v>4128340</v>
      </c>
      <c r="M7" s="24">
        <v>8253270</v>
      </c>
      <c r="N7" s="24">
        <v>12854320</v>
      </c>
      <c r="O7" s="24">
        <v>17719860</v>
      </c>
      <c r="Q7" s="37">
        <f>IF((C7-C2&lt;0), "0",C7-C2)</f>
        <v>7970</v>
      </c>
      <c r="R7" s="37">
        <f t="shared" ref="R7:AC7" si="0">IF((D7-D2&lt;0), "0",D7-D2)</f>
        <v>10930</v>
      </c>
      <c r="S7" s="37">
        <f>IF((E7-E2&lt;0), "0",E7-E2)</f>
        <v>110</v>
      </c>
      <c r="T7" s="37">
        <f t="shared" si="0"/>
        <v>1440</v>
      </c>
      <c r="U7" s="37">
        <f t="shared" si="0"/>
        <v>4030</v>
      </c>
      <c r="V7" s="37">
        <f t="shared" si="0"/>
        <v>3380</v>
      </c>
      <c r="W7" s="37">
        <f t="shared" si="0"/>
        <v>1880</v>
      </c>
      <c r="X7" s="37">
        <f t="shared" si="0"/>
        <v>4180</v>
      </c>
      <c r="Y7" s="37">
        <f t="shared" si="0"/>
        <v>4970</v>
      </c>
      <c r="Z7" s="37">
        <f t="shared" si="0"/>
        <v>2390</v>
      </c>
      <c r="AA7" s="37">
        <f t="shared" si="0"/>
        <v>2950</v>
      </c>
      <c r="AB7" s="37">
        <f t="shared" si="0"/>
        <v>6150</v>
      </c>
      <c r="AC7" s="37">
        <f t="shared" si="0"/>
        <v>8240</v>
      </c>
      <c r="AD7" s="34">
        <f>SUM(Q7:AC7)</f>
        <v>58620</v>
      </c>
      <c r="AF7" s="20">
        <f t="shared" ref="AF7:AF36" si="1">Q7*$D$39</f>
        <v>39.85</v>
      </c>
      <c r="AG7" s="20">
        <f t="shared" ref="AG7:AG36" si="2">R7*$D$39</f>
        <v>54.65</v>
      </c>
      <c r="AH7" s="20">
        <f t="shared" ref="AH7:AH36" si="3">S7*$D$39</f>
        <v>0.55000000000000004</v>
      </c>
      <c r="AI7" s="20">
        <f t="shared" ref="AI7:AI36" si="4">T7*$D$39</f>
        <v>7.2</v>
      </c>
      <c r="AJ7" s="20">
        <f t="shared" ref="AJ7:AJ36" si="5">U7*$D$39</f>
        <v>20.150000000000002</v>
      </c>
      <c r="AK7" s="20">
        <f t="shared" ref="AK7:AK36" si="6">V7*$D$39</f>
        <v>16.899999999999999</v>
      </c>
      <c r="AL7" s="20">
        <f t="shared" ref="AL7:AL36" si="7">W7*$D$39</f>
        <v>9.4</v>
      </c>
      <c r="AM7" s="20">
        <f t="shared" ref="AM7:AM36" si="8">X7*$D$39</f>
        <v>20.900000000000002</v>
      </c>
      <c r="AN7" s="20">
        <f t="shared" ref="AN7:AN36" si="9">Y7*$D$39</f>
        <v>24.85</v>
      </c>
      <c r="AO7" s="20">
        <f t="shared" ref="AO7:AO36" si="10">Z7*$D$39</f>
        <v>11.950000000000001</v>
      </c>
      <c r="AP7" s="20">
        <f t="shared" ref="AP7:AP36" si="11">AA7*$D$39</f>
        <v>14.75</v>
      </c>
      <c r="AQ7" s="20">
        <f t="shared" ref="AQ7:AQ36" si="12">AB7*$D$39</f>
        <v>30.75</v>
      </c>
      <c r="AR7" s="20">
        <f t="shared" ref="AR7:AR36" si="13">AC7*$D$39</f>
        <v>41.2</v>
      </c>
      <c r="AS7" s="35">
        <f>SUM(AF7:AR7)</f>
        <v>293.10000000000002</v>
      </c>
      <c r="AU7" s="47">
        <v>270655</v>
      </c>
      <c r="AV7" s="37">
        <f>IF((AU7-AU6&lt;0),"0",AU7-AU6)</f>
        <v>1826</v>
      </c>
      <c r="AW7" s="35">
        <f t="shared" ref="AW7:AW35" si="14">AV7*$D$40</f>
        <v>3.6520000000000001</v>
      </c>
    </row>
    <row r="8" spans="1:49" x14ac:dyDescent="0.25">
      <c r="A8" s="23">
        <v>44471</v>
      </c>
      <c r="B8" s="40">
        <v>92</v>
      </c>
      <c r="C8" s="24">
        <v>7104670</v>
      </c>
      <c r="D8" s="24">
        <v>17215170</v>
      </c>
      <c r="E8" s="24">
        <v>3057230</v>
      </c>
      <c r="F8" s="24">
        <v>3680590</v>
      </c>
      <c r="G8" s="24">
        <v>10872220</v>
      </c>
      <c r="H8" s="24">
        <v>5921040</v>
      </c>
      <c r="I8" s="24">
        <v>5350590</v>
      </c>
      <c r="J8" s="24">
        <v>6401050</v>
      </c>
      <c r="K8" s="24">
        <v>9798900</v>
      </c>
      <c r="L8" s="24">
        <v>4131130</v>
      </c>
      <c r="M8" s="24">
        <v>8256680</v>
      </c>
      <c r="N8" s="24">
        <v>12861810</v>
      </c>
      <c r="O8" s="24">
        <v>17731670</v>
      </c>
      <c r="Q8" s="37">
        <f>IF((C8-C7&lt;0), "0",C8-C7)</f>
        <v>10150</v>
      </c>
      <c r="R8" s="37">
        <f t="shared" ref="R8:AC8" si="15">IF((D8-D7&lt;0), "0",D8-D7)</f>
        <v>13180</v>
      </c>
      <c r="S8" s="37">
        <f t="shared" ref="S8:S35" si="16">IF((E8-E7&lt;0), "0",E8-E7)</f>
        <v>120</v>
      </c>
      <c r="T8" s="37">
        <f t="shared" si="15"/>
        <v>1760</v>
      </c>
      <c r="U8" s="37">
        <f t="shared" si="15"/>
        <v>4870</v>
      </c>
      <c r="V8" s="37">
        <f t="shared" si="15"/>
        <v>4000</v>
      </c>
      <c r="W8" s="37">
        <f t="shared" si="15"/>
        <v>2340</v>
      </c>
      <c r="X8" s="37">
        <f t="shared" si="15"/>
        <v>4680</v>
      </c>
      <c r="Y8" s="37">
        <f t="shared" si="15"/>
        <v>5880</v>
      </c>
      <c r="Z8" s="37">
        <f t="shared" si="15"/>
        <v>2790</v>
      </c>
      <c r="AA8" s="37">
        <f t="shared" si="15"/>
        <v>3410</v>
      </c>
      <c r="AB8" s="37">
        <f t="shared" si="15"/>
        <v>7490</v>
      </c>
      <c r="AC8" s="37">
        <f t="shared" si="15"/>
        <v>11810</v>
      </c>
      <c r="AD8" s="35">
        <f>SUM(Q8:AC8)</f>
        <v>72480</v>
      </c>
      <c r="AF8" s="20">
        <f t="shared" si="1"/>
        <v>50.75</v>
      </c>
      <c r="AG8" s="20">
        <f t="shared" si="2"/>
        <v>65.900000000000006</v>
      </c>
      <c r="AH8" s="20">
        <f t="shared" si="3"/>
        <v>0.6</v>
      </c>
      <c r="AI8" s="20">
        <f t="shared" si="4"/>
        <v>8.8000000000000007</v>
      </c>
      <c r="AJ8" s="20">
        <f t="shared" si="5"/>
        <v>24.35</v>
      </c>
      <c r="AK8" s="20">
        <f t="shared" si="6"/>
        <v>20</v>
      </c>
      <c r="AL8" s="20">
        <f t="shared" si="7"/>
        <v>11.700000000000001</v>
      </c>
      <c r="AM8" s="20">
        <f t="shared" si="8"/>
        <v>23.400000000000002</v>
      </c>
      <c r="AN8" s="20">
        <f t="shared" si="9"/>
        <v>29.400000000000002</v>
      </c>
      <c r="AO8" s="20">
        <f t="shared" si="10"/>
        <v>13.950000000000001</v>
      </c>
      <c r="AP8" s="20">
        <f t="shared" si="11"/>
        <v>17.05</v>
      </c>
      <c r="AQ8" s="20">
        <f t="shared" si="12"/>
        <v>37.450000000000003</v>
      </c>
      <c r="AR8" s="20">
        <f t="shared" si="13"/>
        <v>59.050000000000004</v>
      </c>
      <c r="AS8" s="35">
        <f>SUM(AF8:AR8)</f>
        <v>362.4</v>
      </c>
      <c r="AU8" s="47">
        <v>273172</v>
      </c>
      <c r="AV8" s="37">
        <f>IF((AU8-AU7&lt;0),"0",AU8-AU7)</f>
        <v>2517</v>
      </c>
      <c r="AW8" s="35">
        <f t="shared" si="14"/>
        <v>5.0339999999999998</v>
      </c>
    </row>
    <row r="9" spans="1:49" x14ac:dyDescent="0.25">
      <c r="A9" s="23">
        <v>44472</v>
      </c>
      <c r="B9" s="40">
        <v>129</v>
      </c>
      <c r="C9" s="24">
        <v>7113880</v>
      </c>
      <c r="D9" s="24">
        <v>17226970</v>
      </c>
      <c r="E9" s="24">
        <v>3057340</v>
      </c>
      <c r="F9" s="24">
        <v>3682170</v>
      </c>
      <c r="G9" s="24">
        <v>10876220</v>
      </c>
      <c r="H9" s="24">
        <v>5924200</v>
      </c>
      <c r="I9" s="24">
        <v>5352670</v>
      </c>
      <c r="J9" s="24">
        <v>6405000</v>
      </c>
      <c r="K9" s="24">
        <v>9803860</v>
      </c>
      <c r="L9" s="24">
        <v>4133540</v>
      </c>
      <c r="M9" s="24">
        <v>8259660</v>
      </c>
      <c r="N9" s="24">
        <v>12868390</v>
      </c>
      <c r="O9" s="24">
        <v>17741760</v>
      </c>
      <c r="Q9" s="37">
        <f t="shared" ref="Q9:Q30" si="17">IF((C9-C8&lt;0), "0",C9-C8)</f>
        <v>9210</v>
      </c>
      <c r="R9" s="37">
        <f t="shared" ref="R9:R35" si="18">IF((D9-D8&lt;0), "0",D9-D8)</f>
        <v>11800</v>
      </c>
      <c r="S9" s="37">
        <f t="shared" si="16"/>
        <v>110</v>
      </c>
      <c r="T9" s="37">
        <f t="shared" ref="T9:T35" si="19">IF((F9-F8&lt;0), "0",F9-F8)</f>
        <v>1580</v>
      </c>
      <c r="U9" s="37">
        <f t="shared" ref="U9:U35" si="20">IF((G9-G8&lt;0), "0",G9-G8)</f>
        <v>4000</v>
      </c>
      <c r="V9" s="37">
        <f t="shared" ref="V9:V35" si="21">IF((H9-H8&lt;0), "0",H9-H8)</f>
        <v>3160</v>
      </c>
      <c r="W9" s="37">
        <f t="shared" ref="W9:W35" si="22">IF((I9-I8&lt;0), "0",I9-I8)</f>
        <v>2080</v>
      </c>
      <c r="X9" s="37">
        <f t="shared" ref="X9:X35" si="23">IF((J9-J8&lt;0), "0",J9-J8)</f>
        <v>3950</v>
      </c>
      <c r="Y9" s="37">
        <f t="shared" ref="Y9:Y35" si="24">IF((K9-K8&lt;0), "0",K9-K8)</f>
        <v>4960</v>
      </c>
      <c r="Z9" s="37">
        <f t="shared" ref="Z9:Z35" si="25">IF((L9-L8&lt;0), "0",L9-L8)</f>
        <v>2410</v>
      </c>
      <c r="AA9" s="37">
        <f t="shared" ref="AA9:AA35" si="26">IF((M9-M8&lt;0), "0",M9-M8)</f>
        <v>2980</v>
      </c>
      <c r="AB9" s="37">
        <f t="shared" ref="AB9:AB37" si="27">IF((N9-N8&lt;0), "0",N9-N8)</f>
        <v>6580</v>
      </c>
      <c r="AC9" s="37">
        <f t="shared" ref="AC9:AC37" si="28">IF((O9-O8&lt;0), "0",O9-O8)</f>
        <v>10090</v>
      </c>
      <c r="AD9" s="35">
        <f t="shared" ref="AD9:AD37" si="29">SUM(Q9:AC9)</f>
        <v>62910</v>
      </c>
      <c r="AF9" s="20">
        <f t="shared" si="1"/>
        <v>46.050000000000004</v>
      </c>
      <c r="AG9" s="20">
        <f t="shared" si="2"/>
        <v>59</v>
      </c>
      <c r="AH9" s="20">
        <f t="shared" si="3"/>
        <v>0.55000000000000004</v>
      </c>
      <c r="AI9" s="20">
        <f t="shared" si="4"/>
        <v>7.9</v>
      </c>
      <c r="AJ9" s="20">
        <f t="shared" si="5"/>
        <v>20</v>
      </c>
      <c r="AK9" s="20">
        <f t="shared" si="6"/>
        <v>15.8</v>
      </c>
      <c r="AL9" s="20">
        <f t="shared" si="7"/>
        <v>10.4</v>
      </c>
      <c r="AM9" s="20">
        <f t="shared" si="8"/>
        <v>19.75</v>
      </c>
      <c r="AN9" s="20">
        <f t="shared" si="9"/>
        <v>24.8</v>
      </c>
      <c r="AO9" s="20">
        <f t="shared" si="10"/>
        <v>12.05</v>
      </c>
      <c r="AP9" s="20">
        <f t="shared" si="11"/>
        <v>14.9</v>
      </c>
      <c r="AQ9" s="20">
        <f t="shared" si="12"/>
        <v>32.9</v>
      </c>
      <c r="AR9" s="20">
        <f t="shared" si="13"/>
        <v>50.45</v>
      </c>
      <c r="AS9" s="35">
        <f t="shared" ref="AS9:AS33" si="30">SUM(AF9:AR9)</f>
        <v>314.55</v>
      </c>
      <c r="AU9" s="47">
        <v>275626</v>
      </c>
      <c r="AV9" s="37">
        <f>IF((AU9-AU8&lt;0),"0",AU9-AU8)</f>
        <v>2454</v>
      </c>
      <c r="AW9" s="35">
        <f t="shared" si="14"/>
        <v>4.9080000000000004</v>
      </c>
    </row>
    <row r="10" spans="1:49" x14ac:dyDescent="0.25">
      <c r="A10" s="23">
        <v>44473</v>
      </c>
      <c r="B10" s="40">
        <v>129</v>
      </c>
      <c r="C10" s="24">
        <v>7123870</v>
      </c>
      <c r="D10" s="24">
        <v>17239940</v>
      </c>
      <c r="E10" s="24">
        <v>3057480</v>
      </c>
      <c r="F10" s="24">
        <v>3683890</v>
      </c>
      <c r="G10" s="24">
        <v>10880620</v>
      </c>
      <c r="H10" s="24">
        <v>5928000</v>
      </c>
      <c r="I10" s="24">
        <v>5355000</v>
      </c>
      <c r="J10" s="24">
        <v>6409310</v>
      </c>
      <c r="K10" s="24">
        <v>9809360</v>
      </c>
      <c r="L10" s="24">
        <v>4136140</v>
      </c>
      <c r="M10" s="24">
        <v>8262810</v>
      </c>
      <c r="N10" s="24">
        <v>12875550</v>
      </c>
      <c r="O10" s="24">
        <v>17751190</v>
      </c>
      <c r="Q10" s="37">
        <f t="shared" si="17"/>
        <v>9990</v>
      </c>
      <c r="R10" s="37">
        <f t="shared" si="18"/>
        <v>12970</v>
      </c>
      <c r="S10" s="37">
        <f t="shared" si="16"/>
        <v>140</v>
      </c>
      <c r="T10" s="37">
        <f t="shared" si="19"/>
        <v>1720</v>
      </c>
      <c r="U10" s="37">
        <f t="shared" si="20"/>
        <v>4400</v>
      </c>
      <c r="V10" s="37">
        <f t="shared" si="21"/>
        <v>3800</v>
      </c>
      <c r="W10" s="37">
        <f t="shared" si="22"/>
        <v>2330</v>
      </c>
      <c r="X10" s="37">
        <f t="shared" si="23"/>
        <v>4310</v>
      </c>
      <c r="Y10" s="37">
        <f t="shared" si="24"/>
        <v>5500</v>
      </c>
      <c r="Z10" s="37">
        <f t="shared" si="25"/>
        <v>2600</v>
      </c>
      <c r="AA10" s="37">
        <f t="shared" si="26"/>
        <v>3150</v>
      </c>
      <c r="AB10" s="37">
        <f t="shared" si="27"/>
        <v>7160</v>
      </c>
      <c r="AC10" s="37">
        <f t="shared" si="28"/>
        <v>9430</v>
      </c>
      <c r="AD10" s="35">
        <f t="shared" si="29"/>
        <v>67500</v>
      </c>
      <c r="AF10" s="20">
        <f t="shared" si="1"/>
        <v>49.95</v>
      </c>
      <c r="AG10" s="20">
        <f t="shared" si="2"/>
        <v>64.849999999999994</v>
      </c>
      <c r="AH10" s="20">
        <f t="shared" si="3"/>
        <v>0.70000000000000007</v>
      </c>
      <c r="AI10" s="20">
        <f t="shared" si="4"/>
        <v>8.6</v>
      </c>
      <c r="AJ10" s="20">
        <f t="shared" si="5"/>
        <v>22</v>
      </c>
      <c r="AK10" s="20">
        <f t="shared" si="6"/>
        <v>19</v>
      </c>
      <c r="AL10" s="20">
        <f t="shared" si="7"/>
        <v>11.65</v>
      </c>
      <c r="AM10" s="20">
        <f t="shared" si="8"/>
        <v>21.55</v>
      </c>
      <c r="AN10" s="20">
        <f t="shared" si="9"/>
        <v>27.5</v>
      </c>
      <c r="AO10" s="20">
        <f t="shared" si="10"/>
        <v>13</v>
      </c>
      <c r="AP10" s="20">
        <f t="shared" si="11"/>
        <v>15.75</v>
      </c>
      <c r="AQ10" s="20">
        <f t="shared" si="12"/>
        <v>35.800000000000004</v>
      </c>
      <c r="AR10" s="20">
        <f t="shared" si="13"/>
        <v>47.15</v>
      </c>
      <c r="AS10" s="35">
        <f t="shared" si="30"/>
        <v>337.5</v>
      </c>
      <c r="AU10" s="47">
        <v>277946</v>
      </c>
      <c r="AV10" s="37">
        <f t="shared" ref="AV10:AV26" si="31">IF((AU10-AU9&lt;0),"0",AU10-AU9)</f>
        <v>2320</v>
      </c>
      <c r="AW10" s="35">
        <f t="shared" si="14"/>
        <v>4.6399999999999997</v>
      </c>
    </row>
    <row r="11" spans="1:49" x14ac:dyDescent="0.25">
      <c r="A11" s="23">
        <v>44474</v>
      </c>
      <c r="B11" s="40">
        <v>86</v>
      </c>
      <c r="C11" s="24">
        <v>7133490</v>
      </c>
      <c r="D11" s="24">
        <v>17252510</v>
      </c>
      <c r="E11" s="24">
        <v>3057600</v>
      </c>
      <c r="F11" s="24">
        <v>3685570</v>
      </c>
      <c r="G11" s="24">
        <v>10884930</v>
      </c>
      <c r="H11" s="24">
        <v>5931890</v>
      </c>
      <c r="I11" s="24">
        <v>5357400</v>
      </c>
      <c r="J11" s="24">
        <v>6413960</v>
      </c>
      <c r="K11" s="24">
        <v>9815200</v>
      </c>
      <c r="L11" s="24">
        <v>4138700</v>
      </c>
      <c r="M11" s="24">
        <v>8265990</v>
      </c>
      <c r="N11" s="24">
        <v>12882570</v>
      </c>
      <c r="O11" s="24">
        <v>17762750</v>
      </c>
      <c r="Q11" s="37">
        <f t="shared" si="17"/>
        <v>9620</v>
      </c>
      <c r="R11" s="37">
        <f t="shared" si="18"/>
        <v>12570</v>
      </c>
      <c r="S11" s="37">
        <f t="shared" si="16"/>
        <v>120</v>
      </c>
      <c r="T11" s="37">
        <f t="shared" si="19"/>
        <v>1680</v>
      </c>
      <c r="U11" s="37">
        <f t="shared" si="20"/>
        <v>4310</v>
      </c>
      <c r="V11" s="37">
        <f t="shared" si="21"/>
        <v>3890</v>
      </c>
      <c r="W11" s="37">
        <f t="shared" si="22"/>
        <v>2400</v>
      </c>
      <c r="X11" s="37">
        <f t="shared" si="23"/>
        <v>4650</v>
      </c>
      <c r="Y11" s="37">
        <f t="shared" si="24"/>
        <v>5840</v>
      </c>
      <c r="Z11" s="37">
        <f t="shared" si="25"/>
        <v>2560</v>
      </c>
      <c r="AA11" s="37">
        <f t="shared" si="26"/>
        <v>3180</v>
      </c>
      <c r="AB11" s="37">
        <f t="shared" si="27"/>
        <v>7020</v>
      </c>
      <c r="AC11" s="37">
        <f t="shared" si="28"/>
        <v>11560</v>
      </c>
      <c r="AD11" s="35">
        <f t="shared" si="29"/>
        <v>69400</v>
      </c>
      <c r="AF11" s="20">
        <f t="shared" si="1"/>
        <v>48.1</v>
      </c>
      <c r="AG11" s="20">
        <f t="shared" si="2"/>
        <v>62.85</v>
      </c>
      <c r="AH11" s="20">
        <f t="shared" si="3"/>
        <v>0.6</v>
      </c>
      <c r="AI11" s="20">
        <f t="shared" si="4"/>
        <v>8.4</v>
      </c>
      <c r="AJ11" s="20">
        <f t="shared" si="5"/>
        <v>21.55</v>
      </c>
      <c r="AK11" s="20">
        <f t="shared" si="6"/>
        <v>19.45</v>
      </c>
      <c r="AL11" s="20">
        <f t="shared" si="7"/>
        <v>12</v>
      </c>
      <c r="AM11" s="20">
        <f t="shared" si="8"/>
        <v>23.25</v>
      </c>
      <c r="AN11" s="20">
        <f t="shared" si="9"/>
        <v>29.2</v>
      </c>
      <c r="AO11" s="20">
        <f t="shared" si="10"/>
        <v>12.8</v>
      </c>
      <c r="AP11" s="20">
        <f t="shared" si="11"/>
        <v>15.9</v>
      </c>
      <c r="AQ11" s="20">
        <f t="shared" si="12"/>
        <v>35.1</v>
      </c>
      <c r="AR11" s="20">
        <f t="shared" si="13"/>
        <v>57.800000000000004</v>
      </c>
      <c r="AS11" s="35">
        <f t="shared" si="30"/>
        <v>347</v>
      </c>
      <c r="AU11" s="47">
        <v>280190</v>
      </c>
      <c r="AV11" s="37">
        <f t="shared" si="31"/>
        <v>2244</v>
      </c>
      <c r="AW11" s="35">
        <f t="shared" si="14"/>
        <v>4.4880000000000004</v>
      </c>
    </row>
    <row r="12" spans="1:49" x14ac:dyDescent="0.25">
      <c r="A12" s="23">
        <v>44475</v>
      </c>
      <c r="B12" s="40">
        <v>98</v>
      </c>
      <c r="C12" s="49">
        <v>7143090</v>
      </c>
      <c r="D12" s="24">
        <v>17265080</v>
      </c>
      <c r="E12" s="24">
        <v>3057710</v>
      </c>
      <c r="F12" s="24">
        <v>3687260</v>
      </c>
      <c r="G12" s="24">
        <v>10889300</v>
      </c>
      <c r="H12" s="24">
        <v>5935830</v>
      </c>
      <c r="I12" s="24">
        <v>5359850</v>
      </c>
      <c r="J12" s="24">
        <v>6418820</v>
      </c>
      <c r="K12" s="24">
        <v>9821120</v>
      </c>
      <c r="L12" s="24">
        <v>4141330</v>
      </c>
      <c r="M12" s="24">
        <v>8269290</v>
      </c>
      <c r="N12" s="24">
        <v>12889650</v>
      </c>
      <c r="O12" s="24">
        <v>17773060</v>
      </c>
      <c r="Q12" s="37">
        <f t="shared" si="17"/>
        <v>9600</v>
      </c>
      <c r="R12" s="37">
        <f t="shared" si="18"/>
        <v>12570</v>
      </c>
      <c r="S12" s="37">
        <f t="shared" si="16"/>
        <v>110</v>
      </c>
      <c r="T12" s="37">
        <f t="shared" ref="T12:W14" si="32">IF((F12-F11&lt;0), "0",F12-F11)</f>
        <v>1690</v>
      </c>
      <c r="U12" s="37">
        <f t="shared" si="32"/>
        <v>4370</v>
      </c>
      <c r="V12" s="37">
        <f t="shared" si="32"/>
        <v>3940</v>
      </c>
      <c r="W12" s="37">
        <f t="shared" si="32"/>
        <v>2450</v>
      </c>
      <c r="X12" s="37">
        <f t="shared" si="23"/>
        <v>4860</v>
      </c>
      <c r="Y12" s="37">
        <f t="shared" si="24"/>
        <v>5920</v>
      </c>
      <c r="Z12" s="37">
        <f>IF((L12-L11&lt;0), "0",L12-L11)</f>
        <v>2630</v>
      </c>
      <c r="AA12" s="37">
        <f t="shared" si="26"/>
        <v>3300</v>
      </c>
      <c r="AB12" s="37">
        <f t="shared" si="27"/>
        <v>7080</v>
      </c>
      <c r="AC12" s="37">
        <f t="shared" si="28"/>
        <v>10310</v>
      </c>
      <c r="AD12" s="35">
        <f t="shared" si="29"/>
        <v>68830</v>
      </c>
      <c r="AF12" s="20">
        <f t="shared" si="1"/>
        <v>48</v>
      </c>
      <c r="AG12" s="20">
        <f t="shared" si="2"/>
        <v>62.85</v>
      </c>
      <c r="AH12" s="20">
        <f t="shared" si="3"/>
        <v>0.55000000000000004</v>
      </c>
      <c r="AI12" s="20">
        <f t="shared" si="4"/>
        <v>8.4499999999999993</v>
      </c>
      <c r="AJ12" s="20">
        <f t="shared" si="5"/>
        <v>21.85</v>
      </c>
      <c r="AK12" s="20">
        <f t="shared" si="6"/>
        <v>19.7</v>
      </c>
      <c r="AL12" s="20">
        <f t="shared" si="7"/>
        <v>12.25</v>
      </c>
      <c r="AM12" s="20">
        <f t="shared" si="8"/>
        <v>24.3</v>
      </c>
      <c r="AN12" s="20">
        <f t="shared" si="9"/>
        <v>29.6</v>
      </c>
      <c r="AO12" s="20">
        <f t="shared" si="10"/>
        <v>13.15</v>
      </c>
      <c r="AP12" s="20">
        <f t="shared" si="11"/>
        <v>16.5</v>
      </c>
      <c r="AQ12" s="20">
        <f t="shared" si="12"/>
        <v>35.4</v>
      </c>
      <c r="AR12" s="20">
        <f t="shared" si="13"/>
        <v>51.550000000000004</v>
      </c>
      <c r="AS12" s="35">
        <f t="shared" si="30"/>
        <v>344.15</v>
      </c>
      <c r="AU12" s="47">
        <v>282813</v>
      </c>
      <c r="AV12" s="37">
        <f t="shared" si="31"/>
        <v>2623</v>
      </c>
      <c r="AW12" s="35">
        <f t="shared" si="14"/>
        <v>5.2460000000000004</v>
      </c>
    </row>
    <row r="13" spans="1:49" x14ac:dyDescent="0.25">
      <c r="A13" s="23">
        <v>44476</v>
      </c>
      <c r="B13" s="40">
        <v>171</v>
      </c>
      <c r="C13" s="24">
        <v>7153060</v>
      </c>
      <c r="D13" s="24">
        <v>17278050</v>
      </c>
      <c r="E13" s="24">
        <v>3057850</v>
      </c>
      <c r="F13" s="24">
        <v>3688970</v>
      </c>
      <c r="G13" s="24">
        <v>10893810</v>
      </c>
      <c r="H13" s="24">
        <v>5939930</v>
      </c>
      <c r="I13" s="24">
        <v>5362410</v>
      </c>
      <c r="J13" s="24">
        <v>6423680</v>
      </c>
      <c r="K13" s="24">
        <v>9827240</v>
      </c>
      <c r="L13" s="24">
        <v>4144140</v>
      </c>
      <c r="M13" s="24">
        <v>8272600</v>
      </c>
      <c r="N13" s="24">
        <v>12896900</v>
      </c>
      <c r="O13" s="24">
        <v>17783250</v>
      </c>
      <c r="Q13" s="37">
        <f t="shared" si="17"/>
        <v>9970</v>
      </c>
      <c r="R13" s="37">
        <f t="shared" si="18"/>
        <v>12970</v>
      </c>
      <c r="S13" s="37">
        <f t="shared" si="16"/>
        <v>140</v>
      </c>
      <c r="T13" s="37">
        <f t="shared" si="32"/>
        <v>1710</v>
      </c>
      <c r="U13" s="37">
        <f t="shared" si="32"/>
        <v>4510</v>
      </c>
      <c r="V13" s="37">
        <f t="shared" si="32"/>
        <v>4100</v>
      </c>
      <c r="W13" s="37">
        <f t="shared" si="32"/>
        <v>2560</v>
      </c>
      <c r="X13" s="37">
        <f t="shared" si="23"/>
        <v>4860</v>
      </c>
      <c r="Y13" s="37">
        <f t="shared" si="24"/>
        <v>6120</v>
      </c>
      <c r="Z13" s="37">
        <f>IF((L13-L12&lt;0), "0",L13-L12)</f>
        <v>2810</v>
      </c>
      <c r="AA13" s="37">
        <f t="shared" si="26"/>
        <v>3310</v>
      </c>
      <c r="AB13" s="37">
        <f t="shared" si="27"/>
        <v>7250</v>
      </c>
      <c r="AC13" s="37">
        <f t="shared" si="28"/>
        <v>10190</v>
      </c>
      <c r="AD13" s="35">
        <f t="shared" si="29"/>
        <v>70500</v>
      </c>
      <c r="AF13" s="20">
        <f t="shared" si="1"/>
        <v>49.85</v>
      </c>
      <c r="AG13" s="20">
        <f t="shared" si="2"/>
        <v>64.849999999999994</v>
      </c>
      <c r="AH13" s="20">
        <f t="shared" si="3"/>
        <v>0.70000000000000007</v>
      </c>
      <c r="AI13" s="20">
        <f t="shared" si="4"/>
        <v>8.5500000000000007</v>
      </c>
      <c r="AJ13" s="20">
        <f t="shared" si="5"/>
        <v>22.55</v>
      </c>
      <c r="AK13" s="20">
        <f t="shared" si="6"/>
        <v>20.5</v>
      </c>
      <c r="AL13" s="20">
        <f t="shared" si="7"/>
        <v>12.8</v>
      </c>
      <c r="AM13" s="20">
        <f t="shared" si="8"/>
        <v>24.3</v>
      </c>
      <c r="AN13" s="20">
        <f t="shared" si="9"/>
        <v>30.6</v>
      </c>
      <c r="AO13" s="20">
        <f t="shared" si="10"/>
        <v>14.05</v>
      </c>
      <c r="AP13" s="20">
        <f t="shared" si="11"/>
        <v>16.55</v>
      </c>
      <c r="AQ13" s="20">
        <f t="shared" si="12"/>
        <v>36.25</v>
      </c>
      <c r="AR13" s="20">
        <f t="shared" si="13"/>
        <v>50.95</v>
      </c>
      <c r="AS13" s="35">
        <f t="shared" si="30"/>
        <v>352.5</v>
      </c>
      <c r="AU13" s="47">
        <v>285222</v>
      </c>
      <c r="AV13" s="37">
        <f t="shared" si="31"/>
        <v>2409</v>
      </c>
      <c r="AW13" s="35">
        <f t="shared" si="14"/>
        <v>4.8180000000000005</v>
      </c>
    </row>
    <row r="14" spans="1:49" x14ac:dyDescent="0.25">
      <c r="A14" s="23">
        <v>44477</v>
      </c>
      <c r="B14" s="40">
        <v>187</v>
      </c>
      <c r="C14" s="24">
        <v>7162650</v>
      </c>
      <c r="D14" s="24">
        <v>17290640</v>
      </c>
      <c r="E14" s="24">
        <v>3057950</v>
      </c>
      <c r="F14" s="24">
        <v>3690690</v>
      </c>
      <c r="G14" s="24">
        <v>10898730</v>
      </c>
      <c r="H14" s="24">
        <v>5944020</v>
      </c>
      <c r="I14" s="24">
        <v>5364870</v>
      </c>
      <c r="J14" s="24">
        <v>6428590</v>
      </c>
      <c r="K14" s="24">
        <v>9833570</v>
      </c>
      <c r="L14" s="24">
        <v>4147200</v>
      </c>
      <c r="M14" s="24">
        <v>8276160</v>
      </c>
      <c r="N14" s="24">
        <v>12904260</v>
      </c>
      <c r="O14" s="24">
        <v>17794720</v>
      </c>
      <c r="P14" s="53"/>
      <c r="Q14" s="37">
        <f t="shared" si="17"/>
        <v>9590</v>
      </c>
      <c r="R14" s="37">
        <f t="shared" si="18"/>
        <v>12590</v>
      </c>
      <c r="S14" s="37">
        <f t="shared" si="16"/>
        <v>100</v>
      </c>
      <c r="T14" s="37">
        <f t="shared" si="32"/>
        <v>1720</v>
      </c>
      <c r="U14" s="37">
        <f t="shared" si="32"/>
        <v>4920</v>
      </c>
      <c r="V14" s="37">
        <f t="shared" si="32"/>
        <v>4090</v>
      </c>
      <c r="W14" s="37">
        <f t="shared" si="32"/>
        <v>2460</v>
      </c>
      <c r="X14" s="37">
        <f t="shared" si="23"/>
        <v>4910</v>
      </c>
      <c r="Y14" s="37">
        <f t="shared" si="24"/>
        <v>6330</v>
      </c>
      <c r="Z14" s="37">
        <f>IF((L14-L13&lt;0), "0",L14-L13)</f>
        <v>3060</v>
      </c>
      <c r="AA14" s="37">
        <f t="shared" si="26"/>
        <v>3560</v>
      </c>
      <c r="AB14" s="37">
        <f t="shared" si="27"/>
        <v>7360</v>
      </c>
      <c r="AC14" s="37">
        <f t="shared" si="28"/>
        <v>11470</v>
      </c>
      <c r="AD14" s="35">
        <f t="shared" si="29"/>
        <v>72160</v>
      </c>
      <c r="AF14" s="20">
        <f t="shared" si="1"/>
        <v>47.95</v>
      </c>
      <c r="AG14" s="20">
        <f t="shared" si="2"/>
        <v>62.95</v>
      </c>
      <c r="AH14" s="20">
        <f t="shared" si="3"/>
        <v>0.5</v>
      </c>
      <c r="AI14" s="20">
        <f t="shared" si="4"/>
        <v>8.6</v>
      </c>
      <c r="AJ14" s="20">
        <f t="shared" si="5"/>
        <v>24.6</v>
      </c>
      <c r="AK14" s="20">
        <f t="shared" si="6"/>
        <v>20.45</v>
      </c>
      <c r="AL14" s="20">
        <f t="shared" si="7"/>
        <v>12.3</v>
      </c>
      <c r="AM14" s="20">
        <f t="shared" si="8"/>
        <v>24.55</v>
      </c>
      <c r="AN14" s="20">
        <f t="shared" si="9"/>
        <v>31.650000000000002</v>
      </c>
      <c r="AO14" s="20">
        <f t="shared" si="10"/>
        <v>15.3</v>
      </c>
      <c r="AP14" s="20">
        <f t="shared" si="11"/>
        <v>17.8</v>
      </c>
      <c r="AQ14" s="20">
        <f t="shared" si="12"/>
        <v>36.800000000000004</v>
      </c>
      <c r="AR14" s="20">
        <f t="shared" si="13"/>
        <v>57.35</v>
      </c>
      <c r="AS14" s="35">
        <f t="shared" si="30"/>
        <v>360.80000000000007</v>
      </c>
      <c r="AU14" s="47">
        <v>287636</v>
      </c>
      <c r="AV14" s="37">
        <f t="shared" si="31"/>
        <v>2414</v>
      </c>
      <c r="AW14" s="35">
        <f t="shared" si="14"/>
        <v>4.8280000000000003</v>
      </c>
    </row>
    <row r="15" spans="1:49" x14ac:dyDescent="0.25">
      <c r="A15" s="23">
        <v>44478</v>
      </c>
      <c r="B15" s="40">
        <v>73</v>
      </c>
      <c r="C15" s="24">
        <v>7172010</v>
      </c>
      <c r="D15" s="24">
        <v>17303020</v>
      </c>
      <c r="E15" s="24">
        <v>3058050</v>
      </c>
      <c r="F15" s="24">
        <v>3692390</v>
      </c>
      <c r="G15" s="24">
        <v>10903540</v>
      </c>
      <c r="H15" s="24">
        <v>5948030</v>
      </c>
      <c r="I15" s="24">
        <v>5367270</v>
      </c>
      <c r="J15" s="24">
        <v>6433370</v>
      </c>
      <c r="K15" s="24">
        <v>9839720</v>
      </c>
      <c r="L15" s="24">
        <v>4149950</v>
      </c>
      <c r="M15" s="24">
        <v>8279610</v>
      </c>
      <c r="N15" s="24">
        <v>12911570</v>
      </c>
      <c r="O15" s="24">
        <v>17806010</v>
      </c>
      <c r="Q15" s="37">
        <f t="shared" si="17"/>
        <v>9360</v>
      </c>
      <c r="R15" s="37">
        <f t="shared" si="18"/>
        <v>12380</v>
      </c>
      <c r="S15" s="37">
        <f t="shared" si="16"/>
        <v>100</v>
      </c>
      <c r="T15" s="37">
        <f t="shared" si="19"/>
        <v>1700</v>
      </c>
      <c r="U15" s="37">
        <f t="shared" si="20"/>
        <v>4810</v>
      </c>
      <c r="V15" s="37">
        <f t="shared" si="21"/>
        <v>4010</v>
      </c>
      <c r="W15" s="37">
        <f t="shared" si="22"/>
        <v>2400</v>
      </c>
      <c r="X15" s="37">
        <f t="shared" si="23"/>
        <v>4780</v>
      </c>
      <c r="Y15" s="37">
        <f t="shared" si="24"/>
        <v>6150</v>
      </c>
      <c r="Z15" s="37">
        <f t="shared" si="25"/>
        <v>2750</v>
      </c>
      <c r="AA15" s="37">
        <f t="shared" si="26"/>
        <v>3450</v>
      </c>
      <c r="AB15" s="37">
        <f t="shared" si="27"/>
        <v>7310</v>
      </c>
      <c r="AC15" s="37">
        <f t="shared" si="28"/>
        <v>11290</v>
      </c>
      <c r="AD15" s="35">
        <f t="shared" si="29"/>
        <v>70490</v>
      </c>
      <c r="AF15" s="20">
        <f t="shared" si="1"/>
        <v>46.800000000000004</v>
      </c>
      <c r="AG15" s="20">
        <f t="shared" si="2"/>
        <v>61.9</v>
      </c>
      <c r="AH15" s="20">
        <f t="shared" si="3"/>
        <v>0.5</v>
      </c>
      <c r="AI15" s="20">
        <f t="shared" si="4"/>
        <v>8.5</v>
      </c>
      <c r="AJ15" s="20">
        <f t="shared" si="5"/>
        <v>24.05</v>
      </c>
      <c r="AK15" s="20">
        <f t="shared" si="6"/>
        <v>20.05</v>
      </c>
      <c r="AL15" s="20">
        <f t="shared" si="7"/>
        <v>12</v>
      </c>
      <c r="AM15" s="20">
        <f t="shared" si="8"/>
        <v>23.900000000000002</v>
      </c>
      <c r="AN15" s="20">
        <f t="shared" si="9"/>
        <v>30.75</v>
      </c>
      <c r="AO15" s="20">
        <f t="shared" si="10"/>
        <v>13.75</v>
      </c>
      <c r="AP15" s="20">
        <f t="shared" si="11"/>
        <v>17.25</v>
      </c>
      <c r="AQ15" s="20">
        <f t="shared" si="12"/>
        <v>36.550000000000004</v>
      </c>
      <c r="AR15" s="20">
        <f t="shared" si="13"/>
        <v>56.45</v>
      </c>
      <c r="AS15" s="35">
        <f t="shared" si="30"/>
        <v>352.45000000000005</v>
      </c>
      <c r="AU15" s="47">
        <v>290105</v>
      </c>
      <c r="AV15" s="37">
        <f t="shared" si="31"/>
        <v>2469</v>
      </c>
      <c r="AW15" s="35">
        <f t="shared" si="14"/>
        <v>4.9379999999999997</v>
      </c>
    </row>
    <row r="16" spans="1:49" x14ac:dyDescent="0.25">
      <c r="A16" s="23">
        <v>44479</v>
      </c>
      <c r="B16" s="40">
        <v>88</v>
      </c>
      <c r="C16" s="24">
        <v>7180920</v>
      </c>
      <c r="D16" s="24">
        <v>17314850</v>
      </c>
      <c r="E16" s="24">
        <v>3058150</v>
      </c>
      <c r="F16" s="24">
        <v>3694030</v>
      </c>
      <c r="G16" s="24">
        <v>10907860</v>
      </c>
      <c r="H16" s="24">
        <v>5951670</v>
      </c>
      <c r="I16" s="24">
        <v>5369640</v>
      </c>
      <c r="J16" s="24">
        <v>6437650</v>
      </c>
      <c r="K16" s="24">
        <v>9845210</v>
      </c>
      <c r="L16" s="24">
        <v>4152500</v>
      </c>
      <c r="M16" s="24">
        <v>8282830</v>
      </c>
      <c r="N16" s="24">
        <v>12918490</v>
      </c>
      <c r="O16" s="24">
        <v>17817120</v>
      </c>
      <c r="Q16" s="37">
        <f t="shared" si="17"/>
        <v>8910</v>
      </c>
      <c r="R16" s="37">
        <f t="shared" si="18"/>
        <v>11830</v>
      </c>
      <c r="S16" s="37">
        <f t="shared" si="16"/>
        <v>100</v>
      </c>
      <c r="T16" s="37">
        <f t="shared" si="19"/>
        <v>1640</v>
      </c>
      <c r="U16" s="37">
        <f t="shared" si="20"/>
        <v>4320</v>
      </c>
      <c r="V16" s="37">
        <f t="shared" si="21"/>
        <v>3640</v>
      </c>
      <c r="W16" s="37">
        <f t="shared" si="22"/>
        <v>2370</v>
      </c>
      <c r="X16" s="37">
        <f t="shared" si="23"/>
        <v>4280</v>
      </c>
      <c r="Y16" s="37">
        <f t="shared" si="24"/>
        <v>5490</v>
      </c>
      <c r="Z16" s="37">
        <f t="shared" si="25"/>
        <v>2550</v>
      </c>
      <c r="AA16" s="37">
        <f t="shared" si="26"/>
        <v>3220</v>
      </c>
      <c r="AB16" s="37">
        <f t="shared" si="27"/>
        <v>6920</v>
      </c>
      <c r="AC16" s="37">
        <f t="shared" si="28"/>
        <v>11110</v>
      </c>
      <c r="AD16" s="35">
        <f t="shared" si="29"/>
        <v>66380</v>
      </c>
      <c r="AF16" s="20">
        <f t="shared" si="1"/>
        <v>44.550000000000004</v>
      </c>
      <c r="AG16" s="20">
        <f t="shared" si="2"/>
        <v>59.15</v>
      </c>
      <c r="AH16" s="20">
        <f t="shared" si="3"/>
        <v>0.5</v>
      </c>
      <c r="AI16" s="20">
        <f t="shared" si="4"/>
        <v>8.1999999999999993</v>
      </c>
      <c r="AJ16" s="20">
        <f t="shared" si="5"/>
        <v>21.6</v>
      </c>
      <c r="AK16" s="20">
        <f t="shared" si="6"/>
        <v>18.2</v>
      </c>
      <c r="AL16" s="20">
        <f t="shared" si="7"/>
        <v>11.85</v>
      </c>
      <c r="AM16" s="20">
        <f t="shared" si="8"/>
        <v>21.400000000000002</v>
      </c>
      <c r="AN16" s="20">
        <f t="shared" si="9"/>
        <v>27.45</v>
      </c>
      <c r="AO16" s="20">
        <f t="shared" si="10"/>
        <v>12.75</v>
      </c>
      <c r="AP16" s="20">
        <f t="shared" si="11"/>
        <v>16.100000000000001</v>
      </c>
      <c r="AQ16" s="20">
        <f t="shared" si="12"/>
        <v>34.6</v>
      </c>
      <c r="AR16" s="20">
        <f t="shared" si="13"/>
        <v>55.550000000000004</v>
      </c>
      <c r="AS16" s="35">
        <f t="shared" si="30"/>
        <v>331.9</v>
      </c>
      <c r="AU16" s="47">
        <v>292762</v>
      </c>
      <c r="AV16" s="37">
        <f t="shared" si="31"/>
        <v>2657</v>
      </c>
      <c r="AW16" s="35">
        <f t="shared" si="14"/>
        <v>5.3140000000000001</v>
      </c>
    </row>
    <row r="17" spans="1:49" x14ac:dyDescent="0.25">
      <c r="A17" s="23">
        <v>44480</v>
      </c>
      <c r="B17" s="40">
        <v>84</v>
      </c>
      <c r="C17" s="24">
        <v>7189580</v>
      </c>
      <c r="D17" s="24">
        <v>17327520</v>
      </c>
      <c r="E17" s="24">
        <v>3058240</v>
      </c>
      <c r="F17" s="24">
        <v>3695800</v>
      </c>
      <c r="G17" s="24">
        <v>10912480</v>
      </c>
      <c r="H17" s="24">
        <v>5955660</v>
      </c>
      <c r="I17" s="24">
        <v>5372210</v>
      </c>
      <c r="J17" s="24">
        <v>6442150</v>
      </c>
      <c r="K17" s="24">
        <v>9851310</v>
      </c>
      <c r="L17" s="24">
        <v>4155160</v>
      </c>
      <c r="M17" s="24">
        <v>8286280</v>
      </c>
      <c r="N17" s="24">
        <v>12925830</v>
      </c>
      <c r="O17" s="24">
        <v>17826640</v>
      </c>
      <c r="Q17" s="37">
        <f t="shared" si="17"/>
        <v>8660</v>
      </c>
      <c r="R17" s="37">
        <f t="shared" si="18"/>
        <v>12670</v>
      </c>
      <c r="S17" s="37">
        <f t="shared" si="16"/>
        <v>90</v>
      </c>
      <c r="T17" s="37">
        <f t="shared" si="19"/>
        <v>1770</v>
      </c>
      <c r="U17" s="37">
        <f t="shared" si="20"/>
        <v>4620</v>
      </c>
      <c r="V17" s="37">
        <f t="shared" si="21"/>
        <v>3990</v>
      </c>
      <c r="W17" s="37">
        <f t="shared" si="22"/>
        <v>2570</v>
      </c>
      <c r="X17" s="37">
        <f t="shared" si="23"/>
        <v>4500</v>
      </c>
      <c r="Y17" s="37">
        <f t="shared" si="24"/>
        <v>6100</v>
      </c>
      <c r="Z17" s="37">
        <f t="shared" si="25"/>
        <v>2660</v>
      </c>
      <c r="AA17" s="37">
        <f t="shared" si="26"/>
        <v>3450</v>
      </c>
      <c r="AB17" s="37">
        <f t="shared" si="27"/>
        <v>7340</v>
      </c>
      <c r="AC17" s="37">
        <f t="shared" si="28"/>
        <v>9520</v>
      </c>
      <c r="AD17" s="35">
        <f t="shared" si="29"/>
        <v>67940</v>
      </c>
      <c r="AF17" s="20">
        <f t="shared" si="1"/>
        <v>43.300000000000004</v>
      </c>
      <c r="AG17" s="20">
        <f t="shared" si="2"/>
        <v>63.35</v>
      </c>
      <c r="AH17" s="20">
        <f t="shared" si="3"/>
        <v>0.45</v>
      </c>
      <c r="AI17" s="20">
        <f t="shared" si="4"/>
        <v>8.85</v>
      </c>
      <c r="AJ17" s="20">
        <f t="shared" si="5"/>
        <v>23.1</v>
      </c>
      <c r="AK17" s="20">
        <f t="shared" si="6"/>
        <v>19.95</v>
      </c>
      <c r="AL17" s="20">
        <f t="shared" si="7"/>
        <v>12.85</v>
      </c>
      <c r="AM17" s="20">
        <f t="shared" si="8"/>
        <v>22.5</v>
      </c>
      <c r="AN17" s="20">
        <f t="shared" si="9"/>
        <v>30.5</v>
      </c>
      <c r="AO17" s="20">
        <f t="shared" si="10"/>
        <v>13.3</v>
      </c>
      <c r="AP17" s="20">
        <f t="shared" si="11"/>
        <v>17.25</v>
      </c>
      <c r="AQ17" s="20">
        <f t="shared" si="12"/>
        <v>36.700000000000003</v>
      </c>
      <c r="AR17" s="20">
        <f t="shared" si="13"/>
        <v>47.6</v>
      </c>
      <c r="AS17" s="35">
        <f t="shared" si="30"/>
        <v>339.70000000000005</v>
      </c>
      <c r="AU17" s="47">
        <v>295357</v>
      </c>
      <c r="AV17" s="37">
        <f t="shared" si="31"/>
        <v>2595</v>
      </c>
      <c r="AW17" s="35">
        <f t="shared" si="14"/>
        <v>5.19</v>
      </c>
    </row>
    <row r="18" spans="1:49" x14ac:dyDescent="0.25">
      <c r="A18" s="23">
        <v>44481</v>
      </c>
      <c r="B18" s="40">
        <v>62</v>
      </c>
      <c r="C18" s="24">
        <v>7198220</v>
      </c>
      <c r="D18" s="24">
        <v>17333690</v>
      </c>
      <c r="E18" s="24">
        <v>3060120</v>
      </c>
      <c r="F18" s="24">
        <v>3697420</v>
      </c>
      <c r="G18" s="24">
        <v>10916520</v>
      </c>
      <c r="H18" s="24">
        <v>5959220</v>
      </c>
      <c r="I18" s="24">
        <v>5374580</v>
      </c>
      <c r="J18" s="24">
        <v>6446590</v>
      </c>
      <c r="K18" s="24">
        <v>9856870</v>
      </c>
      <c r="L18" s="24">
        <v>4157540</v>
      </c>
      <c r="M18" s="24">
        <v>8289390</v>
      </c>
      <c r="N18" s="24">
        <v>12932500</v>
      </c>
      <c r="O18" s="24">
        <v>17837050</v>
      </c>
      <c r="Q18" s="37">
        <f t="shared" si="17"/>
        <v>8640</v>
      </c>
      <c r="R18" s="37">
        <f t="shared" si="18"/>
        <v>6170</v>
      </c>
      <c r="S18" s="37">
        <f t="shared" si="16"/>
        <v>1880</v>
      </c>
      <c r="T18" s="37">
        <f t="shared" si="19"/>
        <v>1620</v>
      </c>
      <c r="U18" s="37">
        <f t="shared" si="20"/>
        <v>4040</v>
      </c>
      <c r="V18" s="37">
        <f t="shared" si="21"/>
        <v>3560</v>
      </c>
      <c r="W18" s="37">
        <f t="shared" si="22"/>
        <v>2370</v>
      </c>
      <c r="X18" s="37">
        <f t="shared" si="23"/>
        <v>4440</v>
      </c>
      <c r="Y18" s="37">
        <f t="shared" si="24"/>
        <v>5560</v>
      </c>
      <c r="Z18" s="37">
        <f t="shared" si="25"/>
        <v>2380</v>
      </c>
      <c r="AA18" s="37">
        <f t="shared" si="26"/>
        <v>3110</v>
      </c>
      <c r="AB18" s="37">
        <f t="shared" si="27"/>
        <v>6670</v>
      </c>
      <c r="AC18" s="37">
        <f t="shared" si="28"/>
        <v>10410</v>
      </c>
      <c r="AD18" s="35">
        <f t="shared" si="29"/>
        <v>60850</v>
      </c>
      <c r="AF18" s="20">
        <f t="shared" si="1"/>
        <v>43.2</v>
      </c>
      <c r="AG18" s="20">
        <f t="shared" si="2"/>
        <v>30.85</v>
      </c>
      <c r="AH18" s="20">
        <f t="shared" si="3"/>
        <v>9.4</v>
      </c>
      <c r="AI18" s="20">
        <f t="shared" si="4"/>
        <v>8.1</v>
      </c>
      <c r="AJ18" s="20">
        <f t="shared" si="5"/>
        <v>20.2</v>
      </c>
      <c r="AK18" s="20">
        <f t="shared" si="6"/>
        <v>17.8</v>
      </c>
      <c r="AL18" s="20">
        <f t="shared" si="7"/>
        <v>11.85</v>
      </c>
      <c r="AM18" s="20">
        <f t="shared" si="8"/>
        <v>22.2</v>
      </c>
      <c r="AN18" s="20">
        <f t="shared" si="9"/>
        <v>27.8</v>
      </c>
      <c r="AO18" s="20">
        <f t="shared" si="10"/>
        <v>11.9</v>
      </c>
      <c r="AP18" s="20">
        <f t="shared" si="11"/>
        <v>15.55</v>
      </c>
      <c r="AQ18" s="20">
        <f t="shared" si="12"/>
        <v>33.35</v>
      </c>
      <c r="AR18" s="20">
        <f t="shared" si="13"/>
        <v>52.050000000000004</v>
      </c>
      <c r="AS18" s="35">
        <f t="shared" si="30"/>
        <v>304.25</v>
      </c>
      <c r="AU18" s="47">
        <v>297557</v>
      </c>
      <c r="AV18" s="37">
        <f t="shared" si="31"/>
        <v>2200</v>
      </c>
      <c r="AW18" s="35">
        <f t="shared" si="14"/>
        <v>4.4000000000000004</v>
      </c>
    </row>
    <row r="19" spans="1:49" x14ac:dyDescent="0.25">
      <c r="A19" s="23">
        <v>44482</v>
      </c>
      <c r="B19" s="40">
        <v>58</v>
      </c>
      <c r="C19" s="24">
        <v>7208410</v>
      </c>
      <c r="D19" s="24">
        <v>17337550</v>
      </c>
      <c r="E19" s="24">
        <v>3063150</v>
      </c>
      <c r="F19" s="24">
        <v>3699200</v>
      </c>
      <c r="G19" s="24">
        <v>10921000</v>
      </c>
      <c r="H19" s="24">
        <v>5963040</v>
      </c>
      <c r="I19" s="24">
        <v>5377290</v>
      </c>
      <c r="J19" s="24">
        <v>6451270</v>
      </c>
      <c r="K19" s="24">
        <v>9863140</v>
      </c>
      <c r="L19" s="24">
        <v>4160220</v>
      </c>
      <c r="M19" s="24">
        <v>8292590</v>
      </c>
      <c r="N19" s="24">
        <v>12939970</v>
      </c>
      <c r="O19" s="24">
        <v>17846950</v>
      </c>
      <c r="Q19" s="37">
        <f t="shared" si="17"/>
        <v>10190</v>
      </c>
      <c r="R19" s="37">
        <f t="shared" si="18"/>
        <v>3860</v>
      </c>
      <c r="S19" s="37">
        <f t="shared" si="16"/>
        <v>3030</v>
      </c>
      <c r="T19" s="37">
        <f t="shared" si="19"/>
        <v>1780</v>
      </c>
      <c r="U19" s="37">
        <f t="shared" si="20"/>
        <v>4480</v>
      </c>
      <c r="V19" s="37">
        <f t="shared" si="21"/>
        <v>3820</v>
      </c>
      <c r="W19" s="37">
        <f t="shared" si="22"/>
        <v>2710</v>
      </c>
      <c r="X19" s="37">
        <f t="shared" si="23"/>
        <v>4680</v>
      </c>
      <c r="Y19" s="37">
        <f t="shared" si="24"/>
        <v>6270</v>
      </c>
      <c r="Z19" s="37">
        <f t="shared" si="25"/>
        <v>2680</v>
      </c>
      <c r="AA19" s="37">
        <f t="shared" si="26"/>
        <v>3200</v>
      </c>
      <c r="AB19" s="37">
        <f t="shared" si="27"/>
        <v>7470</v>
      </c>
      <c r="AC19" s="37">
        <f t="shared" si="28"/>
        <v>9900</v>
      </c>
      <c r="AD19" s="35">
        <f t="shared" si="29"/>
        <v>64070</v>
      </c>
      <c r="AF19" s="20">
        <f t="shared" si="1"/>
        <v>50.95</v>
      </c>
      <c r="AG19" s="20">
        <f t="shared" si="2"/>
        <v>19.3</v>
      </c>
      <c r="AH19" s="20">
        <f t="shared" si="3"/>
        <v>15.15</v>
      </c>
      <c r="AI19" s="20">
        <f t="shared" si="4"/>
        <v>8.9</v>
      </c>
      <c r="AJ19" s="20">
        <f t="shared" si="5"/>
        <v>22.400000000000002</v>
      </c>
      <c r="AK19" s="20">
        <f t="shared" si="6"/>
        <v>19.100000000000001</v>
      </c>
      <c r="AL19" s="20">
        <f t="shared" si="7"/>
        <v>13.55</v>
      </c>
      <c r="AM19" s="20">
        <f t="shared" si="8"/>
        <v>23.400000000000002</v>
      </c>
      <c r="AN19" s="20">
        <f t="shared" si="9"/>
        <v>31.35</v>
      </c>
      <c r="AO19" s="20">
        <f t="shared" si="10"/>
        <v>13.4</v>
      </c>
      <c r="AP19" s="20">
        <f t="shared" si="11"/>
        <v>16</v>
      </c>
      <c r="AQ19" s="20">
        <f t="shared" si="12"/>
        <v>37.35</v>
      </c>
      <c r="AR19" s="20">
        <f t="shared" si="13"/>
        <v>49.5</v>
      </c>
      <c r="AS19" s="35">
        <f t="shared" si="30"/>
        <v>320.35000000000002</v>
      </c>
      <c r="AU19" s="47">
        <v>299864</v>
      </c>
      <c r="AV19" s="37">
        <f t="shared" si="31"/>
        <v>2307</v>
      </c>
      <c r="AW19" s="35">
        <f t="shared" si="14"/>
        <v>4.6139999999999999</v>
      </c>
    </row>
    <row r="20" spans="1:49" x14ac:dyDescent="0.25">
      <c r="A20" s="23">
        <v>44483</v>
      </c>
      <c r="B20" s="40">
        <v>119</v>
      </c>
      <c r="C20" s="24">
        <v>7220490</v>
      </c>
      <c r="D20" s="24">
        <v>17341140</v>
      </c>
      <c r="E20" s="24">
        <v>3064590</v>
      </c>
      <c r="F20" s="24">
        <v>3700850</v>
      </c>
      <c r="G20" s="24">
        <v>10925130</v>
      </c>
      <c r="H20" s="24">
        <v>5966480</v>
      </c>
      <c r="I20" s="24">
        <v>5379590</v>
      </c>
      <c r="J20" s="24">
        <v>6455870</v>
      </c>
      <c r="K20" s="24">
        <v>9868980</v>
      </c>
      <c r="L20" s="24">
        <v>4162800</v>
      </c>
      <c r="M20" s="24">
        <v>8295630</v>
      </c>
      <c r="N20" s="24">
        <v>12946910</v>
      </c>
      <c r="O20" s="24">
        <v>17857550</v>
      </c>
      <c r="Q20" s="37">
        <f t="shared" si="17"/>
        <v>12080</v>
      </c>
      <c r="R20" s="37">
        <f t="shared" si="18"/>
        <v>3590</v>
      </c>
      <c r="S20" s="37">
        <f t="shared" si="16"/>
        <v>1440</v>
      </c>
      <c r="T20" s="37">
        <f t="shared" si="19"/>
        <v>1650</v>
      </c>
      <c r="U20" s="37">
        <f t="shared" si="20"/>
        <v>4130</v>
      </c>
      <c r="V20" s="37">
        <f t="shared" si="21"/>
        <v>3440</v>
      </c>
      <c r="W20" s="37">
        <f t="shared" si="22"/>
        <v>2300</v>
      </c>
      <c r="X20" s="37">
        <f t="shared" si="23"/>
        <v>4600</v>
      </c>
      <c r="Y20" s="37">
        <f t="shared" si="24"/>
        <v>5840</v>
      </c>
      <c r="Z20" s="37">
        <f t="shared" si="25"/>
        <v>2580</v>
      </c>
      <c r="AA20" s="37">
        <f t="shared" si="26"/>
        <v>3040</v>
      </c>
      <c r="AB20" s="37">
        <f t="shared" si="27"/>
        <v>6940</v>
      </c>
      <c r="AC20" s="37">
        <f t="shared" si="28"/>
        <v>10600</v>
      </c>
      <c r="AD20" s="35">
        <f t="shared" si="29"/>
        <v>62230</v>
      </c>
      <c r="AF20" s="20">
        <f t="shared" si="1"/>
        <v>60.4</v>
      </c>
      <c r="AG20" s="20">
        <f t="shared" si="2"/>
        <v>17.95</v>
      </c>
      <c r="AH20" s="20">
        <f t="shared" si="3"/>
        <v>7.2</v>
      </c>
      <c r="AI20" s="20">
        <f t="shared" si="4"/>
        <v>8.25</v>
      </c>
      <c r="AJ20" s="20">
        <f t="shared" si="5"/>
        <v>20.650000000000002</v>
      </c>
      <c r="AK20" s="20">
        <f t="shared" si="6"/>
        <v>17.2</v>
      </c>
      <c r="AL20" s="20">
        <f t="shared" si="7"/>
        <v>11.5</v>
      </c>
      <c r="AM20" s="20">
        <f t="shared" si="8"/>
        <v>23</v>
      </c>
      <c r="AN20" s="20">
        <f t="shared" si="9"/>
        <v>29.2</v>
      </c>
      <c r="AO20" s="20">
        <f t="shared" si="10"/>
        <v>12.9</v>
      </c>
      <c r="AP20" s="20">
        <f t="shared" si="11"/>
        <v>15.200000000000001</v>
      </c>
      <c r="AQ20" s="20">
        <f t="shared" si="12"/>
        <v>34.700000000000003</v>
      </c>
      <c r="AR20" s="20">
        <f t="shared" si="13"/>
        <v>53</v>
      </c>
      <c r="AS20" s="35">
        <f t="shared" si="30"/>
        <v>311.14999999999998</v>
      </c>
      <c r="AU20" s="47">
        <v>302354</v>
      </c>
      <c r="AV20" s="37">
        <f t="shared" si="31"/>
        <v>2490</v>
      </c>
      <c r="AW20" s="35">
        <f t="shared" si="14"/>
        <v>4.9800000000000004</v>
      </c>
    </row>
    <row r="21" spans="1:49" x14ac:dyDescent="0.25">
      <c r="A21" s="23">
        <v>44484</v>
      </c>
      <c r="B21" s="40">
        <v>145</v>
      </c>
      <c r="C21" s="24">
        <v>7229820</v>
      </c>
      <c r="D21" s="24">
        <v>17344640</v>
      </c>
      <c r="E21" s="24">
        <v>3067690</v>
      </c>
      <c r="F21" s="24">
        <v>3702450</v>
      </c>
      <c r="G21" s="24">
        <v>10929370</v>
      </c>
      <c r="H21" s="24">
        <v>5969940</v>
      </c>
      <c r="I21" s="24">
        <v>5381920</v>
      </c>
      <c r="J21" s="24">
        <v>6460390</v>
      </c>
      <c r="K21" s="24">
        <v>9874830</v>
      </c>
      <c r="L21" s="24">
        <v>4165420</v>
      </c>
      <c r="M21" s="24">
        <v>8298850</v>
      </c>
      <c r="N21" s="24">
        <v>12953950</v>
      </c>
      <c r="O21" s="24">
        <v>17867400</v>
      </c>
      <c r="Q21" s="37">
        <f t="shared" si="17"/>
        <v>9330</v>
      </c>
      <c r="R21" s="37">
        <f t="shared" si="18"/>
        <v>3500</v>
      </c>
      <c r="S21" s="37">
        <f t="shared" si="16"/>
        <v>3100</v>
      </c>
      <c r="T21" s="37">
        <f t="shared" si="19"/>
        <v>1600</v>
      </c>
      <c r="U21" s="37">
        <f t="shared" si="20"/>
        <v>4240</v>
      </c>
      <c r="V21" s="37">
        <f t="shared" si="21"/>
        <v>3460</v>
      </c>
      <c r="W21" s="37">
        <f t="shared" si="22"/>
        <v>2330</v>
      </c>
      <c r="X21" s="37">
        <f t="shared" si="23"/>
        <v>4520</v>
      </c>
      <c r="Y21" s="37">
        <f t="shared" si="24"/>
        <v>5850</v>
      </c>
      <c r="Z21" s="37">
        <f t="shared" si="25"/>
        <v>2620</v>
      </c>
      <c r="AA21" s="37">
        <f t="shared" si="26"/>
        <v>3220</v>
      </c>
      <c r="AB21" s="37">
        <f t="shared" si="27"/>
        <v>7040</v>
      </c>
      <c r="AC21" s="37">
        <f t="shared" si="28"/>
        <v>9850</v>
      </c>
      <c r="AD21" s="35">
        <f t="shared" si="29"/>
        <v>60660</v>
      </c>
      <c r="AF21" s="20">
        <f t="shared" si="1"/>
        <v>46.65</v>
      </c>
      <c r="AG21" s="20">
        <f t="shared" si="2"/>
        <v>17.5</v>
      </c>
      <c r="AH21" s="20">
        <f t="shared" si="3"/>
        <v>15.5</v>
      </c>
      <c r="AI21" s="20">
        <f t="shared" si="4"/>
        <v>8</v>
      </c>
      <c r="AJ21" s="20">
        <f t="shared" si="5"/>
        <v>21.2</v>
      </c>
      <c r="AK21" s="20">
        <f t="shared" si="6"/>
        <v>17.3</v>
      </c>
      <c r="AL21" s="20">
        <f t="shared" si="7"/>
        <v>11.65</v>
      </c>
      <c r="AM21" s="20">
        <f t="shared" si="8"/>
        <v>22.6</v>
      </c>
      <c r="AN21" s="20">
        <f t="shared" si="9"/>
        <v>29.25</v>
      </c>
      <c r="AO21" s="20">
        <f t="shared" si="10"/>
        <v>13.1</v>
      </c>
      <c r="AP21" s="20">
        <f t="shared" si="11"/>
        <v>16.100000000000001</v>
      </c>
      <c r="AQ21" s="20">
        <f t="shared" si="12"/>
        <v>35.200000000000003</v>
      </c>
      <c r="AR21" s="20">
        <f t="shared" si="13"/>
        <v>49.25</v>
      </c>
      <c r="AS21" s="35">
        <f t="shared" si="30"/>
        <v>303.3</v>
      </c>
      <c r="AU21" s="47">
        <v>304705</v>
      </c>
      <c r="AV21" s="37">
        <f t="shared" si="31"/>
        <v>2351</v>
      </c>
      <c r="AW21" s="35">
        <f t="shared" si="14"/>
        <v>4.702</v>
      </c>
    </row>
    <row r="22" spans="1:49" x14ac:dyDescent="0.25">
      <c r="A22" s="23">
        <v>44485</v>
      </c>
      <c r="B22" s="40">
        <v>78</v>
      </c>
      <c r="C22" s="24">
        <v>7239620</v>
      </c>
      <c r="D22" s="24">
        <v>17348330</v>
      </c>
      <c r="E22" s="24">
        <v>3070960</v>
      </c>
      <c r="F22" s="24">
        <v>3704130</v>
      </c>
      <c r="G22" s="24">
        <v>10933910</v>
      </c>
      <c r="H22" s="24">
        <v>5973520</v>
      </c>
      <c r="I22" s="24">
        <v>5384380</v>
      </c>
      <c r="J22" s="44">
        <v>6464900</v>
      </c>
      <c r="K22" s="24">
        <v>9880830</v>
      </c>
      <c r="L22" s="24">
        <v>4168110</v>
      </c>
      <c r="M22" s="24">
        <v>8302090</v>
      </c>
      <c r="N22" s="24">
        <v>12961350</v>
      </c>
      <c r="O22" s="44">
        <v>17878730</v>
      </c>
      <c r="Q22" s="37">
        <f t="shared" si="17"/>
        <v>9800</v>
      </c>
      <c r="R22" s="37">
        <f t="shared" si="18"/>
        <v>3690</v>
      </c>
      <c r="S22" s="37">
        <f t="shared" si="16"/>
        <v>3270</v>
      </c>
      <c r="T22" s="37">
        <f t="shared" si="19"/>
        <v>1680</v>
      </c>
      <c r="U22" s="37">
        <f t="shared" si="20"/>
        <v>4540</v>
      </c>
      <c r="V22" s="37">
        <f t="shared" si="21"/>
        <v>3580</v>
      </c>
      <c r="W22" s="37">
        <f t="shared" si="22"/>
        <v>2460</v>
      </c>
      <c r="X22" s="37">
        <f t="shared" si="23"/>
        <v>4510</v>
      </c>
      <c r="Y22" s="37">
        <f t="shared" si="24"/>
        <v>6000</v>
      </c>
      <c r="Z22" s="37">
        <f t="shared" si="25"/>
        <v>2690</v>
      </c>
      <c r="AA22" s="37">
        <f t="shared" si="26"/>
        <v>3240</v>
      </c>
      <c r="AB22" s="37">
        <f t="shared" si="27"/>
        <v>7400</v>
      </c>
      <c r="AC22" s="37">
        <f t="shared" si="28"/>
        <v>11330</v>
      </c>
      <c r="AD22" s="35">
        <f t="shared" si="29"/>
        <v>64190</v>
      </c>
      <c r="AF22" s="20">
        <f t="shared" si="1"/>
        <v>49</v>
      </c>
      <c r="AG22" s="20">
        <f t="shared" si="2"/>
        <v>18.45</v>
      </c>
      <c r="AH22" s="20">
        <f t="shared" si="3"/>
        <v>16.350000000000001</v>
      </c>
      <c r="AI22" s="20">
        <f t="shared" si="4"/>
        <v>8.4</v>
      </c>
      <c r="AJ22" s="20">
        <f t="shared" si="5"/>
        <v>22.7</v>
      </c>
      <c r="AK22" s="20">
        <f t="shared" si="6"/>
        <v>17.900000000000002</v>
      </c>
      <c r="AL22" s="20">
        <f t="shared" si="7"/>
        <v>12.3</v>
      </c>
      <c r="AM22" s="20">
        <f t="shared" si="8"/>
        <v>22.55</v>
      </c>
      <c r="AN22" s="20">
        <f t="shared" si="9"/>
        <v>30</v>
      </c>
      <c r="AO22" s="20">
        <f t="shared" si="10"/>
        <v>13.450000000000001</v>
      </c>
      <c r="AP22" s="20">
        <f t="shared" si="11"/>
        <v>16.2</v>
      </c>
      <c r="AQ22" s="20">
        <f t="shared" si="12"/>
        <v>37</v>
      </c>
      <c r="AR22" s="20">
        <f t="shared" si="13"/>
        <v>56.65</v>
      </c>
      <c r="AS22" s="35">
        <f t="shared" si="30"/>
        <v>320.95</v>
      </c>
      <c r="AU22" s="47">
        <v>307028</v>
      </c>
      <c r="AV22" s="37">
        <f t="shared" si="31"/>
        <v>2323</v>
      </c>
      <c r="AW22" s="35">
        <f t="shared" si="14"/>
        <v>4.6459999999999999</v>
      </c>
    </row>
    <row r="23" spans="1:49" x14ac:dyDescent="0.25">
      <c r="A23" s="23">
        <v>44486</v>
      </c>
      <c r="B23" s="40">
        <v>60</v>
      </c>
      <c r="C23" s="24">
        <v>7249020</v>
      </c>
      <c r="D23" s="24">
        <v>17351840</v>
      </c>
      <c r="E23" s="24">
        <v>3074100</v>
      </c>
      <c r="F23" s="24">
        <v>3705730</v>
      </c>
      <c r="G23" s="24">
        <v>10938120</v>
      </c>
      <c r="H23" s="24">
        <v>5977260</v>
      </c>
      <c r="I23" s="24">
        <v>5386700</v>
      </c>
      <c r="J23" s="24">
        <v>6468830</v>
      </c>
      <c r="K23" s="24">
        <v>9886280</v>
      </c>
      <c r="L23" s="24">
        <v>4170530</v>
      </c>
      <c r="M23" s="24">
        <v>8305090</v>
      </c>
      <c r="N23" s="24">
        <v>12968110</v>
      </c>
      <c r="O23" s="24">
        <v>17889220</v>
      </c>
      <c r="Q23" s="37">
        <f t="shared" si="17"/>
        <v>9400</v>
      </c>
      <c r="R23" s="37">
        <f t="shared" si="18"/>
        <v>3510</v>
      </c>
      <c r="S23" s="37">
        <f t="shared" si="16"/>
        <v>3140</v>
      </c>
      <c r="T23" s="37">
        <f t="shared" si="19"/>
        <v>1600</v>
      </c>
      <c r="U23" s="37">
        <f t="shared" si="20"/>
        <v>4210</v>
      </c>
      <c r="V23" s="37">
        <f t="shared" si="21"/>
        <v>3740</v>
      </c>
      <c r="W23" s="37">
        <f t="shared" si="22"/>
        <v>2320</v>
      </c>
      <c r="X23" s="37">
        <f t="shared" si="23"/>
        <v>3930</v>
      </c>
      <c r="Y23" s="37">
        <f t="shared" si="24"/>
        <v>5450</v>
      </c>
      <c r="Z23" s="37">
        <f t="shared" si="25"/>
        <v>2420</v>
      </c>
      <c r="AA23" s="37">
        <f t="shared" si="26"/>
        <v>3000</v>
      </c>
      <c r="AB23" s="37">
        <f t="shared" si="27"/>
        <v>6760</v>
      </c>
      <c r="AC23" s="37">
        <f t="shared" si="28"/>
        <v>10490</v>
      </c>
      <c r="AD23" s="35">
        <f t="shared" si="29"/>
        <v>59970</v>
      </c>
      <c r="AF23" s="20">
        <f t="shared" si="1"/>
        <v>47</v>
      </c>
      <c r="AG23" s="20">
        <f t="shared" si="2"/>
        <v>17.55</v>
      </c>
      <c r="AH23" s="20">
        <f t="shared" si="3"/>
        <v>15.700000000000001</v>
      </c>
      <c r="AI23" s="20">
        <f t="shared" si="4"/>
        <v>8</v>
      </c>
      <c r="AJ23" s="20">
        <f t="shared" si="5"/>
        <v>21.05</v>
      </c>
      <c r="AK23" s="20">
        <f t="shared" si="6"/>
        <v>18.7</v>
      </c>
      <c r="AL23" s="20">
        <f t="shared" si="7"/>
        <v>11.6</v>
      </c>
      <c r="AM23" s="20">
        <f t="shared" si="8"/>
        <v>19.650000000000002</v>
      </c>
      <c r="AN23" s="20">
        <f t="shared" si="9"/>
        <v>27.25</v>
      </c>
      <c r="AO23" s="20">
        <f t="shared" si="10"/>
        <v>12.1</v>
      </c>
      <c r="AP23" s="20">
        <f t="shared" si="11"/>
        <v>15</v>
      </c>
      <c r="AQ23" s="20">
        <f t="shared" si="12"/>
        <v>33.799999999999997</v>
      </c>
      <c r="AR23" s="20">
        <f t="shared" si="13"/>
        <v>52.45</v>
      </c>
      <c r="AS23" s="35">
        <f t="shared" si="30"/>
        <v>299.84999999999997</v>
      </c>
      <c r="AU23" s="47">
        <v>309329</v>
      </c>
      <c r="AV23" s="37">
        <f t="shared" si="31"/>
        <v>2301</v>
      </c>
      <c r="AW23" s="35">
        <f t="shared" si="14"/>
        <v>4.6020000000000003</v>
      </c>
    </row>
    <row r="24" spans="1:49" x14ac:dyDescent="0.25">
      <c r="A24" s="23">
        <v>44487</v>
      </c>
      <c r="B24" s="40">
        <v>48</v>
      </c>
      <c r="C24" s="24">
        <v>7258330</v>
      </c>
      <c r="D24" s="24">
        <v>17355530</v>
      </c>
      <c r="E24" s="24">
        <v>3077190</v>
      </c>
      <c r="F24" s="24">
        <v>3707430</v>
      </c>
      <c r="G24" s="24">
        <v>10942380</v>
      </c>
      <c r="H24" s="24">
        <v>5981080</v>
      </c>
      <c r="I24" s="24">
        <v>5389190</v>
      </c>
      <c r="J24" s="24">
        <v>6472950</v>
      </c>
      <c r="K24" s="24">
        <v>9891710</v>
      </c>
      <c r="L24" s="24">
        <v>4172920</v>
      </c>
      <c r="M24" s="24">
        <v>8308050</v>
      </c>
      <c r="N24" s="24">
        <v>12975180</v>
      </c>
      <c r="O24" s="24">
        <v>17901310</v>
      </c>
      <c r="Q24" s="37">
        <f t="shared" si="17"/>
        <v>9310</v>
      </c>
      <c r="R24" s="37">
        <f t="shared" si="18"/>
        <v>3690</v>
      </c>
      <c r="S24" s="37">
        <f t="shared" si="16"/>
        <v>3090</v>
      </c>
      <c r="T24" s="37">
        <f t="shared" si="19"/>
        <v>1700</v>
      </c>
      <c r="U24" s="37">
        <f t="shared" si="20"/>
        <v>4260</v>
      </c>
      <c r="V24" s="37">
        <f t="shared" si="21"/>
        <v>3820</v>
      </c>
      <c r="W24" s="37">
        <f t="shared" si="22"/>
        <v>2490</v>
      </c>
      <c r="X24" s="37">
        <f t="shared" si="23"/>
        <v>4120</v>
      </c>
      <c r="Y24" s="37">
        <f t="shared" si="24"/>
        <v>5430</v>
      </c>
      <c r="Z24" s="37">
        <f t="shared" si="25"/>
        <v>2390</v>
      </c>
      <c r="AA24" s="37">
        <f t="shared" si="26"/>
        <v>2960</v>
      </c>
      <c r="AB24" s="37">
        <f t="shared" si="27"/>
        <v>7070</v>
      </c>
      <c r="AC24" s="37">
        <f t="shared" si="28"/>
        <v>12090</v>
      </c>
      <c r="AD24" s="35">
        <f t="shared" si="29"/>
        <v>62420</v>
      </c>
      <c r="AF24" s="20">
        <f t="shared" si="1"/>
        <v>46.550000000000004</v>
      </c>
      <c r="AG24" s="20">
        <f t="shared" si="2"/>
        <v>18.45</v>
      </c>
      <c r="AH24" s="20">
        <f t="shared" si="3"/>
        <v>15.450000000000001</v>
      </c>
      <c r="AI24" s="20">
        <f t="shared" si="4"/>
        <v>8.5</v>
      </c>
      <c r="AJ24" s="20">
        <f t="shared" si="5"/>
        <v>21.3</v>
      </c>
      <c r="AK24" s="20">
        <f t="shared" si="6"/>
        <v>19.100000000000001</v>
      </c>
      <c r="AL24" s="20">
        <f t="shared" si="7"/>
        <v>12.450000000000001</v>
      </c>
      <c r="AM24" s="20">
        <f t="shared" si="8"/>
        <v>20.6</v>
      </c>
      <c r="AN24" s="20">
        <f t="shared" si="9"/>
        <v>27.150000000000002</v>
      </c>
      <c r="AO24" s="20">
        <f t="shared" si="10"/>
        <v>11.950000000000001</v>
      </c>
      <c r="AP24" s="20">
        <f t="shared" si="11"/>
        <v>14.8</v>
      </c>
      <c r="AQ24" s="20">
        <f t="shared" si="12"/>
        <v>35.35</v>
      </c>
      <c r="AR24" s="20">
        <f t="shared" si="13"/>
        <v>60.45</v>
      </c>
      <c r="AS24" s="35">
        <f t="shared" si="30"/>
        <v>312.09999999999997</v>
      </c>
      <c r="AU24" s="47">
        <v>311539</v>
      </c>
      <c r="AV24" s="37">
        <f t="shared" si="31"/>
        <v>2210</v>
      </c>
      <c r="AW24" s="35">
        <f t="shared" si="14"/>
        <v>4.42</v>
      </c>
    </row>
    <row r="25" spans="1:49" x14ac:dyDescent="0.25">
      <c r="A25" s="23">
        <v>44488</v>
      </c>
      <c r="B25" s="40">
        <v>75</v>
      </c>
      <c r="C25" s="24">
        <v>7265990</v>
      </c>
      <c r="D25" s="24">
        <v>17359260</v>
      </c>
      <c r="E25" s="24">
        <v>3079070</v>
      </c>
      <c r="F25" s="24">
        <v>3709060</v>
      </c>
      <c r="G25" s="24">
        <v>10946180</v>
      </c>
      <c r="H25" s="24">
        <v>5984700</v>
      </c>
      <c r="I25" s="24">
        <v>5391510</v>
      </c>
      <c r="J25" s="24">
        <v>6477080</v>
      </c>
      <c r="K25" s="24">
        <v>9896810</v>
      </c>
      <c r="L25" s="24">
        <v>4175220</v>
      </c>
      <c r="M25" s="24">
        <v>8310920</v>
      </c>
      <c r="N25" s="24">
        <v>12987930</v>
      </c>
      <c r="O25" s="24">
        <v>17912010</v>
      </c>
      <c r="Q25" s="37">
        <f t="shared" ref="Q25:AC27" si="33">IF((C25-C24&lt;0), "0",C25-C24)</f>
        <v>7660</v>
      </c>
      <c r="R25" s="37">
        <f t="shared" si="33"/>
        <v>3730</v>
      </c>
      <c r="S25" s="37">
        <f t="shared" si="33"/>
        <v>1880</v>
      </c>
      <c r="T25" s="37">
        <f t="shared" si="33"/>
        <v>1630</v>
      </c>
      <c r="U25" s="37">
        <f t="shared" si="33"/>
        <v>3800</v>
      </c>
      <c r="V25" s="37">
        <f t="shared" si="33"/>
        <v>3620</v>
      </c>
      <c r="W25" s="37">
        <f t="shared" si="33"/>
        <v>2320</v>
      </c>
      <c r="X25" s="37">
        <f t="shared" si="33"/>
        <v>4130</v>
      </c>
      <c r="Y25" s="37">
        <f t="shared" si="33"/>
        <v>5100</v>
      </c>
      <c r="Z25" s="37">
        <f t="shared" si="33"/>
        <v>2300</v>
      </c>
      <c r="AA25" s="37">
        <f t="shared" si="33"/>
        <v>2870</v>
      </c>
      <c r="AB25" s="37">
        <f t="shared" si="33"/>
        <v>12750</v>
      </c>
      <c r="AC25" s="37">
        <f t="shared" si="33"/>
        <v>10700</v>
      </c>
      <c r="AD25" s="35">
        <f t="shared" si="29"/>
        <v>62490</v>
      </c>
      <c r="AF25" s="20">
        <f t="shared" si="1"/>
        <v>38.300000000000004</v>
      </c>
      <c r="AG25" s="20">
        <f t="shared" si="2"/>
        <v>18.650000000000002</v>
      </c>
      <c r="AH25" s="20">
        <f t="shared" si="3"/>
        <v>9.4</v>
      </c>
      <c r="AI25" s="20">
        <f t="shared" si="4"/>
        <v>8.15</v>
      </c>
      <c r="AJ25" s="20">
        <f t="shared" si="5"/>
        <v>19</v>
      </c>
      <c r="AK25" s="20">
        <f t="shared" si="6"/>
        <v>18.100000000000001</v>
      </c>
      <c r="AL25" s="20">
        <f t="shared" si="7"/>
        <v>11.6</v>
      </c>
      <c r="AM25" s="20">
        <f t="shared" si="8"/>
        <v>20.650000000000002</v>
      </c>
      <c r="AN25" s="20">
        <f t="shared" si="9"/>
        <v>25.5</v>
      </c>
      <c r="AO25" s="20">
        <f t="shared" si="10"/>
        <v>11.5</v>
      </c>
      <c r="AP25" s="20">
        <f t="shared" si="11"/>
        <v>14.35</v>
      </c>
      <c r="AQ25" s="20">
        <f t="shared" si="12"/>
        <v>63.75</v>
      </c>
      <c r="AR25" s="20">
        <f t="shared" si="13"/>
        <v>53.5</v>
      </c>
      <c r="AS25" s="35">
        <f t="shared" si="30"/>
        <v>312.45000000000005</v>
      </c>
      <c r="AU25" s="47">
        <v>313610</v>
      </c>
      <c r="AV25" s="37">
        <f t="shared" si="31"/>
        <v>2071</v>
      </c>
      <c r="AW25" s="35">
        <f t="shared" si="14"/>
        <v>4.1420000000000003</v>
      </c>
    </row>
    <row r="26" spans="1:49" x14ac:dyDescent="0.25">
      <c r="A26" s="23">
        <v>44489</v>
      </c>
      <c r="B26" s="40">
        <v>137</v>
      </c>
      <c r="C26" s="24">
        <v>7267050</v>
      </c>
      <c r="D26" s="24">
        <v>17367210</v>
      </c>
      <c r="E26" s="24">
        <v>3082350</v>
      </c>
      <c r="F26" s="24">
        <v>3710790</v>
      </c>
      <c r="G26" s="24">
        <v>10950530</v>
      </c>
      <c r="H26" s="24">
        <v>5988660</v>
      </c>
      <c r="I26" s="24">
        <v>5394000</v>
      </c>
      <c r="J26" s="24">
        <v>6481520</v>
      </c>
      <c r="K26" s="24">
        <v>9902510</v>
      </c>
      <c r="L26" s="24">
        <v>4177850</v>
      </c>
      <c r="M26" s="24">
        <v>8314220</v>
      </c>
      <c r="N26" s="24">
        <v>12989100</v>
      </c>
      <c r="O26" s="24">
        <v>17923200</v>
      </c>
      <c r="Q26" s="37">
        <f t="shared" si="33"/>
        <v>1060</v>
      </c>
      <c r="R26" s="37">
        <f t="shared" si="33"/>
        <v>7950</v>
      </c>
      <c r="S26" s="37">
        <f t="shared" si="33"/>
        <v>3280</v>
      </c>
      <c r="T26" s="37">
        <f t="shared" si="33"/>
        <v>1730</v>
      </c>
      <c r="U26" s="37">
        <f t="shared" si="33"/>
        <v>4350</v>
      </c>
      <c r="V26" s="37">
        <f t="shared" si="33"/>
        <v>3960</v>
      </c>
      <c r="W26" s="37">
        <f t="shared" si="33"/>
        <v>2490</v>
      </c>
      <c r="X26" s="37">
        <f t="shared" si="33"/>
        <v>4440</v>
      </c>
      <c r="Y26" s="37">
        <f t="shared" si="33"/>
        <v>5700</v>
      </c>
      <c r="Z26" s="37">
        <f t="shared" si="33"/>
        <v>2630</v>
      </c>
      <c r="AA26" s="37">
        <f t="shared" si="33"/>
        <v>3300</v>
      </c>
      <c r="AB26" s="37">
        <f t="shared" si="33"/>
        <v>1170</v>
      </c>
      <c r="AC26" s="37">
        <f t="shared" si="33"/>
        <v>11190</v>
      </c>
      <c r="AD26" s="35">
        <f t="shared" si="29"/>
        <v>53250</v>
      </c>
      <c r="AF26" s="20">
        <f t="shared" si="1"/>
        <v>5.3</v>
      </c>
      <c r="AG26" s="20">
        <f t="shared" si="2"/>
        <v>39.75</v>
      </c>
      <c r="AH26" s="20">
        <f t="shared" si="3"/>
        <v>16.399999999999999</v>
      </c>
      <c r="AI26" s="20">
        <f t="shared" si="4"/>
        <v>8.65</v>
      </c>
      <c r="AJ26" s="20">
        <f t="shared" si="5"/>
        <v>21.75</v>
      </c>
      <c r="AK26" s="20">
        <f t="shared" si="6"/>
        <v>19.8</v>
      </c>
      <c r="AL26" s="20">
        <f t="shared" si="7"/>
        <v>12.450000000000001</v>
      </c>
      <c r="AM26" s="20">
        <f t="shared" si="8"/>
        <v>22.2</v>
      </c>
      <c r="AN26" s="20">
        <f t="shared" si="9"/>
        <v>28.5</v>
      </c>
      <c r="AO26" s="20">
        <f t="shared" si="10"/>
        <v>13.15</v>
      </c>
      <c r="AP26" s="20">
        <f t="shared" si="11"/>
        <v>16.5</v>
      </c>
      <c r="AQ26" s="20">
        <f t="shared" si="12"/>
        <v>5.8500000000000005</v>
      </c>
      <c r="AR26" s="20">
        <f t="shared" si="13"/>
        <v>55.95</v>
      </c>
      <c r="AS26" s="35">
        <f t="shared" si="30"/>
        <v>266.25</v>
      </c>
      <c r="AU26" s="47">
        <v>315782</v>
      </c>
      <c r="AV26" s="37">
        <f t="shared" si="31"/>
        <v>2172</v>
      </c>
      <c r="AW26" s="35">
        <f t="shared" si="14"/>
        <v>4.3440000000000003</v>
      </c>
    </row>
    <row r="27" spans="1:49" x14ac:dyDescent="0.25">
      <c r="A27" s="23">
        <v>44490</v>
      </c>
      <c r="B27" s="40">
        <v>192</v>
      </c>
      <c r="C27" s="24">
        <v>7268060</v>
      </c>
      <c r="D27" s="24">
        <v>17382120</v>
      </c>
      <c r="E27" s="24">
        <v>3083880</v>
      </c>
      <c r="F27" s="24">
        <v>3712490</v>
      </c>
      <c r="G27" s="24">
        <v>10955110</v>
      </c>
      <c r="H27" s="24">
        <v>5992750</v>
      </c>
      <c r="I27" s="24">
        <v>5396490</v>
      </c>
      <c r="J27" s="24">
        <v>6486120</v>
      </c>
      <c r="K27" s="24">
        <v>9908350</v>
      </c>
      <c r="L27" s="24">
        <v>4180700</v>
      </c>
      <c r="M27" s="24">
        <v>8317720</v>
      </c>
      <c r="N27" s="24">
        <v>12996290</v>
      </c>
      <c r="O27" s="24">
        <v>17934650</v>
      </c>
      <c r="Q27" s="37">
        <f t="shared" si="33"/>
        <v>1010</v>
      </c>
      <c r="R27" s="37">
        <f t="shared" si="33"/>
        <v>14910</v>
      </c>
      <c r="S27" s="37">
        <f t="shared" si="33"/>
        <v>1530</v>
      </c>
      <c r="T27" s="37">
        <f t="shared" si="33"/>
        <v>1700</v>
      </c>
      <c r="U27" s="37">
        <f t="shared" si="33"/>
        <v>4580</v>
      </c>
      <c r="V27" s="37">
        <f t="shared" si="33"/>
        <v>4090</v>
      </c>
      <c r="W27" s="37">
        <f t="shared" si="33"/>
        <v>2490</v>
      </c>
      <c r="X27" s="37">
        <f t="shared" si="33"/>
        <v>4600</v>
      </c>
      <c r="Y27" s="37">
        <f t="shared" si="33"/>
        <v>5840</v>
      </c>
      <c r="Z27" s="37">
        <f t="shared" si="33"/>
        <v>2850</v>
      </c>
      <c r="AA27" s="37">
        <f t="shared" si="33"/>
        <v>3500</v>
      </c>
      <c r="AB27" s="37">
        <f t="shared" si="33"/>
        <v>7190</v>
      </c>
      <c r="AC27" s="37">
        <f t="shared" si="33"/>
        <v>11450</v>
      </c>
      <c r="AD27" s="35">
        <f t="shared" si="29"/>
        <v>65740</v>
      </c>
      <c r="AF27" s="20">
        <f t="shared" si="1"/>
        <v>5.05</v>
      </c>
      <c r="AG27" s="20">
        <f t="shared" si="2"/>
        <v>74.55</v>
      </c>
      <c r="AH27" s="20">
        <f t="shared" si="3"/>
        <v>7.65</v>
      </c>
      <c r="AI27" s="20">
        <f t="shared" si="4"/>
        <v>8.5</v>
      </c>
      <c r="AJ27" s="20">
        <f t="shared" si="5"/>
        <v>22.900000000000002</v>
      </c>
      <c r="AK27" s="20">
        <f t="shared" si="6"/>
        <v>20.45</v>
      </c>
      <c r="AL27" s="20">
        <f t="shared" si="7"/>
        <v>12.450000000000001</v>
      </c>
      <c r="AM27" s="20">
        <f t="shared" si="8"/>
        <v>23</v>
      </c>
      <c r="AN27" s="20">
        <f t="shared" si="9"/>
        <v>29.2</v>
      </c>
      <c r="AO27" s="20">
        <f t="shared" si="10"/>
        <v>14.25</v>
      </c>
      <c r="AP27" s="20">
        <f t="shared" si="11"/>
        <v>17.5</v>
      </c>
      <c r="AQ27" s="20">
        <f t="shared" si="12"/>
        <v>35.950000000000003</v>
      </c>
      <c r="AR27" s="20">
        <f t="shared" si="13"/>
        <v>57.25</v>
      </c>
      <c r="AS27" s="35">
        <f t="shared" si="30"/>
        <v>328.7</v>
      </c>
      <c r="AU27" s="47">
        <v>318187</v>
      </c>
      <c r="AV27" s="37">
        <f>IF((AU27-AU26&lt;0),"0",AU27-AU26)</f>
        <v>2405</v>
      </c>
      <c r="AW27" s="35">
        <f t="shared" si="14"/>
        <v>4.8100000000000005</v>
      </c>
    </row>
    <row r="28" spans="1:49" x14ac:dyDescent="0.25">
      <c r="A28" s="23">
        <v>44491</v>
      </c>
      <c r="B28" s="40">
        <v>160</v>
      </c>
      <c r="C28" s="24">
        <v>7269120</v>
      </c>
      <c r="D28" s="24">
        <v>17394500</v>
      </c>
      <c r="E28" s="24">
        <v>3086950</v>
      </c>
      <c r="F28" s="24">
        <v>3714240</v>
      </c>
      <c r="G28" s="24">
        <v>10960200</v>
      </c>
      <c r="H28" s="24">
        <v>5996740</v>
      </c>
      <c r="I28" s="24">
        <v>5399030</v>
      </c>
      <c r="J28" s="24">
        <v>6490890</v>
      </c>
      <c r="K28" s="24">
        <v>9914290</v>
      </c>
      <c r="L28" s="24">
        <v>4183720</v>
      </c>
      <c r="M28" s="24">
        <v>8321400</v>
      </c>
      <c r="N28" s="24">
        <v>13003750</v>
      </c>
      <c r="O28" s="54">
        <v>17947340</v>
      </c>
      <c r="P28" s="53"/>
      <c r="Q28" s="37">
        <f t="shared" si="17"/>
        <v>1060</v>
      </c>
      <c r="R28" s="37">
        <f t="shared" si="18"/>
        <v>12380</v>
      </c>
      <c r="S28" s="37">
        <f t="shared" si="16"/>
        <v>3070</v>
      </c>
      <c r="T28" s="37">
        <f t="shared" si="19"/>
        <v>1750</v>
      </c>
      <c r="U28" s="37">
        <f t="shared" si="20"/>
        <v>5090</v>
      </c>
      <c r="V28" s="37">
        <f t="shared" si="21"/>
        <v>3990</v>
      </c>
      <c r="W28" s="37">
        <f t="shared" si="22"/>
        <v>2540</v>
      </c>
      <c r="X28" s="37">
        <f t="shared" si="23"/>
        <v>4770</v>
      </c>
      <c r="Y28" s="37">
        <f t="shared" si="24"/>
        <v>5940</v>
      </c>
      <c r="Z28" s="37">
        <f t="shared" si="25"/>
        <v>3020</v>
      </c>
      <c r="AA28" s="37">
        <f t="shared" si="26"/>
        <v>3680</v>
      </c>
      <c r="AB28" s="37">
        <f t="shared" si="27"/>
        <v>7460</v>
      </c>
      <c r="AC28" s="37">
        <f t="shared" si="28"/>
        <v>12690</v>
      </c>
      <c r="AD28" s="35">
        <f t="shared" si="29"/>
        <v>67440</v>
      </c>
      <c r="AF28" s="20">
        <f t="shared" si="1"/>
        <v>5.3</v>
      </c>
      <c r="AG28" s="20">
        <f t="shared" si="2"/>
        <v>61.9</v>
      </c>
      <c r="AH28" s="20">
        <f t="shared" si="3"/>
        <v>15.35</v>
      </c>
      <c r="AI28" s="20">
        <f t="shared" si="4"/>
        <v>8.75</v>
      </c>
      <c r="AJ28" s="20">
        <f t="shared" si="5"/>
        <v>25.45</v>
      </c>
      <c r="AK28" s="20">
        <f t="shared" si="6"/>
        <v>19.95</v>
      </c>
      <c r="AL28" s="20">
        <f t="shared" si="7"/>
        <v>12.700000000000001</v>
      </c>
      <c r="AM28" s="20">
        <f t="shared" si="8"/>
        <v>23.85</v>
      </c>
      <c r="AN28" s="20">
        <f t="shared" si="9"/>
        <v>29.7</v>
      </c>
      <c r="AO28" s="20">
        <f t="shared" si="10"/>
        <v>15.1</v>
      </c>
      <c r="AP28" s="20">
        <f t="shared" si="11"/>
        <v>18.400000000000002</v>
      </c>
      <c r="AQ28" s="20">
        <f t="shared" si="12"/>
        <v>37.300000000000004</v>
      </c>
      <c r="AR28" s="20">
        <f t="shared" si="13"/>
        <v>63.45</v>
      </c>
      <c r="AS28" s="35">
        <f t="shared" si="30"/>
        <v>337.19999999999993</v>
      </c>
      <c r="AU28" s="47">
        <v>320573</v>
      </c>
      <c r="AV28" s="37">
        <f>IF((AU28-AU27&lt;0),"0",AU28-AU27)</f>
        <v>2386</v>
      </c>
      <c r="AW28" s="35">
        <f t="shared" si="14"/>
        <v>4.7720000000000002</v>
      </c>
    </row>
    <row r="29" spans="1:49" x14ac:dyDescent="0.25">
      <c r="A29" s="23">
        <v>44492</v>
      </c>
      <c r="B29" s="40">
        <v>85</v>
      </c>
      <c r="C29" s="24">
        <v>7270080</v>
      </c>
      <c r="D29" s="24">
        <v>17405600</v>
      </c>
      <c r="E29" s="24">
        <v>3089480</v>
      </c>
      <c r="F29" s="24">
        <v>3715800</v>
      </c>
      <c r="G29" s="24">
        <v>10964640</v>
      </c>
      <c r="H29" s="24">
        <v>6000670</v>
      </c>
      <c r="I29" s="24">
        <v>5401380</v>
      </c>
      <c r="J29" s="24">
        <v>6495370</v>
      </c>
      <c r="K29" s="24">
        <v>9919320</v>
      </c>
      <c r="L29" s="24">
        <v>4186170</v>
      </c>
      <c r="M29" s="24">
        <v>8324670</v>
      </c>
      <c r="N29" s="24">
        <v>13010460</v>
      </c>
      <c r="O29" s="24">
        <v>17958420</v>
      </c>
      <c r="Q29" s="37">
        <f t="shared" si="17"/>
        <v>960</v>
      </c>
      <c r="R29" s="37">
        <f t="shared" si="18"/>
        <v>11100</v>
      </c>
      <c r="S29" s="37">
        <f t="shared" si="16"/>
        <v>2530</v>
      </c>
      <c r="T29" s="37">
        <f t="shared" si="19"/>
        <v>1560</v>
      </c>
      <c r="U29" s="37">
        <f t="shared" si="20"/>
        <v>4440</v>
      </c>
      <c r="V29" s="37">
        <f t="shared" si="21"/>
        <v>3930</v>
      </c>
      <c r="W29" s="37">
        <f t="shared" si="22"/>
        <v>2350</v>
      </c>
      <c r="X29" s="37">
        <f t="shared" si="23"/>
        <v>4480</v>
      </c>
      <c r="Y29" s="37">
        <f t="shared" si="24"/>
        <v>5030</v>
      </c>
      <c r="Z29" s="37">
        <f t="shared" si="25"/>
        <v>2450</v>
      </c>
      <c r="AA29" s="37">
        <f t="shared" si="26"/>
        <v>3270</v>
      </c>
      <c r="AB29" s="37">
        <f t="shared" si="27"/>
        <v>6710</v>
      </c>
      <c r="AC29" s="37">
        <f t="shared" si="28"/>
        <v>11080</v>
      </c>
      <c r="AD29" s="35">
        <f t="shared" si="29"/>
        <v>59890</v>
      </c>
      <c r="AF29" s="20">
        <f t="shared" si="1"/>
        <v>4.8</v>
      </c>
      <c r="AG29" s="20">
        <f t="shared" si="2"/>
        <v>55.5</v>
      </c>
      <c r="AH29" s="20">
        <f t="shared" si="3"/>
        <v>12.65</v>
      </c>
      <c r="AI29" s="20">
        <f t="shared" si="4"/>
        <v>7.8</v>
      </c>
      <c r="AJ29" s="20">
        <f t="shared" si="5"/>
        <v>22.2</v>
      </c>
      <c r="AK29" s="20">
        <f t="shared" si="6"/>
        <v>19.650000000000002</v>
      </c>
      <c r="AL29" s="20">
        <f t="shared" si="7"/>
        <v>11.75</v>
      </c>
      <c r="AM29" s="20">
        <f t="shared" si="8"/>
        <v>22.400000000000002</v>
      </c>
      <c r="AN29" s="20">
        <f t="shared" si="9"/>
        <v>25.150000000000002</v>
      </c>
      <c r="AO29" s="20">
        <f t="shared" si="10"/>
        <v>12.25</v>
      </c>
      <c r="AP29" s="20">
        <f t="shared" si="11"/>
        <v>16.350000000000001</v>
      </c>
      <c r="AQ29" s="20">
        <f t="shared" si="12"/>
        <v>33.549999999999997</v>
      </c>
      <c r="AR29" s="20">
        <f t="shared" si="13"/>
        <v>55.4</v>
      </c>
      <c r="AS29" s="35">
        <f t="shared" si="30"/>
        <v>299.45</v>
      </c>
      <c r="AU29" s="47">
        <v>322622</v>
      </c>
      <c r="AV29" s="37">
        <f t="shared" ref="AV29:AV35" si="34">IF((AU29-AU28&lt;0),"0",AU29-AU28)</f>
        <v>2049</v>
      </c>
      <c r="AW29" s="35">
        <f t="shared" si="14"/>
        <v>4.0979999999999999</v>
      </c>
    </row>
    <row r="30" spans="1:49" x14ac:dyDescent="0.25">
      <c r="A30" s="23">
        <v>44493</v>
      </c>
      <c r="B30" s="40">
        <v>65</v>
      </c>
      <c r="C30" s="24">
        <v>7271080</v>
      </c>
      <c r="D30" s="24">
        <v>17421030</v>
      </c>
      <c r="E30" s="24">
        <v>3089550</v>
      </c>
      <c r="F30" s="24">
        <v>3717440</v>
      </c>
      <c r="G30" s="24">
        <v>10968660</v>
      </c>
      <c r="H30" s="24">
        <v>6004440</v>
      </c>
      <c r="I30" s="24">
        <v>5403820</v>
      </c>
      <c r="J30" s="24">
        <v>6499690</v>
      </c>
      <c r="K30" s="24">
        <v>9924460</v>
      </c>
      <c r="L30" s="24">
        <v>4188410</v>
      </c>
      <c r="M30" s="24">
        <v>8327720</v>
      </c>
      <c r="N30" s="24">
        <v>13017450</v>
      </c>
      <c r="O30" s="24">
        <v>17969670</v>
      </c>
      <c r="Q30" s="37">
        <f t="shared" si="17"/>
        <v>1000</v>
      </c>
      <c r="R30" s="37">
        <f t="shared" si="18"/>
        <v>15430</v>
      </c>
      <c r="S30" s="37">
        <f t="shared" si="16"/>
        <v>70</v>
      </c>
      <c r="T30" s="37">
        <f t="shared" si="19"/>
        <v>1640</v>
      </c>
      <c r="U30" s="37">
        <f t="shared" si="20"/>
        <v>4020</v>
      </c>
      <c r="V30" s="37">
        <f t="shared" si="21"/>
        <v>3770</v>
      </c>
      <c r="W30" s="37">
        <f t="shared" si="22"/>
        <v>2440</v>
      </c>
      <c r="X30" s="37">
        <f t="shared" si="23"/>
        <v>4320</v>
      </c>
      <c r="Y30" s="37">
        <f t="shared" si="24"/>
        <v>5140</v>
      </c>
      <c r="Z30" s="37">
        <f t="shared" si="25"/>
        <v>2240</v>
      </c>
      <c r="AA30" s="37">
        <f t="shared" si="26"/>
        <v>3050</v>
      </c>
      <c r="AB30" s="37">
        <f t="shared" si="27"/>
        <v>6990</v>
      </c>
      <c r="AC30" s="37">
        <f t="shared" si="28"/>
        <v>11250</v>
      </c>
      <c r="AD30" s="35">
        <f t="shared" si="29"/>
        <v>61360</v>
      </c>
      <c r="AF30" s="20">
        <f t="shared" si="1"/>
        <v>5</v>
      </c>
      <c r="AG30" s="20">
        <f t="shared" si="2"/>
        <v>77.150000000000006</v>
      </c>
      <c r="AH30" s="20">
        <f t="shared" si="3"/>
        <v>0.35000000000000003</v>
      </c>
      <c r="AI30" s="20">
        <f t="shared" si="4"/>
        <v>8.1999999999999993</v>
      </c>
      <c r="AJ30" s="20">
        <f t="shared" si="5"/>
        <v>20.100000000000001</v>
      </c>
      <c r="AK30" s="20">
        <f t="shared" si="6"/>
        <v>18.850000000000001</v>
      </c>
      <c r="AL30" s="20">
        <f t="shared" si="7"/>
        <v>12.200000000000001</v>
      </c>
      <c r="AM30" s="20">
        <f t="shared" si="8"/>
        <v>21.6</v>
      </c>
      <c r="AN30" s="20">
        <f t="shared" si="9"/>
        <v>25.7</v>
      </c>
      <c r="AO30" s="20">
        <f t="shared" si="10"/>
        <v>11.200000000000001</v>
      </c>
      <c r="AP30" s="20">
        <f t="shared" si="11"/>
        <v>15.25</v>
      </c>
      <c r="AQ30" s="20">
        <f t="shared" si="12"/>
        <v>34.950000000000003</v>
      </c>
      <c r="AR30" s="20">
        <f t="shared" si="13"/>
        <v>56.25</v>
      </c>
      <c r="AS30" s="35">
        <f t="shared" si="30"/>
        <v>306.79999999999995</v>
      </c>
      <c r="AU30" s="47">
        <v>324744</v>
      </c>
      <c r="AV30" s="37">
        <f t="shared" si="34"/>
        <v>2122</v>
      </c>
      <c r="AW30" s="35">
        <f t="shared" si="14"/>
        <v>4.2439999999999998</v>
      </c>
    </row>
    <row r="31" spans="1:49" x14ac:dyDescent="0.25">
      <c r="A31" s="23">
        <v>44494</v>
      </c>
      <c r="B31" s="40">
        <v>45</v>
      </c>
      <c r="C31" s="24">
        <v>7276060</v>
      </c>
      <c r="D31" s="24">
        <v>17432370</v>
      </c>
      <c r="E31" s="24">
        <v>3089610</v>
      </c>
      <c r="F31" s="24">
        <v>3719120</v>
      </c>
      <c r="G31" s="24">
        <v>10973240</v>
      </c>
      <c r="H31" s="24">
        <v>6008350</v>
      </c>
      <c r="I31" s="24">
        <v>5406260</v>
      </c>
      <c r="J31" s="24">
        <v>6504300</v>
      </c>
      <c r="K31" s="24">
        <v>9929580</v>
      </c>
      <c r="L31" s="24">
        <v>4190730</v>
      </c>
      <c r="M31" s="24">
        <v>8330840</v>
      </c>
      <c r="N31" s="24">
        <v>13024660</v>
      </c>
      <c r="O31" s="24">
        <v>17980810</v>
      </c>
      <c r="Q31" s="37">
        <f>IF((C31-C30&lt;0), "0",C31-C30)</f>
        <v>4980</v>
      </c>
      <c r="R31" s="37">
        <f t="shared" si="18"/>
        <v>11340</v>
      </c>
      <c r="S31" s="37">
        <f t="shared" si="16"/>
        <v>60</v>
      </c>
      <c r="T31" s="37">
        <f t="shared" si="19"/>
        <v>1680</v>
      </c>
      <c r="U31" s="37">
        <f t="shared" si="20"/>
        <v>4580</v>
      </c>
      <c r="V31" s="37">
        <f t="shared" si="21"/>
        <v>3910</v>
      </c>
      <c r="W31" s="37">
        <f t="shared" si="22"/>
        <v>2440</v>
      </c>
      <c r="X31" s="37">
        <f t="shared" si="23"/>
        <v>4610</v>
      </c>
      <c r="Y31" s="37">
        <f t="shared" si="24"/>
        <v>5120</v>
      </c>
      <c r="Z31" s="37">
        <f t="shared" si="25"/>
        <v>2320</v>
      </c>
      <c r="AA31" s="37">
        <f t="shared" si="26"/>
        <v>3120</v>
      </c>
      <c r="AB31" s="37">
        <f t="shared" si="27"/>
        <v>7210</v>
      </c>
      <c r="AC31" s="37">
        <f t="shared" si="28"/>
        <v>11140</v>
      </c>
      <c r="AD31" s="35">
        <f t="shared" si="29"/>
        <v>62510</v>
      </c>
      <c r="AF31" s="20">
        <f t="shared" si="1"/>
        <v>24.900000000000002</v>
      </c>
      <c r="AG31" s="20">
        <f t="shared" si="2"/>
        <v>56.7</v>
      </c>
      <c r="AH31" s="20">
        <f t="shared" si="3"/>
        <v>0.3</v>
      </c>
      <c r="AI31" s="20">
        <f t="shared" si="4"/>
        <v>8.4</v>
      </c>
      <c r="AJ31" s="20">
        <f t="shared" si="5"/>
        <v>22.900000000000002</v>
      </c>
      <c r="AK31" s="20">
        <f t="shared" si="6"/>
        <v>19.55</v>
      </c>
      <c r="AL31" s="20">
        <f t="shared" si="7"/>
        <v>12.200000000000001</v>
      </c>
      <c r="AM31" s="20">
        <f t="shared" si="8"/>
        <v>23.05</v>
      </c>
      <c r="AN31" s="20">
        <f t="shared" si="9"/>
        <v>25.6</v>
      </c>
      <c r="AO31" s="20">
        <f t="shared" si="10"/>
        <v>11.6</v>
      </c>
      <c r="AP31" s="20">
        <f t="shared" si="11"/>
        <v>15.6</v>
      </c>
      <c r="AQ31" s="20">
        <f t="shared" si="12"/>
        <v>36.050000000000004</v>
      </c>
      <c r="AR31" s="20">
        <f t="shared" si="13"/>
        <v>55.7</v>
      </c>
      <c r="AS31" s="35">
        <f t="shared" si="30"/>
        <v>312.55</v>
      </c>
      <c r="AU31" s="47">
        <v>327071</v>
      </c>
      <c r="AV31" s="37">
        <f t="shared" si="34"/>
        <v>2327</v>
      </c>
      <c r="AW31" s="35">
        <f t="shared" si="14"/>
        <v>4.6539999999999999</v>
      </c>
    </row>
    <row r="32" spans="1:49" x14ac:dyDescent="0.25">
      <c r="A32" s="23">
        <v>44495</v>
      </c>
      <c r="B32" s="40">
        <v>58</v>
      </c>
      <c r="C32" s="24">
        <v>7288560</v>
      </c>
      <c r="D32" s="24">
        <v>17436030</v>
      </c>
      <c r="E32" s="24">
        <v>3089670</v>
      </c>
      <c r="F32" s="24">
        <v>3720840</v>
      </c>
      <c r="G32" s="24">
        <v>10977830</v>
      </c>
      <c r="H32" s="24">
        <v>6012140</v>
      </c>
      <c r="I32" s="24">
        <v>5408720</v>
      </c>
      <c r="J32" s="24">
        <v>6508930</v>
      </c>
      <c r="K32" s="24">
        <v>9934760</v>
      </c>
      <c r="L32" s="24">
        <v>4193210</v>
      </c>
      <c r="M32" s="24">
        <v>8333810</v>
      </c>
      <c r="N32" s="24">
        <v>13031790</v>
      </c>
      <c r="O32" s="24">
        <v>17989900</v>
      </c>
      <c r="Q32" s="37">
        <f>IF((C32-C31&lt;0), "0",C32-C31)</f>
        <v>12500</v>
      </c>
      <c r="R32" s="37">
        <f t="shared" si="18"/>
        <v>3660</v>
      </c>
      <c r="S32" s="37">
        <f t="shared" si="16"/>
        <v>60</v>
      </c>
      <c r="T32" s="37">
        <f t="shared" si="19"/>
        <v>1720</v>
      </c>
      <c r="U32" s="37">
        <f t="shared" si="20"/>
        <v>4590</v>
      </c>
      <c r="V32" s="37">
        <f t="shared" si="21"/>
        <v>3790</v>
      </c>
      <c r="W32" s="37">
        <f t="shared" si="22"/>
        <v>2460</v>
      </c>
      <c r="X32" s="37">
        <f t="shared" si="23"/>
        <v>4630</v>
      </c>
      <c r="Y32" s="37">
        <f t="shared" si="24"/>
        <v>5180</v>
      </c>
      <c r="Z32" s="37">
        <f t="shared" si="25"/>
        <v>2480</v>
      </c>
      <c r="AA32" s="37">
        <f t="shared" si="26"/>
        <v>2970</v>
      </c>
      <c r="AB32" s="37">
        <f t="shared" si="27"/>
        <v>7130</v>
      </c>
      <c r="AC32" s="37">
        <f t="shared" si="28"/>
        <v>9090</v>
      </c>
      <c r="AD32" s="35">
        <f t="shared" si="29"/>
        <v>60260</v>
      </c>
      <c r="AF32" s="20">
        <f t="shared" si="1"/>
        <v>62.5</v>
      </c>
      <c r="AG32" s="20">
        <f t="shared" si="2"/>
        <v>18.3</v>
      </c>
      <c r="AH32" s="20">
        <f t="shared" si="3"/>
        <v>0.3</v>
      </c>
      <c r="AI32" s="20">
        <f t="shared" si="4"/>
        <v>8.6</v>
      </c>
      <c r="AJ32" s="20">
        <f t="shared" si="5"/>
        <v>22.95</v>
      </c>
      <c r="AK32" s="20">
        <f t="shared" si="6"/>
        <v>18.95</v>
      </c>
      <c r="AL32" s="20">
        <f t="shared" si="7"/>
        <v>12.3</v>
      </c>
      <c r="AM32" s="20">
        <f t="shared" si="8"/>
        <v>23.150000000000002</v>
      </c>
      <c r="AN32" s="20">
        <f t="shared" si="9"/>
        <v>25.900000000000002</v>
      </c>
      <c r="AO32" s="20">
        <f t="shared" si="10"/>
        <v>12.4</v>
      </c>
      <c r="AP32" s="20">
        <f t="shared" si="11"/>
        <v>14.85</v>
      </c>
      <c r="AQ32" s="20">
        <f t="shared" si="12"/>
        <v>35.65</v>
      </c>
      <c r="AR32" s="20">
        <f t="shared" si="13"/>
        <v>45.45</v>
      </c>
      <c r="AS32" s="35">
        <f t="shared" si="30"/>
        <v>301.3</v>
      </c>
      <c r="AU32" s="47">
        <v>329204</v>
      </c>
      <c r="AV32" s="37">
        <f t="shared" si="34"/>
        <v>2133</v>
      </c>
      <c r="AW32" s="35">
        <f t="shared" si="14"/>
        <v>4.266</v>
      </c>
    </row>
    <row r="33" spans="1:49" x14ac:dyDescent="0.25">
      <c r="A33" s="23">
        <v>44496</v>
      </c>
      <c r="B33" s="40">
        <v>79</v>
      </c>
      <c r="C33" s="24">
        <v>7301220</v>
      </c>
      <c r="D33" s="24">
        <v>17439720</v>
      </c>
      <c r="E33" s="24">
        <v>3089750</v>
      </c>
      <c r="F33" s="24">
        <v>3722570</v>
      </c>
      <c r="G33" s="24">
        <v>10982260</v>
      </c>
      <c r="H33" s="24">
        <v>6016090</v>
      </c>
      <c r="I33" s="24">
        <v>5411200</v>
      </c>
      <c r="J33" s="24">
        <v>6513540</v>
      </c>
      <c r="K33" s="24">
        <v>9940040</v>
      </c>
      <c r="L33" s="24">
        <v>4195730</v>
      </c>
      <c r="M33" s="24">
        <v>8336730</v>
      </c>
      <c r="N33" s="24">
        <v>13038850</v>
      </c>
      <c r="O33" s="24">
        <v>18000790</v>
      </c>
      <c r="Q33" s="37">
        <f>IF((C33-C32&lt;0), "0",C33-C32)</f>
        <v>12660</v>
      </c>
      <c r="R33" s="37">
        <f t="shared" si="18"/>
        <v>3690</v>
      </c>
      <c r="S33" s="37">
        <f t="shared" si="16"/>
        <v>80</v>
      </c>
      <c r="T33" s="37">
        <f t="shared" si="19"/>
        <v>1730</v>
      </c>
      <c r="U33" s="37">
        <f t="shared" si="20"/>
        <v>4430</v>
      </c>
      <c r="V33" s="37">
        <f t="shared" si="21"/>
        <v>3950</v>
      </c>
      <c r="W33" s="37">
        <f t="shared" si="22"/>
        <v>2480</v>
      </c>
      <c r="X33" s="37">
        <f t="shared" si="23"/>
        <v>4610</v>
      </c>
      <c r="Y33" s="37">
        <f t="shared" si="24"/>
        <v>5280</v>
      </c>
      <c r="Z33" s="37">
        <f t="shared" si="25"/>
        <v>2520</v>
      </c>
      <c r="AA33" s="37">
        <f t="shared" si="26"/>
        <v>2920</v>
      </c>
      <c r="AB33" s="37">
        <f t="shared" si="27"/>
        <v>7060</v>
      </c>
      <c r="AC33" s="37">
        <f t="shared" si="28"/>
        <v>10890</v>
      </c>
      <c r="AD33" s="35">
        <f t="shared" si="29"/>
        <v>62300</v>
      </c>
      <c r="AF33" s="20">
        <f t="shared" si="1"/>
        <v>63.300000000000004</v>
      </c>
      <c r="AG33" s="20">
        <f t="shared" si="2"/>
        <v>18.45</v>
      </c>
      <c r="AH33" s="20">
        <f t="shared" si="3"/>
        <v>0.4</v>
      </c>
      <c r="AI33" s="20">
        <f t="shared" si="4"/>
        <v>8.65</v>
      </c>
      <c r="AJ33" s="20">
        <f t="shared" si="5"/>
        <v>22.150000000000002</v>
      </c>
      <c r="AK33" s="20">
        <f t="shared" si="6"/>
        <v>19.75</v>
      </c>
      <c r="AL33" s="20">
        <f t="shared" si="7"/>
        <v>12.4</v>
      </c>
      <c r="AM33" s="20">
        <f t="shared" si="8"/>
        <v>23.05</v>
      </c>
      <c r="AN33" s="20">
        <f t="shared" si="9"/>
        <v>26.400000000000002</v>
      </c>
      <c r="AO33" s="20">
        <f t="shared" si="10"/>
        <v>12.6</v>
      </c>
      <c r="AP33" s="20">
        <f t="shared" si="11"/>
        <v>14.6</v>
      </c>
      <c r="AQ33" s="20">
        <f t="shared" si="12"/>
        <v>35.300000000000004</v>
      </c>
      <c r="AR33" s="20">
        <f t="shared" si="13"/>
        <v>54.45</v>
      </c>
      <c r="AS33" s="35">
        <f t="shared" si="30"/>
        <v>311.5</v>
      </c>
      <c r="AU33" s="47">
        <v>331438</v>
      </c>
      <c r="AV33" s="37">
        <f t="shared" si="34"/>
        <v>2234</v>
      </c>
      <c r="AW33" s="35">
        <f t="shared" si="14"/>
        <v>4.468</v>
      </c>
    </row>
    <row r="34" spans="1:49" x14ac:dyDescent="0.25">
      <c r="A34" s="23">
        <v>44497</v>
      </c>
      <c r="B34" s="51"/>
      <c r="C34" s="50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 t="str">
        <f>IF((C34-C33&lt;0), "0",C34-C33)</f>
        <v>0</v>
      </c>
      <c r="R34" s="37" t="str">
        <f t="shared" si="18"/>
        <v>0</v>
      </c>
      <c r="S34" s="37" t="str">
        <f t="shared" si="16"/>
        <v>0</v>
      </c>
      <c r="T34" s="37" t="str">
        <f t="shared" si="19"/>
        <v>0</v>
      </c>
      <c r="U34" s="37" t="str">
        <f t="shared" si="20"/>
        <v>0</v>
      </c>
      <c r="V34" s="37" t="str">
        <f t="shared" si="21"/>
        <v>0</v>
      </c>
      <c r="W34" s="37" t="str">
        <f t="shared" si="22"/>
        <v>0</v>
      </c>
      <c r="X34" s="37" t="str">
        <f t="shared" si="23"/>
        <v>0</v>
      </c>
      <c r="Y34" s="37" t="str">
        <f t="shared" si="24"/>
        <v>0</v>
      </c>
      <c r="Z34" s="37" t="str">
        <f t="shared" si="25"/>
        <v>0</v>
      </c>
      <c r="AA34" s="37" t="str">
        <f t="shared" si="26"/>
        <v>0</v>
      </c>
      <c r="AB34" s="37">
        <v>0</v>
      </c>
      <c r="AC34" s="37" t="str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 t="str">
        <f t="shared" si="34"/>
        <v>0</v>
      </c>
      <c r="AW34" s="35">
        <f t="shared" si="14"/>
        <v>0</v>
      </c>
    </row>
    <row r="35" spans="1:49" x14ac:dyDescent="0.25">
      <c r="A35" s="23">
        <v>44498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14"/>
        <v>0</v>
      </c>
    </row>
    <row r="36" spans="1:49" x14ac:dyDescent="0.25">
      <c r="A36" s="23">
        <v>44499</v>
      </c>
      <c r="B36" s="40"/>
      <c r="C36" s="24"/>
      <c r="D36" s="24"/>
      <c r="E36" s="24"/>
      <c r="F36" s="24"/>
      <c r="G36" s="24"/>
      <c r="H36" s="24"/>
      <c r="I36" s="24"/>
      <c r="J36" s="52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>
        <v>44500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214670</v>
      </c>
      <c r="R38" s="38">
        <f t="shared" ref="R38:AD38" si="62">SUM(R7:R37)</f>
        <v>248660</v>
      </c>
      <c r="S38" s="38">
        <f t="shared" si="62"/>
        <v>32750</v>
      </c>
      <c r="T38" s="38">
        <f t="shared" si="62"/>
        <v>45180</v>
      </c>
      <c r="U38" s="38">
        <f t="shared" si="62"/>
        <v>118940</v>
      </c>
      <c r="V38" s="38">
        <f t="shared" si="62"/>
        <v>102430</v>
      </c>
      <c r="W38" s="38">
        <f t="shared" si="62"/>
        <v>64830</v>
      </c>
      <c r="X38" s="38">
        <f t="shared" si="62"/>
        <v>121350</v>
      </c>
      <c r="Y38" s="38">
        <f t="shared" si="62"/>
        <v>151990</v>
      </c>
      <c r="Z38" s="38">
        <f t="shared" si="62"/>
        <v>69780</v>
      </c>
      <c r="AA38" s="38">
        <f t="shared" si="62"/>
        <v>86410</v>
      </c>
      <c r="AB38" s="38">
        <f t="shared" si="62"/>
        <v>190680</v>
      </c>
      <c r="AC38" s="38">
        <f t="shared" si="62"/>
        <v>289170</v>
      </c>
      <c r="AD38" s="38">
        <f t="shared" si="62"/>
        <v>1736840</v>
      </c>
      <c r="AF38" s="35">
        <f>SUM(AF7:AF37)</f>
        <v>1073.3499999999999</v>
      </c>
      <c r="AG38" s="35">
        <f t="shared" ref="AG38:AS38" si="63">SUM(AG7:AG37)</f>
        <v>1243.3000000000002</v>
      </c>
      <c r="AH38" s="35">
        <f t="shared" si="63"/>
        <v>163.75000000000006</v>
      </c>
      <c r="AI38" s="35">
        <f t="shared" si="63"/>
        <v>225.9</v>
      </c>
      <c r="AJ38" s="35">
        <f t="shared" si="63"/>
        <v>594.69999999999993</v>
      </c>
      <c r="AK38" s="35">
        <f t="shared" si="63"/>
        <v>512.15000000000009</v>
      </c>
      <c r="AL38" s="35">
        <f t="shared" si="63"/>
        <v>324.14999999999992</v>
      </c>
      <c r="AM38" s="35">
        <f t="shared" si="63"/>
        <v>606.75</v>
      </c>
      <c r="AN38" s="35">
        <f t="shared" si="63"/>
        <v>759.95000000000016</v>
      </c>
      <c r="AO38" s="35">
        <f t="shared" si="63"/>
        <v>348.90000000000003</v>
      </c>
      <c r="AP38" s="35">
        <f t="shared" si="63"/>
        <v>432.05000000000013</v>
      </c>
      <c r="AQ38" s="35">
        <f t="shared" si="63"/>
        <v>953.4</v>
      </c>
      <c r="AR38" s="35">
        <f t="shared" si="63"/>
        <v>1445.8500000000004</v>
      </c>
      <c r="AS38" s="35">
        <f t="shared" si="63"/>
        <v>8684.2000000000007</v>
      </c>
      <c r="AU38" s="48"/>
      <c r="AV38" s="35">
        <f>SUM(AV7:AV34)</f>
        <v>62609</v>
      </c>
      <c r="AW38" s="35">
        <f>SUM(AW7:AW34)</f>
        <v>125.218</v>
      </c>
    </row>
    <row r="39" spans="1:49" x14ac:dyDescent="0.25">
      <c r="D39">
        <v>5.0000000000000001E-3</v>
      </c>
      <c r="AV39" s="36">
        <f>AV38*0.00378541*1000</f>
        <v>237000.73469000001</v>
      </c>
    </row>
    <row r="40" spans="1:49" x14ac:dyDescent="0.25">
      <c r="D40">
        <v>2E-3</v>
      </c>
      <c r="AV40">
        <f>AV39/31</f>
        <v>7645.1849900000007</v>
      </c>
    </row>
    <row r="41" spans="1:49" x14ac:dyDescent="0.25">
      <c r="AV41">
        <f>AV38*0.00378541</f>
        <v>237.00073469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2021-10-28T06:01:03Z</dcterms:modified>
</cp:coreProperties>
</file>