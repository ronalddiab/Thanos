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CC3700EB-7D0C-4771-ABDF-059EE53D994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V31" i="8"/>
  <c r="U32" i="8"/>
  <c r="U33" i="8"/>
  <c r="S30" i="8"/>
  <c r="S31" i="8"/>
  <c r="S32" i="8"/>
  <c r="S33" i="8"/>
  <c r="Q30" i="8"/>
  <c r="Q31" i="8"/>
  <c r="R31" i="8"/>
  <c r="Q32" i="8"/>
  <c r="Q33" i="8"/>
  <c r="O31" i="8"/>
  <c r="O32" i="8"/>
  <c r="C32" i="8"/>
  <c r="P32" i="8"/>
  <c r="O33" i="8"/>
  <c r="M31" i="8"/>
  <c r="M32" i="8"/>
  <c r="M33" i="8"/>
  <c r="G31" i="8"/>
  <c r="H31" i="8"/>
  <c r="G32" i="8"/>
  <c r="G33" i="8"/>
  <c r="K31" i="8"/>
  <c r="L31" i="8"/>
  <c r="K32" i="8"/>
  <c r="K33" i="8"/>
  <c r="I31" i="8"/>
  <c r="I32" i="8"/>
  <c r="J32" i="8"/>
  <c r="I33" i="8"/>
  <c r="E32" i="8"/>
  <c r="E33" i="8"/>
  <c r="H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/>
  <c r="X30" i="2"/>
  <c r="K31" i="4"/>
  <c r="X31" i="2"/>
  <c r="K32" i="4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J30" i="3"/>
  <c r="Q30" i="2"/>
  <c r="Q31" i="2"/>
  <c r="P28" i="2"/>
  <c r="P30" i="2"/>
  <c r="P31" i="2"/>
  <c r="O28" i="2"/>
  <c r="O29" i="2"/>
  <c r="N29" i="2"/>
  <c r="I30" i="3"/>
  <c r="O30" i="2"/>
  <c r="O31" i="2"/>
  <c r="N31" i="2"/>
  <c r="I32" i="3"/>
  <c r="N28" i="2"/>
  <c r="N30" i="2"/>
  <c r="M28" i="2"/>
  <c r="M29" i="2"/>
  <c r="L29" i="2"/>
  <c r="G30" i="4"/>
  <c r="M30" i="2"/>
  <c r="M31" i="2"/>
  <c r="L30" i="2"/>
  <c r="L31" i="2"/>
  <c r="K29" i="2"/>
  <c r="K30" i="2"/>
  <c r="K31" i="2"/>
  <c r="J29" i="2"/>
  <c r="I29" i="2"/>
  <c r="F30" i="4"/>
  <c r="J30" i="2"/>
  <c r="J31" i="2"/>
  <c r="I30" i="2"/>
  <c r="I31" i="2"/>
  <c r="G29" i="2"/>
  <c r="E30" i="4"/>
  <c r="G30" i="2"/>
  <c r="E31" i="4"/>
  <c r="E30" i="2"/>
  <c r="C31" i="4"/>
  <c r="F30" i="2"/>
  <c r="G31" i="2"/>
  <c r="E32" i="4"/>
  <c r="F29" i="2"/>
  <c r="D30" i="4"/>
  <c r="F31" i="2"/>
  <c r="D32" i="4"/>
  <c r="E29" i="2"/>
  <c r="C30" i="4"/>
  <c r="E31" i="2"/>
  <c r="C32" i="4"/>
  <c r="E26" i="2"/>
  <c r="C27" i="4"/>
  <c r="E27" i="2"/>
  <c r="C28" i="4"/>
  <c r="E28" i="2"/>
  <c r="C29" i="4"/>
  <c r="H33" i="8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F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E30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K31" i="3"/>
  <c r="C31" i="3"/>
  <c r="J31" i="3"/>
  <c r="K30" i="3"/>
  <c r="G30" i="3"/>
  <c r="C30" i="3"/>
  <c r="D30" i="3"/>
  <c r="K29" i="3"/>
  <c r="C29" i="3"/>
  <c r="L29" i="3"/>
  <c r="F29" i="3"/>
  <c r="D29" i="3"/>
  <c r="T22" i="8"/>
  <c r="V24" i="8"/>
  <c r="T4" i="8"/>
  <c r="P6" i="8"/>
  <c r="P31" i="8"/>
  <c r="D27" i="8"/>
  <c r="V8" i="8"/>
  <c r="F23" i="8"/>
  <c r="D23" i="8"/>
  <c r="P25" i="8"/>
  <c r="T30" i="8"/>
  <c r="X22" i="8"/>
  <c r="X31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V32" i="8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Y31" i="8"/>
  <c r="X30" i="8"/>
  <c r="N31" i="8"/>
  <c r="R30" i="8"/>
  <c r="J31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N33" i="8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R33" i="8"/>
  <c r="F33" i="8"/>
  <c r="T33" i="8"/>
  <c r="L33" i="8"/>
  <c r="J33" i="8"/>
  <c r="P7" i="8"/>
  <c r="J6" i="8"/>
  <c r="N27" i="8"/>
  <c r="Y27" i="8"/>
  <c r="Z27" i="8"/>
  <c r="Y32" i="8"/>
  <c r="Z32" i="8"/>
  <c r="P24" i="8"/>
  <c r="P8" i="8"/>
  <c r="Y33" i="8"/>
  <c r="Z33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D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J34" i="8"/>
  <c r="K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G34" i="8"/>
  <c r="H34" i="8"/>
  <c r="H9" i="8"/>
  <c r="V17" i="8"/>
  <c r="V10" i="8"/>
  <c r="R17" i="8"/>
  <c r="O34" i="8"/>
  <c r="N10" i="8"/>
  <c r="U34" i="8"/>
  <c r="R10" i="8"/>
  <c r="Y16" i="8"/>
  <c r="Z16" i="8"/>
  <c r="T11" i="8"/>
  <c r="F17" i="8"/>
  <c r="Y10" i="8"/>
  <c r="Z10" i="8"/>
  <c r="P5" i="8"/>
  <c r="W34" i="8"/>
  <c r="X34" i="8"/>
  <c r="H8" i="8"/>
  <c r="V16" i="8"/>
  <c r="V9" i="8"/>
  <c r="Q34" i="8"/>
  <c r="R34" i="8"/>
  <c r="M34" i="8"/>
  <c r="N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E34" i="8"/>
  <c r="F34" i="8"/>
  <c r="H24" i="8"/>
  <c r="F12" i="8"/>
  <c r="Y9" i="8"/>
  <c r="Z9" i="8"/>
  <c r="R24" i="8"/>
  <c r="N23" i="8"/>
  <c r="X18" i="8"/>
  <c r="X24" i="8"/>
  <c r="D15" i="8"/>
  <c r="Z31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D31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34" i="8"/>
  <c r="T34" i="8"/>
  <c r="V34" i="8"/>
  <c r="P34" i="8"/>
  <c r="Y34" i="8"/>
  <c r="Z34" i="8"/>
  <c r="Z4" i="8"/>
  <c r="L21" i="4"/>
  <c r="L15" i="4"/>
  <c r="E33" i="4"/>
  <c r="E35" i="4"/>
  <c r="L24" i="4"/>
  <c r="L8" i="4"/>
  <c r="L28" i="4"/>
  <c r="L18" i="4"/>
  <c r="L22" i="4"/>
  <c r="L4" i="4"/>
  <c r="C33" i="4"/>
  <c r="C35" i="4"/>
  <c r="L25" i="4"/>
  <c r="L16" i="4"/>
  <c r="L23" i="4"/>
  <c r="L3" i="4"/>
  <c r="L12" i="4"/>
  <c r="L11" i="4"/>
  <c r="L20" i="4"/>
  <c r="L31" i="4"/>
  <c r="L19" i="4"/>
  <c r="L5" i="4"/>
  <c r="L29" i="4"/>
  <c r="G33" i="4"/>
  <c r="G35" i="4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/>
  <c r="I33" i="3"/>
  <c r="K33" i="3"/>
  <c r="J33" i="4"/>
  <c r="J35" i="4"/>
  <c r="L33" i="3"/>
  <c r="H33" i="3"/>
  <c r="I33" i="4"/>
  <c r="I35" i="4"/>
  <c r="H33" i="4"/>
  <c r="H35" i="4"/>
  <c r="F33" i="3"/>
  <c r="F33" i="4"/>
  <c r="F35" i="4"/>
  <c r="L6" i="4"/>
  <c r="L26" i="4"/>
  <c r="L13" i="4"/>
  <c r="N33" i="3"/>
  <c r="L33" i="4"/>
  <c r="L35" i="4"/>
  <c r="M35" i="4"/>
  <c r="M33" i="4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<sst xmlns="http://schemas.openxmlformats.org/spreadsheetml/2006/main" count="234" uniqueCount="130">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</sst>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-359650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4" zoomScale="115" zoomScaleNormal="115" workbookViewId="0">
      <selection activeCell="N24" sqref="N24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>
        <v>19269.999999999527</v>
      </c>
      <c r="F17" s="97"/>
      <c r="G17" s="85">
        <v>5208</v>
      </c>
      <c r="H17" s="131"/>
      <c r="I17" s="52">
        <v>306</v>
      </c>
      <c r="J17" s="133"/>
      <c r="K17" s="82"/>
      <c r="L17" s="134"/>
      <c r="M17" s="58">
        <v>36.5</v>
      </c>
      <c r="N17" s="58">
        <v>109</v>
      </c>
      <c r="O17" s="58">
        <v>233</v>
      </c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>
        <v>18439.9999999996</v>
      </c>
      <c r="F18" s="97"/>
      <c r="G18" s="85">
        <v>5131</v>
      </c>
      <c r="H18" s="131"/>
      <c r="I18" s="52">
        <v>336</v>
      </c>
      <c r="J18" s="133"/>
      <c r="K18" s="82"/>
      <c r="L18" s="134"/>
      <c r="M18" s="58">
        <v>34.4</v>
      </c>
      <c r="N18" s="58">
        <v>94</v>
      </c>
      <c r="O18" s="58">
        <v>232</v>
      </c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>
        <v>18700.000000001637</v>
      </c>
      <c r="F19" s="97"/>
      <c r="G19" s="85">
        <v>5191</v>
      </c>
      <c r="H19" s="131"/>
      <c r="I19" s="52">
        <v>307</v>
      </c>
      <c r="J19" s="133"/>
      <c r="K19" s="82"/>
      <c r="L19" s="134"/>
      <c r="M19" s="58">
        <v>31.3</v>
      </c>
      <c r="N19" s="58">
        <v>89</v>
      </c>
      <c r="O19" s="58">
        <v>235</v>
      </c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>
        <v>17719.999999999345</v>
      </c>
      <c r="F20" s="97"/>
      <c r="G20" s="85">
        <v>5489</v>
      </c>
      <c r="H20" s="131"/>
      <c r="I20" s="52">
        <v>294</v>
      </c>
      <c r="J20" s="133"/>
      <c r="K20" s="82"/>
      <c r="L20" s="134"/>
      <c r="M20" s="58">
        <v>25</v>
      </c>
      <c r="N20" s="58">
        <v>77</v>
      </c>
      <c r="O20" s="58">
        <v>188</v>
      </c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>
        <v>17259.999999998399</v>
      </c>
      <c r="F21" s="97"/>
      <c r="G21" s="85">
        <v>4364</v>
      </c>
      <c r="H21" s="131"/>
      <c r="I21" s="52">
        <v>269</v>
      </c>
      <c r="J21" s="133"/>
      <c r="K21" s="82"/>
      <c r="L21" s="134"/>
      <c r="M21" s="58">
        <v>25</v>
      </c>
      <c r="N21" s="58">
        <v>77</v>
      </c>
      <c r="O21" s="58">
        <v>189</v>
      </c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>
        <v>16960</v>
      </c>
      <c r="F22" s="97"/>
      <c r="G22" s="85">
        <v>4697</v>
      </c>
      <c r="H22" s="131"/>
      <c r="I22" s="52">
        <v>259</v>
      </c>
      <c r="J22" s="133"/>
      <c r="K22" s="82"/>
      <c r="L22" s="134"/>
      <c r="M22" s="58">
        <v>32.299999999999997</v>
      </c>
      <c r="N22" s="58">
        <v>92</v>
      </c>
      <c r="O22" s="58">
        <v>244</v>
      </c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>
        <v>18500</v>
      </c>
      <c r="F23" s="97"/>
      <c r="G23" s="85">
        <v>5065</v>
      </c>
      <c r="H23" s="131"/>
      <c r="I23" s="52">
        <v>300</v>
      </c>
      <c r="J23" s="133"/>
      <c r="K23" s="82"/>
      <c r="L23" s="134"/>
      <c r="M23" s="58">
        <v>32.299999999999997</v>
      </c>
      <c r="N23" s="58">
        <v>85</v>
      </c>
      <c r="O23" s="58">
        <v>240</v>
      </c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>
        <v>18689.999999998236</v>
      </c>
      <c r="F24" s="97"/>
      <c r="G24" s="85">
        <v>5085</v>
      </c>
      <c r="H24" s="131"/>
      <c r="I24" s="52">
        <v>312</v>
      </c>
      <c r="J24" s="133"/>
      <c r="K24" s="82"/>
      <c r="L24" s="134"/>
      <c r="M24" s="58">
        <v>50</v>
      </c>
      <c r="N24" s="58">
        <v>140</v>
      </c>
      <c r="O24" s="58">
        <v>356</v>
      </c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/>
      <c r="F25" s="97"/>
      <c r="G25" s="85"/>
      <c r="H25" s="131"/>
      <c r="I25" s="52"/>
      <c r="J25" s="133"/>
      <c r="K25" s="82"/>
      <c r="L25" s="134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/>
      <c r="F26" s="97"/>
      <c r="G26" s="85"/>
      <c r="H26" s="131"/>
      <c r="I26" s="52"/>
      <c r="J26" s="133"/>
      <c r="K26" s="82"/>
      <c r="L26" s="134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/>
      <c r="F27" s="97"/>
      <c r="G27" s="85"/>
      <c r="H27" s="131"/>
      <c r="I27" s="52"/>
      <c r="J27" s="133"/>
      <c r="K27" s="82"/>
      <c r="L27" s="134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/>
      <c r="F28" s="97"/>
      <c r="G28" s="85"/>
      <c r="H28" s="131"/>
      <c r="I28" s="52"/>
      <c r="J28" s="133"/>
      <c r="K28" s="82"/>
      <c r="L28" s="134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/>
      <c r="F29" s="97"/>
      <c r="G29" s="85"/>
      <c r="H29" s="131"/>
      <c r="I29" s="52"/>
      <c r="J29" s="133"/>
      <c r="K29" s="82"/>
      <c r="L29" s="134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/>
      <c r="F30" s="97"/>
      <c r="G30" s="85"/>
      <c r="H30" s="131"/>
      <c r="I30" s="52"/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411999.99999999569</v>
      </c>
      <c r="F32" s="128">
        <v>0</v>
      </c>
      <c r="G32" s="80">
        <f>SUM(G2:G31)</f>
        <v>113572</v>
      </c>
      <c r="H32" s="128">
        <v>0</v>
      </c>
      <c r="I32" s="80">
        <f>SUM(I2:I31)</f>
        <v>6452</v>
      </c>
      <c r="J32" s="128">
        <v>0</v>
      </c>
      <c r="K32" s="79">
        <f>SUM(K2:K31)</f>
        <v>0</v>
      </c>
      <c r="L32" s="135">
        <v>0</v>
      </c>
      <c r="M32" s="80">
        <f>SUM(M2:M31)</f>
        <v>640.70000000000005</v>
      </c>
      <c r="N32" s="80">
        <f>SUM(N2:N31)</f>
        <v>1753</v>
      </c>
      <c r="O32" s="80">
        <f>SUM(O2:O31)</f>
        <v>4443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G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529.99999999997272</v>
      </c>
      <c r="F17" s="2">
        <f>('Kwh Reading'!F20-'Kwh Reading'!F19)*1000000</f>
        <v>2499.9999999999468</v>
      </c>
      <c r="G17" s="2">
        <f>('Kwh Reading'!C20-'Kwh Reading'!C19)*1000</f>
        <v>269.99999999998181</v>
      </c>
      <c r="H17" s="2">
        <f t="shared" si="0"/>
        <v>1090.0000000000887</v>
      </c>
      <c r="I17" s="2">
        <f>('Kwh Reading'!J20-'Kwh Reading'!J19)*1000</f>
        <v>470.00000000002728</v>
      </c>
      <c r="J17" s="2">
        <f>('Kwh Reading'!K20-'Kwh Reading'!K19)*1000</f>
        <v>280.0000000000864</v>
      </c>
      <c r="K17" s="2">
        <f>('Kwh Reading'!L20-'Kwh Reading'!L19)*1000</f>
        <v>339.99999999997499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300.00000000001137</v>
      </c>
      <c r="O17" s="2">
        <f>('Kwh Reading'!B20-'Kwh Reading'!B19)*1000000</f>
        <v>1100.000000000101</v>
      </c>
      <c r="P17" s="2">
        <f>('Kwh Reading'!M20-'Kwh Reading'!M19)*1000</f>
        <v>419.99999999995907</v>
      </c>
      <c r="Q17" s="2">
        <f>('Kwh Reading'!H20-'Kwh Reading'!H19)*1000000</f>
        <v>499.99999999994492</v>
      </c>
      <c r="R17" s="2">
        <f>('Kwh Reading'!P20-'Kwh Reading'!P19)*1000000</f>
        <v>400.00000000017798</v>
      </c>
      <c r="S17" s="2">
        <f>('Kwh Reading'!G20-'Kwh Reading'!G19)*1000000</f>
        <v>499.99999999994492</v>
      </c>
      <c r="T17" s="2">
        <f>('Kwh Reading'!Q20-'Kwh Reading'!Q19)*1000</f>
        <v>360.00000000001364</v>
      </c>
      <c r="U17" s="2">
        <f>('Kwh Reading'!N20-'Kwh Reading'!N19)*1000</f>
        <v>379.99999999999545</v>
      </c>
      <c r="V17" s="26">
        <f>'Kwh Reading'!E20-'Kwh Reading'!E19</f>
        <v>2393.5600000005215</v>
      </c>
      <c r="W17" s="26">
        <f>'Kwh Reading'!D20-'Kwh Reading'!D19</f>
        <v>1683.8899999999994</v>
      </c>
      <c r="X17" s="21">
        <f>('Kwh Reading'!O20-'Kwh Reading'!O19)*1000</f>
        <v>190.00000000005457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259.99999999999091</v>
      </c>
      <c r="F18" s="2">
        <f>('Kwh Reading'!F21-'Kwh Reading'!F20)*1000000</f>
        <v>2699.9999999999245</v>
      </c>
      <c r="G18" s="2">
        <f>('Kwh Reading'!C21-'Kwh Reading'!C20)*1000</f>
        <v>270.00000000003865</v>
      </c>
      <c r="H18" s="2">
        <f t="shared" si="0"/>
        <v>1099.9999999999091</v>
      </c>
      <c r="I18" s="2">
        <f>('Kwh Reading'!J21-'Kwh Reading'!J20)*1000</f>
        <v>429.99999999994998</v>
      </c>
      <c r="J18" s="2">
        <f>('Kwh Reading'!K21-'Kwh Reading'!K20)*1000</f>
        <v>319.99999999993634</v>
      </c>
      <c r="K18" s="21">
        <f>('Kwh Reading'!L21-'Kwh Reading'!L20)*1000</f>
        <v>350.00000000002274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280.00000000002956</v>
      </c>
      <c r="O18" s="2">
        <f>('Kwh Reading'!B21-'Kwh Reading'!B20)*1000000</f>
        <v>1099.9999999998788</v>
      </c>
      <c r="P18" s="2">
        <f>('Kwh Reading'!M21-'Kwh Reading'!M20)*1000</f>
        <v>460.00000000003638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500.00000000016701</v>
      </c>
      <c r="T18" s="2">
        <f>('Kwh Reading'!Q21-'Kwh Reading'!Q20)*1000</f>
        <v>389.99999999998636</v>
      </c>
      <c r="U18" s="2">
        <f>('Kwh Reading'!N21-'Kwh Reading'!N20)*1000</f>
        <v>379.99999999999545</v>
      </c>
      <c r="V18" s="26">
        <f>'Kwh Reading'!E21-'Kwh Reading'!E20</f>
        <v>2150.019999999553</v>
      </c>
      <c r="W18" s="26">
        <f>'Kwh Reading'!D21-'Kwh Reading'!D20</f>
        <v>1641.3300000000017</v>
      </c>
      <c r="X18" s="21">
        <f>('Kwh Reading'!O21-'Kwh Reading'!O20)*1000</f>
        <v>269.99999999998181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509.99999999999091</v>
      </c>
      <c r="F19" s="2">
        <f>('Kwh Reading'!F22-'Kwh Reading'!F21)*1000000</f>
        <v>2499.9999999999468</v>
      </c>
      <c r="G19" s="2">
        <f>('Kwh Reading'!C22-'Kwh Reading'!C21)*1000</f>
        <v>250</v>
      </c>
      <c r="H19" s="2">
        <f t="shared" si="0"/>
        <v>1280.0000000000296</v>
      </c>
      <c r="I19" s="2">
        <f>('Kwh Reading'!J22-'Kwh Reading'!J21)*1000</f>
        <v>519.99999999998181</v>
      </c>
      <c r="J19" s="2">
        <f>('Kwh Reading'!K22-'Kwh Reading'!K21)*1000</f>
        <v>410.00000000008185</v>
      </c>
      <c r="K19" s="2">
        <f>('Kwh Reading'!L22-'Kwh Reading'!L21)*1000</f>
        <v>349.99999999996589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259.99999999999091</v>
      </c>
      <c r="O19" s="2">
        <f>('Kwh Reading'!B22-'Kwh Reading'!B21)*1000000</f>
        <v>1000.0000000001119</v>
      </c>
      <c r="P19" s="2">
        <f>('Kwh Reading'!M22-'Kwh Reading'!M21)*1000</f>
        <v>379.99999999999545</v>
      </c>
      <c r="Q19" s="2">
        <f>('Kwh Reading'!H22-'Kwh Reading'!H21)*1000000</f>
        <v>499.99999999994492</v>
      </c>
      <c r="R19" s="2">
        <f>('Kwh Reading'!P22-'Kwh Reading'!P21)*1000000</f>
        <v>499.99999999994492</v>
      </c>
      <c r="S19" s="2">
        <f>('Kwh Reading'!G22-'Kwh Reading'!G21)*1000000</f>
        <v>499.99999999994492</v>
      </c>
      <c r="T19" s="2">
        <f>('Kwh Reading'!Q22-'Kwh Reading'!Q21)*1000</f>
        <v>350.00000000002274</v>
      </c>
      <c r="U19" s="2">
        <f>('Kwh Reading'!N22-'Kwh Reading'!N21)*1000</f>
        <v>360.00000000001364</v>
      </c>
      <c r="V19" s="26">
        <f>'Kwh Reading'!E22-'Kwh Reading'!E21</f>
        <v>2469.160000000149</v>
      </c>
      <c r="W19" s="26">
        <f>'Kwh Reading'!D22-'Kwh Reading'!D21</f>
        <v>1700.8399999999965</v>
      </c>
      <c r="X19" s="21">
        <f>('Kwh Reading'!O22-'Kwh Reading'!O21)*1000</f>
        <v>209.99999999997954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460.00000000003638</v>
      </c>
      <c r="F20" s="2">
        <f>('Kwh Reading'!F23-'Kwh Reading'!F22)*1000000</f>
        <v>2400.0000000001796</v>
      </c>
      <c r="G20" s="2">
        <f>('Kwh Reading'!C23-'Kwh Reading'!C22)*1000</f>
        <v>259.99999999999091</v>
      </c>
      <c r="H20" s="2">
        <f t="shared" si="0"/>
        <v>1510.0000000000477</v>
      </c>
      <c r="I20" s="2">
        <f>('Kwh Reading'!J23-'Kwh Reading'!J22)*1000</f>
        <v>670.00000000007276</v>
      </c>
      <c r="J20" s="2">
        <f>('Kwh Reading'!K23-'Kwh Reading'!K22)*1000</f>
        <v>449.99999999993179</v>
      </c>
      <c r="K20" s="2">
        <f>('Kwh Reading'!L23-'Kwh Reading'!L22)*1000</f>
        <v>390.0000000000432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290.00000000002046</v>
      </c>
      <c r="O20" s="2">
        <f>('Kwh Reading'!B23-'Kwh Reading'!B22)*1000000</f>
        <v>899.99999999990087</v>
      </c>
      <c r="P20" s="21">
        <f>('Kwh Reading'!M23-'Kwh Reading'!M22)*1000</f>
        <v>360.00000000001364</v>
      </c>
      <c r="Q20" s="2">
        <f>('Kwh Reading'!H23-'Kwh Reading'!H22)*1000000</f>
        <v>499.99999999994492</v>
      </c>
      <c r="R20" s="2">
        <f>('Kwh Reading'!P23-'Kwh Reading'!P22)*1000000</f>
        <v>399.99999999995595</v>
      </c>
      <c r="S20" s="2">
        <f>('Kwh Reading'!G23-'Kwh Reading'!G22)*1000000</f>
        <v>399.99999999995595</v>
      </c>
      <c r="T20" s="2">
        <f>('Kwh Reading'!Q23-'Kwh Reading'!Q22)*1000</f>
        <v>319.99999999993634</v>
      </c>
      <c r="U20" s="2">
        <f>('Kwh Reading'!N23-'Kwh Reading'!N22)*1000</f>
        <v>359.99999999989996</v>
      </c>
      <c r="V20" s="26">
        <f>'Kwh Reading'!E23-'Kwh Reading'!E22</f>
        <v>2362.5999999996275</v>
      </c>
      <c r="W20" s="26">
        <f>'Kwh Reading'!D23-'Kwh Reading'!D22</f>
        <v>1433.5299999999988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610.00000000001364</v>
      </c>
      <c r="F21" s="2">
        <f>('Kwh Reading'!F24-'Kwh Reading'!F23)*1000000</f>
        <v>2299.9999999999686</v>
      </c>
      <c r="G21" s="2">
        <f>('Kwh Reading'!C24-'Kwh Reading'!C23)*1000</f>
        <v>269.99999999998181</v>
      </c>
      <c r="H21" s="2">
        <f t="shared" si="0"/>
        <v>1349.9999999999091</v>
      </c>
      <c r="I21" s="2">
        <f>('Kwh Reading'!J24-'Kwh Reading'!J23)*1000</f>
        <v>579.99999999992724</v>
      </c>
      <c r="J21" s="2">
        <f>('Kwh Reading'!K24-'Kwh Reading'!K23)*1000</f>
        <v>389.99999999998636</v>
      </c>
      <c r="K21" s="2">
        <f>('Kwh Reading'!L24-'Kwh Reading'!L23)*1000</f>
        <v>379.99999999999545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279.99999999997272</v>
      </c>
      <c r="O21" s="2">
        <f>('Kwh Reading'!B24-'Kwh Reading'!B23)*1000000</f>
        <v>1000.0000000001119</v>
      </c>
      <c r="P21" s="2">
        <f>('Kwh Reading'!M24-'Kwh Reading'!M23)*1000</f>
        <v>329.99999999992724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310.00000000005912</v>
      </c>
      <c r="V21" s="26">
        <f>'Kwh Reading'!E24-'Kwh Reading'!E23</f>
        <v>2275.4499999992549</v>
      </c>
      <c r="W21" s="121">
        <f>'Kwh Reading'!D24-'Kwh Reading'!D23</f>
        <v>1440.2100000000064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500</v>
      </c>
      <c r="F22" s="2">
        <f>('Kwh Reading'!F25-'Kwh Reading'!F24)*1000000</f>
        <v>2399.9999999997358</v>
      </c>
      <c r="G22" s="2">
        <f>('Kwh Reading'!C25-'Kwh Reading'!C24)*1000</f>
        <v>270.00000000003865</v>
      </c>
      <c r="H22" s="2">
        <f t="shared" si="0"/>
        <v>1249.9999999999432</v>
      </c>
      <c r="I22" s="2">
        <f>('Kwh Reading'!J25-'Kwh Reading'!J24)*1000</f>
        <v>509.99999999999091</v>
      </c>
      <c r="J22" s="2">
        <f>('Kwh Reading'!K25-'Kwh Reading'!K24)*1000</f>
        <v>399.99999999997726</v>
      </c>
      <c r="K22" s="2">
        <f>('Kwh Reading'!L25-'Kwh Reading'!L24)*1000</f>
        <v>339.99999999997499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279.99999999997272</v>
      </c>
      <c r="O22" s="2">
        <f>('Kwh Reading'!B25-'Kwh Reading'!B24)*1000000</f>
        <v>799.99999999991189</v>
      </c>
      <c r="P22" s="2">
        <f>('Kwh Reading'!M25-'Kwh Reading'!M24)*1000</f>
        <v>310.00000000005912</v>
      </c>
      <c r="Q22" s="2">
        <f>('Kwh Reading'!H25-'Kwh Reading'!H24)*1000000</f>
        <v>500.00000000016701</v>
      </c>
      <c r="R22" s="2">
        <f>('Kwh Reading'!P25-'Kwh Reading'!P24)*1000000</f>
        <v>300.000000000189</v>
      </c>
      <c r="S22" s="2">
        <f>('Kwh Reading'!G25-'Kwh Reading'!G24)*1000000</f>
        <v>399.99999999995595</v>
      </c>
      <c r="T22" s="2">
        <f>('Kwh Reading'!Q25-'Kwh Reading'!Q24)*1000</f>
        <v>350.00000000002274</v>
      </c>
      <c r="U22" s="2">
        <f>('Kwh Reading'!N25-'Kwh Reading'!N24)*1000</f>
        <v>289.99999999996362</v>
      </c>
      <c r="V22" s="2">
        <f>'Kwh Reading'!E25-'Kwh Reading'!E24</f>
        <v>2229.9600000008941</v>
      </c>
      <c r="W22" s="2">
        <f>'Kwh Reading'!D25-'Kwh Reading'!D24</f>
        <v>1462.679999999993</v>
      </c>
      <c r="X22" s="21">
        <f>('Kwh Reading'!O25-'Kwh Reading'!O24)*1000</f>
        <v>269.99999999998181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509.99999999999091</v>
      </c>
      <c r="F23" s="2">
        <f>('Kwh Reading'!F26-'Kwh Reading'!F25)*1000000</f>
        <v>2400.0000000001796</v>
      </c>
      <c r="G23" s="2">
        <f>('Kwh Reading'!C26-'Kwh Reading'!C25)*1000</f>
        <v>279.99999999997272</v>
      </c>
      <c r="H23" s="2">
        <f t="shared" si="0"/>
        <v>1270.0000000002092</v>
      </c>
      <c r="I23" s="2">
        <f>('Kwh Reading'!J26-'Kwh Reading'!J25)*1000</f>
        <v>530.0000000000864</v>
      </c>
      <c r="J23" s="2">
        <f>('Kwh Reading'!K26-'Kwh Reading'!K25)*1000</f>
        <v>390.00000000010004</v>
      </c>
      <c r="K23" s="2">
        <f>('Kwh Reading'!L26-'Kwh Reading'!L25)*1000</f>
        <v>350.00000000002274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290.00000000002046</v>
      </c>
      <c r="O23" s="2">
        <f>('Kwh Reading'!B26-'Kwh Reading'!B25)*1000000</f>
        <v>1000.0000000001119</v>
      </c>
      <c r="P23" s="2">
        <f>('Kwh Reading'!M26-'Kwh Reading'!M25)*1000</f>
        <v>330.00000000004093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500.00000000016701</v>
      </c>
      <c r="T23" s="2">
        <f>('Kwh Reading'!Q26-'Kwh Reading'!Q25)*1000</f>
        <v>389.99999999998636</v>
      </c>
      <c r="U23" s="2">
        <f>('Kwh Reading'!N26-'Kwh Reading'!N25)*1000</f>
        <v>340.00000000003183</v>
      </c>
      <c r="V23" s="2">
        <f>'Kwh Reading'!E26-'Kwh Reading'!E25</f>
        <v>2382.5800000000745</v>
      </c>
      <c r="W23" s="2">
        <f>'Kwh Reading'!D26-'Kwh Reading'!D25</f>
        <v>1538.0400000000081</v>
      </c>
      <c r="X23" s="21">
        <f>('Kwh Reading'!O26-'Kwh Reading'!O25)*1000</f>
        <v>220.00000000002728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539.99999999996362</v>
      </c>
      <c r="F24" s="2">
        <f>('Kwh Reading'!F27-'Kwh Reading'!F26)*1000000</f>
        <v>2499.9999999999468</v>
      </c>
      <c r="G24" s="2">
        <f>('Kwh Reading'!C27-'Kwh Reading'!C26)*1000</f>
        <v>269.99999999998181</v>
      </c>
      <c r="H24" s="2">
        <f t="shared" si="0"/>
        <v>1349.9999999999091</v>
      </c>
      <c r="I24" s="2">
        <f>('Kwh Reading'!J27-'Kwh Reading'!J26)*1000</f>
        <v>519.99999999998181</v>
      </c>
      <c r="J24" s="2">
        <f>('Kwh Reading'!K27-'Kwh Reading'!K26)*1000</f>
        <v>429.99999999994998</v>
      </c>
      <c r="K24" s="2">
        <f>('Kwh Reading'!L27-'Kwh Reading'!L26)*1000</f>
        <v>399.99999999997726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350.00000000002274</v>
      </c>
      <c r="O24" s="2">
        <f>('Kwh Reading'!B27-'Kwh Reading'!B26)*1000000</f>
        <v>1099.9999999998788</v>
      </c>
      <c r="P24" s="2">
        <f>('Kwh Reading'!M27-'Kwh Reading'!M26)*1000</f>
        <v>409.99999999996817</v>
      </c>
      <c r="Q24" s="2">
        <f>('Kwh Reading'!H27-'Kwh Reading'!H26)*1000000</f>
        <v>599.99999999993395</v>
      </c>
      <c r="R24" s="2">
        <f>('Kwh Reading'!P27-'Kwh Reading'!P26)*1000000</f>
        <v>499.99999999994492</v>
      </c>
      <c r="S24" s="2">
        <f>('Kwh Reading'!G27-'Kwh Reading'!G26)*1000000</f>
        <v>499.99999999994492</v>
      </c>
      <c r="T24" s="2">
        <f>('Kwh Reading'!Q27-'Kwh Reading'!Q26)*1000</f>
        <v>409.99999999996817</v>
      </c>
      <c r="U24" s="2">
        <f>('Kwh Reading'!N27-'Kwh Reading'!N26)*1000</f>
        <v>439.99999999994088</v>
      </c>
      <c r="V24" s="2">
        <f>'Kwh Reading'!E27-'Kwh Reading'!E26</f>
        <v>2533.9900000002235</v>
      </c>
      <c r="W24" s="2">
        <f>'Kwh Reading'!D27-'Kwh Reading'!D26</f>
        <v>1713.8199999999924</v>
      </c>
      <c r="X24" s="21">
        <f>('Kwh Reading'!O27-'Kwh Reading'!O26)*1000</f>
        <v>229.99999999996135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-680650</v>
      </c>
      <c r="F25" s="21">
        <f>('Kwh Reading'!F28-'Kwh Reading'!F27)*1000000</f>
        <v>-3788500</v>
      </c>
      <c r="G25" s="21">
        <f>('Kwh Reading'!C28-'Kwh Reading'!C27)*1000</f>
        <v>-365770</v>
      </c>
      <c r="H25" s="2">
        <f t="shared" si="0"/>
        <v>-1444230</v>
      </c>
      <c r="I25" s="21">
        <f>('Kwh Reading'!J28-'Kwh Reading'!J27)*1000</f>
        <v>-562590</v>
      </c>
      <c r="J25" s="21">
        <f>('Kwh Reading'!K28-'Kwh Reading'!K27)*1000</f>
        <v>-521750</v>
      </c>
      <c r="K25" s="21">
        <f>('Kwh Reading'!L28-'Kwh Reading'!L27)*1000</f>
        <v>-359890</v>
      </c>
      <c r="L25" s="21">
        <f>('Kwh Reading'!R28-'Kwh Reading'!R27)*1000</f>
        <v>-190150</v>
      </c>
      <c r="M25" s="2">
        <f>('Kwh Reading'!S28-'Kwh Reading'!S27)*1000</f>
        <v>-179050</v>
      </c>
      <c r="N25" s="21">
        <f>('Kwh Reading'!I28-'Kwh Reading'!I27)*1000</f>
        <v>-397170</v>
      </c>
      <c r="O25" s="2">
        <f>('Kwh Reading'!B28-'Kwh Reading'!B27)*1000000</f>
        <v>-1593100</v>
      </c>
      <c r="P25" s="21">
        <f>('Kwh Reading'!M28-'Kwh Reading'!M27)*1000</f>
        <v>-884230</v>
      </c>
      <c r="Q25" s="2">
        <f>('Kwh Reading'!H28-'Kwh Reading'!H27)*1000000</f>
        <v>-1103400</v>
      </c>
      <c r="R25" s="2">
        <f>('Kwh Reading'!P28-'Kwh Reading'!P27)*1000000</f>
        <v>-1072600</v>
      </c>
      <c r="S25" s="21">
        <f>('Kwh Reading'!G28-'Kwh Reading'!G27)*1000000</f>
        <v>-1177200</v>
      </c>
      <c r="T25" s="21">
        <f>('Kwh Reading'!Q28-'Kwh Reading'!Q27)*1000</f>
        <v>-776650</v>
      </c>
      <c r="U25" s="21">
        <f>('Kwh Reading'!N28-'Kwh Reading'!N27)*1000</f>
        <v>-798930</v>
      </c>
      <c r="V25" s="21">
        <f>'Kwh Reading'!E28-'Kwh Reading'!E27</f>
        <v>-9619992.5700000003</v>
      </c>
      <c r="W25" s="21">
        <f>'Kwh Reading'!D28-'Kwh Reading'!D27</f>
        <v>-119467.4</v>
      </c>
      <c r="X25" s="21">
        <f>('Kwh Reading'!O28-'Kwh Reading'!O27)*1000</f>
        <v>-266840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-359650</v>
      </c>
      <c r="H32" s="60"/>
      <c r="I32" s="60">
        <f>SUM(I2:I31)</f>
        <v>-551630</v>
      </c>
      <c r="J32" s="60">
        <f t="shared" ref="J32:X32" si="2">SUM(J2:J31)</f>
        <v>-514230</v>
      </c>
      <c r="K32" s="60">
        <f t="shared" si="2"/>
        <v>-352970.00000000006</v>
      </c>
      <c r="L32" s="60">
        <f t="shared" si="2"/>
        <v>-190150</v>
      </c>
      <c r="M32" s="60">
        <f t="shared" si="2"/>
        <v>-179050</v>
      </c>
      <c r="N32" s="60">
        <f t="shared" si="2"/>
        <v>-390720</v>
      </c>
      <c r="O32" s="60">
        <f t="shared" si="2"/>
        <v>-1570200</v>
      </c>
      <c r="P32" s="60">
        <f t="shared" si="2"/>
        <v>-875559.99999999988</v>
      </c>
      <c r="Q32" s="60">
        <f t="shared" si="2"/>
        <v>-1091600</v>
      </c>
      <c r="R32" s="60">
        <f t="shared" si="2"/>
        <v>-1062700</v>
      </c>
      <c r="S32" s="60">
        <f t="shared" si="2"/>
        <v>-1166700</v>
      </c>
      <c r="T32" s="60">
        <f t="shared" si="2"/>
        <v>-769610</v>
      </c>
      <c r="U32" s="60">
        <f t="shared" si="2"/>
        <v>-791510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-261560.00000000003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E28" sqref="E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5" t="s">
        <v>10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61"/>
      <c r="V1" s="61"/>
    </row>
    <row r="2" spans="1:25" s="12" customFormat="1" ht="33" customHeight="1" x14ac:dyDescent="0.25">
      <c r="A2" s="22" t="s">
        <v>2</v>
      </c>
      <c r="B2" s="152" t="s">
        <v>113</v>
      </c>
      <c r="C2" s="152" t="s">
        <v>11</v>
      </c>
      <c r="D2" s="152" t="s">
        <v>12</v>
      </c>
      <c r="E2" s="152" t="s">
        <v>13</v>
      </c>
      <c r="F2" s="152" t="s">
        <v>14</v>
      </c>
      <c r="G2" s="147" t="s">
        <v>119</v>
      </c>
      <c r="H2" s="149" t="s">
        <v>15</v>
      </c>
      <c r="I2" s="152" t="s">
        <v>16</v>
      </c>
      <c r="J2" s="154" t="s">
        <v>17</v>
      </c>
      <c r="K2" s="155"/>
      <c r="L2" s="156"/>
      <c r="M2" s="147" t="s">
        <v>18</v>
      </c>
      <c r="N2" s="149" t="s">
        <v>19</v>
      </c>
      <c r="O2" s="150" t="s">
        <v>20</v>
      </c>
      <c r="P2" s="149" t="s">
        <v>21</v>
      </c>
      <c r="Q2" s="157" t="s">
        <v>22</v>
      </c>
      <c r="R2" s="152" t="s">
        <v>23</v>
      </c>
      <c r="S2" s="152" t="s">
        <v>24</v>
      </c>
      <c r="T2" s="152" t="s">
        <v>25</v>
      </c>
      <c r="V2" s="159" t="s">
        <v>6</v>
      </c>
      <c r="W2" s="159" t="s">
        <v>7</v>
      </c>
      <c r="X2" s="159" t="s">
        <v>8</v>
      </c>
    </row>
    <row r="3" spans="1:25" s="12" customFormat="1" ht="45" customHeight="1" x14ac:dyDescent="0.25">
      <c r="A3" s="23"/>
      <c r="B3" s="153"/>
      <c r="C3" s="153"/>
      <c r="D3" s="153"/>
      <c r="E3" s="153"/>
      <c r="F3" s="153"/>
      <c r="G3" s="148"/>
      <c r="H3" s="149"/>
      <c r="I3" s="153"/>
      <c r="J3" s="13" t="s">
        <v>26</v>
      </c>
      <c r="K3" s="13" t="s">
        <v>27</v>
      </c>
      <c r="L3" s="13" t="s">
        <v>28</v>
      </c>
      <c r="M3" s="148"/>
      <c r="N3" s="149"/>
      <c r="O3" s="151"/>
      <c r="P3" s="149"/>
      <c r="Q3" s="158"/>
      <c r="R3" s="153"/>
      <c r="S3" s="153"/>
      <c r="T3" s="153"/>
      <c r="V3" s="159"/>
      <c r="W3" s="159"/>
      <c r="X3" s="159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>
        <v>1.5862000000000001</v>
      </c>
      <c r="C20" s="90">
        <v>363.9</v>
      </c>
      <c r="D20" s="90">
        <v>108536.95</v>
      </c>
      <c r="E20" s="90">
        <v>9603588.8100000005</v>
      </c>
      <c r="F20" s="90">
        <v>3.7713000000000001</v>
      </c>
      <c r="G20" s="90">
        <v>1.1738999999999999</v>
      </c>
      <c r="H20" s="90">
        <v>1.0995999999999999</v>
      </c>
      <c r="I20" s="90">
        <v>395.14</v>
      </c>
      <c r="J20" s="90">
        <v>558.83000000000004</v>
      </c>
      <c r="K20" s="90">
        <v>518.96</v>
      </c>
      <c r="L20" s="90">
        <v>357.33</v>
      </c>
      <c r="M20" s="90">
        <v>881.65</v>
      </c>
      <c r="N20" s="90">
        <v>796.45</v>
      </c>
      <c r="O20" s="90">
        <v>265.22000000000003</v>
      </c>
      <c r="P20" s="90">
        <v>1.0697000000000001</v>
      </c>
      <c r="Q20" s="90">
        <v>774.09</v>
      </c>
      <c r="R20" s="88">
        <v>190.15</v>
      </c>
      <c r="S20" s="90">
        <v>179.05</v>
      </c>
      <c r="T20" s="90">
        <v>677.26</v>
      </c>
      <c r="V20" s="84"/>
      <c r="W20" s="84"/>
      <c r="X20" s="84"/>
      <c r="Y20" s="12"/>
    </row>
    <row r="21" spans="1:25" ht="21" customHeight="1" x14ac:dyDescent="0.25">
      <c r="A21" s="6">
        <v>44913</v>
      </c>
      <c r="B21" s="89">
        <v>1.5872999999999999</v>
      </c>
      <c r="C21" s="90">
        <v>364.17</v>
      </c>
      <c r="D21" s="90">
        <v>110178.28</v>
      </c>
      <c r="E21" s="90">
        <v>9605738.8300000001</v>
      </c>
      <c r="F21" s="90">
        <v>3.774</v>
      </c>
      <c r="G21" s="90">
        <v>1.1744000000000001</v>
      </c>
      <c r="H21" s="90">
        <v>1.1002000000000001</v>
      </c>
      <c r="I21" s="90">
        <v>395.42</v>
      </c>
      <c r="J21" s="89">
        <v>559.26</v>
      </c>
      <c r="K21" s="90">
        <v>519.28</v>
      </c>
      <c r="L21" s="90">
        <v>357.68</v>
      </c>
      <c r="M21" s="90">
        <v>882.11</v>
      </c>
      <c r="N21" s="90">
        <v>796.83</v>
      </c>
      <c r="O21" s="90">
        <v>265.49</v>
      </c>
      <c r="P21" s="90">
        <v>1.0701000000000001</v>
      </c>
      <c r="Q21" s="90">
        <v>774.48</v>
      </c>
      <c r="R21" s="88">
        <v>190.15</v>
      </c>
      <c r="S21" s="90">
        <v>179.05</v>
      </c>
      <c r="T21" s="90">
        <v>677.52</v>
      </c>
      <c r="V21" s="84"/>
      <c r="W21" s="84"/>
      <c r="X21" s="84"/>
      <c r="Y21" s="12"/>
    </row>
    <row r="22" spans="1:25" ht="21" customHeight="1" x14ac:dyDescent="0.25">
      <c r="A22" s="6">
        <v>44914</v>
      </c>
      <c r="B22" s="89">
        <v>1.5883</v>
      </c>
      <c r="C22" s="90">
        <v>364.42</v>
      </c>
      <c r="D22" s="90">
        <v>111879.12</v>
      </c>
      <c r="E22" s="90">
        <v>9608207.9900000002</v>
      </c>
      <c r="F22" s="90">
        <v>3.7765</v>
      </c>
      <c r="G22" s="90">
        <v>1.1749000000000001</v>
      </c>
      <c r="H22" s="90">
        <v>1.1007</v>
      </c>
      <c r="I22" s="90">
        <v>395.68</v>
      </c>
      <c r="J22" s="89">
        <v>559.78</v>
      </c>
      <c r="K22" s="90">
        <v>519.69000000000005</v>
      </c>
      <c r="L22" s="90">
        <v>358.03</v>
      </c>
      <c r="M22" s="90">
        <v>882.49</v>
      </c>
      <c r="N22" s="90">
        <v>797.19</v>
      </c>
      <c r="O22" s="90">
        <v>265.7</v>
      </c>
      <c r="P22" s="90">
        <v>1.0706</v>
      </c>
      <c r="Q22" s="90">
        <v>774.83</v>
      </c>
      <c r="R22" s="88">
        <v>190.15</v>
      </c>
      <c r="S22" s="90">
        <v>179.05</v>
      </c>
      <c r="T22" s="90">
        <v>678.03</v>
      </c>
      <c r="V22" s="84"/>
      <c r="W22" s="84"/>
      <c r="X22" s="84"/>
      <c r="Y22" s="12"/>
    </row>
    <row r="23" spans="1:25" ht="21" customHeight="1" x14ac:dyDescent="0.25">
      <c r="A23" s="6">
        <v>44915</v>
      </c>
      <c r="B23" s="89">
        <v>1.5891999999999999</v>
      </c>
      <c r="C23" s="90">
        <v>364.68</v>
      </c>
      <c r="D23" s="90">
        <v>113312.65</v>
      </c>
      <c r="E23" s="90">
        <v>9610570.5899999999</v>
      </c>
      <c r="F23" s="90">
        <v>3.7789000000000001</v>
      </c>
      <c r="G23" s="90">
        <v>1.1753</v>
      </c>
      <c r="H23" s="90">
        <v>1.1012</v>
      </c>
      <c r="I23" s="90">
        <v>395.97</v>
      </c>
      <c r="J23" s="90">
        <v>560.45000000000005</v>
      </c>
      <c r="K23" s="90">
        <v>520.14</v>
      </c>
      <c r="L23" s="90">
        <v>358.42</v>
      </c>
      <c r="M23" s="90">
        <v>882.85</v>
      </c>
      <c r="N23" s="90">
        <v>797.55</v>
      </c>
      <c r="O23" s="90">
        <v>265.92</v>
      </c>
      <c r="P23" s="90">
        <v>1.071</v>
      </c>
      <c r="Q23" s="90">
        <v>775.15</v>
      </c>
      <c r="R23" s="88">
        <v>190.15</v>
      </c>
      <c r="S23" s="90">
        <v>179.05</v>
      </c>
      <c r="T23" s="90">
        <v>678.49</v>
      </c>
      <c r="V23" s="84"/>
      <c r="W23" s="84"/>
      <c r="X23" s="84"/>
      <c r="Y23" s="12"/>
    </row>
    <row r="24" spans="1:25" ht="21" customHeight="1" x14ac:dyDescent="0.25">
      <c r="A24" s="6">
        <v>44916</v>
      </c>
      <c r="B24" s="89">
        <v>1.5902000000000001</v>
      </c>
      <c r="C24" s="90">
        <v>364.95</v>
      </c>
      <c r="D24" s="90">
        <v>114752.86</v>
      </c>
      <c r="E24" s="90">
        <v>9612846.0399999991</v>
      </c>
      <c r="F24" s="90">
        <v>3.7812000000000001</v>
      </c>
      <c r="G24" s="90">
        <v>1.1758</v>
      </c>
      <c r="H24" s="90">
        <v>1.1016999999999999</v>
      </c>
      <c r="I24" s="90">
        <v>396.25</v>
      </c>
      <c r="J24" s="90">
        <v>561.03</v>
      </c>
      <c r="K24" s="90">
        <v>520.53</v>
      </c>
      <c r="L24" s="90">
        <v>358.8</v>
      </c>
      <c r="M24" s="90">
        <v>883.18</v>
      </c>
      <c r="N24" s="90">
        <v>797.86</v>
      </c>
      <c r="O24" s="90">
        <v>266.12</v>
      </c>
      <c r="P24" s="90">
        <v>1.0713999999999999</v>
      </c>
      <c r="Q24" s="90">
        <v>775.5</v>
      </c>
      <c r="R24" s="88">
        <v>190.15</v>
      </c>
      <c r="S24" s="90">
        <v>179.05</v>
      </c>
      <c r="T24" s="90">
        <v>679.1</v>
      </c>
      <c r="V24" s="84"/>
      <c r="W24" s="84"/>
      <c r="X24" s="84"/>
      <c r="Y24" s="12"/>
    </row>
    <row r="25" spans="1:25" ht="21" customHeight="1" x14ac:dyDescent="0.25">
      <c r="A25" s="6">
        <v>44917</v>
      </c>
      <c r="B25" s="89">
        <v>1.591</v>
      </c>
      <c r="C25" s="90">
        <v>365.22</v>
      </c>
      <c r="D25" s="90">
        <v>116215.54</v>
      </c>
      <c r="E25" s="90">
        <v>9615076</v>
      </c>
      <c r="F25" s="90">
        <v>3.7835999999999999</v>
      </c>
      <c r="G25" s="90">
        <v>1.1761999999999999</v>
      </c>
      <c r="H25" s="90">
        <v>1.1022000000000001</v>
      </c>
      <c r="I25" s="90">
        <v>396.53</v>
      </c>
      <c r="J25" s="90">
        <v>561.54</v>
      </c>
      <c r="K25" s="90">
        <v>520.92999999999995</v>
      </c>
      <c r="L25" s="90">
        <v>359.14</v>
      </c>
      <c r="M25" s="90">
        <v>883.49</v>
      </c>
      <c r="N25" s="90">
        <v>798.15</v>
      </c>
      <c r="O25" s="90">
        <v>266.39</v>
      </c>
      <c r="P25" s="90">
        <v>1.0717000000000001</v>
      </c>
      <c r="Q25" s="90">
        <v>775.85</v>
      </c>
      <c r="R25" s="88">
        <v>190.15</v>
      </c>
      <c r="S25" s="90">
        <v>179.05</v>
      </c>
      <c r="T25" s="90">
        <v>679.6</v>
      </c>
      <c r="V25" s="84"/>
      <c r="W25" s="84"/>
      <c r="X25" s="84"/>
      <c r="Y25" s="12"/>
    </row>
    <row r="26" spans="1:25" ht="21" customHeight="1" x14ac:dyDescent="0.25">
      <c r="A26" s="6">
        <v>44918</v>
      </c>
      <c r="B26" s="106">
        <v>1.5920000000000001</v>
      </c>
      <c r="C26" s="90">
        <v>365.5</v>
      </c>
      <c r="D26" s="90">
        <v>117753.58</v>
      </c>
      <c r="E26" s="90">
        <v>9617458.5800000001</v>
      </c>
      <c r="F26" s="90">
        <v>3.786</v>
      </c>
      <c r="G26" s="90">
        <v>1.1767000000000001</v>
      </c>
      <c r="H26" s="90">
        <v>1.1028</v>
      </c>
      <c r="I26" s="90">
        <v>396.82</v>
      </c>
      <c r="J26" s="90">
        <v>562.07000000000005</v>
      </c>
      <c r="K26" s="90">
        <v>521.32000000000005</v>
      </c>
      <c r="L26" s="90">
        <v>359.49</v>
      </c>
      <c r="M26" s="90">
        <v>883.82</v>
      </c>
      <c r="N26" s="90">
        <v>798.49</v>
      </c>
      <c r="O26" s="90">
        <v>266.61</v>
      </c>
      <c r="P26" s="90">
        <v>1.0721000000000001</v>
      </c>
      <c r="Q26" s="90">
        <v>776.24</v>
      </c>
      <c r="R26" s="88">
        <v>190.15</v>
      </c>
      <c r="S26" s="90">
        <v>179.05</v>
      </c>
      <c r="T26" s="90">
        <v>680.11</v>
      </c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>
        <v>1.5931</v>
      </c>
      <c r="C27" s="123">
        <v>365.77</v>
      </c>
      <c r="D27" s="101">
        <v>119467.4</v>
      </c>
      <c r="E27" s="101">
        <v>9619992.5700000003</v>
      </c>
      <c r="F27" s="101">
        <v>3.7885</v>
      </c>
      <c r="G27" s="101">
        <v>1.1772</v>
      </c>
      <c r="H27" s="101">
        <v>1.1033999999999999</v>
      </c>
      <c r="I27" s="101">
        <v>397.17</v>
      </c>
      <c r="J27" s="101">
        <v>562.59</v>
      </c>
      <c r="K27" s="101">
        <v>521.75</v>
      </c>
      <c r="L27" s="101">
        <v>359.89</v>
      </c>
      <c r="M27" s="101">
        <v>884.23</v>
      </c>
      <c r="N27" s="101">
        <v>798.93</v>
      </c>
      <c r="O27" s="101">
        <v>266.83999999999997</v>
      </c>
      <c r="P27" s="101">
        <v>1.0726</v>
      </c>
      <c r="Q27" s="101">
        <v>776.65</v>
      </c>
      <c r="R27" s="88">
        <v>190.15</v>
      </c>
      <c r="S27" s="90">
        <v>179.05</v>
      </c>
      <c r="T27" s="101">
        <v>680.65</v>
      </c>
      <c r="V27" s="107"/>
      <c r="W27" s="107"/>
      <c r="X27" s="107"/>
      <c r="Y27" s="108"/>
    </row>
    <row r="28" spans="1:25" ht="21" customHeight="1" x14ac:dyDescent="0.25">
      <c r="A28" s="6">
        <v>44920</v>
      </c>
      <c r="B28" s="87"/>
      <c r="C28" s="87"/>
      <c r="D28" s="90"/>
      <c r="E28" s="90"/>
      <c r="F28" s="90"/>
      <c r="G28" s="90"/>
      <c r="H28" s="101"/>
      <c r="I28" s="90"/>
      <c r="J28" s="90"/>
      <c r="K28" s="90"/>
      <c r="L28" s="90"/>
      <c r="M28" s="90"/>
      <c r="N28" s="90"/>
      <c r="O28" s="90"/>
      <c r="P28" s="90"/>
      <c r="Q28" s="90"/>
      <c r="R28" s="88"/>
      <c r="S28" s="90"/>
      <c r="T28" s="90"/>
      <c r="V28" s="84"/>
      <c r="W28" s="84"/>
      <c r="X28" s="84"/>
      <c r="Y28" s="12"/>
    </row>
    <row r="29" spans="1:25" ht="21" customHeight="1" x14ac:dyDescent="0.25">
      <c r="A29" s="6">
        <v>44921</v>
      </c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88"/>
      <c r="S29" s="90"/>
      <c r="T29" s="90"/>
      <c r="V29" s="84"/>
      <c r="W29" s="84"/>
      <c r="X29" s="84"/>
      <c r="Y29" s="12"/>
    </row>
    <row r="30" spans="1:25" ht="21" customHeight="1" x14ac:dyDescent="0.25">
      <c r="A30" s="6">
        <v>44922</v>
      </c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88"/>
      <c r="S30" s="90"/>
      <c r="T30" s="90"/>
      <c r="V30" s="84"/>
      <c r="W30" s="84"/>
      <c r="X30" s="84"/>
      <c r="Y30" s="12"/>
    </row>
    <row r="31" spans="1:25" ht="21" customHeight="1" x14ac:dyDescent="0.25">
      <c r="A31" s="6">
        <v>44923</v>
      </c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88"/>
      <c r="S31" s="90"/>
      <c r="T31" s="90"/>
      <c r="V31" s="84"/>
      <c r="W31" s="84"/>
      <c r="X31" s="84"/>
      <c r="Y31" s="12"/>
    </row>
    <row r="32" spans="1:25" ht="19.5" customHeight="1" x14ac:dyDescent="0.25">
      <c r="A32" s="6">
        <v>44924</v>
      </c>
      <c r="B32" s="87"/>
      <c r="C32" s="87"/>
      <c r="D32" s="87"/>
      <c r="E32" s="92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  <c r="S32" s="90"/>
      <c r="T32" s="87"/>
      <c r="V32" s="84"/>
      <c r="W32" s="84"/>
      <c r="X32" s="84"/>
      <c r="Y32" s="12"/>
    </row>
    <row r="33" spans="1:24" ht="19.5" customHeight="1" x14ac:dyDescent="0.25">
      <c r="A33" s="6">
        <v>44925</v>
      </c>
      <c r="B33" s="96"/>
      <c r="C33" s="96"/>
      <c r="D33" s="1"/>
      <c r="E33" s="1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88"/>
      <c r="S33" s="90"/>
      <c r="T33" s="96"/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5" sqref="J25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19269.999999999527</v>
      </c>
      <c r="C18" s="1">
        <f>Submeters!E17</f>
        <v>529.99999999997272</v>
      </c>
      <c r="D18" s="1">
        <f>Submeters!F17</f>
        <v>2499.9999999999468</v>
      </c>
      <c r="E18" s="1">
        <f>Submeters!G17</f>
        <v>269.99999999998181</v>
      </c>
      <c r="F18" s="1">
        <f>(Submeters!I17+Submeters!J17+Submeters!K17)</f>
        <v>1090.0000000000887</v>
      </c>
      <c r="G18" s="1">
        <f>(Submeters!L17+Submeters!M17)</f>
        <v>0</v>
      </c>
      <c r="H18" s="1">
        <f>(Submeters!N17+Submeters!O17)</f>
        <v>1400.0000000001123</v>
      </c>
      <c r="I18" s="1">
        <f>(Submeters!P17+Submeters!Q17+Submeters!R17+Submeters!S17+Submeters!T17+Submeters!U17)</f>
        <v>2560.0000000000364</v>
      </c>
      <c r="J18" s="1">
        <f>(Submeters!V17+Submeters!W17)</f>
        <v>4077.450000000521</v>
      </c>
      <c r="K18" s="1">
        <f>Submeters!X17</f>
        <v>190.00000000005457</v>
      </c>
      <c r="L18" s="24">
        <f t="shared" si="0"/>
        <v>6652.5499999988133</v>
      </c>
    </row>
    <row r="19" spans="1:12" x14ac:dyDescent="0.25">
      <c r="A19" s="10">
        <f>'Kwh Reading'!A20</f>
        <v>44912</v>
      </c>
      <c r="B19" s="65">
        <f>TOTAL!E18</f>
        <v>18439.9999999996</v>
      </c>
      <c r="C19" s="1">
        <f>Submeters!E18</f>
        <v>259.99999999999091</v>
      </c>
      <c r="D19" s="1">
        <f>Submeters!F18</f>
        <v>2699.9999999999245</v>
      </c>
      <c r="E19" s="1">
        <f>Submeters!G18</f>
        <v>270.00000000003865</v>
      </c>
      <c r="F19" s="1">
        <f>(Submeters!I18+Submeters!J18+Submeters!K18)</f>
        <v>1099.9999999999091</v>
      </c>
      <c r="G19" s="1">
        <f>(Submeters!L18+Submeters!M18)</f>
        <v>0</v>
      </c>
      <c r="H19" s="1">
        <f>(Submeters!N18+Submeters!O18)</f>
        <v>1379.9999999999084</v>
      </c>
      <c r="I19" s="1">
        <f>(Submeters!P18+Submeters!Q18+Submeters!R18+Submeters!S18+Submeters!T18+Submeters!U18)</f>
        <v>2730.000000000297</v>
      </c>
      <c r="J19" s="1">
        <f>(Submeters!V18+Submeters!W18)</f>
        <v>3791.3499999995547</v>
      </c>
      <c r="K19" s="1">
        <f>Submeters!X18</f>
        <v>269.99999999998181</v>
      </c>
      <c r="L19" s="24">
        <f t="shared" si="0"/>
        <v>5938.6499999999942</v>
      </c>
    </row>
    <row r="20" spans="1:12" x14ac:dyDescent="0.25">
      <c r="A20" s="10">
        <f>'Kwh Reading'!A21</f>
        <v>44913</v>
      </c>
      <c r="B20" s="65">
        <f>TOTAL!E19</f>
        <v>18700.000000001637</v>
      </c>
      <c r="C20" s="1">
        <f>Submeters!E19</f>
        <v>509.99999999999091</v>
      </c>
      <c r="D20" s="1">
        <f>Submeters!F19</f>
        <v>2499.9999999999468</v>
      </c>
      <c r="E20" s="1">
        <f>Submeters!G19</f>
        <v>250</v>
      </c>
      <c r="F20" s="1">
        <f>(Submeters!I19+Submeters!J19+Submeters!K19)</f>
        <v>1280.0000000000296</v>
      </c>
      <c r="G20" s="1">
        <f>(Submeters!L19+Submeters!M19)</f>
        <v>0</v>
      </c>
      <c r="H20" s="1">
        <f>(Submeters!N19+Submeters!O19)</f>
        <v>1260.0000000001028</v>
      </c>
      <c r="I20" s="1">
        <f>(Submeters!P19+Submeters!Q19+Submeters!R19+Submeters!S19+Submeters!T19+Submeters!U19)</f>
        <v>2589.9999999998668</v>
      </c>
      <c r="J20" s="1">
        <f>(Submeters!V19+Submeters!W19)</f>
        <v>4170.0000000001455</v>
      </c>
      <c r="K20" s="1">
        <f>Submeters!X19</f>
        <v>209.99999999997954</v>
      </c>
      <c r="L20" s="24">
        <f t="shared" si="0"/>
        <v>5930.0000000015716</v>
      </c>
    </row>
    <row r="21" spans="1:12" x14ac:dyDescent="0.25">
      <c r="A21" s="10">
        <f>'Kwh Reading'!A22</f>
        <v>44914</v>
      </c>
      <c r="B21" s="65">
        <f>TOTAL!E20</f>
        <v>17719.999999999345</v>
      </c>
      <c r="C21" s="1">
        <f>Submeters!E20</f>
        <v>460.00000000003638</v>
      </c>
      <c r="D21" s="1">
        <f>Submeters!F20</f>
        <v>2400.0000000001796</v>
      </c>
      <c r="E21" s="1">
        <f>Submeters!G20</f>
        <v>259.99999999999091</v>
      </c>
      <c r="F21" s="1">
        <f>(Submeters!I20+Submeters!J20+Submeters!K20)</f>
        <v>1510.0000000000477</v>
      </c>
      <c r="G21" s="1">
        <f>(Submeters!L20+Submeters!M20)</f>
        <v>0</v>
      </c>
      <c r="H21" s="1">
        <f>(Submeters!N20+Submeters!O20)</f>
        <v>1189.9999999999213</v>
      </c>
      <c r="I21" s="1">
        <f>(Submeters!P20+Submeters!Q20+Submeters!R20+Submeters!S20+Submeters!T20+Submeters!U20)</f>
        <v>2339.9999999997067</v>
      </c>
      <c r="J21" s="1">
        <f>(Submeters!V20+Submeters!W20)</f>
        <v>3796.1299999996263</v>
      </c>
      <c r="K21" s="1">
        <f>Submeters!X20</f>
        <v>220.00000000002728</v>
      </c>
      <c r="L21" s="24">
        <f t="shared" si="0"/>
        <v>5543.869999999808</v>
      </c>
    </row>
    <row r="22" spans="1:12" x14ac:dyDescent="0.25">
      <c r="A22" s="10">
        <f>'Kwh Reading'!A23</f>
        <v>44915</v>
      </c>
      <c r="B22" s="65">
        <f>TOTAL!E21</f>
        <v>17259.999999998399</v>
      </c>
      <c r="C22" s="1">
        <f>Submeters!E21</f>
        <v>610.00000000001364</v>
      </c>
      <c r="D22" s="1">
        <f>Submeters!F21</f>
        <v>2299.9999999999686</v>
      </c>
      <c r="E22" s="1">
        <f>Submeters!G21</f>
        <v>269.99999999998181</v>
      </c>
      <c r="F22" s="1">
        <f>(Submeters!I21+Submeters!J21+Submeters!K21)</f>
        <v>1349.9999999999091</v>
      </c>
      <c r="G22" s="1">
        <f>(Submeters!L21+Submeters!M21)</f>
        <v>0</v>
      </c>
      <c r="H22" s="1">
        <f>(Submeters!N21+Submeters!O21)</f>
        <v>1280.0000000000846</v>
      </c>
      <c r="I22" s="1">
        <f>(Submeters!P21+Submeters!Q21+Submeters!R21+Submeters!S21+Submeters!T21+Submeters!U21)</f>
        <v>2389.9999999998549</v>
      </c>
      <c r="J22" s="1">
        <f>(Submeters!V21+Submeters!W21)</f>
        <v>3715.6599999992613</v>
      </c>
      <c r="K22" s="1">
        <f>Submeters!X21</f>
        <v>199.99999999998863</v>
      </c>
      <c r="L22" s="24">
        <f t="shared" si="0"/>
        <v>5144.3399999993344</v>
      </c>
    </row>
    <row r="23" spans="1:12" x14ac:dyDescent="0.25">
      <c r="A23" s="10">
        <f>'Kwh Reading'!A24</f>
        <v>44916</v>
      </c>
      <c r="B23" s="65">
        <f>TOTAL!E22</f>
        <v>16960</v>
      </c>
      <c r="C23" s="1">
        <f>Submeters!E22</f>
        <v>500</v>
      </c>
      <c r="D23" s="1">
        <f>Submeters!F22</f>
        <v>2399.9999999997358</v>
      </c>
      <c r="E23" s="1">
        <f>Submeters!G22</f>
        <v>270.00000000003865</v>
      </c>
      <c r="F23" s="1">
        <f>(Submeters!I22+Submeters!J22+Submeters!K22)</f>
        <v>1249.9999999999432</v>
      </c>
      <c r="G23" s="1">
        <f>(Submeters!L22+Submeters!M22)</f>
        <v>0</v>
      </c>
      <c r="H23" s="1">
        <f>(Submeters!N22+Submeters!O22)</f>
        <v>1079.9999999998845</v>
      </c>
      <c r="I23" s="1">
        <f>(Submeters!P22+Submeters!Q22+Submeters!R22+Submeters!S22+Submeters!T22+Submeters!U22)</f>
        <v>2150.0000000003574</v>
      </c>
      <c r="J23" s="1">
        <f>(Submeters!V22+Submeters!W22)</f>
        <v>3692.6400000008871</v>
      </c>
      <c r="K23" s="1">
        <f>Submeters!X22</f>
        <v>269.99999999998181</v>
      </c>
      <c r="L23" s="24">
        <f t="shared" si="0"/>
        <v>5347.3599999991711</v>
      </c>
    </row>
    <row r="24" spans="1:12" x14ac:dyDescent="0.25">
      <c r="A24" s="10">
        <f>'Kwh Reading'!A25</f>
        <v>44917</v>
      </c>
      <c r="B24" s="65">
        <f>TOTAL!E23</f>
        <v>18500</v>
      </c>
      <c r="C24" s="1">
        <f>Submeters!E23</f>
        <v>509.99999999999091</v>
      </c>
      <c r="D24" s="1">
        <f>Submeters!F23</f>
        <v>2400.0000000001796</v>
      </c>
      <c r="E24" s="1">
        <f>Submeters!G23</f>
        <v>279.99999999997272</v>
      </c>
      <c r="F24" s="1">
        <f>(Submeters!I23+Submeters!J23+Submeters!K23)</f>
        <v>1270.0000000002092</v>
      </c>
      <c r="G24" s="1">
        <f>(Submeters!L23+Submeters!M23)</f>
        <v>0</v>
      </c>
      <c r="H24" s="1">
        <f>(Submeters!N23+Submeters!O23)</f>
        <v>1290.0000000001323</v>
      </c>
      <c r="I24" s="1">
        <f>(Submeters!P23+Submeters!Q23+Submeters!R23+Submeters!S23+Submeters!T23+Submeters!U23)</f>
        <v>2560.000000000116</v>
      </c>
      <c r="J24" s="1">
        <f>(Submeters!V23+Submeters!W23)</f>
        <v>3920.6200000000827</v>
      </c>
      <c r="K24" s="1">
        <f>Submeters!X23</f>
        <v>220.00000000002728</v>
      </c>
      <c r="L24" s="24">
        <f t="shared" si="0"/>
        <v>6049.3799999992862</v>
      </c>
    </row>
    <row r="25" spans="1:12" x14ac:dyDescent="0.25">
      <c r="A25" s="10">
        <f>'Kwh Reading'!A26</f>
        <v>44918</v>
      </c>
      <c r="B25" s="65">
        <f>TOTAL!E24</f>
        <v>18689.999999998236</v>
      </c>
      <c r="C25" s="1">
        <f>Submeters!E24</f>
        <v>539.99999999996362</v>
      </c>
      <c r="D25" s="1">
        <f>Submeters!F24</f>
        <v>2499.9999999999468</v>
      </c>
      <c r="E25" s="1">
        <f>Submeters!G24</f>
        <v>269.99999999998181</v>
      </c>
      <c r="F25" s="1">
        <f>(Submeters!I24+Submeters!J24+Submeters!K24)</f>
        <v>1349.9999999999091</v>
      </c>
      <c r="G25" s="1">
        <f>(Submeters!L24+Submeters!M24)</f>
        <v>0</v>
      </c>
      <c r="H25" s="1">
        <f>(Submeters!N24+Submeters!O24)</f>
        <v>1449.9999999999015</v>
      </c>
      <c r="I25" s="1">
        <f>(Submeters!P24+Submeters!Q24+Submeters!R24+Submeters!S24+Submeters!T24+Submeters!U24)</f>
        <v>2859.9999999997008</v>
      </c>
      <c r="J25" s="1">
        <f>(Submeters!V24+Submeters!W24)</f>
        <v>4247.810000000216</v>
      </c>
      <c r="K25" s="1">
        <f>Submeters!X24</f>
        <v>229.99999999996135</v>
      </c>
      <c r="L25" s="24">
        <f t="shared" si="0"/>
        <v>5242.1899999986545</v>
      </c>
    </row>
    <row r="26" spans="1:12" x14ac:dyDescent="0.25">
      <c r="A26" s="10">
        <f>'Kwh Reading'!A27</f>
        <v>44919</v>
      </c>
      <c r="B26" s="65">
        <f>TOTAL!E25</f>
        <v>0</v>
      </c>
      <c r="C26" s="1">
        <f>Submeters!E25</f>
        <v>-680650</v>
      </c>
      <c r="D26" s="1">
        <f>Submeters!F25</f>
        <v>-3788500</v>
      </c>
      <c r="E26" s="1">
        <f>Submeters!G25</f>
        <v>-365770</v>
      </c>
      <c r="F26" s="1">
        <f>(Submeters!I25+Submeters!J25+Submeters!K25)</f>
        <v>-1444230</v>
      </c>
      <c r="G26" s="1">
        <f>(Submeters!L25+Submeters!M25)</f>
        <v>-369200</v>
      </c>
      <c r="H26" s="1">
        <f>(Submeters!N25+Submeters!O25)</f>
        <v>-1990270</v>
      </c>
      <c r="I26" s="1">
        <f>(Submeters!P25+Submeters!Q25+Submeters!R25+Submeters!S25+Submeters!T25+Submeters!U25)</f>
        <v>-5813010</v>
      </c>
      <c r="J26" s="1">
        <f>(Submeters!V25+Submeters!W25)</f>
        <v>-9739459.9700000007</v>
      </c>
      <c r="K26" s="1">
        <f>Submeters!X25</f>
        <v>-266840</v>
      </c>
      <c r="L26" s="24">
        <f t="shared" si="0"/>
        <v>24457929.969999999</v>
      </c>
    </row>
    <row r="27" spans="1:12" x14ac:dyDescent="0.25">
      <c r="A27" s="10">
        <f>'Kwh Reading'!A28</f>
        <v>44920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44921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44922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44923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-359650</v>
      </c>
      <c r="F33" s="60">
        <f t="shared" si="1"/>
        <v>-1418830</v>
      </c>
      <c r="G33" s="60">
        <f t="shared" si="1"/>
        <v>-369200</v>
      </c>
      <c r="H33" s="60">
        <f t="shared" si="1"/>
        <v>-1960920</v>
      </c>
      <c r="I33" s="60">
        <f t="shared" si="1"/>
        <v>-5757680</v>
      </c>
      <c r="J33" s="60">
        <f t="shared" si="1"/>
        <v>-9649898.3800000008</v>
      </c>
      <c r="K33" s="60">
        <f t="shared" si="1"/>
        <v>-261560.00000000003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26" sqref="Q26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>
        <v>24410</v>
      </c>
      <c r="C19" s="25">
        <v>37465</v>
      </c>
      <c r="D19" s="85">
        <v>298897</v>
      </c>
      <c r="E19" s="85">
        <v>284864</v>
      </c>
      <c r="F19" s="85">
        <v>67406</v>
      </c>
      <c r="G19" s="85">
        <v>124219</v>
      </c>
      <c r="H19" s="25">
        <v>174</v>
      </c>
      <c r="I19" s="105">
        <v>80017</v>
      </c>
      <c r="J19" s="85">
        <v>23964</v>
      </c>
      <c r="K19" s="25">
        <v>1024</v>
      </c>
      <c r="L19" s="85">
        <v>19552</v>
      </c>
      <c r="M19" s="85">
        <v>28656</v>
      </c>
      <c r="N19" s="85">
        <v>6067</v>
      </c>
      <c r="O19" s="25">
        <v>2451</v>
      </c>
      <c r="P19" s="85">
        <v>32811</v>
      </c>
      <c r="Q19" s="85">
        <v>2323</v>
      </c>
      <c r="R19" s="85">
        <v>922</v>
      </c>
    </row>
    <row r="20" spans="1:21" x14ac:dyDescent="0.25">
      <c r="A20" s="44">
        <v>44913</v>
      </c>
      <c r="B20" s="25">
        <v>24490</v>
      </c>
      <c r="C20" s="45">
        <v>37748</v>
      </c>
      <c r="D20" s="86">
        <v>299082</v>
      </c>
      <c r="E20" s="85">
        <v>284944</v>
      </c>
      <c r="F20" s="85">
        <v>67407</v>
      </c>
      <c r="G20" s="85">
        <v>124241</v>
      </c>
      <c r="H20" s="25">
        <v>196</v>
      </c>
      <c r="I20" s="105">
        <v>80037</v>
      </c>
      <c r="J20" s="85">
        <v>23970</v>
      </c>
      <c r="K20" s="25">
        <v>1024</v>
      </c>
      <c r="L20" s="85">
        <v>19555</v>
      </c>
      <c r="M20" s="85">
        <v>28663</v>
      </c>
      <c r="N20" s="85">
        <v>9069</v>
      </c>
      <c r="O20" s="25">
        <v>2453</v>
      </c>
      <c r="P20" s="85">
        <v>32823</v>
      </c>
      <c r="Q20" s="85">
        <v>2324</v>
      </c>
      <c r="R20" s="85">
        <v>924</v>
      </c>
    </row>
    <row r="21" spans="1:21" x14ac:dyDescent="0.25">
      <c r="A21" s="44">
        <v>44914</v>
      </c>
      <c r="B21" s="25">
        <v>24628</v>
      </c>
      <c r="C21" s="25">
        <v>37950</v>
      </c>
      <c r="D21" s="85">
        <v>299246</v>
      </c>
      <c r="E21" s="85">
        <v>285025</v>
      </c>
      <c r="F21" s="85">
        <v>67408</v>
      </c>
      <c r="G21" s="85">
        <v>124270</v>
      </c>
      <c r="H21" s="25">
        <v>218</v>
      </c>
      <c r="I21" s="105">
        <v>80040</v>
      </c>
      <c r="J21" s="85">
        <v>23977</v>
      </c>
      <c r="K21" s="25">
        <v>1024</v>
      </c>
      <c r="L21" s="85">
        <v>19558</v>
      </c>
      <c r="M21" s="85">
        <v>28669</v>
      </c>
      <c r="N21" s="85">
        <v>9070</v>
      </c>
      <c r="O21" s="25">
        <v>2456</v>
      </c>
      <c r="P21" s="85">
        <v>32825</v>
      </c>
      <c r="Q21" s="85">
        <v>2325</v>
      </c>
      <c r="R21" s="85">
        <v>928</v>
      </c>
    </row>
    <row r="22" spans="1:21" x14ac:dyDescent="0.25">
      <c r="A22" s="44">
        <v>44915</v>
      </c>
      <c r="B22" s="25">
        <v>24782</v>
      </c>
      <c r="C22" s="45">
        <v>38124</v>
      </c>
      <c r="D22" s="85">
        <v>299408</v>
      </c>
      <c r="E22" s="85">
        <v>285103</v>
      </c>
      <c r="F22" s="85">
        <v>67408</v>
      </c>
      <c r="G22" s="85">
        <v>124300</v>
      </c>
      <c r="H22" s="25">
        <v>233</v>
      </c>
      <c r="I22" s="105">
        <v>80043</v>
      </c>
      <c r="J22" s="25">
        <v>23983</v>
      </c>
      <c r="K22" s="25">
        <v>1024</v>
      </c>
      <c r="L22" s="85">
        <v>19561</v>
      </c>
      <c r="M22" s="85">
        <v>28681</v>
      </c>
      <c r="N22" s="85">
        <v>9072</v>
      </c>
      <c r="O22" s="25">
        <v>2457</v>
      </c>
      <c r="P22" s="85">
        <v>32827</v>
      </c>
      <c r="Q22" s="85">
        <v>2325</v>
      </c>
      <c r="R22" s="85">
        <v>932</v>
      </c>
    </row>
    <row r="23" spans="1:21" x14ac:dyDescent="0.25">
      <c r="A23" s="44">
        <v>44916</v>
      </c>
      <c r="B23" s="25">
        <v>24921</v>
      </c>
      <c r="C23" s="25">
        <v>38285</v>
      </c>
      <c r="D23" s="85">
        <v>299547</v>
      </c>
      <c r="E23" s="85">
        <v>285176</v>
      </c>
      <c r="F23" s="85">
        <v>67409</v>
      </c>
      <c r="G23" s="85">
        <v>124329</v>
      </c>
      <c r="H23" s="25">
        <v>252</v>
      </c>
      <c r="I23" s="105">
        <v>80045</v>
      </c>
      <c r="J23" s="25">
        <v>23989</v>
      </c>
      <c r="K23" s="25">
        <v>1024</v>
      </c>
      <c r="L23" s="85">
        <v>19564</v>
      </c>
      <c r="M23" s="85">
        <v>28681</v>
      </c>
      <c r="N23" s="85">
        <v>9072</v>
      </c>
      <c r="O23" s="25">
        <v>2458</v>
      </c>
      <c r="P23" s="85">
        <v>32829</v>
      </c>
      <c r="Q23" s="85">
        <v>2327</v>
      </c>
      <c r="R23" s="85">
        <v>939</v>
      </c>
      <c r="S23" s="8" t="s">
        <v>114</v>
      </c>
    </row>
    <row r="24" spans="1:21" x14ac:dyDescent="0.25">
      <c r="A24" s="44">
        <v>44917</v>
      </c>
      <c r="B24" s="25">
        <v>25017</v>
      </c>
      <c r="C24" s="45">
        <v>38478</v>
      </c>
      <c r="D24" s="85">
        <v>299660</v>
      </c>
      <c r="E24" s="85">
        <v>285253</v>
      </c>
      <c r="F24" s="85">
        <v>67410</v>
      </c>
      <c r="G24" s="85">
        <v>124354</v>
      </c>
      <c r="H24" s="25">
        <v>275</v>
      </c>
      <c r="I24" s="105">
        <v>80059</v>
      </c>
      <c r="J24" s="85">
        <v>23995</v>
      </c>
      <c r="K24" s="25">
        <v>1024</v>
      </c>
      <c r="L24" s="85">
        <v>19567</v>
      </c>
      <c r="M24" s="85">
        <v>28687</v>
      </c>
      <c r="N24" s="85">
        <v>9074</v>
      </c>
      <c r="O24" s="25">
        <v>2460</v>
      </c>
      <c r="P24" s="85">
        <v>32834</v>
      </c>
      <c r="Q24" s="85">
        <v>2327</v>
      </c>
      <c r="R24" s="85">
        <v>944</v>
      </c>
      <c r="S24" s="8" t="s">
        <v>116</v>
      </c>
    </row>
    <row r="25" spans="1:21" x14ac:dyDescent="0.25">
      <c r="A25" s="44">
        <v>44918</v>
      </c>
      <c r="B25" s="25">
        <v>25128</v>
      </c>
      <c r="C25" s="25">
        <v>38695</v>
      </c>
      <c r="D25" s="85">
        <v>299811</v>
      </c>
      <c r="E25" s="85">
        <v>285330</v>
      </c>
      <c r="F25" s="85">
        <v>67411</v>
      </c>
      <c r="G25" s="85">
        <v>124379</v>
      </c>
      <c r="H25" s="25">
        <v>296</v>
      </c>
      <c r="I25" s="105">
        <v>80079</v>
      </c>
      <c r="J25" s="85">
        <v>24000</v>
      </c>
      <c r="K25" s="25">
        <v>1024</v>
      </c>
      <c r="L25" s="85">
        <v>19570</v>
      </c>
      <c r="M25" s="85">
        <v>28694</v>
      </c>
      <c r="N25" s="85">
        <v>907</v>
      </c>
      <c r="O25" s="25">
        <v>2463</v>
      </c>
      <c r="P25" s="85">
        <v>32848</v>
      </c>
      <c r="Q25" s="85">
        <v>2333</v>
      </c>
      <c r="R25" s="85">
        <v>950</v>
      </c>
    </row>
    <row r="26" spans="1:21" x14ac:dyDescent="0.25">
      <c r="A26" s="44">
        <v>44919</v>
      </c>
      <c r="B26" s="25">
        <v>25283</v>
      </c>
      <c r="C26" s="45">
        <v>38892</v>
      </c>
      <c r="D26" s="85">
        <v>299966</v>
      </c>
      <c r="E26" s="85">
        <v>285417</v>
      </c>
      <c r="F26" s="85">
        <v>67411</v>
      </c>
      <c r="G26" s="85">
        <v>124409</v>
      </c>
      <c r="H26" s="25">
        <v>324</v>
      </c>
      <c r="I26" s="105">
        <v>80083</v>
      </c>
      <c r="J26" s="85">
        <v>24008</v>
      </c>
      <c r="K26" s="25">
        <v>1024</v>
      </c>
      <c r="L26" s="85">
        <v>19573</v>
      </c>
      <c r="M26" s="85">
        <v>28700</v>
      </c>
      <c r="N26" s="85">
        <v>9076</v>
      </c>
      <c r="O26" s="25">
        <v>2465</v>
      </c>
      <c r="P26" s="85">
        <v>32848</v>
      </c>
      <c r="Q26" s="85">
        <v>2336</v>
      </c>
      <c r="R26" s="85">
        <v>956</v>
      </c>
    </row>
    <row r="27" spans="1:21" x14ac:dyDescent="0.25">
      <c r="A27" s="44">
        <v>44920</v>
      </c>
      <c r="B27" s="25"/>
      <c r="C27" s="25"/>
      <c r="D27" s="85"/>
      <c r="E27" s="85"/>
      <c r="F27" s="85"/>
      <c r="G27" s="85"/>
      <c r="H27" s="25"/>
      <c r="I27" s="105"/>
      <c r="J27" s="85"/>
      <c r="K27" s="25"/>
      <c r="L27" s="85"/>
      <c r="M27" s="85"/>
      <c r="N27" s="85"/>
      <c r="O27" s="25"/>
      <c r="P27" s="85"/>
      <c r="Q27" s="85"/>
      <c r="R27" s="85"/>
    </row>
    <row r="28" spans="1:21" x14ac:dyDescent="0.25">
      <c r="A28" s="44">
        <v>44921</v>
      </c>
      <c r="B28" s="25"/>
      <c r="C28" s="45"/>
      <c r="D28" s="85"/>
      <c r="E28" s="85"/>
      <c r="F28" s="85"/>
      <c r="G28" s="85"/>
      <c r="H28" s="25"/>
      <c r="I28" s="105"/>
      <c r="J28" s="85"/>
      <c r="K28" s="25"/>
      <c r="L28" s="25"/>
      <c r="M28" s="85"/>
      <c r="N28" s="85"/>
      <c r="O28" s="25"/>
      <c r="P28" s="85"/>
      <c r="Q28" s="85"/>
      <c r="R28" s="85"/>
    </row>
    <row r="29" spans="1:21" x14ac:dyDescent="0.25">
      <c r="A29" s="44">
        <v>44922</v>
      </c>
      <c r="B29" s="25"/>
      <c r="C29" s="25"/>
      <c r="D29" s="85"/>
      <c r="E29" s="85"/>
      <c r="F29" s="85"/>
      <c r="G29" s="85"/>
      <c r="H29" s="25"/>
      <c r="I29" s="120"/>
      <c r="J29" s="85"/>
      <c r="K29" s="25"/>
      <c r="L29" s="85"/>
      <c r="M29" s="85"/>
      <c r="N29" s="85"/>
      <c r="O29" s="25"/>
      <c r="P29" s="85"/>
      <c r="Q29" s="85"/>
      <c r="R29" s="85"/>
    </row>
    <row r="30" spans="1:21" x14ac:dyDescent="0.25">
      <c r="A30" s="44">
        <v>44923</v>
      </c>
      <c r="B30" s="25"/>
      <c r="C30" s="45"/>
      <c r="D30" s="85"/>
      <c r="E30" s="85"/>
      <c r="F30" s="85"/>
      <c r="G30" s="85"/>
      <c r="H30" s="25"/>
      <c r="I30" s="105"/>
      <c r="J30" s="85"/>
      <c r="K30" s="25"/>
      <c r="L30" s="25"/>
      <c r="M30" s="85"/>
      <c r="N30" s="85"/>
      <c r="O30" s="25"/>
      <c r="P30" s="85"/>
      <c r="Q30" s="85"/>
      <c r="R30" s="85"/>
    </row>
    <row r="31" spans="1:21" x14ac:dyDescent="0.25">
      <c r="A31" s="44">
        <v>44924</v>
      </c>
      <c r="B31" s="25"/>
      <c r="C31" s="45"/>
      <c r="D31" s="85"/>
      <c r="E31" s="85"/>
      <c r="F31" s="85"/>
      <c r="G31" s="85"/>
      <c r="H31" s="25"/>
      <c r="I31" s="105"/>
      <c r="J31" s="85"/>
      <c r="K31" s="25"/>
      <c r="L31" s="25"/>
      <c r="M31" s="85"/>
      <c r="N31" s="85"/>
      <c r="O31" s="25"/>
      <c r="P31" s="85"/>
      <c r="Q31" s="85"/>
      <c r="R31" s="85"/>
    </row>
    <row r="32" spans="1:21" x14ac:dyDescent="0.25">
      <c r="A32" s="44">
        <v>44925</v>
      </c>
      <c r="B32" s="25"/>
      <c r="C32" s="25"/>
      <c r="D32" s="25"/>
      <c r="E32" s="25"/>
      <c r="F32" s="25"/>
      <c r="G32" s="25"/>
      <c r="H32" s="45"/>
      <c r="I32" s="25"/>
      <c r="J32" s="25"/>
      <c r="K32" s="85"/>
      <c r="L32" s="25"/>
      <c r="M32" s="25"/>
      <c r="N32" s="25"/>
      <c r="O32" s="25"/>
      <c r="P32" s="25"/>
      <c r="Q32" s="25"/>
      <c r="R32" s="25"/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C26" sqref="C26:Y26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1" t="s">
        <v>30</v>
      </c>
      <c r="B2" s="162" t="s">
        <v>97</v>
      </c>
      <c r="C2" s="162" t="s">
        <v>98</v>
      </c>
      <c r="D2" s="162"/>
      <c r="E2" s="163" t="s">
        <v>86</v>
      </c>
      <c r="F2" s="164"/>
      <c r="G2" s="165" t="s">
        <v>101</v>
      </c>
      <c r="H2" s="164"/>
      <c r="I2" s="165" t="s">
        <v>99</v>
      </c>
      <c r="J2" s="164"/>
      <c r="K2" s="165" t="s">
        <v>100</v>
      </c>
      <c r="L2" s="164"/>
      <c r="M2" s="165" t="s">
        <v>96</v>
      </c>
      <c r="N2" s="164"/>
      <c r="O2" s="165" t="s">
        <v>95</v>
      </c>
      <c r="P2" s="164"/>
      <c r="Q2" s="165" t="s">
        <v>102</v>
      </c>
      <c r="R2" s="164"/>
      <c r="S2" s="165" t="s">
        <v>103</v>
      </c>
      <c r="T2" s="164"/>
      <c r="U2" s="165" t="s">
        <v>104</v>
      </c>
      <c r="V2" s="164"/>
      <c r="W2" s="165" t="s">
        <v>88</v>
      </c>
      <c r="X2" s="166"/>
      <c r="Y2" s="167" t="s">
        <v>41</v>
      </c>
      <c r="Z2" s="167"/>
    </row>
    <row r="3" spans="1:26" ht="30" x14ac:dyDescent="0.35">
      <c r="A3" s="161"/>
      <c r="B3" s="162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306</v>
      </c>
      <c r="C19" s="53">
        <f>('Water Reading'!B19-'Water Reading'!B18)+('Water Reading'!C19-'Water Reading'!C18)</f>
        <v>323</v>
      </c>
      <c r="D19" s="54">
        <f t="shared" si="2"/>
        <v>1.0555555555555556</v>
      </c>
      <c r="E19" s="68">
        <f>'Water Reading'!H19-'Water Reading'!H18</f>
        <v>18</v>
      </c>
      <c r="F19" s="69">
        <f t="shared" si="3"/>
        <v>5.5727554179566562E-2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0.48606811145510836</v>
      </c>
      <c r="I19" s="70">
        <f>'Water Reading'!P19-'Water Reading'!P18</f>
        <v>25</v>
      </c>
      <c r="J19" s="55">
        <f t="shared" si="5"/>
        <v>7.7399380804953566E-2</v>
      </c>
      <c r="K19" s="71">
        <f>('Water Reading'!I19-'Water Reading'!I18)-('Water Reading'!P19-'Water Reading'!P18)</f>
        <v>-8</v>
      </c>
      <c r="L19" s="55">
        <f t="shared" si="6"/>
        <v>-2.4767801857585141E-2</v>
      </c>
      <c r="M19" s="70">
        <f>'Water Reading'!R19-'Water Reading'!R18</f>
        <v>4</v>
      </c>
      <c r="N19" s="72">
        <f t="shared" si="7"/>
        <v>1.238390092879257E-2</v>
      </c>
      <c r="O19" s="70">
        <f>'Water Reading'!Q19-'Water Reading'!Q18</f>
        <v>7</v>
      </c>
      <c r="P19" s="77">
        <f t="shared" si="8"/>
        <v>2.1671826625386997E-2</v>
      </c>
      <c r="Q19" s="71">
        <f>'Water Reading'!F19-'Water Reading'!F18</f>
        <v>1</v>
      </c>
      <c r="R19" s="78">
        <f t="shared" si="9"/>
        <v>3.0959752321981426E-3</v>
      </c>
      <c r="S19" s="70">
        <f>'Water Reading'!E19-'Water Reading'!E18</f>
        <v>72</v>
      </c>
      <c r="T19" s="78">
        <f t="shared" si="10"/>
        <v>0.22291021671826625</v>
      </c>
      <c r="U19" s="70">
        <f>'Water Reading'!G19-'Water Reading'!G18</f>
        <v>24</v>
      </c>
      <c r="V19" s="78">
        <f t="shared" si="11"/>
        <v>7.4303405572755415E-2</v>
      </c>
      <c r="W19" s="71">
        <f>'Water Reading'!J19-'Water Reading'!J18</f>
        <v>6</v>
      </c>
      <c r="X19" s="78">
        <f t="shared" si="12"/>
        <v>1.8575851393188854E-2</v>
      </c>
      <c r="Y19" s="53">
        <f t="shared" si="0"/>
        <v>306</v>
      </c>
      <c r="Z19" s="54">
        <f t="shared" si="1"/>
        <v>1</v>
      </c>
    </row>
    <row r="20" spans="1:26" x14ac:dyDescent="0.25">
      <c r="A20" s="6">
        <f>'Water Reading'!A19</f>
        <v>44912</v>
      </c>
      <c r="B20" s="52">
        <f>TOTAL!I18</f>
        <v>336</v>
      </c>
      <c r="C20" s="53">
        <f>('Water Reading'!B20-'Water Reading'!B19)+('Water Reading'!C20-'Water Reading'!C19)</f>
        <v>363</v>
      </c>
      <c r="D20" s="54">
        <f t="shared" si="2"/>
        <v>1.0803571428571428</v>
      </c>
      <c r="E20" s="68">
        <f>'Water Reading'!H20-'Water Reading'!H19</f>
        <v>22</v>
      </c>
      <c r="F20" s="69">
        <f t="shared" si="3"/>
        <v>6.0606060606060608E-2</v>
      </c>
      <c r="G20" s="73">
        <f>('Water Reading'!D20-'Water Reading'!D19)-('Water Reading'!R20-'Water Reading'!R19)-('Water Reading'!Q20-'Water Reading'!Q19)</f>
        <v>182</v>
      </c>
      <c r="H20" s="69">
        <f t="shared" si="4"/>
        <v>0.50137741046831952</v>
      </c>
      <c r="I20" s="70">
        <f>'Water Reading'!P20-'Water Reading'!P19</f>
        <v>12</v>
      </c>
      <c r="J20" s="55">
        <f t="shared" si="5"/>
        <v>3.3057851239669422E-2</v>
      </c>
      <c r="K20" s="71">
        <f>('Water Reading'!I20-'Water Reading'!I19)-('Water Reading'!P20-'Water Reading'!P19)</f>
        <v>8</v>
      </c>
      <c r="L20" s="55">
        <f t="shared" si="6"/>
        <v>2.2038567493112948E-2</v>
      </c>
      <c r="M20" s="70">
        <f>'Water Reading'!R20-'Water Reading'!R19</f>
        <v>2</v>
      </c>
      <c r="N20" s="72">
        <f t="shared" si="7"/>
        <v>5.5096418732782371E-3</v>
      </c>
      <c r="O20" s="70">
        <f>'Water Reading'!Q20-'Water Reading'!Q19</f>
        <v>1</v>
      </c>
      <c r="P20" s="77">
        <f t="shared" si="8"/>
        <v>2.7548209366391185E-3</v>
      </c>
      <c r="Q20" s="71">
        <f>'Water Reading'!F20-'Water Reading'!F19</f>
        <v>1</v>
      </c>
      <c r="R20" s="78">
        <f t="shared" si="9"/>
        <v>2.7548209366391185E-3</v>
      </c>
      <c r="S20" s="70">
        <f>'Water Reading'!E20-'Water Reading'!E19</f>
        <v>80</v>
      </c>
      <c r="T20" s="78">
        <f t="shared" si="10"/>
        <v>0.22038567493112948</v>
      </c>
      <c r="U20" s="70">
        <f>'Water Reading'!G20-'Water Reading'!G19</f>
        <v>22</v>
      </c>
      <c r="V20" s="78">
        <f t="shared" si="11"/>
        <v>6.0606060606060608E-2</v>
      </c>
      <c r="W20" s="102">
        <f>'Water Reading'!J20-'Water Reading'!J19</f>
        <v>6</v>
      </c>
      <c r="X20" s="78">
        <f t="shared" si="12"/>
        <v>1.6528925619834711E-2</v>
      </c>
      <c r="Y20" s="53">
        <f t="shared" si="0"/>
        <v>336</v>
      </c>
      <c r="Z20" s="54">
        <f t="shared" si="1"/>
        <v>1</v>
      </c>
    </row>
    <row r="21" spans="1:26" x14ac:dyDescent="0.25">
      <c r="A21" s="6">
        <f>'Water Reading'!A20</f>
        <v>44913</v>
      </c>
      <c r="B21" s="52">
        <f>TOTAL!I19</f>
        <v>307</v>
      </c>
      <c r="C21" s="53">
        <f>('Water Reading'!B21-'Water Reading'!B20)+('Water Reading'!C21-'Water Reading'!C20)</f>
        <v>340</v>
      </c>
      <c r="D21" s="54">
        <f t="shared" si="2"/>
        <v>1.1074918566775245</v>
      </c>
      <c r="E21" s="68">
        <f>'Water Reading'!H21-'Water Reading'!H20</f>
        <v>22</v>
      </c>
      <c r="F21" s="69">
        <f t="shared" si="3"/>
        <v>6.4705882352941183E-2</v>
      </c>
      <c r="G21" s="73">
        <f>('Water Reading'!D21-'Water Reading'!D20)-('Water Reading'!R21-'Water Reading'!R20)-('Water Reading'!Q21-'Water Reading'!Q20)</f>
        <v>159</v>
      </c>
      <c r="H21" s="69">
        <f t="shared" si="4"/>
        <v>0.46764705882352942</v>
      </c>
      <c r="I21" s="70">
        <f>'Water Reading'!P21-'Water Reading'!P20</f>
        <v>2</v>
      </c>
      <c r="J21" s="55">
        <f t="shared" si="5"/>
        <v>5.8823529411764705E-3</v>
      </c>
      <c r="K21" s="71">
        <f>('Water Reading'!I21-'Water Reading'!I20)-('Water Reading'!P21-'Water Reading'!P20)</f>
        <v>1</v>
      </c>
      <c r="L21" s="55">
        <f t="shared" si="6"/>
        <v>2.9411764705882353E-3</v>
      </c>
      <c r="M21" s="70">
        <f>'Water Reading'!R21-'Water Reading'!R20</f>
        <v>4</v>
      </c>
      <c r="N21" s="72">
        <f t="shared" si="7"/>
        <v>1.1764705882352941E-2</v>
      </c>
      <c r="O21" s="70">
        <f>'Water Reading'!Q21-'Water Reading'!Q20</f>
        <v>1</v>
      </c>
      <c r="P21" s="77">
        <f t="shared" si="8"/>
        <v>2.9411764705882353E-3</v>
      </c>
      <c r="Q21" s="71">
        <f>'Water Reading'!F21-'Water Reading'!F20</f>
        <v>1</v>
      </c>
      <c r="R21" s="78">
        <f t="shared" si="9"/>
        <v>2.9411764705882353E-3</v>
      </c>
      <c r="S21" s="70">
        <f>'Water Reading'!E21-'Water Reading'!E20</f>
        <v>81</v>
      </c>
      <c r="T21" s="78">
        <f t="shared" si="10"/>
        <v>0.23823529411764705</v>
      </c>
      <c r="U21" s="70">
        <f>'Water Reading'!G21-'Water Reading'!G20</f>
        <v>29</v>
      </c>
      <c r="V21" s="78">
        <f t="shared" si="11"/>
        <v>8.5294117647058826E-2</v>
      </c>
      <c r="W21" s="71">
        <f>'Water Reading'!J21-'Water Reading'!J20</f>
        <v>7</v>
      </c>
      <c r="X21" s="78">
        <f t="shared" si="12"/>
        <v>2.0588235294117647E-2</v>
      </c>
      <c r="Y21" s="53">
        <f t="shared" si="0"/>
        <v>307</v>
      </c>
      <c r="Z21" s="54">
        <f t="shared" si="1"/>
        <v>1</v>
      </c>
    </row>
    <row r="22" spans="1:26" x14ac:dyDescent="0.25">
      <c r="A22" s="6">
        <f>'Water Reading'!A21</f>
        <v>44914</v>
      </c>
      <c r="B22" s="52">
        <f>TOTAL!I20</f>
        <v>294</v>
      </c>
      <c r="C22" s="53">
        <f>('Water Reading'!B22-'Water Reading'!B21)+('Water Reading'!C22-'Water Reading'!C21)</f>
        <v>328</v>
      </c>
      <c r="D22" s="54">
        <f t="shared" si="2"/>
        <v>1.1156462585034013</v>
      </c>
      <c r="E22" s="68">
        <f>'Water Reading'!H22-'Water Reading'!H21</f>
        <v>15</v>
      </c>
      <c r="F22" s="69">
        <f t="shared" si="3"/>
        <v>4.573170731707317E-2</v>
      </c>
      <c r="G22" s="73">
        <f>('Water Reading'!D22-'Water Reading'!D21)-('Water Reading'!R22-'Water Reading'!R21)-('Water Reading'!Q22-'Water Reading'!Q21)</f>
        <v>158</v>
      </c>
      <c r="H22" s="69">
        <f t="shared" si="4"/>
        <v>0.48170731707317072</v>
      </c>
      <c r="I22" s="109">
        <f>'Water Reading'!P22-'Water Reading'!P21</f>
        <v>2</v>
      </c>
      <c r="J22" s="55">
        <f t="shared" si="5"/>
        <v>6.0975609756097563E-3</v>
      </c>
      <c r="K22" s="71">
        <f>('Water Reading'!I22-'Water Reading'!I21)-('Water Reading'!P22-'Water Reading'!P21)</f>
        <v>1</v>
      </c>
      <c r="L22" s="55">
        <f t="shared" si="6"/>
        <v>3.0487804878048782E-3</v>
      </c>
      <c r="M22" s="70">
        <f>'Water Reading'!R22-'Water Reading'!R21</f>
        <v>4</v>
      </c>
      <c r="N22" s="72">
        <f t="shared" si="7"/>
        <v>1.2195121951219513E-2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0</v>
      </c>
      <c r="R22" s="78">
        <f t="shared" si="9"/>
        <v>0</v>
      </c>
      <c r="S22" s="70">
        <f>'Water Reading'!E22-'Water Reading'!E21</f>
        <v>78</v>
      </c>
      <c r="T22" s="78">
        <f t="shared" si="10"/>
        <v>0.23780487804878048</v>
      </c>
      <c r="U22" s="70">
        <f>'Water Reading'!G22-'Water Reading'!G21</f>
        <v>30</v>
      </c>
      <c r="V22" s="78">
        <f t="shared" si="11"/>
        <v>9.1463414634146339E-2</v>
      </c>
      <c r="W22" s="71">
        <f>'Water Reading'!J22-'Water Reading'!J21</f>
        <v>6</v>
      </c>
      <c r="X22" s="78">
        <f t="shared" si="12"/>
        <v>1.8292682926829267E-2</v>
      </c>
      <c r="Y22" s="53">
        <f t="shared" si="0"/>
        <v>294</v>
      </c>
      <c r="Z22" s="54">
        <f t="shared" si="1"/>
        <v>1</v>
      </c>
    </row>
    <row r="23" spans="1:26" x14ac:dyDescent="0.25">
      <c r="A23" s="6">
        <f>'Water Reading'!A22</f>
        <v>44915</v>
      </c>
      <c r="B23" s="52">
        <f>TOTAL!I21</f>
        <v>269</v>
      </c>
      <c r="C23" s="53">
        <f>('Water Reading'!B23-'Water Reading'!B22)+('Water Reading'!C23-'Water Reading'!C22)</f>
        <v>300</v>
      </c>
      <c r="D23" s="54">
        <f t="shared" si="2"/>
        <v>1.1152416356877324</v>
      </c>
      <c r="E23" s="68">
        <f>'Water Reading'!H23-'Water Reading'!H22</f>
        <v>19</v>
      </c>
      <c r="F23" s="69">
        <f t="shared" si="3"/>
        <v>6.3333333333333339E-2</v>
      </c>
      <c r="G23" s="73">
        <f>('Water Reading'!D23-'Water Reading'!D22)-('Water Reading'!R23-'Water Reading'!R22)-('Water Reading'!Q23-'Water Reading'!Q22)</f>
        <v>130</v>
      </c>
      <c r="H23" s="69">
        <f t="shared" si="4"/>
        <v>0.43333333333333335</v>
      </c>
      <c r="I23" s="109">
        <f>'Water Reading'!P23-'Water Reading'!P22</f>
        <v>2</v>
      </c>
      <c r="J23" s="55">
        <f t="shared" si="5"/>
        <v>6.6666666666666671E-3</v>
      </c>
      <c r="K23" s="71">
        <f>('Water Reading'!I23-'Water Reading'!I22)-('Water Reading'!P23-'Water Reading'!P22)</f>
        <v>0</v>
      </c>
      <c r="L23" s="55">
        <f t="shared" si="6"/>
        <v>0</v>
      </c>
      <c r="M23" s="70">
        <f>'Water Reading'!R23-'Water Reading'!R22</f>
        <v>7</v>
      </c>
      <c r="N23" s="72">
        <f t="shared" si="7"/>
        <v>2.3333333333333334E-2</v>
      </c>
      <c r="O23" s="109">
        <f>'Water Reading'!Q23-'Water Reading'!Q22</f>
        <v>2</v>
      </c>
      <c r="P23" s="77">
        <f t="shared" si="8"/>
        <v>6.6666666666666671E-3</v>
      </c>
      <c r="Q23" s="71">
        <f>'Water Reading'!F23-'Water Reading'!F22</f>
        <v>1</v>
      </c>
      <c r="R23" s="78">
        <f t="shared" si="9"/>
        <v>3.3333333333333335E-3</v>
      </c>
      <c r="S23" s="70">
        <f>'Water Reading'!E23-'Water Reading'!E22</f>
        <v>73</v>
      </c>
      <c r="T23" s="78">
        <f t="shared" si="10"/>
        <v>0.24333333333333335</v>
      </c>
      <c r="U23" s="70">
        <f>'Water Reading'!G23-'Water Reading'!G22</f>
        <v>29</v>
      </c>
      <c r="V23" s="78">
        <f t="shared" si="11"/>
        <v>9.6666666666666665E-2</v>
      </c>
      <c r="W23" s="71">
        <f>'Water Reading'!J23-'Water Reading'!J22</f>
        <v>6</v>
      </c>
      <c r="X23" s="78">
        <f t="shared" si="12"/>
        <v>0.02</v>
      </c>
      <c r="Y23" s="53">
        <f t="shared" si="0"/>
        <v>269</v>
      </c>
      <c r="Z23" s="54">
        <f t="shared" si="1"/>
        <v>1</v>
      </c>
    </row>
    <row r="24" spans="1:26" x14ac:dyDescent="0.25">
      <c r="A24" s="6">
        <f>'Water Reading'!A23</f>
        <v>44916</v>
      </c>
      <c r="B24" s="52">
        <f>TOTAL!I22</f>
        <v>259</v>
      </c>
      <c r="C24" s="53">
        <f>('Water Reading'!B24-'Water Reading'!B23)+('Water Reading'!C24-'Water Reading'!C23)</f>
        <v>289</v>
      </c>
      <c r="D24" s="54">
        <f t="shared" si="2"/>
        <v>1.1158301158301158</v>
      </c>
      <c r="E24" s="68">
        <f>'Water Reading'!H24-'Water Reading'!H23</f>
        <v>23</v>
      </c>
      <c r="F24" s="69">
        <f t="shared" si="3"/>
        <v>7.9584775086505188E-2</v>
      </c>
      <c r="G24" s="73">
        <f>('Water Reading'!D24-'Water Reading'!D23)-('Water Reading'!R24-'Water Reading'!R23)-('Water Reading'!Q24-'Water Reading'!Q23)</f>
        <v>108</v>
      </c>
      <c r="H24" s="69">
        <f t="shared" si="4"/>
        <v>0.37370242214532873</v>
      </c>
      <c r="I24" s="70">
        <f>'Water Reading'!P24-'Water Reading'!P23</f>
        <v>5</v>
      </c>
      <c r="J24" s="55">
        <f t="shared" si="5"/>
        <v>1.7301038062283738E-2</v>
      </c>
      <c r="K24" s="71">
        <f>('Water Reading'!I24-'Water Reading'!I23)-('Water Reading'!P24-'Water Reading'!P23)</f>
        <v>9</v>
      </c>
      <c r="L24" s="55">
        <f t="shared" si="6"/>
        <v>3.1141868512110725E-2</v>
      </c>
      <c r="M24" s="70">
        <f>'Water Reading'!R24-'Water Reading'!R23</f>
        <v>5</v>
      </c>
      <c r="N24" s="72">
        <f t="shared" si="7"/>
        <v>1.7301038062283738E-2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1</v>
      </c>
      <c r="R24" s="78">
        <f t="shared" si="9"/>
        <v>3.4602076124567475E-3</v>
      </c>
      <c r="S24" s="70">
        <f>'Water Reading'!E24-'Water Reading'!E23</f>
        <v>77</v>
      </c>
      <c r="T24" s="78">
        <f t="shared" si="10"/>
        <v>0.26643598615916952</v>
      </c>
      <c r="U24" s="70">
        <f>'Water Reading'!G24-'Water Reading'!G23</f>
        <v>25</v>
      </c>
      <c r="V24" s="78">
        <f t="shared" si="11"/>
        <v>8.6505190311418678E-2</v>
      </c>
      <c r="W24" s="71">
        <f>'Water Reading'!J24-'Water Reading'!J23</f>
        <v>6</v>
      </c>
      <c r="X24" s="78">
        <f t="shared" si="12"/>
        <v>2.0761245674740483E-2</v>
      </c>
      <c r="Y24" s="53">
        <f t="shared" si="0"/>
        <v>259</v>
      </c>
      <c r="Z24" s="54">
        <f t="shared" si="1"/>
        <v>1</v>
      </c>
    </row>
    <row r="25" spans="1:26" x14ac:dyDescent="0.25">
      <c r="A25" s="6">
        <f>'Water Reading'!A24</f>
        <v>44917</v>
      </c>
      <c r="B25" s="52">
        <f>TOTAL!I23</f>
        <v>300</v>
      </c>
      <c r="C25" s="53">
        <f>('Water Reading'!B25-'Water Reading'!B24)+('Water Reading'!C25-'Water Reading'!C24)</f>
        <v>328</v>
      </c>
      <c r="D25" s="54">
        <f t="shared" si="2"/>
        <v>1.0933333333333333</v>
      </c>
      <c r="E25" s="68">
        <f>'Water Reading'!H25-'Water Reading'!H24</f>
        <v>21</v>
      </c>
      <c r="F25" s="69">
        <f t="shared" si="3"/>
        <v>6.402439024390244E-2</v>
      </c>
      <c r="G25" s="73">
        <f>('Water Reading'!D25-'Water Reading'!D24)-('Water Reading'!R25-'Water Reading'!R24)-('Water Reading'!Q25-'Water Reading'!Q24)</f>
        <v>139</v>
      </c>
      <c r="H25" s="69">
        <f t="shared" si="4"/>
        <v>0.42378048780487804</v>
      </c>
      <c r="I25" s="70">
        <f>'Water Reading'!P25-'Water Reading'!P24</f>
        <v>14</v>
      </c>
      <c r="J25" s="55">
        <f t="shared" si="5"/>
        <v>4.2682926829268296E-2</v>
      </c>
      <c r="K25" s="71">
        <f>('Water Reading'!I25-'Water Reading'!I24)-('Water Reading'!P25-'Water Reading'!P24)</f>
        <v>6</v>
      </c>
      <c r="L25" s="55">
        <f t="shared" si="6"/>
        <v>1.8292682926829267E-2</v>
      </c>
      <c r="M25" s="70">
        <f>'Water Reading'!R25-'Water Reading'!R24</f>
        <v>6</v>
      </c>
      <c r="N25" s="72">
        <f t="shared" si="7"/>
        <v>1.8292682926829267E-2</v>
      </c>
      <c r="O25" s="70">
        <f>'Water Reading'!Q25-'Water Reading'!Q24</f>
        <v>6</v>
      </c>
      <c r="P25" s="77">
        <f t="shared" si="8"/>
        <v>1.8292682926829267E-2</v>
      </c>
      <c r="Q25" s="71">
        <f>'Water Reading'!F25-'Water Reading'!F24</f>
        <v>1</v>
      </c>
      <c r="R25" s="78">
        <f t="shared" si="9"/>
        <v>3.0487804878048782E-3</v>
      </c>
      <c r="S25" s="70">
        <f>'Water Reading'!E25-'Water Reading'!E24</f>
        <v>77</v>
      </c>
      <c r="T25" s="78">
        <f t="shared" si="10"/>
        <v>0.2347560975609756</v>
      </c>
      <c r="U25" s="70">
        <f>'Water Reading'!G25-'Water Reading'!G24</f>
        <v>25</v>
      </c>
      <c r="V25" s="78">
        <f t="shared" si="11"/>
        <v>7.621951219512195E-2</v>
      </c>
      <c r="W25" s="102">
        <f>'Water Reading'!J25-'Water Reading'!J24</f>
        <v>5</v>
      </c>
      <c r="X25" s="78">
        <f t="shared" si="12"/>
        <v>1.524390243902439E-2</v>
      </c>
      <c r="Y25" s="53">
        <f t="shared" si="0"/>
        <v>300</v>
      </c>
      <c r="Z25" s="54">
        <f t="shared" si="1"/>
        <v>1</v>
      </c>
    </row>
    <row r="26" spans="1:26" x14ac:dyDescent="0.25">
      <c r="A26" s="6">
        <f>'Water Reading'!A25</f>
        <v>44918</v>
      </c>
      <c r="B26" s="52">
        <f>TOTAL!I24</f>
        <v>312</v>
      </c>
      <c r="C26" s="53">
        <f>('Water Reading'!B26-'Water Reading'!B25)+('Water Reading'!C26-'Water Reading'!C25)</f>
        <v>352</v>
      </c>
      <c r="D26" s="54">
        <f t="shared" si="2"/>
        <v>1.1282051282051282</v>
      </c>
      <c r="E26" s="68">
        <f>'Water Reading'!H26-'Water Reading'!H25</f>
        <v>28</v>
      </c>
      <c r="F26" s="69">
        <f t="shared" si="3"/>
        <v>7.9545454545454544E-2</v>
      </c>
      <c r="G26" s="73">
        <f>('Water Reading'!D26-'Water Reading'!D25)-('Water Reading'!R26-'Water Reading'!R25)-('Water Reading'!Q26-'Water Reading'!Q25)</f>
        <v>146</v>
      </c>
      <c r="H26" s="69">
        <f t="shared" si="4"/>
        <v>0.41477272727272729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4</v>
      </c>
      <c r="L26" s="55">
        <f t="shared" si="6"/>
        <v>1.1363636363636364E-2</v>
      </c>
      <c r="M26" s="70">
        <f>'Water Reading'!R26-'Water Reading'!R25</f>
        <v>6</v>
      </c>
      <c r="N26" s="72">
        <f t="shared" si="7"/>
        <v>1.7045454545454544E-2</v>
      </c>
      <c r="O26" s="70">
        <f>'Water Reading'!Q26-'Water Reading'!Q25</f>
        <v>3</v>
      </c>
      <c r="P26" s="77">
        <f t="shared" si="8"/>
        <v>8.5227272727272721E-3</v>
      </c>
      <c r="Q26" s="71">
        <f>'Water Reading'!F26-'Water Reading'!F25</f>
        <v>0</v>
      </c>
      <c r="R26" s="78">
        <f t="shared" si="9"/>
        <v>0</v>
      </c>
      <c r="S26" s="70">
        <f>'Water Reading'!E26-'Water Reading'!E25</f>
        <v>87</v>
      </c>
      <c r="T26" s="78">
        <f t="shared" si="10"/>
        <v>0.24715909090909091</v>
      </c>
      <c r="U26" s="70">
        <f>'Water Reading'!G26-'Water Reading'!G25</f>
        <v>30</v>
      </c>
      <c r="V26" s="78">
        <f t="shared" si="11"/>
        <v>8.5227272727272721E-2</v>
      </c>
      <c r="W26" s="71">
        <f>'Water Reading'!J26-'Water Reading'!J25</f>
        <v>8</v>
      </c>
      <c r="X26" s="78">
        <f t="shared" si="12"/>
        <v>2.2727272727272728E-2</v>
      </c>
      <c r="Y26" s="53">
        <f t="shared" si="0"/>
        <v>312</v>
      </c>
      <c r="Z26" s="54">
        <f t="shared" si="1"/>
        <v>1</v>
      </c>
    </row>
    <row r="27" spans="1:26" x14ac:dyDescent="0.25">
      <c r="A27" s="6">
        <f>'Water Reading'!A26</f>
        <v>44919</v>
      </c>
      <c r="B27" s="52">
        <f>TOTAL!I25</f>
        <v>0</v>
      </c>
      <c r="C27" s="53">
        <f>('Water Reading'!B27-'Water Reading'!B26)+('Water Reading'!C27-'Water Reading'!C26)</f>
        <v>-64175</v>
      </c>
      <c r="D27" s="54" t="e">
        <f t="shared" si="2"/>
        <v>#DIV/0!</v>
      </c>
      <c r="E27" s="68">
        <f>'Water Reading'!H27-'Water Reading'!H26</f>
        <v>-324</v>
      </c>
      <c r="F27" s="69">
        <f t="shared" si="3"/>
        <v>5.0486949746786133E-3</v>
      </c>
      <c r="G27" s="73">
        <f>('Water Reading'!D27-'Water Reading'!D26)-('Water Reading'!R27-'Water Reading'!R26)-('Water Reading'!Q27-'Water Reading'!Q26)</f>
        <v>-296674</v>
      </c>
      <c r="H27" s="69">
        <f t="shared" si="4"/>
        <v>4.6228905336969222</v>
      </c>
      <c r="I27" s="70">
        <f>'Water Reading'!P27-'Water Reading'!P26</f>
        <v>-32848</v>
      </c>
      <c r="J27" s="55">
        <f t="shared" si="5"/>
        <v>0.51185040903778734</v>
      </c>
      <c r="K27" s="71">
        <f>('Water Reading'!I27-'Water Reading'!I26)-('Water Reading'!P27-'Water Reading'!P26)</f>
        <v>-47235</v>
      </c>
      <c r="L27" s="55">
        <f t="shared" si="6"/>
        <v>0.73603428126217374</v>
      </c>
      <c r="M27" s="70">
        <f>'Water Reading'!R27-'Water Reading'!R26</f>
        <v>-956</v>
      </c>
      <c r="N27" s="72">
        <f t="shared" si="7"/>
        <v>1.489676665368134E-2</v>
      </c>
      <c r="O27" s="70">
        <f>'Water Reading'!Q27-'Water Reading'!Q26</f>
        <v>-2336</v>
      </c>
      <c r="P27" s="77">
        <f t="shared" si="8"/>
        <v>3.6400467471756917E-2</v>
      </c>
      <c r="Q27" s="71">
        <f>'Water Reading'!F27-'Water Reading'!F26</f>
        <v>-67411</v>
      </c>
      <c r="R27" s="78">
        <f t="shared" si="9"/>
        <v>1.0504246201791976</v>
      </c>
      <c r="S27" s="70">
        <f>'Water Reading'!E27-'Water Reading'!E26</f>
        <v>-285417</v>
      </c>
      <c r="T27" s="78">
        <f t="shared" si="10"/>
        <v>4.4474795481106346</v>
      </c>
      <c r="U27" s="70">
        <f>'Water Reading'!G27-'Water Reading'!G26</f>
        <v>-124409</v>
      </c>
      <c r="V27" s="78">
        <f t="shared" si="11"/>
        <v>1.9385897935333074</v>
      </c>
      <c r="W27" s="71">
        <f>'Water Reading'!J27-'Water Reading'!J26</f>
        <v>-24008</v>
      </c>
      <c r="X27" s="78">
        <f t="shared" si="12"/>
        <v>0.37410206466692636</v>
      </c>
      <c r="Y27" s="53">
        <f t="shared" si="0"/>
        <v>-881618</v>
      </c>
      <c r="Z27" s="54" t="e">
        <f t="shared" si="1"/>
        <v>#DIV/0!</v>
      </c>
    </row>
    <row r="28" spans="1:26" x14ac:dyDescent="0.25">
      <c r="A28" s="6">
        <f>'Water Reading'!A27</f>
        <v>44920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102">
        <f>('Water Reading'!I28-'Water Reading'!I27)-('Water Reading'!P28-'Water Reading'!P27)</f>
        <v>0</v>
      </c>
      <c r="L28" s="11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102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44921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44922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44923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44924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2022-12-24T09:13:54Z</dcterms:modified>
  <cp:category/>
  <cp:contentStatus/>
</cp:coreProperties>
</file>