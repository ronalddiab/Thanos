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2 - 2020" sheetId="1" r:id="rId3"/>
  </sheets>
  <definedNames>
    <definedName name="_xlnm.Print_Area" localSheetId="2">'02 - 2020'!$A$1:$J$37</definedName>
  </definedNames>
  <calcPr calcId="162913"/>
</workbook>
</file>

<file path=xl/calcChain.xml><?xml version="1.0" encoding="utf-8"?>
<calcChain xmlns="http://schemas.openxmlformats.org/spreadsheetml/2006/main"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E23" i="2"/>
  <c r="F23" i="2"/>
  <c r="H23" i="2"/>
  <c r="I23" i="2"/>
  <c r="J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L15" i="3"/>
  <c r="K15" i="3"/>
  <c r="I15" i="3"/>
  <c r="G15" i="3"/>
  <c r="E15" i="3"/>
  <c r="J16" i="2"/>
  <c r="I16" i="2"/>
  <c r="H16" i="2"/>
  <c r="F16" i="2"/>
  <c r="E16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E8" i="3" l="1"/>
  <c r="G8" i="3"/>
  <c r="I8" i="3"/>
  <c r="K8" i="3"/>
  <c r="L8" i="3"/>
  <c r="J9" i="2"/>
  <c r="I9" i="2"/>
  <c r="H9" i="2"/>
  <c r="F9" i="2"/>
  <c r="E9" i="2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H39" i="1" l="1"/>
  <c r="K38" i="1"/>
  <c r="J38" i="1"/>
  <c r="I38" i="1"/>
  <c r="I39" i="1" s="1"/>
  <c r="H38" i="1"/>
  <c r="G38" i="1"/>
  <c r="F38" i="1"/>
  <c r="E38" i="1"/>
  <c r="D38" i="1"/>
  <c r="C38" i="1"/>
  <c r="B38" i="1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E2" i="3" l="1"/>
  <c r="E2" i="2"/>
  <c r="L9" i="3"/>
  <c r="K9" i="3"/>
  <c r="I9" i="3"/>
  <c r="G9" i="3"/>
  <c r="E9" i="3"/>
  <c r="L2" i="3"/>
  <c r="K2" i="3"/>
  <c r="I2" i="3"/>
  <c r="G2" i="3"/>
  <c r="J2" i="2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<sst xmlns="http://schemas.openxmlformats.org/spreadsheetml/2006/main" count="102" uniqueCount="37">
  <si>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</si>
  <si>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</si>
  <si>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</si>
  <si>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</si>
  <si>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</si>
  <si>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</si>
  <si>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</si>
  <si>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</si>
  <si>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</si>
  <si>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</si>
  <si>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</si>
  <si>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</si>
  <si>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</si>
  <si>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</si>
  <si>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</si>
  <si>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</si>
  <si>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</si>
  <si>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</si>
  <si>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</si>
  <si>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</si>
  <si>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</si>
  <si>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</si>
  <si>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</si>
  <si>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</si>
  <si>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</si>
  <si>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</si>
  <si>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</si>
  <si>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</si>
  <si>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</si>
  <si>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</si>
  <si>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</si>
  <si>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</si>
  <si>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</si>
  <si>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</si>
  <si>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</si>
  <si>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</si>
  <si>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FEBRUARY'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</si>
</sst>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workbookViewId="0">
      <selection activeCell="M25" sqref="M2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2</v>
      </c>
      <c r="D2">
        <v>2020</v>
      </c>
      <c r="E2" s="26">
        <f>'02 - 2020'!B7-'02 - 2020'!B6+'02 - 2020'!C7-'02 - 2020'!C6</f>
        <v>9865</v>
      </c>
      <c r="F2" s="24">
        <v>0.11799999999999999</v>
      </c>
      <c r="G2" s="26">
        <f>(('02 - 2020'!E7-'02 - 2020'!E6)+('02 - 2020'!F7-'02 - 2020'!F6)+('02 - 2020'!G7-'02 - 2020'!G6))*1.81</f>
        <v>147.35209999999728</v>
      </c>
      <c r="H2" s="24">
        <v>0.99</v>
      </c>
      <c r="I2" s="26">
        <f>'02 - 2020'!J7-'02 - 2020'!J6</f>
        <v>11154</v>
      </c>
      <c r="J2" s="24">
        <v>8.1000000000000003E-2</v>
      </c>
      <c r="K2" s="26">
        <f>'02 - 2020'!H7-'02 - 2020'!H6</f>
        <v>0</v>
      </c>
      <c r="L2" s="26">
        <f>'02 - 2020'!I7-'02 - 2020'!I6</f>
        <v>109</v>
      </c>
      <c r="M2" s="25">
        <v>4.393629424766913</v>
      </c>
      <c r="N2" s="51">
        <v>75</v>
      </c>
    </row>
    <row r="3" spans="1:15" x14ac:dyDescent="0.25">
      <c r="A3" t="s">
        <v>27</v>
      </c>
      <c r="B3">
        <f>B2+1</f>
        <v>2</v>
      </c>
      <c r="C3" s="24">
        <v>2</v>
      </c>
      <c r="D3" s="24">
        <v>2020</v>
      </c>
      <c r="E3" s="26">
        <f>'02 - 2020'!B8-'02 - 2020'!B7+'02 - 2020'!C8-'02 - 2020'!C7</f>
        <v>8431</v>
      </c>
      <c r="F3" s="24">
        <v>0.11799999999999999</v>
      </c>
      <c r="G3" s="26">
        <f>(('02 - 2020'!E8-'02 - 2020'!E7)+('02 - 2020'!F8-'02 - 2020'!F7)+('02 - 2020'!G8-'02 - 2020'!G7))*1.81</f>
        <v>114.0118999999992</v>
      </c>
      <c r="H3" s="24">
        <v>0.99</v>
      </c>
      <c r="I3" s="26">
        <f>'02 - 2020'!J8-'02 - 2020'!J7</f>
        <v>9392</v>
      </c>
      <c r="J3" s="24">
        <v>8.1000000000000003E-2</v>
      </c>
      <c r="K3" s="26">
        <f>'02 - 2020'!H8-'02 - 2020'!H7</f>
        <v>0</v>
      </c>
      <c r="L3" s="26">
        <f>'02 - 2020'!I8-'02 - 2020'!I7</f>
        <v>108</v>
      </c>
      <c r="M3" s="25">
        <v>4.393629424766913</v>
      </c>
      <c r="N3" s="51">
        <v>45</v>
      </c>
    </row>
    <row r="4" spans="1:15" x14ac:dyDescent="0.25">
      <c r="A4" t="s">
        <v>27</v>
      </c>
      <c r="B4">
        <f t="shared" ref="B4:B30" si="0">B3+1</f>
        <v>3</v>
      </c>
      <c r="C4" s="24">
        <v>2</v>
      </c>
      <c r="D4" s="24">
        <v>2020</v>
      </c>
      <c r="E4" s="26">
        <f>'02 - 2020'!B9-'02 - 2020'!B8+'02 - 2020'!C9-'02 - 2020'!C8</f>
        <v>8983</v>
      </c>
      <c r="F4" s="24">
        <v>0.11799999999999999</v>
      </c>
      <c r="G4" s="26">
        <f>(('02 - 2020'!E9-'02 - 2020'!E8)+('02 - 2020'!F9-'02 - 2020'!F8)+('02 - 2020'!G9-'02 - 2020'!G8))*1.81</f>
        <v>125.46920000000195</v>
      </c>
      <c r="H4" s="24">
        <v>0.99</v>
      </c>
      <c r="I4" s="26">
        <f>'02 - 2020'!J9-'02 - 2020'!J8</f>
        <v>10330</v>
      </c>
      <c r="J4" s="24">
        <v>8.1000000000000003E-2</v>
      </c>
      <c r="K4" s="26">
        <f>'02 - 2020'!H9-'02 - 2020'!H8</f>
        <v>0</v>
      </c>
      <c r="L4" s="26">
        <f>'02 - 2020'!I9-'02 - 2020'!I8</f>
        <v>81</v>
      </c>
      <c r="M4" s="25">
        <v>4.393629424766913</v>
      </c>
      <c r="N4" s="51">
        <v>63</v>
      </c>
    </row>
    <row r="5" spans="1:15" x14ac:dyDescent="0.25">
      <c r="A5" t="s">
        <v>27</v>
      </c>
      <c r="B5">
        <f t="shared" si="0"/>
        <v>4</v>
      </c>
      <c r="C5" s="24">
        <v>2</v>
      </c>
      <c r="D5" s="24">
        <v>2020</v>
      </c>
      <c r="E5" s="26">
        <f>'02 - 2020'!B10-'02 - 2020'!B9+'02 - 2020'!C10-'02 - 2020'!C9</f>
        <v>9756</v>
      </c>
      <c r="F5" s="24">
        <v>0.11799999999999999</v>
      </c>
      <c r="G5" s="26">
        <f>(('02 - 2020'!E10-'02 - 2020'!E9)+('02 - 2020'!F10-'02 - 2020'!F9)+('02 - 2020'!G10-'02 - 2020'!G9))*1.81</f>
        <v>131.40600000000066</v>
      </c>
      <c r="H5" s="24">
        <v>0.99</v>
      </c>
      <c r="I5" s="26">
        <f>'02 - 2020'!J10-'02 - 2020'!J9</f>
        <v>10612</v>
      </c>
      <c r="J5" s="24">
        <v>8.1000000000000003E-2</v>
      </c>
      <c r="K5" s="26">
        <f>'02 - 2020'!H10-'02 - 2020'!H9</f>
        <v>0</v>
      </c>
      <c r="L5" s="26">
        <f>'02 - 2020'!I10-'02 - 2020'!I9</f>
        <v>114</v>
      </c>
      <c r="M5" s="25">
        <v>4.393629424766913</v>
      </c>
      <c r="N5" s="51">
        <v>62</v>
      </c>
    </row>
    <row r="6" spans="1:15" x14ac:dyDescent="0.25">
      <c r="A6" t="s">
        <v>27</v>
      </c>
      <c r="B6">
        <f t="shared" si="0"/>
        <v>5</v>
      </c>
      <c r="C6" s="24">
        <v>2</v>
      </c>
      <c r="D6" s="24">
        <v>2020</v>
      </c>
      <c r="E6" s="26">
        <f>'02 - 2020'!B11-'02 - 2020'!B10+'02 - 2020'!C11-'02 - 2020'!C10</f>
        <v>9511</v>
      </c>
      <c r="F6" s="24">
        <v>0.11799999999999999</v>
      </c>
      <c r="G6" s="26">
        <f>(('02 - 2020'!E11-'02 - 2020'!E10)+('02 - 2020'!F11-'02 - 2020'!F10)+('02 - 2020'!G11-'02 - 2020'!G10))*1.81</f>
        <v>140.14830000000134</v>
      </c>
      <c r="H6" s="24">
        <v>0.99</v>
      </c>
      <c r="I6" s="26">
        <f>'02 - 2020'!J11-'02 - 2020'!J10</f>
        <v>10107</v>
      </c>
      <c r="J6" s="24">
        <v>8.1000000000000003E-2</v>
      </c>
      <c r="K6" s="26">
        <f>'02 - 2020'!H11-'02 - 2020'!H10</f>
        <v>0</v>
      </c>
      <c r="L6" s="26">
        <f>'02 - 2020'!I11-'02 - 2020'!I10</f>
        <v>102</v>
      </c>
      <c r="M6" s="25">
        <v>4.393629424766913</v>
      </c>
      <c r="N6" s="51">
        <v>69</v>
      </c>
    </row>
    <row r="7" spans="1:15" x14ac:dyDescent="0.25">
      <c r="A7" t="s">
        <v>27</v>
      </c>
      <c r="B7">
        <f t="shared" si="0"/>
        <v>6</v>
      </c>
      <c r="C7" s="24">
        <v>2</v>
      </c>
      <c r="D7" s="24">
        <v>2020</v>
      </c>
      <c r="E7" s="26">
        <f>'02 - 2020'!B12-'02 - 2020'!B11+'02 - 2020'!C12-'02 - 2020'!C11</f>
        <v>10104</v>
      </c>
      <c r="F7" s="24">
        <v>0.11799999999999999</v>
      </c>
      <c r="G7" s="26">
        <f>(('02 - 2020'!E12-'02 - 2020'!E11)+('02 - 2020'!F12-'02 - 2020'!F11)+('02 - 2020'!G12-'02 - 2020'!G11))*1.81</f>
        <v>127.22489999999418</v>
      </c>
      <c r="H7" s="24">
        <v>0.99</v>
      </c>
      <c r="I7" s="26">
        <f>'02 - 2020'!J12-'02 - 2020'!J11</f>
        <v>11027</v>
      </c>
      <c r="J7" s="24">
        <v>8.1000000000000003E-2</v>
      </c>
      <c r="K7" s="26">
        <f>'02 - 2020'!H12-'02 - 2020'!H11</f>
        <v>0</v>
      </c>
      <c r="L7" s="26">
        <f>'02 - 2020'!I12-'02 - 2020'!I11</f>
        <v>110</v>
      </c>
      <c r="M7" s="25">
        <v>4.393629424766913</v>
      </c>
      <c r="N7" s="51">
        <v>89</v>
      </c>
    </row>
    <row r="8" spans="1:15" x14ac:dyDescent="0.25">
      <c r="A8" t="s">
        <v>27</v>
      </c>
      <c r="B8">
        <f t="shared" si="0"/>
        <v>7</v>
      </c>
      <c r="C8" s="24">
        <v>2</v>
      </c>
      <c r="D8" s="24">
        <v>2020</v>
      </c>
      <c r="E8" s="26">
        <f>'02 - 2020'!B13-'02 - 2020'!B12+'02 - 2020'!C13-'02 - 2020'!C12</f>
        <v>10079</v>
      </c>
      <c r="F8" s="24">
        <v>0.11799999999999999</v>
      </c>
      <c r="G8" s="26">
        <f>(('02 - 2020'!E13-'02 - 2020'!E12)+('02 - 2020'!F13-'02 - 2020'!F12)+('02 - 2020'!G13-'02 - 2020'!G12))*1.81</f>
        <v>131.62320000000665</v>
      </c>
      <c r="H8" s="24">
        <v>0.99</v>
      </c>
      <c r="I8" s="26">
        <f>'02 - 2020'!J13-'02 - 2020'!J12</f>
        <v>13448</v>
      </c>
      <c r="J8" s="24">
        <v>8.1000000000000003E-2</v>
      </c>
      <c r="K8" s="26">
        <f>'02 - 2020'!H13-'02 - 2020'!H12</f>
        <v>0</v>
      </c>
      <c r="L8" s="26">
        <f>'02 - 2020'!I13-'02 - 2020'!I12</f>
        <v>119</v>
      </c>
      <c r="M8" s="25">
        <v>4.393629424766913</v>
      </c>
      <c r="N8" s="51">
        <v>85</v>
      </c>
      <c r="O8" s="26"/>
    </row>
    <row r="9" spans="1:15" x14ac:dyDescent="0.25">
      <c r="A9" t="s">
        <v>27</v>
      </c>
      <c r="B9">
        <f t="shared" si="0"/>
        <v>8</v>
      </c>
      <c r="C9" s="24">
        <v>2</v>
      </c>
      <c r="D9" s="24">
        <v>2020</v>
      </c>
      <c r="E9" s="26">
        <f>'02 - 2020'!B14-'02 - 2020'!B13+'02 - 2020'!C14-'02 - 2020'!C13</f>
        <v>10184</v>
      </c>
      <c r="F9" s="24">
        <v>0.11799999999999999</v>
      </c>
      <c r="G9" s="26">
        <f>(('02 - 2020'!E14-'02 - 2020'!E13)+('02 - 2020'!F14-'02 - 2020'!F13)+('02 - 2020'!G14-'02 - 2020'!G13))*1.81</f>
        <v>129.30639999999394</v>
      </c>
      <c r="H9" s="24">
        <v>0.99</v>
      </c>
      <c r="I9" s="26">
        <f>'02 - 2020'!J14-'02 - 2020'!J13</f>
        <v>14245</v>
      </c>
      <c r="J9" s="24">
        <v>8.1000000000000003E-2</v>
      </c>
      <c r="K9" s="26">
        <f>'02 - 2020'!H14-'02 - 2020'!H13</f>
        <v>0</v>
      </c>
      <c r="L9" s="26">
        <f>'02 - 2020'!I14-'02 - 2020'!I13</f>
        <v>120</v>
      </c>
      <c r="M9" s="25">
        <v>4.393629424766913</v>
      </c>
      <c r="N9" s="51">
        <v>70</v>
      </c>
    </row>
    <row r="10" spans="1:15" x14ac:dyDescent="0.25">
      <c r="A10" t="s">
        <v>27</v>
      </c>
      <c r="B10">
        <f t="shared" si="0"/>
        <v>9</v>
      </c>
      <c r="C10" s="24">
        <v>2</v>
      </c>
      <c r="D10" s="24">
        <v>2020</v>
      </c>
      <c r="E10" s="26">
        <f>'02 - 2020'!B15-'02 - 2020'!B14+'02 - 2020'!C15-'02 - 2020'!C14</f>
        <v>9153</v>
      </c>
      <c r="F10" s="24">
        <v>0.11799999999999999</v>
      </c>
      <c r="G10" s="26">
        <f>(('02 - 2020'!E15-'02 - 2020'!E14)+('02 - 2020'!F15-'02 - 2020'!F14)+('02 - 2020'!G15-'02 - 2020'!G14))*1.81</f>
        <v>134.77260000000337</v>
      </c>
      <c r="H10" s="24">
        <v>0.99</v>
      </c>
      <c r="I10" s="26">
        <f>'02 - 2020'!J15-'02 - 2020'!J14</f>
        <v>13587</v>
      </c>
      <c r="J10" s="24">
        <v>8.1000000000000003E-2</v>
      </c>
      <c r="K10" s="26">
        <f>'02 - 2020'!H15-'02 - 2020'!H14</f>
        <v>0</v>
      </c>
      <c r="L10" s="26">
        <f>'02 - 2020'!I15-'02 - 2020'!I14</f>
        <v>111</v>
      </c>
      <c r="M10" s="25">
        <v>4.393629424766913</v>
      </c>
      <c r="N10" s="51">
        <v>59</v>
      </c>
    </row>
    <row r="11" spans="1:15" x14ac:dyDescent="0.25">
      <c r="A11" t="s">
        <v>27</v>
      </c>
      <c r="B11">
        <f t="shared" si="0"/>
        <v>10</v>
      </c>
      <c r="C11" s="24">
        <v>2</v>
      </c>
      <c r="D11" s="24">
        <v>2020</v>
      </c>
      <c r="E11" s="26">
        <f>'02 - 2020'!B16-'02 - 2020'!B15+'02 - 2020'!C16-'02 - 2020'!C15</f>
        <v>9208</v>
      </c>
      <c r="F11" s="24">
        <v>0.11799999999999999</v>
      </c>
      <c r="G11" s="26">
        <f>(('02 - 2020'!E16-'02 - 2020'!E15)+('02 - 2020'!F16-'02 - 2020'!F15)+('02 - 2020'!G16-'02 - 2020'!G15))*1.81</f>
        <v>135.33370000000369</v>
      </c>
      <c r="H11" s="24">
        <v>0.99</v>
      </c>
      <c r="I11" s="26">
        <f>'02 - 2020'!J16-'02 - 2020'!J15</f>
        <v>14168</v>
      </c>
      <c r="J11" s="24">
        <v>8.1000000000000003E-2</v>
      </c>
      <c r="K11" s="26">
        <f>'02 - 2020'!H16-'02 - 2020'!H15</f>
        <v>0</v>
      </c>
      <c r="L11" s="26">
        <f>'02 - 2020'!I16-'02 - 2020'!I15</f>
        <v>115</v>
      </c>
      <c r="M11" s="25">
        <v>4.393629424766913</v>
      </c>
      <c r="N11" s="51">
        <v>82</v>
      </c>
    </row>
    <row r="12" spans="1:15" x14ac:dyDescent="0.25">
      <c r="A12" t="s">
        <v>27</v>
      </c>
      <c r="B12">
        <f t="shared" si="0"/>
        <v>11</v>
      </c>
      <c r="C12" s="24">
        <v>2</v>
      </c>
      <c r="D12" s="24">
        <v>2020</v>
      </c>
      <c r="E12" s="26">
        <f>'02 - 2020'!B17-'02 - 2020'!B16+'02 - 2020'!C17-'02 - 2020'!C16</f>
        <v>9803</v>
      </c>
      <c r="F12" s="24">
        <v>0.11799999999999999</v>
      </c>
      <c r="G12" s="26">
        <f>(('02 - 2020'!E17-'02 - 2020'!E16)+('02 - 2020'!F17-'02 - 2020'!F16)+('02 - 2020'!G17-'02 - 2020'!G16))*1.81</f>
        <v>152.85449999999761</v>
      </c>
      <c r="H12" s="24">
        <v>0.99</v>
      </c>
      <c r="I12" s="26">
        <f>'02 - 2020'!J17-'02 - 2020'!J16</f>
        <v>13856</v>
      </c>
      <c r="J12" s="24">
        <v>8.1000000000000003E-2</v>
      </c>
      <c r="K12" s="26">
        <f>'02 - 2020'!H17-'02 - 2020'!H16</f>
        <v>0</v>
      </c>
      <c r="L12" s="26">
        <f>'02 - 2020'!I17-'02 - 2020'!I16</f>
        <v>98</v>
      </c>
      <c r="M12" s="25">
        <v>4.393629424766913</v>
      </c>
      <c r="N12" s="52">
        <v>80</v>
      </c>
    </row>
    <row r="13" spans="1:15" x14ac:dyDescent="0.25">
      <c r="A13" t="s">
        <v>27</v>
      </c>
      <c r="B13">
        <f t="shared" si="0"/>
        <v>12</v>
      </c>
      <c r="C13" s="24">
        <v>2</v>
      </c>
      <c r="D13" s="24">
        <v>2020</v>
      </c>
      <c r="E13" s="26">
        <f>'02 - 2020'!B18-'02 - 2020'!B17+'02 - 2020'!C18-'02 - 2020'!C17</f>
        <v>9349</v>
      </c>
      <c r="F13" s="24">
        <v>0.11799999999999999</v>
      </c>
      <c r="G13" s="26">
        <f>(('02 - 2020'!E18-'02 - 2020'!E17)+('02 - 2020'!F18-'02 - 2020'!F17)+('02 - 2020'!G18-'02 - 2020'!G17))*1.81</f>
        <v>132.4376999999985</v>
      </c>
      <c r="H13" s="24">
        <v>0.99</v>
      </c>
      <c r="I13" s="26">
        <f>'02 - 2020'!J18-'02 - 2020'!J17</f>
        <v>11510</v>
      </c>
      <c r="J13" s="24">
        <v>8.1000000000000003E-2</v>
      </c>
      <c r="K13" s="26">
        <f>'02 - 2020'!H18-'02 - 2020'!H17</f>
        <v>0</v>
      </c>
      <c r="L13" s="26">
        <f>'02 - 2020'!I18-'02 - 2020'!I17</f>
        <v>106</v>
      </c>
      <c r="M13" s="25">
        <v>4.393629424766913</v>
      </c>
      <c r="N13" s="52">
        <v>90</v>
      </c>
    </row>
    <row r="14" spans="1:15" x14ac:dyDescent="0.25">
      <c r="A14" t="s">
        <v>27</v>
      </c>
      <c r="B14">
        <f t="shared" si="0"/>
        <v>13</v>
      </c>
      <c r="C14" s="24">
        <v>2</v>
      </c>
      <c r="D14" s="24">
        <v>2020</v>
      </c>
      <c r="E14" s="26">
        <f>'02 - 2020'!B19-'02 - 2020'!B18+'02 - 2020'!C19-'02 - 2020'!C18</f>
        <v>10758</v>
      </c>
      <c r="F14" s="24">
        <v>0.11799999999999999</v>
      </c>
      <c r="G14" s="26">
        <f>(('02 - 2020'!E19-'02 - 2020'!E18)+('02 - 2020'!F19-'02 - 2020'!F18)+('02 - 2020'!G19-'02 - 2020'!G18))*1.81</f>
        <v>139.62339999999935</v>
      </c>
      <c r="H14" s="24">
        <v>0.99</v>
      </c>
      <c r="I14" s="26">
        <f>'02 - 2020'!J19-'02 - 2020'!J18</f>
        <v>9920</v>
      </c>
      <c r="J14" s="24">
        <v>8.1000000000000003E-2</v>
      </c>
      <c r="K14" s="26">
        <f>'02 - 2020'!H19-'02 - 2020'!H18</f>
        <v>0</v>
      </c>
      <c r="L14" s="26">
        <f>'02 - 2020'!I19-'02 - 2020'!I18</f>
        <v>109</v>
      </c>
      <c r="M14" s="25">
        <v>4.393629424766913</v>
      </c>
      <c r="N14" s="52">
        <v>98</v>
      </c>
      <c r="O14" s="26"/>
    </row>
    <row r="15" spans="1:15" x14ac:dyDescent="0.25">
      <c r="A15" t="s">
        <v>27</v>
      </c>
      <c r="B15">
        <f t="shared" si="0"/>
        <v>14</v>
      </c>
      <c r="C15" s="24">
        <v>2</v>
      </c>
      <c r="D15" s="24">
        <v>2020</v>
      </c>
      <c r="E15" s="26">
        <f>'02 - 2020'!B20-'02 - 2020'!B19+'02 - 2020'!C20-'02 - 2020'!C19</f>
        <v>9679</v>
      </c>
      <c r="F15" s="24">
        <v>0.11799999999999999</v>
      </c>
      <c r="G15" s="26">
        <f>(('02 - 2020'!E20-'02 - 2020'!E19)+('02 - 2020'!F20-'02 - 2020'!F19)+('02 - 2020'!G20-'02 - 2020'!G19))*1.81</f>
        <v>145.37919999999949</v>
      </c>
      <c r="H15" s="24">
        <v>0.99</v>
      </c>
      <c r="I15" s="26">
        <f>'02 - 2020'!J20-'02 - 2020'!J19</f>
        <v>9318</v>
      </c>
      <c r="J15" s="24">
        <v>8.1000000000000003E-2</v>
      </c>
      <c r="K15" s="26">
        <f>'02 - 2020'!H20-'02 - 2020'!H19</f>
        <v>0</v>
      </c>
      <c r="L15" s="26">
        <f>'02 - 2020'!I20-'02 - 2020'!I19</f>
        <v>134</v>
      </c>
      <c r="M15" s="25">
        <v>4.393629424766913</v>
      </c>
      <c r="N15" s="52">
        <v>99</v>
      </c>
    </row>
    <row r="16" spans="1:15" x14ac:dyDescent="0.25">
      <c r="A16" t="s">
        <v>27</v>
      </c>
      <c r="B16">
        <f t="shared" si="0"/>
        <v>15</v>
      </c>
      <c r="C16" s="24">
        <v>2</v>
      </c>
      <c r="D16" s="24">
        <v>2020</v>
      </c>
      <c r="E16" s="26">
        <f>'02 - 2020'!B21-'02 - 2020'!B20+'02 - 2020'!C21-'02 - 2020'!C20</f>
        <v>9885</v>
      </c>
      <c r="F16" s="24">
        <v>0.11799999999999999</v>
      </c>
      <c r="G16" s="26">
        <f>(('02 - 2020'!E21-'02 - 2020'!E20)+('02 - 2020'!F21-'02 - 2020'!F20)+('02 - 2020'!G21-'02 - 2020'!G20))*1.81</f>
        <v>138.03059999999999</v>
      </c>
      <c r="H16" s="24">
        <v>0.99</v>
      </c>
      <c r="I16" s="26">
        <f>'02 - 2020'!J21-'02 - 2020'!J20</f>
        <v>10256</v>
      </c>
      <c r="J16" s="24">
        <v>8.1000000000000003E-2</v>
      </c>
      <c r="K16" s="26">
        <f>'02 - 2020'!H21-'02 - 2020'!H20</f>
        <v>0</v>
      </c>
      <c r="L16" s="26">
        <f>'02 - 2020'!I21-'02 - 2020'!I20</f>
        <v>130</v>
      </c>
      <c r="M16" s="25">
        <v>4.393629424766913</v>
      </c>
      <c r="N16" s="52">
        <v>102</v>
      </c>
    </row>
    <row r="17" spans="1:16" x14ac:dyDescent="0.25">
      <c r="A17" t="s">
        <v>27</v>
      </c>
      <c r="B17">
        <f t="shared" si="0"/>
        <v>16</v>
      </c>
      <c r="C17" s="24">
        <v>2</v>
      </c>
      <c r="D17" s="24">
        <v>2020</v>
      </c>
      <c r="E17" s="26">
        <f>'02 - 2020'!B22-'02 - 2020'!B21+'02 - 2020'!C22-'02 - 2020'!C21</f>
        <v>9729</v>
      </c>
      <c r="F17" s="24">
        <v>0.11799999999999999</v>
      </c>
      <c r="G17" s="26">
        <f>(('02 - 2020'!E22-'02 - 2020'!E21)+('02 - 2020'!F22-'02 - 2020'!F21)+('02 - 2020'!G22-'02 - 2020'!G21))*1.81</f>
        <v>137.94010000000088</v>
      </c>
      <c r="H17" s="24">
        <v>0.99</v>
      </c>
      <c r="I17" s="26">
        <f>'02 - 2020'!J22-'02 - 2020'!J21</f>
        <v>11116</v>
      </c>
      <c r="J17" s="24">
        <v>8.1000000000000003E-2</v>
      </c>
      <c r="K17" s="26">
        <f>'02 - 2020'!H22-'02 - 2020'!H21</f>
        <v>0</v>
      </c>
      <c r="L17" s="26">
        <f>'02 - 2020'!I22-'02 - 2020'!I21</f>
        <v>120</v>
      </c>
      <c r="M17" s="25">
        <v>4.393629424766913</v>
      </c>
      <c r="N17" s="52">
        <v>94</v>
      </c>
    </row>
    <row r="18" spans="1:16" x14ac:dyDescent="0.25">
      <c r="A18" t="s">
        <v>27</v>
      </c>
      <c r="B18">
        <f t="shared" si="0"/>
        <v>17</v>
      </c>
      <c r="C18" s="24">
        <v>2</v>
      </c>
      <c r="D18" s="24">
        <v>2020</v>
      </c>
      <c r="E18" s="26">
        <f>'02 - 2020'!B23-'02 - 2020'!B22+'02 - 2020'!C23-'02 - 2020'!C22</f>
        <v>9798</v>
      </c>
      <c r="F18" s="24">
        <v>0.11799999999999999</v>
      </c>
      <c r="G18" s="26">
        <f>(('02 - 2020'!E23-'02 - 2020'!E22)+('02 - 2020'!F23-'02 - 2020'!F22)+('02 - 2020'!G23-'02 - 2020'!G22))*1.81</f>
        <v>134.12100000000066</v>
      </c>
      <c r="H18" s="24">
        <v>0.99</v>
      </c>
      <c r="I18" s="26">
        <f>'02 - 2020'!J23-'02 - 2020'!J22</f>
        <v>12392</v>
      </c>
      <c r="J18" s="24">
        <v>8.1000000000000003E-2</v>
      </c>
      <c r="K18" s="26">
        <f>'02 - 2020'!H23-'02 - 2020'!H22</f>
        <v>0</v>
      </c>
      <c r="L18" s="26">
        <f>'02 - 2020'!I23-'02 - 2020'!I22</f>
        <v>116</v>
      </c>
      <c r="M18" s="25">
        <v>4.393629424766913</v>
      </c>
      <c r="N18" s="52">
        <v>97</v>
      </c>
    </row>
    <row r="19" spans="1:16" x14ac:dyDescent="0.25">
      <c r="A19" t="s">
        <v>27</v>
      </c>
      <c r="B19">
        <f>B18+1</f>
        <v>18</v>
      </c>
      <c r="C19" s="24">
        <v>2</v>
      </c>
      <c r="D19" s="24">
        <v>2020</v>
      </c>
      <c r="E19" s="26">
        <f>'02 - 2020'!B24-'02 - 2020'!B23+'02 - 2020'!C24-'02 - 2020'!C23</f>
        <v>10103</v>
      </c>
      <c r="F19" s="24">
        <v>0.11799999999999999</v>
      </c>
      <c r="G19" s="26">
        <f>(('02 - 2020'!E24-'02 - 2020'!E23)+('02 - 2020'!F24-'02 - 2020'!F23)+('02 - 2020'!G24-'02 - 2020'!G23))*1.81</f>
        <v>132.54629999999634</v>
      </c>
      <c r="H19" s="24">
        <v>0.99</v>
      </c>
      <c r="I19" s="26">
        <f>'02 - 2020'!J24-'02 - 2020'!J23</f>
        <v>13320</v>
      </c>
      <c r="J19" s="24">
        <v>8.1000000000000003E-2</v>
      </c>
      <c r="K19" s="26">
        <f>'02 - 2020'!H24-'02 - 2020'!H23</f>
        <v>0</v>
      </c>
      <c r="L19" s="26">
        <f>'02 - 2020'!I24-'02 - 2020'!I23</f>
        <v>122</v>
      </c>
      <c r="M19" s="25">
        <v>4.393629424766913</v>
      </c>
      <c r="N19" s="52">
        <v>102</v>
      </c>
    </row>
    <row r="20" spans="1:16" x14ac:dyDescent="0.25">
      <c r="A20" t="s">
        <v>27</v>
      </c>
      <c r="B20">
        <f t="shared" si="0"/>
        <v>19</v>
      </c>
      <c r="C20" s="24">
        <v>2</v>
      </c>
      <c r="D20" s="24">
        <v>2020</v>
      </c>
      <c r="E20" s="26">
        <f>'02 - 2020'!B25-'02 - 2020'!B24+'02 - 2020'!C25-'02 - 2020'!C24</f>
        <v>9165</v>
      </c>
      <c r="F20" s="24">
        <v>0.11799999999999999</v>
      </c>
      <c r="G20" s="26">
        <f>(('02 - 2020'!E25-'02 - 2020'!E24)+('02 - 2020'!F25-'02 - 2020'!F24)+('02 - 2020'!G25-'02 - 2020'!G24))*1.81</f>
        <v>136.07580000000712</v>
      </c>
      <c r="H20" s="24">
        <v>0.99</v>
      </c>
      <c r="I20" s="26">
        <f>'02 - 2020'!J25-'02 - 2020'!J24</f>
        <v>13071</v>
      </c>
      <c r="J20" s="24">
        <v>8.1000000000000003E-2</v>
      </c>
      <c r="K20" s="26">
        <f>'02 - 2020'!H25-'02 - 2020'!H24</f>
        <v>0</v>
      </c>
      <c r="L20" s="26">
        <f>'02 - 2020'!I25-'02 - 2020'!I24</f>
        <v>125</v>
      </c>
      <c r="M20" s="25">
        <v>4.393629424766913</v>
      </c>
      <c r="N20" s="52">
        <v>96</v>
      </c>
    </row>
    <row r="21" spans="1:16" x14ac:dyDescent="0.25">
      <c r="A21" t="s">
        <v>27</v>
      </c>
      <c r="B21">
        <f t="shared" si="0"/>
        <v>20</v>
      </c>
      <c r="C21" s="24">
        <v>2</v>
      </c>
      <c r="D21" s="24">
        <v>2020</v>
      </c>
      <c r="E21" s="26">
        <f>'02 - 2020'!B26-'02 - 2020'!B25+'02 - 2020'!C26-'02 - 2020'!C25</f>
        <v>10243</v>
      </c>
      <c r="F21" s="24">
        <v>0.11799999999999999</v>
      </c>
      <c r="G21" s="26">
        <f>(('02 - 2020'!E26-'02 - 2020'!E25)+('02 - 2020'!F26-'02 - 2020'!F25)+('02 - 2020'!G26-'02 - 2020'!G25))*1.81</f>
        <v>138.79079999999271</v>
      </c>
      <c r="H21" s="24">
        <v>0.99</v>
      </c>
      <c r="I21" s="26">
        <f>'02 - 2020'!J26-'02 - 2020'!J25</f>
        <v>15328</v>
      </c>
      <c r="J21" s="24">
        <v>8.1000000000000003E-2</v>
      </c>
      <c r="K21" s="26">
        <f>'02 - 2020'!H26-'02 - 2020'!H25</f>
        <v>0</v>
      </c>
      <c r="L21" s="26">
        <f>'02 - 2020'!I26-'02 - 2020'!I25</f>
        <v>124</v>
      </c>
      <c r="M21" s="25">
        <v>4.393629424766913</v>
      </c>
      <c r="N21" s="52">
        <v>98</v>
      </c>
    </row>
    <row r="22" spans="1:16" x14ac:dyDescent="0.25">
      <c r="A22" t="s">
        <v>27</v>
      </c>
      <c r="B22">
        <f t="shared" si="0"/>
        <v>21</v>
      </c>
      <c r="C22" s="24">
        <v>2</v>
      </c>
      <c r="D22" s="24">
        <v>2020</v>
      </c>
      <c r="E22" s="26">
        <f>'02 - 2020'!B27-'02 - 2020'!B26+'02 - 2020'!C27-'02 - 2020'!C26</f>
        <v>10298</v>
      </c>
      <c r="F22" s="24">
        <v>0.11799999999999999</v>
      </c>
      <c r="G22" s="26">
        <f>(('02 - 2020'!E27-'02 - 2020'!E26)+('02 - 2020'!F27-'02 - 2020'!F26)+('02 - 2020'!G27-'02 - 2020'!G26))*1.81</f>
        <v>148.58290000000272</v>
      </c>
      <c r="H22" s="24">
        <v>0.99</v>
      </c>
      <c r="I22" s="26">
        <f>'02 - 2020'!J27-'02 - 2020'!J26</f>
        <v>15093</v>
      </c>
      <c r="J22" s="24">
        <v>8.1000000000000003E-2</v>
      </c>
      <c r="K22" s="26">
        <f>'02 - 2020'!H27-'02 - 2020'!H26</f>
        <v>0</v>
      </c>
      <c r="L22" s="26">
        <f>'02 - 2020'!I27-'02 - 2020'!I26</f>
        <v>141</v>
      </c>
      <c r="M22" s="25">
        <v>4.393629424766913</v>
      </c>
      <c r="N22" s="52">
        <v>99</v>
      </c>
    </row>
    <row r="23" spans="1:16" x14ac:dyDescent="0.25">
      <c r="A23" t="s">
        <v>27</v>
      </c>
      <c r="B23">
        <f t="shared" si="0"/>
        <v>22</v>
      </c>
      <c r="C23" s="24">
        <v>2</v>
      </c>
      <c r="D23" s="24">
        <v>2020</v>
      </c>
      <c r="E23" s="26">
        <f>'02 - 2020'!B28-'02 - 2020'!B27+'02 - 2020'!C28-'02 - 2020'!C27</f>
        <v>9771</v>
      </c>
      <c r="F23" s="24">
        <v>0.11799999999999999</v>
      </c>
      <c r="G23" s="26">
        <f>(('02 - 2020'!E28-'02 - 2020'!E27)+('02 - 2020'!F28-'02 - 2020'!F27)+('02 - 2020'!G28-'02 - 2020'!G27))*1.81</f>
        <v>132.3833999999969</v>
      </c>
      <c r="H23" s="24">
        <v>0.99</v>
      </c>
      <c r="I23" s="26">
        <f>'02 - 2020'!J28-'02 - 2020'!J27</f>
        <v>16036</v>
      </c>
      <c r="J23" s="24">
        <v>8.1000000000000003E-2</v>
      </c>
      <c r="K23" s="26">
        <f>'02 - 2020'!H28-'02 - 2020'!H27</f>
        <v>0</v>
      </c>
      <c r="L23" s="26">
        <f>'02 - 2020'!I28-'02 - 2020'!I27</f>
        <v>134</v>
      </c>
      <c r="M23" s="25">
        <v>4.393629424766913</v>
      </c>
      <c r="N23" s="52">
        <v>82</v>
      </c>
    </row>
    <row r="24" spans="1:16" x14ac:dyDescent="0.25">
      <c r="A24" t="s">
        <v>27</v>
      </c>
      <c r="B24">
        <f t="shared" si="0"/>
        <v>23</v>
      </c>
      <c r="C24" s="24">
        <v>2</v>
      </c>
      <c r="D24" s="24">
        <v>2020</v>
      </c>
      <c r="E24" s="26">
        <f>'02 - 2020'!B29-'02 - 2020'!B28+'02 - 2020'!C29-'02 - 2020'!C28</f>
        <v>9934</v>
      </c>
      <c r="F24" s="24">
        <v>0.11799999999999999</v>
      </c>
      <c r="G24" s="26">
        <f>(('02 - 2020'!E29-'02 - 2020'!E28)+('02 - 2020'!F29-'02 - 2020'!F28)+('02 - 2020'!G29-'02 - 2020'!G28))*1.81</f>
        <v>135.38800000000487</v>
      </c>
      <c r="H24" s="24">
        <v>0.99</v>
      </c>
      <c r="I24" s="26">
        <f>'02 - 2020'!J29-'02 - 2020'!J28</f>
        <v>17308</v>
      </c>
      <c r="J24" s="24">
        <v>8.1000000000000003E-2</v>
      </c>
      <c r="K24" s="26">
        <f>'02 - 2020'!H29-'02 - 2020'!H28</f>
        <v>0</v>
      </c>
      <c r="L24" s="26">
        <f>'02 - 2020'!I29-'02 - 2020'!I28</f>
        <v>139</v>
      </c>
      <c r="M24" s="25">
        <v>4.393629424766913</v>
      </c>
      <c r="N24" s="52">
        <v>72</v>
      </c>
    </row>
    <row r="25" spans="1:16" x14ac:dyDescent="0.25">
      <c r="A25" t="s">
        <v>27</v>
      </c>
      <c r="B25">
        <f t="shared" si="0"/>
        <v>24</v>
      </c>
      <c r="C25" s="24">
        <v>2</v>
      </c>
      <c r="D25" s="24">
        <v>2020</v>
      </c>
      <c r="E25" s="26">
        <v>0</v>
      </c>
      <c r="F25" s="24">
        <v>0.11799999999999999</v>
      </c>
      <c r="G25" s="26">
        <v>0</v>
      </c>
      <c r="H25" s="24">
        <v>0.99</v>
      </c>
      <c r="I25" s="26">
        <v>0</v>
      </c>
      <c r="J25" s="24">
        <v>8.1000000000000003E-2</v>
      </c>
      <c r="K25" s="26">
        <v>0</v>
      </c>
      <c r="L25" s="26">
        <v>0</v>
      </c>
      <c r="M25" s="25">
        <v>4.393629424766913</v>
      </c>
      <c r="N25" s="52"/>
      <c r="P25" s="14"/>
    </row>
    <row r="26" spans="1:16" x14ac:dyDescent="0.25">
      <c r="A26" t="s">
        <v>27</v>
      </c>
      <c r="B26">
        <f>B25+1</f>
        <v>25</v>
      </c>
      <c r="C26" s="24">
        <v>2</v>
      </c>
      <c r="D26" s="24">
        <v>2020</v>
      </c>
      <c r="E26" s="26">
        <f>'02 - 2020'!B31-'02 - 2020'!B30+'02 - 2020'!C31-'02 - 2020'!C30</f>
        <v>0</v>
      </c>
      <c r="F26" s="24">
        <v>0.11799999999999999</v>
      </c>
      <c r="G26" s="26">
        <f>(('02 - 2020'!E31-'02 - 2020'!E30)+('02 - 2020'!F31-'02 - 2020'!F30)+('02 - 2020'!G31-'02 - 2020'!G30))*1.81</f>
        <v>0</v>
      </c>
      <c r="H26" s="24">
        <v>0.99</v>
      </c>
      <c r="I26" s="26">
        <f>'02 - 2020'!J31-'02 - 2020'!J30</f>
        <v>0</v>
      </c>
      <c r="J26" s="24">
        <v>8.1000000000000003E-2</v>
      </c>
      <c r="K26" s="26">
        <f>'02 - 2020'!H31-'02 - 2020'!H30</f>
        <v>0</v>
      </c>
      <c r="L26" s="26">
        <f>'02 - 2020'!I31-'02 - 2020'!I30</f>
        <v>0</v>
      </c>
      <c r="M26" s="25">
        <v>4.393629424766913</v>
      </c>
      <c r="N26" s="52"/>
    </row>
    <row r="27" spans="1:16" x14ac:dyDescent="0.25">
      <c r="A27" t="s">
        <v>27</v>
      </c>
      <c r="B27">
        <f t="shared" si="0"/>
        <v>26</v>
      </c>
      <c r="C27" s="24">
        <v>2</v>
      </c>
      <c r="D27" s="24">
        <v>2020</v>
      </c>
      <c r="E27" s="26">
        <f>'02 - 2020'!B32-'02 - 2020'!B31+'02 - 2020'!C32-'02 - 2020'!C31</f>
        <v>0</v>
      </c>
      <c r="F27" s="24">
        <v>0.11799999999999999</v>
      </c>
      <c r="G27" s="26">
        <f>(('02 - 2020'!E32-'02 - 2020'!E31)+('02 - 2020'!F32-'02 - 2020'!F31)+('02 - 2020'!G32-'02 - 2020'!G31))*1.81</f>
        <v>0</v>
      </c>
      <c r="H27" s="24">
        <v>0.99</v>
      </c>
      <c r="I27" s="26">
        <f>'02 - 2020'!J32-'02 - 2020'!J31</f>
        <v>0</v>
      </c>
      <c r="J27" s="24">
        <v>8.1000000000000003E-2</v>
      </c>
      <c r="K27" s="26">
        <f>'02 - 2020'!H32-'02 - 2020'!H31</f>
        <v>0</v>
      </c>
      <c r="L27" s="26">
        <f>'02 - 2020'!I32-'02 - 2020'!I31</f>
        <v>0</v>
      </c>
      <c r="M27" s="25">
        <v>4.393629424766913</v>
      </c>
      <c r="N27" s="52"/>
    </row>
    <row r="28" spans="1:16" x14ac:dyDescent="0.25">
      <c r="A28" t="s">
        <v>27</v>
      </c>
      <c r="B28">
        <f t="shared" si="0"/>
        <v>27</v>
      </c>
      <c r="C28" s="24">
        <v>2</v>
      </c>
      <c r="D28" s="24">
        <v>2020</v>
      </c>
      <c r="E28" s="26">
        <f>'02 - 2020'!B33-'02 - 2020'!B32+'02 - 2020'!C33-'02 - 2020'!C32</f>
        <v>0</v>
      </c>
      <c r="F28" s="24">
        <v>0.11799999999999999</v>
      </c>
      <c r="G28" s="26">
        <f>(('02 - 2020'!E33-'02 - 2020'!E32)+('02 - 2020'!F33-'02 - 2020'!F32)+('02 - 2020'!G33-'02 - 2020'!G32))*1.81</f>
        <v>0</v>
      </c>
      <c r="H28" s="24">
        <v>0.99</v>
      </c>
      <c r="I28" s="26">
        <f>'02 - 2020'!J33-'02 - 2020'!J32</f>
        <v>0</v>
      </c>
      <c r="J28" s="24">
        <v>8.1000000000000003E-2</v>
      </c>
      <c r="K28" s="26">
        <f>'02 - 2020'!H33-'02 - 2020'!H32</f>
        <v>0</v>
      </c>
      <c r="L28" s="26">
        <f>'02 - 2020'!I33-'02 - 2020'!I32</f>
        <v>0</v>
      </c>
      <c r="M28" s="25">
        <v>4.393629424766913</v>
      </c>
      <c r="N28" s="52"/>
    </row>
    <row r="29" spans="1:16" x14ac:dyDescent="0.25">
      <c r="A29" t="s">
        <v>27</v>
      </c>
      <c r="B29">
        <f t="shared" si="0"/>
        <v>28</v>
      </c>
      <c r="C29" s="24">
        <v>2</v>
      </c>
      <c r="D29" s="24">
        <v>2020</v>
      </c>
      <c r="E29" s="26">
        <f>'02 - 2020'!B34-'02 - 2020'!B33+'02 - 2020'!C34-'02 - 2020'!C33</f>
        <v>0</v>
      </c>
      <c r="F29" s="24">
        <v>0.11799999999999999</v>
      </c>
      <c r="G29" s="26">
        <f>(('02 - 2020'!E34-'02 - 2020'!E33)+('02 - 2020'!F34-'02 - 2020'!F33)+('02 - 2020'!G34-'02 - 2020'!G33))*1.81</f>
        <v>0</v>
      </c>
      <c r="H29" s="24">
        <v>0.99</v>
      </c>
      <c r="I29" s="26">
        <f>'02 - 2020'!J34-'02 - 2020'!J33</f>
        <v>0</v>
      </c>
      <c r="J29" s="24">
        <v>8.1000000000000003E-2</v>
      </c>
      <c r="K29" s="26">
        <f>'02 - 2020'!H34-'02 - 2020'!H33</f>
        <v>0</v>
      </c>
      <c r="L29" s="26">
        <f>'02 - 2020'!I34-'02 - 2020'!I33</f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2</v>
      </c>
      <c r="D30" s="24">
        <v>2020</v>
      </c>
      <c r="E30" s="26">
        <f>'02 - 2020'!B35-'02 - 2020'!B34+'02 - 2020'!C35-'02 - 2020'!C34</f>
        <v>0</v>
      </c>
      <c r="F30" s="24">
        <v>0.11799999999999999</v>
      </c>
      <c r="G30" s="26">
        <f>(('02 - 2020'!E35-'02 - 2020'!E34)+('02 - 2020'!F35-'02 - 2020'!F34)+('02 - 2020'!G35-'02 - 2020'!G34))*1.81</f>
        <v>0</v>
      </c>
      <c r="H30" s="24">
        <v>0.99</v>
      </c>
      <c r="I30" s="26">
        <f>'02 - 2020'!J35-'02 - 2020'!J34</f>
        <v>0</v>
      </c>
      <c r="J30" s="24">
        <v>8.1000000000000003E-2</v>
      </c>
      <c r="K30" s="26">
        <f>'02 - 2020'!H35-'02 - 2020'!H34</f>
        <v>0</v>
      </c>
      <c r="L30" s="26">
        <f>'02 - 2020'!I35-'02 - 2020'!I34</f>
        <v>0</v>
      </c>
      <c r="M30" s="25">
        <v>4.393629424766913</v>
      </c>
      <c r="N30" s="5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N24" sqref="N2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2</v>
      </c>
      <c r="D2">
        <v>2020</v>
      </c>
      <c r="E2" s="26">
        <f>'02 - 2020'!B7-'02 - 2020'!B6</f>
        <v>3957</v>
      </c>
      <c r="F2" s="26">
        <f>'02 - 2020'!C7-'02 - 2020'!C6</f>
        <v>5908</v>
      </c>
      <c r="G2" s="24">
        <v>0.11799999999999999</v>
      </c>
      <c r="H2" s="26">
        <f>'02 - 2020'!E7-'02 - 2020'!E6</f>
        <v>26.600000000000364</v>
      </c>
      <c r="I2" s="26">
        <f>'02 - 2020'!F7-'02 - 2020'!F6</f>
        <v>4.9800000000000182</v>
      </c>
      <c r="J2" s="26">
        <f>'02 - 2020'!G7-'02 - 2020'!G6</f>
        <v>49.829999999998108</v>
      </c>
      <c r="K2" s="24">
        <v>0.74</v>
      </c>
      <c r="L2" s="51">
        <v>75</v>
      </c>
      <c r="M2" s="12"/>
    </row>
    <row r="3" spans="1:13" x14ac:dyDescent="0.25">
      <c r="A3" t="s">
        <v>27</v>
      </c>
      <c r="B3">
        <f>B2+1</f>
        <v>2</v>
      </c>
      <c r="C3" s="24">
        <v>2</v>
      </c>
      <c r="D3" s="24">
        <v>2020</v>
      </c>
      <c r="E3" s="26">
        <f>'02 - 2020'!B8-'02 - 2020'!B7</f>
        <v>3429</v>
      </c>
      <c r="F3" s="26">
        <f>'02 - 2020'!C8-'02 - 2020'!C7</f>
        <v>5002</v>
      </c>
      <c r="G3" s="24">
        <v>0.11799999999999999</v>
      </c>
      <c r="H3" s="26">
        <f>'02 - 2020'!E8-'02 - 2020'!E7</f>
        <v>21.549999999999272</v>
      </c>
      <c r="I3" s="26">
        <f>'02 - 2020'!F8-'02 - 2020'!F7</f>
        <v>4.6699999999998454</v>
      </c>
      <c r="J3" s="26">
        <f>'02 - 2020'!G8-'02 - 2020'!G7</f>
        <v>36.770000000000437</v>
      </c>
      <c r="K3" s="24">
        <v>0.74</v>
      </c>
      <c r="L3" s="51">
        <v>45</v>
      </c>
      <c r="M3" s="12"/>
    </row>
    <row r="4" spans="1:13" x14ac:dyDescent="0.25">
      <c r="A4" t="s">
        <v>27</v>
      </c>
      <c r="B4">
        <f t="shared" ref="B4:B30" si="0">B3+1</f>
        <v>3</v>
      </c>
      <c r="C4" s="24">
        <v>2</v>
      </c>
      <c r="D4" s="24">
        <v>2020</v>
      </c>
      <c r="E4" s="26">
        <f>'02 - 2020'!B9-'02 - 2020'!B8</f>
        <v>3612</v>
      </c>
      <c r="F4" s="26">
        <f>'02 - 2020'!C9-'02 - 2020'!C8</f>
        <v>5371</v>
      </c>
      <c r="G4" s="24">
        <v>0.11799999999999999</v>
      </c>
      <c r="H4" s="26">
        <f>'02 - 2020'!E9-'02 - 2020'!E8</f>
        <v>24.819999999999709</v>
      </c>
      <c r="I4" s="26">
        <f>'02 - 2020'!F9-'02 - 2020'!F8</f>
        <v>6.1900000000000546</v>
      </c>
      <c r="J4" s="26">
        <f>'02 - 2020'!G9-'02 - 2020'!G8</f>
        <v>38.31000000000131</v>
      </c>
      <c r="K4" s="24">
        <v>0.74</v>
      </c>
      <c r="L4" s="51">
        <v>63</v>
      </c>
      <c r="M4" s="12"/>
    </row>
    <row r="5" spans="1:13" x14ac:dyDescent="0.25">
      <c r="A5" t="s">
        <v>27</v>
      </c>
      <c r="B5">
        <f t="shared" si="0"/>
        <v>4</v>
      </c>
      <c r="C5" s="24">
        <v>2</v>
      </c>
      <c r="D5" s="24">
        <v>2020</v>
      </c>
      <c r="E5" s="26">
        <f>'02 - 2020'!B10-'02 - 2020'!B9</f>
        <v>4149</v>
      </c>
      <c r="F5" s="26">
        <f>'02 - 2020'!C10-'02 - 2020'!C9</f>
        <v>5607</v>
      </c>
      <c r="G5" s="24">
        <v>0.11799999999999999</v>
      </c>
      <c r="H5" s="26">
        <f>'02 - 2020'!E10-'02 - 2020'!E9</f>
        <v>24.1200000000008</v>
      </c>
      <c r="I5" s="26">
        <f>'02 - 2020'!F10-'02 - 2020'!F9</f>
        <v>6</v>
      </c>
      <c r="J5" s="26">
        <f>'02 - 2020'!G10-'02 - 2020'!G9</f>
        <v>42.479999999999563</v>
      </c>
      <c r="K5" s="24">
        <v>0.74</v>
      </c>
      <c r="L5" s="51">
        <v>62</v>
      </c>
      <c r="M5" s="12"/>
    </row>
    <row r="6" spans="1:13" x14ac:dyDescent="0.25">
      <c r="A6" t="s">
        <v>27</v>
      </c>
      <c r="B6">
        <f t="shared" si="0"/>
        <v>5</v>
      </c>
      <c r="C6" s="24">
        <v>2</v>
      </c>
      <c r="D6" s="24">
        <v>2020</v>
      </c>
      <c r="E6" s="26">
        <f>'02 - 2020'!B11-'02 - 2020'!B10</f>
        <v>3878</v>
      </c>
      <c r="F6" s="26">
        <f>'02 - 2020'!C11-'02 - 2020'!C10</f>
        <v>5633</v>
      </c>
      <c r="G6" s="24">
        <v>0.11799999999999999</v>
      </c>
      <c r="H6" s="26">
        <f>'02 - 2020'!E11-'02 - 2020'!E10</f>
        <v>23.8799999999992</v>
      </c>
      <c r="I6" s="26">
        <f>'02 - 2020'!F11-'02 - 2020'!F10</f>
        <v>6.6500000000000909</v>
      </c>
      <c r="J6" s="26">
        <f>'02 - 2020'!G11-'02 - 2020'!G10</f>
        <v>46.900000000001455</v>
      </c>
      <c r="K6" s="24">
        <v>0.74</v>
      </c>
      <c r="L6" s="51">
        <v>69</v>
      </c>
      <c r="M6" s="13"/>
    </row>
    <row r="7" spans="1:13" x14ac:dyDescent="0.25">
      <c r="A7" t="s">
        <v>27</v>
      </c>
      <c r="B7">
        <f t="shared" si="0"/>
        <v>6</v>
      </c>
      <c r="C7" s="24">
        <v>2</v>
      </c>
      <c r="D7" s="24">
        <v>2020</v>
      </c>
      <c r="E7" s="26">
        <f>'02 - 2020'!B12-'02 - 2020'!B11</f>
        <v>4126</v>
      </c>
      <c r="F7" s="26">
        <f>'02 - 2020'!C12-'02 - 2020'!C11</f>
        <v>5978</v>
      </c>
      <c r="G7" s="24">
        <v>0.11799999999999999</v>
      </c>
      <c r="H7" s="26">
        <f>'02 - 2020'!E12-'02 - 2020'!E11</f>
        <v>21.809999999999491</v>
      </c>
      <c r="I7" s="26">
        <f>'02 - 2020'!F12-'02 - 2020'!F11</f>
        <v>5.8499999999999091</v>
      </c>
      <c r="J7" s="26">
        <f>'02 - 2020'!G12-'02 - 2020'!G11</f>
        <v>42.629999999997381</v>
      </c>
      <c r="K7" s="24">
        <v>0.74</v>
      </c>
      <c r="L7" s="51">
        <v>89</v>
      </c>
      <c r="M7" s="13"/>
    </row>
    <row r="8" spans="1:13" x14ac:dyDescent="0.25">
      <c r="A8" t="s">
        <v>27</v>
      </c>
      <c r="B8">
        <f t="shared" si="0"/>
        <v>7</v>
      </c>
      <c r="C8" s="24">
        <v>2</v>
      </c>
      <c r="D8" s="24">
        <v>2020</v>
      </c>
      <c r="E8" s="26">
        <f>'02 - 2020'!B13-'02 - 2020'!B12</f>
        <v>3939</v>
      </c>
      <c r="F8" s="26">
        <f>'02 - 2020'!C13-'02 - 2020'!C12</f>
        <v>6140</v>
      </c>
      <c r="G8" s="24">
        <v>0.11799999999999999</v>
      </c>
      <c r="H8" s="26">
        <f>'02 - 2020'!E13-'02 - 2020'!E12</f>
        <v>24.320000000001528</v>
      </c>
      <c r="I8" s="26">
        <f>'02 - 2020'!F13-'02 - 2020'!F12</f>
        <v>5.3900000000001</v>
      </c>
      <c r="J8" s="26">
        <f>'02 - 2020'!G13-'02 - 2020'!G12</f>
        <v>43.010000000002037</v>
      </c>
      <c r="K8" s="24">
        <v>0.74</v>
      </c>
      <c r="L8" s="51">
        <v>85</v>
      </c>
      <c r="M8" s="13"/>
    </row>
    <row r="9" spans="1:13" x14ac:dyDescent="0.25">
      <c r="A9" t="s">
        <v>27</v>
      </c>
      <c r="B9">
        <f t="shared" si="0"/>
        <v>8</v>
      </c>
      <c r="C9" s="24">
        <v>2</v>
      </c>
      <c r="D9" s="24">
        <v>2020</v>
      </c>
      <c r="E9" s="26">
        <f>'02 - 2020'!B14-'02 - 2020'!B13</f>
        <v>3988</v>
      </c>
      <c r="F9" s="26">
        <f>'02 - 2020'!C14-'02 - 2020'!C13</f>
        <v>6196</v>
      </c>
      <c r="G9" s="24">
        <v>0.11799999999999999</v>
      </c>
      <c r="H9" s="26">
        <f>'02 - 2020'!E14-'02 - 2020'!E13</f>
        <v>25.519999999998618</v>
      </c>
      <c r="I9" s="26">
        <f>'02 - 2020'!F14-'02 - 2020'!F13</f>
        <v>5.3399999999999181</v>
      </c>
      <c r="J9" s="26">
        <f>'02 - 2020'!G14-'02 - 2020'!G13</f>
        <v>40.579999999998108</v>
      </c>
      <c r="K9" s="24">
        <v>0.74</v>
      </c>
      <c r="L9" s="51">
        <v>70</v>
      </c>
      <c r="M9" s="13"/>
    </row>
    <row r="10" spans="1:13" x14ac:dyDescent="0.25">
      <c r="A10" t="s">
        <v>27</v>
      </c>
      <c r="B10">
        <f t="shared" si="0"/>
        <v>9</v>
      </c>
      <c r="C10" s="24">
        <v>2</v>
      </c>
      <c r="D10" s="24">
        <v>2020</v>
      </c>
      <c r="E10" s="26">
        <f>'02 - 2020'!B15-'02 - 2020'!B14</f>
        <v>3538</v>
      </c>
      <c r="F10" s="26">
        <f>'02 - 2020'!C15-'02 - 2020'!C14</f>
        <v>5615</v>
      </c>
      <c r="G10" s="24">
        <v>0.11799999999999999</v>
      </c>
      <c r="H10" s="26">
        <f>'02 - 2020'!E15-'02 - 2020'!E14</f>
        <v>22.290000000000873</v>
      </c>
      <c r="I10" s="26">
        <f>'02 - 2020'!F15-'02 - 2020'!F14</f>
        <v>4.2899999999999636</v>
      </c>
      <c r="J10" s="26">
        <f>'02 - 2020'!G15-'02 - 2020'!G14</f>
        <v>47.880000000001019</v>
      </c>
      <c r="K10" s="24">
        <v>0.74</v>
      </c>
      <c r="L10" s="51">
        <v>59</v>
      </c>
      <c r="M10" s="13"/>
    </row>
    <row r="11" spans="1:13" x14ac:dyDescent="0.25">
      <c r="A11" t="s">
        <v>27</v>
      </c>
      <c r="B11">
        <f t="shared" si="0"/>
        <v>10</v>
      </c>
      <c r="C11" s="24">
        <v>2</v>
      </c>
      <c r="D11" s="24">
        <v>2020</v>
      </c>
      <c r="E11" s="26">
        <f>'02 - 2020'!B16-'02 - 2020'!B15</f>
        <v>3678</v>
      </c>
      <c r="F11" s="26">
        <f>'02 - 2020'!C16-'02 - 2020'!C15</f>
        <v>5530</v>
      </c>
      <c r="G11" s="24">
        <v>0.11799999999999999</v>
      </c>
      <c r="H11" s="26">
        <f>'02 - 2020'!E16-'02 - 2020'!E15</f>
        <v>25.530000000000655</v>
      </c>
      <c r="I11" s="26">
        <f>'02 - 2020'!F16-'02 - 2020'!F15</f>
        <v>4.6800000000000637</v>
      </c>
      <c r="J11" s="26">
        <f>'02 - 2020'!G16-'02 - 2020'!G15</f>
        <v>44.56000000000131</v>
      </c>
      <c r="K11" s="24">
        <v>0.74</v>
      </c>
      <c r="L11" s="51">
        <v>82</v>
      </c>
      <c r="M11" s="13"/>
    </row>
    <row r="12" spans="1:13" x14ac:dyDescent="0.25">
      <c r="A12" t="s">
        <v>27</v>
      </c>
      <c r="B12">
        <f t="shared" si="0"/>
        <v>11</v>
      </c>
      <c r="C12" s="24">
        <v>2</v>
      </c>
      <c r="D12" s="24">
        <v>2020</v>
      </c>
      <c r="E12" s="26">
        <f>'02 - 2020'!B17-'02 - 2020'!B16</f>
        <v>3924</v>
      </c>
      <c r="F12" s="26">
        <f>'02 - 2020'!C17-'02 - 2020'!C16</f>
        <v>5879</v>
      </c>
      <c r="G12" s="24">
        <v>0.11799999999999999</v>
      </c>
      <c r="H12" s="26">
        <f>'02 - 2020'!E17-'02 - 2020'!E16</f>
        <v>27.529999999998836</v>
      </c>
      <c r="I12" s="26">
        <f>'02 - 2020'!F17-'02 - 2020'!F16</f>
        <v>6.6699999999998454</v>
      </c>
      <c r="J12" s="26">
        <f>'02 - 2020'!G17-'02 - 2020'!G16</f>
        <v>50.25</v>
      </c>
      <c r="K12" s="24">
        <v>0.74</v>
      </c>
      <c r="L12" s="26">
        <v>80</v>
      </c>
      <c r="M12" s="13"/>
    </row>
    <row r="13" spans="1:13" x14ac:dyDescent="0.25">
      <c r="A13" t="s">
        <v>27</v>
      </c>
      <c r="B13">
        <f t="shared" si="0"/>
        <v>12</v>
      </c>
      <c r="C13" s="24">
        <v>2</v>
      </c>
      <c r="D13" s="24">
        <v>2020</v>
      </c>
      <c r="E13" s="26">
        <f>'02 - 2020'!B18-'02 - 2020'!B17</f>
        <v>3828</v>
      </c>
      <c r="F13" s="26">
        <f>'02 - 2020'!C18-'02 - 2020'!C17</f>
        <v>5521</v>
      </c>
      <c r="G13" s="24">
        <v>0.11799999999999999</v>
      </c>
      <c r="H13" s="26">
        <f>'02 - 2020'!E18-'02 - 2020'!E17</f>
        <v>24.850000000000364</v>
      </c>
      <c r="I13" s="26">
        <f>'02 - 2020'!F18-'02 - 2020'!F17</f>
        <v>5.1300000000001091</v>
      </c>
      <c r="J13" s="26">
        <f>'02 - 2020'!G18-'02 - 2020'!G17</f>
        <v>43.18999999999869</v>
      </c>
      <c r="K13" s="24">
        <v>0.74</v>
      </c>
      <c r="L13" s="26">
        <v>90</v>
      </c>
      <c r="M13" s="13"/>
    </row>
    <row r="14" spans="1:13" x14ac:dyDescent="0.25">
      <c r="A14" t="s">
        <v>27</v>
      </c>
      <c r="B14">
        <f t="shared" si="0"/>
        <v>13</v>
      </c>
      <c r="C14" s="24">
        <v>2</v>
      </c>
      <c r="D14" s="24">
        <v>2020</v>
      </c>
      <c r="E14" s="26">
        <f>'02 - 2020'!B19-'02 - 2020'!B18</f>
        <v>4545</v>
      </c>
      <c r="F14" s="26">
        <f>'02 - 2020'!C19-'02 - 2020'!C18</f>
        <v>6213</v>
      </c>
      <c r="G14" s="24">
        <v>0.11799999999999999</v>
      </c>
      <c r="H14" s="26">
        <f>'02 - 2020'!E19-'02 - 2020'!E18</f>
        <v>27.819999999999709</v>
      </c>
      <c r="I14" s="26">
        <f>'02 - 2020'!F19-'02 - 2020'!F18</f>
        <v>5.9100000000000819</v>
      </c>
      <c r="J14" s="26">
        <f>'02 - 2020'!G19-'02 - 2020'!G18</f>
        <v>43.409999999999854</v>
      </c>
      <c r="K14" s="24">
        <v>0.74</v>
      </c>
      <c r="L14" s="6">
        <v>98</v>
      </c>
      <c r="M14" s="13"/>
    </row>
    <row r="15" spans="1:13" x14ac:dyDescent="0.25">
      <c r="A15" t="s">
        <v>27</v>
      </c>
      <c r="B15">
        <f t="shared" si="0"/>
        <v>14</v>
      </c>
      <c r="C15" s="24">
        <v>2</v>
      </c>
      <c r="D15" s="24">
        <v>2020</v>
      </c>
      <c r="E15" s="26">
        <f>'02 - 2020'!B20-'02 - 2020'!B19</f>
        <v>3901</v>
      </c>
      <c r="F15" s="26">
        <f>'02 - 2020'!C20-'02 - 2020'!C19</f>
        <v>5778</v>
      </c>
      <c r="G15" s="24">
        <v>0.11799999999999999</v>
      </c>
      <c r="H15" s="26">
        <f>'02 - 2020'!E20-'02 - 2020'!E19</f>
        <v>24.800000000001091</v>
      </c>
      <c r="I15" s="26">
        <f>'02 - 2020'!F20-'02 - 2020'!F19</f>
        <v>6.5799999999999272</v>
      </c>
      <c r="J15" s="26">
        <f>'02 - 2020'!G20-'02 - 2020'!G19</f>
        <v>48.93999999999869</v>
      </c>
      <c r="K15" s="24">
        <v>0.74</v>
      </c>
      <c r="L15" s="6">
        <v>99</v>
      </c>
      <c r="M15" s="13"/>
    </row>
    <row r="16" spans="1:13" x14ac:dyDescent="0.25">
      <c r="A16" t="s">
        <v>27</v>
      </c>
      <c r="B16">
        <f t="shared" si="0"/>
        <v>15</v>
      </c>
      <c r="C16" s="24">
        <v>2</v>
      </c>
      <c r="D16" s="24">
        <v>2020</v>
      </c>
      <c r="E16" s="26">
        <f>'02 - 2020'!B21-'02 - 2020'!B20</f>
        <v>3872</v>
      </c>
      <c r="F16" s="26">
        <f>'02 - 2020'!C21-'02 - 2020'!C20</f>
        <v>6013</v>
      </c>
      <c r="G16" s="24">
        <v>0.11799999999999999</v>
      </c>
      <c r="H16" s="26">
        <f>'02 - 2020'!E21-'02 - 2020'!E20</f>
        <v>24.989999999999782</v>
      </c>
      <c r="I16" s="26">
        <f>'02 - 2020'!F21-'02 - 2020'!F20</f>
        <v>6.4300000000000637</v>
      </c>
      <c r="J16" s="26">
        <f>'02 - 2020'!G21-'02 - 2020'!G20</f>
        <v>44.840000000000146</v>
      </c>
      <c r="K16" s="24">
        <v>0.74</v>
      </c>
      <c r="L16" s="26">
        <v>102</v>
      </c>
      <c r="M16" s="13"/>
    </row>
    <row r="17" spans="1:13" x14ac:dyDescent="0.25">
      <c r="A17" t="s">
        <v>27</v>
      </c>
      <c r="B17">
        <f t="shared" si="0"/>
        <v>16</v>
      </c>
      <c r="C17" s="24">
        <v>2</v>
      </c>
      <c r="D17" s="24">
        <v>2020</v>
      </c>
      <c r="E17" s="26">
        <f>'02 - 2020'!B22-'02 - 2020'!B21</f>
        <v>3794</v>
      </c>
      <c r="F17" s="26">
        <f>'02 - 2020'!C22-'02 - 2020'!C21</f>
        <v>5935</v>
      </c>
      <c r="G17" s="24">
        <v>0.11799999999999999</v>
      </c>
      <c r="H17" s="26">
        <f>'02 - 2020'!E22-'02 - 2020'!E21</f>
        <v>23.399999999999636</v>
      </c>
      <c r="I17" s="26">
        <f>'02 - 2020'!F22-'02 - 2020'!F21</f>
        <v>5.1799999999998363</v>
      </c>
      <c r="J17" s="26">
        <f>'02 - 2020'!G22-'02 - 2020'!G21</f>
        <v>47.630000000001019</v>
      </c>
      <c r="K17" s="24">
        <v>0.74</v>
      </c>
      <c r="L17" s="26">
        <v>94</v>
      </c>
      <c r="M17" s="13"/>
    </row>
    <row r="18" spans="1:13" x14ac:dyDescent="0.25">
      <c r="A18" t="s">
        <v>27</v>
      </c>
      <c r="B18">
        <f t="shared" si="0"/>
        <v>17</v>
      </c>
      <c r="C18" s="24">
        <v>2</v>
      </c>
      <c r="D18" s="24">
        <v>2020</v>
      </c>
      <c r="E18" s="26">
        <f>'02 - 2020'!B23-'02 - 2020'!B22</f>
        <v>3733</v>
      </c>
      <c r="F18" s="26">
        <f>'02 - 2020'!C23-'02 - 2020'!C22</f>
        <v>6065</v>
      </c>
      <c r="G18" s="24">
        <v>0.11799999999999999</v>
      </c>
      <c r="H18" s="26">
        <f>'02 - 2020'!E23-'02 - 2020'!E22</f>
        <v>24.930000000000291</v>
      </c>
      <c r="I18" s="26">
        <f>'02 - 2020'!F23-'02 - 2020'!F22</f>
        <v>4.9200000000000728</v>
      </c>
      <c r="J18" s="26">
        <f>'02 - 2020'!G23-'02 - 2020'!G22</f>
        <v>44.25</v>
      </c>
      <c r="K18" s="24">
        <v>0.74</v>
      </c>
      <c r="L18" s="26">
        <v>97</v>
      </c>
      <c r="M18" s="13"/>
    </row>
    <row r="19" spans="1:13" x14ac:dyDescent="0.25">
      <c r="A19" t="s">
        <v>27</v>
      </c>
      <c r="B19">
        <f>B18+1</f>
        <v>18</v>
      </c>
      <c r="C19" s="24">
        <v>2</v>
      </c>
      <c r="D19" s="24">
        <v>2020</v>
      </c>
      <c r="E19" s="26">
        <f>'02 - 2020'!B24-'02 - 2020'!B23</f>
        <v>3899</v>
      </c>
      <c r="F19" s="26">
        <f>'02 - 2020'!C24-'02 - 2020'!C23</f>
        <v>6204</v>
      </c>
      <c r="G19" s="24">
        <v>0.11799999999999999</v>
      </c>
      <c r="H19" s="26">
        <f>'02 - 2020'!E24-'02 - 2020'!E23</f>
        <v>25.3799999999992</v>
      </c>
      <c r="I19" s="26">
        <f>'02 - 2020'!F24-'02 - 2020'!F23</f>
        <v>4.8199999999999363</v>
      </c>
      <c r="J19" s="26">
        <f>'02 - 2020'!G24-'02 - 2020'!G23</f>
        <v>43.029999999998836</v>
      </c>
      <c r="K19" s="24">
        <v>0.74</v>
      </c>
      <c r="L19" s="6">
        <v>102</v>
      </c>
      <c r="M19" s="13"/>
    </row>
    <row r="20" spans="1:13" x14ac:dyDescent="0.25">
      <c r="A20" t="s">
        <v>27</v>
      </c>
      <c r="B20">
        <f t="shared" si="0"/>
        <v>19</v>
      </c>
      <c r="C20" s="24">
        <v>2</v>
      </c>
      <c r="D20" s="24">
        <v>2020</v>
      </c>
      <c r="E20" s="26">
        <f>'02 - 2020'!B25-'02 - 2020'!B24</f>
        <v>3519</v>
      </c>
      <c r="F20" s="26">
        <f>'02 - 2020'!C25-'02 - 2020'!C24</f>
        <v>5646</v>
      </c>
      <c r="G20" s="24">
        <v>0.11799999999999999</v>
      </c>
      <c r="H20" s="26">
        <f>'02 - 2020'!E25-'02 - 2020'!E24</f>
        <v>24.790000000000873</v>
      </c>
      <c r="I20" s="26">
        <f>'02 - 2020'!F25-'02 - 2020'!F24</f>
        <v>5.3400000000001455</v>
      </c>
      <c r="J20" s="26">
        <f>'02 - 2020'!G25-'02 - 2020'!G24</f>
        <v>45.05000000000291</v>
      </c>
      <c r="K20" s="24">
        <v>0.74</v>
      </c>
      <c r="L20" s="6">
        <v>96</v>
      </c>
      <c r="M20" s="13"/>
    </row>
    <row r="21" spans="1:13" x14ac:dyDescent="0.25">
      <c r="A21" t="s">
        <v>27</v>
      </c>
      <c r="B21">
        <f t="shared" si="0"/>
        <v>20</v>
      </c>
      <c r="C21" s="24">
        <v>2</v>
      </c>
      <c r="D21" s="24">
        <v>2020</v>
      </c>
      <c r="E21" s="26">
        <f>'02 - 2020'!B26-'02 - 2020'!B25</f>
        <v>3867</v>
      </c>
      <c r="F21" s="26">
        <f>'02 - 2020'!C26-'02 - 2020'!C25</f>
        <v>6376</v>
      </c>
      <c r="G21" s="24">
        <v>0.11799999999999999</v>
      </c>
      <c r="H21" s="26">
        <f>'02 - 2020'!E26-'02 - 2020'!E25</f>
        <v>26.299999999999272</v>
      </c>
      <c r="I21" s="26">
        <f>'02 - 2020'!F26-'02 - 2020'!F25</f>
        <v>5.1099999999999</v>
      </c>
      <c r="J21" s="26">
        <f>'02 - 2020'!G26-'02 - 2020'!G25</f>
        <v>45.269999999996799</v>
      </c>
      <c r="K21" s="24">
        <v>0.74</v>
      </c>
      <c r="L21" s="6">
        <v>98</v>
      </c>
      <c r="M21" s="13"/>
    </row>
    <row r="22" spans="1:13" x14ac:dyDescent="0.25">
      <c r="A22" t="s">
        <v>27</v>
      </c>
      <c r="B22">
        <f t="shared" si="0"/>
        <v>21</v>
      </c>
      <c r="C22" s="24">
        <v>2</v>
      </c>
      <c r="D22" s="24">
        <v>2020</v>
      </c>
      <c r="E22" s="26">
        <f>'02 - 2020'!B27-'02 - 2020'!B26</f>
        <v>3898</v>
      </c>
      <c r="F22" s="26">
        <f>'02 - 2020'!C27-'02 - 2020'!C26</f>
        <v>6400</v>
      </c>
      <c r="G22" s="24">
        <v>0.11799999999999999</v>
      </c>
      <c r="H22" s="26">
        <f>'02 - 2020'!E27-'02 - 2020'!E26</f>
        <v>26.780000000000655</v>
      </c>
      <c r="I22" s="26">
        <f>'02 - 2020'!F27-'02 - 2020'!F26</f>
        <v>5.5199999999999818</v>
      </c>
      <c r="J22" s="26">
        <f>'02 - 2020'!G27-'02 - 2020'!G26</f>
        <v>49.790000000000873</v>
      </c>
      <c r="K22" s="24">
        <v>0.74</v>
      </c>
      <c r="L22" s="26">
        <v>99</v>
      </c>
      <c r="M22" s="13"/>
    </row>
    <row r="23" spans="1:13" x14ac:dyDescent="0.25">
      <c r="A23" t="s">
        <v>27</v>
      </c>
      <c r="B23">
        <f t="shared" si="0"/>
        <v>22</v>
      </c>
      <c r="C23" s="24">
        <v>2</v>
      </c>
      <c r="D23" s="24">
        <v>2020</v>
      </c>
      <c r="E23" s="26">
        <f>'02 - 2020'!B28-'02 - 2020'!B27</f>
        <v>3650</v>
      </c>
      <c r="F23" s="26">
        <f>'02 - 2020'!C28-'02 - 2020'!C27</f>
        <v>6121</v>
      </c>
      <c r="G23" s="24">
        <v>0.11799999999999999</v>
      </c>
      <c r="H23" s="26">
        <f>'02 - 2020'!E28-'02 - 2020'!E27</f>
        <v>25.699999999998909</v>
      </c>
      <c r="I23" s="26">
        <f>'02 - 2020'!F28-'02 - 2020'!F27</f>
        <v>5.2999999999999545</v>
      </c>
      <c r="J23" s="26">
        <f>'02 - 2020'!G28-'02 - 2020'!G27</f>
        <v>42.139999999999418</v>
      </c>
      <c r="K23" s="24">
        <v>0.74</v>
      </c>
      <c r="L23" s="26">
        <v>82</v>
      </c>
      <c r="M23" s="13"/>
    </row>
    <row r="24" spans="1:13" x14ac:dyDescent="0.25">
      <c r="A24" t="s">
        <v>27</v>
      </c>
      <c r="B24">
        <f t="shared" si="0"/>
        <v>23</v>
      </c>
      <c r="C24" s="24">
        <v>2</v>
      </c>
      <c r="D24" s="24">
        <v>2020</v>
      </c>
      <c r="E24" s="26">
        <f>'02 - 2020'!B29-'02 - 2020'!B28</f>
        <v>3725</v>
      </c>
      <c r="F24" s="26">
        <f>'02 - 2020'!C29-'02 - 2020'!C28</f>
        <v>6209</v>
      </c>
      <c r="G24" s="24">
        <v>0.11799999999999999</v>
      </c>
      <c r="H24" s="26">
        <f>'02 - 2020'!E29-'02 - 2020'!E28</f>
        <v>24.230000000001382</v>
      </c>
      <c r="I24" s="26">
        <f>'02 - 2020'!F29-'02 - 2020'!F28</f>
        <v>4.5099999999999909</v>
      </c>
      <c r="J24" s="26">
        <f>'02 - 2020'!G29-'02 - 2020'!G28</f>
        <v>46.06000000000131</v>
      </c>
      <c r="K24" s="24">
        <v>0.74</v>
      </c>
      <c r="L24" s="26">
        <v>72</v>
      </c>
      <c r="M24" s="13"/>
    </row>
    <row r="25" spans="1:13" x14ac:dyDescent="0.25">
      <c r="A25" t="s">
        <v>27</v>
      </c>
      <c r="B25">
        <f t="shared" si="0"/>
        <v>24</v>
      </c>
      <c r="C25" s="24">
        <v>2</v>
      </c>
      <c r="D25" s="24">
        <v>2020</v>
      </c>
      <c r="E25" s="26">
        <v>0</v>
      </c>
      <c r="F25" s="26">
        <v>0</v>
      </c>
      <c r="G25" s="24">
        <v>0.11799999999999999</v>
      </c>
      <c r="H25" s="26">
        <v>0</v>
      </c>
      <c r="I25" s="26">
        <v>0</v>
      </c>
      <c r="J25" s="26">
        <v>0</v>
      </c>
      <c r="K25" s="24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4">
        <v>2</v>
      </c>
      <c r="D26" s="24">
        <v>2020</v>
      </c>
      <c r="E26" s="26">
        <f>'02 - 2020'!B31-'02 - 2020'!B30</f>
        <v>0</v>
      </c>
      <c r="F26" s="26">
        <f>'02 - 2020'!C31-'02 - 2020'!C30</f>
        <v>0</v>
      </c>
      <c r="G26" s="24">
        <v>0.11799999999999999</v>
      </c>
      <c r="H26" s="26">
        <f>'02 - 2020'!E31-'02 - 2020'!E30</f>
        <v>0</v>
      </c>
      <c r="I26" s="26">
        <f>'02 - 2020'!F31-'02 - 2020'!F30</f>
        <v>0</v>
      </c>
      <c r="J26" s="26">
        <f>'02 - 2020'!G31-'02 - 2020'!G30</f>
        <v>0</v>
      </c>
      <c r="K26" s="24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4">
        <v>2</v>
      </c>
      <c r="D27" s="24">
        <v>2020</v>
      </c>
      <c r="E27" s="26">
        <f>'02 - 2020'!B32-'02 - 2020'!B31</f>
        <v>0</v>
      </c>
      <c r="F27" s="26">
        <f>'02 - 2020'!C32-'02 - 2020'!C31</f>
        <v>0</v>
      </c>
      <c r="G27" s="24">
        <v>0.11799999999999999</v>
      </c>
      <c r="H27" s="26">
        <f>'02 - 2020'!E32-'02 - 2020'!E31</f>
        <v>0</v>
      </c>
      <c r="I27" s="26">
        <f>'02 - 2020'!F32-'02 - 2020'!F31</f>
        <v>0</v>
      </c>
      <c r="J27" s="26">
        <f>'02 - 2020'!G32-'02 - 2020'!G31</f>
        <v>0</v>
      </c>
      <c r="K27" s="24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4">
        <v>2</v>
      </c>
      <c r="D28" s="24">
        <v>2020</v>
      </c>
      <c r="E28" s="26">
        <f>'02 - 2020'!B33-'02 - 2020'!B32</f>
        <v>0</v>
      </c>
      <c r="F28" s="26">
        <f>'02 - 2020'!C33-'02 - 2020'!C32</f>
        <v>0</v>
      </c>
      <c r="G28" s="24">
        <v>0.11799999999999999</v>
      </c>
      <c r="H28" s="26">
        <f>'02 - 2020'!E33-'02 - 2020'!E32</f>
        <v>0</v>
      </c>
      <c r="I28" s="26">
        <f>'02 - 2020'!F33-'02 - 2020'!F32</f>
        <v>0</v>
      </c>
      <c r="J28" s="26">
        <f>'02 - 2020'!G33-'02 - 2020'!G32</f>
        <v>0</v>
      </c>
      <c r="K28" s="24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4">
        <v>2</v>
      </c>
      <c r="D29" s="24">
        <v>2020</v>
      </c>
      <c r="E29" s="26">
        <f>'02 - 2020'!B34-'02 - 2020'!B33</f>
        <v>0</v>
      </c>
      <c r="F29" s="26">
        <f>'02 - 2020'!C34-'02 - 2020'!C33</f>
        <v>0</v>
      </c>
      <c r="G29" s="24">
        <v>0.11799999999999999</v>
      </c>
      <c r="H29" s="26">
        <f>'02 - 2020'!E34-'02 - 2020'!E33</f>
        <v>0</v>
      </c>
      <c r="I29" s="26">
        <f>'02 - 2020'!F34-'02 - 2020'!F33</f>
        <v>0</v>
      </c>
      <c r="J29" s="26">
        <f>'02 - 2020'!G34-'02 - 2020'!G33</f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2</v>
      </c>
      <c r="D30" s="24">
        <v>2020</v>
      </c>
      <c r="E30" s="26">
        <f>'02 - 2020'!B35-'02 - 2020'!B34</f>
        <v>0</v>
      </c>
      <c r="F30" s="26">
        <f>'02 - 2020'!C35-'02 - 2020'!C34</f>
        <v>0</v>
      </c>
      <c r="G30" s="24">
        <v>0.11799999999999999</v>
      </c>
      <c r="H30" s="26">
        <f>'02 - 2020'!E35-'02 - 2020'!E34</f>
        <v>0</v>
      </c>
      <c r="I30" s="26">
        <f>'02 - 2020'!F35-'02 - 2020'!F34</f>
        <v>0</v>
      </c>
      <c r="J30" s="26">
        <f>'02 - 2020'!G35-'02 - 2020'!G34</f>
        <v>0</v>
      </c>
      <c r="K30" s="24">
        <v>0.74</v>
      </c>
      <c r="L3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B29" sqref="B29:J29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2" t="s">
        <v>30</v>
      </c>
      <c r="B2" s="62"/>
      <c r="C2" s="62"/>
      <c r="D2" s="62"/>
      <c r="E2" s="62"/>
      <c r="F2" s="62"/>
      <c r="G2" s="62"/>
      <c r="H2" s="62"/>
      <c r="I2" s="62"/>
      <c r="J2" s="62"/>
      <c r="K2" s="24"/>
      <c r="L2" s="24"/>
    </row>
    <row r="3" spans="1:15" ht="16.5" thickBot="1" x14ac:dyDescent="0.3">
      <c r="A3" s="55" t="s">
        <v>36</v>
      </c>
      <c r="B3" s="55"/>
      <c r="C3" s="55"/>
      <c r="D3" s="55"/>
      <c r="E3" s="55"/>
      <c r="F3" s="55"/>
      <c r="G3" s="55"/>
      <c r="H3" s="55"/>
      <c r="I3" s="55"/>
      <c r="J3" s="55"/>
      <c r="K3" s="24"/>
      <c r="L3" s="24"/>
    </row>
    <row r="4" spans="1:15" ht="16.5" thickBot="1" x14ac:dyDescent="0.3">
      <c r="A4" s="2"/>
      <c r="B4" s="56">
        <v>19</v>
      </c>
      <c r="C4" s="57"/>
      <c r="D4" s="56" t="s">
        <v>0</v>
      </c>
      <c r="E4" s="58"/>
      <c r="F4" s="58"/>
      <c r="G4" s="59"/>
      <c r="H4" s="60" t="s">
        <v>1</v>
      </c>
      <c r="I4" s="61"/>
      <c r="J4" s="30" t="s">
        <v>2</v>
      </c>
      <c r="K4" s="3"/>
      <c r="L4" s="24"/>
    </row>
    <row r="5" spans="1:15" ht="30" x14ac:dyDescent="0.25">
      <c r="A5" s="44" t="s">
        <v>3</v>
      </c>
      <c r="B5" s="45" t="s">
        <v>33</v>
      </c>
      <c r="C5" s="46" t="s">
        <v>34</v>
      </c>
      <c r="D5" s="46" t="s">
        <v>4</v>
      </c>
      <c r="E5" s="46" t="s">
        <v>5</v>
      </c>
      <c r="F5" s="46" t="s">
        <v>6</v>
      </c>
      <c r="G5" s="47" t="s">
        <v>7</v>
      </c>
      <c r="H5" s="46" t="s">
        <v>28</v>
      </c>
      <c r="I5" s="46" t="s">
        <v>29</v>
      </c>
      <c r="J5" s="46" t="s">
        <v>8</v>
      </c>
      <c r="K5" s="31" t="s">
        <v>31</v>
      </c>
      <c r="L5" s="32" t="s">
        <v>32</v>
      </c>
    </row>
    <row r="6" spans="1:15" ht="12.75" customHeight="1" x14ac:dyDescent="0.25">
      <c r="A6" s="48">
        <v>43861</v>
      </c>
      <c r="B6" s="15">
        <v>494110</v>
      </c>
      <c r="C6" s="15">
        <v>449121</v>
      </c>
      <c r="D6" s="16">
        <v>0.85</v>
      </c>
      <c r="E6" s="29">
        <v>9527.18</v>
      </c>
      <c r="F6" s="29">
        <v>1819.16</v>
      </c>
      <c r="G6" s="17">
        <v>16452.61</v>
      </c>
      <c r="H6" s="15">
        <v>14528</v>
      </c>
      <c r="I6" s="15">
        <v>87332</v>
      </c>
      <c r="J6" s="15">
        <v>37607686</v>
      </c>
      <c r="K6" s="18"/>
      <c r="L6" s="33"/>
    </row>
    <row r="7" spans="1:15" ht="12.75" customHeight="1" x14ac:dyDescent="0.25">
      <c r="A7" s="48">
        <v>43862</v>
      </c>
      <c r="B7" s="37">
        <v>498067</v>
      </c>
      <c r="C7" s="38">
        <v>455029</v>
      </c>
      <c r="D7" s="39">
        <v>0.78</v>
      </c>
      <c r="E7" s="40">
        <v>9553.7800000000007</v>
      </c>
      <c r="F7" s="40">
        <v>1824.14</v>
      </c>
      <c r="G7" s="40">
        <v>16502.439999999999</v>
      </c>
      <c r="H7" s="41">
        <v>14528</v>
      </c>
      <c r="I7" s="41">
        <v>87441</v>
      </c>
      <c r="J7" s="41">
        <v>37618840</v>
      </c>
      <c r="K7" s="42"/>
      <c r="L7" s="43"/>
    </row>
    <row r="8" spans="1:15" ht="12.75" customHeight="1" x14ac:dyDescent="0.25">
      <c r="A8" s="48">
        <v>43863</v>
      </c>
      <c r="B8" s="27">
        <v>501496</v>
      </c>
      <c r="C8" s="19">
        <v>460031</v>
      </c>
      <c r="D8" s="16">
        <v>0.7</v>
      </c>
      <c r="E8" s="23">
        <v>9575.33</v>
      </c>
      <c r="F8" s="23">
        <v>1828.81</v>
      </c>
      <c r="G8" s="23">
        <v>16539.21</v>
      </c>
      <c r="H8" s="19">
        <v>14528</v>
      </c>
      <c r="I8" s="15">
        <v>87549</v>
      </c>
      <c r="J8" s="15">
        <v>37628232</v>
      </c>
      <c r="K8" s="18"/>
      <c r="L8" s="33"/>
    </row>
    <row r="9" spans="1:15" ht="12.75" customHeight="1" x14ac:dyDescent="0.25">
      <c r="A9" s="48">
        <v>43864</v>
      </c>
      <c r="B9" s="15">
        <v>505108</v>
      </c>
      <c r="C9" s="15">
        <v>465402</v>
      </c>
      <c r="D9" s="16">
        <v>0.62</v>
      </c>
      <c r="E9" s="23">
        <v>9600.15</v>
      </c>
      <c r="F9" s="23">
        <v>1835</v>
      </c>
      <c r="G9" s="23">
        <v>16577.52</v>
      </c>
      <c r="H9" s="19">
        <v>14528</v>
      </c>
      <c r="I9" s="15">
        <v>87630</v>
      </c>
      <c r="J9" s="15">
        <v>37638562</v>
      </c>
      <c r="K9" s="18"/>
      <c r="L9" s="33"/>
    </row>
    <row r="10" spans="1:15" ht="12.75" customHeight="1" x14ac:dyDescent="0.25">
      <c r="A10" s="48">
        <v>43865</v>
      </c>
      <c r="B10" s="15">
        <v>509257</v>
      </c>
      <c r="C10" s="15">
        <v>471009</v>
      </c>
      <c r="D10" s="16">
        <v>0.54</v>
      </c>
      <c r="E10" s="23">
        <v>9624.27</v>
      </c>
      <c r="F10" s="23">
        <v>1841</v>
      </c>
      <c r="G10" s="23">
        <v>16620</v>
      </c>
      <c r="H10" s="19">
        <v>14528</v>
      </c>
      <c r="I10" s="15">
        <v>87744</v>
      </c>
      <c r="J10" s="15">
        <v>37649174</v>
      </c>
      <c r="K10" s="18"/>
      <c r="L10" s="33"/>
    </row>
    <row r="11" spans="1:15" ht="12.75" customHeight="1" x14ac:dyDescent="0.25">
      <c r="A11" s="48">
        <v>43866</v>
      </c>
      <c r="B11" s="15">
        <v>513135</v>
      </c>
      <c r="C11" s="15">
        <v>476642</v>
      </c>
      <c r="D11" s="16">
        <v>0.46</v>
      </c>
      <c r="E11" s="23">
        <v>9648.15</v>
      </c>
      <c r="F11" s="23">
        <v>1847.65</v>
      </c>
      <c r="G11" s="23">
        <v>16666.900000000001</v>
      </c>
      <c r="H11" s="15">
        <v>14528</v>
      </c>
      <c r="I11" s="15">
        <v>87846</v>
      </c>
      <c r="J11" s="15">
        <v>37659281</v>
      </c>
      <c r="K11" s="18"/>
      <c r="L11" s="33"/>
    </row>
    <row r="12" spans="1:15" ht="12.75" customHeight="1" x14ac:dyDescent="0.25">
      <c r="A12" s="48">
        <v>43867</v>
      </c>
      <c r="B12" s="15">
        <v>517261</v>
      </c>
      <c r="C12" s="15">
        <v>482620</v>
      </c>
      <c r="D12" s="16">
        <v>0.37</v>
      </c>
      <c r="E12" s="23">
        <v>9669.9599999999991</v>
      </c>
      <c r="F12" s="23">
        <v>1853.5</v>
      </c>
      <c r="G12" s="23">
        <v>16709.53</v>
      </c>
      <c r="H12" s="15">
        <v>14528</v>
      </c>
      <c r="I12" s="17">
        <v>87956</v>
      </c>
      <c r="J12" s="17">
        <v>37670308</v>
      </c>
      <c r="K12" s="18"/>
      <c r="L12" s="33"/>
    </row>
    <row r="13" spans="1:15" ht="12.75" customHeight="1" x14ac:dyDescent="0.25">
      <c r="A13" s="48">
        <v>43868</v>
      </c>
      <c r="B13" s="15">
        <v>521200</v>
      </c>
      <c r="C13" s="15">
        <v>488760</v>
      </c>
      <c r="D13" s="16">
        <v>0.3</v>
      </c>
      <c r="E13" s="23">
        <v>9694.2800000000007</v>
      </c>
      <c r="F13" s="23">
        <v>1858.89</v>
      </c>
      <c r="G13" s="17">
        <v>16752.54</v>
      </c>
      <c r="H13" s="15">
        <v>14528</v>
      </c>
      <c r="I13" s="15">
        <v>88075</v>
      </c>
      <c r="J13" s="15">
        <v>37683756</v>
      </c>
      <c r="K13" s="27"/>
      <c r="L13" s="33"/>
      <c r="O13" s="26"/>
    </row>
    <row r="14" spans="1:15" ht="12.75" customHeight="1" x14ac:dyDescent="0.25">
      <c r="A14" s="48">
        <v>43869</v>
      </c>
      <c r="B14" s="19">
        <v>525188</v>
      </c>
      <c r="C14" s="15">
        <v>494956</v>
      </c>
      <c r="D14" s="16">
        <v>0.22</v>
      </c>
      <c r="E14" s="23">
        <v>9719.7999999999993</v>
      </c>
      <c r="F14" s="23">
        <v>1864.23</v>
      </c>
      <c r="G14" s="17">
        <v>16793.12</v>
      </c>
      <c r="H14" s="15">
        <v>14528</v>
      </c>
      <c r="I14" s="15">
        <v>88195</v>
      </c>
      <c r="J14" s="15">
        <v>37698001</v>
      </c>
      <c r="K14" s="18"/>
      <c r="L14" s="33"/>
      <c r="O14" s="26"/>
    </row>
    <row r="15" spans="1:15" ht="12.75" customHeight="1" x14ac:dyDescent="0.25">
      <c r="A15" s="48">
        <v>43870</v>
      </c>
      <c r="B15" s="49">
        <v>528726</v>
      </c>
      <c r="C15" s="15">
        <v>500571</v>
      </c>
      <c r="D15" s="16">
        <v>0.85</v>
      </c>
      <c r="E15" s="23">
        <v>9742.09</v>
      </c>
      <c r="F15" s="23">
        <v>1868.52</v>
      </c>
      <c r="G15" s="17">
        <v>16841</v>
      </c>
      <c r="H15" s="15">
        <v>14528</v>
      </c>
      <c r="I15" s="15">
        <v>88306</v>
      </c>
      <c r="J15" s="15">
        <v>37711588</v>
      </c>
      <c r="K15" s="18">
        <v>4750</v>
      </c>
      <c r="L15" s="33"/>
    </row>
    <row r="16" spans="1:15" ht="12.75" customHeight="1" x14ac:dyDescent="0.25">
      <c r="A16" s="48">
        <v>43871</v>
      </c>
      <c r="B16" s="17">
        <v>532404</v>
      </c>
      <c r="C16" s="17">
        <v>506101</v>
      </c>
      <c r="D16" s="28">
        <v>0.76</v>
      </c>
      <c r="E16" s="23">
        <v>9767.6200000000008</v>
      </c>
      <c r="F16" s="23">
        <v>1873.2</v>
      </c>
      <c r="G16" s="17">
        <v>16885.560000000001</v>
      </c>
      <c r="H16" s="15">
        <v>14528</v>
      </c>
      <c r="I16" s="17">
        <v>88421</v>
      </c>
      <c r="J16" s="17">
        <v>37725756</v>
      </c>
      <c r="K16" s="18"/>
      <c r="L16" s="33"/>
    </row>
    <row r="17" spans="1:16" ht="12.75" customHeight="1" x14ac:dyDescent="0.25">
      <c r="A17" s="48">
        <v>43872</v>
      </c>
      <c r="B17" s="15">
        <v>536328</v>
      </c>
      <c r="C17" s="15">
        <v>511980</v>
      </c>
      <c r="D17" s="16">
        <v>0.68</v>
      </c>
      <c r="E17" s="23">
        <v>9795.15</v>
      </c>
      <c r="F17" s="23">
        <v>1879.87</v>
      </c>
      <c r="G17" s="17">
        <v>16935.810000000001</v>
      </c>
      <c r="H17" s="15">
        <v>14528</v>
      </c>
      <c r="I17" s="15">
        <v>88519</v>
      </c>
      <c r="J17" s="15">
        <v>37739612</v>
      </c>
      <c r="K17" s="18"/>
      <c r="L17" s="33"/>
      <c r="P17" s="26"/>
    </row>
    <row r="18" spans="1:16" ht="12.75" customHeight="1" x14ac:dyDescent="0.25">
      <c r="A18" s="48">
        <v>43873</v>
      </c>
      <c r="B18" s="15">
        <v>540156</v>
      </c>
      <c r="C18" s="15">
        <v>517501</v>
      </c>
      <c r="D18" s="16">
        <v>0.6</v>
      </c>
      <c r="E18" s="23">
        <v>9820</v>
      </c>
      <c r="F18" s="23">
        <v>1885</v>
      </c>
      <c r="G18" s="17">
        <v>16979</v>
      </c>
      <c r="H18" s="15">
        <v>14528</v>
      </c>
      <c r="I18" s="15">
        <v>88625</v>
      </c>
      <c r="J18" s="15">
        <v>37751122</v>
      </c>
      <c r="K18" s="18"/>
      <c r="L18" s="33"/>
      <c r="P18" s="26"/>
    </row>
    <row r="19" spans="1:16" ht="12.75" customHeight="1" x14ac:dyDescent="0.25">
      <c r="A19" s="48">
        <v>43843</v>
      </c>
      <c r="B19" s="15">
        <v>544701</v>
      </c>
      <c r="C19" s="15">
        <v>523714</v>
      </c>
      <c r="D19" s="16">
        <v>0.52</v>
      </c>
      <c r="E19" s="23">
        <v>9847.82</v>
      </c>
      <c r="F19" s="23">
        <v>1890.91</v>
      </c>
      <c r="G19" s="17">
        <v>17022.41</v>
      </c>
      <c r="H19" s="15">
        <v>14528</v>
      </c>
      <c r="I19" s="15">
        <v>88734</v>
      </c>
      <c r="J19" s="15">
        <v>37761042</v>
      </c>
      <c r="K19" s="18"/>
      <c r="L19" s="33"/>
    </row>
    <row r="20" spans="1:16" ht="12.75" customHeight="1" x14ac:dyDescent="0.25">
      <c r="A20" s="48">
        <v>43875</v>
      </c>
      <c r="B20" s="15">
        <v>548602</v>
      </c>
      <c r="C20" s="15">
        <v>529492</v>
      </c>
      <c r="D20" s="16">
        <v>0.44</v>
      </c>
      <c r="E20" s="23">
        <v>9872.6200000000008</v>
      </c>
      <c r="F20" s="23">
        <v>1897.49</v>
      </c>
      <c r="G20" s="17">
        <v>17071.349999999999</v>
      </c>
      <c r="H20" s="15">
        <v>14528</v>
      </c>
      <c r="I20" s="15">
        <v>88868</v>
      </c>
      <c r="J20" s="15">
        <v>37770360</v>
      </c>
      <c r="K20" s="18"/>
      <c r="L20" s="33"/>
    </row>
    <row r="21" spans="1:16" ht="12.75" customHeight="1" x14ac:dyDescent="0.25">
      <c r="A21" s="48">
        <v>43876</v>
      </c>
      <c r="B21" s="15">
        <v>552474</v>
      </c>
      <c r="C21" s="15">
        <v>535505</v>
      </c>
      <c r="D21" s="16">
        <v>0.32</v>
      </c>
      <c r="E21" s="23">
        <v>9897.61</v>
      </c>
      <c r="F21" s="23">
        <v>1903.92</v>
      </c>
      <c r="G21" s="17">
        <v>17116.189999999999</v>
      </c>
      <c r="H21" s="15">
        <v>14528</v>
      </c>
      <c r="I21" s="17">
        <v>88998</v>
      </c>
      <c r="J21" s="15">
        <v>37780616</v>
      </c>
      <c r="K21" s="27">
        <v>3400</v>
      </c>
      <c r="L21" s="33"/>
    </row>
    <row r="22" spans="1:16" ht="12.75" customHeight="1" x14ac:dyDescent="0.25">
      <c r="A22" s="48">
        <v>43877</v>
      </c>
      <c r="B22" s="21">
        <v>556268</v>
      </c>
      <c r="C22" s="21">
        <v>541440</v>
      </c>
      <c r="D22" s="16">
        <v>0.77</v>
      </c>
      <c r="E22" s="29">
        <v>9921.01</v>
      </c>
      <c r="F22" s="29">
        <v>1909.1</v>
      </c>
      <c r="G22" s="17">
        <v>17163.82</v>
      </c>
      <c r="H22" s="15">
        <v>14528</v>
      </c>
      <c r="I22" s="15">
        <v>89118</v>
      </c>
      <c r="J22" s="15">
        <v>37791732</v>
      </c>
      <c r="K22" s="27"/>
      <c r="L22" s="33"/>
    </row>
    <row r="23" spans="1:16" ht="12.75" customHeight="1" x14ac:dyDescent="0.25">
      <c r="A23" s="48">
        <v>43878</v>
      </c>
      <c r="B23" s="21">
        <v>560001</v>
      </c>
      <c r="C23" s="21">
        <v>547505</v>
      </c>
      <c r="D23" s="16">
        <v>0.7</v>
      </c>
      <c r="E23" s="29">
        <v>9945.94</v>
      </c>
      <c r="F23" s="29">
        <v>1914.02</v>
      </c>
      <c r="G23" s="17">
        <v>17208.07</v>
      </c>
      <c r="H23" s="15">
        <v>14528</v>
      </c>
      <c r="I23" s="15">
        <v>89234</v>
      </c>
      <c r="J23" s="15">
        <v>37804124</v>
      </c>
      <c r="K23" s="18"/>
      <c r="L23" s="34"/>
    </row>
    <row r="24" spans="1:16" ht="12.75" customHeight="1" x14ac:dyDescent="0.25">
      <c r="A24" s="48">
        <v>43879</v>
      </c>
      <c r="B24" s="17">
        <v>563900</v>
      </c>
      <c r="C24" s="17">
        <v>553709</v>
      </c>
      <c r="D24" s="28">
        <v>0.62</v>
      </c>
      <c r="E24" s="29">
        <v>9971.32</v>
      </c>
      <c r="F24" s="29">
        <v>1918.84</v>
      </c>
      <c r="G24" s="17">
        <v>17251.099999999999</v>
      </c>
      <c r="H24" s="15">
        <v>14528</v>
      </c>
      <c r="I24" s="15">
        <v>89356</v>
      </c>
      <c r="J24" s="15">
        <v>37817444</v>
      </c>
      <c r="K24" s="27"/>
      <c r="L24" s="34"/>
    </row>
    <row r="25" spans="1:16" ht="12.75" customHeight="1" x14ac:dyDescent="0.25">
      <c r="A25" s="48">
        <v>43880</v>
      </c>
      <c r="B25" s="17">
        <v>567419</v>
      </c>
      <c r="C25" s="17">
        <v>559355</v>
      </c>
      <c r="D25" s="28">
        <v>0.55000000000000004</v>
      </c>
      <c r="E25" s="29">
        <v>9996.11</v>
      </c>
      <c r="F25" s="29">
        <v>1924.18</v>
      </c>
      <c r="G25" s="17">
        <v>17296.150000000001</v>
      </c>
      <c r="H25" s="15">
        <v>14528</v>
      </c>
      <c r="I25" s="15">
        <v>89481</v>
      </c>
      <c r="J25" s="15">
        <v>37830515</v>
      </c>
      <c r="K25" s="27"/>
      <c r="L25" s="34"/>
    </row>
    <row r="26" spans="1:16" ht="12.75" customHeight="1" x14ac:dyDescent="0.25">
      <c r="A26" s="48">
        <v>43881</v>
      </c>
      <c r="B26" s="15">
        <v>571286</v>
      </c>
      <c r="C26" s="15">
        <v>565731</v>
      </c>
      <c r="D26" s="16">
        <v>0.45</v>
      </c>
      <c r="E26" s="29">
        <v>10022.41</v>
      </c>
      <c r="F26" s="29">
        <v>1929.29</v>
      </c>
      <c r="G26" s="17">
        <v>17341.419999999998</v>
      </c>
      <c r="H26" s="15">
        <v>14528</v>
      </c>
      <c r="I26" s="15">
        <v>89605</v>
      </c>
      <c r="J26" s="15">
        <v>37845843</v>
      </c>
      <c r="K26" s="18"/>
      <c r="L26" s="33"/>
    </row>
    <row r="27" spans="1:16" ht="12.75" customHeight="1" x14ac:dyDescent="0.25">
      <c r="A27" s="48">
        <v>43882</v>
      </c>
      <c r="B27" s="14">
        <v>575184</v>
      </c>
      <c r="C27" s="15">
        <v>572131</v>
      </c>
      <c r="D27" s="16">
        <v>0.85</v>
      </c>
      <c r="E27" s="29">
        <v>10049.19</v>
      </c>
      <c r="F27" s="29">
        <v>1934.81</v>
      </c>
      <c r="G27" s="17">
        <v>17391.21</v>
      </c>
      <c r="H27" s="15">
        <v>14528</v>
      </c>
      <c r="I27" s="15">
        <v>89746</v>
      </c>
      <c r="J27" s="15">
        <v>37860936</v>
      </c>
      <c r="K27" s="18">
        <v>3350</v>
      </c>
      <c r="L27" s="33"/>
    </row>
    <row r="28" spans="1:16" ht="12.75" customHeight="1" x14ac:dyDescent="0.25">
      <c r="A28" s="48">
        <v>43852</v>
      </c>
      <c r="B28" s="15">
        <v>578834</v>
      </c>
      <c r="C28" s="15">
        <v>578252</v>
      </c>
      <c r="D28" s="16">
        <v>0.75</v>
      </c>
      <c r="E28" s="29">
        <v>10074.89</v>
      </c>
      <c r="F28" s="29">
        <v>1940.11</v>
      </c>
      <c r="G28" s="17">
        <v>17433.349999999999</v>
      </c>
      <c r="H28" s="15">
        <v>14528</v>
      </c>
      <c r="I28" s="15">
        <v>89880</v>
      </c>
      <c r="J28" s="15">
        <v>37876972</v>
      </c>
      <c r="K28" s="18"/>
      <c r="L28" s="33"/>
      <c r="P28" s="6"/>
    </row>
    <row r="29" spans="1:16" ht="12.75" customHeight="1" x14ac:dyDescent="0.25">
      <c r="A29" s="48">
        <v>43884</v>
      </c>
      <c r="B29" s="15">
        <v>582559</v>
      </c>
      <c r="C29" s="15">
        <v>584461</v>
      </c>
      <c r="D29" s="16">
        <v>0.65</v>
      </c>
      <c r="E29" s="29">
        <v>10099.120000000001</v>
      </c>
      <c r="F29" s="29">
        <v>1944.62</v>
      </c>
      <c r="G29" s="17">
        <v>17479.41</v>
      </c>
      <c r="H29" s="15">
        <v>14528</v>
      </c>
      <c r="I29" s="15">
        <v>90019</v>
      </c>
      <c r="J29" s="15">
        <v>37894280</v>
      </c>
      <c r="K29" s="18"/>
      <c r="L29" s="33"/>
      <c r="P29" s="6"/>
    </row>
    <row r="30" spans="1:16" ht="12.75" customHeight="1" x14ac:dyDescent="0.25">
      <c r="A30" s="48">
        <v>43885</v>
      </c>
      <c r="B30" s="15"/>
      <c r="C30" s="15"/>
      <c r="D30" s="16"/>
      <c r="E30" s="29"/>
      <c r="F30" s="29"/>
      <c r="G30" s="17"/>
      <c r="H30" s="15"/>
      <c r="I30" s="15"/>
      <c r="J30" s="15"/>
      <c r="K30" s="18"/>
      <c r="L30" s="35"/>
      <c r="P30" s="6"/>
    </row>
    <row r="31" spans="1:16" ht="12.75" customHeight="1" x14ac:dyDescent="0.25">
      <c r="A31" s="48">
        <v>43886</v>
      </c>
      <c r="B31" s="15"/>
      <c r="C31" s="15"/>
      <c r="D31" s="16"/>
      <c r="E31" s="29"/>
      <c r="F31" s="29"/>
      <c r="G31" s="17"/>
      <c r="H31" s="15"/>
      <c r="I31" s="15"/>
      <c r="J31" s="15"/>
      <c r="K31" s="18"/>
      <c r="L31" s="35"/>
      <c r="P31" s="6"/>
    </row>
    <row r="32" spans="1:16" ht="12.75" customHeight="1" x14ac:dyDescent="0.25">
      <c r="A32" s="48">
        <v>43887</v>
      </c>
      <c r="B32" s="15"/>
      <c r="C32" s="15"/>
      <c r="D32" s="16"/>
      <c r="E32" s="29"/>
      <c r="F32" s="29"/>
      <c r="G32" s="17"/>
      <c r="H32" s="15"/>
      <c r="I32" s="15"/>
      <c r="J32" s="15"/>
      <c r="K32" s="18"/>
      <c r="L32" s="33"/>
      <c r="P32" s="6"/>
    </row>
    <row r="33" spans="1:12" ht="12.75" customHeight="1" x14ac:dyDescent="0.25">
      <c r="A33" s="48">
        <v>43888</v>
      </c>
      <c r="B33" s="17"/>
      <c r="C33" s="20"/>
      <c r="D33" s="28"/>
      <c r="E33" s="29"/>
      <c r="F33" s="29"/>
      <c r="G33" s="17"/>
      <c r="H33" s="15"/>
      <c r="I33" s="17"/>
      <c r="J33" s="17"/>
      <c r="K33" s="18"/>
      <c r="L33" s="33"/>
    </row>
    <row r="34" spans="1:12" ht="12.75" customHeight="1" x14ac:dyDescent="0.25">
      <c r="A34" s="48">
        <v>43889</v>
      </c>
      <c r="B34" s="15"/>
      <c r="C34" s="20"/>
      <c r="D34" s="16"/>
      <c r="E34" s="29"/>
      <c r="F34" s="29"/>
      <c r="G34" s="17"/>
      <c r="H34" s="17"/>
      <c r="I34" s="15"/>
      <c r="J34" s="15"/>
      <c r="K34" s="18"/>
      <c r="L34" s="33"/>
    </row>
    <row r="35" spans="1:12" ht="12.75" customHeight="1" x14ac:dyDescent="0.25">
      <c r="A35" s="48">
        <v>43890</v>
      </c>
      <c r="B35" s="15"/>
      <c r="C35" s="20"/>
      <c r="D35" s="16"/>
      <c r="E35" s="29"/>
      <c r="F35" s="29"/>
      <c r="G35" s="17"/>
      <c r="H35" s="17"/>
      <c r="I35" s="15"/>
      <c r="J35" s="15"/>
      <c r="K35" s="18"/>
      <c r="L35" s="33"/>
    </row>
    <row r="36" spans="1:12" ht="12.75" customHeight="1" x14ac:dyDescent="0.25">
      <c r="A36" s="48"/>
      <c r="B36" s="15"/>
      <c r="C36" s="15"/>
      <c r="D36" s="16"/>
      <c r="E36" s="29"/>
      <c r="F36" s="29"/>
      <c r="G36" s="17"/>
      <c r="H36" s="15"/>
      <c r="I36" s="15"/>
      <c r="J36" s="15"/>
      <c r="K36" s="18"/>
      <c r="L36" s="33"/>
    </row>
    <row r="37" spans="1:12" x14ac:dyDescent="0.25">
      <c r="A37" s="48"/>
      <c r="B37" s="15"/>
      <c r="C37" s="15"/>
      <c r="D37" s="16"/>
      <c r="E37" s="29"/>
      <c r="F37" s="29"/>
      <c r="G37" s="17"/>
      <c r="H37" s="15"/>
      <c r="I37" s="15"/>
      <c r="J37" s="15"/>
      <c r="K37" s="18"/>
      <c r="L37" s="33"/>
    </row>
    <row r="38" spans="1:12" x14ac:dyDescent="0.25">
      <c r="A38" s="50" t="s">
        <v>35</v>
      </c>
      <c r="B38" s="36">
        <f t="shared" ref="B38:I38" si="0">B37-B6</f>
        <v>-494110</v>
      </c>
      <c r="C38" s="36">
        <f t="shared" si="0"/>
        <v>-449121</v>
      </c>
      <c r="D38" s="36">
        <f t="shared" si="0"/>
        <v>-0.85</v>
      </c>
      <c r="E38" s="36">
        <f t="shared" si="0"/>
        <v>-9527.18</v>
      </c>
      <c r="F38" s="36">
        <f t="shared" si="0"/>
        <v>-1819.16</v>
      </c>
      <c r="G38" s="36">
        <f t="shared" si="0"/>
        <v>-16452.61</v>
      </c>
      <c r="H38" s="36">
        <f t="shared" si="0"/>
        <v>-14528</v>
      </c>
      <c r="I38" s="36">
        <f t="shared" si="0"/>
        <v>-87332</v>
      </c>
      <c r="J38" s="36">
        <f>J37-J6</f>
        <v>-37607686</v>
      </c>
      <c r="K38" s="36">
        <f>SUM(K6:K37)</f>
        <v>11500</v>
      </c>
      <c r="L38" s="24"/>
    </row>
    <row r="39" spans="1:12" x14ac:dyDescent="0.25">
      <c r="A39" s="24"/>
      <c r="B39" s="24"/>
      <c r="C39" s="36"/>
      <c r="D39" s="24"/>
      <c r="E39" s="26"/>
      <c r="F39" s="26"/>
      <c r="G39" s="26"/>
      <c r="H39" s="22">
        <f>H38*219.969</f>
        <v>-3195709.6319999998</v>
      </c>
      <c r="I39" s="36">
        <f>I38*219.969</f>
        <v>-19210332.708000001</v>
      </c>
      <c r="J39" s="26"/>
      <c r="K39" s="24"/>
      <c r="L39" s="24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02 - 2020</vt:lpstr>
      <vt:lpstr>'02 - 2020'!Print_Area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2020-02-23T05:03:59Z</dcterms:modified>
</cp:coreProperties>
</file>