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74FACC37-AC0D-4B83-A6B7-B160AEDEFC3B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<sst xmlns="http://schemas.openxmlformats.org/spreadsheetml/2006/main" count="66" uniqueCount="32">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</sst>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2407.4148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116.73787981560739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T29" sqref="T2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24</v>
      </c>
      <c r="G2" s="9">
        <f>'Otemachi Daily'!F5</f>
        <v>160</v>
      </c>
      <c r="H2" s="35">
        <f>[1]見込!$M$23</f>
        <v>116.73787981560739</v>
      </c>
      <c r="I2" s="9">
        <f>'Otemachi Daily'!H5</f>
        <v>12633.5106</v>
      </c>
      <c r="J2" s="35">
        <v>10.79</v>
      </c>
      <c r="K2" s="9">
        <f>'Otemachi Daily'!J5</f>
        <v>1707.3588</v>
      </c>
      <c r="L2" s="35">
        <v>7.22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24</v>
      </c>
      <c r="G3" s="9">
        <f>'Otemachi Daily'!F6</f>
        <v>169</v>
      </c>
      <c r="H3" s="35">
        <f>[1]見込!$M$23</f>
        <v>116.73787981560739</v>
      </c>
      <c r="I3" s="9">
        <f>'Otemachi Daily'!H6</f>
        <v>14609.7798</v>
      </c>
      <c r="J3" s="35">
        <v>10.79</v>
      </c>
      <c r="K3" s="9">
        <f>'Otemachi Daily'!J6</f>
        <v>1656.7991999999999</v>
      </c>
      <c r="L3" s="35">
        <v>7.22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24</v>
      </c>
      <c r="G4" s="9">
        <f>'Otemachi Daily'!F7</f>
        <v>181</v>
      </c>
      <c r="H4" s="35">
        <f>[1]見込!$M$23</f>
        <v>116.73787981560739</v>
      </c>
      <c r="I4" s="9">
        <f>'Otemachi Daily'!H7</f>
        <v>16135.735199999999</v>
      </c>
      <c r="J4" s="35">
        <v>10.79</v>
      </c>
      <c r="K4" s="9">
        <f>'Otemachi Daily'!J7</f>
        <v>1764.3078</v>
      </c>
      <c r="L4" s="35">
        <v>7.22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24</v>
      </c>
      <c r="G5" s="9">
        <f>'Otemachi Daily'!F8</f>
        <v>183</v>
      </c>
      <c r="H5" s="35">
        <f>[1]見込!$M$23</f>
        <v>116.73787981560739</v>
      </c>
      <c r="I5" s="9">
        <f>'Otemachi Daily'!H8</f>
        <v>12102.6348</v>
      </c>
      <c r="J5" s="35">
        <v>10.79</v>
      </c>
      <c r="K5" s="9">
        <f>'Otemachi Daily'!J8</f>
        <v>2162.3951999999999</v>
      </c>
      <c r="L5" s="35">
        <v>7.22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24</v>
      </c>
      <c r="G6" s="9">
        <f>'Otemachi Daily'!F9</f>
        <v>154</v>
      </c>
      <c r="H6" s="35">
        <f>[1]見込!$M$23</f>
        <v>116.73787981560739</v>
      </c>
      <c r="I6" s="9">
        <f>'Otemachi Daily'!H9</f>
        <v>15291.2232</v>
      </c>
      <c r="J6" s="35">
        <v>10.79</v>
      </c>
      <c r="K6" s="9">
        <f>'Otemachi Daily'!J9</f>
        <v>1640.4089999999999</v>
      </c>
      <c r="L6" s="35">
        <v>7.22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24</v>
      </c>
      <c r="G7" s="9">
        <f>'Otemachi Daily'!F10</f>
        <v>172</v>
      </c>
      <c r="H7" s="35">
        <f>[1]見込!$M$23</f>
        <v>116.73787981560739</v>
      </c>
      <c r="I7" s="9">
        <f>'Otemachi Daily'!H10</f>
        <v>24341.391599999999</v>
      </c>
      <c r="J7" s="35">
        <v>10.79</v>
      </c>
      <c r="K7" s="9">
        <f>'Otemachi Daily'!J10</f>
        <v>1716.5262</v>
      </c>
      <c r="L7" s="35">
        <v>7.22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24</v>
      </c>
      <c r="G8" s="9">
        <f>'Otemachi Daily'!F11</f>
        <v>148</v>
      </c>
      <c r="H8" s="35">
        <f>[1]見込!$M$23</f>
        <v>116.73787981560739</v>
      </c>
      <c r="I8" s="9">
        <f>'Otemachi Daily'!H11</f>
        <v>28606.454999999998</v>
      </c>
      <c r="J8" s="35">
        <v>10.79</v>
      </c>
      <c r="K8" s="9">
        <f>'Otemachi Daily'!J11</f>
        <v>3045.5214000000001</v>
      </c>
      <c r="L8" s="35">
        <v>7.22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24</v>
      </c>
      <c r="G9" s="9">
        <f>'Otemachi Daily'!F12</f>
        <v>161</v>
      </c>
      <c r="H9" s="35">
        <f>[1]見込!$M$23</f>
        <v>116.73787981560739</v>
      </c>
      <c r="I9" s="9">
        <f>'Otemachi Daily'!H12</f>
        <v>22729.318199999998</v>
      </c>
      <c r="J9" s="35">
        <v>10.79</v>
      </c>
      <c r="K9" s="9">
        <f>'Otemachi Daily'!J12</f>
        <v>2407.4148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24</v>
      </c>
      <c r="G10" s="9">
        <f>'Otemachi Daily'!F13</f>
        <v>180</v>
      </c>
      <c r="H10" s="35">
        <f>[1]見込!$M$23</f>
        <v>116.73787981560739</v>
      </c>
      <c r="I10" s="9">
        <f>'Otemachi Daily'!H13</f>
        <v>23070.456599999998</v>
      </c>
      <c r="J10" s="35">
        <v>10.79</v>
      </c>
      <c r="K10" s="9">
        <f>'Otemachi Daily'!J13</f>
        <v>1468.7285999999999</v>
      </c>
      <c r="L10" s="35">
        <v>7.22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24</v>
      </c>
      <c r="G11" s="9">
        <f>'Otemachi Daily'!F14</f>
        <v>182</v>
      </c>
      <c r="H11" s="35">
        <f>[1]見込!$M$23</f>
        <v>116.73787981560739</v>
      </c>
      <c r="I11" s="9">
        <f>'Otemachi Daily'!H14</f>
        <v>34670.828999999998</v>
      </c>
      <c r="J11" s="35">
        <v>10.79</v>
      </c>
      <c r="K11" s="9">
        <f>'Otemachi Daily'!J14</f>
        <v>1160.9261999999999</v>
      </c>
      <c r="L11" s="35">
        <v>7.22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24</v>
      </c>
      <c r="G12" s="9">
        <f>'Otemachi Daily'!F15</f>
        <v>184</v>
      </c>
      <c r="H12" s="35">
        <f>[1]見込!$M$23</f>
        <v>116.73787981560739</v>
      </c>
      <c r="I12" s="9">
        <f>'Otemachi Daily'!H15</f>
        <v>26860.2042</v>
      </c>
      <c r="J12" s="35">
        <v>10.79</v>
      </c>
      <c r="K12" s="9">
        <f>'Otemachi Daily'!J15</f>
        <v>1061.4738</v>
      </c>
      <c r="L12" s="35">
        <v>7.22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5">
        <f>[1]見込!$G$3</f>
        <v>24</v>
      </c>
      <c r="G13" s="9">
        <f>'Otemachi Daily'!F16</f>
        <v>154</v>
      </c>
      <c r="H13" s="35">
        <f>[1]見込!$M$23</f>
        <v>116.73787981560739</v>
      </c>
      <c r="I13" s="9">
        <f>'Otemachi Daily'!H16</f>
        <v>23451.042600000001</v>
      </c>
      <c r="J13" s="35">
        <v>10.79</v>
      </c>
      <c r="K13" s="9">
        <f>'Otemachi Daily'!J16</f>
        <v>556.71119999999996</v>
      </c>
      <c r="L13" s="35">
        <v>7.22</v>
      </c>
      <c r="M13" s="9">
        <f>'Otemachi Daily'!L16</f>
        <v>133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5">
        <f>[1]見込!$G$3</f>
        <v>24</v>
      </c>
      <c r="G14" s="9">
        <f>'Otemachi Daily'!F17</f>
        <v>165</v>
      </c>
      <c r="H14" s="35">
        <f>[1]見込!$M$23</f>
        <v>116.73787981560739</v>
      </c>
      <c r="I14" s="9">
        <f>'Otemachi Daily'!H17</f>
        <v>21795.910199999998</v>
      </c>
      <c r="J14" s="35">
        <v>10.79</v>
      </c>
      <c r="K14" s="9">
        <f>'Otemachi Daily'!J17</f>
        <v>864.5136</v>
      </c>
      <c r="L14" s="35">
        <v>7.22</v>
      </c>
      <c r="M14" s="9">
        <f>'Otemachi Daily'!L17</f>
        <v>107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5">
        <f>[1]見込!$G$3</f>
        <v>24</v>
      </c>
      <c r="G15" s="9">
        <f>'Otemachi Daily'!F18</f>
        <v>147</v>
      </c>
      <c r="H15" s="35">
        <f>[1]見込!$M$23</f>
        <v>116.73787981560739</v>
      </c>
      <c r="I15" s="9">
        <f>'Otemachi Daily'!H18</f>
        <v>21582.837599999999</v>
      </c>
      <c r="J15" s="35">
        <v>10.79</v>
      </c>
      <c r="K15" s="9">
        <f>'Otemachi Daily'!J18</f>
        <v>858.40199999999993</v>
      </c>
      <c r="L15" s="35">
        <v>7.22</v>
      </c>
      <c r="M15" s="9">
        <f>'Otemachi Daily'!L18</f>
        <v>113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5">
        <f>[1]見込!$G$3</f>
        <v>24</v>
      </c>
      <c r="G16" s="9">
        <f>'Otemachi Daily'!F19</f>
        <v>153</v>
      </c>
      <c r="H16" s="35">
        <f>[1]見込!$M$23</f>
        <v>116.73787981560739</v>
      </c>
      <c r="I16" s="9">
        <f>'Otemachi Daily'!H19</f>
        <v>27214.1214</v>
      </c>
      <c r="J16" s="35">
        <v>10.79</v>
      </c>
      <c r="K16" s="9">
        <f>'Otemachi Daily'!J19</f>
        <v>697.83359999999993</v>
      </c>
      <c r="L16" s="35">
        <v>7.22</v>
      </c>
      <c r="M16" s="9">
        <f>'Otemachi Daily'!L19</f>
        <v>175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5">
        <f>[1]見込!$G$3</f>
        <v>24</v>
      </c>
      <c r="G17" s="9">
        <f>'Otemachi Daily'!F20</f>
        <v>184</v>
      </c>
      <c r="H17" s="35">
        <f>[1]見込!$M$23</f>
        <v>116.73787981560739</v>
      </c>
      <c r="I17" s="9">
        <f>'Otemachi Daily'!H20</f>
        <v>32526.213</v>
      </c>
      <c r="J17" s="35">
        <v>10.79</v>
      </c>
      <c r="K17" s="9">
        <f>'Otemachi Daily'!J20</f>
        <v>506.15159999999997</v>
      </c>
      <c r="L17" s="35">
        <v>7.22</v>
      </c>
      <c r="M17" s="9">
        <f>'Otemachi Daily'!L20</f>
        <v>166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5">
        <f>[1]見込!$G$3</f>
        <v>24</v>
      </c>
      <c r="G18" s="9">
        <f>'Otemachi Daily'!F21</f>
        <v>184</v>
      </c>
      <c r="H18" s="35">
        <f>[1]見込!$M$23</f>
        <v>116.73787981560739</v>
      </c>
      <c r="I18" s="9">
        <f>'Otemachi Daily'!H21</f>
        <v>31550.301599999999</v>
      </c>
      <c r="J18" s="35">
        <v>10.79</v>
      </c>
      <c r="K18" s="9">
        <f>'Otemachi Daily'!J21</f>
        <v>888.95999999999992</v>
      </c>
      <c r="L18" s="35">
        <v>7.22</v>
      </c>
      <c r="M18" s="9">
        <f>'Otemachi Daily'!L21</f>
        <v>208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5">
        <f>[1]見込!$G$3</f>
        <v>24</v>
      </c>
      <c r="G19" s="9">
        <f>'Otemachi Daily'!F22</f>
        <v>176</v>
      </c>
      <c r="H19" s="35">
        <f>[1]見込!$M$23</f>
        <v>116.73787981560739</v>
      </c>
      <c r="I19" s="9">
        <f>'Otemachi Daily'!H22</f>
        <v>35145.033600000002</v>
      </c>
      <c r="J19" s="35">
        <v>10.79</v>
      </c>
      <c r="K19" s="9">
        <f>'Otemachi Daily'!J22</f>
        <v>780.61799999999994</v>
      </c>
      <c r="L19" s="35">
        <v>7.22</v>
      </c>
      <c r="M19" s="9">
        <f>'Otemachi Daily'!L22</f>
        <v>182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0</v>
      </c>
      <c r="F20" s="35">
        <f>[1]見込!$G$3</f>
        <v>24</v>
      </c>
      <c r="G20" s="9">
        <f>'Otemachi Daily'!F23</f>
        <v>0</v>
      </c>
      <c r="H20" s="35">
        <f>[1]見込!$M$23</f>
        <v>116.73787981560739</v>
      </c>
      <c r="I20" s="9">
        <f>'Otemachi Daily'!H23</f>
        <v>0</v>
      </c>
      <c r="J20" s="35">
        <v>10.79</v>
      </c>
      <c r="K20" s="9">
        <f>'Otemachi Daily'!J23</f>
        <v>0</v>
      </c>
      <c r="L20" s="35">
        <v>7.22</v>
      </c>
      <c r="M20" s="9">
        <f>'Otemachi Daily'!L23</f>
        <v>0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0</v>
      </c>
      <c r="F21" s="35">
        <f>[1]見込!$G$3</f>
        <v>24</v>
      </c>
      <c r="G21" s="9">
        <f>'Otemachi Daily'!F24</f>
        <v>0</v>
      </c>
      <c r="H21" s="35">
        <f>[1]見込!$M$23</f>
        <v>116.73787981560739</v>
      </c>
      <c r="I21" s="9">
        <f>'Otemachi Daily'!H24</f>
        <v>0</v>
      </c>
      <c r="J21" s="35">
        <v>10.79</v>
      </c>
      <c r="K21" s="9">
        <f>'Otemachi Daily'!J24</f>
        <v>0</v>
      </c>
      <c r="L21" s="35">
        <v>7.22</v>
      </c>
      <c r="M21" s="9">
        <f>'Otemachi Daily'!L24</f>
        <v>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0</v>
      </c>
      <c r="F22" s="35">
        <f>[1]見込!$G$3</f>
        <v>24</v>
      </c>
      <c r="G22" s="9">
        <f>'Otemachi Daily'!F25</f>
        <v>0</v>
      </c>
      <c r="H22" s="35">
        <f>[1]見込!$M$23</f>
        <v>116.73787981560739</v>
      </c>
      <c r="I22" s="9">
        <f>'Otemachi Daily'!H25</f>
        <v>0</v>
      </c>
      <c r="J22" s="35">
        <v>10.79</v>
      </c>
      <c r="K22" s="9">
        <f>'Otemachi Daily'!J25</f>
        <v>0</v>
      </c>
      <c r="L22" s="35">
        <v>7.22</v>
      </c>
      <c r="M22" s="9">
        <f>'Otemachi Daily'!L25</f>
        <v>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0</v>
      </c>
      <c r="F23" s="35">
        <f>[1]見込!$G$3</f>
        <v>24</v>
      </c>
      <c r="G23" s="9">
        <f>'Otemachi Daily'!F26</f>
        <v>0</v>
      </c>
      <c r="H23" s="35">
        <f>[1]見込!$M$23</f>
        <v>116.73787981560739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116.73787981560739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116.73787981560739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116.73787981560739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116.73787981560739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116.73787981560739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116.73787981560739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116.73787981560739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116.73787981560739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116.73787981560739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D1" activePane="topRight" state="frozen"/>
      <selection pane="topRight" activeCell="Q15" sqref="Q1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44349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44350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44351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44352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44353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44354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44355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2407.4148</v>
      </c>
      <c r="J12" s="36">
        <f t="shared" ref="J12" si="20">I12</f>
        <v>2407.4148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44356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44357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44358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44359</v>
      </c>
      <c r="B16" s="38"/>
      <c r="C16" s="36">
        <f>[1]コスト!$R$147</f>
        <v>13435</v>
      </c>
      <c r="D16" s="36">
        <f t="shared" si="0"/>
        <v>13435</v>
      </c>
      <c r="E16" s="36">
        <f>[1]コスト!$R$23</f>
        <v>154</v>
      </c>
      <c r="F16" s="36">
        <f t="shared" si="0"/>
        <v>154</v>
      </c>
      <c r="G16" s="36">
        <f>[1]コスト!$R$115</f>
        <v>23451.042600000001</v>
      </c>
      <c r="H16" s="36">
        <f t="shared" ref="H16" si="31">G16</f>
        <v>23451.042600000001</v>
      </c>
      <c r="I16" s="36">
        <f>[1]コスト!$R$91</f>
        <v>556.71119999999996</v>
      </c>
      <c r="J16" s="36">
        <f t="shared" ref="J16" si="32">I16</f>
        <v>556.71119999999996</v>
      </c>
      <c r="K16" s="36">
        <f>[1]コスト!$R$41</f>
        <v>133</v>
      </c>
      <c r="L16" s="36">
        <f t="shared" ref="L16" si="33">K16</f>
        <v>133</v>
      </c>
      <c r="M16" s="12"/>
      <c r="N16" s="12"/>
    </row>
    <row r="17" spans="1:26" ht="45" customHeight="1">
      <c r="A17" s="28">
        <v>44360</v>
      </c>
      <c r="B17" s="38"/>
      <c r="C17" s="36">
        <f>[1]コスト!$S$147</f>
        <v>13248</v>
      </c>
      <c r="D17" s="36">
        <f t="shared" si="0"/>
        <v>13248</v>
      </c>
      <c r="E17" s="36">
        <f>[1]コスト!$S$23</f>
        <v>165</v>
      </c>
      <c r="F17" s="36">
        <f t="shared" si="0"/>
        <v>165</v>
      </c>
      <c r="G17" s="36">
        <f>[1]コスト!$S$115</f>
        <v>21795.910199999998</v>
      </c>
      <c r="H17" s="36">
        <f t="shared" ref="H17" si="34">G17</f>
        <v>21795.910199999998</v>
      </c>
      <c r="I17" s="36">
        <f>[1]コスト!$S$91</f>
        <v>864.5136</v>
      </c>
      <c r="J17" s="36">
        <f t="shared" ref="J17" si="35">I17</f>
        <v>864.5136</v>
      </c>
      <c r="K17" s="36">
        <f>[1]コスト!$S$41</f>
        <v>107</v>
      </c>
      <c r="L17" s="36">
        <f t="shared" ref="L17" si="36">K17</f>
        <v>107</v>
      </c>
      <c r="M17" s="12"/>
      <c r="N17" s="12"/>
    </row>
    <row r="18" spans="1:26" ht="45" customHeight="1">
      <c r="A18" s="28">
        <v>44361</v>
      </c>
      <c r="B18" s="38"/>
      <c r="C18" s="36">
        <f>[1]コスト!$T$147</f>
        <v>13041</v>
      </c>
      <c r="D18" s="36">
        <f t="shared" si="0"/>
        <v>13041</v>
      </c>
      <c r="E18" s="36">
        <f>[1]コスト!$T$23</f>
        <v>147</v>
      </c>
      <c r="F18" s="36">
        <f t="shared" si="0"/>
        <v>147</v>
      </c>
      <c r="G18" s="36">
        <f>[1]コスト!$T$115</f>
        <v>21582.837599999999</v>
      </c>
      <c r="H18" s="36">
        <f t="shared" ref="H18" si="37">G18</f>
        <v>21582.837599999999</v>
      </c>
      <c r="I18" s="36">
        <f>[1]コスト!$T$91</f>
        <v>858.40199999999993</v>
      </c>
      <c r="J18" s="36">
        <f t="shared" ref="J18" si="38">I18</f>
        <v>858.40199999999993</v>
      </c>
      <c r="K18" s="36">
        <f>[1]コスト!$T$41</f>
        <v>113</v>
      </c>
      <c r="L18" s="36">
        <f t="shared" ref="L18" si="39">K18</f>
        <v>113</v>
      </c>
      <c r="M18" s="12"/>
      <c r="N18" s="12"/>
      <c r="Z18" s="37"/>
    </row>
    <row r="19" spans="1:26" ht="45" customHeight="1">
      <c r="A19" s="28">
        <v>44362</v>
      </c>
      <c r="B19" s="38"/>
      <c r="C19" s="36">
        <f>[1]コスト!$U$147</f>
        <v>13722</v>
      </c>
      <c r="D19" s="36">
        <f t="shared" si="0"/>
        <v>13722</v>
      </c>
      <c r="E19" s="36">
        <f>[1]コスト!$U$23</f>
        <v>153</v>
      </c>
      <c r="F19" s="36">
        <f t="shared" si="0"/>
        <v>153</v>
      </c>
      <c r="G19" s="36">
        <f>[1]コスト!$U$115</f>
        <v>27214.1214</v>
      </c>
      <c r="H19" s="36">
        <f t="shared" ref="H19" si="40">G19</f>
        <v>27214.1214</v>
      </c>
      <c r="I19" s="36">
        <f>[1]コスト!$U$91</f>
        <v>697.83359999999993</v>
      </c>
      <c r="J19" s="36">
        <f t="shared" ref="J19" si="41">I19</f>
        <v>697.83359999999993</v>
      </c>
      <c r="K19" s="36">
        <f>[1]コスト!$U$41</f>
        <v>175</v>
      </c>
      <c r="L19" s="36">
        <f t="shared" ref="L19" si="42">K19</f>
        <v>175</v>
      </c>
      <c r="M19" s="12"/>
      <c r="N19" s="12"/>
    </row>
    <row r="20" spans="1:26" ht="45" customHeight="1">
      <c r="A20" s="28">
        <v>44363</v>
      </c>
      <c r="B20" s="38"/>
      <c r="C20" s="36">
        <f>[1]コスト!$V$147</f>
        <v>14559</v>
      </c>
      <c r="D20" s="36">
        <f t="shared" si="0"/>
        <v>14559</v>
      </c>
      <c r="E20" s="36">
        <f>[1]コスト!$V$23</f>
        <v>184</v>
      </c>
      <c r="F20" s="36">
        <f t="shared" si="0"/>
        <v>184</v>
      </c>
      <c r="G20" s="36">
        <f>[1]コスト!$V$115</f>
        <v>32526.213</v>
      </c>
      <c r="H20" s="36">
        <f t="shared" ref="H20" si="43">G20</f>
        <v>32526.213</v>
      </c>
      <c r="I20" s="36">
        <f>[1]コスト!$V$91</f>
        <v>506.15159999999997</v>
      </c>
      <c r="J20" s="36">
        <f t="shared" ref="J20" si="44">I20</f>
        <v>506.15159999999997</v>
      </c>
      <c r="K20" s="36">
        <f>[1]コスト!$V$41</f>
        <v>166</v>
      </c>
      <c r="L20" s="36">
        <f t="shared" ref="L20" si="45">K20</f>
        <v>166</v>
      </c>
      <c r="M20" s="12"/>
      <c r="N20" s="12"/>
    </row>
    <row r="21" spans="1:26" ht="45" customHeight="1">
      <c r="A21" s="28">
        <v>44364</v>
      </c>
      <c r="B21" s="38"/>
      <c r="C21" s="36">
        <f>[1]コスト!$W$147</f>
        <v>15492</v>
      </c>
      <c r="D21" s="36">
        <f t="shared" si="0"/>
        <v>15492</v>
      </c>
      <c r="E21" s="36">
        <f>[1]コスト!$W$23</f>
        <v>184</v>
      </c>
      <c r="F21" s="36">
        <f t="shared" si="0"/>
        <v>184</v>
      </c>
      <c r="G21" s="36">
        <f>[1]コスト!$W$115</f>
        <v>31550.301599999999</v>
      </c>
      <c r="H21" s="36">
        <f t="shared" ref="H21" si="46">G21</f>
        <v>31550.301599999999</v>
      </c>
      <c r="I21" s="36">
        <f>[1]コスト!$W$91</f>
        <v>888.95999999999992</v>
      </c>
      <c r="J21" s="36">
        <f t="shared" ref="J21" si="47">I21</f>
        <v>888.95999999999992</v>
      </c>
      <c r="K21" s="36">
        <f>[1]コスト!$W$41</f>
        <v>208</v>
      </c>
      <c r="L21" s="36">
        <f t="shared" ref="L21" si="48">K21</f>
        <v>208</v>
      </c>
      <c r="M21" s="12"/>
      <c r="N21" s="12"/>
    </row>
    <row r="22" spans="1:26" ht="45" customHeight="1">
      <c r="A22" s="28">
        <v>44365</v>
      </c>
      <c r="B22" s="38"/>
      <c r="C22" s="36">
        <f>[1]コスト!$X$147</f>
        <v>15423</v>
      </c>
      <c r="D22" s="36">
        <f t="shared" si="0"/>
        <v>15423</v>
      </c>
      <c r="E22" s="36">
        <f>[1]コスト!$X$23</f>
        <v>176</v>
      </c>
      <c r="F22" s="36">
        <f t="shared" si="0"/>
        <v>176</v>
      </c>
      <c r="G22" s="36">
        <f>[1]コスト!$X$115</f>
        <v>35145.033600000002</v>
      </c>
      <c r="H22" s="36">
        <f t="shared" ref="H22" si="49">G22</f>
        <v>35145.033600000002</v>
      </c>
      <c r="I22" s="36">
        <f>[1]コスト!$X$91</f>
        <v>780.61799999999994</v>
      </c>
      <c r="J22" s="36">
        <f t="shared" ref="J22" si="50">I22</f>
        <v>780.61799999999994</v>
      </c>
      <c r="K22" s="36">
        <f>[1]コスト!$X$41</f>
        <v>182</v>
      </c>
      <c r="L22" s="36">
        <f t="shared" ref="L22" si="51">K22</f>
        <v>182</v>
      </c>
      <c r="M22" s="12"/>
      <c r="N22" s="12"/>
    </row>
    <row r="23" spans="1:26" ht="45" customHeight="1">
      <c r="A23" s="28">
        <v>44366</v>
      </c>
      <c r="B23" s="38"/>
      <c r="C23" s="36">
        <f>[1]コスト!$Y$147</f>
        <v>0</v>
      </c>
      <c r="D23" s="36">
        <f t="shared" si="0"/>
        <v>0</v>
      </c>
      <c r="E23" s="36">
        <f>[1]コスト!$Y$23</f>
        <v>0</v>
      </c>
      <c r="F23" s="36">
        <f t="shared" si="0"/>
        <v>0</v>
      </c>
      <c r="G23" s="36">
        <f>[1]コスト!$Y$115</f>
        <v>0</v>
      </c>
      <c r="H23" s="36">
        <f t="shared" ref="H23" si="52">G23</f>
        <v>0</v>
      </c>
      <c r="I23" s="36">
        <f>[1]コスト!$Y$91</f>
        <v>0</v>
      </c>
      <c r="J23" s="36">
        <f t="shared" ref="J23" si="53">I23</f>
        <v>0</v>
      </c>
      <c r="K23" s="36">
        <f>[1]コスト!$Y$41</f>
        <v>0</v>
      </c>
      <c r="L23" s="36">
        <f t="shared" ref="L23" si="54">K23</f>
        <v>0</v>
      </c>
      <c r="M23" s="12"/>
      <c r="N23" s="12"/>
    </row>
    <row r="24" spans="1:26" ht="45" customHeight="1">
      <c r="A24" s="28">
        <v>44367</v>
      </c>
      <c r="B24" s="38"/>
      <c r="C24" s="36">
        <f>[1]コスト!$Z$147</f>
        <v>0</v>
      </c>
      <c r="D24" s="36">
        <f t="shared" si="0"/>
        <v>0</v>
      </c>
      <c r="E24" s="36">
        <f>[1]コスト!$Z$23</f>
        <v>0</v>
      </c>
      <c r="F24" s="36">
        <f t="shared" si="0"/>
        <v>0</v>
      </c>
      <c r="G24" s="36">
        <f>[1]コスト!$Z$115</f>
        <v>0</v>
      </c>
      <c r="H24" s="36">
        <f t="shared" ref="H24" si="55">G24</f>
        <v>0</v>
      </c>
      <c r="I24" s="36">
        <f>[1]コスト!$Z$91</f>
        <v>0</v>
      </c>
      <c r="J24" s="36">
        <f t="shared" ref="J24" si="56">I24</f>
        <v>0</v>
      </c>
      <c r="K24" s="36">
        <f>[1]コスト!$Z$41</f>
        <v>0</v>
      </c>
      <c r="L24" s="36">
        <f t="shared" ref="L24" si="57">K24</f>
        <v>0</v>
      </c>
      <c r="M24" s="12"/>
      <c r="N24" s="12"/>
    </row>
    <row r="25" spans="1:26" ht="45" customHeight="1">
      <c r="A25" s="28">
        <v>44368</v>
      </c>
      <c r="B25" s="38"/>
      <c r="C25" s="36">
        <f>[1]コスト!$AA$147</f>
        <v>0</v>
      </c>
      <c r="D25" s="36">
        <f t="shared" si="0"/>
        <v>0</v>
      </c>
      <c r="E25" s="36">
        <f>[1]コスト!$AA$23</f>
        <v>0</v>
      </c>
      <c r="F25" s="36">
        <f t="shared" si="0"/>
        <v>0</v>
      </c>
      <c r="G25" s="36">
        <f>[1]コスト!$AA$115</f>
        <v>0</v>
      </c>
      <c r="H25" s="36">
        <f t="shared" ref="H25" si="58">G25</f>
        <v>0</v>
      </c>
      <c r="I25" s="36">
        <f>[1]コスト!$AA$91</f>
        <v>0</v>
      </c>
      <c r="J25" s="36">
        <f t="shared" ref="J25" si="59">I25</f>
        <v>0</v>
      </c>
      <c r="K25" s="36">
        <f>[1]コスト!$AA$41</f>
        <v>0</v>
      </c>
      <c r="L25" s="36">
        <f t="shared" ref="L25" si="60">K25</f>
        <v>0</v>
      </c>
      <c r="M25" s="12"/>
      <c r="N25" s="12"/>
    </row>
    <row r="26" spans="1:26" ht="45" customHeight="1">
      <c r="A26" s="28">
        <v>44369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44370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44371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44372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44373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44374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44375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44376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44377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2021-07-19T10:20:10Z</dcterms:modified>
</cp:coreProperties>
</file>