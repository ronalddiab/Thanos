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482" documentId="8_{B5C46BEE-2163-4AAC-A0A7-4875FCE1155D}" xr6:coauthVersionLast="47" xr6:coauthVersionMax="47" xr10:uidLastSave="{B4CE0277-D08E-4555-88B2-24F9BCBA43EE}"/>
  <bookViews>
    <workbookView xWindow="0" yWindow="0" windowWidth="28800" windowHeight="12105" firstSheet="1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2" l="1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D17" i="2"/>
  <c r="D18" i="2"/>
  <c r="AW18" i="2"/>
  <c r="AW17" i="2"/>
  <c r="N14" i="2"/>
  <c r="K31" i="1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<sst xmlns="http://schemas.openxmlformats.org/spreadsheetml/2006/main" count="236" uniqueCount="61">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</sst>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106</v>
      </c>
      <c r="L24" s="19">
        <f>Submetering!AF24</f>
        <v>161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15158</v>
      </c>
      <c r="F25" s="15">
        <f>((Submetering!E25+Submetering!F25)*0.11+Submetering!G25*0.0302)/TOTAL!E25</f>
        <v>9.0236891410476319E-2</v>
      </c>
      <c r="G25" s="19">
        <f>Submetering!AC25</f>
        <v>2338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190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15578</v>
      </c>
      <c r="F26" s="15">
        <f>((Submetering!E26+Submetering!F26)*0.11+Submetering!G26*0.0302)/TOTAL!E26</f>
        <v>9.033430478880472E-2</v>
      </c>
      <c r="G26" s="19">
        <f>Submetering!AC26</f>
        <v>2466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125</v>
      </c>
      <c r="L26" s="19">
        <f>Submetering!AF26</f>
        <v>198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14960</v>
      </c>
      <c r="F27" s="15">
        <f>((Submetering!E27+Submetering!F27)*0.11+Submetering!G27*0.0302)/TOTAL!E27</f>
        <v>8.9820628342245981E-2</v>
      </c>
      <c r="G27" s="19">
        <f>Submetering!AC27</f>
        <v>2523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127</v>
      </c>
      <c r="L27" s="19">
        <f>Submetering!AF27</f>
        <v>182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15465</v>
      </c>
      <c r="F28" s="15">
        <f>((Submetering!E28+Submetering!F28)*0.11+Submetering!G28*0.0302)/TOTAL!E28</f>
        <v>8.9999689621726484E-2</v>
      </c>
      <c r="G28" s="19">
        <f>Submetering!AC28</f>
        <v>2603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154</v>
      </c>
      <c r="L28" s="19">
        <f>Submetering!AF28</f>
        <v>199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C2" activePane="bottomRight" state="frozen"/>
      <selection pane="bottomRight" activeCell="C21" sqref="C21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33">
        <v>7492</v>
      </c>
      <c r="F24" s="33">
        <v>4965</v>
      </c>
      <c r="G24" s="33">
        <v>3907</v>
      </c>
      <c r="H24" s="33">
        <v>548</v>
      </c>
      <c r="I24" s="33">
        <v>482</v>
      </c>
      <c r="J24" s="33">
        <v>1427</v>
      </c>
      <c r="K24" s="34">
        <v>0</v>
      </c>
      <c r="L24" s="33">
        <v>390</v>
      </c>
      <c r="M24" s="33">
        <v>16</v>
      </c>
      <c r="N24" s="33">
        <v>964</v>
      </c>
      <c r="O24" s="33">
        <v>238</v>
      </c>
      <c r="P24" s="33">
        <v>1503</v>
      </c>
      <c r="Q24" s="33">
        <v>2</v>
      </c>
      <c r="R24" s="33">
        <v>1231</v>
      </c>
      <c r="S24" s="33">
        <v>1968</v>
      </c>
      <c r="T24" s="33">
        <v>291</v>
      </c>
      <c r="U24" s="33">
        <v>45</v>
      </c>
      <c r="V24" s="33">
        <v>241</v>
      </c>
      <c r="W24" s="33">
        <v>578</v>
      </c>
      <c r="X24" s="33">
        <v>643</v>
      </c>
      <c r="Y24" s="34">
        <v>0</v>
      </c>
      <c r="Z24" s="34">
        <v>0</v>
      </c>
      <c r="AA24" s="33">
        <v>23</v>
      </c>
      <c r="AB24" s="33">
        <v>2</v>
      </c>
      <c r="AC24" s="33">
        <v>2377</v>
      </c>
      <c r="AD24" s="33">
        <v>1224</v>
      </c>
      <c r="AE24" s="33">
        <v>106</v>
      </c>
      <c r="AF24" s="33">
        <v>161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33">
        <v>6677</v>
      </c>
      <c r="F25" s="33">
        <v>4727</v>
      </c>
      <c r="G25" s="33">
        <v>3754</v>
      </c>
      <c r="H25" s="33">
        <v>567</v>
      </c>
      <c r="I25" s="33">
        <v>452</v>
      </c>
      <c r="J25" s="33">
        <v>1282</v>
      </c>
      <c r="K25" s="34">
        <v>0</v>
      </c>
      <c r="L25" s="33">
        <v>373</v>
      </c>
      <c r="M25" s="33">
        <v>16</v>
      </c>
      <c r="N25" s="33">
        <v>806</v>
      </c>
      <c r="O25" s="33">
        <v>195</v>
      </c>
      <c r="P25" s="33">
        <v>1188</v>
      </c>
      <c r="Q25" s="33">
        <v>3</v>
      </c>
      <c r="R25" s="33">
        <v>1167</v>
      </c>
      <c r="S25" s="33">
        <v>1856</v>
      </c>
      <c r="T25" s="33">
        <v>275</v>
      </c>
      <c r="U25" s="33">
        <v>43</v>
      </c>
      <c r="V25" s="33">
        <v>236</v>
      </c>
      <c r="W25" s="33">
        <v>589</v>
      </c>
      <c r="X25" s="33">
        <v>597</v>
      </c>
      <c r="Y25" s="34">
        <v>0</v>
      </c>
      <c r="Z25" s="34">
        <v>0</v>
      </c>
      <c r="AA25" s="33">
        <v>18</v>
      </c>
      <c r="AB25" s="33">
        <v>2</v>
      </c>
      <c r="AC25" s="33">
        <v>2338</v>
      </c>
      <c r="AD25" s="33">
        <v>1163</v>
      </c>
      <c r="AE25" s="33">
        <v>118</v>
      </c>
      <c r="AF25" s="33">
        <v>190</v>
      </c>
    </row>
    <row r="26" spans="1:32">
      <c r="A26" s="16" t="s">
        <v>12</v>
      </c>
      <c r="B26" s="7">
        <f>B25+1</f>
        <v>25</v>
      </c>
      <c r="C26" s="7">
        <v>2</v>
      </c>
      <c r="D26" s="39">
        <v>2023</v>
      </c>
      <c r="E26" s="33">
        <v>6868</v>
      </c>
      <c r="F26" s="33">
        <v>4871</v>
      </c>
      <c r="G26" s="33">
        <v>3839</v>
      </c>
      <c r="H26" s="33">
        <v>575</v>
      </c>
      <c r="I26" s="33">
        <v>457</v>
      </c>
      <c r="J26" s="33">
        <v>1296</v>
      </c>
      <c r="K26" s="34">
        <v>0</v>
      </c>
      <c r="L26" s="33">
        <v>381</v>
      </c>
      <c r="M26" s="33">
        <v>17</v>
      </c>
      <c r="N26" s="33">
        <v>824</v>
      </c>
      <c r="O26" s="33">
        <v>197</v>
      </c>
      <c r="P26" s="33">
        <v>1271</v>
      </c>
      <c r="Q26" s="33">
        <v>2</v>
      </c>
      <c r="R26" s="33">
        <v>1195</v>
      </c>
      <c r="S26" s="33">
        <v>1892</v>
      </c>
      <c r="T26" s="33">
        <v>283</v>
      </c>
      <c r="U26" s="33">
        <v>44</v>
      </c>
      <c r="V26" s="33">
        <v>231</v>
      </c>
      <c r="W26" s="33">
        <v>602</v>
      </c>
      <c r="X26" s="33">
        <v>604</v>
      </c>
      <c r="Y26" s="34">
        <v>0</v>
      </c>
      <c r="Z26" s="34">
        <v>0</v>
      </c>
      <c r="AA26" s="33">
        <v>18</v>
      </c>
      <c r="AB26" s="33">
        <v>2</v>
      </c>
      <c r="AC26" s="33">
        <v>2466</v>
      </c>
      <c r="AD26" s="33">
        <v>1193</v>
      </c>
      <c r="AE26" s="33">
        <v>125</v>
      </c>
      <c r="AF26" s="33">
        <v>198</v>
      </c>
    </row>
    <row r="27" spans="1:32">
      <c r="A27" s="16" t="s">
        <v>12</v>
      </c>
      <c r="B27" s="7">
        <f t="shared" si="0"/>
        <v>26</v>
      </c>
      <c r="C27" s="7">
        <v>2</v>
      </c>
      <c r="D27" s="39">
        <v>2023</v>
      </c>
      <c r="E27" s="33">
        <v>6456</v>
      </c>
      <c r="F27" s="33">
        <v>4721</v>
      </c>
      <c r="G27" s="33">
        <v>3783</v>
      </c>
      <c r="H27" s="33">
        <v>599</v>
      </c>
      <c r="I27" s="33">
        <v>429</v>
      </c>
      <c r="J27" s="33">
        <v>1239</v>
      </c>
      <c r="K27" s="34">
        <v>0</v>
      </c>
      <c r="L27" s="33">
        <v>381</v>
      </c>
      <c r="M27" s="33">
        <v>15</v>
      </c>
      <c r="N27" s="33">
        <v>692</v>
      </c>
      <c r="O27" s="33">
        <v>164</v>
      </c>
      <c r="P27" s="33">
        <v>1214</v>
      </c>
      <c r="Q27" s="33">
        <v>3</v>
      </c>
      <c r="R27" s="33">
        <v>1168</v>
      </c>
      <c r="S27" s="33">
        <v>1859</v>
      </c>
      <c r="T27" s="33">
        <v>277</v>
      </c>
      <c r="U27" s="33">
        <v>43</v>
      </c>
      <c r="V27" s="33">
        <v>241</v>
      </c>
      <c r="W27" s="33">
        <v>545</v>
      </c>
      <c r="X27" s="33">
        <v>666</v>
      </c>
      <c r="Y27" s="34">
        <v>0</v>
      </c>
      <c r="Z27" s="34">
        <v>0</v>
      </c>
      <c r="AA27" s="33">
        <v>23</v>
      </c>
      <c r="AB27" s="33">
        <v>2</v>
      </c>
      <c r="AC27" s="33">
        <v>2523</v>
      </c>
      <c r="AD27" s="33">
        <v>1176</v>
      </c>
      <c r="AE27" s="33">
        <v>127</v>
      </c>
      <c r="AF27" s="33">
        <v>182</v>
      </c>
    </row>
    <row r="28" spans="1:32">
      <c r="A28" s="16" t="s">
        <v>12</v>
      </c>
      <c r="B28" s="7">
        <f t="shared" si="0"/>
        <v>27</v>
      </c>
      <c r="C28" s="7">
        <v>2</v>
      </c>
      <c r="D28" s="39">
        <v>2023</v>
      </c>
      <c r="E28" s="33">
        <v>6772</v>
      </c>
      <c r="F28" s="33">
        <v>4817</v>
      </c>
      <c r="G28" s="33">
        <v>3876</v>
      </c>
      <c r="H28" s="33">
        <v>569</v>
      </c>
      <c r="I28" s="33">
        <v>448</v>
      </c>
      <c r="J28" s="33">
        <v>1429</v>
      </c>
      <c r="K28" s="34">
        <v>0</v>
      </c>
      <c r="L28" s="33">
        <v>393</v>
      </c>
      <c r="M28" s="33">
        <v>16</v>
      </c>
      <c r="N28" s="33">
        <v>755</v>
      </c>
      <c r="O28" s="33">
        <v>169</v>
      </c>
      <c r="P28" s="33">
        <v>1224</v>
      </c>
      <c r="Q28" s="33">
        <v>2</v>
      </c>
      <c r="R28" s="33">
        <v>1219</v>
      </c>
      <c r="S28" s="33">
        <v>1931</v>
      </c>
      <c r="T28" s="33">
        <v>290</v>
      </c>
      <c r="U28" s="33">
        <v>44</v>
      </c>
      <c r="V28" s="33">
        <v>229</v>
      </c>
      <c r="W28" s="33">
        <v>565</v>
      </c>
      <c r="X28" s="33">
        <v>650</v>
      </c>
      <c r="Y28" s="34">
        <v>0</v>
      </c>
      <c r="Z28" s="34">
        <v>0</v>
      </c>
      <c r="AA28" s="33">
        <v>17</v>
      </c>
      <c r="AB28" s="33">
        <v>2</v>
      </c>
      <c r="AC28" s="33">
        <v>2603</v>
      </c>
      <c r="AD28" s="33">
        <v>1196</v>
      </c>
      <c r="AE28" s="33">
        <v>154</v>
      </c>
      <c r="AF28" s="33">
        <v>199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L24" activePane="bottomLeft" state="frozen"/>
      <selection pane="bottomLeft" activeCell="BE30" sqref="BE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0"/>
      <c r="C1" s="51" t="s">
        <v>13</v>
      </c>
      <c r="D1" s="52"/>
      <c r="E1" s="44" t="s">
        <v>14</v>
      </c>
      <c r="F1" s="44"/>
      <c r="G1" s="44" t="s">
        <v>15</v>
      </c>
      <c r="H1" s="44"/>
      <c r="I1" s="44" t="s">
        <v>16</v>
      </c>
      <c r="J1" s="44"/>
      <c r="K1" s="44" t="s">
        <v>17</v>
      </c>
      <c r="L1" s="44"/>
      <c r="M1" s="44" t="s">
        <v>40</v>
      </c>
      <c r="N1" s="44"/>
      <c r="O1" s="44" t="s">
        <v>41</v>
      </c>
      <c r="P1" s="44"/>
      <c r="Q1" s="44" t="s">
        <v>20</v>
      </c>
      <c r="R1" s="44"/>
      <c r="S1" s="44" t="s">
        <v>21</v>
      </c>
      <c r="T1" s="44"/>
      <c r="U1" s="44" t="s">
        <v>42</v>
      </c>
      <c r="V1" s="44"/>
      <c r="W1" s="44" t="s">
        <v>43</v>
      </c>
      <c r="X1" s="44"/>
      <c r="Y1" s="44" t="s">
        <v>24</v>
      </c>
      <c r="Z1" s="44"/>
      <c r="AA1" s="44" t="s">
        <v>25</v>
      </c>
      <c r="AB1" s="44"/>
      <c r="AC1" s="44" t="s">
        <v>26</v>
      </c>
      <c r="AD1" s="44"/>
      <c r="AE1" s="44" t="s">
        <v>27</v>
      </c>
      <c r="AF1" s="44"/>
      <c r="AG1" s="44" t="s">
        <v>28</v>
      </c>
      <c r="AH1" s="44"/>
      <c r="AI1" s="44" t="s">
        <v>29</v>
      </c>
      <c r="AJ1" s="44"/>
      <c r="AK1" s="44" t="s">
        <v>30</v>
      </c>
      <c r="AL1" s="44"/>
      <c r="AM1" s="44" t="s">
        <v>31</v>
      </c>
      <c r="AN1" s="44"/>
      <c r="AO1" s="44" t="s">
        <v>32</v>
      </c>
      <c r="AP1" s="44"/>
      <c r="AQ1" s="42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41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2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1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2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1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2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1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43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1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42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41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42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41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42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41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42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41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42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41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42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41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42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41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42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41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42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41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42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41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42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41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42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41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42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41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42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41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42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41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42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41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42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41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42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41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42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41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42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41"/>
      <c r="C26" s="25">
        <v>32444974</v>
      </c>
      <c r="D26" s="9">
        <f>IF((C26-C25&lt;0), "0",C26-C25)</f>
        <v>6677</v>
      </c>
      <c r="E26" s="25">
        <v>32740184</v>
      </c>
      <c r="F26" s="9">
        <f>IF((E26-E25&lt;0), "0",E26-E25)</f>
        <v>4727</v>
      </c>
      <c r="G26" s="25">
        <v>13953346</v>
      </c>
      <c r="H26" s="9">
        <f>IF((G26-G25&lt;0), "0",G26-G25)</f>
        <v>3754</v>
      </c>
      <c r="I26" s="25">
        <v>1958634</v>
      </c>
      <c r="J26" s="9">
        <f t="shared" si="8"/>
        <v>567</v>
      </c>
      <c r="K26" s="25">
        <v>3955950</v>
      </c>
      <c r="L26" s="9">
        <f>IF((K26-K25&lt;0), "0",K26-K25)</f>
        <v>452</v>
      </c>
      <c r="M26" s="25">
        <v>5214458</v>
      </c>
      <c r="N26" s="9">
        <f t="shared" ref="N26:O27" si="89">IF((M26-M25&lt;0), "0",M26-M25)</f>
        <v>1282</v>
      </c>
      <c r="O26" s="30">
        <v>2271833</v>
      </c>
      <c r="P26" s="9">
        <f t="shared" ref="P26" si="90">IF((O26-O25&lt;0), "0",O26-O25)</f>
        <v>0</v>
      </c>
      <c r="Q26" s="25">
        <v>1592002</v>
      </c>
      <c r="R26" s="9">
        <f t="shared" ref="R26" si="91">IF((Q26-Q25&lt;0), "0",Q26-Q25)</f>
        <v>373</v>
      </c>
      <c r="S26" s="25">
        <v>573641</v>
      </c>
      <c r="T26" s="9">
        <f t="shared" ref="T26" si="92">IF((S26-S25&lt;0), "0",S26-S25)</f>
        <v>16</v>
      </c>
      <c r="U26" s="25">
        <v>4952868</v>
      </c>
      <c r="V26" s="9">
        <f t="shared" si="53"/>
        <v>806</v>
      </c>
      <c r="W26" s="25">
        <v>1131928</v>
      </c>
      <c r="X26" s="9">
        <f t="shared" si="53"/>
        <v>195</v>
      </c>
      <c r="Y26" s="25">
        <v>5154193</v>
      </c>
      <c r="Z26" s="9">
        <f t="shared" si="53"/>
        <v>1188</v>
      </c>
      <c r="AA26" s="25">
        <v>2271995</v>
      </c>
      <c r="AB26" s="9">
        <f t="shared" si="53"/>
        <v>3</v>
      </c>
      <c r="AC26" s="25">
        <v>6448490</v>
      </c>
      <c r="AD26" s="27">
        <f t="shared" si="53"/>
        <v>1167</v>
      </c>
      <c r="AE26" s="25">
        <v>9291160</v>
      </c>
      <c r="AF26" s="29">
        <f t="shared" si="53"/>
        <v>1856</v>
      </c>
      <c r="AG26" s="25">
        <v>1544687</v>
      </c>
      <c r="AH26" s="28">
        <f t="shared" si="53"/>
        <v>275</v>
      </c>
      <c r="AI26" s="25">
        <v>289047</v>
      </c>
      <c r="AJ26" s="9">
        <f t="shared" si="53"/>
        <v>43</v>
      </c>
      <c r="AK26" s="25">
        <v>1214523</v>
      </c>
      <c r="AL26" s="9">
        <f t="shared" si="53"/>
        <v>236</v>
      </c>
      <c r="AM26" s="25">
        <v>2314646</v>
      </c>
      <c r="AN26" s="9">
        <f t="shared" si="53"/>
        <v>589</v>
      </c>
      <c r="AO26" s="25">
        <v>2242222</v>
      </c>
      <c r="AP26" s="9">
        <f t="shared" si="53"/>
        <v>597</v>
      </c>
      <c r="AQ26" s="42"/>
      <c r="AR26" s="17" t="s">
        <v>60</v>
      </c>
      <c r="AS26" s="9">
        <v>0</v>
      </c>
      <c r="AT26" s="17" t="s">
        <v>60</v>
      </c>
      <c r="AU26" s="9">
        <v>0</v>
      </c>
      <c r="AV26" s="25">
        <v>98660</v>
      </c>
      <c r="AW26" s="9">
        <f t="shared" si="3"/>
        <v>18</v>
      </c>
      <c r="AX26" s="25">
        <v>1632</v>
      </c>
      <c r="AY26" s="9">
        <f t="shared" si="4"/>
        <v>2</v>
      </c>
      <c r="AZ26" s="25">
        <v>8507516</v>
      </c>
      <c r="BA26" s="9">
        <f t="shared" si="5"/>
        <v>2338</v>
      </c>
      <c r="BB26" s="25">
        <v>2047665</v>
      </c>
      <c r="BC26" s="9">
        <f t="shared" si="13"/>
        <v>1163</v>
      </c>
      <c r="BD26" s="25">
        <v>118</v>
      </c>
      <c r="BE26" s="25">
        <v>190</v>
      </c>
      <c r="BH26">
        <f t="shared" si="0"/>
        <v>0</v>
      </c>
    </row>
    <row r="27" spans="1:60" ht="45" customHeight="1">
      <c r="A27" s="8">
        <v>44982</v>
      </c>
      <c r="B27" s="41"/>
      <c r="C27" s="25">
        <v>32451842</v>
      </c>
      <c r="D27" s="9">
        <f>IF((C27-C26&lt;0), "0",C27-C26)</f>
        <v>6868</v>
      </c>
      <c r="E27" s="25">
        <v>32745055</v>
      </c>
      <c r="F27" s="9">
        <f>IF((E27-E26&lt;0), "0",E27-E26)</f>
        <v>4871</v>
      </c>
      <c r="G27" s="25">
        <v>13957185</v>
      </c>
      <c r="H27" s="9">
        <f t="shared" si="1"/>
        <v>3839</v>
      </c>
      <c r="I27" s="25">
        <v>1959209</v>
      </c>
      <c r="J27" s="9">
        <f t="shared" si="8"/>
        <v>575</v>
      </c>
      <c r="K27" s="25">
        <v>3956407</v>
      </c>
      <c r="L27" s="9">
        <f t="shared" si="8"/>
        <v>457</v>
      </c>
      <c r="M27" s="25">
        <v>5215754</v>
      </c>
      <c r="N27" s="9">
        <f t="shared" ref="N27" si="93">IF((M27-M26&lt;0), "0",M27-M26)</f>
        <v>1296</v>
      </c>
      <c r="O27" s="30">
        <v>2271833</v>
      </c>
      <c r="P27" s="9">
        <f t="shared" ref="P27" si="94">IF((O27-O26&lt;0), "0",O27-O26)</f>
        <v>0</v>
      </c>
      <c r="Q27" s="25">
        <v>1592383</v>
      </c>
      <c r="R27" s="9">
        <f t="shared" ref="R27" si="95">IF((Q27-Q26&lt;0), "0",Q27-Q26)</f>
        <v>381</v>
      </c>
      <c r="S27" s="25">
        <v>573658</v>
      </c>
      <c r="T27" s="9">
        <f t="shared" ref="T27" si="96">IF((S27-S26&lt;0), "0",S27-S26)</f>
        <v>17</v>
      </c>
      <c r="U27" s="25">
        <v>4953692</v>
      </c>
      <c r="V27" s="9">
        <f t="shared" si="53"/>
        <v>824</v>
      </c>
      <c r="W27" s="25">
        <v>1132125</v>
      </c>
      <c r="X27" s="9">
        <f t="shared" si="53"/>
        <v>197</v>
      </c>
      <c r="Y27" s="25">
        <v>5155464</v>
      </c>
      <c r="Z27" s="9">
        <f t="shared" si="53"/>
        <v>1271</v>
      </c>
      <c r="AA27" s="25">
        <v>2271997</v>
      </c>
      <c r="AB27" s="9">
        <f t="shared" si="53"/>
        <v>2</v>
      </c>
      <c r="AC27" s="25">
        <v>6449685</v>
      </c>
      <c r="AD27" s="27">
        <f t="shared" si="53"/>
        <v>1195</v>
      </c>
      <c r="AE27" s="25">
        <v>9293052</v>
      </c>
      <c r="AF27" s="29">
        <f t="shared" si="53"/>
        <v>1892</v>
      </c>
      <c r="AG27" s="25">
        <v>1544970</v>
      </c>
      <c r="AH27" s="28">
        <f t="shared" si="53"/>
        <v>283</v>
      </c>
      <c r="AI27" s="7">
        <v>289091</v>
      </c>
      <c r="AJ27" s="9">
        <f t="shared" si="53"/>
        <v>44</v>
      </c>
      <c r="AK27" s="25">
        <v>1214754</v>
      </c>
      <c r="AL27" s="9">
        <f t="shared" si="53"/>
        <v>231</v>
      </c>
      <c r="AM27" s="25">
        <v>2315248</v>
      </c>
      <c r="AN27" s="9">
        <f t="shared" si="53"/>
        <v>602</v>
      </c>
      <c r="AO27" s="25">
        <v>2242826</v>
      </c>
      <c r="AP27" s="9">
        <f t="shared" si="53"/>
        <v>604</v>
      </c>
      <c r="AQ27" s="42"/>
      <c r="AR27" s="17" t="s">
        <v>60</v>
      </c>
      <c r="AS27" s="9">
        <v>0</v>
      </c>
      <c r="AT27" s="17" t="s">
        <v>60</v>
      </c>
      <c r="AU27" s="9">
        <v>0</v>
      </c>
      <c r="AV27" s="25">
        <v>98678</v>
      </c>
      <c r="AW27" s="9">
        <f t="shared" si="3"/>
        <v>18</v>
      </c>
      <c r="AX27" s="25">
        <v>1634</v>
      </c>
      <c r="AY27" s="9">
        <f t="shared" si="4"/>
        <v>2</v>
      </c>
      <c r="AZ27" s="25">
        <v>8509982</v>
      </c>
      <c r="BA27" s="9">
        <f t="shared" si="5"/>
        <v>2466</v>
      </c>
      <c r="BB27" s="25">
        <v>2048858</v>
      </c>
      <c r="BC27" s="9">
        <f t="shared" si="13"/>
        <v>1193</v>
      </c>
      <c r="BD27" s="25">
        <v>125</v>
      </c>
      <c r="BE27" s="25">
        <v>198</v>
      </c>
      <c r="BH27">
        <f t="shared" si="0"/>
        <v>0</v>
      </c>
    </row>
    <row r="28" spans="1:60" ht="45" customHeight="1">
      <c r="A28" s="8">
        <v>44983</v>
      </c>
      <c r="B28" s="41"/>
      <c r="C28" s="25">
        <v>32458298</v>
      </c>
      <c r="D28" s="9">
        <f t="shared" si="6"/>
        <v>6456</v>
      </c>
      <c r="E28" s="25">
        <v>32749776</v>
      </c>
      <c r="F28" s="9">
        <f t="shared" si="7"/>
        <v>4721</v>
      </c>
      <c r="G28" s="25">
        <v>13960968</v>
      </c>
      <c r="H28" s="9">
        <f t="shared" si="1"/>
        <v>3783</v>
      </c>
      <c r="I28" s="25">
        <v>1959808</v>
      </c>
      <c r="J28" s="9">
        <f t="shared" si="8"/>
        <v>599</v>
      </c>
      <c r="K28" s="25">
        <v>3956836</v>
      </c>
      <c r="L28" s="9">
        <f t="shared" si="8"/>
        <v>429</v>
      </c>
      <c r="M28" s="25">
        <v>5216993</v>
      </c>
      <c r="N28" s="9">
        <f t="shared" ref="N28" si="97">IF((M28-M27&lt;0), "0",M28-M27)</f>
        <v>1239</v>
      </c>
      <c r="O28" s="30">
        <v>2271833</v>
      </c>
      <c r="P28" s="9">
        <f t="shared" ref="P28" si="98">IF((O28-O27&lt;0), "0",O28-O27)</f>
        <v>0</v>
      </c>
      <c r="Q28" s="25">
        <v>1592764</v>
      </c>
      <c r="R28" s="9">
        <f t="shared" ref="R28" si="99">IF((Q28-Q27&lt;0), "0",Q28-Q27)</f>
        <v>381</v>
      </c>
      <c r="S28" s="25">
        <v>573673</v>
      </c>
      <c r="T28" s="9">
        <f t="shared" ref="T28" si="100">IF((S28-S27&lt;0), "0",S28-S27)</f>
        <v>15</v>
      </c>
      <c r="U28" s="25">
        <v>4954384</v>
      </c>
      <c r="V28" s="9">
        <f t="shared" si="53"/>
        <v>692</v>
      </c>
      <c r="W28" s="25">
        <v>1132289</v>
      </c>
      <c r="X28" s="9">
        <f t="shared" si="53"/>
        <v>164</v>
      </c>
      <c r="Y28" s="25">
        <v>5156678</v>
      </c>
      <c r="Z28" s="9">
        <f t="shared" si="53"/>
        <v>1214</v>
      </c>
      <c r="AA28" s="25">
        <v>2272000</v>
      </c>
      <c r="AB28" s="9">
        <f t="shared" si="53"/>
        <v>3</v>
      </c>
      <c r="AC28" s="25">
        <v>6450853</v>
      </c>
      <c r="AD28" s="27">
        <f t="shared" si="53"/>
        <v>1168</v>
      </c>
      <c r="AE28" s="25">
        <v>9294911</v>
      </c>
      <c r="AF28" s="29">
        <f t="shared" si="53"/>
        <v>1859</v>
      </c>
      <c r="AG28" s="25">
        <v>1545247</v>
      </c>
      <c r="AH28" s="28">
        <f t="shared" si="53"/>
        <v>277</v>
      </c>
      <c r="AI28" s="25">
        <v>289134</v>
      </c>
      <c r="AJ28" s="9">
        <f t="shared" si="53"/>
        <v>43</v>
      </c>
      <c r="AK28" s="25">
        <v>1214995</v>
      </c>
      <c r="AL28" s="9">
        <f t="shared" si="53"/>
        <v>241</v>
      </c>
      <c r="AM28" s="25">
        <v>2315793</v>
      </c>
      <c r="AN28" s="9">
        <f t="shared" si="53"/>
        <v>545</v>
      </c>
      <c r="AO28" s="25">
        <v>2243492</v>
      </c>
      <c r="AP28" s="9">
        <f t="shared" si="53"/>
        <v>666</v>
      </c>
      <c r="AQ28" s="42"/>
      <c r="AR28" s="17" t="s">
        <v>60</v>
      </c>
      <c r="AS28" s="9">
        <v>0</v>
      </c>
      <c r="AT28" s="17" t="s">
        <v>60</v>
      </c>
      <c r="AU28" s="9">
        <v>0</v>
      </c>
      <c r="AV28" s="25">
        <v>98701</v>
      </c>
      <c r="AW28" s="9">
        <f t="shared" si="3"/>
        <v>23</v>
      </c>
      <c r="AX28" s="25">
        <v>1636</v>
      </c>
      <c r="AY28" s="9">
        <f t="shared" si="4"/>
        <v>2</v>
      </c>
      <c r="AZ28" s="25">
        <v>8512505</v>
      </c>
      <c r="BA28" s="9">
        <f t="shared" si="5"/>
        <v>2523</v>
      </c>
      <c r="BB28" s="25">
        <v>2050034</v>
      </c>
      <c r="BC28" s="9">
        <f t="shared" si="13"/>
        <v>1176</v>
      </c>
      <c r="BD28" s="25">
        <v>127</v>
      </c>
      <c r="BE28" s="25">
        <v>182</v>
      </c>
      <c r="BH28">
        <f t="shared" si="0"/>
        <v>0</v>
      </c>
    </row>
    <row r="29" spans="1:60" ht="45" customHeight="1">
      <c r="A29" s="8">
        <v>44984</v>
      </c>
      <c r="B29" s="41"/>
      <c r="C29" s="25">
        <v>32465070</v>
      </c>
      <c r="D29" s="9">
        <f t="shared" si="6"/>
        <v>6772</v>
      </c>
      <c r="E29" s="25">
        <v>32754593</v>
      </c>
      <c r="F29" s="9">
        <f t="shared" si="7"/>
        <v>4817</v>
      </c>
      <c r="G29" s="25">
        <v>13964844</v>
      </c>
      <c r="H29" s="9">
        <f t="shared" si="1"/>
        <v>3876</v>
      </c>
      <c r="I29" s="25">
        <v>1960377</v>
      </c>
      <c r="J29" s="9">
        <f t="shared" si="8"/>
        <v>569</v>
      </c>
      <c r="K29" s="25">
        <v>3957284</v>
      </c>
      <c r="L29" s="9">
        <f t="shared" si="8"/>
        <v>448</v>
      </c>
      <c r="M29" s="25">
        <v>5218422</v>
      </c>
      <c r="N29" s="9">
        <f t="shared" ref="N29" si="101">IF((M29-M28&lt;0), "0",M29-M28)</f>
        <v>1429</v>
      </c>
      <c r="O29" s="30">
        <v>2271833</v>
      </c>
      <c r="P29" s="9">
        <f t="shared" ref="P29" si="102">IF((O29-O28&lt;0), "0",O29-O28)</f>
        <v>0</v>
      </c>
      <c r="Q29" s="25">
        <v>1593157</v>
      </c>
      <c r="R29" s="9">
        <f t="shared" ref="R29" si="103">IF((Q29-Q28&lt;0), "0",Q29-Q28)</f>
        <v>393</v>
      </c>
      <c r="S29" s="25">
        <v>573689</v>
      </c>
      <c r="T29" s="9">
        <f t="shared" ref="T29" si="104">IF((S29-S28&lt;0), "0",S29-S28)</f>
        <v>16</v>
      </c>
      <c r="U29" s="25">
        <v>4955139</v>
      </c>
      <c r="V29" s="9">
        <f t="shared" si="53"/>
        <v>755</v>
      </c>
      <c r="W29" s="25">
        <v>1132458</v>
      </c>
      <c r="X29" s="9">
        <f t="shared" si="53"/>
        <v>169</v>
      </c>
      <c r="Y29" s="25">
        <v>5157902</v>
      </c>
      <c r="Z29" s="9">
        <f t="shared" si="53"/>
        <v>1224</v>
      </c>
      <c r="AA29" s="25">
        <v>2272002</v>
      </c>
      <c r="AB29" s="9">
        <f t="shared" si="53"/>
        <v>2</v>
      </c>
      <c r="AC29" s="25">
        <v>6452072</v>
      </c>
      <c r="AD29" s="27">
        <f t="shared" si="53"/>
        <v>1219</v>
      </c>
      <c r="AE29" s="25">
        <v>9296842</v>
      </c>
      <c r="AF29" s="29">
        <f t="shared" si="53"/>
        <v>1931</v>
      </c>
      <c r="AG29" s="25">
        <v>1545537</v>
      </c>
      <c r="AH29" s="28">
        <f t="shared" si="53"/>
        <v>290</v>
      </c>
      <c r="AI29" s="25">
        <v>289178</v>
      </c>
      <c r="AJ29" s="9">
        <f t="shared" si="53"/>
        <v>44</v>
      </c>
      <c r="AK29" s="25">
        <v>1215224</v>
      </c>
      <c r="AL29" s="9">
        <f t="shared" si="53"/>
        <v>229</v>
      </c>
      <c r="AM29" s="25">
        <v>2316358</v>
      </c>
      <c r="AN29" s="9">
        <f t="shared" si="53"/>
        <v>565</v>
      </c>
      <c r="AO29" s="25">
        <v>2244142</v>
      </c>
      <c r="AP29" s="9">
        <f t="shared" si="53"/>
        <v>650</v>
      </c>
      <c r="AQ29" s="43"/>
      <c r="AR29" s="17" t="s">
        <v>60</v>
      </c>
      <c r="AS29" s="9">
        <v>0</v>
      </c>
      <c r="AT29" s="17" t="s">
        <v>60</v>
      </c>
      <c r="AU29" s="9">
        <v>0</v>
      </c>
      <c r="AV29" s="25">
        <v>98718</v>
      </c>
      <c r="AW29" s="9">
        <f t="shared" si="3"/>
        <v>17</v>
      </c>
      <c r="AX29" s="25">
        <v>1638</v>
      </c>
      <c r="AY29" s="9">
        <f t="shared" si="4"/>
        <v>2</v>
      </c>
      <c r="AZ29" s="25">
        <v>8515108</v>
      </c>
      <c r="BA29" s="9">
        <f>IF((AZ29-AZ28&lt;0), "",AZ29-AZ28)</f>
        <v>2603</v>
      </c>
      <c r="BB29" s="25">
        <v>2051230</v>
      </c>
      <c r="BC29" s="9">
        <f t="shared" si="13"/>
        <v>1196</v>
      </c>
      <c r="BD29" s="25">
        <v>154</v>
      </c>
      <c r="BE29" s="25">
        <v>199</v>
      </c>
      <c r="BH29">
        <f t="shared" si="0"/>
        <v>0</v>
      </c>
    </row>
    <row r="30" spans="1:60" ht="45" customHeight="1">
      <c r="A30" s="8">
        <v>44985</v>
      </c>
      <c r="B30" s="41"/>
      <c r="C30" s="25">
        <v>32472149</v>
      </c>
      <c r="D30" s="9">
        <f t="shared" si="6"/>
        <v>7079</v>
      </c>
      <c r="E30" s="25">
        <v>32759538</v>
      </c>
      <c r="F30" s="9">
        <f t="shared" si="7"/>
        <v>4945</v>
      </c>
      <c r="G30" s="25">
        <v>13968648</v>
      </c>
      <c r="H30" s="9">
        <f t="shared" si="1"/>
        <v>3804</v>
      </c>
      <c r="I30" s="25">
        <v>1960946</v>
      </c>
      <c r="J30" s="9">
        <f t="shared" si="8"/>
        <v>569</v>
      </c>
      <c r="K30" s="25">
        <v>3957745</v>
      </c>
      <c r="L30" s="9">
        <f t="shared" si="8"/>
        <v>461</v>
      </c>
      <c r="M30" s="25">
        <v>5219910</v>
      </c>
      <c r="N30" s="9">
        <f t="shared" ref="N30" si="105">IF((M30-M29&lt;0), "0",M30-M29)</f>
        <v>1488</v>
      </c>
      <c r="O30" s="30">
        <v>2271833</v>
      </c>
      <c r="P30" s="9">
        <f t="shared" ref="P30" si="106">IF((O30-O29&lt;0), "0",O30-O29)</f>
        <v>0</v>
      </c>
      <c r="Q30" s="25">
        <v>1593549</v>
      </c>
      <c r="R30" s="9">
        <f t="shared" ref="R30" si="107">IF((Q30-Q29&lt;0), "0",Q30-Q29)</f>
        <v>392</v>
      </c>
      <c r="S30" s="25">
        <v>573705</v>
      </c>
      <c r="T30" s="9">
        <f t="shared" ref="T30" si="108">IF((S30-S29&lt;0), "0",S30-S29)</f>
        <v>16</v>
      </c>
      <c r="U30" s="25">
        <v>4956051</v>
      </c>
      <c r="V30" s="9">
        <f t="shared" si="53"/>
        <v>912</v>
      </c>
      <c r="W30" s="25">
        <v>1132659</v>
      </c>
      <c r="X30" s="9">
        <f t="shared" si="53"/>
        <v>201</v>
      </c>
      <c r="Y30" s="25">
        <v>5159114</v>
      </c>
      <c r="Z30" s="9">
        <f t="shared" si="53"/>
        <v>1212</v>
      </c>
      <c r="AA30" s="25">
        <v>2272004</v>
      </c>
      <c r="AB30" s="9">
        <f t="shared" si="53"/>
        <v>2</v>
      </c>
      <c r="AC30" s="25">
        <v>6453274</v>
      </c>
      <c r="AD30" s="27">
        <f t="shared" si="53"/>
        <v>1202</v>
      </c>
      <c r="AE30" s="25">
        <v>9298742</v>
      </c>
      <c r="AF30" s="29">
        <f t="shared" si="53"/>
        <v>1900</v>
      </c>
      <c r="AG30" s="25">
        <v>1545822</v>
      </c>
      <c r="AH30" s="28">
        <f t="shared" si="53"/>
        <v>285</v>
      </c>
      <c r="AI30" s="25">
        <v>289223</v>
      </c>
      <c r="AJ30" s="9">
        <f t="shared" si="53"/>
        <v>45</v>
      </c>
      <c r="AK30" s="25">
        <v>1215455</v>
      </c>
      <c r="AL30" s="9">
        <f t="shared" si="53"/>
        <v>231</v>
      </c>
      <c r="AM30" s="25">
        <v>2316956</v>
      </c>
      <c r="AN30" s="9">
        <f t="shared" si="53"/>
        <v>598</v>
      </c>
      <c r="AO30" s="25">
        <v>2244808</v>
      </c>
      <c r="AP30" s="9">
        <f t="shared" si="53"/>
        <v>666</v>
      </c>
      <c r="AQ30" s="43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 t="str">
        <f t="shared" si="3"/>
        <v/>
      </c>
      <c r="AX30" s="25">
        <v>0</v>
      </c>
      <c r="AY30" s="9" t="str">
        <f t="shared" si="4"/>
        <v/>
      </c>
      <c r="AZ30" s="25">
        <v>8517644</v>
      </c>
      <c r="BA30" s="9">
        <f>IF((AZ30-AZ29&lt;0), "",AZ30-AZ29)</f>
        <v>2536</v>
      </c>
      <c r="BB30" s="25">
        <v>2052398</v>
      </c>
      <c r="BC30" s="9">
        <f>IF((BB30-BB29&lt;0), "",BB30-BB29)</f>
        <v>1168</v>
      </c>
      <c r="BD30" s="25">
        <v>168</v>
      </c>
      <c r="BE30" s="25">
        <v>218</v>
      </c>
      <c r="BH30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2023-02-28T15:47:18Z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