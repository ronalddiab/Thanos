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varechalub\Desktop\ODEČTY\"/>
    </mc:Choice>
  </mc:AlternateContent>
  <xr:revisionPtr revIDLastSave="0" documentId="13_ncr:1_{31209693-4E46-490F-B0B1-18DB09CF5F34}" xr6:coauthVersionLast="46" xr6:coauthVersionMax="46" xr10:uidLastSave="{00000000-0000-0000-0000-000000000000}"/>
  <bookViews>
    <workbookView xWindow="-120" yWindow="-120" windowWidth="25440" windowHeight="15390" firstSheet="2" activeTab="12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  <sheet name="November" sheetId="15" r:id="rId12"/>
    <sheet name="December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5" i="16" l="1"/>
  <c r="D36" i="16" l="1"/>
  <c r="C36" i="16"/>
  <c r="B36" i="16"/>
  <c r="L35" i="16"/>
  <c r="J35" i="16"/>
  <c r="H35" i="16"/>
  <c r="G35" i="16"/>
  <c r="F35" i="16"/>
  <c r="D35" i="16"/>
  <c r="C35" i="16"/>
  <c r="B35" i="16"/>
  <c r="D36" i="15"/>
  <c r="C36" i="15"/>
  <c r="B36" i="15"/>
  <c r="L35" i="15"/>
  <c r="K35" i="15"/>
  <c r="J35" i="15"/>
  <c r="H35" i="15"/>
  <c r="G35" i="15"/>
  <c r="F35" i="15"/>
  <c r="D35" i="15"/>
  <c r="C35" i="15"/>
  <c r="B35" i="15"/>
  <c r="J35" i="13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D38" i="16" l="1"/>
  <c r="B38" i="16"/>
  <c r="C38" i="16"/>
  <c r="D38" i="15"/>
  <c r="C38" i="15"/>
  <c r="B38" i="15"/>
  <c r="C38" i="13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<sst xmlns="http://schemas.openxmlformats.org/spreadsheetml/2006/main" count="337" uniqueCount="48">
  <si>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</si>
  <si>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</si>
  <si>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</si>
  <si>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</si>
  <si>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</si>
  <si>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</si>
  <si>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</si>
  <si>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</si>
  <si>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</si>
  <si>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</si>
  <si>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</si>
  <si>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</si>
  <si>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</si>
  <si>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</si>
  <si>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</si>
  <si>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</si>
  <si>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</si>
  <si>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</si>
  <si>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</si>
  <si>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</si>
  <si>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</si>
  <si>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</si>
  <si>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</si>
  <si>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</si>
  <si>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</si>
  <si>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</si>
  <si>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</si>
  <si>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</si>
  <si>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</si>
  <si>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</si>
  <si>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</si>
  <si>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</si>
  <si>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</si>
  <si>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</si>
  <si>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</si>
  <si>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</si>
  <si>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</si>
  <si>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</si>
  <si>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</si>
  <si>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</si>
  <si>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</si>
  <si>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</si>
  <si>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</si>
  <si>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</si>
  <si>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</si>
  <si>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November 2021</t>
  </si>
  <si>
    <t>Four Seasons Hotel Prague - Utilities Daily Consumption - October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</si>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</sst>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workbookViewId="0">
      <selection activeCell="N4" sqref="N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12</v>
      </c>
      <c r="D2" s="2">
        <v>2020</v>
      </c>
      <c r="E2" s="4">
        <f>April!B4</f>
        <v>6389</v>
      </c>
      <c r="F2" s="22">
        <v>9.9000000000000005E-2</v>
      </c>
      <c r="G2" s="4">
        <f>April!C4</f>
        <v>659</v>
      </c>
      <c r="H2" s="24">
        <v>0.28000000000000003</v>
      </c>
      <c r="I2" s="4">
        <f>April!D4</f>
        <v>14</v>
      </c>
      <c r="J2" s="24">
        <v>3.2719999999999998</v>
      </c>
      <c r="K2" s="31">
        <f>April!J4</f>
        <v>30</v>
      </c>
      <c r="L2" s="31">
        <f>April!K4</f>
        <v>27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12</v>
      </c>
      <c r="D3" s="2">
        <v>2020</v>
      </c>
      <c r="E3" s="4">
        <f>April!B5</f>
        <v>6570</v>
      </c>
      <c r="F3" s="22">
        <v>9.9000000000000005E-2</v>
      </c>
      <c r="G3" s="4">
        <f>April!C5</f>
        <v>910</v>
      </c>
      <c r="H3" s="24">
        <v>0.28000000000000003</v>
      </c>
      <c r="I3" s="4">
        <f>April!D5</f>
        <v>17</v>
      </c>
      <c r="J3" s="24">
        <v>3.2719999999999998</v>
      </c>
      <c r="K3" s="31">
        <f>April!J5</f>
        <v>25</v>
      </c>
      <c r="L3" s="31">
        <f>April!K5</f>
        <v>25</v>
      </c>
    </row>
    <row r="4" spans="1:24" x14ac:dyDescent="0.25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April!B6</f>
        <v>6082</v>
      </c>
      <c r="F4" s="22">
        <v>9.9000000000000005E-2</v>
      </c>
      <c r="G4" s="4">
        <f>April!C6</f>
        <v>931</v>
      </c>
      <c r="H4" s="24">
        <v>0.28000000000000003</v>
      </c>
      <c r="I4" s="4">
        <f>April!D6</f>
        <v>11</v>
      </c>
      <c r="J4" s="24">
        <v>3.2719999999999998</v>
      </c>
      <c r="K4" s="31">
        <f>April!J6</f>
        <v>7</v>
      </c>
      <c r="L4" s="31">
        <f>April!K6</f>
        <v>3</v>
      </c>
    </row>
    <row r="5" spans="1:24" x14ac:dyDescent="0.25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April!B7</f>
        <v>5710</v>
      </c>
      <c r="F5" s="22">
        <v>9.9000000000000005E-2</v>
      </c>
      <c r="G5" s="4">
        <f>April!C7</f>
        <v>852</v>
      </c>
      <c r="H5" s="24">
        <v>0.28000000000000003</v>
      </c>
      <c r="I5" s="4">
        <f>April!D7</f>
        <v>6</v>
      </c>
      <c r="J5" s="24">
        <v>3.2719999999999998</v>
      </c>
      <c r="K5" s="31">
        <f>April!J7</f>
        <v>5</v>
      </c>
      <c r="L5" s="31">
        <f>April!K7</f>
        <v>2</v>
      </c>
    </row>
    <row r="6" spans="1:24" x14ac:dyDescent="0.25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April!B8</f>
        <v>5693</v>
      </c>
      <c r="F6" s="22">
        <v>9.9000000000000005E-2</v>
      </c>
      <c r="G6" s="4">
        <f>April!C8</f>
        <v>990</v>
      </c>
      <c r="H6" s="24">
        <v>0.28000000000000003</v>
      </c>
      <c r="I6" s="4">
        <f>April!D8</f>
        <v>6</v>
      </c>
      <c r="J6" s="24">
        <v>3.2719999999999998</v>
      </c>
      <c r="K6" s="31">
        <f>April!J8</f>
        <v>0</v>
      </c>
      <c r="L6" s="31">
        <f>April!K8</f>
        <v>0</v>
      </c>
    </row>
    <row r="7" spans="1:24" x14ac:dyDescent="0.25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April!B9</f>
        <v>5964</v>
      </c>
      <c r="F7" s="22">
        <v>9.9000000000000005E-2</v>
      </c>
      <c r="G7" s="4">
        <f>April!C9</f>
        <v>1172</v>
      </c>
      <c r="H7" s="24">
        <v>0.28000000000000003</v>
      </c>
      <c r="I7" s="4">
        <f>April!D9</f>
        <v>9</v>
      </c>
      <c r="J7" s="24">
        <v>3.2719999999999998</v>
      </c>
      <c r="K7" s="31">
        <f>April!J9</f>
        <v>0</v>
      </c>
      <c r="L7" s="31">
        <f>April!K9</f>
        <v>0</v>
      </c>
    </row>
    <row r="8" spans="1:24" x14ac:dyDescent="0.25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April!B10</f>
        <v>5517</v>
      </c>
      <c r="F8" s="22">
        <v>9.9000000000000005E-2</v>
      </c>
      <c r="G8" s="4">
        <f>April!C10</f>
        <v>1109</v>
      </c>
      <c r="H8" s="24">
        <v>0.28000000000000003</v>
      </c>
      <c r="I8" s="4">
        <f>April!D10</f>
        <v>8</v>
      </c>
      <c r="J8" s="24">
        <v>3.2719999999999998</v>
      </c>
      <c r="K8" s="31">
        <f>April!J10</f>
        <v>0</v>
      </c>
      <c r="L8" s="31">
        <f>April!K10</f>
        <v>0</v>
      </c>
    </row>
    <row r="9" spans="1:24" x14ac:dyDescent="0.25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April!B11</f>
        <v>5391</v>
      </c>
      <c r="F9" s="22">
        <v>9.9000000000000005E-2</v>
      </c>
      <c r="G9" s="4">
        <f>April!C11</f>
        <v>948</v>
      </c>
      <c r="H9" s="24">
        <v>0.28000000000000003</v>
      </c>
      <c r="I9" s="4">
        <f>April!D11</f>
        <v>7</v>
      </c>
      <c r="J9" s="24">
        <v>3.2719999999999998</v>
      </c>
      <c r="K9" s="31">
        <f>April!J11</f>
        <v>0</v>
      </c>
      <c r="L9" s="31">
        <f>April!K11</f>
        <v>0</v>
      </c>
    </row>
    <row r="10" spans="1:24" x14ac:dyDescent="0.25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April!B12</f>
        <v>5418</v>
      </c>
      <c r="F10" s="22">
        <v>9.9000000000000005E-2</v>
      </c>
      <c r="G10" s="4">
        <f>April!C12</f>
        <v>652</v>
      </c>
      <c r="H10" s="24">
        <v>0.28000000000000003</v>
      </c>
      <c r="I10" s="4">
        <f>April!D12</f>
        <v>8</v>
      </c>
      <c r="J10" s="24">
        <v>3.2719999999999998</v>
      </c>
      <c r="K10" s="31">
        <f>April!J12</f>
        <v>0</v>
      </c>
      <c r="L10" s="31">
        <f>April!K12</f>
        <v>0</v>
      </c>
    </row>
    <row r="11" spans="1:24" x14ac:dyDescent="0.25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April!B13</f>
        <v>4893</v>
      </c>
      <c r="F11" s="22">
        <v>9.9000000000000005E-2</v>
      </c>
      <c r="G11" s="4">
        <f>April!C13</f>
        <v>504</v>
      </c>
      <c r="H11" s="24">
        <v>0.28000000000000003</v>
      </c>
      <c r="I11" s="4">
        <f>April!D13</f>
        <v>7</v>
      </c>
      <c r="J11" s="24">
        <v>3.2719999999999998</v>
      </c>
      <c r="K11" s="31">
        <f>April!J13</f>
        <v>0</v>
      </c>
      <c r="L11" s="31">
        <f>April!K13</f>
        <v>0</v>
      </c>
    </row>
    <row r="12" spans="1:24" x14ac:dyDescent="0.25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April!B14</f>
        <v>4055</v>
      </c>
      <c r="F12" s="22">
        <v>9.9000000000000005E-2</v>
      </c>
      <c r="G12" s="4">
        <f>April!C14</f>
        <v>487</v>
      </c>
      <c r="H12" s="24">
        <v>0.28000000000000003</v>
      </c>
      <c r="I12" s="4">
        <f>April!D14</f>
        <v>6</v>
      </c>
      <c r="J12" s="24">
        <v>3.2719999999999998</v>
      </c>
      <c r="K12" s="31">
        <f>April!J14</f>
        <v>0</v>
      </c>
      <c r="L12" s="31">
        <f>April!K14</f>
        <v>0</v>
      </c>
    </row>
    <row r="13" spans="1:24" x14ac:dyDescent="0.25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April!B15</f>
        <v>4658</v>
      </c>
      <c r="F13" s="22">
        <v>9.9000000000000005E-2</v>
      </c>
      <c r="G13" s="4">
        <f>April!C15</f>
        <v>844</v>
      </c>
      <c r="H13" s="24">
        <v>0.28000000000000003</v>
      </c>
      <c r="I13" s="4">
        <f>April!D15</f>
        <v>6</v>
      </c>
      <c r="J13" s="24">
        <v>3.2719999999999998</v>
      </c>
      <c r="K13" s="31">
        <f>April!J15</f>
        <v>1</v>
      </c>
      <c r="L13" s="31">
        <f>April!K15</f>
        <v>1</v>
      </c>
    </row>
    <row r="14" spans="1:24" x14ac:dyDescent="0.25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April!B16</f>
        <v>5121</v>
      </c>
      <c r="F14" s="22">
        <v>9.9000000000000005E-2</v>
      </c>
      <c r="G14" s="4">
        <f>April!C16</f>
        <v>833</v>
      </c>
      <c r="H14" s="24">
        <v>0.28000000000000003</v>
      </c>
      <c r="I14" s="4">
        <f>April!D16</f>
        <v>10</v>
      </c>
      <c r="J14" s="24">
        <v>3.2719999999999998</v>
      </c>
      <c r="K14" s="31">
        <f>April!J16</f>
        <v>1</v>
      </c>
      <c r="L14" s="31">
        <f>April!K16</f>
        <v>1</v>
      </c>
    </row>
    <row r="15" spans="1:24" x14ac:dyDescent="0.25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April!B17</f>
        <v>4560</v>
      </c>
      <c r="F15" s="22">
        <v>9.9000000000000005E-2</v>
      </c>
      <c r="G15" s="4">
        <f>April!C17</f>
        <v>799</v>
      </c>
      <c r="H15" s="24">
        <v>0.28000000000000003</v>
      </c>
      <c r="I15" s="4">
        <f>April!D17</f>
        <v>9</v>
      </c>
      <c r="J15" s="24">
        <v>3.2719999999999998</v>
      </c>
      <c r="K15" s="31">
        <f>April!J17</f>
        <v>1</v>
      </c>
      <c r="L15" s="31">
        <f>April!K17</f>
        <v>1</v>
      </c>
    </row>
    <row r="16" spans="1:24" x14ac:dyDescent="0.25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April!B18</f>
        <v>4576</v>
      </c>
      <c r="F16" s="22">
        <v>9.9000000000000005E-2</v>
      </c>
      <c r="G16" s="4">
        <f>April!C18</f>
        <v>859</v>
      </c>
      <c r="H16" s="24">
        <v>0.28000000000000003</v>
      </c>
      <c r="I16" s="4">
        <f>April!D18</f>
        <v>7</v>
      </c>
      <c r="J16" s="24">
        <v>3.2719999999999998</v>
      </c>
      <c r="K16" s="31">
        <f>April!J18</f>
        <v>1</v>
      </c>
      <c r="L16" s="31">
        <f>April!K18</f>
        <v>1</v>
      </c>
    </row>
    <row r="17" spans="1:12" x14ac:dyDescent="0.25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April!B19</f>
        <v>5122</v>
      </c>
      <c r="F17" s="22">
        <v>9.9000000000000005E-2</v>
      </c>
      <c r="G17" s="4">
        <f>April!C19</f>
        <v>875</v>
      </c>
      <c r="H17" s="24">
        <v>0.28000000000000003</v>
      </c>
      <c r="I17" s="4">
        <f>April!D19</f>
        <v>16</v>
      </c>
      <c r="J17" s="24">
        <v>3.2719999999999998</v>
      </c>
      <c r="K17" s="31">
        <f>April!J19</f>
        <v>1</v>
      </c>
      <c r="L17" s="31">
        <f>April!K19</f>
        <v>1</v>
      </c>
    </row>
    <row r="18" spans="1:12" x14ac:dyDescent="0.25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April!B20</f>
        <v>4617</v>
      </c>
      <c r="F18" s="22">
        <v>9.9000000000000005E-2</v>
      </c>
      <c r="G18" s="4">
        <f>April!C20</f>
        <v>823</v>
      </c>
      <c r="H18" s="24">
        <v>0.28000000000000003</v>
      </c>
      <c r="I18" s="4">
        <f>April!D20</f>
        <v>4</v>
      </c>
      <c r="J18" s="24">
        <v>3.2719999999999998</v>
      </c>
      <c r="K18" s="31">
        <f>April!J20</f>
        <v>1</v>
      </c>
      <c r="L18" s="31">
        <f>April!K20</f>
        <v>1</v>
      </c>
    </row>
    <row r="19" spans="1:12" x14ac:dyDescent="0.25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April!B21</f>
        <v>4546</v>
      </c>
      <c r="F19" s="22">
        <v>9.9000000000000005E-2</v>
      </c>
      <c r="G19" s="4">
        <f>April!C21</f>
        <v>675</v>
      </c>
      <c r="H19" s="24">
        <v>0.28000000000000003</v>
      </c>
      <c r="I19" s="4">
        <f>April!D21</f>
        <v>5</v>
      </c>
      <c r="J19" s="24">
        <v>3.2719999999999998</v>
      </c>
      <c r="K19" s="31">
        <f>April!J21</f>
        <v>1</v>
      </c>
      <c r="L19" s="31">
        <f>April!K21</f>
        <v>1</v>
      </c>
    </row>
    <row r="20" spans="1:12" x14ac:dyDescent="0.25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April!B22</f>
        <v>4701</v>
      </c>
      <c r="F20" s="22">
        <v>9.9000000000000005E-2</v>
      </c>
      <c r="G20" s="4">
        <f>April!C22</f>
        <v>690</v>
      </c>
      <c r="H20" s="24">
        <v>0.28000000000000003</v>
      </c>
      <c r="I20" s="4">
        <f>April!D22</f>
        <v>6</v>
      </c>
      <c r="J20" s="24">
        <v>3.2719999999999998</v>
      </c>
      <c r="K20" s="31">
        <f>April!J22</f>
        <v>4</v>
      </c>
      <c r="L20" s="31">
        <f>April!K22</f>
        <v>4</v>
      </c>
    </row>
    <row r="21" spans="1:12" x14ac:dyDescent="0.25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April!B23</f>
        <v>4807</v>
      </c>
      <c r="F21" s="22">
        <v>9.9000000000000005E-2</v>
      </c>
      <c r="G21" s="4">
        <f>April!C23</f>
        <v>602</v>
      </c>
      <c r="H21" s="24">
        <v>0.28000000000000003</v>
      </c>
      <c r="I21" s="4">
        <f>April!D23</f>
        <v>11</v>
      </c>
      <c r="J21" s="24">
        <v>3.2719999999999998</v>
      </c>
      <c r="K21" s="31">
        <f>April!J23</f>
        <v>4</v>
      </c>
      <c r="L21" s="31">
        <f>April!K23</f>
        <v>4</v>
      </c>
    </row>
    <row r="22" spans="1:12" x14ac:dyDescent="0.25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April!B24</f>
        <v>4464</v>
      </c>
      <c r="F22" s="22">
        <v>9.9000000000000005E-2</v>
      </c>
      <c r="G22" s="4">
        <f>April!C24</f>
        <v>587</v>
      </c>
      <c r="H22" s="24">
        <v>0.28000000000000003</v>
      </c>
      <c r="I22" s="4">
        <f>April!D24</f>
        <v>8</v>
      </c>
      <c r="J22" s="24">
        <v>3.2719999999999998</v>
      </c>
      <c r="K22" s="31">
        <f>April!J24</f>
        <v>4</v>
      </c>
      <c r="L22" s="31">
        <f>April!K24</f>
        <v>4</v>
      </c>
    </row>
    <row r="23" spans="1:12" x14ac:dyDescent="0.25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April!B25</f>
        <v>4413</v>
      </c>
      <c r="F23" s="22">
        <v>9.9000000000000005E-2</v>
      </c>
      <c r="G23" s="4">
        <f>April!C25</f>
        <v>653</v>
      </c>
      <c r="H23" s="24">
        <v>0.28000000000000003</v>
      </c>
      <c r="I23" s="4">
        <f>April!D25</f>
        <v>5</v>
      </c>
      <c r="J23" s="24">
        <v>3.2719999999999998</v>
      </c>
      <c r="K23" s="31">
        <f>April!J25</f>
        <v>4</v>
      </c>
      <c r="L23" s="31">
        <f>April!K25</f>
        <v>4</v>
      </c>
    </row>
    <row r="24" spans="1:12" x14ac:dyDescent="0.25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April!B26</f>
        <v>4767</v>
      </c>
      <c r="F24" s="22">
        <v>9.9000000000000005E-2</v>
      </c>
      <c r="G24" s="4">
        <f>April!C26</f>
        <v>687</v>
      </c>
      <c r="H24" s="24">
        <v>0.28000000000000003</v>
      </c>
      <c r="I24" s="4">
        <f>April!D26</f>
        <v>7</v>
      </c>
      <c r="J24" s="24">
        <v>3.2719999999999998</v>
      </c>
      <c r="K24" s="31">
        <f>April!J26</f>
        <v>4</v>
      </c>
      <c r="L24" s="31">
        <f>April!K26</f>
        <v>4</v>
      </c>
    </row>
    <row r="25" spans="1:12" x14ac:dyDescent="0.25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April!B27</f>
        <v>4375</v>
      </c>
      <c r="F25" s="22">
        <v>9.9000000000000005E-2</v>
      </c>
      <c r="G25" s="4">
        <f>April!C27</f>
        <v>623</v>
      </c>
      <c r="H25" s="24">
        <v>0.28000000000000003</v>
      </c>
      <c r="I25" s="4">
        <f>April!D27</f>
        <v>6</v>
      </c>
      <c r="J25" s="24">
        <v>3.2719999999999998</v>
      </c>
      <c r="K25" s="31">
        <f>April!J27</f>
        <v>4</v>
      </c>
      <c r="L25" s="31">
        <f>April!K27</f>
        <v>4</v>
      </c>
    </row>
    <row r="26" spans="1:12" x14ac:dyDescent="0.25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April!B28</f>
        <v>4348</v>
      </c>
      <c r="F26" s="22">
        <v>9.9000000000000005E-2</v>
      </c>
      <c r="G26" s="4">
        <f>April!C28</f>
        <v>656</v>
      </c>
      <c r="H26" s="24">
        <v>0.28000000000000003</v>
      </c>
      <c r="I26" s="4">
        <f>April!D28</f>
        <v>7</v>
      </c>
      <c r="J26" s="24">
        <v>3.2719999999999998</v>
      </c>
      <c r="K26" s="31">
        <f>April!J28</f>
        <v>4</v>
      </c>
      <c r="L26" s="31">
        <f>April!K28</f>
        <v>4</v>
      </c>
    </row>
    <row r="27" spans="1:12" x14ac:dyDescent="0.25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April!B29</f>
        <v>4450</v>
      </c>
      <c r="F27" s="22">
        <v>9.9000000000000005E-2</v>
      </c>
      <c r="G27" s="4">
        <f>April!C29</f>
        <v>648</v>
      </c>
      <c r="H27" s="24">
        <v>0.28000000000000003</v>
      </c>
      <c r="I27" s="4">
        <f>April!D29</f>
        <v>7</v>
      </c>
      <c r="J27" s="24">
        <v>3.2719999999999998</v>
      </c>
      <c r="K27" s="31">
        <f>April!J29</f>
        <v>4</v>
      </c>
      <c r="L27" s="31">
        <f>April!K29</f>
        <v>4</v>
      </c>
    </row>
    <row r="28" spans="1:12" x14ac:dyDescent="0.25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April!B30</f>
        <v>4801</v>
      </c>
      <c r="F28" s="22">
        <v>9.9000000000000005E-2</v>
      </c>
      <c r="G28" s="4">
        <f>April!C30</f>
        <v>618</v>
      </c>
      <c r="H28" s="24">
        <v>0.28000000000000003</v>
      </c>
      <c r="I28" s="4">
        <f>April!D30</f>
        <v>9</v>
      </c>
      <c r="J28" s="24">
        <v>3.2719999999999998</v>
      </c>
      <c r="K28" s="31">
        <f>April!J30</f>
        <v>4</v>
      </c>
      <c r="L28" s="31">
        <f>April!K30</f>
        <v>4</v>
      </c>
    </row>
    <row r="29" spans="1:12" x14ac:dyDescent="0.25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April!B31</f>
        <v>4741</v>
      </c>
      <c r="F29" s="22">
        <v>9.9000000000000005E-2</v>
      </c>
      <c r="G29" s="4">
        <f>April!C31</f>
        <v>563</v>
      </c>
      <c r="H29" s="24">
        <v>0.28000000000000003</v>
      </c>
      <c r="I29" s="4">
        <f>April!D31</f>
        <v>11</v>
      </c>
      <c r="J29" s="24">
        <v>3.2719999999999998</v>
      </c>
      <c r="K29" s="31">
        <f>April!J31</f>
        <v>11</v>
      </c>
      <c r="L29" s="31">
        <f>April!K31</f>
        <v>8</v>
      </c>
    </row>
    <row r="30" spans="1:12" x14ac:dyDescent="0.25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April!B32</f>
        <v>5120</v>
      </c>
      <c r="F30" s="22">
        <v>9.9000000000000005E-2</v>
      </c>
      <c r="G30" s="4">
        <f>April!C32</f>
        <v>574</v>
      </c>
      <c r="H30" s="24">
        <v>0.28000000000000003</v>
      </c>
      <c r="I30" s="4">
        <f>April!D32</f>
        <v>13</v>
      </c>
      <c r="J30" s="24">
        <v>3.2719999999999998</v>
      </c>
      <c r="K30" s="31">
        <f>April!J32</f>
        <v>14</v>
      </c>
      <c r="L30" s="31">
        <f>April!K32</f>
        <v>8</v>
      </c>
    </row>
    <row r="31" spans="1:12" x14ac:dyDescent="0.25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April!B33</f>
        <v>5530</v>
      </c>
      <c r="F31" s="22">
        <v>9.9000000000000005E-2</v>
      </c>
      <c r="G31" s="4">
        <f>April!C33</f>
        <v>518</v>
      </c>
      <c r="H31" s="24">
        <v>0.28000000000000003</v>
      </c>
      <c r="I31" s="4">
        <f>April!D33</f>
        <v>15</v>
      </c>
      <c r="J31" s="24">
        <v>3.2719999999999998</v>
      </c>
      <c r="K31" s="31">
        <f>April!J33</f>
        <v>14</v>
      </c>
      <c r="L31" s="31">
        <f>April!K33</f>
        <v>8</v>
      </c>
    </row>
    <row r="32" spans="1:12" x14ac:dyDescent="0.25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April!B34</f>
        <v>0</v>
      </c>
      <c r="F32" s="22">
        <v>9.9000000000000005E-2</v>
      </c>
      <c r="G32" s="4">
        <f>April!C34</f>
        <v>0</v>
      </c>
      <c r="H32" s="24">
        <v>0.28000000000000003</v>
      </c>
      <c r="I32" s="4">
        <f>April!D34</f>
        <v>0</v>
      </c>
      <c r="J32" s="24">
        <v>3.2719999999999998</v>
      </c>
      <c r="K32" s="31">
        <f>April!J34</f>
        <v>0</v>
      </c>
      <c r="L32" s="31">
        <f>April!K34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ECC9-9E61-4040-9D16-68E30465DE45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73F-0CEA-4BED-A6C3-4FC040414EDB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76E-0494-4D22-9351-8075C4C043B2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4C20-9CC6-4405-82B4-47A3BF2ED2F7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5A4-AA5E-4E65-97FA-40C2F1E495FD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C1E4-982F-4093-A543-DAB199D27DB1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828C-2BCE-4B6F-9A76-1D4D3E6EBEC2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C488-99DC-430C-A674-3069F2742B7C}">
  <dimension ref="A1:O42"/>
  <sheetViews>
    <sheetView workbookViewId="0">
      <selection activeCell="N47" sqref="N47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AF1A-DC1A-4C00-A336-C22FE87025D9}">
  <dimension ref="A1:O42"/>
  <sheetViews>
    <sheetView topLeftCell="A10" workbookViewId="0">
      <selection activeCell="P25" sqref="P2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9BD-92FF-43C8-BC77-914562BA9DB6}">
  <dimension ref="A1:O42"/>
  <sheetViews>
    <sheetView topLeftCell="A13" workbookViewId="0">
      <selection activeCell="D39" sqref="D3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10859</v>
      </c>
      <c r="C4" s="38">
        <v>961</v>
      </c>
      <c r="D4" s="10">
        <v>53</v>
      </c>
      <c r="E4" s="14"/>
      <c r="F4" s="10">
        <v>4</v>
      </c>
      <c r="G4" s="70">
        <v>10</v>
      </c>
      <c r="H4" s="10">
        <v>10</v>
      </c>
      <c r="I4" s="14"/>
      <c r="J4" s="10">
        <v>81</v>
      </c>
      <c r="K4" s="10">
        <v>55</v>
      </c>
      <c r="L4" s="10">
        <v>0</v>
      </c>
    </row>
    <row r="5" spans="1:15" x14ac:dyDescent="0.25">
      <c r="A5" s="11">
        <v>2</v>
      </c>
      <c r="B5" s="39">
        <v>11555</v>
      </c>
      <c r="C5" s="40">
        <v>997</v>
      </c>
      <c r="D5" s="12">
        <v>50</v>
      </c>
      <c r="E5" s="41"/>
      <c r="F5" s="12">
        <v>6</v>
      </c>
      <c r="G5" s="71">
        <v>12</v>
      </c>
      <c r="H5" s="12">
        <v>11</v>
      </c>
      <c r="I5" s="41"/>
      <c r="J5" s="13">
        <v>84</v>
      </c>
      <c r="K5" s="13">
        <v>57</v>
      </c>
      <c r="L5" s="13">
        <v>0</v>
      </c>
    </row>
    <row r="6" spans="1:15" x14ac:dyDescent="0.25">
      <c r="A6" s="11">
        <v>3</v>
      </c>
      <c r="B6" s="39">
        <v>11328</v>
      </c>
      <c r="C6" s="40">
        <v>990</v>
      </c>
      <c r="D6" s="12">
        <v>56</v>
      </c>
      <c r="E6" s="41"/>
      <c r="F6" s="12">
        <v>3</v>
      </c>
      <c r="G6" s="64">
        <v>11</v>
      </c>
      <c r="H6" s="12">
        <v>10</v>
      </c>
      <c r="I6" s="41"/>
      <c r="J6" s="13">
        <v>112</v>
      </c>
      <c r="K6" s="13">
        <v>79</v>
      </c>
      <c r="L6" s="13">
        <v>1</v>
      </c>
    </row>
    <row r="7" spans="1:15" x14ac:dyDescent="0.25">
      <c r="A7" s="11">
        <v>4</v>
      </c>
      <c r="B7" s="39">
        <v>11652</v>
      </c>
      <c r="C7" s="40">
        <v>1054</v>
      </c>
      <c r="D7" s="12">
        <v>59</v>
      </c>
      <c r="E7" s="41"/>
      <c r="F7" s="72">
        <v>7</v>
      </c>
      <c r="G7" s="64">
        <v>9</v>
      </c>
      <c r="H7" s="12">
        <v>10</v>
      </c>
      <c r="I7" s="41"/>
      <c r="J7" s="13">
        <v>156</v>
      </c>
      <c r="K7" s="13">
        <v>120</v>
      </c>
      <c r="L7" s="13">
        <v>5</v>
      </c>
    </row>
    <row r="8" spans="1:15" x14ac:dyDescent="0.25">
      <c r="A8" s="11">
        <v>5</v>
      </c>
      <c r="B8" s="39">
        <v>12087</v>
      </c>
      <c r="C8" s="40">
        <v>1090</v>
      </c>
      <c r="D8" s="12">
        <v>65</v>
      </c>
      <c r="E8" s="41"/>
      <c r="F8" s="12">
        <v>5</v>
      </c>
      <c r="G8" s="64">
        <v>9</v>
      </c>
      <c r="H8" s="12">
        <v>9</v>
      </c>
      <c r="I8" s="41"/>
      <c r="J8" s="13">
        <v>119</v>
      </c>
      <c r="K8" s="13">
        <v>80</v>
      </c>
      <c r="L8" s="13">
        <v>1</v>
      </c>
    </row>
    <row r="9" spans="1:15" x14ac:dyDescent="0.25">
      <c r="A9" s="11">
        <v>6</v>
      </c>
      <c r="B9" s="39">
        <v>11494</v>
      </c>
      <c r="C9" s="40">
        <v>1081</v>
      </c>
      <c r="D9" s="12">
        <v>57</v>
      </c>
      <c r="E9" s="41"/>
      <c r="F9" s="12">
        <v>2</v>
      </c>
      <c r="G9" s="64">
        <v>12</v>
      </c>
      <c r="H9" s="12">
        <v>11</v>
      </c>
      <c r="I9" s="41"/>
      <c r="J9" s="13">
        <v>123</v>
      </c>
      <c r="K9" s="13">
        <v>80</v>
      </c>
      <c r="L9" s="13">
        <v>1</v>
      </c>
    </row>
    <row r="10" spans="1:15" x14ac:dyDescent="0.25">
      <c r="A10" s="11">
        <v>7</v>
      </c>
      <c r="B10" s="39">
        <v>11473</v>
      </c>
      <c r="C10" s="40">
        <v>1191</v>
      </c>
      <c r="D10" s="12">
        <v>48</v>
      </c>
      <c r="E10" s="41"/>
      <c r="F10" s="12">
        <v>0</v>
      </c>
      <c r="G10" s="64">
        <v>7</v>
      </c>
      <c r="H10" s="12">
        <v>8</v>
      </c>
      <c r="I10" s="41"/>
      <c r="J10" s="13">
        <v>73</v>
      </c>
      <c r="K10" s="13">
        <v>51</v>
      </c>
      <c r="L10" s="13">
        <v>0</v>
      </c>
    </row>
    <row r="11" spans="1:15" x14ac:dyDescent="0.25">
      <c r="A11" s="11">
        <v>8</v>
      </c>
      <c r="B11" s="39">
        <v>11444</v>
      </c>
      <c r="C11" s="40">
        <v>1053</v>
      </c>
      <c r="D11" s="12">
        <v>51</v>
      </c>
      <c r="E11" s="41"/>
      <c r="F11" s="12">
        <v>4</v>
      </c>
      <c r="G11" s="64">
        <v>10</v>
      </c>
      <c r="H11" s="12">
        <v>10</v>
      </c>
      <c r="I11" s="41"/>
      <c r="J11" s="13">
        <v>69</v>
      </c>
      <c r="K11" s="13">
        <v>47</v>
      </c>
      <c r="L11" s="13">
        <v>0</v>
      </c>
    </row>
    <row r="12" spans="1:15" x14ac:dyDescent="0.25">
      <c r="A12" s="11">
        <v>9</v>
      </c>
      <c r="B12" s="39">
        <v>11232</v>
      </c>
      <c r="C12" s="40">
        <v>1067</v>
      </c>
      <c r="D12" s="12">
        <v>51</v>
      </c>
      <c r="E12" s="41"/>
      <c r="F12" s="12">
        <v>3</v>
      </c>
      <c r="G12" s="64">
        <v>11</v>
      </c>
      <c r="H12" s="12">
        <v>10</v>
      </c>
      <c r="I12" s="41"/>
      <c r="J12" s="13">
        <v>90</v>
      </c>
      <c r="K12" s="13">
        <v>60</v>
      </c>
      <c r="L12" s="13">
        <v>2</v>
      </c>
    </row>
    <row r="13" spans="1:15" x14ac:dyDescent="0.25">
      <c r="A13" s="11">
        <v>10</v>
      </c>
      <c r="B13" s="39">
        <v>11597</v>
      </c>
      <c r="C13" s="40">
        <v>1241</v>
      </c>
      <c r="D13" s="12">
        <v>63</v>
      </c>
      <c r="E13" s="41"/>
      <c r="F13" s="12">
        <v>2</v>
      </c>
      <c r="G13" s="64">
        <v>8</v>
      </c>
      <c r="H13" s="12">
        <v>20</v>
      </c>
      <c r="I13" s="41"/>
      <c r="J13" s="13">
        <v>118</v>
      </c>
      <c r="K13" s="13">
        <v>79</v>
      </c>
      <c r="L13" s="13">
        <v>4</v>
      </c>
      <c r="O13" t="s">
        <v>13</v>
      </c>
    </row>
    <row r="14" spans="1:15" x14ac:dyDescent="0.25">
      <c r="A14" s="11">
        <v>11</v>
      </c>
      <c r="B14" s="39">
        <v>11639</v>
      </c>
      <c r="C14" s="40">
        <v>1158</v>
      </c>
      <c r="D14" s="12">
        <v>54</v>
      </c>
      <c r="E14" s="41"/>
      <c r="F14" s="12">
        <v>1</v>
      </c>
      <c r="G14" s="64">
        <v>5</v>
      </c>
      <c r="H14" s="12">
        <v>6</v>
      </c>
      <c r="I14" s="41"/>
      <c r="J14" s="13">
        <v>147</v>
      </c>
      <c r="K14" s="13">
        <v>102</v>
      </c>
      <c r="L14" s="13">
        <v>3</v>
      </c>
    </row>
    <row r="15" spans="1:15" x14ac:dyDescent="0.25">
      <c r="A15" s="11">
        <v>12</v>
      </c>
      <c r="B15" s="39">
        <v>11920</v>
      </c>
      <c r="C15" s="40">
        <v>1257</v>
      </c>
      <c r="D15" s="12">
        <v>63</v>
      </c>
      <c r="E15" s="41"/>
      <c r="F15" s="12">
        <v>4</v>
      </c>
      <c r="G15" s="64">
        <v>5</v>
      </c>
      <c r="H15" s="12">
        <v>6</v>
      </c>
      <c r="I15" s="41"/>
      <c r="J15" s="13">
        <v>171</v>
      </c>
      <c r="K15" s="13">
        <v>111</v>
      </c>
      <c r="L15" s="13">
        <v>3</v>
      </c>
    </row>
    <row r="16" spans="1:15" x14ac:dyDescent="0.25">
      <c r="A16" s="11">
        <v>13</v>
      </c>
      <c r="B16" s="39">
        <v>11500</v>
      </c>
      <c r="C16" s="40">
        <v>1208</v>
      </c>
      <c r="D16" s="12">
        <v>60</v>
      </c>
      <c r="E16" s="41"/>
      <c r="F16" s="12">
        <v>4</v>
      </c>
      <c r="G16" s="64">
        <v>6</v>
      </c>
      <c r="H16" s="12">
        <v>7</v>
      </c>
      <c r="I16" s="41"/>
      <c r="J16" s="13">
        <v>170</v>
      </c>
      <c r="K16" s="13">
        <v>99</v>
      </c>
      <c r="L16" s="13">
        <v>3</v>
      </c>
    </row>
    <row r="17" spans="1:15" x14ac:dyDescent="0.25">
      <c r="A17" s="11">
        <v>14</v>
      </c>
      <c r="B17" s="39">
        <v>11691</v>
      </c>
      <c r="C17" s="39">
        <v>1251</v>
      </c>
      <c r="D17" s="12">
        <v>58</v>
      </c>
      <c r="E17" s="41"/>
      <c r="F17" s="12">
        <v>5</v>
      </c>
      <c r="G17" s="64">
        <v>6</v>
      </c>
      <c r="H17" s="12">
        <v>7</v>
      </c>
      <c r="I17" s="41"/>
      <c r="J17" s="13">
        <v>115</v>
      </c>
      <c r="K17" s="13">
        <v>75</v>
      </c>
      <c r="L17" s="13">
        <v>1</v>
      </c>
    </row>
    <row r="18" spans="1:15" x14ac:dyDescent="0.25">
      <c r="A18" s="11">
        <v>15</v>
      </c>
      <c r="B18" s="39">
        <v>11320</v>
      </c>
      <c r="C18" s="39">
        <v>1214</v>
      </c>
      <c r="D18" s="12">
        <v>52</v>
      </c>
      <c r="E18" s="41"/>
      <c r="F18" s="12">
        <v>2</v>
      </c>
      <c r="G18" s="64">
        <v>6</v>
      </c>
      <c r="H18" s="12">
        <v>7</v>
      </c>
      <c r="I18" s="41"/>
      <c r="J18" s="13">
        <v>59</v>
      </c>
      <c r="K18" s="13">
        <v>85</v>
      </c>
      <c r="L18" s="13">
        <v>1</v>
      </c>
    </row>
    <row r="19" spans="1:15" x14ac:dyDescent="0.25">
      <c r="A19" s="11">
        <v>16</v>
      </c>
      <c r="B19" s="39">
        <v>11594</v>
      </c>
      <c r="C19" s="40">
        <v>1144</v>
      </c>
      <c r="D19" s="12">
        <v>50</v>
      </c>
      <c r="E19" s="41"/>
      <c r="F19" s="12">
        <v>1</v>
      </c>
      <c r="G19" s="64">
        <v>10</v>
      </c>
      <c r="H19" s="12">
        <v>9</v>
      </c>
      <c r="I19" s="41"/>
      <c r="J19" s="13">
        <v>69</v>
      </c>
      <c r="K19" s="13">
        <v>97</v>
      </c>
      <c r="L19" s="13">
        <v>1</v>
      </c>
    </row>
    <row r="20" spans="1:15" x14ac:dyDescent="0.25">
      <c r="A20" s="11">
        <v>17</v>
      </c>
      <c r="B20" s="39">
        <v>11422</v>
      </c>
      <c r="C20" s="40">
        <v>1210</v>
      </c>
      <c r="D20" s="12">
        <v>59</v>
      </c>
      <c r="E20" s="41"/>
      <c r="F20" s="12">
        <v>1</v>
      </c>
      <c r="G20" s="64">
        <v>6</v>
      </c>
      <c r="H20" s="12">
        <v>7</v>
      </c>
      <c r="I20" s="41"/>
      <c r="J20" s="13">
        <v>95</v>
      </c>
      <c r="K20" s="13">
        <v>136</v>
      </c>
      <c r="L20" s="13">
        <v>0</v>
      </c>
    </row>
    <row r="21" spans="1:15" x14ac:dyDescent="0.25">
      <c r="A21" s="11">
        <v>18</v>
      </c>
      <c r="B21" s="39">
        <v>11638</v>
      </c>
      <c r="C21" s="40">
        <v>1148</v>
      </c>
      <c r="D21" s="12">
        <v>56</v>
      </c>
      <c r="E21" s="41"/>
      <c r="F21" s="12">
        <v>4</v>
      </c>
      <c r="G21" s="64">
        <v>10</v>
      </c>
      <c r="H21" s="12">
        <v>9</v>
      </c>
      <c r="I21" s="41"/>
      <c r="J21" s="13">
        <v>153</v>
      </c>
      <c r="K21" s="13">
        <v>107</v>
      </c>
      <c r="L21" s="13">
        <v>0</v>
      </c>
      <c r="O21" s="62"/>
    </row>
    <row r="22" spans="1:15" x14ac:dyDescent="0.25">
      <c r="A22" s="11">
        <v>19</v>
      </c>
      <c r="B22" s="39">
        <v>12043</v>
      </c>
      <c r="C22" s="40">
        <v>1117</v>
      </c>
      <c r="D22" s="12">
        <v>61</v>
      </c>
      <c r="E22" s="41"/>
      <c r="F22" s="12">
        <v>6</v>
      </c>
      <c r="G22" s="64">
        <v>9</v>
      </c>
      <c r="H22" s="12">
        <v>9</v>
      </c>
      <c r="I22" s="41"/>
      <c r="J22" s="13">
        <v>185</v>
      </c>
      <c r="K22" s="13">
        <v>121</v>
      </c>
      <c r="L22" s="13">
        <v>1</v>
      </c>
    </row>
    <row r="23" spans="1:15" x14ac:dyDescent="0.25">
      <c r="A23" s="11">
        <v>20</v>
      </c>
      <c r="B23" s="39">
        <v>11720</v>
      </c>
      <c r="C23" s="40">
        <v>1074</v>
      </c>
      <c r="D23" s="12">
        <v>59</v>
      </c>
      <c r="E23" s="41"/>
      <c r="F23" s="12">
        <v>7</v>
      </c>
      <c r="G23" s="64">
        <v>10</v>
      </c>
      <c r="H23" s="12">
        <v>10</v>
      </c>
      <c r="I23" s="41"/>
      <c r="J23" s="13">
        <v>175</v>
      </c>
      <c r="K23" s="13">
        <v>109</v>
      </c>
      <c r="L23" s="13">
        <v>0</v>
      </c>
    </row>
    <row r="24" spans="1:15" x14ac:dyDescent="0.25">
      <c r="A24" s="11">
        <v>21</v>
      </c>
      <c r="B24" s="39">
        <v>11440</v>
      </c>
      <c r="C24" s="40">
        <v>1265</v>
      </c>
      <c r="D24" s="13">
        <v>57</v>
      </c>
      <c r="E24" s="14"/>
      <c r="F24" s="13">
        <v>3</v>
      </c>
      <c r="G24" s="65">
        <v>7</v>
      </c>
      <c r="H24" s="13">
        <v>8</v>
      </c>
      <c r="I24" s="14"/>
      <c r="J24" s="13">
        <v>98</v>
      </c>
      <c r="K24" s="13">
        <v>63</v>
      </c>
      <c r="L24" s="13">
        <v>0</v>
      </c>
    </row>
    <row r="25" spans="1:15" x14ac:dyDescent="0.25">
      <c r="A25" s="11">
        <v>22</v>
      </c>
      <c r="B25" s="39">
        <v>11554</v>
      </c>
      <c r="C25" s="15">
        <v>1310</v>
      </c>
      <c r="D25" s="13">
        <v>52</v>
      </c>
      <c r="E25" s="14"/>
      <c r="F25" s="13">
        <v>3</v>
      </c>
      <c r="G25" s="65">
        <v>7</v>
      </c>
      <c r="H25" s="13">
        <v>7</v>
      </c>
      <c r="I25" s="14"/>
      <c r="J25" s="13">
        <v>65</v>
      </c>
      <c r="K25" s="13">
        <v>43</v>
      </c>
      <c r="L25" s="13">
        <v>0</v>
      </c>
    </row>
    <row r="26" spans="1:15" x14ac:dyDescent="0.25">
      <c r="A26" s="11">
        <v>23</v>
      </c>
      <c r="B26" s="89">
        <v>11489</v>
      </c>
      <c r="C26" s="88">
        <v>1132</v>
      </c>
      <c r="D26" s="13">
        <v>48</v>
      </c>
      <c r="E26" s="14"/>
      <c r="F26" s="13">
        <v>-2</v>
      </c>
      <c r="G26" s="65">
        <v>6</v>
      </c>
      <c r="H26" s="13">
        <v>7</v>
      </c>
      <c r="I26" s="14"/>
      <c r="J26" s="13">
        <v>87</v>
      </c>
      <c r="K26" s="13">
        <v>60</v>
      </c>
      <c r="L26" s="13">
        <v>0</v>
      </c>
    </row>
    <row r="27" spans="1:15" x14ac:dyDescent="0.25">
      <c r="A27" s="11">
        <v>24</v>
      </c>
      <c r="B27" s="39">
        <v>10112</v>
      </c>
      <c r="C27" s="15">
        <v>1356</v>
      </c>
      <c r="D27" s="13">
        <v>53</v>
      </c>
      <c r="E27" s="14"/>
      <c r="F27" s="13">
        <v>3</v>
      </c>
      <c r="G27" s="65">
        <v>6</v>
      </c>
      <c r="H27" s="13">
        <v>7</v>
      </c>
      <c r="I27" s="14"/>
      <c r="J27" s="13">
        <v>85</v>
      </c>
      <c r="K27" s="13">
        <v>58</v>
      </c>
      <c r="L27" s="13">
        <v>1</v>
      </c>
    </row>
    <row r="28" spans="1:15" x14ac:dyDescent="0.25">
      <c r="A28" s="11">
        <v>25</v>
      </c>
      <c r="B28" s="39">
        <v>11159</v>
      </c>
      <c r="C28" s="15">
        <v>1475</v>
      </c>
      <c r="D28" s="16">
        <v>48</v>
      </c>
      <c r="E28" s="42"/>
      <c r="F28" s="16">
        <v>1</v>
      </c>
      <c r="G28" s="66">
        <v>3</v>
      </c>
      <c r="H28" s="16">
        <v>7</v>
      </c>
      <c r="I28" s="42"/>
      <c r="J28" s="13">
        <v>113</v>
      </c>
      <c r="K28" s="13">
        <v>73</v>
      </c>
      <c r="L28" s="13">
        <v>2</v>
      </c>
    </row>
    <row r="29" spans="1:15" x14ac:dyDescent="0.25">
      <c r="A29" s="11">
        <v>26</v>
      </c>
      <c r="B29" s="39">
        <v>11073</v>
      </c>
      <c r="C29" s="15">
        <v>1425</v>
      </c>
      <c r="D29" s="13">
        <v>57</v>
      </c>
      <c r="E29" s="14"/>
      <c r="F29" s="13">
        <v>-1</v>
      </c>
      <c r="G29" s="65">
        <v>3</v>
      </c>
      <c r="H29" s="13">
        <v>4</v>
      </c>
      <c r="I29" s="14"/>
      <c r="J29" s="13">
        <v>153</v>
      </c>
      <c r="K29" s="13">
        <v>89</v>
      </c>
      <c r="L29" s="13">
        <v>1</v>
      </c>
    </row>
    <row r="30" spans="1:15" x14ac:dyDescent="0.25">
      <c r="A30" s="9">
        <v>27</v>
      </c>
      <c r="B30" s="39">
        <v>11161</v>
      </c>
      <c r="C30" s="15">
        <v>1410</v>
      </c>
      <c r="D30" s="13">
        <v>61</v>
      </c>
      <c r="E30" s="14"/>
      <c r="F30" s="13">
        <v>-2</v>
      </c>
      <c r="G30" s="65">
        <v>4</v>
      </c>
      <c r="H30" s="13">
        <v>5</v>
      </c>
      <c r="I30" s="14"/>
      <c r="J30" s="13">
        <v>147</v>
      </c>
      <c r="K30" s="13">
        <v>87</v>
      </c>
      <c r="L30" s="13">
        <v>0</v>
      </c>
    </row>
    <row r="31" spans="1:15" x14ac:dyDescent="0.25">
      <c r="A31" s="43">
        <v>28</v>
      </c>
      <c r="B31" s="39">
        <v>11259</v>
      </c>
      <c r="C31" s="15">
        <v>1487</v>
      </c>
      <c r="D31" s="13">
        <v>58</v>
      </c>
      <c r="E31" s="14"/>
      <c r="F31" s="13">
        <v>-1</v>
      </c>
      <c r="G31" s="65">
        <v>1</v>
      </c>
      <c r="H31" s="13">
        <v>3</v>
      </c>
      <c r="I31" s="14"/>
      <c r="J31" s="13">
        <v>85</v>
      </c>
      <c r="K31" s="13">
        <v>60</v>
      </c>
      <c r="L31" s="13">
        <v>0</v>
      </c>
    </row>
    <row r="32" spans="1:15" x14ac:dyDescent="0.25">
      <c r="A32" s="43">
        <v>29</v>
      </c>
      <c r="B32" s="39">
        <v>11253</v>
      </c>
      <c r="C32" s="15">
        <v>1447</v>
      </c>
      <c r="D32" s="13">
        <v>51</v>
      </c>
      <c r="E32" s="14"/>
      <c r="F32" s="13">
        <v>-1</v>
      </c>
      <c r="G32" s="65">
        <v>2</v>
      </c>
      <c r="H32" s="13">
        <v>3</v>
      </c>
      <c r="I32" s="14"/>
      <c r="J32" s="13">
        <v>81</v>
      </c>
      <c r="K32" s="13">
        <v>56</v>
      </c>
      <c r="L32" s="13">
        <v>0</v>
      </c>
    </row>
    <row r="33" spans="1:15" x14ac:dyDescent="0.25">
      <c r="A33" s="43">
        <v>30</v>
      </c>
      <c r="B33" s="39">
        <v>10500</v>
      </c>
      <c r="C33" s="15">
        <v>1389</v>
      </c>
      <c r="D33" s="13">
        <v>54</v>
      </c>
      <c r="E33" s="14"/>
      <c r="F33" s="13">
        <v>1</v>
      </c>
      <c r="G33" s="65">
        <v>4</v>
      </c>
      <c r="H33" s="13">
        <v>2</v>
      </c>
      <c r="I33" s="14"/>
      <c r="J33" s="13">
        <v>70</v>
      </c>
      <c r="K33" s="13">
        <v>52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342208</v>
      </c>
      <c r="C35" s="49">
        <f>SUM(C4:C34)</f>
        <v>36202</v>
      </c>
      <c r="D35" s="50">
        <f>SUM(D4:D34)</f>
        <v>1664</v>
      </c>
      <c r="E35" s="63"/>
      <c r="F35" s="73">
        <f>AVERAGE(F4:F34)</f>
        <v>2.5</v>
      </c>
      <c r="G35" s="74">
        <f>AVERAGE(G4:G34)</f>
        <v>7.166666666666667</v>
      </c>
      <c r="H35" s="75">
        <f>AVERAGE(H4:H34)</f>
        <v>7.9666666666666668</v>
      </c>
      <c r="I35" s="51"/>
      <c r="J35" s="52">
        <f>SUM(J4:J34)</f>
        <v>3348</v>
      </c>
      <c r="K35" s="52">
        <f>SUM(K4:K34)</f>
        <v>2391</v>
      </c>
      <c r="L35" s="53">
        <f>SUM(L4:L34)</f>
        <v>31</v>
      </c>
    </row>
    <row r="36" spans="1:15" ht="15.75" thickBot="1" x14ac:dyDescent="0.3">
      <c r="A36" s="17" t="s">
        <v>25</v>
      </c>
      <c r="B36" s="54">
        <f>AVERAGE(B4:B34)</f>
        <v>11406.933333333332</v>
      </c>
      <c r="C36" s="55">
        <f>AVERAGE(C4:C34)</f>
        <v>1206.7333333333333</v>
      </c>
      <c r="D36" s="56">
        <f>AVERAGE(D4:D34)</f>
        <v>55.466666666666669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102.21266427718041</v>
      </c>
      <c r="C38" s="55">
        <f>C35/J35</f>
        <v>10.813022700119474</v>
      </c>
      <c r="D38" s="56">
        <f>D35/J35</f>
        <v>0.49701314217443249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72681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78912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51B2-C32B-455B-A1FF-DFBE343631E6}">
  <dimension ref="A1:O42"/>
  <sheetViews>
    <sheetView tabSelected="1" workbookViewId="0">
      <selection activeCell="P17" sqref="P17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12413</v>
      </c>
      <c r="C4" s="38">
        <v>1316</v>
      </c>
      <c r="D4" s="10">
        <v>62</v>
      </c>
      <c r="E4" s="14"/>
      <c r="F4" s="10">
        <v>3</v>
      </c>
      <c r="G4" s="70">
        <v>9</v>
      </c>
      <c r="H4" s="10">
        <v>9</v>
      </c>
      <c r="I4" s="14"/>
      <c r="J4" s="10">
        <v>98</v>
      </c>
      <c r="K4" s="10">
        <v>64</v>
      </c>
      <c r="L4" s="10">
        <v>1</v>
      </c>
    </row>
    <row r="5" spans="1:15" x14ac:dyDescent="0.25">
      <c r="A5" s="11">
        <v>2</v>
      </c>
      <c r="B5" s="39">
        <v>11301</v>
      </c>
      <c r="C5" s="40">
        <v>1401</v>
      </c>
      <c r="D5" s="12">
        <v>57</v>
      </c>
      <c r="E5" s="41"/>
      <c r="F5" s="12">
        <v>-1</v>
      </c>
      <c r="G5" s="71">
        <v>7</v>
      </c>
      <c r="H5" s="12">
        <v>9</v>
      </c>
      <c r="I5" s="41"/>
      <c r="J5" s="13">
        <v>116</v>
      </c>
      <c r="K5" s="13">
        <v>76</v>
      </c>
      <c r="L5" s="13">
        <v>0</v>
      </c>
    </row>
    <row r="6" spans="1:15" x14ac:dyDescent="0.25">
      <c r="A6" s="11">
        <v>3</v>
      </c>
      <c r="B6" s="39">
        <v>11206</v>
      </c>
      <c r="C6" s="40">
        <v>1552</v>
      </c>
      <c r="D6" s="12">
        <v>62</v>
      </c>
      <c r="E6" s="41"/>
      <c r="F6" s="12">
        <v>-4</v>
      </c>
      <c r="G6" s="64">
        <v>2</v>
      </c>
      <c r="H6" s="12">
        <v>3</v>
      </c>
      <c r="I6" s="41"/>
      <c r="J6" s="13">
        <v>117</v>
      </c>
      <c r="K6" s="13">
        <v>74</v>
      </c>
      <c r="L6" s="13">
        <v>0</v>
      </c>
    </row>
    <row r="7" spans="1:15" x14ac:dyDescent="0.25">
      <c r="A7" s="11">
        <v>4</v>
      </c>
      <c r="B7" s="39">
        <v>11609</v>
      </c>
      <c r="C7" s="40">
        <v>1618</v>
      </c>
      <c r="D7" s="12">
        <v>53</v>
      </c>
      <c r="E7" s="41"/>
      <c r="F7" s="72">
        <v>-2</v>
      </c>
      <c r="G7" s="64">
        <v>1</v>
      </c>
      <c r="H7" s="12">
        <v>2</v>
      </c>
      <c r="I7" s="41"/>
      <c r="J7" s="13">
        <v>111</v>
      </c>
      <c r="K7" s="13">
        <v>65</v>
      </c>
      <c r="L7" s="13">
        <v>0</v>
      </c>
    </row>
    <row r="8" spans="1:15" x14ac:dyDescent="0.25">
      <c r="A8" s="11">
        <v>5</v>
      </c>
      <c r="B8" s="39">
        <v>11591</v>
      </c>
      <c r="C8" s="40">
        <v>1529</v>
      </c>
      <c r="D8" s="12">
        <v>50</v>
      </c>
      <c r="E8" s="41"/>
      <c r="F8" s="12">
        <v>1</v>
      </c>
      <c r="G8" s="64">
        <v>4</v>
      </c>
      <c r="H8" s="12">
        <v>4</v>
      </c>
      <c r="I8" s="41"/>
      <c r="J8" s="13">
        <v>77</v>
      </c>
      <c r="K8" s="13">
        <v>50</v>
      </c>
      <c r="L8" s="13">
        <v>0</v>
      </c>
    </row>
    <row r="9" spans="1:15" x14ac:dyDescent="0.25">
      <c r="A9" s="11">
        <v>6</v>
      </c>
      <c r="B9" s="39">
        <v>11379</v>
      </c>
      <c r="C9" s="40">
        <v>1549</v>
      </c>
      <c r="D9" s="12">
        <v>50</v>
      </c>
      <c r="E9" s="41"/>
      <c r="F9" s="12">
        <v>-1</v>
      </c>
      <c r="G9" s="64">
        <v>1</v>
      </c>
      <c r="H9" s="12">
        <v>3</v>
      </c>
      <c r="I9" s="41"/>
      <c r="J9" s="13">
        <v>71</v>
      </c>
      <c r="K9" s="13">
        <v>48</v>
      </c>
      <c r="L9" s="13">
        <v>0</v>
      </c>
    </row>
    <row r="10" spans="1:15" x14ac:dyDescent="0.25">
      <c r="A10" s="11">
        <v>7</v>
      </c>
      <c r="B10" s="39">
        <v>11645</v>
      </c>
      <c r="C10" s="40">
        <v>1690</v>
      </c>
      <c r="D10" s="12">
        <v>49</v>
      </c>
      <c r="E10" s="41"/>
      <c r="F10" s="12">
        <v>-2</v>
      </c>
      <c r="G10" s="64">
        <v>1</v>
      </c>
      <c r="H10" s="12">
        <v>3</v>
      </c>
      <c r="I10" s="41"/>
      <c r="J10" s="13">
        <v>88</v>
      </c>
      <c r="K10" s="13">
        <v>53</v>
      </c>
      <c r="L10" s="13">
        <v>1</v>
      </c>
    </row>
    <row r="11" spans="1:15" x14ac:dyDescent="0.25">
      <c r="A11" s="11">
        <v>8</v>
      </c>
      <c r="B11" s="39">
        <v>11497</v>
      </c>
      <c r="C11" s="40">
        <v>1751</v>
      </c>
      <c r="D11" s="12">
        <v>57</v>
      </c>
      <c r="E11" s="41"/>
      <c r="F11" s="12">
        <v>-1</v>
      </c>
      <c r="G11" s="64">
        <v>1</v>
      </c>
      <c r="H11" s="12">
        <v>3</v>
      </c>
      <c r="I11" s="41"/>
      <c r="J11" s="13">
        <v>88</v>
      </c>
      <c r="K11" s="13">
        <v>52</v>
      </c>
      <c r="L11" s="13">
        <v>1</v>
      </c>
    </row>
    <row r="12" spans="1:15" x14ac:dyDescent="0.25">
      <c r="A12" s="11">
        <v>9</v>
      </c>
      <c r="B12" s="39">
        <v>11399</v>
      </c>
      <c r="C12" s="40">
        <v>1735</v>
      </c>
      <c r="D12" s="12">
        <v>48</v>
      </c>
      <c r="E12" s="41"/>
      <c r="F12" s="12">
        <v>0</v>
      </c>
      <c r="G12" s="64">
        <v>1</v>
      </c>
      <c r="H12" s="12">
        <v>2</v>
      </c>
      <c r="I12" s="41"/>
      <c r="J12" s="13">
        <v>76</v>
      </c>
      <c r="K12" s="13">
        <v>42</v>
      </c>
      <c r="L12" s="13">
        <v>1</v>
      </c>
    </row>
    <row r="13" spans="1:15" x14ac:dyDescent="0.25">
      <c r="A13" s="11">
        <v>10</v>
      </c>
      <c r="B13" s="39">
        <v>10916</v>
      </c>
      <c r="C13" s="40">
        <v>1682</v>
      </c>
      <c r="D13" s="12">
        <v>53</v>
      </c>
      <c r="E13" s="41"/>
      <c r="F13" s="12">
        <v>-3</v>
      </c>
      <c r="G13" s="64">
        <v>3</v>
      </c>
      <c r="H13" s="12">
        <v>2</v>
      </c>
      <c r="I13" s="41"/>
      <c r="J13" s="13">
        <v>95</v>
      </c>
      <c r="K13" s="13">
        <v>51</v>
      </c>
      <c r="L13" s="13">
        <v>1</v>
      </c>
      <c r="O13" t="s">
        <v>13</v>
      </c>
    </row>
    <row r="14" spans="1:15" x14ac:dyDescent="0.25">
      <c r="A14" s="11">
        <v>11</v>
      </c>
      <c r="B14" s="39">
        <v>11132</v>
      </c>
      <c r="C14" s="40">
        <v>1710</v>
      </c>
      <c r="D14" s="12">
        <v>54</v>
      </c>
      <c r="E14" s="41"/>
      <c r="F14" s="12">
        <v>-3</v>
      </c>
      <c r="G14" s="64">
        <v>1</v>
      </c>
      <c r="H14" s="12">
        <v>1</v>
      </c>
      <c r="I14" s="41"/>
      <c r="J14" s="13">
        <v>81</v>
      </c>
      <c r="K14" s="13">
        <v>42</v>
      </c>
      <c r="L14" s="13">
        <v>0</v>
      </c>
    </row>
    <row r="15" spans="1:15" x14ac:dyDescent="0.25">
      <c r="A15" s="11">
        <v>12</v>
      </c>
      <c r="B15" s="39">
        <v>11066</v>
      </c>
      <c r="C15" s="40">
        <v>1651</v>
      </c>
      <c r="D15" s="12">
        <v>2</v>
      </c>
      <c r="E15" s="41"/>
      <c r="F15" s="12">
        <v>-3</v>
      </c>
      <c r="G15" s="64">
        <v>4</v>
      </c>
      <c r="H15" s="12">
        <v>2</v>
      </c>
      <c r="I15" s="41"/>
      <c r="J15" s="13">
        <v>56</v>
      </c>
      <c r="K15" s="13">
        <v>34</v>
      </c>
      <c r="L15" s="13">
        <v>1</v>
      </c>
    </row>
    <row r="16" spans="1:15" x14ac:dyDescent="0.25">
      <c r="A16" s="11">
        <v>13</v>
      </c>
      <c r="B16" s="39">
        <v>10685</v>
      </c>
      <c r="C16" s="40">
        <v>1425</v>
      </c>
      <c r="D16" s="12">
        <v>0</v>
      </c>
      <c r="E16" s="41"/>
      <c r="F16" s="12">
        <v>2</v>
      </c>
      <c r="G16" s="64">
        <v>6</v>
      </c>
      <c r="H16" s="12">
        <v>7</v>
      </c>
      <c r="I16" s="41"/>
      <c r="J16" s="13">
        <v>48</v>
      </c>
      <c r="K16" s="13">
        <v>27</v>
      </c>
      <c r="L16" s="13">
        <v>2</v>
      </c>
    </row>
    <row r="17" spans="1:15" x14ac:dyDescent="0.25">
      <c r="A17" s="11">
        <v>14</v>
      </c>
      <c r="B17" s="39">
        <v>10516</v>
      </c>
      <c r="C17" s="39">
        <v>949</v>
      </c>
      <c r="D17" s="12">
        <v>36</v>
      </c>
      <c r="E17" s="41"/>
      <c r="F17" s="12">
        <v>5</v>
      </c>
      <c r="G17" s="64">
        <v>7</v>
      </c>
      <c r="H17" s="12">
        <v>7</v>
      </c>
      <c r="I17" s="41"/>
      <c r="J17" s="13">
        <v>62</v>
      </c>
      <c r="K17" s="13">
        <v>33</v>
      </c>
      <c r="L17" s="13">
        <v>1</v>
      </c>
    </row>
    <row r="18" spans="1:15" x14ac:dyDescent="0.25">
      <c r="A18" s="11">
        <v>15</v>
      </c>
      <c r="B18" s="39">
        <v>10236</v>
      </c>
      <c r="C18" s="39">
        <v>1200</v>
      </c>
      <c r="D18" s="12">
        <v>43</v>
      </c>
      <c r="E18" s="41"/>
      <c r="F18" s="12">
        <v>5</v>
      </c>
      <c r="G18" s="64">
        <v>8</v>
      </c>
      <c r="H18" s="12">
        <v>8</v>
      </c>
      <c r="I18" s="41"/>
      <c r="J18" s="13">
        <v>47</v>
      </c>
      <c r="K18" s="13">
        <v>25</v>
      </c>
      <c r="L18" s="13">
        <v>0</v>
      </c>
    </row>
    <row r="19" spans="1:15" x14ac:dyDescent="0.25">
      <c r="A19" s="11">
        <v>16</v>
      </c>
      <c r="B19" s="39">
        <v>10576</v>
      </c>
      <c r="C19" s="40">
        <v>1292</v>
      </c>
      <c r="D19" s="12">
        <v>42</v>
      </c>
      <c r="E19" s="41"/>
      <c r="F19" s="12">
        <v>3</v>
      </c>
      <c r="G19" s="64">
        <v>8</v>
      </c>
      <c r="H19" s="12">
        <v>9</v>
      </c>
      <c r="I19" s="41"/>
      <c r="J19" s="13">
        <v>63</v>
      </c>
      <c r="K19" s="13">
        <v>32</v>
      </c>
      <c r="L19" s="13">
        <v>0</v>
      </c>
    </row>
    <row r="20" spans="1:15" x14ac:dyDescent="0.25">
      <c r="A20" s="11">
        <v>17</v>
      </c>
      <c r="B20" s="39">
        <v>11017</v>
      </c>
      <c r="C20" s="40">
        <v>1415</v>
      </c>
      <c r="D20" s="12">
        <v>43</v>
      </c>
      <c r="E20" s="41"/>
      <c r="F20" s="12">
        <v>0</v>
      </c>
      <c r="G20" s="64">
        <v>6</v>
      </c>
      <c r="H20" s="12">
        <v>5</v>
      </c>
      <c r="I20" s="41"/>
      <c r="J20" s="13">
        <v>52</v>
      </c>
      <c r="K20" s="13">
        <v>24</v>
      </c>
      <c r="L20" s="13">
        <v>1</v>
      </c>
    </row>
    <row r="21" spans="1:15" x14ac:dyDescent="0.25">
      <c r="A21" s="11">
        <v>18</v>
      </c>
      <c r="B21" s="39">
        <v>10495</v>
      </c>
      <c r="C21" s="40">
        <v>1311</v>
      </c>
      <c r="D21" s="12">
        <v>43</v>
      </c>
      <c r="E21" s="41"/>
      <c r="F21" s="12">
        <v>1</v>
      </c>
      <c r="G21" s="64">
        <v>6</v>
      </c>
      <c r="H21" s="12">
        <v>6</v>
      </c>
      <c r="I21" s="41"/>
      <c r="J21" s="13">
        <v>78</v>
      </c>
      <c r="K21" s="13">
        <v>35</v>
      </c>
      <c r="L21" s="13">
        <v>1</v>
      </c>
      <c r="O21" s="62"/>
    </row>
    <row r="22" spans="1:15" x14ac:dyDescent="0.25">
      <c r="A22" s="11">
        <v>19</v>
      </c>
      <c r="B22" s="39">
        <v>11054</v>
      </c>
      <c r="C22" s="40">
        <v>1452</v>
      </c>
      <c r="D22" s="12">
        <v>46</v>
      </c>
      <c r="E22" s="41"/>
      <c r="F22" s="12">
        <v>3</v>
      </c>
      <c r="G22" s="64">
        <v>6</v>
      </c>
      <c r="H22" s="12">
        <v>6</v>
      </c>
      <c r="I22" s="41"/>
      <c r="J22" s="13">
        <v>63</v>
      </c>
      <c r="K22" s="13">
        <v>23</v>
      </c>
      <c r="L22" s="13">
        <v>1</v>
      </c>
    </row>
    <row r="23" spans="1:15" x14ac:dyDescent="0.25">
      <c r="A23" s="11">
        <v>20</v>
      </c>
      <c r="B23" s="39">
        <v>10983</v>
      </c>
      <c r="C23" s="40">
        <v>1500</v>
      </c>
      <c r="D23" s="12">
        <v>47</v>
      </c>
      <c r="E23" s="41"/>
      <c r="F23" s="12">
        <v>-2</v>
      </c>
      <c r="G23" s="64">
        <v>3</v>
      </c>
      <c r="H23" s="12">
        <v>6</v>
      </c>
      <c r="I23" s="41"/>
      <c r="J23" s="13">
        <v>74</v>
      </c>
      <c r="K23" s="13">
        <v>36</v>
      </c>
      <c r="L23" s="13">
        <v>1</v>
      </c>
    </row>
    <row r="24" spans="1:15" x14ac:dyDescent="0.25">
      <c r="A24" s="11">
        <v>21</v>
      </c>
      <c r="B24" s="39">
        <v>11514</v>
      </c>
      <c r="C24" s="40">
        <v>1617</v>
      </c>
      <c r="D24" s="13">
        <v>348</v>
      </c>
      <c r="E24" s="14"/>
      <c r="F24" s="13">
        <v>-4</v>
      </c>
      <c r="G24" s="65">
        <v>2</v>
      </c>
      <c r="H24" s="13">
        <v>4</v>
      </c>
      <c r="I24" s="14"/>
      <c r="J24" s="13">
        <v>63</v>
      </c>
      <c r="K24" s="13">
        <v>31</v>
      </c>
      <c r="L24" s="13">
        <v>1</v>
      </c>
    </row>
    <row r="25" spans="1:15" x14ac:dyDescent="0.25">
      <c r="A25" s="11">
        <v>22</v>
      </c>
      <c r="B25" s="39">
        <v>11116</v>
      </c>
      <c r="C25" s="15">
        <v>1652</v>
      </c>
      <c r="D25" s="13">
        <v>42</v>
      </c>
      <c r="E25" s="14"/>
      <c r="F25" s="13">
        <v>-6</v>
      </c>
      <c r="G25" s="65">
        <v>1</v>
      </c>
      <c r="H25" s="13">
        <v>2</v>
      </c>
      <c r="I25" s="14"/>
      <c r="J25" s="13">
        <v>71</v>
      </c>
      <c r="K25" s="13">
        <v>35</v>
      </c>
      <c r="L25" s="13">
        <v>1</v>
      </c>
    </row>
    <row r="26" spans="1:15" x14ac:dyDescent="0.25">
      <c r="A26" s="11">
        <v>23</v>
      </c>
      <c r="B26" s="89">
        <v>11384</v>
      </c>
      <c r="C26" s="88">
        <v>1653</v>
      </c>
      <c r="D26" s="13">
        <v>45</v>
      </c>
      <c r="E26" s="14"/>
      <c r="F26" s="13">
        <v>-6</v>
      </c>
      <c r="G26" s="65">
        <v>3</v>
      </c>
      <c r="H26" s="13">
        <v>3</v>
      </c>
      <c r="I26" s="14"/>
      <c r="J26" s="13">
        <v>70</v>
      </c>
      <c r="K26" s="13">
        <v>36</v>
      </c>
      <c r="L26" s="13">
        <v>0</v>
      </c>
    </row>
    <row r="27" spans="1:15" x14ac:dyDescent="0.25">
      <c r="A27" s="11">
        <v>24</v>
      </c>
      <c r="B27" s="39">
        <v>11308</v>
      </c>
      <c r="C27" s="15">
        <v>1333</v>
      </c>
      <c r="D27" s="13">
        <v>52</v>
      </c>
      <c r="E27" s="14"/>
      <c r="F27" s="13">
        <v>-1</v>
      </c>
      <c r="G27" s="65">
        <v>9</v>
      </c>
      <c r="H27" s="13">
        <v>9</v>
      </c>
      <c r="I27" s="14"/>
      <c r="J27" s="13">
        <v>95</v>
      </c>
      <c r="K27" s="13">
        <v>48</v>
      </c>
      <c r="L27" s="13">
        <v>0</v>
      </c>
    </row>
    <row r="28" spans="1:15" x14ac:dyDescent="0.25">
      <c r="A28" s="11">
        <v>25</v>
      </c>
      <c r="B28" s="39">
        <v>11368</v>
      </c>
      <c r="C28" s="15">
        <v>1723</v>
      </c>
      <c r="D28" s="16">
        <v>52</v>
      </c>
      <c r="E28" s="42"/>
      <c r="F28" s="16">
        <v>-7</v>
      </c>
      <c r="G28" s="66">
        <v>1</v>
      </c>
      <c r="H28" s="16">
        <v>4</v>
      </c>
      <c r="I28" s="42"/>
      <c r="J28" s="13">
        <v>84</v>
      </c>
      <c r="K28" s="13">
        <v>42</v>
      </c>
      <c r="L28" s="13">
        <v>0</v>
      </c>
    </row>
    <row r="29" spans="1:15" x14ac:dyDescent="0.25">
      <c r="A29" s="11">
        <v>26</v>
      </c>
      <c r="B29" s="39">
        <v>11084</v>
      </c>
      <c r="C29" s="15">
        <v>1842</v>
      </c>
      <c r="D29" s="13">
        <v>49</v>
      </c>
      <c r="E29" s="14"/>
      <c r="F29" s="13">
        <v>-10</v>
      </c>
      <c r="G29" s="65">
        <v>-3</v>
      </c>
      <c r="H29" s="13">
        <v>-3</v>
      </c>
      <c r="I29" s="14"/>
      <c r="J29" s="13">
        <v>65</v>
      </c>
      <c r="K29" s="13">
        <v>34</v>
      </c>
      <c r="L29" s="13">
        <v>0</v>
      </c>
    </row>
    <row r="30" spans="1:15" x14ac:dyDescent="0.25">
      <c r="A30" s="9">
        <v>27</v>
      </c>
      <c r="B30" s="39">
        <v>10983</v>
      </c>
      <c r="C30" s="15">
        <v>1587</v>
      </c>
      <c r="D30" s="13">
        <v>49</v>
      </c>
      <c r="E30" s="14"/>
      <c r="F30" s="13">
        <v>-5</v>
      </c>
      <c r="G30" s="65">
        <v>0</v>
      </c>
      <c r="H30" s="13">
        <v>0</v>
      </c>
      <c r="I30" s="14"/>
      <c r="J30" s="13">
        <v>77</v>
      </c>
      <c r="K30" s="13">
        <v>41</v>
      </c>
      <c r="L30" s="13">
        <v>1</v>
      </c>
    </row>
    <row r="31" spans="1:15" x14ac:dyDescent="0.25">
      <c r="A31" s="43">
        <v>28</v>
      </c>
      <c r="B31" s="39">
        <v>11097</v>
      </c>
      <c r="C31" s="15">
        <v>1549</v>
      </c>
      <c r="D31" s="13">
        <v>60</v>
      </c>
      <c r="E31" s="14"/>
      <c r="F31" s="13">
        <v>-2</v>
      </c>
      <c r="G31" s="65">
        <v>3</v>
      </c>
      <c r="H31" s="13">
        <v>2</v>
      </c>
      <c r="I31" s="14"/>
      <c r="J31" s="13">
        <v>98</v>
      </c>
      <c r="K31" s="13">
        <v>51</v>
      </c>
      <c r="L31" s="13">
        <v>0</v>
      </c>
    </row>
    <row r="32" spans="1:15" x14ac:dyDescent="0.25">
      <c r="A32" s="43">
        <v>29</v>
      </c>
      <c r="B32" s="39">
        <v>11775</v>
      </c>
      <c r="C32" s="15">
        <v>1488</v>
      </c>
      <c r="D32" s="13">
        <v>60</v>
      </c>
      <c r="E32" s="14"/>
      <c r="F32" s="13">
        <v>2</v>
      </c>
      <c r="G32" s="65">
        <v>7</v>
      </c>
      <c r="H32" s="13">
        <v>5</v>
      </c>
      <c r="I32" s="14"/>
      <c r="J32" s="13">
        <v>115</v>
      </c>
      <c r="K32" s="13">
        <v>60</v>
      </c>
      <c r="L32" s="13">
        <v>0</v>
      </c>
    </row>
    <row r="33" spans="1:15" x14ac:dyDescent="0.25">
      <c r="A33" s="43">
        <v>30</v>
      </c>
      <c r="B33" s="39">
        <v>11439</v>
      </c>
      <c r="C33" s="15">
        <v>1237</v>
      </c>
      <c r="D33" s="13">
        <v>61</v>
      </c>
      <c r="E33" s="14"/>
      <c r="F33" s="13">
        <v>5</v>
      </c>
      <c r="G33" s="65">
        <v>13</v>
      </c>
      <c r="H33" s="13">
        <v>14</v>
      </c>
      <c r="I33" s="14"/>
      <c r="J33" s="13">
        <v>114</v>
      </c>
      <c r="K33" s="13">
        <v>41</v>
      </c>
      <c r="L33" s="13">
        <v>0</v>
      </c>
    </row>
    <row r="34" spans="1:15" ht="15.75" thickBot="1" x14ac:dyDescent="0.3">
      <c r="A34" s="44">
        <v>31</v>
      </c>
      <c r="B34" s="45">
        <v>11980</v>
      </c>
      <c r="C34" s="46">
        <v>1132</v>
      </c>
      <c r="D34" s="47">
        <v>69</v>
      </c>
      <c r="E34" s="14"/>
      <c r="F34" s="47">
        <v>11</v>
      </c>
      <c r="G34" s="68">
        <v>14</v>
      </c>
      <c r="H34" s="67">
        <v>13</v>
      </c>
      <c r="I34" s="14"/>
      <c r="J34" s="47">
        <v>126</v>
      </c>
      <c r="K34" s="47">
        <v>46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347764</v>
      </c>
      <c r="C35" s="49">
        <f>SUM(C4:C34)</f>
        <v>46541</v>
      </c>
      <c r="D35" s="50">
        <f>SUM(D4:D34)</f>
        <v>1784</v>
      </c>
      <c r="E35" s="63"/>
      <c r="F35" s="73">
        <f>AVERAGE(F4:F34)</f>
        <v>-0.70967741935483875</v>
      </c>
      <c r="G35" s="74">
        <f>AVERAGE(G4:G34)</f>
        <v>4.354838709677419</v>
      </c>
      <c r="H35" s="75">
        <f>AVERAGE(H4:H34)</f>
        <v>4.838709677419355</v>
      </c>
      <c r="I35" s="51"/>
      <c r="J35" s="52">
        <f>SUM(J4:J34)</f>
        <v>2539</v>
      </c>
      <c r="K35" s="52">
        <f>SUM(K4:K34)</f>
        <v>1351</v>
      </c>
      <c r="L35" s="53">
        <f>SUM(L4:L34)</f>
        <v>16</v>
      </c>
    </row>
    <row r="36" spans="1:15" ht="15.75" thickBot="1" x14ac:dyDescent="0.3">
      <c r="A36" s="17" t="s">
        <v>25</v>
      </c>
      <c r="B36" s="54">
        <f>AVERAGE(B4:B34)</f>
        <v>11218.193548387097</v>
      </c>
      <c r="C36" s="55">
        <f>AVERAGE(C4:C34)</f>
        <v>1501.3225806451612</v>
      </c>
      <c r="D36" s="56">
        <f>AVERAGE(D4:D34)</f>
        <v>57.548387096774192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136.96888538794801</v>
      </c>
      <c r="C38" s="55">
        <f>C35/J35</f>
        <v>18.330445057109099</v>
      </c>
      <c r="D38" s="56">
        <f>D35/J35</f>
        <v>0.70263883418668771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72901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82037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13</vt:i4>
      </vt:variant>
    </vt:vector>
  </HeadingPairs>
  <TitlesOfParts>
    <vt:vector size="13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Lubomir Varecha</cp:lastModifiedBy>
  <cp:revision/>
  <dcterms:created xsi:type="dcterms:W3CDTF">2017-05-03T09:23:30Z</dcterms:created>
  <dcterms:modified xsi:type="dcterms:W3CDTF">2022-01-03T08:02:41Z</dcterms:modified>
  <cp:category/>
  <cp:contentStatus/>
</cp:coreProperties>
</file>