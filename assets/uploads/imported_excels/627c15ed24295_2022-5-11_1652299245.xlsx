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<sst xmlns="http://schemas.openxmlformats.org/spreadsheetml/2006/main" count="315" uniqueCount="148">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</sst>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7.3259999999999996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 t="e">
        <f>Submetering!E12+Submetering!F12+Submetering!G12+Submetering!H12+Submetering!J12-Submetering!AV12</f>
        <v>#VALUE!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 t="e">
        <f>'FS Desroches Daily'!CM14</f>
        <v>#VALUE!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str">
        <f>'FS Desroches Daily'!T14</f>
        <v/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39299.999999999884</v>
      </c>
      <c r="F33" s="17">
        <f t="shared" ref="F33:BC33" si="0">SUM(F2:F32)</f>
        <v>36399.999999999549</v>
      </c>
      <c r="G33" s="17">
        <f t="shared" si="0"/>
        <v>36999.999999999927</v>
      </c>
      <c r="H33" s="17">
        <f t="shared" si="0"/>
        <v>18800.000000000153</v>
      </c>
      <c r="I33" s="17">
        <f t="shared" si="0"/>
        <v>28500.000000000189</v>
      </c>
      <c r="J33" s="17">
        <f t="shared" si="0"/>
        <v>23799.999999999818</v>
      </c>
      <c r="K33" s="17">
        <f t="shared" si="0"/>
        <v>374</v>
      </c>
      <c r="L33" s="17">
        <f t="shared" si="0"/>
        <v>63</v>
      </c>
      <c r="M33" s="17">
        <f t="shared" si="0"/>
        <v>15</v>
      </c>
      <c r="N33" s="17">
        <f t="shared" si="0"/>
        <v>5348.9000000000233</v>
      </c>
      <c r="O33" s="17">
        <f t="shared" si="0"/>
        <v>3969.9999999999704</v>
      </c>
      <c r="P33" s="17">
        <f t="shared" si="0"/>
        <v>32600.000000000404</v>
      </c>
      <c r="Q33" s="17">
        <f t="shared" si="0"/>
        <v>4699.9999999999891</v>
      </c>
      <c r="R33" s="17">
        <f t="shared" si="0"/>
        <v>6290.0000000000209</v>
      </c>
      <c r="S33" s="17">
        <f t="shared" si="0"/>
        <v>11809.999999999945</v>
      </c>
      <c r="T33" s="17">
        <f t="shared" si="0"/>
        <v>393</v>
      </c>
      <c r="U33" s="35">
        <f t="shared" si="0"/>
        <v>10289.999999999964</v>
      </c>
      <c r="V33" s="35">
        <f t="shared" si="0"/>
        <v>2960.0000000000364</v>
      </c>
      <c r="W33" s="35">
        <f t="shared" si="0"/>
        <v>3300.0000000000114</v>
      </c>
      <c r="X33" s="35">
        <f t="shared" si="0"/>
        <v>2879.999999999995</v>
      </c>
      <c r="Y33" s="35">
        <f t="shared" si="0"/>
        <v>2240.0000000000091</v>
      </c>
      <c r="Z33" s="35">
        <f t="shared" si="0"/>
        <v>2909.9999999999682</v>
      </c>
      <c r="AA33" s="35">
        <f t="shared" si="0"/>
        <v>2909.9999999999682</v>
      </c>
      <c r="AB33" s="35">
        <f t="shared" si="0"/>
        <v>2740.0000000000091</v>
      </c>
      <c r="AC33" s="35">
        <f t="shared" si="0"/>
        <v>1949.9999999999886</v>
      </c>
      <c r="AD33" s="35">
        <f t="shared" si="0"/>
        <v>2670.0000000000159</v>
      </c>
      <c r="AE33" s="35">
        <f t="shared" si="0"/>
        <v>1629.9999999999955</v>
      </c>
      <c r="AF33" s="17">
        <f t="shared" si="0"/>
        <v>358</v>
      </c>
      <c r="AG33" s="32">
        <f t="shared" si="0"/>
        <v>460.00000000000796</v>
      </c>
      <c r="AH33" s="32">
        <f t="shared" si="0"/>
        <v>379.99999999999545</v>
      </c>
      <c r="AI33" s="32">
        <f t="shared" si="0"/>
        <v>599.99999999999432</v>
      </c>
      <c r="AJ33" s="32">
        <f t="shared" si="0"/>
        <v>469.99999999999886</v>
      </c>
      <c r="AK33" s="32">
        <f t="shared" si="0"/>
        <v>669.99999999995907</v>
      </c>
      <c r="AL33" s="32">
        <f t="shared" si="0"/>
        <v>492</v>
      </c>
      <c r="AM33" s="32">
        <f t="shared" si="0"/>
        <v>599.99999999999432</v>
      </c>
      <c r="AN33" s="32">
        <f t="shared" si="0"/>
        <v>490</v>
      </c>
      <c r="AO33" s="32">
        <f t="shared" si="0"/>
        <v>509.99999999999091</v>
      </c>
      <c r="AP33" s="32">
        <f t="shared" si="0"/>
        <v>500</v>
      </c>
      <c r="AQ33" s="17">
        <f t="shared" si="0"/>
        <v>689</v>
      </c>
      <c r="AR33" s="17">
        <f t="shared" si="0"/>
        <v>127.29999999999927</v>
      </c>
      <c r="AS33" s="17">
        <f t="shared" si="0"/>
        <v>59.799999999999272</v>
      </c>
      <c r="AT33" s="17">
        <f t="shared" si="0"/>
        <v>550.80000000000291</v>
      </c>
      <c r="AU33" s="17">
        <f t="shared" si="0"/>
        <v>3150</v>
      </c>
      <c r="AV33" s="17">
        <f t="shared" si="0"/>
        <v>9590.0000000000327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58.607999999999997</v>
      </c>
      <c r="BC33" s="17">
        <f t="shared" si="0"/>
        <v>319</v>
      </c>
    </row>
    <row r="35" spans="5:55" x14ac:dyDescent="0.25">
      <c r="E35" s="38">
        <f>E33/E37</f>
        <v>0.26837296330187566</v>
      </c>
      <c r="G35" s="29">
        <f>G33-M36</f>
        <v>31636.099999999904</v>
      </c>
      <c r="AE35" s="35">
        <f>SUM(U33:AE33)</f>
        <v>36479.999999999956</v>
      </c>
      <c r="AG35" s="32">
        <f>SUM(AG33:AP33)</f>
        <v>5171.9999999999409</v>
      </c>
    </row>
    <row r="36" spans="5:55" x14ac:dyDescent="0.25">
      <c r="G36" s="29">
        <f>G35-633*14</f>
        <v>22774.099999999904</v>
      </c>
      <c r="M36" s="29">
        <f>M33+N33</f>
        <v>5363.9000000000233</v>
      </c>
    </row>
    <row r="37" spans="5:55" x14ac:dyDescent="0.25">
      <c r="E37" s="17">
        <f>E33+F33+G33+H33+J33-633*14</f>
        <v>146437.99999999933</v>
      </c>
      <c r="G37" s="37">
        <f>M36/E37</f>
        <v>3.6629153634985784E-2</v>
      </c>
      <c r="M37" s="35">
        <f>AE35</f>
        <v>36479.999999999956</v>
      </c>
    </row>
    <row r="38" spans="5:55" x14ac:dyDescent="0.25">
      <c r="L38" s="27">
        <f>M38/E37</f>
        <v>3.531870142995646E-2</v>
      </c>
      <c r="M38" s="29">
        <f>AG35</f>
        <v>5171.9999999999409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2" activePane="bottomLeft" state="frozen"/>
      <selection pane="bottomLeft" activeCell="A11" sqref="A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/>
      <c r="D14" s="64" t="str">
        <f t="shared" si="50"/>
        <v>0</v>
      </c>
      <c r="E14" s="58"/>
      <c r="F14" s="64" t="str">
        <f t="shared" si="51"/>
        <v>0</v>
      </c>
      <c r="G14" s="58"/>
      <c r="H14" s="64" t="str">
        <f t="shared" si="52"/>
        <v>0</v>
      </c>
      <c r="I14" s="58"/>
      <c r="J14" s="64" t="str">
        <f t="shared" si="53"/>
        <v>0</v>
      </c>
      <c r="K14" s="58"/>
      <c r="L14" s="64" t="str">
        <f t="shared" si="54"/>
        <v>0</v>
      </c>
      <c r="M14" s="58"/>
      <c r="N14" s="64" t="str">
        <f t="shared" si="55"/>
        <v/>
      </c>
      <c r="O14" s="58"/>
      <c r="P14" s="67" t="str">
        <f t="shared" si="56"/>
        <v/>
      </c>
      <c r="Q14" s="58"/>
      <c r="R14" s="67" t="str">
        <f t="shared" si="57"/>
        <v/>
      </c>
      <c r="S14" s="58"/>
      <c r="T14" s="67" t="str">
        <f t="shared" si="58"/>
        <v/>
      </c>
      <c r="U14" s="58"/>
      <c r="V14" s="67" t="str">
        <f t="shared" si="59"/>
        <v/>
      </c>
      <c r="W14" s="58"/>
      <c r="X14" s="65" t="str">
        <f t="shared" si="60"/>
        <v/>
      </c>
      <c r="Y14" s="58"/>
      <c r="Z14" s="65" t="str">
        <f t="shared" si="61"/>
        <v/>
      </c>
      <c r="AA14" s="58"/>
      <c r="AB14" s="65" t="str">
        <f t="shared" si="62"/>
        <v/>
      </c>
      <c r="AC14" s="58"/>
      <c r="AD14" s="65" t="str">
        <f t="shared" si="63"/>
        <v/>
      </c>
      <c r="AE14" s="58"/>
      <c r="AF14" s="65" t="str">
        <f t="shared" si="64"/>
        <v/>
      </c>
      <c r="AG14" s="58"/>
      <c r="AH14" s="67" t="str">
        <f t="shared" si="65"/>
        <v/>
      </c>
      <c r="AI14" s="58"/>
      <c r="AJ14" s="65" t="str">
        <f t="shared" si="66"/>
        <v/>
      </c>
      <c r="AK14" s="58"/>
      <c r="AL14" s="65" t="str">
        <f t="shared" si="67"/>
        <v/>
      </c>
      <c r="AM14" s="58"/>
      <c r="AN14" s="65" t="str">
        <f t="shared" si="68"/>
        <v/>
      </c>
      <c r="AO14" s="58"/>
      <c r="AP14" s="65" t="str">
        <f t="shared" si="69"/>
        <v/>
      </c>
      <c r="AQ14" s="58"/>
      <c r="AR14" s="65" t="str">
        <f t="shared" si="70"/>
        <v/>
      </c>
      <c r="AS14" s="58"/>
      <c r="AT14" s="65" t="str">
        <f t="shared" si="71"/>
        <v/>
      </c>
      <c r="AU14" s="58"/>
      <c r="AV14" s="65" t="str">
        <f t="shared" si="72"/>
        <v/>
      </c>
      <c r="AW14" s="58"/>
      <c r="AX14" s="65" t="str">
        <f t="shared" si="73"/>
        <v/>
      </c>
      <c r="AY14" s="58"/>
      <c r="AZ14" s="65" t="str">
        <f t="shared" si="74"/>
        <v/>
      </c>
      <c r="BA14" s="58"/>
      <c r="BB14" s="65" t="str">
        <f t="shared" si="75"/>
        <v/>
      </c>
      <c r="BC14" s="58"/>
      <c r="BD14" s="65" t="str">
        <f t="shared" si="76"/>
        <v/>
      </c>
      <c r="BE14" s="59"/>
      <c r="BF14" s="67" t="str">
        <f t="shared" si="77"/>
        <v/>
      </c>
      <c r="BG14" s="60"/>
      <c r="BH14" s="65" t="str">
        <f t="shared" si="78"/>
        <v/>
      </c>
      <c r="BI14" s="60"/>
      <c r="BJ14" s="65" t="str">
        <f t="shared" si="79"/>
        <v/>
      </c>
      <c r="BK14" s="60"/>
      <c r="BL14" s="65" t="str">
        <f t="shared" si="80"/>
        <v/>
      </c>
      <c r="BM14" s="60"/>
      <c r="BN14" s="65" t="str">
        <f t="shared" si="81"/>
        <v/>
      </c>
      <c r="BO14" s="60"/>
      <c r="BP14" s="65" t="str">
        <f t="shared" si="82"/>
        <v/>
      </c>
      <c r="BQ14" s="60"/>
      <c r="BR14" s="65" t="str">
        <f t="shared" si="83"/>
        <v/>
      </c>
      <c r="BS14" s="60"/>
      <c r="BT14" s="65" t="str">
        <f t="shared" si="84"/>
        <v/>
      </c>
      <c r="BU14" s="60"/>
      <c r="BV14" s="65" t="str">
        <f t="shared" si="85"/>
        <v/>
      </c>
      <c r="BW14" s="60"/>
      <c r="BX14" s="65" t="str">
        <f t="shared" si="86"/>
        <v/>
      </c>
      <c r="BY14" s="60"/>
      <c r="BZ14" s="67" t="str">
        <f t="shared" si="87"/>
        <v/>
      </c>
      <c r="CA14" s="60"/>
      <c r="CB14" s="67" t="str">
        <f t="shared" si="88"/>
        <v/>
      </c>
      <c r="CC14" s="60"/>
      <c r="CD14" s="67" t="str">
        <f t="shared" si="89"/>
        <v/>
      </c>
      <c r="CE14" s="60"/>
      <c r="CF14" s="67" t="str">
        <f t="shared" si="90"/>
        <v/>
      </c>
      <c r="CG14" s="60"/>
      <c r="CH14" s="67" t="str">
        <f t="shared" si="91"/>
        <v/>
      </c>
      <c r="CI14" s="60"/>
      <c r="CJ14" s="67" t="str">
        <f t="shared" si="92"/>
        <v/>
      </c>
      <c r="CK14" s="60"/>
      <c r="CL14" s="64" t="str">
        <f t="shared" si="93"/>
        <v/>
      </c>
      <c r="CM14" s="65" t="e">
        <f t="shared" si="94"/>
        <v>#VALUE!</v>
      </c>
      <c r="CN14" s="62"/>
      <c r="CO14" s="62"/>
      <c r="CP14" s="68"/>
      <c r="CQ14" s="67" t="str">
        <f t="shared" si="45"/>
        <v/>
      </c>
      <c r="CR14" s="68"/>
      <c r="CS14" s="67" t="str">
        <f t="shared" si="45"/>
        <v/>
      </c>
      <c r="CT14" s="75"/>
      <c r="CU14" s="67" t="str">
        <f t="shared" si="47"/>
        <v/>
      </c>
      <c r="CV14" s="68"/>
      <c r="CW14" s="67" t="str">
        <f t="shared" si="95"/>
        <v/>
      </c>
      <c r="CX14" s="58"/>
      <c r="CY14" s="67" t="str">
        <f t="shared" si="96"/>
        <v/>
      </c>
    </row>
    <row r="15" spans="1:103" ht="25.5" customHeight="1" thickBot="1" x14ac:dyDescent="0.45">
      <c r="A15" s="63">
        <v>44693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5"/>
        <v>0</v>
      </c>
      <c r="CT15" s="75"/>
      <c r="CU15" s="67">
        <f t="shared" si="47"/>
        <v>0</v>
      </c>
      <c r="CV15" s="68"/>
      <c r="CW15" s="67">
        <f t="shared" si="95"/>
        <v>0</v>
      </c>
      <c r="CX15" s="58"/>
      <c r="CY15" s="67">
        <f t="shared" si="96"/>
        <v>0</v>
      </c>
    </row>
    <row r="16" spans="1:103" ht="25.5" customHeight="1" thickBot="1" x14ac:dyDescent="0.45">
      <c r="A16" s="63">
        <v>44694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5"/>
        <v>0</v>
      </c>
      <c r="CT16" s="75"/>
      <c r="CU16" s="67">
        <f t="shared" si="47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44695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97">IF((CP17-CP16&lt;0), "",CP17-CP16)</f>
        <v>0</v>
      </c>
      <c r="CR17" s="68"/>
      <c r="CS17" s="67">
        <f t="shared" si="45"/>
        <v>0</v>
      </c>
      <c r="CT17" s="75"/>
      <c r="CU17" s="67">
        <f t="shared" si="47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44696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7"/>
        <v>0</v>
      </c>
      <c r="CR18" s="68"/>
      <c r="CS18" s="67">
        <f t="shared" si="45"/>
        <v>0</v>
      </c>
      <c r="CT18" s="75"/>
      <c r="CU18" s="67">
        <f t="shared" si="47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H21" sqref="H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-227</v>
      </c>
    </row>
    <row r="19" spans="1:20" x14ac:dyDescent="0.25">
      <c r="A19" s="73">
        <v>44693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44694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Umesh Lohar</cp:lastModifiedBy>
  <dcterms:created xsi:type="dcterms:W3CDTF">2019-08-14T08:16:24Z</dcterms:created>
  <dcterms:modified xsi:type="dcterms:W3CDTF">2022-05-11T13:19:23Z</dcterms:modified>
</cp:coreProperties>
</file>