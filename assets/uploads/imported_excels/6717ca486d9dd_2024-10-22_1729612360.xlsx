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73" documentId="8_{3FEC63E6-ABB0-4369-BA50-BCC3220F33F6}" xr6:coauthVersionLast="47" xr6:coauthVersionMax="47" xr10:uidLastSave="{289BECAA-F775-452A-BCC0-27F6F4949F0A}"/>
  <bookViews>
    <workbookView xWindow="-96" yWindow="-96" windowWidth="18192" windowHeight="11472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M3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K3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I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E32" i="2"/>
  <c r="B31" i="2"/>
  <c r="B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</calcChain>
</file>

<file path=xl/sharedStrings.xml><?xml version="1.0" encoding="utf-8"?>
<sst xmlns="http://schemas.openxmlformats.org/spreadsheetml/2006/main" count="47" uniqueCount="18">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</sst>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Q43"/>
  <sheetViews>
    <sheetView tabSelected="1" topLeftCell="D1" workbookViewId="0">
      <selection activeCell="N8" sqref="N8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2"/>
    <col min="4" max="4" width="13.46484375" style="2" customWidth="1"/>
    <col min="5" max="5" width="12.53125" style="8" customWidth="1"/>
    <col min="6" max="6" width="12.53125" style="10" customWidth="1"/>
    <col min="7" max="7" width="8.86328125" style="13"/>
    <col min="8" max="8" width="8.86328125" style="15"/>
    <col min="9" max="9" width="8.86328125" style="17"/>
    <col min="10" max="10" width="8.86328125" style="32"/>
    <col min="11" max="12" width="8.86328125" style="19"/>
    <col min="13" max="14" width="12.33203125" style="23" bestFit="1" customWidth="1"/>
    <col min="15" max="15" width="8.86328125" style="27"/>
    <col min="16" max="16" width="11.53125" style="27" customWidth="1"/>
    <col min="17" max="16384" width="8.86328125" style="2"/>
  </cols>
  <sheetData>
    <row r="1" spans="1:17" ht="71.650000000000006" thickBot="1" x14ac:dyDescent="0.5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11" t="s">
        <v>13</v>
      </c>
      <c r="H1" s="12" t="s">
        <v>14</v>
      </c>
      <c r="I1" s="28" t="s">
        <v>15</v>
      </c>
      <c r="J1" s="29" t="s">
        <v>16</v>
      </c>
      <c r="K1" s="16" t="s">
        <v>7</v>
      </c>
      <c r="L1" s="16" t="s">
        <v>8</v>
      </c>
      <c r="M1" s="20" t="s">
        <v>9</v>
      </c>
      <c r="N1" s="20" t="s">
        <v>10</v>
      </c>
      <c r="O1" s="24" t="s">
        <v>0</v>
      </c>
      <c r="P1" s="24" t="s">
        <v>11</v>
      </c>
      <c r="Q1" s="33" t="s">
        <v>17</v>
      </c>
    </row>
    <row r="2" spans="1:17" ht="14.65" thickTop="1" x14ac:dyDescent="0.45">
      <c r="A2" s="3" t="s">
        <v>12</v>
      </c>
      <c r="B2" s="2">
        <v>1</v>
      </c>
      <c r="C2" s="2">
        <v>10</v>
      </c>
      <c r="D2" s="1">
        <v>2024</v>
      </c>
      <c r="E2" s="8">
        <f>260094/31</f>
        <v>8390.1290322580644</v>
      </c>
      <c r="F2" s="9">
        <v>0.21</v>
      </c>
      <c r="G2" s="13">
        <f>7273/31</f>
        <v>234.61290322580646</v>
      </c>
      <c r="H2" s="14">
        <v>0.7</v>
      </c>
      <c r="I2" s="30">
        <f>15826/31</f>
        <v>510.51612903225805</v>
      </c>
      <c r="J2" s="31">
        <v>9.1700000000000004E-2</v>
      </c>
      <c r="K2" s="17">
        <f>2625/31</f>
        <v>84.677419354838705</v>
      </c>
      <c r="L2" s="18">
        <v>2.37</v>
      </c>
      <c r="M2" s="21">
        <f>3309/31</f>
        <v>106.74193548387096</v>
      </c>
      <c r="N2" s="22">
        <v>0.88</v>
      </c>
      <c r="O2" s="25">
        <f>4858/31</f>
        <v>156.70967741935485</v>
      </c>
      <c r="P2" s="25">
        <f>10051/31</f>
        <v>324.22580645161293</v>
      </c>
      <c r="Q2" s="2">
        <v>4.3</v>
      </c>
    </row>
    <row r="3" spans="1:17" ht="14.25" x14ac:dyDescent="0.45">
      <c r="A3" s="3" t="s">
        <v>12</v>
      </c>
      <c r="B3" s="2">
        <f>B2+1</f>
        <v>2</v>
      </c>
      <c r="C3" s="2">
        <v>10</v>
      </c>
      <c r="D3" s="1">
        <v>2024</v>
      </c>
      <c r="E3" s="8">
        <f t="shared" ref="E3:E32" si="0">260094/31</f>
        <v>8390.1290322580644</v>
      </c>
      <c r="F3" s="9">
        <v>0.21</v>
      </c>
      <c r="G3" s="13">
        <f t="shared" ref="G3:G32" si="1">7273/31</f>
        <v>234.61290322580646</v>
      </c>
      <c r="H3" s="14">
        <v>0.7</v>
      </c>
      <c r="I3" s="30">
        <f t="shared" ref="I3:I32" si="2">15826/31</f>
        <v>510.51612903225805</v>
      </c>
      <c r="J3" s="31">
        <v>9.1700000000000004E-2</v>
      </c>
      <c r="K3" s="17">
        <f t="shared" ref="K3:K32" si="3">2625/31</f>
        <v>84.677419354838705</v>
      </c>
      <c r="L3" s="18">
        <v>2.37</v>
      </c>
      <c r="M3" s="21">
        <f t="shared" ref="M3:M32" si="4">3309/31</f>
        <v>106.74193548387096</v>
      </c>
      <c r="N3" s="22">
        <v>0.88</v>
      </c>
      <c r="O3" s="25">
        <f t="shared" ref="O3:O31" si="5">4858/31</f>
        <v>156.70967741935485</v>
      </c>
      <c r="P3" s="25">
        <f t="shared" ref="P3:P31" si="6">10051/31</f>
        <v>324.22580645161293</v>
      </c>
      <c r="Q3" s="2">
        <v>3.5</v>
      </c>
    </row>
    <row r="4" spans="1:17" ht="14.25" x14ac:dyDescent="0.45">
      <c r="A4" s="3" t="s">
        <v>12</v>
      </c>
      <c r="B4" s="2">
        <f t="shared" ref="B4:B32" si="7">B3+1</f>
        <v>3</v>
      </c>
      <c r="C4" s="2">
        <v>10</v>
      </c>
      <c r="D4" s="1">
        <v>2024</v>
      </c>
      <c r="E4" s="8">
        <f t="shared" si="0"/>
        <v>8390.1290322580644</v>
      </c>
      <c r="F4" s="9">
        <v>0.21</v>
      </c>
      <c r="G4" s="13">
        <f t="shared" si="1"/>
        <v>234.61290322580646</v>
      </c>
      <c r="H4" s="14">
        <v>0.7</v>
      </c>
      <c r="I4" s="30">
        <f t="shared" si="2"/>
        <v>510.51612903225805</v>
      </c>
      <c r="J4" s="31">
        <v>9.1700000000000004E-2</v>
      </c>
      <c r="K4" s="17">
        <f t="shared" si="3"/>
        <v>84.677419354838705</v>
      </c>
      <c r="L4" s="18">
        <v>2.37</v>
      </c>
      <c r="M4" s="21">
        <f t="shared" si="4"/>
        <v>106.74193548387096</v>
      </c>
      <c r="N4" s="22">
        <v>0.88</v>
      </c>
      <c r="O4" s="25">
        <f t="shared" si="5"/>
        <v>156.70967741935485</v>
      </c>
      <c r="P4" s="25">
        <f t="shared" si="6"/>
        <v>324.22580645161293</v>
      </c>
      <c r="Q4" s="2">
        <v>2.7</v>
      </c>
    </row>
    <row r="5" spans="1:17" ht="14.25" x14ac:dyDescent="0.45">
      <c r="A5" s="3" t="s">
        <v>12</v>
      </c>
      <c r="B5" s="2">
        <f t="shared" si="7"/>
        <v>4</v>
      </c>
      <c r="C5" s="2">
        <v>10</v>
      </c>
      <c r="D5" s="1">
        <v>2024</v>
      </c>
      <c r="E5" s="8">
        <f t="shared" si="0"/>
        <v>8390.1290322580644</v>
      </c>
      <c r="F5" s="9">
        <v>0.21</v>
      </c>
      <c r="G5" s="13">
        <f t="shared" si="1"/>
        <v>234.61290322580646</v>
      </c>
      <c r="H5" s="14">
        <v>0.7</v>
      </c>
      <c r="I5" s="30">
        <f t="shared" si="2"/>
        <v>510.51612903225805</v>
      </c>
      <c r="J5" s="31">
        <v>9.1700000000000004E-2</v>
      </c>
      <c r="K5" s="17">
        <f t="shared" si="3"/>
        <v>84.677419354838705</v>
      </c>
      <c r="L5" s="18">
        <v>2.37</v>
      </c>
      <c r="M5" s="21">
        <f t="shared" si="4"/>
        <v>106.74193548387096</v>
      </c>
      <c r="N5" s="22">
        <v>0.88</v>
      </c>
      <c r="O5" s="25">
        <f t="shared" si="5"/>
        <v>156.70967741935485</v>
      </c>
      <c r="P5" s="25">
        <f t="shared" si="6"/>
        <v>324.22580645161293</v>
      </c>
      <c r="Q5" s="2">
        <v>4</v>
      </c>
    </row>
    <row r="6" spans="1:17" ht="14.25" x14ac:dyDescent="0.45">
      <c r="A6" s="3" t="s">
        <v>12</v>
      </c>
      <c r="B6" s="2">
        <f t="shared" si="7"/>
        <v>5</v>
      </c>
      <c r="C6" s="2">
        <v>10</v>
      </c>
      <c r="D6" s="1">
        <v>2024</v>
      </c>
      <c r="E6" s="8">
        <f t="shared" si="0"/>
        <v>8390.1290322580644</v>
      </c>
      <c r="F6" s="9">
        <v>0.21</v>
      </c>
      <c r="G6" s="13">
        <f t="shared" si="1"/>
        <v>234.61290322580646</v>
      </c>
      <c r="H6" s="14">
        <v>0.7</v>
      </c>
      <c r="I6" s="30">
        <f t="shared" si="2"/>
        <v>510.51612903225805</v>
      </c>
      <c r="J6" s="31">
        <v>9.1700000000000004E-2</v>
      </c>
      <c r="K6" s="17">
        <f t="shared" si="3"/>
        <v>84.677419354838705</v>
      </c>
      <c r="L6" s="18">
        <v>2.37</v>
      </c>
      <c r="M6" s="21">
        <f t="shared" si="4"/>
        <v>106.74193548387096</v>
      </c>
      <c r="N6" s="22">
        <v>0.88</v>
      </c>
      <c r="O6" s="25">
        <f t="shared" si="5"/>
        <v>156.70967741935485</v>
      </c>
      <c r="P6" s="25">
        <f t="shared" si="6"/>
        <v>324.22580645161293</v>
      </c>
      <c r="Q6" s="2">
        <v>4.2</v>
      </c>
    </row>
    <row r="7" spans="1:17" ht="14.25" x14ac:dyDescent="0.45">
      <c r="A7" s="3" t="s">
        <v>12</v>
      </c>
      <c r="B7" s="2">
        <f t="shared" si="7"/>
        <v>6</v>
      </c>
      <c r="C7" s="2">
        <v>10</v>
      </c>
      <c r="D7" s="1">
        <v>2024</v>
      </c>
      <c r="E7" s="8">
        <f t="shared" si="0"/>
        <v>8390.1290322580644</v>
      </c>
      <c r="F7" s="9">
        <v>0.21</v>
      </c>
      <c r="G7" s="13">
        <f t="shared" si="1"/>
        <v>234.61290322580646</v>
      </c>
      <c r="H7" s="14">
        <v>0.7</v>
      </c>
      <c r="I7" s="30">
        <f t="shared" si="2"/>
        <v>510.51612903225805</v>
      </c>
      <c r="J7" s="31">
        <v>9.1700000000000004E-2</v>
      </c>
      <c r="K7" s="17">
        <f t="shared" si="3"/>
        <v>84.677419354838705</v>
      </c>
      <c r="L7" s="18">
        <v>2.37</v>
      </c>
      <c r="M7" s="21">
        <f t="shared" si="4"/>
        <v>106.74193548387096</v>
      </c>
      <c r="N7" s="22">
        <v>0.88</v>
      </c>
      <c r="O7" s="25">
        <f t="shared" si="5"/>
        <v>156.70967741935485</v>
      </c>
      <c r="P7" s="25">
        <f t="shared" si="6"/>
        <v>324.22580645161293</v>
      </c>
      <c r="Q7" s="2">
        <v>3.6</v>
      </c>
    </row>
    <row r="8" spans="1:17" ht="14.25" x14ac:dyDescent="0.45">
      <c r="A8" s="3" t="s">
        <v>12</v>
      </c>
      <c r="B8" s="2">
        <f t="shared" si="7"/>
        <v>7</v>
      </c>
      <c r="C8" s="2">
        <v>10</v>
      </c>
      <c r="D8" s="1">
        <v>2024</v>
      </c>
      <c r="E8" s="8">
        <f t="shared" si="0"/>
        <v>8390.1290322580644</v>
      </c>
      <c r="F8" s="9">
        <v>0.21</v>
      </c>
      <c r="G8" s="13">
        <f t="shared" si="1"/>
        <v>234.61290322580646</v>
      </c>
      <c r="H8" s="14">
        <v>0.7</v>
      </c>
      <c r="I8" s="30">
        <f t="shared" si="2"/>
        <v>510.51612903225805</v>
      </c>
      <c r="J8" s="31">
        <v>9.1700000000000004E-2</v>
      </c>
      <c r="K8" s="17">
        <f t="shared" si="3"/>
        <v>84.677419354838705</v>
      </c>
      <c r="L8" s="18">
        <v>2.37</v>
      </c>
      <c r="M8" s="21">
        <f t="shared" si="4"/>
        <v>106.74193548387096</v>
      </c>
      <c r="N8" s="22">
        <v>0.88</v>
      </c>
      <c r="O8" s="25">
        <f t="shared" si="5"/>
        <v>156.70967741935485</v>
      </c>
      <c r="P8" s="25">
        <f t="shared" si="6"/>
        <v>324.22580645161293</v>
      </c>
      <c r="Q8" s="2">
        <v>3.8</v>
      </c>
    </row>
    <row r="9" spans="1:17" ht="14.25" x14ac:dyDescent="0.45">
      <c r="A9" s="3" t="s">
        <v>12</v>
      </c>
      <c r="B9" s="2">
        <f t="shared" si="7"/>
        <v>8</v>
      </c>
      <c r="C9" s="2">
        <v>10</v>
      </c>
      <c r="D9" s="1">
        <v>2024</v>
      </c>
      <c r="E9" s="8">
        <f t="shared" si="0"/>
        <v>8390.1290322580644</v>
      </c>
      <c r="F9" s="9">
        <v>0.21</v>
      </c>
      <c r="G9" s="13">
        <f t="shared" si="1"/>
        <v>234.61290322580646</v>
      </c>
      <c r="H9" s="14">
        <v>0.7</v>
      </c>
      <c r="I9" s="30">
        <f t="shared" si="2"/>
        <v>510.51612903225805</v>
      </c>
      <c r="J9" s="31">
        <v>9.1700000000000004E-2</v>
      </c>
      <c r="K9" s="17">
        <f t="shared" si="3"/>
        <v>84.677419354838705</v>
      </c>
      <c r="L9" s="18">
        <v>2.37</v>
      </c>
      <c r="M9" s="21">
        <f t="shared" si="4"/>
        <v>106.74193548387096</v>
      </c>
      <c r="N9" s="22">
        <v>0.88</v>
      </c>
      <c r="O9" s="25">
        <f t="shared" si="5"/>
        <v>156.70967741935485</v>
      </c>
      <c r="P9" s="25">
        <f t="shared" si="6"/>
        <v>324.22580645161293</v>
      </c>
      <c r="Q9" s="2">
        <v>3.3</v>
      </c>
    </row>
    <row r="10" spans="1:17" ht="14.25" x14ac:dyDescent="0.45">
      <c r="A10" s="3" t="s">
        <v>12</v>
      </c>
      <c r="B10" s="2">
        <f t="shared" si="7"/>
        <v>9</v>
      </c>
      <c r="C10" s="2">
        <v>10</v>
      </c>
      <c r="D10" s="1">
        <v>2024</v>
      </c>
      <c r="E10" s="8">
        <f t="shared" si="0"/>
        <v>8390.1290322580644</v>
      </c>
      <c r="F10" s="9">
        <v>0.21</v>
      </c>
      <c r="G10" s="13">
        <f t="shared" si="1"/>
        <v>234.61290322580646</v>
      </c>
      <c r="H10" s="14">
        <v>0.7</v>
      </c>
      <c r="I10" s="30">
        <f t="shared" si="2"/>
        <v>510.51612903225805</v>
      </c>
      <c r="J10" s="31">
        <v>9.1700000000000004E-2</v>
      </c>
      <c r="K10" s="17">
        <f t="shared" si="3"/>
        <v>84.677419354838705</v>
      </c>
      <c r="L10" s="18">
        <v>2.37</v>
      </c>
      <c r="M10" s="21">
        <f t="shared" si="4"/>
        <v>106.74193548387096</v>
      </c>
      <c r="N10" s="22">
        <v>0.88</v>
      </c>
      <c r="O10" s="25">
        <f t="shared" si="5"/>
        <v>156.70967741935485</v>
      </c>
      <c r="P10" s="25">
        <f t="shared" si="6"/>
        <v>324.22580645161293</v>
      </c>
      <c r="Q10" s="2">
        <v>3.8</v>
      </c>
    </row>
    <row r="11" spans="1:17" ht="14.25" x14ac:dyDescent="0.45">
      <c r="A11" s="3" t="s">
        <v>12</v>
      </c>
      <c r="B11" s="2">
        <f t="shared" si="7"/>
        <v>10</v>
      </c>
      <c r="C11" s="2">
        <v>10</v>
      </c>
      <c r="D11" s="1">
        <v>2024</v>
      </c>
      <c r="E11" s="8">
        <f t="shared" si="0"/>
        <v>8390.1290322580644</v>
      </c>
      <c r="F11" s="9">
        <v>0.21</v>
      </c>
      <c r="G11" s="13">
        <f t="shared" si="1"/>
        <v>234.61290322580646</v>
      </c>
      <c r="H11" s="14">
        <v>0.7</v>
      </c>
      <c r="I11" s="30">
        <f t="shared" si="2"/>
        <v>510.51612903225805</v>
      </c>
      <c r="J11" s="31">
        <v>9.1700000000000004E-2</v>
      </c>
      <c r="K11" s="17">
        <f t="shared" si="3"/>
        <v>84.677419354838705</v>
      </c>
      <c r="L11" s="18">
        <v>2.37</v>
      </c>
      <c r="M11" s="21">
        <f t="shared" si="4"/>
        <v>106.74193548387096</v>
      </c>
      <c r="N11" s="22">
        <v>0.88</v>
      </c>
      <c r="O11" s="25">
        <f t="shared" si="5"/>
        <v>156.70967741935485</v>
      </c>
      <c r="P11" s="25">
        <f t="shared" si="6"/>
        <v>324.22580645161293</v>
      </c>
      <c r="Q11" s="2">
        <v>3.6</v>
      </c>
    </row>
    <row r="12" spans="1:17" ht="14.25" x14ac:dyDescent="0.45">
      <c r="A12" s="3" t="s">
        <v>12</v>
      </c>
      <c r="B12" s="2">
        <f t="shared" si="7"/>
        <v>11</v>
      </c>
      <c r="C12" s="2">
        <v>10</v>
      </c>
      <c r="D12" s="1">
        <v>2024</v>
      </c>
      <c r="E12" s="8">
        <f t="shared" si="0"/>
        <v>8390.1290322580644</v>
      </c>
      <c r="F12" s="9">
        <v>0.21</v>
      </c>
      <c r="G12" s="13">
        <f t="shared" si="1"/>
        <v>234.61290322580646</v>
      </c>
      <c r="H12" s="14">
        <v>0.7</v>
      </c>
      <c r="I12" s="30">
        <f t="shared" si="2"/>
        <v>510.51612903225805</v>
      </c>
      <c r="J12" s="31">
        <v>9.1700000000000004E-2</v>
      </c>
      <c r="K12" s="17">
        <f t="shared" si="3"/>
        <v>84.677419354838705</v>
      </c>
      <c r="L12" s="18">
        <v>2.37</v>
      </c>
      <c r="M12" s="21">
        <f t="shared" si="4"/>
        <v>106.74193548387096</v>
      </c>
      <c r="N12" s="22">
        <v>0.88</v>
      </c>
      <c r="O12" s="25">
        <f t="shared" si="5"/>
        <v>156.70967741935485</v>
      </c>
      <c r="P12" s="25">
        <f t="shared" si="6"/>
        <v>324.22580645161293</v>
      </c>
      <c r="Q12" s="2">
        <v>3.6</v>
      </c>
    </row>
    <row r="13" spans="1:17" ht="14.25" x14ac:dyDescent="0.45">
      <c r="A13" s="3" t="s">
        <v>12</v>
      </c>
      <c r="B13" s="2">
        <f t="shared" si="7"/>
        <v>12</v>
      </c>
      <c r="C13" s="2">
        <v>10</v>
      </c>
      <c r="D13" s="1">
        <v>2024</v>
      </c>
      <c r="E13" s="8">
        <f t="shared" si="0"/>
        <v>8390.1290322580644</v>
      </c>
      <c r="F13" s="9">
        <v>0.21</v>
      </c>
      <c r="G13" s="13">
        <f t="shared" si="1"/>
        <v>234.61290322580646</v>
      </c>
      <c r="H13" s="14">
        <v>0.7</v>
      </c>
      <c r="I13" s="30">
        <f t="shared" si="2"/>
        <v>510.51612903225805</v>
      </c>
      <c r="J13" s="31">
        <v>9.1700000000000004E-2</v>
      </c>
      <c r="K13" s="17">
        <f t="shared" si="3"/>
        <v>84.677419354838705</v>
      </c>
      <c r="L13" s="18">
        <v>2.37</v>
      </c>
      <c r="M13" s="21">
        <f t="shared" si="4"/>
        <v>106.74193548387096</v>
      </c>
      <c r="N13" s="22">
        <v>0.88</v>
      </c>
      <c r="O13" s="25">
        <f t="shared" si="5"/>
        <v>156.70967741935485</v>
      </c>
      <c r="P13" s="25">
        <f t="shared" si="6"/>
        <v>324.22580645161293</v>
      </c>
      <c r="Q13" s="2">
        <v>3.9</v>
      </c>
    </row>
    <row r="14" spans="1:17" ht="14.25" x14ac:dyDescent="0.45">
      <c r="A14" s="3" t="s">
        <v>12</v>
      </c>
      <c r="B14" s="2">
        <f t="shared" si="7"/>
        <v>13</v>
      </c>
      <c r="C14" s="2">
        <v>10</v>
      </c>
      <c r="D14" s="1">
        <v>2024</v>
      </c>
      <c r="E14" s="8">
        <f t="shared" si="0"/>
        <v>8390.1290322580644</v>
      </c>
      <c r="F14" s="9">
        <v>0.21</v>
      </c>
      <c r="G14" s="13">
        <f t="shared" si="1"/>
        <v>234.61290322580646</v>
      </c>
      <c r="H14" s="14">
        <v>0.7</v>
      </c>
      <c r="I14" s="30">
        <f t="shared" si="2"/>
        <v>510.51612903225805</v>
      </c>
      <c r="J14" s="31">
        <v>9.1700000000000004E-2</v>
      </c>
      <c r="K14" s="17">
        <f t="shared" si="3"/>
        <v>84.677419354838705</v>
      </c>
      <c r="L14" s="18">
        <v>2.37</v>
      </c>
      <c r="M14" s="21">
        <f t="shared" si="4"/>
        <v>106.74193548387096</v>
      </c>
      <c r="N14" s="22">
        <v>0.88</v>
      </c>
      <c r="O14" s="25">
        <f t="shared" si="5"/>
        <v>156.70967741935485</v>
      </c>
      <c r="P14" s="25">
        <f t="shared" si="6"/>
        <v>324.22580645161293</v>
      </c>
      <c r="Q14" s="2">
        <v>3.5</v>
      </c>
    </row>
    <row r="15" spans="1:17" ht="14.25" x14ac:dyDescent="0.45">
      <c r="A15" s="3" t="s">
        <v>12</v>
      </c>
      <c r="B15" s="2">
        <f t="shared" si="7"/>
        <v>14</v>
      </c>
      <c r="C15" s="2">
        <v>10</v>
      </c>
      <c r="D15" s="1">
        <v>2024</v>
      </c>
      <c r="E15" s="8">
        <f t="shared" si="0"/>
        <v>8390.1290322580644</v>
      </c>
      <c r="F15" s="9">
        <v>0.21</v>
      </c>
      <c r="G15" s="13">
        <f t="shared" si="1"/>
        <v>234.61290322580646</v>
      </c>
      <c r="H15" s="14">
        <v>0.7</v>
      </c>
      <c r="I15" s="30">
        <f t="shared" si="2"/>
        <v>510.51612903225805</v>
      </c>
      <c r="J15" s="31">
        <v>9.1700000000000004E-2</v>
      </c>
      <c r="K15" s="17">
        <f t="shared" si="3"/>
        <v>84.677419354838705</v>
      </c>
      <c r="L15" s="18">
        <v>2.37</v>
      </c>
      <c r="M15" s="21">
        <f t="shared" si="4"/>
        <v>106.74193548387096</v>
      </c>
      <c r="N15" s="22">
        <v>0.88</v>
      </c>
      <c r="O15" s="25">
        <f t="shared" si="5"/>
        <v>156.70967741935485</v>
      </c>
      <c r="P15" s="25">
        <f t="shared" si="6"/>
        <v>324.22580645161293</v>
      </c>
      <c r="Q15" s="2">
        <v>3</v>
      </c>
    </row>
    <row r="16" spans="1:17" ht="14.25" x14ac:dyDescent="0.45">
      <c r="A16" s="3" t="s">
        <v>12</v>
      </c>
      <c r="B16" s="2">
        <f t="shared" si="7"/>
        <v>15</v>
      </c>
      <c r="C16" s="2">
        <v>10</v>
      </c>
      <c r="D16" s="1">
        <v>2024</v>
      </c>
      <c r="E16" s="8">
        <f t="shared" si="0"/>
        <v>8390.1290322580644</v>
      </c>
      <c r="F16" s="9">
        <v>0.21</v>
      </c>
      <c r="G16" s="13">
        <f t="shared" si="1"/>
        <v>234.61290322580646</v>
      </c>
      <c r="H16" s="14">
        <v>0.7</v>
      </c>
      <c r="I16" s="30">
        <f t="shared" si="2"/>
        <v>510.51612903225805</v>
      </c>
      <c r="J16" s="31">
        <v>9.1700000000000004E-2</v>
      </c>
      <c r="K16" s="17">
        <f t="shared" si="3"/>
        <v>84.677419354838705</v>
      </c>
      <c r="L16" s="18">
        <v>2.37</v>
      </c>
      <c r="M16" s="21">
        <f t="shared" si="4"/>
        <v>106.74193548387096</v>
      </c>
      <c r="N16" s="22">
        <v>0.88</v>
      </c>
      <c r="O16" s="25">
        <f t="shared" si="5"/>
        <v>156.70967741935485</v>
      </c>
      <c r="P16" s="25">
        <f t="shared" si="6"/>
        <v>324.22580645161293</v>
      </c>
      <c r="Q16" s="2">
        <v>2.2000000000000002</v>
      </c>
    </row>
    <row r="17" spans="1:17" ht="14.25" x14ac:dyDescent="0.45">
      <c r="A17" s="3" t="s">
        <v>12</v>
      </c>
      <c r="B17" s="2">
        <f t="shared" si="7"/>
        <v>16</v>
      </c>
      <c r="C17" s="2">
        <v>10</v>
      </c>
      <c r="D17" s="1">
        <v>2024</v>
      </c>
      <c r="E17" s="8">
        <f t="shared" si="0"/>
        <v>8390.1290322580644</v>
      </c>
      <c r="F17" s="9">
        <v>0.21</v>
      </c>
      <c r="G17" s="13">
        <f t="shared" si="1"/>
        <v>234.61290322580646</v>
      </c>
      <c r="H17" s="14">
        <v>0.7</v>
      </c>
      <c r="I17" s="30">
        <f t="shared" si="2"/>
        <v>510.51612903225805</v>
      </c>
      <c r="J17" s="31">
        <v>9.1700000000000004E-2</v>
      </c>
      <c r="K17" s="17">
        <f t="shared" si="3"/>
        <v>84.677419354838705</v>
      </c>
      <c r="L17" s="18">
        <v>2.37</v>
      </c>
      <c r="M17" s="21">
        <f t="shared" si="4"/>
        <v>106.74193548387096</v>
      </c>
      <c r="N17" s="22">
        <v>0.88</v>
      </c>
      <c r="O17" s="25">
        <f t="shared" si="5"/>
        <v>156.70967741935485</v>
      </c>
      <c r="P17" s="25">
        <f t="shared" si="6"/>
        <v>324.22580645161293</v>
      </c>
      <c r="Q17" s="2">
        <v>2.8</v>
      </c>
    </row>
    <row r="18" spans="1:17" ht="14.25" x14ac:dyDescent="0.45">
      <c r="A18" s="3" t="s">
        <v>12</v>
      </c>
      <c r="B18" s="2">
        <f t="shared" si="7"/>
        <v>17</v>
      </c>
      <c r="C18" s="2">
        <v>10</v>
      </c>
      <c r="D18" s="1">
        <v>2024</v>
      </c>
      <c r="E18" s="8">
        <f t="shared" si="0"/>
        <v>8390.1290322580644</v>
      </c>
      <c r="F18" s="9">
        <v>0.21</v>
      </c>
      <c r="G18" s="13">
        <f t="shared" si="1"/>
        <v>234.61290322580646</v>
      </c>
      <c r="H18" s="14">
        <v>0.7</v>
      </c>
      <c r="I18" s="30">
        <f t="shared" si="2"/>
        <v>510.51612903225805</v>
      </c>
      <c r="J18" s="31">
        <v>9.1700000000000004E-2</v>
      </c>
      <c r="K18" s="17">
        <f t="shared" si="3"/>
        <v>84.677419354838705</v>
      </c>
      <c r="L18" s="18">
        <v>2.37</v>
      </c>
      <c r="M18" s="21">
        <f t="shared" si="4"/>
        <v>106.74193548387096</v>
      </c>
      <c r="N18" s="22">
        <v>0.88</v>
      </c>
      <c r="O18" s="25">
        <f t="shared" si="5"/>
        <v>156.70967741935485</v>
      </c>
      <c r="P18" s="25">
        <f t="shared" si="6"/>
        <v>324.22580645161293</v>
      </c>
      <c r="Q18" s="2">
        <v>2.5</v>
      </c>
    </row>
    <row r="19" spans="1:17" ht="14.25" x14ac:dyDescent="0.45">
      <c r="A19" s="3" t="s">
        <v>12</v>
      </c>
      <c r="B19" s="2">
        <f t="shared" si="7"/>
        <v>18</v>
      </c>
      <c r="C19" s="2">
        <v>10</v>
      </c>
      <c r="D19" s="1">
        <v>2024</v>
      </c>
      <c r="E19" s="8">
        <f t="shared" si="0"/>
        <v>8390.1290322580644</v>
      </c>
      <c r="F19" s="9">
        <v>0.21</v>
      </c>
      <c r="G19" s="13">
        <f t="shared" si="1"/>
        <v>234.61290322580646</v>
      </c>
      <c r="H19" s="14">
        <v>0.7</v>
      </c>
      <c r="I19" s="30">
        <f t="shared" si="2"/>
        <v>510.51612903225805</v>
      </c>
      <c r="J19" s="31">
        <v>9.1700000000000004E-2</v>
      </c>
      <c r="K19" s="17">
        <f t="shared" si="3"/>
        <v>84.677419354838705</v>
      </c>
      <c r="L19" s="18">
        <v>2.37</v>
      </c>
      <c r="M19" s="21">
        <f t="shared" si="4"/>
        <v>106.74193548387096</v>
      </c>
      <c r="N19" s="22">
        <v>0.88</v>
      </c>
      <c r="O19" s="25">
        <f t="shared" si="5"/>
        <v>156.70967741935485</v>
      </c>
      <c r="P19" s="25">
        <f t="shared" si="6"/>
        <v>324.22580645161293</v>
      </c>
      <c r="Q19" s="2">
        <v>2.6</v>
      </c>
    </row>
    <row r="20" spans="1:17" ht="14.25" x14ac:dyDescent="0.45">
      <c r="A20" s="3" t="s">
        <v>12</v>
      </c>
      <c r="B20" s="2">
        <f t="shared" si="7"/>
        <v>19</v>
      </c>
      <c r="C20" s="2">
        <v>10</v>
      </c>
      <c r="D20" s="1">
        <v>2024</v>
      </c>
      <c r="E20" s="8">
        <f t="shared" si="0"/>
        <v>8390.1290322580644</v>
      </c>
      <c r="F20" s="9">
        <v>0.21</v>
      </c>
      <c r="G20" s="13">
        <f t="shared" si="1"/>
        <v>234.61290322580646</v>
      </c>
      <c r="H20" s="14">
        <v>0.7</v>
      </c>
      <c r="I20" s="30">
        <f t="shared" si="2"/>
        <v>510.51612903225805</v>
      </c>
      <c r="J20" s="31">
        <v>9.1700000000000004E-2</v>
      </c>
      <c r="K20" s="17">
        <f t="shared" si="3"/>
        <v>84.677419354838705</v>
      </c>
      <c r="L20" s="18">
        <v>2.37</v>
      </c>
      <c r="M20" s="21">
        <f t="shared" si="4"/>
        <v>106.74193548387096</v>
      </c>
      <c r="N20" s="22">
        <v>0.88</v>
      </c>
      <c r="O20" s="25">
        <f t="shared" si="5"/>
        <v>156.70967741935485</v>
      </c>
      <c r="P20" s="25">
        <f t="shared" si="6"/>
        <v>324.22580645161293</v>
      </c>
      <c r="Q20" s="2">
        <v>3.3</v>
      </c>
    </row>
    <row r="21" spans="1:17" ht="14.25" x14ac:dyDescent="0.45">
      <c r="A21" s="3" t="s">
        <v>12</v>
      </c>
      <c r="B21" s="2">
        <f t="shared" si="7"/>
        <v>20</v>
      </c>
      <c r="C21" s="2">
        <v>10</v>
      </c>
      <c r="D21" s="1">
        <v>2024</v>
      </c>
      <c r="E21" s="8">
        <f t="shared" si="0"/>
        <v>8390.1290322580644</v>
      </c>
      <c r="F21" s="9">
        <v>0.21</v>
      </c>
      <c r="G21" s="13">
        <f t="shared" si="1"/>
        <v>234.61290322580646</v>
      </c>
      <c r="H21" s="14">
        <v>0.7</v>
      </c>
      <c r="I21" s="30">
        <f t="shared" si="2"/>
        <v>510.51612903225805</v>
      </c>
      <c r="J21" s="31">
        <v>9.1700000000000004E-2</v>
      </c>
      <c r="K21" s="17">
        <f t="shared" si="3"/>
        <v>84.677419354838705</v>
      </c>
      <c r="L21" s="18">
        <v>2.37</v>
      </c>
      <c r="M21" s="21">
        <f t="shared" si="4"/>
        <v>106.74193548387096</v>
      </c>
      <c r="N21" s="22">
        <v>0.88</v>
      </c>
      <c r="O21" s="25">
        <f t="shared" si="5"/>
        <v>156.70967741935485</v>
      </c>
      <c r="P21" s="25">
        <f t="shared" si="6"/>
        <v>324.22580645161293</v>
      </c>
      <c r="Q21" s="2">
        <v>2.2000000000000002</v>
      </c>
    </row>
    <row r="22" spans="1:17" ht="14.25" x14ac:dyDescent="0.45">
      <c r="A22" s="3" t="s">
        <v>12</v>
      </c>
      <c r="B22" s="2">
        <f t="shared" si="7"/>
        <v>21</v>
      </c>
      <c r="C22" s="2">
        <v>10</v>
      </c>
      <c r="D22" s="1">
        <v>2024</v>
      </c>
      <c r="E22" s="8">
        <f t="shared" si="0"/>
        <v>8390.1290322580644</v>
      </c>
      <c r="F22" s="9">
        <v>0.21</v>
      </c>
      <c r="G22" s="13">
        <f t="shared" si="1"/>
        <v>234.61290322580646</v>
      </c>
      <c r="H22" s="14">
        <v>0.7</v>
      </c>
      <c r="I22" s="30">
        <f t="shared" si="2"/>
        <v>510.51612903225805</v>
      </c>
      <c r="J22" s="31">
        <v>9.1700000000000004E-2</v>
      </c>
      <c r="K22" s="17">
        <f t="shared" si="3"/>
        <v>84.677419354838705</v>
      </c>
      <c r="L22" s="18">
        <v>2.37</v>
      </c>
      <c r="M22" s="21">
        <f t="shared" si="4"/>
        <v>106.74193548387096</v>
      </c>
      <c r="N22" s="22">
        <v>0.88</v>
      </c>
      <c r="O22" s="25">
        <f t="shared" si="5"/>
        <v>156.70967741935485</v>
      </c>
      <c r="P22" s="25">
        <f t="shared" si="6"/>
        <v>324.22580645161293</v>
      </c>
      <c r="Q22" s="2">
        <v>2.8</v>
      </c>
    </row>
    <row r="23" spans="1:17" ht="14.25" x14ac:dyDescent="0.45">
      <c r="A23" s="3" t="s">
        <v>12</v>
      </c>
      <c r="B23" s="2">
        <f t="shared" si="7"/>
        <v>22</v>
      </c>
      <c r="C23" s="2">
        <v>10</v>
      </c>
      <c r="D23" s="1">
        <v>2024</v>
      </c>
      <c r="E23" s="8">
        <f t="shared" si="0"/>
        <v>8390.1290322580644</v>
      </c>
      <c r="F23" s="9">
        <v>0.21</v>
      </c>
      <c r="G23" s="13">
        <f t="shared" si="1"/>
        <v>234.61290322580646</v>
      </c>
      <c r="H23" s="14">
        <v>0.7</v>
      </c>
      <c r="I23" s="30">
        <f t="shared" si="2"/>
        <v>510.51612903225805</v>
      </c>
      <c r="J23" s="31">
        <v>9.1700000000000004E-2</v>
      </c>
      <c r="K23" s="17">
        <f t="shared" si="3"/>
        <v>84.677419354838705</v>
      </c>
      <c r="L23" s="18">
        <v>2.37</v>
      </c>
      <c r="M23" s="21">
        <f t="shared" si="4"/>
        <v>106.74193548387096</v>
      </c>
      <c r="N23" s="22">
        <v>0.88</v>
      </c>
      <c r="O23" s="25">
        <f t="shared" si="5"/>
        <v>156.70967741935485</v>
      </c>
      <c r="P23" s="25">
        <f t="shared" si="6"/>
        <v>324.22580645161293</v>
      </c>
      <c r="Q23" s="2">
        <v>3.5</v>
      </c>
    </row>
    <row r="24" spans="1:17" ht="14.25" x14ac:dyDescent="0.45">
      <c r="A24" s="3" t="s">
        <v>12</v>
      </c>
      <c r="B24" s="2">
        <f t="shared" si="7"/>
        <v>23</v>
      </c>
      <c r="C24" s="2">
        <v>10</v>
      </c>
      <c r="D24" s="1">
        <v>2024</v>
      </c>
      <c r="E24" s="8">
        <f t="shared" si="0"/>
        <v>8390.1290322580644</v>
      </c>
      <c r="F24" s="9">
        <v>0.21</v>
      </c>
      <c r="G24" s="13">
        <f t="shared" si="1"/>
        <v>234.61290322580646</v>
      </c>
      <c r="H24" s="14">
        <v>0.7</v>
      </c>
      <c r="I24" s="30">
        <f t="shared" si="2"/>
        <v>510.51612903225805</v>
      </c>
      <c r="J24" s="31">
        <v>9.1700000000000004E-2</v>
      </c>
      <c r="K24" s="17">
        <f t="shared" si="3"/>
        <v>84.677419354838705</v>
      </c>
      <c r="L24" s="18">
        <v>2.37</v>
      </c>
      <c r="M24" s="21">
        <f t="shared" si="4"/>
        <v>106.74193548387096</v>
      </c>
      <c r="N24" s="22">
        <v>0.88</v>
      </c>
      <c r="O24" s="25">
        <f t="shared" si="5"/>
        <v>156.70967741935485</v>
      </c>
      <c r="P24" s="25">
        <f t="shared" si="6"/>
        <v>324.22580645161293</v>
      </c>
      <c r="Q24" s="2">
        <v>3.8</v>
      </c>
    </row>
    <row r="25" spans="1:17" ht="14.25" x14ac:dyDescent="0.45">
      <c r="A25" s="3" t="s">
        <v>12</v>
      </c>
      <c r="B25" s="2">
        <f t="shared" si="7"/>
        <v>24</v>
      </c>
      <c r="C25" s="2">
        <v>10</v>
      </c>
      <c r="D25" s="1">
        <v>2024</v>
      </c>
      <c r="E25" s="8">
        <f t="shared" si="0"/>
        <v>8390.1290322580644</v>
      </c>
      <c r="F25" s="9">
        <v>0.21</v>
      </c>
      <c r="G25" s="13">
        <f t="shared" si="1"/>
        <v>234.61290322580646</v>
      </c>
      <c r="H25" s="14">
        <v>0.7</v>
      </c>
      <c r="I25" s="30">
        <f t="shared" si="2"/>
        <v>510.51612903225805</v>
      </c>
      <c r="J25" s="31">
        <v>9.1700000000000004E-2</v>
      </c>
      <c r="K25" s="17">
        <f t="shared" si="3"/>
        <v>84.677419354838705</v>
      </c>
      <c r="L25" s="18">
        <v>2.37</v>
      </c>
      <c r="M25" s="21">
        <f t="shared" si="4"/>
        <v>106.74193548387096</v>
      </c>
      <c r="N25" s="22">
        <v>0.88</v>
      </c>
      <c r="O25" s="25">
        <f t="shared" si="5"/>
        <v>156.70967741935485</v>
      </c>
      <c r="P25" s="25">
        <f t="shared" si="6"/>
        <v>324.22580645161293</v>
      </c>
      <c r="Q25" s="2">
        <v>3.7</v>
      </c>
    </row>
    <row r="26" spans="1:17" ht="14.25" x14ac:dyDescent="0.45">
      <c r="A26" s="3" t="s">
        <v>12</v>
      </c>
      <c r="B26" s="2">
        <f>B25+1</f>
        <v>25</v>
      </c>
      <c r="C26" s="2">
        <v>10</v>
      </c>
      <c r="D26" s="1">
        <v>2024</v>
      </c>
      <c r="E26" s="8">
        <f t="shared" si="0"/>
        <v>8390.1290322580644</v>
      </c>
      <c r="F26" s="9">
        <v>0.21</v>
      </c>
      <c r="G26" s="13">
        <f t="shared" si="1"/>
        <v>234.61290322580646</v>
      </c>
      <c r="H26" s="14">
        <v>0.7</v>
      </c>
      <c r="I26" s="30">
        <f t="shared" si="2"/>
        <v>510.51612903225805</v>
      </c>
      <c r="J26" s="31">
        <v>9.1700000000000004E-2</v>
      </c>
      <c r="K26" s="17">
        <f t="shared" si="3"/>
        <v>84.677419354838705</v>
      </c>
      <c r="L26" s="18">
        <v>2.37</v>
      </c>
      <c r="M26" s="21">
        <f t="shared" si="4"/>
        <v>106.74193548387096</v>
      </c>
      <c r="N26" s="22">
        <v>0.88</v>
      </c>
      <c r="O26" s="25">
        <f t="shared" si="5"/>
        <v>156.70967741935485</v>
      </c>
      <c r="P26" s="25">
        <f t="shared" si="6"/>
        <v>324.22580645161293</v>
      </c>
      <c r="Q26" s="2">
        <v>3.6</v>
      </c>
    </row>
    <row r="27" spans="1:17" ht="14.25" x14ac:dyDescent="0.45">
      <c r="A27" s="3" t="s">
        <v>12</v>
      </c>
      <c r="B27" s="2">
        <f t="shared" si="7"/>
        <v>26</v>
      </c>
      <c r="C27" s="2">
        <v>10</v>
      </c>
      <c r="D27" s="1">
        <v>2024</v>
      </c>
      <c r="E27" s="8">
        <f t="shared" si="0"/>
        <v>8390.1290322580644</v>
      </c>
      <c r="F27" s="9">
        <v>0.21</v>
      </c>
      <c r="G27" s="13">
        <f t="shared" si="1"/>
        <v>234.61290322580646</v>
      </c>
      <c r="H27" s="14">
        <v>0.7</v>
      </c>
      <c r="I27" s="30">
        <f t="shared" si="2"/>
        <v>510.51612903225805</v>
      </c>
      <c r="J27" s="31">
        <v>9.1700000000000004E-2</v>
      </c>
      <c r="K27" s="17">
        <f t="shared" si="3"/>
        <v>84.677419354838705</v>
      </c>
      <c r="L27" s="18">
        <v>2.37</v>
      </c>
      <c r="M27" s="21">
        <f t="shared" si="4"/>
        <v>106.74193548387096</v>
      </c>
      <c r="N27" s="22">
        <v>0.88</v>
      </c>
      <c r="O27" s="25">
        <f t="shared" si="5"/>
        <v>156.70967741935485</v>
      </c>
      <c r="P27" s="25">
        <f t="shared" si="6"/>
        <v>324.22580645161293</v>
      </c>
      <c r="Q27" s="2">
        <v>3.7</v>
      </c>
    </row>
    <row r="28" spans="1:17" ht="14.25" x14ac:dyDescent="0.45">
      <c r="A28" s="3" t="s">
        <v>12</v>
      </c>
      <c r="B28" s="2">
        <f t="shared" si="7"/>
        <v>27</v>
      </c>
      <c r="C28" s="2">
        <v>10</v>
      </c>
      <c r="D28" s="1">
        <v>2024</v>
      </c>
      <c r="E28" s="8">
        <f t="shared" si="0"/>
        <v>8390.1290322580644</v>
      </c>
      <c r="F28" s="9">
        <v>0.21</v>
      </c>
      <c r="G28" s="13">
        <f t="shared" si="1"/>
        <v>234.61290322580646</v>
      </c>
      <c r="H28" s="14">
        <v>0.7</v>
      </c>
      <c r="I28" s="30">
        <f t="shared" si="2"/>
        <v>510.51612903225805</v>
      </c>
      <c r="J28" s="31">
        <v>9.1700000000000004E-2</v>
      </c>
      <c r="K28" s="17">
        <f t="shared" si="3"/>
        <v>84.677419354838705</v>
      </c>
      <c r="L28" s="18">
        <v>2.37</v>
      </c>
      <c r="M28" s="21">
        <f t="shared" si="4"/>
        <v>106.74193548387096</v>
      </c>
      <c r="N28" s="22">
        <v>0.88</v>
      </c>
      <c r="O28" s="25">
        <f t="shared" si="5"/>
        <v>156.70967741935485</v>
      </c>
      <c r="P28" s="25">
        <f t="shared" si="6"/>
        <v>324.22580645161293</v>
      </c>
      <c r="Q28" s="2">
        <v>3.6</v>
      </c>
    </row>
    <row r="29" spans="1:17" ht="14.25" x14ac:dyDescent="0.45">
      <c r="A29" s="3" t="s">
        <v>12</v>
      </c>
      <c r="B29" s="2">
        <f t="shared" si="7"/>
        <v>28</v>
      </c>
      <c r="C29" s="2">
        <v>10</v>
      </c>
      <c r="D29" s="1">
        <v>2024</v>
      </c>
      <c r="E29" s="8">
        <f t="shared" si="0"/>
        <v>8390.1290322580644</v>
      </c>
      <c r="F29" s="9">
        <v>0.21</v>
      </c>
      <c r="G29" s="13">
        <f t="shared" si="1"/>
        <v>234.61290322580646</v>
      </c>
      <c r="H29" s="14">
        <v>0.7</v>
      </c>
      <c r="I29" s="30">
        <f t="shared" si="2"/>
        <v>510.51612903225805</v>
      </c>
      <c r="J29" s="31">
        <v>9.1700000000000004E-2</v>
      </c>
      <c r="K29" s="17">
        <f t="shared" si="3"/>
        <v>84.677419354838705</v>
      </c>
      <c r="L29" s="18">
        <v>2.37</v>
      </c>
      <c r="M29" s="21">
        <f t="shared" si="4"/>
        <v>106.74193548387096</v>
      </c>
      <c r="N29" s="22">
        <v>0.88</v>
      </c>
      <c r="O29" s="25">
        <f t="shared" si="5"/>
        <v>156.70967741935485</v>
      </c>
      <c r="P29" s="25">
        <f t="shared" si="6"/>
        <v>324.22580645161293</v>
      </c>
      <c r="Q29" s="2">
        <v>3.1</v>
      </c>
    </row>
    <row r="30" spans="1:17" ht="14.25" x14ac:dyDescent="0.45">
      <c r="A30" s="3" t="s">
        <v>12</v>
      </c>
      <c r="B30" s="2">
        <f t="shared" si="7"/>
        <v>29</v>
      </c>
      <c r="C30" s="2">
        <v>10</v>
      </c>
      <c r="D30" s="1">
        <v>2024</v>
      </c>
      <c r="E30" s="8">
        <f t="shared" si="0"/>
        <v>8390.1290322580644</v>
      </c>
      <c r="F30" s="9">
        <v>0.21</v>
      </c>
      <c r="G30" s="13">
        <f t="shared" si="1"/>
        <v>234.61290322580646</v>
      </c>
      <c r="H30" s="14">
        <v>0.7</v>
      </c>
      <c r="I30" s="30">
        <f t="shared" si="2"/>
        <v>510.51612903225805</v>
      </c>
      <c r="J30" s="31">
        <v>9.1700000000000004E-2</v>
      </c>
      <c r="K30" s="17">
        <f t="shared" si="3"/>
        <v>84.677419354838705</v>
      </c>
      <c r="L30" s="18">
        <v>2.37</v>
      </c>
      <c r="M30" s="21">
        <f t="shared" si="4"/>
        <v>106.74193548387096</v>
      </c>
      <c r="N30" s="22">
        <v>0.88</v>
      </c>
      <c r="O30" s="25">
        <f t="shared" si="5"/>
        <v>156.70967741935485</v>
      </c>
      <c r="P30" s="25">
        <f t="shared" si="6"/>
        <v>324.22580645161293</v>
      </c>
      <c r="Q30" s="2">
        <v>3.4</v>
      </c>
    </row>
    <row r="31" spans="1:17" ht="14.25" x14ac:dyDescent="0.45">
      <c r="A31" s="3" t="s">
        <v>12</v>
      </c>
      <c r="B31" s="2">
        <f t="shared" si="7"/>
        <v>30</v>
      </c>
      <c r="C31" s="2">
        <v>10</v>
      </c>
      <c r="D31" s="1">
        <v>2024</v>
      </c>
      <c r="E31" s="8">
        <f t="shared" si="0"/>
        <v>8390.1290322580644</v>
      </c>
      <c r="F31" s="9">
        <v>0.21</v>
      </c>
      <c r="G31" s="13">
        <f t="shared" si="1"/>
        <v>234.61290322580646</v>
      </c>
      <c r="H31" s="14">
        <v>0.7</v>
      </c>
      <c r="I31" s="30">
        <f t="shared" si="2"/>
        <v>510.51612903225805</v>
      </c>
      <c r="J31" s="31">
        <v>9.1700000000000004E-2</v>
      </c>
      <c r="K31" s="17">
        <f t="shared" si="3"/>
        <v>84.677419354838705</v>
      </c>
      <c r="L31" s="18">
        <v>2.37</v>
      </c>
      <c r="M31" s="21">
        <f t="shared" si="4"/>
        <v>106.74193548387096</v>
      </c>
      <c r="N31" s="22">
        <v>0.88</v>
      </c>
      <c r="O31" s="25">
        <f t="shared" si="5"/>
        <v>156.70967741935485</v>
      </c>
      <c r="P31" s="25">
        <f t="shared" si="6"/>
        <v>324.22580645161293</v>
      </c>
      <c r="Q31" s="2">
        <v>3.6</v>
      </c>
    </row>
    <row r="32" spans="1:17" ht="14.25" x14ac:dyDescent="0.45">
      <c r="B32" s="2">
        <f t="shared" si="7"/>
        <v>31</v>
      </c>
      <c r="C32" s="2">
        <v>10</v>
      </c>
      <c r="D32" s="1">
        <v>2024</v>
      </c>
      <c r="E32" s="8">
        <f t="shared" si="0"/>
        <v>8390.1290322580644</v>
      </c>
      <c r="F32" s="9">
        <v>0.21</v>
      </c>
      <c r="G32" s="13">
        <f t="shared" si="1"/>
        <v>234.61290322580646</v>
      </c>
      <c r="H32" s="14">
        <v>0.7</v>
      </c>
      <c r="I32" s="30">
        <f t="shared" si="2"/>
        <v>510.51612903225805</v>
      </c>
      <c r="J32" s="31">
        <v>9.1700000000000004E-2</v>
      </c>
      <c r="K32" s="17">
        <f t="shared" si="3"/>
        <v>84.677419354838705</v>
      </c>
      <c r="L32" s="18">
        <v>2.37</v>
      </c>
      <c r="M32" s="21">
        <f t="shared" si="4"/>
        <v>106.74193548387096</v>
      </c>
      <c r="N32" s="22">
        <v>0.88</v>
      </c>
      <c r="O32" s="26"/>
      <c r="P32" s="26"/>
      <c r="Q32" s="2">
        <v>4.2</v>
      </c>
    </row>
    <row r="33" spans="4:16" x14ac:dyDescent="0.35">
      <c r="D33" s="4"/>
      <c r="F33" s="9"/>
      <c r="I33" s="30"/>
      <c r="J33" s="31"/>
      <c r="K33" s="18"/>
      <c r="L33" s="18"/>
      <c r="O33" s="26"/>
      <c r="P33" s="26"/>
    </row>
    <row r="34" spans="4:16" x14ac:dyDescent="0.35">
      <c r="D34" s="4"/>
      <c r="F34" s="9"/>
      <c r="I34" s="30"/>
      <c r="J34" s="31"/>
      <c r="K34" s="18"/>
      <c r="L34" s="18"/>
      <c r="O34" s="26"/>
      <c r="P34" s="26"/>
    </row>
    <row r="35" spans="4:16" x14ac:dyDescent="0.35">
      <c r="D35" s="4"/>
      <c r="F35" s="9"/>
      <c r="I35" s="30"/>
      <c r="J35" s="31"/>
      <c r="K35" s="18"/>
      <c r="L35" s="18"/>
      <c r="O35" s="26"/>
      <c r="P35" s="26"/>
    </row>
    <row r="36" spans="4:16" x14ac:dyDescent="0.35">
      <c r="D36" s="4"/>
      <c r="F36" s="9"/>
      <c r="I36" s="30"/>
      <c r="J36" s="31"/>
      <c r="K36" s="18"/>
      <c r="L36" s="18"/>
      <c r="O36" s="26"/>
      <c r="P36" s="26"/>
    </row>
    <row r="37" spans="4:16" x14ac:dyDescent="0.35">
      <c r="D37" s="4"/>
      <c r="F37" s="9"/>
      <c r="I37" s="30"/>
      <c r="J37" s="31"/>
      <c r="K37" s="18"/>
      <c r="L37" s="18"/>
      <c r="O37" s="26"/>
      <c r="P37" s="26"/>
    </row>
    <row r="38" spans="4:16" x14ac:dyDescent="0.35">
      <c r="D38" s="4"/>
      <c r="F38" s="9"/>
      <c r="I38" s="30"/>
      <c r="J38" s="31"/>
      <c r="K38" s="18"/>
      <c r="L38" s="18"/>
      <c r="O38" s="26"/>
      <c r="P38" s="26"/>
    </row>
    <row r="39" spans="4:16" x14ac:dyDescent="0.35">
      <c r="F39" s="9"/>
      <c r="I39" s="30"/>
      <c r="J39" s="31"/>
    </row>
    <row r="40" spans="4:16" x14ac:dyDescent="0.35">
      <c r="F40" s="9"/>
      <c r="I40" s="30"/>
      <c r="J40" s="31"/>
    </row>
    <row r="41" spans="4:16" x14ac:dyDescent="0.35">
      <c r="F41" s="9"/>
      <c r="I41" s="30"/>
      <c r="J41" s="31"/>
    </row>
    <row r="42" spans="4:16" x14ac:dyDescent="0.35">
      <c r="F42" s="9"/>
      <c r="I42" s="30"/>
      <c r="J42" s="31"/>
    </row>
    <row r="43" spans="4:16" x14ac:dyDescent="0.35">
      <c r="I43" s="30"/>
      <c r="J43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2024-10-22T15:55:58Z</dcterms:modified>
  <cp:category/>
  <cp:contentStatus/>
</cp:coreProperties>
</file>