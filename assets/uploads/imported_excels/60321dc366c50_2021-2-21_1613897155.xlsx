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WATER VILLA PRJECT" sheetId="14" r:id="rId16"/>
    <sheet name="FEEDER summry" sheetId="13" r:id="rId17"/>
    <sheet name="Sheet1" sheetId="23" r:id="rId18"/>
  </sheet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6" i="19" l="1"/>
  <c r="C25" i="19"/>
  <c r="C24" i="19"/>
  <c r="C23" i="19"/>
  <c r="V31" i="19" l="1"/>
  <c r="C22" i="19"/>
  <c r="C21" i="19" l="1"/>
  <c r="C20" i="19"/>
  <c r="C19" i="19"/>
  <c r="C18" i="19" l="1"/>
  <c r="C17" i="19"/>
  <c r="C15" i="19" l="1"/>
  <c r="C14" i="19" l="1"/>
  <c r="C13" i="19" l="1"/>
  <c r="C12" i="19" l="1"/>
  <c r="C11" i="19" l="1"/>
  <c r="C10" i="19"/>
  <c r="C9" i="19" l="1"/>
  <c r="C8" i="19"/>
  <c r="B41" i="7" l="1"/>
  <c r="B41" i="6"/>
  <c r="B41" i="5"/>
  <c r="B41" i="4"/>
  <c r="B41" i="3"/>
  <c r="E37" i="21" l="1"/>
  <c r="W37" i="19" l="1"/>
  <c r="W38" i="19" s="1"/>
  <c r="CN26" i="12" l="1"/>
  <c r="H6" i="21" l="1"/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35" i="22" l="1"/>
  <c r="C4" i="22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G30" i="22"/>
  <c r="G29" i="22"/>
  <c r="G28" i="22"/>
  <c r="E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E35" i="22" s="1"/>
  <c r="H35" i="21"/>
  <c r="F35" i="21"/>
  <c r="G35" i="21" s="1"/>
  <c r="E34" i="22" s="1"/>
  <c r="H34" i="21"/>
  <c r="F34" i="21"/>
  <c r="G34" i="21" s="1"/>
  <c r="H33" i="21"/>
  <c r="F33" i="21"/>
  <c r="G33" i="21" s="1"/>
  <c r="E32" i="22" s="1"/>
  <c r="H32" i="21"/>
  <c r="F32" i="21"/>
  <c r="G32" i="21" s="1"/>
  <c r="E31" i="22" s="1"/>
  <c r="H31" i="21"/>
  <c r="F31" i="21"/>
  <c r="G31" i="21" s="1"/>
  <c r="H30" i="21"/>
  <c r="F30" i="21"/>
  <c r="G30" i="21" s="1"/>
  <c r="H29" i="21"/>
  <c r="F29" i="21"/>
  <c r="G29" i="21" s="1"/>
  <c r="H28" i="21"/>
  <c r="F28" i="21"/>
  <c r="G28" i="21" s="1"/>
  <c r="E27" i="22" s="1"/>
  <c r="H27" i="21"/>
  <c r="F27" i="21"/>
  <c r="G27" i="21" s="1"/>
  <c r="E26" i="22" s="1"/>
  <c r="H26" i="21"/>
  <c r="F26" i="21"/>
  <c r="G26" i="21" s="1"/>
  <c r="H25" i="21"/>
  <c r="F25" i="21"/>
  <c r="G25" i="21" s="1"/>
  <c r="H24" i="21"/>
  <c r="F24" i="21"/>
  <c r="G24" i="21" s="1"/>
  <c r="E23" i="22" s="1"/>
  <c r="H23" i="21"/>
  <c r="F23" i="21"/>
  <c r="G23" i="21" s="1"/>
  <c r="H22" i="21"/>
  <c r="F22" i="21"/>
  <c r="G22" i="21" s="1"/>
  <c r="H21" i="21"/>
  <c r="F21" i="21"/>
  <c r="G21" i="21" s="1"/>
  <c r="E20" i="22" s="1"/>
  <c r="H20" i="21"/>
  <c r="F20" i="21"/>
  <c r="G20" i="21" s="1"/>
  <c r="H19" i="21"/>
  <c r="F19" i="21"/>
  <c r="G19" i="21" s="1"/>
  <c r="E18" i="22" s="1"/>
  <c r="H18" i="21"/>
  <c r="F18" i="21"/>
  <c r="G18" i="21" s="1"/>
  <c r="H17" i="21"/>
  <c r="F17" i="21"/>
  <c r="G17" i="21" s="1"/>
  <c r="E16" i="22" s="1"/>
  <c r="H16" i="21"/>
  <c r="F16" i="21"/>
  <c r="G16" i="21" s="1"/>
  <c r="E15" i="22" s="1"/>
  <c r="H15" i="21"/>
  <c r="F15" i="21"/>
  <c r="G15" i="21" s="1"/>
  <c r="H14" i="21"/>
  <c r="F14" i="21"/>
  <c r="G14" i="21" s="1"/>
  <c r="H13" i="21"/>
  <c r="F13" i="21"/>
  <c r="G13" i="21" s="1"/>
  <c r="E12" i="22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8" i="22" s="1"/>
  <c r="H8" i="21"/>
  <c r="F8" i="21"/>
  <c r="G8" i="21" s="1"/>
  <c r="H7" i="21"/>
  <c r="F7" i="21"/>
  <c r="G7" i="21" s="1"/>
  <c r="E6" i="22" s="1"/>
  <c r="F6" i="21"/>
  <c r="G6" i="21" s="1"/>
  <c r="E5" i="22" s="1"/>
  <c r="F5" i="22" s="1"/>
  <c r="G2" i="17" s="1"/>
  <c r="Q36" i="19"/>
  <c r="S36" i="19" s="1"/>
  <c r="L36" i="19"/>
  <c r="N36" i="19" s="1"/>
  <c r="G36" i="19"/>
  <c r="I36" i="19" s="1"/>
  <c r="B36" i="19"/>
  <c r="D36" i="19" s="1"/>
  <c r="S35" i="19"/>
  <c r="Q35" i="19"/>
  <c r="L35" i="19"/>
  <c r="N35" i="19" s="1"/>
  <c r="G35" i="19"/>
  <c r="I35" i="19" s="1"/>
  <c r="B35" i="19"/>
  <c r="D35" i="19" s="1"/>
  <c r="Z34" i="19"/>
  <c r="Z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S6" i="19"/>
  <c r="N6" i="19"/>
  <c r="I6" i="19"/>
  <c r="D6" i="19"/>
  <c r="V8" i="19" l="1"/>
  <c r="F11" i="2" s="1"/>
  <c r="H5" i="22"/>
  <c r="I2" i="17" s="1"/>
  <c r="H31" i="22"/>
  <c r="I28" i="17" s="1"/>
  <c r="H29" i="22"/>
  <c r="I26" i="17" s="1"/>
  <c r="F28" i="22"/>
  <c r="G25" i="17" s="1"/>
  <c r="V28" i="19"/>
  <c r="H37" i="21"/>
  <c r="H25" i="22"/>
  <c r="I22" i="17" s="1"/>
  <c r="V24" i="19"/>
  <c r="F27" i="2" s="1"/>
  <c r="V20" i="19"/>
  <c r="F22" i="1" s="1"/>
  <c r="H17" i="22"/>
  <c r="I14" i="17" s="1"/>
  <c r="E25" i="2"/>
  <c r="E24" i="1"/>
  <c r="E21" i="22"/>
  <c r="F21" i="22" s="1"/>
  <c r="G18" i="17" s="1"/>
  <c r="E37" i="2"/>
  <c r="E36" i="1"/>
  <c r="E33" i="22"/>
  <c r="F33" i="22" s="1"/>
  <c r="F31" i="2"/>
  <c r="F30" i="1"/>
  <c r="E33" i="2"/>
  <c r="E32" i="1"/>
  <c r="E29" i="22"/>
  <c r="F29" i="22" s="1"/>
  <c r="G26" i="17" s="1"/>
  <c r="F10" i="1"/>
  <c r="F32" i="22"/>
  <c r="G29" i="17" s="1"/>
  <c r="E21" i="2"/>
  <c r="E20" i="1"/>
  <c r="E17" i="22"/>
  <c r="F17" i="22" s="1"/>
  <c r="G14" i="17" s="1"/>
  <c r="E29" i="2"/>
  <c r="E28" i="1"/>
  <c r="E25" i="22"/>
  <c r="F26" i="22" s="1"/>
  <c r="G23" i="17" s="1"/>
  <c r="H33" i="22"/>
  <c r="E28" i="2"/>
  <c r="E27" i="1"/>
  <c r="E35" i="2"/>
  <c r="E34" i="1"/>
  <c r="F20" i="22"/>
  <c r="G17" i="17" s="1"/>
  <c r="E39" i="2"/>
  <c r="E38" i="1"/>
  <c r="E18" i="2"/>
  <c r="E17" i="1"/>
  <c r="V25" i="19"/>
  <c r="H18" i="22"/>
  <c r="I15" i="17" s="1"/>
  <c r="H26" i="22"/>
  <c r="I23" i="17" s="1"/>
  <c r="H34" i="22"/>
  <c r="F35" i="22"/>
  <c r="V35" i="19"/>
  <c r="E32" i="2"/>
  <c r="E31" i="1"/>
  <c r="E36" i="2"/>
  <c r="E35" i="1"/>
  <c r="E22" i="2"/>
  <c r="E21" i="1"/>
  <c r="H6" i="22"/>
  <c r="I3" i="17" s="1"/>
  <c r="V27" i="19"/>
  <c r="E19" i="2"/>
  <c r="E18" i="1"/>
  <c r="E26" i="2"/>
  <c r="E25" i="1"/>
  <c r="F16" i="22"/>
  <c r="G13" i="17" s="1"/>
  <c r="E24" i="22"/>
  <c r="F24" i="22" s="1"/>
  <c r="G21" i="17" s="1"/>
  <c r="E23" i="2"/>
  <c r="E22" i="1"/>
  <c r="E19" i="22"/>
  <c r="F19" i="22" s="1"/>
  <c r="G16" i="17" s="1"/>
  <c r="H35" i="22"/>
  <c r="H9" i="22"/>
  <c r="I6" i="17" s="1"/>
  <c r="H10" i="22"/>
  <c r="I7" i="17" s="1"/>
  <c r="V9" i="19"/>
  <c r="H21" i="22"/>
  <c r="I18" i="17" s="1"/>
  <c r="E30" i="2"/>
  <c r="E29" i="1"/>
  <c r="E20" i="2"/>
  <c r="E19" i="1"/>
  <c r="E27" i="2"/>
  <c r="E26" i="1"/>
  <c r="E34" i="2"/>
  <c r="E33" i="1"/>
  <c r="H13" i="22"/>
  <c r="I10" i="17" s="1"/>
  <c r="E22" i="22"/>
  <c r="F23" i="22" s="1"/>
  <c r="G20" i="17" s="1"/>
  <c r="E30" i="22"/>
  <c r="F31" i="22" s="1"/>
  <c r="G28" i="17" s="1"/>
  <c r="V29" i="19"/>
  <c r="E24" i="2"/>
  <c r="E23" i="1"/>
  <c r="E31" i="2"/>
  <c r="E30" i="1"/>
  <c r="E38" i="2"/>
  <c r="E37" i="1"/>
  <c r="E14" i="22"/>
  <c r="F15" i="22" s="1"/>
  <c r="G12" i="17" s="1"/>
  <c r="H22" i="22"/>
  <c r="I19" i="17" s="1"/>
  <c r="H30" i="22"/>
  <c r="I27" i="17" s="1"/>
  <c r="V17" i="19"/>
  <c r="F19" i="1" s="1"/>
  <c r="E17" i="2"/>
  <c r="E16" i="1"/>
  <c r="E13" i="22"/>
  <c r="F13" i="22" s="1"/>
  <c r="G10" i="17" s="1"/>
  <c r="E16" i="2"/>
  <c r="E15" i="1"/>
  <c r="V16" i="19"/>
  <c r="F18" i="1" s="1"/>
  <c r="H14" i="22"/>
  <c r="I11" i="17" s="1"/>
  <c r="E15" i="2"/>
  <c r="E14" i="1"/>
  <c r="E11" i="22"/>
  <c r="F12" i="22" s="1"/>
  <c r="G9" i="17" s="1"/>
  <c r="V13" i="19"/>
  <c r="F16" i="2" s="1"/>
  <c r="E14" i="2"/>
  <c r="E13" i="1"/>
  <c r="E10" i="22"/>
  <c r="E13" i="2"/>
  <c r="E12" i="1"/>
  <c r="E9" i="22"/>
  <c r="F9" i="22" s="1"/>
  <c r="G6" i="17" s="1"/>
  <c r="E12" i="2"/>
  <c r="E11" i="1"/>
  <c r="E11" i="2"/>
  <c r="E10" i="1"/>
  <c r="E7" i="22"/>
  <c r="F8" i="22" s="1"/>
  <c r="G5" i="17" s="1"/>
  <c r="E10" i="2"/>
  <c r="E9" i="1"/>
  <c r="E9" i="2"/>
  <c r="E8" i="1"/>
  <c r="V12" i="19"/>
  <c r="D37" i="19"/>
  <c r="V11" i="19"/>
  <c r="F6" i="22"/>
  <c r="G3" i="17" s="1"/>
  <c r="H7" i="22"/>
  <c r="I4" i="17" s="1"/>
  <c r="H11" i="22"/>
  <c r="I8" i="17" s="1"/>
  <c r="H15" i="22"/>
  <c r="I12" i="17" s="1"/>
  <c r="H19" i="22"/>
  <c r="I16" i="17" s="1"/>
  <c r="H23" i="22"/>
  <c r="I20" i="17" s="1"/>
  <c r="H27" i="22"/>
  <c r="I24" i="17" s="1"/>
  <c r="H8" i="22"/>
  <c r="I5" i="17" s="1"/>
  <c r="H12" i="22"/>
  <c r="I9" i="17" s="1"/>
  <c r="H16" i="22"/>
  <c r="I13" i="17" s="1"/>
  <c r="H20" i="22"/>
  <c r="I17" i="17" s="1"/>
  <c r="H24" i="22"/>
  <c r="I21" i="17" s="1"/>
  <c r="F27" i="22"/>
  <c r="G24" i="17" s="1"/>
  <c r="H28" i="22"/>
  <c r="I25" i="17" s="1"/>
  <c r="H32" i="22"/>
  <c r="I29" i="17" s="1"/>
  <c r="G37" i="21"/>
  <c r="F37" i="21"/>
  <c r="V7" i="19"/>
  <c r="V23" i="19"/>
  <c r="V21" i="19"/>
  <c r="V15" i="19"/>
  <c r="V19" i="19"/>
  <c r="I37" i="19"/>
  <c r="V10" i="19"/>
  <c r="V18" i="19"/>
  <c r="V26" i="19"/>
  <c r="V34" i="19"/>
  <c r="N37" i="19"/>
  <c r="V36" i="19"/>
  <c r="S37" i="19"/>
  <c r="V14" i="19"/>
  <c r="V22" i="19"/>
  <c r="V30" i="19"/>
  <c r="V32" i="19"/>
  <c r="V33" i="19"/>
  <c r="V6" i="19"/>
  <c r="F23" i="2" l="1"/>
  <c r="F19" i="2"/>
  <c r="F18" i="22"/>
  <c r="G15" i="17" s="1"/>
  <c r="F14" i="22"/>
  <c r="G11" i="17" s="1"/>
  <c r="F30" i="22"/>
  <c r="G27" i="17" s="1"/>
  <c r="F22" i="22"/>
  <c r="G19" i="17" s="1"/>
  <c r="F26" i="1"/>
  <c r="F20" i="2"/>
  <c r="F25" i="22"/>
  <c r="G22" i="17" s="1"/>
  <c r="F39" i="2"/>
  <c r="F38" i="1"/>
  <c r="F10" i="22"/>
  <c r="G7" i="17" s="1"/>
  <c r="F28" i="2"/>
  <c r="F27" i="1"/>
  <c r="F37" i="2"/>
  <c r="F36" i="1"/>
  <c r="F32" i="2"/>
  <c r="F31" i="1"/>
  <c r="F13" i="2"/>
  <c r="F12" i="1"/>
  <c r="F12" i="2"/>
  <c r="F11" i="1"/>
  <c r="F36" i="2"/>
  <c r="F35" i="1"/>
  <c r="F24" i="2"/>
  <c r="F23" i="1"/>
  <c r="F35" i="2"/>
  <c r="F34" i="1"/>
  <c r="F29" i="2"/>
  <c r="F28" i="1"/>
  <c r="F26" i="2"/>
  <c r="F25" i="1"/>
  <c r="F25" i="2"/>
  <c r="F24" i="1"/>
  <c r="F22" i="2"/>
  <c r="F21" i="1"/>
  <c r="F9" i="2"/>
  <c r="F8" i="1"/>
  <c r="F34" i="2"/>
  <c r="F33" i="1"/>
  <c r="F33" i="2"/>
  <c r="F32" i="1"/>
  <c r="F21" i="2"/>
  <c r="F20" i="1"/>
  <c r="F10" i="2"/>
  <c r="F9" i="1"/>
  <c r="F7" i="22"/>
  <c r="G4" i="17" s="1"/>
  <c r="F30" i="2"/>
  <c r="F29" i="1"/>
  <c r="F38" i="2"/>
  <c r="F37" i="1"/>
  <c r="F34" i="22"/>
  <c r="F18" i="2"/>
  <c r="F17" i="1"/>
  <c r="F17" i="2"/>
  <c r="F16" i="1"/>
  <c r="F15" i="1"/>
  <c r="F11" i="22"/>
  <c r="G8" i="17" s="1"/>
  <c r="F13" i="1"/>
  <c r="F14" i="2"/>
  <c r="F14" i="1"/>
  <c r="F15" i="2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CK27" i="12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P26" i="12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K39" i="12" l="1"/>
  <c r="M39" i="12" s="1"/>
  <c r="BS38" i="12" l="1"/>
  <c r="BU38" i="12" s="1"/>
  <c r="BS39" i="12"/>
  <c r="BU39" i="12" s="1"/>
  <c r="BP39" i="12"/>
  <c r="BR39" i="12" s="1"/>
  <c r="BM39" i="12"/>
  <c r="BO39" i="12" s="1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 s="1"/>
  <c r="B40" i="5"/>
  <c r="B40" i="4"/>
  <c r="B40" i="3"/>
  <c r="D40" i="3" l="1"/>
  <c r="C34" i="22"/>
  <c r="D39" i="11"/>
  <c r="D35" i="9"/>
  <c r="D40" i="7"/>
  <c r="G35" i="15" s="1"/>
  <c r="D40" i="5"/>
  <c r="E35" i="15" s="1"/>
  <c r="D40" i="4"/>
  <c r="D35" i="15" s="1"/>
  <c r="C35" i="15"/>
  <c r="B38" i="11"/>
  <c r="D38" i="11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 s="1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S35" i="12" s="1"/>
  <c r="G35" i="13" s="1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 s="1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B39" i="3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D9" i="1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B36" i="3"/>
  <c r="B35" i="3"/>
  <c r="B34" i="3"/>
  <c r="B33" i="3"/>
  <c r="B32" i="3"/>
  <c r="F39" i="1"/>
  <c r="M39" i="13"/>
  <c r="C5" i="22" l="1"/>
  <c r="D5" i="22" s="1"/>
  <c r="E2" i="17" s="1"/>
  <c r="D13" i="3"/>
  <c r="C8" i="15" s="1"/>
  <c r="C7" i="22"/>
  <c r="D26" i="3"/>
  <c r="B24" i="1" s="1"/>
  <c r="C20" i="22"/>
  <c r="D36" i="3"/>
  <c r="C31" i="15" s="1"/>
  <c r="C30" i="22"/>
  <c r="D29" i="3"/>
  <c r="C24" i="15" s="1"/>
  <c r="H24" i="15" s="1"/>
  <c r="C23" i="22"/>
  <c r="D37" i="3"/>
  <c r="C31" i="22"/>
  <c r="D31" i="22" s="1"/>
  <c r="E28" i="17" s="1"/>
  <c r="D27" i="3"/>
  <c r="C22" i="15" s="1"/>
  <c r="H22" i="15" s="1"/>
  <c r="C21" i="22"/>
  <c r="D21" i="22" s="1"/>
  <c r="E18" i="17" s="1"/>
  <c r="D11" i="3"/>
  <c r="D32" i="3"/>
  <c r="C27" i="15" s="1"/>
  <c r="H27" i="15" s="1"/>
  <c r="C26" i="22"/>
  <c r="D33" i="3"/>
  <c r="C28" i="15" s="1"/>
  <c r="C27" i="22"/>
  <c r="D25" i="3"/>
  <c r="C20" i="15" s="1"/>
  <c r="C19" i="22"/>
  <c r="D24" i="3"/>
  <c r="C18" i="22"/>
  <c r="D39" i="3"/>
  <c r="C34" i="15" s="1"/>
  <c r="H34" i="15" s="1"/>
  <c r="C33" i="22"/>
  <c r="D34" i="22" s="1"/>
  <c r="C38" i="1"/>
  <c r="C39" i="2"/>
  <c r="D34" i="3"/>
  <c r="C28" i="22"/>
  <c r="D28" i="22" s="1"/>
  <c r="E25" i="17" s="1"/>
  <c r="D31" i="3"/>
  <c r="C26" i="15" s="1"/>
  <c r="C25" i="22"/>
  <c r="D23" i="3"/>
  <c r="C18" i="15" s="1"/>
  <c r="C17" i="22"/>
  <c r="D38" i="3"/>
  <c r="C32" i="22"/>
  <c r="D38" i="1"/>
  <c r="D39" i="2"/>
  <c r="D21" i="3"/>
  <c r="C16" i="15" s="1"/>
  <c r="C15" i="22"/>
  <c r="D28" i="3"/>
  <c r="B26" i="1" s="1"/>
  <c r="C22" i="22"/>
  <c r="D22" i="22" s="1"/>
  <c r="E19" i="17" s="1"/>
  <c r="D12" i="3"/>
  <c r="C6" i="22"/>
  <c r="D35" i="3"/>
  <c r="C30" i="15" s="1"/>
  <c r="C29" i="22"/>
  <c r="D30" i="3"/>
  <c r="C25" i="15" s="1"/>
  <c r="C24" i="22"/>
  <c r="D22" i="3"/>
  <c r="B20" i="1" s="1"/>
  <c r="C16" i="22"/>
  <c r="D14" i="3"/>
  <c r="C9" i="15" s="1"/>
  <c r="C8" i="22"/>
  <c r="D35" i="22"/>
  <c r="D20" i="3"/>
  <c r="C15" i="15" s="1"/>
  <c r="H15" i="15" s="1"/>
  <c r="C14" i="22"/>
  <c r="D19" i="3"/>
  <c r="C14" i="15" s="1"/>
  <c r="C13" i="22"/>
  <c r="D18" i="3"/>
  <c r="C13" i="15" s="1"/>
  <c r="C12" i="22"/>
  <c r="D17" i="3"/>
  <c r="C12" i="15" s="1"/>
  <c r="C11" i="22"/>
  <c r="D16" i="3"/>
  <c r="B15" i="2" s="1"/>
  <c r="C10" i="22"/>
  <c r="D15" i="3"/>
  <c r="C9" i="22"/>
  <c r="B35" i="1"/>
  <c r="B36" i="1"/>
  <c r="H35" i="15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C5" i="15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L9" i="13" s="1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J38" i="12"/>
  <c r="D38" i="13" s="1"/>
  <c r="D36" i="1"/>
  <c r="G33" i="15"/>
  <c r="F33" i="15"/>
  <c r="F36" i="15" s="1"/>
  <c r="D41" i="6"/>
  <c r="D33" i="15"/>
  <c r="C33" i="15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D23" i="15"/>
  <c r="B21" i="1"/>
  <c r="D18" i="15"/>
  <c r="D13" i="15"/>
  <c r="B17" i="2"/>
  <c r="B29" i="2"/>
  <c r="B28" i="1"/>
  <c r="D25" i="15"/>
  <c r="H25" i="15" s="1"/>
  <c r="D20" i="15"/>
  <c r="H20" i="15" s="1"/>
  <c r="B18" i="2"/>
  <c r="B23" i="1"/>
  <c r="H12" i="15"/>
  <c r="D8" i="15"/>
  <c r="H8" i="15" s="1"/>
  <c r="B11" i="1"/>
  <c r="B30" i="1"/>
  <c r="C29" i="15"/>
  <c r="H29" i="15" s="1"/>
  <c r="C17" i="15"/>
  <c r="H17" i="15" s="1"/>
  <c r="B22" i="2"/>
  <c r="B15" i="1"/>
  <c r="B22" i="1"/>
  <c r="C19" i="15"/>
  <c r="B36" i="2"/>
  <c r="C32" i="15"/>
  <c r="H32" i="15" s="1"/>
  <c r="B19" i="1"/>
  <c r="B10" i="1"/>
  <c r="C7" i="15"/>
  <c r="H7" i="15" s="1"/>
  <c r="B11" i="2"/>
  <c r="B10" i="2"/>
  <c r="C6" i="15"/>
  <c r="B9" i="1"/>
  <c r="B8" i="1"/>
  <c r="B9" i="2"/>
  <c r="B28" i="2" l="1"/>
  <c r="C23" i="15"/>
  <c r="D16" i="22"/>
  <c r="E13" i="17" s="1"/>
  <c r="B19" i="2"/>
  <c r="H19" i="2" s="1"/>
  <c r="B12" i="2"/>
  <c r="D8" i="22"/>
  <c r="E5" i="17" s="1"/>
  <c r="D32" i="22"/>
  <c r="E29" i="17" s="1"/>
  <c r="D6" i="22"/>
  <c r="E3" i="17" s="1"/>
  <c r="H13" i="15"/>
  <c r="B34" i="2"/>
  <c r="B33" i="2"/>
  <c r="C11" i="15"/>
  <c r="H11" i="15" s="1"/>
  <c r="B14" i="1"/>
  <c r="B27" i="2"/>
  <c r="I27" i="2" s="1"/>
  <c r="O27" i="13" s="1"/>
  <c r="C21" i="15"/>
  <c r="H21" i="15" s="1"/>
  <c r="B31" i="2"/>
  <c r="I31" i="2" s="1"/>
  <c r="O31" i="13" s="1"/>
  <c r="B16" i="1"/>
  <c r="B18" i="1"/>
  <c r="B27" i="1"/>
  <c r="B24" i="2"/>
  <c r="H24" i="2" s="1"/>
  <c r="D11" i="22"/>
  <c r="E8" i="17" s="1"/>
  <c r="D13" i="22"/>
  <c r="E10" i="17" s="1"/>
  <c r="D15" i="22"/>
  <c r="E12" i="17" s="1"/>
  <c r="D29" i="22"/>
  <c r="E26" i="17" s="1"/>
  <c r="D27" i="22"/>
  <c r="E24" i="17" s="1"/>
  <c r="D24" i="22"/>
  <c r="E21" i="17" s="1"/>
  <c r="D41" i="3"/>
  <c r="B25" i="2"/>
  <c r="I25" i="2" s="1"/>
  <c r="O25" i="13" s="1"/>
  <c r="B26" i="2"/>
  <c r="I26" i="2" s="1"/>
  <c r="O26" i="13" s="1"/>
  <c r="B25" i="1"/>
  <c r="D18" i="22"/>
  <c r="E15" i="17" s="1"/>
  <c r="B21" i="2"/>
  <c r="I21" i="2" s="1"/>
  <c r="O21" i="13" s="1"/>
  <c r="Q21" i="13" s="1"/>
  <c r="D14" i="22"/>
  <c r="E11" i="17" s="1"/>
  <c r="D17" i="22"/>
  <c r="E14" i="17" s="1"/>
  <c r="D33" i="22"/>
  <c r="D26" i="22"/>
  <c r="E23" i="17" s="1"/>
  <c r="D23" i="22"/>
  <c r="E20" i="17" s="1"/>
  <c r="D25" i="22"/>
  <c r="E22" i="17" s="1"/>
  <c r="D30" i="22"/>
  <c r="E27" i="17" s="1"/>
  <c r="D12" i="22"/>
  <c r="E9" i="17" s="1"/>
  <c r="D19" i="22"/>
  <c r="E16" i="17" s="1"/>
  <c r="D20" i="22"/>
  <c r="E17" i="17" s="1"/>
  <c r="D7" i="22"/>
  <c r="E4" i="17" s="1"/>
  <c r="B16" i="2"/>
  <c r="H16" i="2" s="1"/>
  <c r="C10" i="15"/>
  <c r="H10" i="15" s="1"/>
  <c r="B14" i="2"/>
  <c r="H14" i="2" s="1"/>
  <c r="B13" i="1"/>
  <c r="D9" i="22"/>
  <c r="E6" i="17" s="1"/>
  <c r="D10" i="22"/>
  <c r="E7" i="17" s="1"/>
  <c r="M10" i="13"/>
  <c r="M40" i="13" s="1"/>
  <c r="D40" i="13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E40" i="2"/>
  <c r="H33" i="15"/>
  <c r="E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C40" i="2"/>
  <c r="B34" i="14"/>
  <c r="N9" i="13"/>
  <c r="N40" i="13" s="1"/>
  <c r="G40" i="13"/>
  <c r="D40" i="2"/>
  <c r="I36" i="9"/>
  <c r="H37" i="2"/>
  <c r="I37" i="2"/>
  <c r="O37" i="13" s="1"/>
  <c r="H29" i="2"/>
  <c r="H23" i="2"/>
  <c r="I23" i="2"/>
  <c r="O23" i="13" s="1"/>
  <c r="H6" i="15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I34" i="2"/>
  <c r="O34" i="13" s="1"/>
  <c r="H34" i="2"/>
  <c r="H27" i="2"/>
  <c r="H28" i="2"/>
  <c r="I28" i="2"/>
  <c r="O28" i="13" s="1"/>
  <c r="H15" i="2"/>
  <c r="I15" i="2"/>
  <c r="O15" i="13" s="1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1" i="2" l="1"/>
  <c r="I19" i="2"/>
  <c r="O19" i="13" s="1"/>
  <c r="C36" i="15"/>
  <c r="I14" i="2"/>
  <c r="O14" i="13" s="1"/>
  <c r="R14" i="13" s="1"/>
  <c r="H26" i="2"/>
  <c r="H25" i="2"/>
  <c r="H21" i="2"/>
  <c r="I16" i="2"/>
  <c r="O16" i="13" s="1"/>
  <c r="P16" i="13" s="1"/>
  <c r="H32" i="2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Q14" i="13"/>
  <c r="R19" i="13"/>
  <c r="Q19" i="13"/>
  <c r="P19" i="13"/>
  <c r="Q11" i="13"/>
  <c r="R11" i="13"/>
  <c r="P11" i="13"/>
  <c r="Q10" i="13"/>
  <c r="P10" i="13"/>
  <c r="R10" i="13"/>
  <c r="P14" i="13" l="1"/>
  <c r="R16" i="13"/>
  <c r="Q16" i="13"/>
  <c r="B39" i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Ahmed Risan</author>
  </authors>
  <commentList>
    <comment ref="I3" authorId="0">
      <text>
        <r>
          <rPr>
            <b/>
            <sz val="9"/>
            <color indexed="81"/>
            <rFont val="Tahoma"/>
            <charset val="1"/>
          </rPr>
          <t>Ahmed Risan:</t>
        </r>
        <r>
          <rPr>
            <sz val="9"/>
            <color indexed="81"/>
            <rFont val="Tahoma"/>
            <charset val="1"/>
          </rPr>
          <t xml:space="preserve">
Occupency</t>
        </r>
      </text>
    </comment>
    <comment ref="J3" authorId="0">
      <text>
        <r>
          <rPr>
            <b/>
            <sz val="9"/>
            <color indexed="81"/>
            <rFont val="Tahoma"/>
            <charset val="1"/>
          </rPr>
          <t>Ahmed Risan:</t>
        </r>
        <r>
          <rPr>
            <sz val="9"/>
            <color indexed="81"/>
            <rFont val="Tahoma"/>
            <charset val="1"/>
          </rPr>
          <t xml:space="preserve">
Customer food cover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<sst xmlns="http://schemas.openxmlformats.org/spreadsheetml/2006/main" count="381" uniqueCount="155">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</sst>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4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3" xfId="0" applyNumberFormat="1" applyFont="1" applyBorder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3" fillId="14" borderId="2" xfId="0" applyFont="1" applyFill="1" applyBorder="1"/>
    <xf numFmtId="0" fontId="3" fillId="0" borderId="2" xfId="0" applyFont="1" applyBorder="1"/>
    <xf numFmtId="0" fontId="4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9" fillId="16" borderId="0" xfId="0" applyFont="1" applyFill="1" applyAlignment="1">
      <alignment horizontal="center"/>
    </xf>
    <xf numFmtId="0" fontId="20" fillId="16" borderId="0" xfId="0" applyFont="1" applyFill="1"/>
    <xf numFmtId="0" fontId="0" fillId="0" borderId="0" xfId="0" applyBorder="1"/>
    <xf numFmtId="0" fontId="20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2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2" fontId="29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3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1" fillId="25" borderId="0" xfId="9" applyNumberFormat="1" applyFont="1" applyFill="1" applyAlignment="1">
      <alignment vertical="center"/>
    </xf>
    <xf numFmtId="0" fontId="6" fillId="25" borderId="0" xfId="9" applyFont="1" applyFill="1" applyAlignment="1">
      <alignment horizontal="center" vertical="center"/>
    </xf>
    <xf numFmtId="0" fontId="6" fillId="25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6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5" borderId="4" xfId="9" applyFill="1" applyBorder="1"/>
    <xf numFmtId="0" fontId="12" fillId="5" borderId="36" xfId="9" applyFont="1" applyFill="1" applyBorder="1" applyAlignment="1">
      <alignment horizontal="center" vertical="center"/>
    </xf>
    <xf numFmtId="0" fontId="4" fillId="15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1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2" fontId="4" fillId="5" borderId="2" xfId="9" applyNumberFormat="1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2" fontId="4" fillId="5" borderId="2" xfId="9" applyNumberFormat="1" applyFont="1" applyFill="1" applyBorder="1" applyAlignment="1">
      <alignment horizontal="center"/>
    </xf>
    <xf numFmtId="0" fontId="4" fillId="0" borderId="21" xfId="9" applyFont="1" applyFill="1" applyBorder="1" applyAlignment="1">
      <alignment horizontal="center" vertical="center"/>
    </xf>
    <xf numFmtId="2" fontId="4" fillId="0" borderId="0" xfId="9" applyNumberFormat="1"/>
    <xf numFmtId="0" fontId="4" fillId="15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5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5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6" borderId="0" xfId="9" applyFont="1" applyFill="1" applyAlignment="1">
      <alignment horizontal="center" vertical="center"/>
    </xf>
    <xf numFmtId="17" fontId="3" fillId="26" borderId="0" xfId="9" applyNumberFormat="1" applyFont="1" applyFill="1" applyAlignment="1">
      <alignment horizontal="center" vertical="center"/>
    </xf>
    <xf numFmtId="0" fontId="3" fillId="26" borderId="0" xfId="9" applyFont="1" applyFill="1" applyAlignment="1">
      <alignment vertical="center"/>
    </xf>
    <xf numFmtId="0" fontId="4" fillId="26" borderId="0" xfId="9" applyFill="1" applyAlignment="1">
      <alignment horizontal="center" vertical="center"/>
    </xf>
    <xf numFmtId="0" fontId="4" fillId="26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5" fillId="17" borderId="0" xfId="13" applyFont="1" applyFill="1" applyAlignment="1">
      <alignment horizontal="center"/>
    </xf>
    <xf numFmtId="1" fontId="26" fillId="17" borderId="0" xfId="13" applyNumberFormat="1" applyFont="1" applyFill="1" applyAlignment="1">
      <alignment horizontal="center"/>
    </xf>
    <xf numFmtId="0" fontId="1" fillId="0" borderId="0" xfId="13"/>
    <xf numFmtId="0" fontId="27" fillId="18" borderId="27" xfId="13" applyFont="1" applyFill="1" applyBorder="1" applyAlignment="1">
      <alignment horizontal="center" vertical="center" wrapText="1"/>
    </xf>
    <xf numFmtId="0" fontId="24" fillId="21" borderId="10" xfId="13" applyFont="1" applyFill="1" applyBorder="1" applyAlignment="1">
      <alignment horizontal="center" vertical="center"/>
    </xf>
    <xf numFmtId="0" fontId="24" fillId="22" borderId="33" xfId="13" applyFont="1" applyFill="1" applyBorder="1" applyAlignment="1">
      <alignment horizontal="center" vertical="center" wrapText="1"/>
    </xf>
    <xf numFmtId="1" fontId="24" fillId="22" borderId="10" xfId="13" applyNumberFormat="1" applyFont="1" applyFill="1" applyBorder="1" applyAlignment="1">
      <alignment horizontal="center" vertical="center" wrapText="1"/>
    </xf>
    <xf numFmtId="0" fontId="24" fillId="22" borderId="10" xfId="13" applyFont="1" applyFill="1" applyBorder="1" applyAlignment="1">
      <alignment horizontal="center" vertical="center" wrapText="1"/>
    </xf>
    <xf numFmtId="0" fontId="24" fillId="22" borderId="10" xfId="13" applyFont="1" applyFill="1" applyBorder="1" applyAlignment="1">
      <alignment horizontal="center" wrapText="1"/>
    </xf>
    <xf numFmtId="15" fontId="29" fillId="21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9" fillId="0" borderId="0" xfId="13" applyNumberFormat="1" applyFont="1" applyAlignment="1">
      <alignment horizontal="center"/>
    </xf>
    <xf numFmtId="0" fontId="23" fillId="0" borderId="2" xfId="13" applyFont="1" applyBorder="1" applyAlignment="1">
      <alignment horizontal="center"/>
    </xf>
    <xf numFmtId="0" fontId="23" fillId="0" borderId="0" xfId="13" applyFont="1" applyAlignment="1">
      <alignment horizontal="center"/>
    </xf>
    <xf numFmtId="0" fontId="23" fillId="0" borderId="0" xfId="13" applyFont="1"/>
    <xf numFmtId="1" fontId="23" fillId="0" borderId="2" xfId="13" applyNumberFormat="1" applyFont="1" applyBorder="1" applyAlignment="1">
      <alignment horizontal="center" vertical="center"/>
    </xf>
    <xf numFmtId="15" fontId="24" fillId="21" borderId="10" xfId="13" applyNumberFormat="1" applyFont="1" applyFill="1" applyBorder="1" applyAlignment="1">
      <alignment horizontal="center" vertical="center"/>
    </xf>
    <xf numFmtId="1" fontId="30" fillId="0" borderId="2" xfId="13" applyNumberFormat="1" applyFont="1" applyBorder="1" applyAlignment="1">
      <alignment horizontal="center" vertical="center"/>
    </xf>
    <xf numFmtId="0" fontId="35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4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4" fillId="23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5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5" borderId="13" xfId="9" applyFont="1" applyFill="1" applyBorder="1"/>
    <xf numFmtId="0" fontId="4" fillId="15" borderId="0" xfId="9" applyFont="1" applyFill="1" applyBorder="1"/>
    <xf numFmtId="0" fontId="4" fillId="15" borderId="4" xfId="9" applyFont="1" applyFill="1" applyBorder="1"/>
    <xf numFmtId="165" fontId="4" fillId="5" borderId="2" xfId="1" applyNumberFormat="1" applyFont="1" applyFill="1" applyBorder="1" applyAlignment="1">
      <alignment vertical="center"/>
    </xf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25" fillId="17" borderId="2" xfId="13" applyFont="1" applyFill="1" applyBorder="1" applyAlignment="1">
      <alignment horizontal="center"/>
    </xf>
    <xf numFmtId="0" fontId="26" fillId="17" borderId="10" xfId="13" applyFont="1" applyFill="1" applyBorder="1" applyAlignment="1">
      <alignment horizontal="center"/>
    </xf>
    <xf numFmtId="0" fontId="28" fillId="19" borderId="28" xfId="13" applyFont="1" applyFill="1" applyBorder="1" applyAlignment="1">
      <alignment horizontal="center" vertical="center"/>
    </xf>
    <xf numFmtId="0" fontId="28" fillId="19" borderId="29" xfId="13" applyFont="1" applyFill="1" applyBorder="1" applyAlignment="1">
      <alignment horizontal="center" vertical="center"/>
    </xf>
    <xf numFmtId="0" fontId="28" fillId="19" borderId="30" xfId="13" applyFont="1" applyFill="1" applyBorder="1" applyAlignment="1">
      <alignment horizontal="center" vertical="center"/>
    </xf>
    <xf numFmtId="0" fontId="24" fillId="20" borderId="31" xfId="13" applyFont="1" applyFill="1" applyBorder="1" applyAlignment="1">
      <alignment horizontal="center" vertical="center" wrapText="1"/>
    </xf>
    <xf numFmtId="0" fontId="24" fillId="20" borderId="32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6" fillId="24" borderId="0" xfId="9" applyFont="1" applyFill="1" applyAlignment="1">
      <alignment horizontal="center" vertical="center"/>
    </xf>
    <xf numFmtId="0" fontId="31" fillId="25" borderId="1" xfId="9" applyFont="1" applyFill="1" applyBorder="1" applyAlignment="1">
      <alignment horizontal="center" vertical="center"/>
    </xf>
    <xf numFmtId="0" fontId="3" fillId="4" borderId="21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4" borderId="35" xfId="9" applyFont="1" applyFill="1" applyBorder="1" applyAlignment="1">
      <alignment horizontal="center" vertical="center"/>
    </xf>
    <xf numFmtId="0" fontId="3" fillId="12" borderId="21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12" borderId="35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4" fillId="26" borderId="0" xfId="9" applyFont="1" applyFill="1" applyBorder="1" applyAlignment="1">
      <alignment horizontal="center" vertical="center"/>
    </xf>
    <xf numFmtId="16" fontId="3" fillId="5" borderId="21" xfId="9" applyNumberFormat="1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3" fillId="5" borderId="35" xfId="9" applyFont="1" applyFill="1" applyBorder="1" applyAlignment="1">
      <alignment horizontal="right" vertical="center"/>
    </xf>
    <xf numFmtId="0" fontId="19" fillId="16" borderId="0" xfId="0" applyFont="1" applyFill="1" applyAlignment="1">
      <alignment horizontal="center"/>
    </xf>
    <xf numFmtId="168" fontId="21" fillId="16" borderId="0" xfId="0" applyNumberFormat="1" applyFont="1" applyFill="1" applyAlignment="1">
      <alignment horizontal="left"/>
    </xf>
    <xf numFmtId="0" fontId="21" fillId="16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3048</c:v>
                </c:pt>
                <c:pt idx="1">
                  <c:v>3298</c:v>
                </c:pt>
                <c:pt idx="2">
                  <c:v>3337</c:v>
                </c:pt>
                <c:pt idx="3">
                  <c:v>3488</c:v>
                </c:pt>
                <c:pt idx="4">
                  <c:v>3413</c:v>
                </c:pt>
                <c:pt idx="5">
                  <c:v>3362</c:v>
                </c:pt>
                <c:pt idx="6">
                  <c:v>3480</c:v>
                </c:pt>
                <c:pt idx="7">
                  <c:v>3706</c:v>
                </c:pt>
                <c:pt idx="8">
                  <c:v>3467</c:v>
                </c:pt>
                <c:pt idx="9">
                  <c:v>3500</c:v>
                </c:pt>
                <c:pt idx="10">
                  <c:v>3355</c:v>
                </c:pt>
                <c:pt idx="11">
                  <c:v>3328</c:v>
                </c:pt>
                <c:pt idx="12">
                  <c:v>3475</c:v>
                </c:pt>
                <c:pt idx="13">
                  <c:v>3635</c:v>
                </c:pt>
                <c:pt idx="14">
                  <c:v>3720</c:v>
                </c:pt>
                <c:pt idx="15">
                  <c:v>3685</c:v>
                </c:pt>
                <c:pt idx="16">
                  <c:v>3784</c:v>
                </c:pt>
                <c:pt idx="17">
                  <c:v>3865</c:v>
                </c:pt>
                <c:pt idx="18">
                  <c:v>3981</c:v>
                </c:pt>
                <c:pt idx="19">
                  <c:v>3838</c:v>
                </c:pt>
                <c:pt idx="20">
                  <c:v>-25267670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4290</c:v>
                </c:pt>
                <c:pt idx="1">
                  <c:v>5222</c:v>
                </c:pt>
                <c:pt idx="2">
                  <c:v>5153</c:v>
                </c:pt>
                <c:pt idx="3">
                  <c:v>5371</c:v>
                </c:pt>
                <c:pt idx="4">
                  <c:v>4682</c:v>
                </c:pt>
                <c:pt idx="5">
                  <c:v>4460</c:v>
                </c:pt>
                <c:pt idx="6">
                  <c:v>4671</c:v>
                </c:pt>
                <c:pt idx="7">
                  <c:v>4998</c:v>
                </c:pt>
                <c:pt idx="8">
                  <c:v>4840</c:v>
                </c:pt>
                <c:pt idx="9">
                  <c:v>4536</c:v>
                </c:pt>
                <c:pt idx="10">
                  <c:v>4397</c:v>
                </c:pt>
                <c:pt idx="11">
                  <c:v>4175</c:v>
                </c:pt>
                <c:pt idx="12">
                  <c:v>4446</c:v>
                </c:pt>
                <c:pt idx="13">
                  <c:v>4594</c:v>
                </c:pt>
                <c:pt idx="14">
                  <c:v>4489</c:v>
                </c:pt>
                <c:pt idx="15">
                  <c:v>4342</c:v>
                </c:pt>
                <c:pt idx="16">
                  <c:v>5021</c:v>
                </c:pt>
                <c:pt idx="17">
                  <c:v>5195</c:v>
                </c:pt>
                <c:pt idx="18">
                  <c:v>5356</c:v>
                </c:pt>
                <c:pt idx="19">
                  <c:v>5169</c:v>
                </c:pt>
                <c:pt idx="20">
                  <c:v>-22213930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825984"/>
        <c:axId val="340827520"/>
      </c:lineChart>
      <c:catAx>
        <c:axId val="340825984"/>
        <c:scaling>
          <c:orientation val="minMax"/>
        </c:scaling>
        <c:delete val="0"/>
        <c:axPos val="b"/>
        <c:majorTickMark val="out"/>
        <c:minorTickMark val="none"/>
        <c:tickLblPos val="nextTo"/>
        <c:crossAx val="340827520"/>
        <c:crosses val="autoZero"/>
        <c:auto val="1"/>
        <c:lblAlgn val="ctr"/>
        <c:lblOffset val="100"/>
        <c:noMultiLvlLbl val="0"/>
      </c:catAx>
      <c:valAx>
        <c:axId val="340827520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0825984"/>
        <c:crosses val="autoZero"/>
        <c:crossBetween val="between"/>
        <c:majorUnit val="5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13432</c:v>
                </c:pt>
                <c:pt idx="1">
                  <c:v>12528</c:v>
                </c:pt>
                <c:pt idx="2">
                  <c:v>13313</c:v>
                </c:pt>
                <c:pt idx="3">
                  <c:v>13585</c:v>
                </c:pt>
                <c:pt idx="4">
                  <c:v>12877</c:v>
                </c:pt>
                <c:pt idx="5">
                  <c:v>12746</c:v>
                </c:pt>
                <c:pt idx="6">
                  <c:v>13417</c:v>
                </c:pt>
                <c:pt idx="7">
                  <c:v>13885</c:v>
                </c:pt>
                <c:pt idx="8">
                  <c:v>13318</c:v>
                </c:pt>
                <c:pt idx="9">
                  <c:v>13649</c:v>
                </c:pt>
                <c:pt idx="10">
                  <c:v>13317</c:v>
                </c:pt>
                <c:pt idx="11">
                  <c:v>13466</c:v>
                </c:pt>
                <c:pt idx="12">
                  <c:v>13155</c:v>
                </c:pt>
                <c:pt idx="13">
                  <c:v>14035</c:v>
                </c:pt>
                <c:pt idx="14">
                  <c:v>14392</c:v>
                </c:pt>
                <c:pt idx="15">
                  <c:v>13825</c:v>
                </c:pt>
                <c:pt idx="16">
                  <c:v>14463</c:v>
                </c:pt>
                <c:pt idx="17">
                  <c:v>14725</c:v>
                </c:pt>
                <c:pt idx="18">
                  <c:v>15134</c:v>
                </c:pt>
                <c:pt idx="19">
                  <c:v>14762</c:v>
                </c:pt>
                <c:pt idx="20">
                  <c:v>-84413932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604608"/>
        <c:axId val="337606144"/>
      </c:lineChart>
      <c:catAx>
        <c:axId val="337604608"/>
        <c:scaling>
          <c:orientation val="minMax"/>
        </c:scaling>
        <c:delete val="0"/>
        <c:axPos val="b"/>
        <c:majorTickMark val="out"/>
        <c:minorTickMark val="none"/>
        <c:tickLblPos val="nextTo"/>
        <c:crossAx val="337606144"/>
        <c:crosses val="autoZero"/>
        <c:auto val="1"/>
        <c:lblAlgn val="ctr"/>
        <c:lblOffset val="100"/>
        <c:noMultiLvlLbl val="0"/>
      </c:catAx>
      <c:valAx>
        <c:axId val="33760614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604608"/>
        <c:crosses val="autoZero"/>
        <c:crossBetween val="between"/>
        <c:majorUnit val="1000"/>
      </c:valAx>
    </c:plotArea>
    <c:legend>
      <c:legendPos val="r"/>
      <c:layout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1800</c:v>
                </c:pt>
                <c:pt idx="1">
                  <c:v>2000</c:v>
                </c:pt>
                <c:pt idx="2">
                  <c:v>2000</c:v>
                </c:pt>
                <c:pt idx="3">
                  <c:v>2100</c:v>
                </c:pt>
                <c:pt idx="4">
                  <c:v>2000</c:v>
                </c:pt>
                <c:pt idx="5">
                  <c:v>2000</c:v>
                </c:pt>
                <c:pt idx="6">
                  <c:v>2100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1900</c:v>
                </c:pt>
                <c:pt idx="11">
                  <c:v>1900</c:v>
                </c:pt>
                <c:pt idx="12">
                  <c:v>1800</c:v>
                </c:pt>
                <c:pt idx="13">
                  <c:v>1900</c:v>
                </c:pt>
                <c:pt idx="14">
                  <c:v>1900</c:v>
                </c:pt>
                <c:pt idx="15">
                  <c:v>1900</c:v>
                </c:pt>
                <c:pt idx="16">
                  <c:v>1900</c:v>
                </c:pt>
                <c:pt idx="17">
                  <c:v>2100</c:v>
                </c:pt>
                <c:pt idx="18">
                  <c:v>2200</c:v>
                </c:pt>
                <c:pt idx="19">
                  <c:v>1900</c:v>
                </c:pt>
                <c:pt idx="20">
                  <c:v>-1827200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2549</c:v>
                </c:pt>
                <c:pt idx="1">
                  <c:v>2705</c:v>
                </c:pt>
                <c:pt idx="2">
                  <c:v>2778</c:v>
                </c:pt>
                <c:pt idx="3">
                  <c:v>2879</c:v>
                </c:pt>
                <c:pt idx="4">
                  <c:v>2777</c:v>
                </c:pt>
                <c:pt idx="5">
                  <c:v>2677</c:v>
                </c:pt>
                <c:pt idx="6">
                  <c:v>2838</c:v>
                </c:pt>
                <c:pt idx="7">
                  <c:v>2921</c:v>
                </c:pt>
                <c:pt idx="8">
                  <c:v>2698</c:v>
                </c:pt>
                <c:pt idx="9">
                  <c:v>2701</c:v>
                </c:pt>
                <c:pt idx="10">
                  <c:v>2622</c:v>
                </c:pt>
                <c:pt idx="11">
                  <c:v>2623</c:v>
                </c:pt>
                <c:pt idx="12">
                  <c:v>2647</c:v>
                </c:pt>
                <c:pt idx="13">
                  <c:v>2712</c:v>
                </c:pt>
                <c:pt idx="14">
                  <c:v>2734</c:v>
                </c:pt>
                <c:pt idx="15">
                  <c:v>2645</c:v>
                </c:pt>
                <c:pt idx="16">
                  <c:v>2634</c:v>
                </c:pt>
                <c:pt idx="17">
                  <c:v>2680</c:v>
                </c:pt>
                <c:pt idx="18">
                  <c:v>2817</c:v>
                </c:pt>
                <c:pt idx="19">
                  <c:v>2610</c:v>
                </c:pt>
                <c:pt idx="20">
                  <c:v>-2470243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5900</c:v>
                </c:pt>
                <c:pt idx="1">
                  <c:v>6400</c:v>
                </c:pt>
                <c:pt idx="2">
                  <c:v>6300</c:v>
                </c:pt>
                <c:pt idx="3">
                  <c:v>6400</c:v>
                </c:pt>
                <c:pt idx="4">
                  <c:v>6000</c:v>
                </c:pt>
                <c:pt idx="5">
                  <c:v>5900</c:v>
                </c:pt>
                <c:pt idx="6">
                  <c:v>6500</c:v>
                </c:pt>
                <c:pt idx="7">
                  <c:v>6600</c:v>
                </c:pt>
                <c:pt idx="8">
                  <c:v>6400</c:v>
                </c:pt>
                <c:pt idx="9">
                  <c:v>6500</c:v>
                </c:pt>
                <c:pt idx="10">
                  <c:v>5600</c:v>
                </c:pt>
                <c:pt idx="11">
                  <c:v>6100</c:v>
                </c:pt>
                <c:pt idx="12">
                  <c:v>6100</c:v>
                </c:pt>
                <c:pt idx="13">
                  <c:v>6700</c:v>
                </c:pt>
                <c:pt idx="14">
                  <c:v>6700</c:v>
                </c:pt>
                <c:pt idx="15">
                  <c:v>6500</c:v>
                </c:pt>
                <c:pt idx="16">
                  <c:v>7100</c:v>
                </c:pt>
                <c:pt idx="17">
                  <c:v>6800</c:v>
                </c:pt>
                <c:pt idx="18">
                  <c:v>6300</c:v>
                </c:pt>
                <c:pt idx="19">
                  <c:v>6300</c:v>
                </c:pt>
                <c:pt idx="20">
                  <c:v>-7149900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2300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1700</c:v>
                </c:pt>
                <c:pt idx="5">
                  <c:v>1900</c:v>
                </c:pt>
                <c:pt idx="6">
                  <c:v>1700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1600</c:v>
                </c:pt>
                <c:pt idx="11">
                  <c:v>2000</c:v>
                </c:pt>
                <c:pt idx="12">
                  <c:v>2000</c:v>
                </c:pt>
                <c:pt idx="13">
                  <c:v>1900</c:v>
                </c:pt>
                <c:pt idx="14">
                  <c:v>2100</c:v>
                </c:pt>
                <c:pt idx="15">
                  <c:v>2500</c:v>
                </c:pt>
                <c:pt idx="16">
                  <c:v>2100</c:v>
                </c:pt>
                <c:pt idx="17">
                  <c:v>2400</c:v>
                </c:pt>
                <c:pt idx="18">
                  <c:v>2400</c:v>
                </c:pt>
                <c:pt idx="19">
                  <c:v>2300</c:v>
                </c:pt>
                <c:pt idx="20">
                  <c:v>-1595300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653120"/>
        <c:axId val="33769177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642560</c:v>
                </c:pt>
                <c:pt idx="1">
                  <c:v>643470</c:v>
                </c:pt>
                <c:pt idx="2">
                  <c:v>644270</c:v>
                </c:pt>
                <c:pt idx="3">
                  <c:v>645120</c:v>
                </c:pt>
                <c:pt idx="4">
                  <c:v>645930</c:v>
                </c:pt>
                <c:pt idx="5">
                  <c:v>646750</c:v>
                </c:pt>
                <c:pt idx="6">
                  <c:v>647550</c:v>
                </c:pt>
                <c:pt idx="7">
                  <c:v>648410</c:v>
                </c:pt>
                <c:pt idx="8">
                  <c:v>649310</c:v>
                </c:pt>
                <c:pt idx="9">
                  <c:v>650210</c:v>
                </c:pt>
                <c:pt idx="10">
                  <c:v>651090</c:v>
                </c:pt>
                <c:pt idx="11">
                  <c:v>651960</c:v>
                </c:pt>
                <c:pt idx="12">
                  <c:v>652800</c:v>
                </c:pt>
                <c:pt idx="13">
                  <c:v>653630</c:v>
                </c:pt>
                <c:pt idx="14">
                  <c:v>654510</c:v>
                </c:pt>
                <c:pt idx="15">
                  <c:v>655350</c:v>
                </c:pt>
                <c:pt idx="16">
                  <c:v>656220</c:v>
                </c:pt>
                <c:pt idx="17">
                  <c:v>657080</c:v>
                </c:pt>
                <c:pt idx="18">
                  <c:v>657960</c:v>
                </c:pt>
                <c:pt idx="19">
                  <c:v>658890</c:v>
                </c:pt>
                <c:pt idx="20">
                  <c:v>659770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703296"/>
        <c:axId val="337693312"/>
      </c:lineChart>
      <c:catAx>
        <c:axId val="337653120"/>
        <c:scaling>
          <c:orientation val="minMax"/>
        </c:scaling>
        <c:delete val="0"/>
        <c:axPos val="b"/>
        <c:majorTickMark val="out"/>
        <c:minorTickMark val="none"/>
        <c:tickLblPos val="nextTo"/>
        <c:crossAx val="337691776"/>
        <c:crosses val="autoZero"/>
        <c:auto val="1"/>
        <c:lblAlgn val="ctr"/>
        <c:lblOffset val="100"/>
        <c:noMultiLvlLbl val="0"/>
      </c:catAx>
      <c:valAx>
        <c:axId val="33769177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653120"/>
        <c:crosses val="autoZero"/>
        <c:crossBetween val="between"/>
        <c:minorUnit val="100"/>
      </c:valAx>
      <c:valAx>
        <c:axId val="337693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37703296"/>
        <c:crosses val="max"/>
        <c:crossBetween val="between"/>
      </c:valAx>
      <c:catAx>
        <c:axId val="337703296"/>
        <c:scaling>
          <c:orientation val="minMax"/>
        </c:scaling>
        <c:delete val="1"/>
        <c:axPos val="b"/>
        <c:majorTickMark val="out"/>
        <c:minorTickMark val="none"/>
        <c:tickLblPos val="nextTo"/>
        <c:crossAx val="33769331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27179</c:v>
                </c:pt>
                <c:pt idx="1">
                  <c:v>27052</c:v>
                </c:pt>
                <c:pt idx="2">
                  <c:v>27844</c:v>
                </c:pt>
                <c:pt idx="3">
                  <c:v>28535</c:v>
                </c:pt>
                <c:pt idx="4">
                  <c:v>27066</c:v>
                </c:pt>
                <c:pt idx="5">
                  <c:v>27114</c:v>
                </c:pt>
                <c:pt idx="6">
                  <c:v>27684</c:v>
                </c:pt>
                <c:pt idx="7">
                  <c:v>28636</c:v>
                </c:pt>
                <c:pt idx="8">
                  <c:v>27903</c:v>
                </c:pt>
                <c:pt idx="9">
                  <c:v>27665</c:v>
                </c:pt>
                <c:pt idx="10">
                  <c:v>26582</c:v>
                </c:pt>
                <c:pt idx="11">
                  <c:v>27100</c:v>
                </c:pt>
                <c:pt idx="12">
                  <c:v>27484</c:v>
                </c:pt>
                <c:pt idx="13">
                  <c:v>28428</c:v>
                </c:pt>
                <c:pt idx="14">
                  <c:v>29204</c:v>
                </c:pt>
                <c:pt idx="15">
                  <c:v>28904</c:v>
                </c:pt>
                <c:pt idx="16">
                  <c:v>29746</c:v>
                </c:pt>
                <c:pt idx="17">
                  <c:v>30545</c:v>
                </c:pt>
                <c:pt idx="18">
                  <c:v>30969</c:v>
                </c:pt>
                <c:pt idx="19">
                  <c:v>30404</c:v>
                </c:pt>
                <c:pt idx="20">
                  <c:v>-87501837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921536"/>
        <c:axId val="337923072"/>
      </c:barChart>
      <c:catAx>
        <c:axId val="337921536"/>
        <c:scaling>
          <c:orientation val="minMax"/>
        </c:scaling>
        <c:delete val="0"/>
        <c:axPos val="b"/>
        <c:majorTickMark val="out"/>
        <c:minorTickMark val="none"/>
        <c:tickLblPos val="nextTo"/>
        <c:crossAx val="337923072"/>
        <c:crosses val="autoZero"/>
        <c:auto val="1"/>
        <c:lblAlgn val="ctr"/>
        <c:lblOffset val="100"/>
        <c:noMultiLvlLbl val="0"/>
      </c:catAx>
      <c:valAx>
        <c:axId val="33792307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37921536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931648"/>
        <c:axId val="337941632"/>
      </c:barChart>
      <c:catAx>
        <c:axId val="337931648"/>
        <c:scaling>
          <c:orientation val="minMax"/>
        </c:scaling>
        <c:delete val="0"/>
        <c:axPos val="b"/>
        <c:majorTickMark val="out"/>
        <c:minorTickMark val="none"/>
        <c:tickLblPos val="nextTo"/>
        <c:crossAx val="337941632"/>
        <c:crosses val="autoZero"/>
        <c:auto val="1"/>
        <c:lblAlgn val="ctr"/>
        <c:lblOffset val="100"/>
        <c:noMultiLvlLbl val="0"/>
      </c:catAx>
      <c:valAx>
        <c:axId val="337941632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931648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954304"/>
        <c:axId val="337955840"/>
      </c:barChart>
      <c:catAx>
        <c:axId val="337954304"/>
        <c:scaling>
          <c:orientation val="minMax"/>
        </c:scaling>
        <c:delete val="0"/>
        <c:axPos val="b"/>
        <c:majorTickMark val="out"/>
        <c:minorTickMark val="none"/>
        <c:tickLblPos val="nextTo"/>
        <c:crossAx val="337955840"/>
        <c:crosses val="autoZero"/>
        <c:auto val="1"/>
        <c:lblAlgn val="ctr"/>
        <c:lblOffset val="100"/>
        <c:noMultiLvlLbl val="0"/>
      </c:catAx>
      <c:valAx>
        <c:axId val="33795584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954304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3048</c:v>
                </c:pt>
                <c:pt idx="1">
                  <c:v>3298</c:v>
                </c:pt>
                <c:pt idx="2">
                  <c:v>3337</c:v>
                </c:pt>
                <c:pt idx="3">
                  <c:v>3488</c:v>
                </c:pt>
                <c:pt idx="4">
                  <c:v>3413</c:v>
                </c:pt>
                <c:pt idx="5">
                  <c:v>3362</c:v>
                </c:pt>
                <c:pt idx="6">
                  <c:v>3480</c:v>
                </c:pt>
                <c:pt idx="7">
                  <c:v>3706</c:v>
                </c:pt>
                <c:pt idx="8">
                  <c:v>3467</c:v>
                </c:pt>
                <c:pt idx="9">
                  <c:v>3500</c:v>
                </c:pt>
                <c:pt idx="10">
                  <c:v>3355</c:v>
                </c:pt>
                <c:pt idx="11">
                  <c:v>3328</c:v>
                </c:pt>
                <c:pt idx="12">
                  <c:v>3475</c:v>
                </c:pt>
                <c:pt idx="13">
                  <c:v>3635</c:v>
                </c:pt>
                <c:pt idx="14">
                  <c:v>3720</c:v>
                </c:pt>
                <c:pt idx="15">
                  <c:v>3685</c:v>
                </c:pt>
                <c:pt idx="16">
                  <c:v>3784</c:v>
                </c:pt>
                <c:pt idx="17">
                  <c:v>3865</c:v>
                </c:pt>
                <c:pt idx="18">
                  <c:v>3981</c:v>
                </c:pt>
                <c:pt idx="19">
                  <c:v>3838</c:v>
                </c:pt>
                <c:pt idx="20">
                  <c:v>-25267670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4290</c:v>
                </c:pt>
                <c:pt idx="1">
                  <c:v>5222</c:v>
                </c:pt>
                <c:pt idx="2">
                  <c:v>5153</c:v>
                </c:pt>
                <c:pt idx="3">
                  <c:v>5371</c:v>
                </c:pt>
                <c:pt idx="4">
                  <c:v>4682</c:v>
                </c:pt>
                <c:pt idx="5">
                  <c:v>4460</c:v>
                </c:pt>
                <c:pt idx="6">
                  <c:v>4671</c:v>
                </c:pt>
                <c:pt idx="7">
                  <c:v>4998</c:v>
                </c:pt>
                <c:pt idx="8">
                  <c:v>4840</c:v>
                </c:pt>
                <c:pt idx="9">
                  <c:v>4536</c:v>
                </c:pt>
                <c:pt idx="10">
                  <c:v>4397</c:v>
                </c:pt>
                <c:pt idx="11">
                  <c:v>4175</c:v>
                </c:pt>
                <c:pt idx="12">
                  <c:v>4446</c:v>
                </c:pt>
                <c:pt idx="13">
                  <c:v>4594</c:v>
                </c:pt>
                <c:pt idx="14">
                  <c:v>4489</c:v>
                </c:pt>
                <c:pt idx="15">
                  <c:v>4342</c:v>
                </c:pt>
                <c:pt idx="16">
                  <c:v>5021</c:v>
                </c:pt>
                <c:pt idx="17">
                  <c:v>5195</c:v>
                </c:pt>
                <c:pt idx="18">
                  <c:v>5356</c:v>
                </c:pt>
                <c:pt idx="19">
                  <c:v>5169</c:v>
                </c:pt>
                <c:pt idx="20">
                  <c:v>-22213930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13432</c:v>
                </c:pt>
                <c:pt idx="1">
                  <c:v>12528</c:v>
                </c:pt>
                <c:pt idx="2">
                  <c:v>13313</c:v>
                </c:pt>
                <c:pt idx="3">
                  <c:v>13585</c:v>
                </c:pt>
                <c:pt idx="4">
                  <c:v>12877</c:v>
                </c:pt>
                <c:pt idx="5">
                  <c:v>12746</c:v>
                </c:pt>
                <c:pt idx="6">
                  <c:v>13417</c:v>
                </c:pt>
                <c:pt idx="7">
                  <c:v>13885</c:v>
                </c:pt>
                <c:pt idx="8">
                  <c:v>13318</c:v>
                </c:pt>
                <c:pt idx="9">
                  <c:v>13649</c:v>
                </c:pt>
                <c:pt idx="10">
                  <c:v>13317</c:v>
                </c:pt>
                <c:pt idx="11">
                  <c:v>13466</c:v>
                </c:pt>
                <c:pt idx="12">
                  <c:v>13155</c:v>
                </c:pt>
                <c:pt idx="13">
                  <c:v>14035</c:v>
                </c:pt>
                <c:pt idx="14">
                  <c:v>14392</c:v>
                </c:pt>
                <c:pt idx="15">
                  <c:v>13825</c:v>
                </c:pt>
                <c:pt idx="16">
                  <c:v>14463</c:v>
                </c:pt>
                <c:pt idx="17">
                  <c:v>14725</c:v>
                </c:pt>
                <c:pt idx="18">
                  <c:v>15134</c:v>
                </c:pt>
                <c:pt idx="19">
                  <c:v>14762</c:v>
                </c:pt>
                <c:pt idx="20">
                  <c:v>-84413932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1800</c:v>
                </c:pt>
                <c:pt idx="1">
                  <c:v>2000</c:v>
                </c:pt>
                <c:pt idx="2">
                  <c:v>2000</c:v>
                </c:pt>
                <c:pt idx="3">
                  <c:v>2100</c:v>
                </c:pt>
                <c:pt idx="4">
                  <c:v>2000</c:v>
                </c:pt>
                <c:pt idx="5">
                  <c:v>2000</c:v>
                </c:pt>
                <c:pt idx="6">
                  <c:v>2100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1900</c:v>
                </c:pt>
                <c:pt idx="11">
                  <c:v>1900</c:v>
                </c:pt>
                <c:pt idx="12">
                  <c:v>1800</c:v>
                </c:pt>
                <c:pt idx="13">
                  <c:v>1900</c:v>
                </c:pt>
                <c:pt idx="14">
                  <c:v>1900</c:v>
                </c:pt>
                <c:pt idx="15">
                  <c:v>1900</c:v>
                </c:pt>
                <c:pt idx="16">
                  <c:v>1900</c:v>
                </c:pt>
                <c:pt idx="17">
                  <c:v>2100</c:v>
                </c:pt>
                <c:pt idx="18">
                  <c:v>2200</c:v>
                </c:pt>
                <c:pt idx="19">
                  <c:v>1900</c:v>
                </c:pt>
                <c:pt idx="20">
                  <c:v>-1827200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2549</c:v>
                </c:pt>
                <c:pt idx="1">
                  <c:v>2705</c:v>
                </c:pt>
                <c:pt idx="2">
                  <c:v>2778</c:v>
                </c:pt>
                <c:pt idx="3">
                  <c:v>2879</c:v>
                </c:pt>
                <c:pt idx="4">
                  <c:v>2777</c:v>
                </c:pt>
                <c:pt idx="5">
                  <c:v>2677</c:v>
                </c:pt>
                <c:pt idx="6">
                  <c:v>2838</c:v>
                </c:pt>
                <c:pt idx="7">
                  <c:v>2921</c:v>
                </c:pt>
                <c:pt idx="8">
                  <c:v>2698</c:v>
                </c:pt>
                <c:pt idx="9">
                  <c:v>2701</c:v>
                </c:pt>
                <c:pt idx="10">
                  <c:v>2622</c:v>
                </c:pt>
                <c:pt idx="11">
                  <c:v>2623</c:v>
                </c:pt>
                <c:pt idx="12">
                  <c:v>2647</c:v>
                </c:pt>
                <c:pt idx="13">
                  <c:v>2712</c:v>
                </c:pt>
                <c:pt idx="14">
                  <c:v>2734</c:v>
                </c:pt>
                <c:pt idx="15">
                  <c:v>2645</c:v>
                </c:pt>
                <c:pt idx="16">
                  <c:v>2634</c:v>
                </c:pt>
                <c:pt idx="17">
                  <c:v>2680</c:v>
                </c:pt>
                <c:pt idx="18">
                  <c:v>2817</c:v>
                </c:pt>
                <c:pt idx="19">
                  <c:v>2610</c:v>
                </c:pt>
                <c:pt idx="20">
                  <c:v>-2470243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1300</c:v>
                </c:pt>
                <c:pt idx="2">
                  <c:v>1400</c:v>
                </c:pt>
                <c:pt idx="3">
                  <c:v>1800</c:v>
                </c:pt>
                <c:pt idx="4">
                  <c:v>1600</c:v>
                </c:pt>
                <c:pt idx="5">
                  <c:v>1500</c:v>
                </c:pt>
                <c:pt idx="6">
                  <c:v>1800</c:v>
                </c:pt>
                <c:pt idx="7">
                  <c:v>1800</c:v>
                </c:pt>
                <c:pt idx="8">
                  <c:v>1600</c:v>
                </c:pt>
                <c:pt idx="9">
                  <c:v>1900</c:v>
                </c:pt>
                <c:pt idx="10">
                  <c:v>1800</c:v>
                </c:pt>
                <c:pt idx="11">
                  <c:v>1800</c:v>
                </c:pt>
                <c:pt idx="12">
                  <c:v>1700</c:v>
                </c:pt>
                <c:pt idx="13">
                  <c:v>2000</c:v>
                </c:pt>
                <c:pt idx="14">
                  <c:v>2400</c:v>
                </c:pt>
                <c:pt idx="15">
                  <c:v>1600</c:v>
                </c:pt>
                <c:pt idx="16">
                  <c:v>2200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-1495100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490</c:v>
                </c:pt>
                <c:pt idx="1">
                  <c:v>523</c:v>
                </c:pt>
                <c:pt idx="2">
                  <c:v>487</c:v>
                </c:pt>
                <c:pt idx="3">
                  <c:v>502</c:v>
                </c:pt>
                <c:pt idx="4">
                  <c:v>495</c:v>
                </c:pt>
                <c:pt idx="5">
                  <c:v>447</c:v>
                </c:pt>
                <c:pt idx="6">
                  <c:v>483</c:v>
                </c:pt>
                <c:pt idx="7">
                  <c:v>531</c:v>
                </c:pt>
                <c:pt idx="8">
                  <c:v>504</c:v>
                </c:pt>
                <c:pt idx="9">
                  <c:v>546</c:v>
                </c:pt>
                <c:pt idx="10">
                  <c:v>588</c:v>
                </c:pt>
                <c:pt idx="11">
                  <c:v>621</c:v>
                </c:pt>
                <c:pt idx="12">
                  <c:v>609</c:v>
                </c:pt>
                <c:pt idx="13">
                  <c:v>647</c:v>
                </c:pt>
                <c:pt idx="14">
                  <c:v>541</c:v>
                </c:pt>
                <c:pt idx="15">
                  <c:v>611</c:v>
                </c:pt>
                <c:pt idx="16">
                  <c:v>627</c:v>
                </c:pt>
                <c:pt idx="17">
                  <c:v>710</c:v>
                </c:pt>
                <c:pt idx="18">
                  <c:v>757</c:v>
                </c:pt>
                <c:pt idx="19">
                  <c:v>761</c:v>
                </c:pt>
                <c:pt idx="20">
                  <c:v>-689639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5900</c:v>
                </c:pt>
                <c:pt idx="1">
                  <c:v>6400</c:v>
                </c:pt>
                <c:pt idx="2">
                  <c:v>6300</c:v>
                </c:pt>
                <c:pt idx="3">
                  <c:v>6400</c:v>
                </c:pt>
                <c:pt idx="4">
                  <c:v>6000</c:v>
                </c:pt>
                <c:pt idx="5">
                  <c:v>5900</c:v>
                </c:pt>
                <c:pt idx="6">
                  <c:v>6500</c:v>
                </c:pt>
                <c:pt idx="7">
                  <c:v>6600</c:v>
                </c:pt>
                <c:pt idx="8">
                  <c:v>6400</c:v>
                </c:pt>
                <c:pt idx="9">
                  <c:v>6500</c:v>
                </c:pt>
                <c:pt idx="10">
                  <c:v>5600</c:v>
                </c:pt>
                <c:pt idx="11">
                  <c:v>6100</c:v>
                </c:pt>
                <c:pt idx="12">
                  <c:v>6100</c:v>
                </c:pt>
                <c:pt idx="13">
                  <c:v>6700</c:v>
                </c:pt>
                <c:pt idx="14">
                  <c:v>6700</c:v>
                </c:pt>
                <c:pt idx="15">
                  <c:v>6500</c:v>
                </c:pt>
                <c:pt idx="16">
                  <c:v>7100</c:v>
                </c:pt>
                <c:pt idx="17">
                  <c:v>6800</c:v>
                </c:pt>
                <c:pt idx="18">
                  <c:v>6300</c:v>
                </c:pt>
                <c:pt idx="19">
                  <c:v>6300</c:v>
                </c:pt>
                <c:pt idx="20">
                  <c:v>-7149900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2300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1700</c:v>
                </c:pt>
                <c:pt idx="5">
                  <c:v>1900</c:v>
                </c:pt>
                <c:pt idx="6">
                  <c:v>1700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1600</c:v>
                </c:pt>
                <c:pt idx="11">
                  <c:v>2000</c:v>
                </c:pt>
                <c:pt idx="12">
                  <c:v>2000</c:v>
                </c:pt>
                <c:pt idx="13">
                  <c:v>1900</c:v>
                </c:pt>
                <c:pt idx="14">
                  <c:v>2100</c:v>
                </c:pt>
                <c:pt idx="15">
                  <c:v>2500</c:v>
                </c:pt>
                <c:pt idx="16">
                  <c:v>2100</c:v>
                </c:pt>
                <c:pt idx="17">
                  <c:v>2400</c:v>
                </c:pt>
                <c:pt idx="18">
                  <c:v>2400</c:v>
                </c:pt>
                <c:pt idx="19">
                  <c:v>2300</c:v>
                </c:pt>
                <c:pt idx="20">
                  <c:v>-1595300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-1555800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424</c:v>
                </c:pt>
                <c:pt idx="1">
                  <c:v>461</c:v>
                </c:pt>
                <c:pt idx="2">
                  <c:v>524</c:v>
                </c:pt>
                <c:pt idx="3">
                  <c:v>482</c:v>
                </c:pt>
                <c:pt idx="4">
                  <c:v>437</c:v>
                </c:pt>
                <c:pt idx="5">
                  <c:v>392</c:v>
                </c:pt>
                <c:pt idx="6">
                  <c:v>424</c:v>
                </c:pt>
                <c:pt idx="7">
                  <c:v>489</c:v>
                </c:pt>
                <c:pt idx="8">
                  <c:v>427</c:v>
                </c:pt>
                <c:pt idx="9">
                  <c:v>423</c:v>
                </c:pt>
                <c:pt idx="10">
                  <c:v>419</c:v>
                </c:pt>
                <c:pt idx="11">
                  <c:v>430</c:v>
                </c:pt>
                <c:pt idx="12">
                  <c:v>401</c:v>
                </c:pt>
                <c:pt idx="13">
                  <c:v>595</c:v>
                </c:pt>
                <c:pt idx="14">
                  <c:v>177</c:v>
                </c:pt>
                <c:pt idx="15">
                  <c:v>401</c:v>
                </c:pt>
                <c:pt idx="16">
                  <c:v>424</c:v>
                </c:pt>
                <c:pt idx="17">
                  <c:v>381</c:v>
                </c:pt>
                <c:pt idx="18">
                  <c:v>505</c:v>
                </c:pt>
                <c:pt idx="19">
                  <c:v>430</c:v>
                </c:pt>
                <c:pt idx="20">
                  <c:v>-464151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512896"/>
        <c:axId val="338518784"/>
      </c:lineChart>
      <c:catAx>
        <c:axId val="338512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18784"/>
        <c:crosses val="autoZero"/>
        <c:auto val="1"/>
        <c:lblAlgn val="ctr"/>
        <c:lblOffset val="100"/>
        <c:noMultiLvlLbl val="0"/>
      </c:catAx>
      <c:valAx>
        <c:axId val="338518784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1289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0"/>
  <sheetViews>
    <sheetView topLeftCell="A4" workbookViewId="0">
      <selection activeCell="L20" sqref="L20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95" t="s">
        <v>129</v>
      </c>
      <c r="B1" s="195" t="s">
        <v>42</v>
      </c>
      <c r="C1" s="196" t="s">
        <v>3</v>
      </c>
      <c r="D1" s="195" t="s">
        <v>4</v>
      </c>
      <c r="E1" s="197" t="s">
        <v>130</v>
      </c>
      <c r="F1" s="198" t="s">
        <v>131</v>
      </c>
      <c r="G1" s="197" t="s">
        <v>132</v>
      </c>
      <c r="H1" s="198" t="s">
        <v>133</v>
      </c>
      <c r="I1" s="197" t="s">
        <v>134</v>
      </c>
      <c r="J1" s="199" t="s">
        <v>135</v>
      </c>
      <c r="K1" s="197" t="s">
        <v>136</v>
      </c>
      <c r="L1" s="197" t="s">
        <v>137</v>
      </c>
    </row>
    <row r="2" spans="1:12" ht="15" x14ac:dyDescent="0.25">
      <c r="A2" s="200" t="s">
        <v>138</v>
      </c>
      <c r="B2" s="200">
        <v>1</v>
      </c>
      <c r="C2" s="201">
        <v>2</v>
      </c>
      <c r="D2" s="200">
        <v>2021</v>
      </c>
      <c r="E2" s="202">
        <f>'Maldives at LG Daily'!D5</f>
        <v>27179</v>
      </c>
      <c r="F2" s="203">
        <v>0.93</v>
      </c>
      <c r="G2" s="202">
        <f>'Maldives at LG Daily'!F5</f>
        <v>225</v>
      </c>
      <c r="H2" s="203">
        <v>1.24</v>
      </c>
      <c r="I2" s="202">
        <f>'Maldives at LG Daily'!H5</f>
        <v>357</v>
      </c>
      <c r="J2" s="203">
        <v>1.72</v>
      </c>
      <c r="K2" s="202">
        <f>'Maldives at LG Daily'!I5</f>
        <v>52</v>
      </c>
      <c r="L2" s="202">
        <f>'Maldives at LG Daily'!J5</f>
        <v>410</v>
      </c>
    </row>
    <row r="3" spans="1:12" ht="15" x14ac:dyDescent="0.25">
      <c r="A3" s="200" t="s">
        <v>138</v>
      </c>
      <c r="B3" s="200">
        <f>B2+1</f>
        <v>2</v>
      </c>
      <c r="C3" s="201">
        <v>2</v>
      </c>
      <c r="D3" s="200">
        <v>2021</v>
      </c>
      <c r="E3" s="202">
        <f>'Maldives at LG Daily'!D6</f>
        <v>27052</v>
      </c>
      <c r="F3" s="203">
        <v>0.93</v>
      </c>
      <c r="G3" s="202" t="str">
        <f>'Maldives at LG Daily'!F6</f>
        <v>0</v>
      </c>
      <c r="H3" s="203">
        <v>1.24</v>
      </c>
      <c r="I3" s="202">
        <f>'Maldives at LG Daily'!H6</f>
        <v>274</v>
      </c>
      <c r="J3" s="203">
        <v>1.72</v>
      </c>
      <c r="K3" s="202">
        <f>'Maldives at LG Daily'!I6</f>
        <v>55</v>
      </c>
      <c r="L3" s="202">
        <f>'Maldives at LG Daily'!J6</f>
        <v>391</v>
      </c>
    </row>
    <row r="4" spans="1:12" ht="15" x14ac:dyDescent="0.25">
      <c r="A4" s="200" t="s">
        <v>138</v>
      </c>
      <c r="B4" s="200">
        <f t="shared" ref="B4:B29" si="0">B3+1</f>
        <v>3</v>
      </c>
      <c r="C4" s="201">
        <v>2</v>
      </c>
      <c r="D4" s="200">
        <v>2021</v>
      </c>
      <c r="E4" s="202">
        <f>'Maldives at LG Daily'!D7</f>
        <v>27844</v>
      </c>
      <c r="F4" s="203">
        <v>0.93</v>
      </c>
      <c r="G4" s="202">
        <f>'Maldives at LG Daily'!F7</f>
        <v>315</v>
      </c>
      <c r="H4" s="203">
        <v>1.24</v>
      </c>
      <c r="I4" s="202">
        <f>'Maldives at LG Daily'!H7</f>
        <v>327</v>
      </c>
      <c r="J4" s="203">
        <v>1.72</v>
      </c>
      <c r="K4" s="202">
        <f>'Maldives at LG Daily'!I7</f>
        <v>59</v>
      </c>
      <c r="L4" s="202">
        <f>'Maldives at LG Daily'!J7</f>
        <v>316</v>
      </c>
    </row>
    <row r="5" spans="1:12" ht="15" x14ac:dyDescent="0.25">
      <c r="A5" s="200" t="s">
        <v>138</v>
      </c>
      <c r="B5" s="200">
        <f t="shared" si="0"/>
        <v>4</v>
      </c>
      <c r="C5" s="201">
        <v>2</v>
      </c>
      <c r="D5" s="200">
        <v>2021</v>
      </c>
      <c r="E5" s="202">
        <f>'Maldives at LG Daily'!D8</f>
        <v>28535</v>
      </c>
      <c r="F5" s="203">
        <v>0.93</v>
      </c>
      <c r="G5" s="202" t="str">
        <f>'Maldives at LG Daily'!F8</f>
        <v>0</v>
      </c>
      <c r="H5" s="203">
        <v>1.24</v>
      </c>
      <c r="I5" s="202">
        <f>'Maldives at LG Daily'!H8</f>
        <v>374</v>
      </c>
      <c r="J5" s="203">
        <v>1.72</v>
      </c>
      <c r="K5" s="202">
        <f>'Maldives at LG Daily'!I8</f>
        <v>59</v>
      </c>
      <c r="L5" s="202">
        <f>'Maldives at LG Daily'!J8</f>
        <v>484</v>
      </c>
    </row>
    <row r="6" spans="1:12" ht="15" x14ac:dyDescent="0.25">
      <c r="A6" s="200" t="s">
        <v>138</v>
      </c>
      <c r="B6" s="200">
        <f t="shared" si="0"/>
        <v>5</v>
      </c>
      <c r="C6" s="201">
        <v>2</v>
      </c>
      <c r="D6" s="200">
        <v>2021</v>
      </c>
      <c r="E6" s="202">
        <f>'Maldives at LG Daily'!D9</f>
        <v>27066</v>
      </c>
      <c r="F6" s="203">
        <v>0.93</v>
      </c>
      <c r="G6" s="202">
        <f>'Maldives at LG Daily'!F9</f>
        <v>225</v>
      </c>
      <c r="H6" s="203">
        <v>1.24</v>
      </c>
      <c r="I6" s="202">
        <f>'Maldives at LG Daily'!H9</f>
        <v>325</v>
      </c>
      <c r="J6" s="203">
        <v>1.72</v>
      </c>
      <c r="K6" s="202">
        <f>'Maldives at LG Daily'!I9</f>
        <v>59</v>
      </c>
      <c r="L6" s="202">
        <f>'Maldives at LG Daily'!J9</f>
        <v>460</v>
      </c>
    </row>
    <row r="7" spans="1:12" ht="15" x14ac:dyDescent="0.25">
      <c r="A7" s="200" t="s">
        <v>138</v>
      </c>
      <c r="B7" s="200">
        <f t="shared" si="0"/>
        <v>6</v>
      </c>
      <c r="C7" s="201">
        <v>2</v>
      </c>
      <c r="D7" s="200">
        <v>2021</v>
      </c>
      <c r="E7" s="202">
        <f>'Maldives at LG Daily'!D10</f>
        <v>27114</v>
      </c>
      <c r="F7" s="203">
        <v>0.93</v>
      </c>
      <c r="G7" s="202" t="str">
        <f>'Maldives at LG Daily'!F10</f>
        <v>0</v>
      </c>
      <c r="H7" s="203">
        <v>1.24</v>
      </c>
      <c r="I7" s="202">
        <f>'Maldives at LG Daily'!H10</f>
        <v>392</v>
      </c>
      <c r="J7" s="203">
        <v>1.72</v>
      </c>
      <c r="K7" s="202">
        <f>'Maldives at LG Daily'!I10</f>
        <v>59</v>
      </c>
      <c r="L7" s="202">
        <f>'Maldives at LG Daily'!J10</f>
        <v>469</v>
      </c>
    </row>
    <row r="8" spans="1:12" ht="15" x14ac:dyDescent="0.25">
      <c r="A8" s="200" t="s">
        <v>138</v>
      </c>
      <c r="B8" s="200">
        <f t="shared" si="0"/>
        <v>7</v>
      </c>
      <c r="C8" s="201">
        <v>2</v>
      </c>
      <c r="D8" s="200">
        <v>2021</v>
      </c>
      <c r="E8" s="202">
        <f>'Maldives at LG Daily'!D11</f>
        <v>27684</v>
      </c>
      <c r="F8" s="203">
        <v>0.93</v>
      </c>
      <c r="G8" s="202">
        <f>'Maldives at LG Daily'!F11</f>
        <v>180</v>
      </c>
      <c r="H8" s="203">
        <v>1.24</v>
      </c>
      <c r="I8" s="202">
        <f>'Maldives at LG Daily'!H11</f>
        <v>336</v>
      </c>
      <c r="J8" s="203">
        <v>1.72</v>
      </c>
      <c r="K8" s="202">
        <f>'Maldives at LG Daily'!I11</f>
        <v>57</v>
      </c>
      <c r="L8" s="202">
        <f>'Maldives at LG Daily'!J11</f>
        <v>416</v>
      </c>
    </row>
    <row r="9" spans="1:12" ht="15" x14ac:dyDescent="0.25">
      <c r="A9" s="200" t="s">
        <v>138</v>
      </c>
      <c r="B9" s="200">
        <f t="shared" si="0"/>
        <v>8</v>
      </c>
      <c r="C9" s="201">
        <v>2</v>
      </c>
      <c r="D9" s="200">
        <v>2021</v>
      </c>
      <c r="E9" s="202">
        <f>'Maldives at LG Daily'!D12</f>
        <v>28636</v>
      </c>
      <c r="F9" s="203">
        <v>0.93</v>
      </c>
      <c r="G9" s="202">
        <f>'Maldives at LG Daily'!F12</f>
        <v>45</v>
      </c>
      <c r="H9" s="203">
        <v>1.24</v>
      </c>
      <c r="I9" s="202">
        <f>'Maldives at LG Daily'!H12</f>
        <v>363</v>
      </c>
      <c r="J9" s="203">
        <v>1.72</v>
      </c>
      <c r="K9" s="202">
        <f>'Maldives at LG Daily'!I12</f>
        <v>63</v>
      </c>
      <c r="L9" s="202">
        <f>'Maldives at LG Daily'!J12</f>
        <v>484</v>
      </c>
    </row>
    <row r="10" spans="1:12" ht="15" x14ac:dyDescent="0.25">
      <c r="A10" s="200" t="s">
        <v>138</v>
      </c>
      <c r="B10" s="200">
        <f t="shared" si="0"/>
        <v>9</v>
      </c>
      <c r="C10" s="201">
        <v>2</v>
      </c>
      <c r="D10" s="200">
        <v>2021</v>
      </c>
      <c r="E10" s="202">
        <f>'Maldives at LG Daily'!D13</f>
        <v>27903</v>
      </c>
      <c r="F10" s="203">
        <v>0.93</v>
      </c>
      <c r="G10" s="202" t="str">
        <f>'Maldives at LG Daily'!F13</f>
        <v>0</v>
      </c>
      <c r="H10" s="203">
        <v>1.24</v>
      </c>
      <c r="I10" s="202">
        <f>'Maldives at LG Daily'!H13</f>
        <v>361</v>
      </c>
      <c r="J10" s="203">
        <v>1.72</v>
      </c>
      <c r="K10" s="202">
        <f>'Maldives at LG Daily'!I13</f>
        <v>56</v>
      </c>
      <c r="L10" s="202">
        <f>'Maldives at LG Daily'!J13</f>
        <v>445</v>
      </c>
    </row>
    <row r="11" spans="1:12" ht="15" x14ac:dyDescent="0.25">
      <c r="A11" s="200" t="s">
        <v>138</v>
      </c>
      <c r="B11" s="200">
        <f t="shared" si="0"/>
        <v>10</v>
      </c>
      <c r="C11" s="201">
        <v>2</v>
      </c>
      <c r="D11" s="200">
        <v>2021</v>
      </c>
      <c r="E11" s="202">
        <f>'Maldives at LG Daily'!D14</f>
        <v>27665</v>
      </c>
      <c r="F11" s="203">
        <v>0.93</v>
      </c>
      <c r="G11" s="202">
        <f>'Maldives at LG Daily'!F14</f>
        <v>270</v>
      </c>
      <c r="H11" s="203">
        <v>1.24</v>
      </c>
      <c r="I11" s="202">
        <f>'Maldives at LG Daily'!H14</f>
        <v>370</v>
      </c>
      <c r="J11" s="203">
        <v>1.72</v>
      </c>
      <c r="K11" s="202">
        <f>'Maldives at LG Daily'!I14</f>
        <v>57</v>
      </c>
      <c r="L11" s="202">
        <f>'Maldives at LG Daily'!J14</f>
        <v>506</v>
      </c>
    </row>
    <row r="12" spans="1:12" ht="15" x14ac:dyDescent="0.25">
      <c r="A12" s="200" t="s">
        <v>138</v>
      </c>
      <c r="B12" s="200">
        <f t="shared" si="0"/>
        <v>11</v>
      </c>
      <c r="C12" s="201">
        <v>2</v>
      </c>
      <c r="D12" s="200">
        <v>2021</v>
      </c>
      <c r="E12" s="202">
        <f>'Maldives at LG Daily'!D15</f>
        <v>26582</v>
      </c>
      <c r="F12" s="203">
        <v>0.93</v>
      </c>
      <c r="G12" s="202" t="str">
        <f>'Maldives at LG Daily'!F15</f>
        <v>0</v>
      </c>
      <c r="H12" s="203">
        <v>1.24</v>
      </c>
      <c r="I12" s="202">
        <f>'Maldives at LG Daily'!H15</f>
        <v>372</v>
      </c>
      <c r="J12" s="203">
        <v>1.72</v>
      </c>
      <c r="K12" s="202">
        <f>'Maldives at LG Daily'!I15</f>
        <v>70</v>
      </c>
      <c r="L12" s="202">
        <f>'Maldives at LG Daily'!J15</f>
        <v>558</v>
      </c>
    </row>
    <row r="13" spans="1:12" ht="15" x14ac:dyDescent="0.25">
      <c r="A13" s="200" t="s">
        <v>138</v>
      </c>
      <c r="B13" s="200">
        <f t="shared" si="0"/>
        <v>12</v>
      </c>
      <c r="C13" s="201">
        <v>2</v>
      </c>
      <c r="D13" s="200">
        <v>2021</v>
      </c>
      <c r="E13" s="202">
        <f>'Maldives at LG Daily'!D16</f>
        <v>27100</v>
      </c>
      <c r="F13" s="203">
        <v>0.93</v>
      </c>
      <c r="G13" s="202">
        <f>'Maldives at LG Daily'!F16</f>
        <v>270</v>
      </c>
      <c r="H13" s="203">
        <v>1.24</v>
      </c>
      <c r="I13" s="202">
        <f>'Maldives at LG Daily'!H16</f>
        <v>361</v>
      </c>
      <c r="J13" s="203">
        <v>1.72</v>
      </c>
      <c r="K13" s="202">
        <f>'Maldives at LG Daily'!I16</f>
        <v>75</v>
      </c>
      <c r="L13" s="202">
        <f>'Maldives at LG Daily'!J16</f>
        <v>649</v>
      </c>
    </row>
    <row r="14" spans="1:12" ht="15" x14ac:dyDescent="0.25">
      <c r="A14" s="200" t="s">
        <v>138</v>
      </c>
      <c r="B14" s="200">
        <f t="shared" si="0"/>
        <v>13</v>
      </c>
      <c r="C14" s="201">
        <v>2</v>
      </c>
      <c r="D14" s="200">
        <v>2021</v>
      </c>
      <c r="E14" s="202">
        <f>'Maldives at LG Daily'!D17</f>
        <v>27484</v>
      </c>
      <c r="F14" s="203">
        <v>0.93</v>
      </c>
      <c r="G14" s="202" t="str">
        <f>'Maldives at LG Daily'!F17</f>
        <v>0</v>
      </c>
      <c r="H14" s="203">
        <v>1.24</v>
      </c>
      <c r="I14" s="202">
        <f>'Maldives at LG Daily'!H17</f>
        <v>396</v>
      </c>
      <c r="J14" s="203">
        <v>1.72</v>
      </c>
      <c r="K14" s="202">
        <f>'Maldives at LG Daily'!I17</f>
        <v>71</v>
      </c>
      <c r="L14" s="202">
        <f>'Maldives at LG Daily'!J17</f>
        <v>629</v>
      </c>
    </row>
    <row r="15" spans="1:12" ht="15" x14ac:dyDescent="0.25">
      <c r="A15" s="200" t="s">
        <v>138</v>
      </c>
      <c r="B15" s="200">
        <f t="shared" si="0"/>
        <v>14</v>
      </c>
      <c r="C15" s="201">
        <v>2</v>
      </c>
      <c r="D15" s="200">
        <v>2021</v>
      </c>
      <c r="E15" s="202">
        <f>'Maldives at LG Daily'!D18</f>
        <v>28428</v>
      </c>
      <c r="F15" s="203">
        <v>0.93</v>
      </c>
      <c r="G15" s="202">
        <f>'Maldives at LG Daily'!F18</f>
        <v>360</v>
      </c>
      <c r="H15" s="203">
        <v>1.24</v>
      </c>
      <c r="I15" s="202">
        <f>'Maldives at LG Daily'!H18</f>
        <v>419</v>
      </c>
      <c r="J15" s="203">
        <v>1.72</v>
      </c>
      <c r="K15" s="202">
        <f>'Maldives at LG Daily'!I18</f>
        <v>78</v>
      </c>
      <c r="L15" s="202">
        <f>'Maldives at LG Daily'!J18</f>
        <v>620</v>
      </c>
    </row>
    <row r="16" spans="1:12" ht="15" x14ac:dyDescent="0.25">
      <c r="A16" s="200" t="s">
        <v>138</v>
      </c>
      <c r="B16" s="200">
        <f t="shared" si="0"/>
        <v>15</v>
      </c>
      <c r="C16" s="201">
        <v>2</v>
      </c>
      <c r="D16" s="200">
        <v>2021</v>
      </c>
      <c r="E16" s="202">
        <f>'Maldives at LG Daily'!D19</f>
        <v>29204</v>
      </c>
      <c r="F16" s="203">
        <v>0.93</v>
      </c>
      <c r="G16" s="202" t="str">
        <f>'Maldives at LG Daily'!F19</f>
        <v>0</v>
      </c>
      <c r="H16" s="203">
        <v>1.24</v>
      </c>
      <c r="I16" s="202">
        <f>'Maldives at LG Daily'!H19</f>
        <v>423</v>
      </c>
      <c r="J16" s="203">
        <v>1.72</v>
      </c>
      <c r="K16" s="202">
        <f>'Maldives at LG Daily'!I19</f>
        <v>83</v>
      </c>
      <c r="L16" s="202">
        <f>'Maldives at LG Daily'!J19</f>
        <v>721</v>
      </c>
    </row>
    <row r="17" spans="1:12" ht="15" x14ac:dyDescent="0.25">
      <c r="A17" s="200" t="s">
        <v>138</v>
      </c>
      <c r="B17" s="200">
        <f t="shared" si="0"/>
        <v>16</v>
      </c>
      <c r="C17" s="201">
        <v>2</v>
      </c>
      <c r="D17" s="200">
        <v>2021</v>
      </c>
      <c r="E17" s="202">
        <f>'Maldives at LG Daily'!D20</f>
        <v>28904</v>
      </c>
      <c r="F17" s="203">
        <v>0.93</v>
      </c>
      <c r="G17" s="202">
        <f>'Maldives at LG Daily'!F20</f>
        <v>135</v>
      </c>
      <c r="H17" s="203">
        <v>1.24</v>
      </c>
      <c r="I17" s="202">
        <f>'Maldives at LG Daily'!H20</f>
        <v>384</v>
      </c>
      <c r="J17" s="203">
        <v>1.72</v>
      </c>
      <c r="K17" s="202">
        <f>'Maldives at LG Daily'!I20</f>
        <v>78.599999999999994</v>
      </c>
      <c r="L17" s="202">
        <f>'Maldives at LG Daily'!J20</f>
        <v>702</v>
      </c>
    </row>
    <row r="18" spans="1:12" ht="15" x14ac:dyDescent="0.25">
      <c r="A18" s="200" t="s">
        <v>138</v>
      </c>
      <c r="B18" s="200">
        <f t="shared" si="0"/>
        <v>17</v>
      </c>
      <c r="C18" s="201">
        <v>2</v>
      </c>
      <c r="D18" s="200">
        <v>2021</v>
      </c>
      <c r="E18" s="202">
        <f>'Maldives at LG Daily'!D21</f>
        <v>29746</v>
      </c>
      <c r="F18" s="203">
        <v>0.93</v>
      </c>
      <c r="G18" s="202">
        <f>'Maldives at LG Daily'!F21</f>
        <v>225</v>
      </c>
      <c r="H18" s="203">
        <v>1.24</v>
      </c>
      <c r="I18" s="202">
        <f>'Maldives at LG Daily'!H21</f>
        <v>495</v>
      </c>
      <c r="J18" s="203">
        <v>1.72</v>
      </c>
      <c r="K18" s="202">
        <f>'Maldives at LG Daily'!I21</f>
        <v>80.599999999999994</v>
      </c>
      <c r="L18" s="202">
        <f>'Maldives at LG Daily'!J21</f>
        <v>770</v>
      </c>
    </row>
    <row r="19" spans="1:12" ht="15" x14ac:dyDescent="0.25">
      <c r="A19" s="200" t="s">
        <v>138</v>
      </c>
      <c r="B19" s="200">
        <f t="shared" si="0"/>
        <v>18</v>
      </c>
      <c r="C19" s="201">
        <v>2</v>
      </c>
      <c r="D19" s="200">
        <v>2021</v>
      </c>
      <c r="E19" s="202">
        <f>'Maldives at LG Daily'!D22</f>
        <v>30545</v>
      </c>
      <c r="F19" s="203">
        <v>0.93</v>
      </c>
      <c r="G19" s="202" t="str">
        <f>'Maldives at LG Daily'!F22</f>
        <v>0</v>
      </c>
      <c r="H19" s="203">
        <v>1.24</v>
      </c>
      <c r="I19" s="202">
        <f>'Maldives at LG Daily'!H22</f>
        <v>409</v>
      </c>
      <c r="J19" s="203">
        <v>1.72</v>
      </c>
      <c r="K19" s="202">
        <f>'Maldives at LG Daily'!I22</f>
        <v>79.599999999999994</v>
      </c>
      <c r="L19" s="202">
        <f>'Maldives at LG Daily'!J22</f>
        <v>700</v>
      </c>
    </row>
    <row r="20" spans="1:12" ht="15" x14ac:dyDescent="0.25">
      <c r="A20" s="200" t="s">
        <v>138</v>
      </c>
      <c r="B20" s="200">
        <f t="shared" si="0"/>
        <v>19</v>
      </c>
      <c r="C20" s="201">
        <v>2</v>
      </c>
      <c r="D20" s="200">
        <v>2021</v>
      </c>
      <c r="E20" s="202">
        <f>'Maldives at LG Daily'!D23</f>
        <v>30969</v>
      </c>
      <c r="F20" s="203">
        <v>0.93</v>
      </c>
      <c r="G20" s="202">
        <f>'Maldives at LG Daily'!F23</f>
        <v>270</v>
      </c>
      <c r="H20" s="203">
        <v>1.24</v>
      </c>
      <c r="I20" s="202">
        <f>'Maldives at LG Daily'!H23</f>
        <v>405</v>
      </c>
      <c r="J20" s="203">
        <v>1.72</v>
      </c>
      <c r="K20" s="202">
        <f>'Maldives at LG Daily'!I23</f>
        <v>80.599999999999994</v>
      </c>
      <c r="L20" s="202">
        <f>'Maldives at LG Daily'!J23</f>
        <v>703</v>
      </c>
    </row>
    <row r="21" spans="1:12" ht="15" x14ac:dyDescent="0.25">
      <c r="A21" s="200" t="s">
        <v>138</v>
      </c>
      <c r="B21" s="200">
        <f t="shared" si="0"/>
        <v>20</v>
      </c>
      <c r="C21" s="201">
        <v>2</v>
      </c>
      <c r="D21" s="200">
        <v>2021</v>
      </c>
      <c r="E21" s="202">
        <f>'Maldives at LG Daily'!D24</f>
        <v>30404</v>
      </c>
      <c r="F21" s="203">
        <v>0.93</v>
      </c>
      <c r="G21" s="202" t="str">
        <f>'Maldives at LG Daily'!F24</f>
        <v>0</v>
      </c>
      <c r="H21" s="203">
        <v>1.24</v>
      </c>
      <c r="I21" s="202">
        <f>'Maldives at LG Daily'!H24</f>
        <v>446</v>
      </c>
      <c r="J21" s="203">
        <v>1.72</v>
      </c>
      <c r="K21" s="202">
        <f>'Maldives at LG Daily'!I24</f>
        <v>0</v>
      </c>
      <c r="L21" s="202">
        <f>'Maldives at LG Daily'!J24</f>
        <v>0</v>
      </c>
    </row>
    <row r="22" spans="1:12" ht="15" x14ac:dyDescent="0.25">
      <c r="A22" s="200" t="s">
        <v>138</v>
      </c>
      <c r="B22" s="200">
        <f t="shared" si="0"/>
        <v>21</v>
      </c>
      <c r="C22" s="201">
        <v>2</v>
      </c>
      <c r="D22" s="200">
        <v>2021</v>
      </c>
      <c r="E22" s="202" t="str">
        <f>'Maldives at LG Daily'!D25</f>
        <v>0</v>
      </c>
      <c r="F22" s="203">
        <v>0.93</v>
      </c>
      <c r="G22" s="202" t="str">
        <f>'Maldives at LG Daily'!F25</f>
        <v>0</v>
      </c>
      <c r="H22" s="203">
        <v>1.24</v>
      </c>
      <c r="I22" s="202">
        <f>'Maldives at LG Daily'!H25</f>
        <v>364</v>
      </c>
      <c r="J22" s="203">
        <v>1.72</v>
      </c>
      <c r="K22" s="202">
        <f>'Maldives at LG Daily'!I25</f>
        <v>0</v>
      </c>
      <c r="L22" s="202">
        <f>'Maldives at LG Daily'!J25</f>
        <v>0</v>
      </c>
    </row>
    <row r="23" spans="1:12" ht="15" x14ac:dyDescent="0.25">
      <c r="A23" s="200" t="s">
        <v>138</v>
      </c>
      <c r="B23" s="200">
        <f t="shared" si="0"/>
        <v>22</v>
      </c>
      <c r="C23" s="201">
        <v>2</v>
      </c>
      <c r="D23" s="200">
        <v>2021</v>
      </c>
      <c r="E23" s="202">
        <f>'Maldives at LG Daily'!D26</f>
        <v>0</v>
      </c>
      <c r="F23" s="203">
        <v>0.93</v>
      </c>
      <c r="G23" s="202">
        <f>'Maldives at LG Daily'!F26</f>
        <v>0</v>
      </c>
      <c r="H23" s="203">
        <v>1.24</v>
      </c>
      <c r="I23" s="202" t="str">
        <f>'Maldives at LG Daily'!H26</f>
        <v>0</v>
      </c>
      <c r="J23" s="203">
        <v>1.72</v>
      </c>
      <c r="K23" s="202">
        <f>'Maldives at LG Daily'!I26</f>
        <v>0</v>
      </c>
      <c r="L23" s="202">
        <f>'Maldives at LG Daily'!J26</f>
        <v>0</v>
      </c>
    </row>
    <row r="24" spans="1:12" ht="15" x14ac:dyDescent="0.25">
      <c r="A24" s="200" t="s">
        <v>138</v>
      </c>
      <c r="B24" s="200">
        <f t="shared" si="0"/>
        <v>23</v>
      </c>
      <c r="C24" s="201">
        <v>2</v>
      </c>
      <c r="D24" s="200">
        <v>2021</v>
      </c>
      <c r="E24" s="202">
        <f>'Maldives at LG Daily'!D27</f>
        <v>0</v>
      </c>
      <c r="F24" s="203">
        <v>0.93</v>
      </c>
      <c r="G24" s="202">
        <f>'Maldives at LG Daily'!F27</f>
        <v>0</v>
      </c>
      <c r="H24" s="203">
        <v>1.24</v>
      </c>
      <c r="I24" s="202">
        <f>'Maldives at LG Daily'!H27</f>
        <v>0</v>
      </c>
      <c r="J24" s="203">
        <v>1.72</v>
      </c>
      <c r="K24" s="202">
        <f>'Maldives at LG Daily'!I27</f>
        <v>0</v>
      </c>
      <c r="L24" s="202">
        <f>'Maldives at LG Daily'!J27</f>
        <v>0</v>
      </c>
    </row>
    <row r="25" spans="1:12" ht="15" x14ac:dyDescent="0.25">
      <c r="A25" s="200" t="s">
        <v>138</v>
      </c>
      <c r="B25" s="200">
        <f t="shared" si="0"/>
        <v>24</v>
      </c>
      <c r="C25" s="201">
        <v>2</v>
      </c>
      <c r="D25" s="200">
        <v>2021</v>
      </c>
      <c r="E25" s="202">
        <f>'Maldives at LG Daily'!D28</f>
        <v>0</v>
      </c>
      <c r="F25" s="203">
        <v>0.93</v>
      </c>
      <c r="G25" s="202">
        <f>'Maldives at LG Daily'!F28</f>
        <v>0</v>
      </c>
      <c r="H25" s="203">
        <v>1.24</v>
      </c>
      <c r="I25" s="202">
        <f>'Maldives at LG Daily'!H28</f>
        <v>0</v>
      </c>
      <c r="J25" s="203">
        <v>1.72</v>
      </c>
      <c r="K25" s="202">
        <f>'Maldives at LG Daily'!I28</f>
        <v>0</v>
      </c>
      <c r="L25" s="202">
        <f>'Maldives at LG Daily'!J28</f>
        <v>0</v>
      </c>
    </row>
    <row r="26" spans="1:12" ht="15" x14ac:dyDescent="0.25">
      <c r="A26" s="200" t="s">
        <v>138</v>
      </c>
      <c r="B26" s="200">
        <f>B25+1</f>
        <v>25</v>
      </c>
      <c r="C26" s="201">
        <v>2</v>
      </c>
      <c r="D26" s="200">
        <v>2021</v>
      </c>
      <c r="E26" s="202">
        <f>'Maldives at LG Daily'!D29</f>
        <v>0</v>
      </c>
      <c r="F26" s="203">
        <v>0.93</v>
      </c>
      <c r="G26" s="202">
        <f>'Maldives at LG Daily'!F29</f>
        <v>0</v>
      </c>
      <c r="H26" s="203">
        <v>1.24</v>
      </c>
      <c r="I26" s="202">
        <f>'Maldives at LG Daily'!H29</f>
        <v>0</v>
      </c>
      <c r="J26" s="203">
        <v>1.72</v>
      </c>
      <c r="K26" s="202">
        <f>'Maldives at LG Daily'!I29</f>
        <v>0</v>
      </c>
      <c r="L26" s="202">
        <f>'Maldives at LG Daily'!J29</f>
        <v>0</v>
      </c>
    </row>
    <row r="27" spans="1:12" ht="15" x14ac:dyDescent="0.25">
      <c r="A27" s="200" t="s">
        <v>138</v>
      </c>
      <c r="B27" s="200">
        <f t="shared" si="0"/>
        <v>26</v>
      </c>
      <c r="C27" s="201">
        <v>2</v>
      </c>
      <c r="D27" s="200">
        <v>2021</v>
      </c>
      <c r="E27" s="202">
        <f>'Maldives at LG Daily'!D30</f>
        <v>0</v>
      </c>
      <c r="F27" s="203">
        <v>0.93</v>
      </c>
      <c r="G27" s="202">
        <f>'Maldives at LG Daily'!F30</f>
        <v>0</v>
      </c>
      <c r="H27" s="203">
        <v>1.24</v>
      </c>
      <c r="I27" s="202">
        <f>'Maldives at LG Daily'!H30</f>
        <v>0</v>
      </c>
      <c r="J27" s="203">
        <v>1.72</v>
      </c>
      <c r="K27" s="202">
        <f>'Maldives at LG Daily'!I30</f>
        <v>0</v>
      </c>
      <c r="L27" s="202">
        <f>'Maldives at LG Daily'!J30</f>
        <v>0</v>
      </c>
    </row>
    <row r="28" spans="1:12" ht="15" x14ac:dyDescent="0.25">
      <c r="A28" s="200" t="s">
        <v>138</v>
      </c>
      <c r="B28" s="200">
        <f t="shared" si="0"/>
        <v>27</v>
      </c>
      <c r="C28" s="201">
        <v>2</v>
      </c>
      <c r="D28" s="200">
        <v>2021</v>
      </c>
      <c r="E28" s="202">
        <f>'Maldives at LG Daily'!D31</f>
        <v>0</v>
      </c>
      <c r="F28" s="203">
        <v>0.93</v>
      </c>
      <c r="G28" s="202">
        <f>'Maldives at LG Daily'!F31</f>
        <v>0</v>
      </c>
      <c r="H28" s="203">
        <v>1.24</v>
      </c>
      <c r="I28" s="202">
        <f>'Maldives at LG Daily'!H31</f>
        <v>0</v>
      </c>
      <c r="J28" s="203">
        <v>1.72</v>
      </c>
      <c r="K28" s="202">
        <f>'Maldives at LG Daily'!I31</f>
        <v>0</v>
      </c>
      <c r="L28" s="202">
        <f>'Maldives at LG Daily'!J31</f>
        <v>0</v>
      </c>
    </row>
    <row r="29" spans="1:12" ht="15" x14ac:dyDescent="0.25">
      <c r="A29" s="200" t="s">
        <v>138</v>
      </c>
      <c r="B29" s="200">
        <f t="shared" si="0"/>
        <v>28</v>
      </c>
      <c r="C29" s="201">
        <v>2</v>
      </c>
      <c r="D29" s="200">
        <v>2021</v>
      </c>
      <c r="E29" s="202">
        <f>'Maldives at LG Daily'!D32</f>
        <v>0</v>
      </c>
      <c r="F29" s="203">
        <v>0.93</v>
      </c>
      <c r="G29" s="202">
        <f>'Maldives at LG Daily'!F32</f>
        <v>0</v>
      </c>
      <c r="H29" s="203">
        <v>1.24</v>
      </c>
      <c r="I29" s="202">
        <f>'Maldives at LG Daily'!H32</f>
        <v>0</v>
      </c>
      <c r="J29" s="203">
        <v>1.72</v>
      </c>
      <c r="K29" s="202">
        <f>'Maldives at LG Daily'!I32</f>
        <v>0</v>
      </c>
      <c r="L29" s="202">
        <f>'Maldives at LG Daily'!J32</f>
        <v>0</v>
      </c>
    </row>
    <row r="30" spans="1:12" x14ac:dyDescent="0.2">
      <c r="G30" s="20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19" zoomScale="85" zoomScaleNormal="85" workbookViewId="0">
      <pane xSplit="1" topLeftCell="B1" activePane="topRight" state="frozen"/>
      <selection pane="topRight" activeCell="J24" sqref="J24"/>
    </sheetView>
  </sheetViews>
  <sheetFormatPr defaultRowHeight="15" x14ac:dyDescent="0.25"/>
  <cols>
    <col min="1" max="1" width="14" style="264" customWidth="1"/>
    <col min="2" max="2" width="2" style="264" customWidth="1"/>
    <col min="3" max="3" width="11.85546875" style="282" customWidth="1"/>
    <col min="4" max="4" width="13.5703125" style="283" customWidth="1"/>
    <col min="5" max="5" width="14.85546875" style="264" customWidth="1"/>
    <col min="6" max="6" width="14.85546875" style="282" customWidth="1"/>
    <col min="7" max="7" width="8.85546875" style="264" customWidth="1"/>
    <col min="8" max="8" width="12.5703125" style="264" customWidth="1"/>
    <col min="9" max="10" width="13" style="286" customWidth="1"/>
    <col min="11" max="254" width="9.140625" style="264"/>
    <col min="255" max="255" width="14" style="264" customWidth="1"/>
    <col min="256" max="256" width="2" style="264" customWidth="1"/>
    <col min="257" max="257" width="11.85546875" style="264" customWidth="1"/>
    <col min="258" max="258" width="13.5703125" style="264" customWidth="1"/>
    <col min="259" max="260" width="13.85546875" style="264" customWidth="1"/>
    <col min="261" max="262" width="14.85546875" style="264" customWidth="1"/>
    <col min="263" max="263" width="8.85546875" style="264" customWidth="1"/>
    <col min="264" max="264" width="12.5703125" style="264" customWidth="1"/>
    <col min="265" max="266" width="13" style="264" customWidth="1"/>
    <col min="267" max="510" width="9.140625" style="264"/>
    <col min="511" max="511" width="14" style="264" customWidth="1"/>
    <col min="512" max="512" width="2" style="264" customWidth="1"/>
    <col min="513" max="513" width="11.85546875" style="264" customWidth="1"/>
    <col min="514" max="514" width="13.5703125" style="264" customWidth="1"/>
    <col min="515" max="516" width="13.85546875" style="264" customWidth="1"/>
    <col min="517" max="518" width="14.85546875" style="264" customWidth="1"/>
    <col min="519" max="519" width="8.85546875" style="264" customWidth="1"/>
    <col min="520" max="520" width="12.5703125" style="264" customWidth="1"/>
    <col min="521" max="522" width="13" style="264" customWidth="1"/>
    <col min="523" max="766" width="9.140625" style="264"/>
    <col min="767" max="767" width="14" style="264" customWidth="1"/>
    <col min="768" max="768" width="2" style="264" customWidth="1"/>
    <col min="769" max="769" width="11.85546875" style="264" customWidth="1"/>
    <col min="770" max="770" width="13.5703125" style="264" customWidth="1"/>
    <col min="771" max="772" width="13.85546875" style="264" customWidth="1"/>
    <col min="773" max="774" width="14.85546875" style="264" customWidth="1"/>
    <col min="775" max="775" width="8.85546875" style="264" customWidth="1"/>
    <col min="776" max="776" width="12.5703125" style="264" customWidth="1"/>
    <col min="777" max="778" width="13" style="264" customWidth="1"/>
    <col min="779" max="1022" width="9.140625" style="264"/>
    <col min="1023" max="1023" width="14" style="264" customWidth="1"/>
    <col min="1024" max="1024" width="2" style="264" customWidth="1"/>
    <col min="1025" max="1025" width="11.85546875" style="264" customWidth="1"/>
    <col min="1026" max="1026" width="13.5703125" style="264" customWidth="1"/>
    <col min="1027" max="1028" width="13.85546875" style="264" customWidth="1"/>
    <col min="1029" max="1030" width="14.85546875" style="264" customWidth="1"/>
    <col min="1031" max="1031" width="8.85546875" style="264" customWidth="1"/>
    <col min="1032" max="1032" width="12.5703125" style="264" customWidth="1"/>
    <col min="1033" max="1034" width="13" style="264" customWidth="1"/>
    <col min="1035" max="1278" width="9.140625" style="264"/>
    <col min="1279" max="1279" width="14" style="264" customWidth="1"/>
    <col min="1280" max="1280" width="2" style="264" customWidth="1"/>
    <col min="1281" max="1281" width="11.85546875" style="264" customWidth="1"/>
    <col min="1282" max="1282" width="13.5703125" style="264" customWidth="1"/>
    <col min="1283" max="1284" width="13.85546875" style="264" customWidth="1"/>
    <col min="1285" max="1286" width="14.85546875" style="264" customWidth="1"/>
    <col min="1287" max="1287" width="8.85546875" style="264" customWidth="1"/>
    <col min="1288" max="1288" width="12.5703125" style="264" customWidth="1"/>
    <col min="1289" max="1290" width="13" style="264" customWidth="1"/>
    <col min="1291" max="1534" width="9.140625" style="264"/>
    <col min="1535" max="1535" width="14" style="264" customWidth="1"/>
    <col min="1536" max="1536" width="2" style="264" customWidth="1"/>
    <col min="1537" max="1537" width="11.85546875" style="264" customWidth="1"/>
    <col min="1538" max="1538" width="13.5703125" style="264" customWidth="1"/>
    <col min="1539" max="1540" width="13.85546875" style="264" customWidth="1"/>
    <col min="1541" max="1542" width="14.85546875" style="264" customWidth="1"/>
    <col min="1543" max="1543" width="8.85546875" style="264" customWidth="1"/>
    <col min="1544" max="1544" width="12.5703125" style="264" customWidth="1"/>
    <col min="1545" max="1546" width="13" style="264" customWidth="1"/>
    <col min="1547" max="1790" width="9.140625" style="264"/>
    <col min="1791" max="1791" width="14" style="264" customWidth="1"/>
    <col min="1792" max="1792" width="2" style="264" customWidth="1"/>
    <col min="1793" max="1793" width="11.85546875" style="264" customWidth="1"/>
    <col min="1794" max="1794" width="13.5703125" style="264" customWidth="1"/>
    <col min="1795" max="1796" width="13.85546875" style="264" customWidth="1"/>
    <col min="1797" max="1798" width="14.85546875" style="264" customWidth="1"/>
    <col min="1799" max="1799" width="8.85546875" style="264" customWidth="1"/>
    <col min="1800" max="1800" width="12.5703125" style="264" customWidth="1"/>
    <col min="1801" max="1802" width="13" style="264" customWidth="1"/>
    <col min="1803" max="2046" width="9.140625" style="264"/>
    <col min="2047" max="2047" width="14" style="264" customWidth="1"/>
    <col min="2048" max="2048" width="2" style="264" customWidth="1"/>
    <col min="2049" max="2049" width="11.85546875" style="264" customWidth="1"/>
    <col min="2050" max="2050" width="13.5703125" style="264" customWidth="1"/>
    <col min="2051" max="2052" width="13.85546875" style="264" customWidth="1"/>
    <col min="2053" max="2054" width="14.85546875" style="264" customWidth="1"/>
    <col min="2055" max="2055" width="8.85546875" style="264" customWidth="1"/>
    <col min="2056" max="2056" width="12.5703125" style="264" customWidth="1"/>
    <col min="2057" max="2058" width="13" style="264" customWidth="1"/>
    <col min="2059" max="2302" width="9.140625" style="264"/>
    <col min="2303" max="2303" width="14" style="264" customWidth="1"/>
    <col min="2304" max="2304" width="2" style="264" customWidth="1"/>
    <col min="2305" max="2305" width="11.85546875" style="264" customWidth="1"/>
    <col min="2306" max="2306" width="13.5703125" style="264" customWidth="1"/>
    <col min="2307" max="2308" width="13.85546875" style="264" customWidth="1"/>
    <col min="2309" max="2310" width="14.85546875" style="264" customWidth="1"/>
    <col min="2311" max="2311" width="8.85546875" style="264" customWidth="1"/>
    <col min="2312" max="2312" width="12.5703125" style="264" customWidth="1"/>
    <col min="2313" max="2314" width="13" style="264" customWidth="1"/>
    <col min="2315" max="2558" width="9.140625" style="264"/>
    <col min="2559" max="2559" width="14" style="264" customWidth="1"/>
    <col min="2560" max="2560" width="2" style="264" customWidth="1"/>
    <col min="2561" max="2561" width="11.85546875" style="264" customWidth="1"/>
    <col min="2562" max="2562" width="13.5703125" style="264" customWidth="1"/>
    <col min="2563" max="2564" width="13.85546875" style="264" customWidth="1"/>
    <col min="2565" max="2566" width="14.85546875" style="264" customWidth="1"/>
    <col min="2567" max="2567" width="8.85546875" style="264" customWidth="1"/>
    <col min="2568" max="2568" width="12.5703125" style="264" customWidth="1"/>
    <col min="2569" max="2570" width="13" style="264" customWidth="1"/>
    <col min="2571" max="2814" width="9.140625" style="264"/>
    <col min="2815" max="2815" width="14" style="264" customWidth="1"/>
    <col min="2816" max="2816" width="2" style="264" customWidth="1"/>
    <col min="2817" max="2817" width="11.85546875" style="264" customWidth="1"/>
    <col min="2818" max="2818" width="13.5703125" style="264" customWidth="1"/>
    <col min="2819" max="2820" width="13.85546875" style="264" customWidth="1"/>
    <col min="2821" max="2822" width="14.85546875" style="264" customWidth="1"/>
    <col min="2823" max="2823" width="8.85546875" style="264" customWidth="1"/>
    <col min="2824" max="2824" width="12.5703125" style="264" customWidth="1"/>
    <col min="2825" max="2826" width="13" style="264" customWidth="1"/>
    <col min="2827" max="3070" width="9.140625" style="264"/>
    <col min="3071" max="3071" width="14" style="264" customWidth="1"/>
    <col min="3072" max="3072" width="2" style="264" customWidth="1"/>
    <col min="3073" max="3073" width="11.85546875" style="264" customWidth="1"/>
    <col min="3074" max="3074" width="13.5703125" style="264" customWidth="1"/>
    <col min="3075" max="3076" width="13.85546875" style="264" customWidth="1"/>
    <col min="3077" max="3078" width="14.85546875" style="264" customWidth="1"/>
    <col min="3079" max="3079" width="8.85546875" style="264" customWidth="1"/>
    <col min="3080" max="3080" width="12.5703125" style="264" customWidth="1"/>
    <col min="3081" max="3082" width="13" style="264" customWidth="1"/>
    <col min="3083" max="3326" width="9.140625" style="264"/>
    <col min="3327" max="3327" width="14" style="264" customWidth="1"/>
    <col min="3328" max="3328" width="2" style="264" customWidth="1"/>
    <col min="3329" max="3329" width="11.85546875" style="264" customWidth="1"/>
    <col min="3330" max="3330" width="13.5703125" style="264" customWidth="1"/>
    <col min="3331" max="3332" width="13.85546875" style="264" customWidth="1"/>
    <col min="3333" max="3334" width="14.85546875" style="264" customWidth="1"/>
    <col min="3335" max="3335" width="8.85546875" style="264" customWidth="1"/>
    <col min="3336" max="3336" width="12.5703125" style="264" customWidth="1"/>
    <col min="3337" max="3338" width="13" style="264" customWidth="1"/>
    <col min="3339" max="3582" width="9.140625" style="264"/>
    <col min="3583" max="3583" width="14" style="264" customWidth="1"/>
    <col min="3584" max="3584" width="2" style="264" customWidth="1"/>
    <col min="3585" max="3585" width="11.85546875" style="264" customWidth="1"/>
    <col min="3586" max="3586" width="13.5703125" style="264" customWidth="1"/>
    <col min="3587" max="3588" width="13.85546875" style="264" customWidth="1"/>
    <col min="3589" max="3590" width="14.85546875" style="264" customWidth="1"/>
    <col min="3591" max="3591" width="8.85546875" style="264" customWidth="1"/>
    <col min="3592" max="3592" width="12.5703125" style="264" customWidth="1"/>
    <col min="3593" max="3594" width="13" style="264" customWidth="1"/>
    <col min="3595" max="3838" width="9.140625" style="264"/>
    <col min="3839" max="3839" width="14" style="264" customWidth="1"/>
    <col min="3840" max="3840" width="2" style="264" customWidth="1"/>
    <col min="3841" max="3841" width="11.85546875" style="264" customWidth="1"/>
    <col min="3842" max="3842" width="13.5703125" style="264" customWidth="1"/>
    <col min="3843" max="3844" width="13.85546875" style="264" customWidth="1"/>
    <col min="3845" max="3846" width="14.85546875" style="264" customWidth="1"/>
    <col min="3847" max="3847" width="8.85546875" style="264" customWidth="1"/>
    <col min="3848" max="3848" width="12.5703125" style="264" customWidth="1"/>
    <col min="3849" max="3850" width="13" style="264" customWidth="1"/>
    <col min="3851" max="4094" width="9.140625" style="264"/>
    <col min="4095" max="4095" width="14" style="264" customWidth="1"/>
    <col min="4096" max="4096" width="2" style="264" customWidth="1"/>
    <col min="4097" max="4097" width="11.85546875" style="264" customWidth="1"/>
    <col min="4098" max="4098" width="13.5703125" style="264" customWidth="1"/>
    <col min="4099" max="4100" width="13.85546875" style="264" customWidth="1"/>
    <col min="4101" max="4102" width="14.85546875" style="264" customWidth="1"/>
    <col min="4103" max="4103" width="8.85546875" style="264" customWidth="1"/>
    <col min="4104" max="4104" width="12.5703125" style="264" customWidth="1"/>
    <col min="4105" max="4106" width="13" style="264" customWidth="1"/>
    <col min="4107" max="4350" width="9.140625" style="264"/>
    <col min="4351" max="4351" width="14" style="264" customWidth="1"/>
    <col min="4352" max="4352" width="2" style="264" customWidth="1"/>
    <col min="4353" max="4353" width="11.85546875" style="264" customWidth="1"/>
    <col min="4354" max="4354" width="13.5703125" style="264" customWidth="1"/>
    <col min="4355" max="4356" width="13.85546875" style="264" customWidth="1"/>
    <col min="4357" max="4358" width="14.85546875" style="264" customWidth="1"/>
    <col min="4359" max="4359" width="8.85546875" style="264" customWidth="1"/>
    <col min="4360" max="4360" width="12.5703125" style="264" customWidth="1"/>
    <col min="4361" max="4362" width="13" style="264" customWidth="1"/>
    <col min="4363" max="4606" width="9.140625" style="264"/>
    <col min="4607" max="4607" width="14" style="264" customWidth="1"/>
    <col min="4608" max="4608" width="2" style="264" customWidth="1"/>
    <col min="4609" max="4609" width="11.85546875" style="264" customWidth="1"/>
    <col min="4610" max="4610" width="13.5703125" style="264" customWidth="1"/>
    <col min="4611" max="4612" width="13.85546875" style="264" customWidth="1"/>
    <col min="4613" max="4614" width="14.85546875" style="264" customWidth="1"/>
    <col min="4615" max="4615" width="8.85546875" style="264" customWidth="1"/>
    <col min="4616" max="4616" width="12.5703125" style="264" customWidth="1"/>
    <col min="4617" max="4618" width="13" style="264" customWidth="1"/>
    <col min="4619" max="4862" width="9.140625" style="264"/>
    <col min="4863" max="4863" width="14" style="264" customWidth="1"/>
    <col min="4864" max="4864" width="2" style="264" customWidth="1"/>
    <col min="4865" max="4865" width="11.85546875" style="264" customWidth="1"/>
    <col min="4866" max="4866" width="13.5703125" style="264" customWidth="1"/>
    <col min="4867" max="4868" width="13.85546875" style="264" customWidth="1"/>
    <col min="4869" max="4870" width="14.85546875" style="264" customWidth="1"/>
    <col min="4871" max="4871" width="8.85546875" style="264" customWidth="1"/>
    <col min="4872" max="4872" width="12.5703125" style="264" customWidth="1"/>
    <col min="4873" max="4874" width="13" style="264" customWidth="1"/>
    <col min="4875" max="5118" width="9.140625" style="264"/>
    <col min="5119" max="5119" width="14" style="264" customWidth="1"/>
    <col min="5120" max="5120" width="2" style="264" customWidth="1"/>
    <col min="5121" max="5121" width="11.85546875" style="264" customWidth="1"/>
    <col min="5122" max="5122" width="13.5703125" style="264" customWidth="1"/>
    <col min="5123" max="5124" width="13.85546875" style="264" customWidth="1"/>
    <col min="5125" max="5126" width="14.85546875" style="264" customWidth="1"/>
    <col min="5127" max="5127" width="8.85546875" style="264" customWidth="1"/>
    <col min="5128" max="5128" width="12.5703125" style="264" customWidth="1"/>
    <col min="5129" max="5130" width="13" style="264" customWidth="1"/>
    <col min="5131" max="5374" width="9.140625" style="264"/>
    <col min="5375" max="5375" width="14" style="264" customWidth="1"/>
    <col min="5376" max="5376" width="2" style="264" customWidth="1"/>
    <col min="5377" max="5377" width="11.85546875" style="264" customWidth="1"/>
    <col min="5378" max="5378" width="13.5703125" style="264" customWidth="1"/>
    <col min="5379" max="5380" width="13.85546875" style="264" customWidth="1"/>
    <col min="5381" max="5382" width="14.85546875" style="264" customWidth="1"/>
    <col min="5383" max="5383" width="8.85546875" style="264" customWidth="1"/>
    <col min="5384" max="5384" width="12.5703125" style="264" customWidth="1"/>
    <col min="5385" max="5386" width="13" style="264" customWidth="1"/>
    <col min="5387" max="5630" width="9.140625" style="264"/>
    <col min="5631" max="5631" width="14" style="264" customWidth="1"/>
    <col min="5632" max="5632" width="2" style="264" customWidth="1"/>
    <col min="5633" max="5633" width="11.85546875" style="264" customWidth="1"/>
    <col min="5634" max="5634" width="13.5703125" style="264" customWidth="1"/>
    <col min="5635" max="5636" width="13.85546875" style="264" customWidth="1"/>
    <col min="5637" max="5638" width="14.85546875" style="264" customWidth="1"/>
    <col min="5639" max="5639" width="8.85546875" style="264" customWidth="1"/>
    <col min="5640" max="5640" width="12.5703125" style="264" customWidth="1"/>
    <col min="5641" max="5642" width="13" style="264" customWidth="1"/>
    <col min="5643" max="5886" width="9.140625" style="264"/>
    <col min="5887" max="5887" width="14" style="264" customWidth="1"/>
    <col min="5888" max="5888" width="2" style="264" customWidth="1"/>
    <col min="5889" max="5889" width="11.85546875" style="264" customWidth="1"/>
    <col min="5890" max="5890" width="13.5703125" style="264" customWidth="1"/>
    <col min="5891" max="5892" width="13.85546875" style="264" customWidth="1"/>
    <col min="5893" max="5894" width="14.85546875" style="264" customWidth="1"/>
    <col min="5895" max="5895" width="8.85546875" style="264" customWidth="1"/>
    <col min="5896" max="5896" width="12.5703125" style="264" customWidth="1"/>
    <col min="5897" max="5898" width="13" style="264" customWidth="1"/>
    <col min="5899" max="6142" width="9.140625" style="264"/>
    <col min="6143" max="6143" width="14" style="264" customWidth="1"/>
    <col min="6144" max="6144" width="2" style="264" customWidth="1"/>
    <col min="6145" max="6145" width="11.85546875" style="264" customWidth="1"/>
    <col min="6146" max="6146" width="13.5703125" style="264" customWidth="1"/>
    <col min="6147" max="6148" width="13.85546875" style="264" customWidth="1"/>
    <col min="6149" max="6150" width="14.85546875" style="264" customWidth="1"/>
    <col min="6151" max="6151" width="8.85546875" style="264" customWidth="1"/>
    <col min="6152" max="6152" width="12.5703125" style="264" customWidth="1"/>
    <col min="6153" max="6154" width="13" style="264" customWidth="1"/>
    <col min="6155" max="6398" width="9.140625" style="264"/>
    <col min="6399" max="6399" width="14" style="264" customWidth="1"/>
    <col min="6400" max="6400" width="2" style="264" customWidth="1"/>
    <col min="6401" max="6401" width="11.85546875" style="264" customWidth="1"/>
    <col min="6402" max="6402" width="13.5703125" style="264" customWidth="1"/>
    <col min="6403" max="6404" width="13.85546875" style="264" customWidth="1"/>
    <col min="6405" max="6406" width="14.85546875" style="264" customWidth="1"/>
    <col min="6407" max="6407" width="8.85546875" style="264" customWidth="1"/>
    <col min="6408" max="6408" width="12.5703125" style="264" customWidth="1"/>
    <col min="6409" max="6410" width="13" style="264" customWidth="1"/>
    <col min="6411" max="6654" width="9.140625" style="264"/>
    <col min="6655" max="6655" width="14" style="264" customWidth="1"/>
    <col min="6656" max="6656" width="2" style="264" customWidth="1"/>
    <col min="6657" max="6657" width="11.85546875" style="264" customWidth="1"/>
    <col min="6658" max="6658" width="13.5703125" style="264" customWidth="1"/>
    <col min="6659" max="6660" width="13.85546875" style="264" customWidth="1"/>
    <col min="6661" max="6662" width="14.85546875" style="264" customWidth="1"/>
    <col min="6663" max="6663" width="8.85546875" style="264" customWidth="1"/>
    <col min="6664" max="6664" width="12.5703125" style="264" customWidth="1"/>
    <col min="6665" max="6666" width="13" style="264" customWidth="1"/>
    <col min="6667" max="6910" width="9.140625" style="264"/>
    <col min="6911" max="6911" width="14" style="264" customWidth="1"/>
    <col min="6912" max="6912" width="2" style="264" customWidth="1"/>
    <col min="6913" max="6913" width="11.85546875" style="264" customWidth="1"/>
    <col min="6914" max="6914" width="13.5703125" style="264" customWidth="1"/>
    <col min="6915" max="6916" width="13.85546875" style="264" customWidth="1"/>
    <col min="6917" max="6918" width="14.85546875" style="264" customWidth="1"/>
    <col min="6919" max="6919" width="8.85546875" style="264" customWidth="1"/>
    <col min="6920" max="6920" width="12.5703125" style="264" customWidth="1"/>
    <col min="6921" max="6922" width="13" style="264" customWidth="1"/>
    <col min="6923" max="7166" width="9.140625" style="264"/>
    <col min="7167" max="7167" width="14" style="264" customWidth="1"/>
    <col min="7168" max="7168" width="2" style="264" customWidth="1"/>
    <col min="7169" max="7169" width="11.85546875" style="264" customWidth="1"/>
    <col min="7170" max="7170" width="13.5703125" style="264" customWidth="1"/>
    <col min="7171" max="7172" width="13.85546875" style="264" customWidth="1"/>
    <col min="7173" max="7174" width="14.85546875" style="264" customWidth="1"/>
    <col min="7175" max="7175" width="8.85546875" style="264" customWidth="1"/>
    <col min="7176" max="7176" width="12.5703125" style="264" customWidth="1"/>
    <col min="7177" max="7178" width="13" style="264" customWidth="1"/>
    <col min="7179" max="7422" width="9.140625" style="264"/>
    <col min="7423" max="7423" width="14" style="264" customWidth="1"/>
    <col min="7424" max="7424" width="2" style="264" customWidth="1"/>
    <col min="7425" max="7425" width="11.85546875" style="264" customWidth="1"/>
    <col min="7426" max="7426" width="13.5703125" style="264" customWidth="1"/>
    <col min="7427" max="7428" width="13.85546875" style="264" customWidth="1"/>
    <col min="7429" max="7430" width="14.85546875" style="264" customWidth="1"/>
    <col min="7431" max="7431" width="8.85546875" style="264" customWidth="1"/>
    <col min="7432" max="7432" width="12.5703125" style="264" customWidth="1"/>
    <col min="7433" max="7434" width="13" style="264" customWidth="1"/>
    <col min="7435" max="7678" width="9.140625" style="264"/>
    <col min="7679" max="7679" width="14" style="264" customWidth="1"/>
    <col min="7680" max="7680" width="2" style="264" customWidth="1"/>
    <col min="7681" max="7681" width="11.85546875" style="264" customWidth="1"/>
    <col min="7682" max="7682" width="13.5703125" style="264" customWidth="1"/>
    <col min="7683" max="7684" width="13.85546875" style="264" customWidth="1"/>
    <col min="7685" max="7686" width="14.85546875" style="264" customWidth="1"/>
    <col min="7687" max="7687" width="8.85546875" style="264" customWidth="1"/>
    <col min="7688" max="7688" width="12.5703125" style="264" customWidth="1"/>
    <col min="7689" max="7690" width="13" style="264" customWidth="1"/>
    <col min="7691" max="7934" width="9.140625" style="264"/>
    <col min="7935" max="7935" width="14" style="264" customWidth="1"/>
    <col min="7936" max="7936" width="2" style="264" customWidth="1"/>
    <col min="7937" max="7937" width="11.85546875" style="264" customWidth="1"/>
    <col min="7938" max="7938" width="13.5703125" style="264" customWidth="1"/>
    <col min="7939" max="7940" width="13.85546875" style="264" customWidth="1"/>
    <col min="7941" max="7942" width="14.85546875" style="264" customWidth="1"/>
    <col min="7943" max="7943" width="8.85546875" style="264" customWidth="1"/>
    <col min="7944" max="7944" width="12.5703125" style="264" customWidth="1"/>
    <col min="7945" max="7946" width="13" style="264" customWidth="1"/>
    <col min="7947" max="8190" width="9.140625" style="264"/>
    <col min="8191" max="8191" width="14" style="264" customWidth="1"/>
    <col min="8192" max="8192" width="2" style="264" customWidth="1"/>
    <col min="8193" max="8193" width="11.85546875" style="264" customWidth="1"/>
    <col min="8194" max="8194" width="13.5703125" style="264" customWidth="1"/>
    <col min="8195" max="8196" width="13.85546875" style="264" customWidth="1"/>
    <col min="8197" max="8198" width="14.85546875" style="264" customWidth="1"/>
    <col min="8199" max="8199" width="8.85546875" style="264" customWidth="1"/>
    <col min="8200" max="8200" width="12.5703125" style="264" customWidth="1"/>
    <col min="8201" max="8202" width="13" style="264" customWidth="1"/>
    <col min="8203" max="8446" width="9.140625" style="264"/>
    <col min="8447" max="8447" width="14" style="264" customWidth="1"/>
    <col min="8448" max="8448" width="2" style="264" customWidth="1"/>
    <col min="8449" max="8449" width="11.85546875" style="264" customWidth="1"/>
    <col min="8450" max="8450" width="13.5703125" style="264" customWidth="1"/>
    <col min="8451" max="8452" width="13.85546875" style="264" customWidth="1"/>
    <col min="8453" max="8454" width="14.85546875" style="264" customWidth="1"/>
    <col min="8455" max="8455" width="8.85546875" style="264" customWidth="1"/>
    <col min="8456" max="8456" width="12.5703125" style="264" customWidth="1"/>
    <col min="8457" max="8458" width="13" style="264" customWidth="1"/>
    <col min="8459" max="8702" width="9.140625" style="264"/>
    <col min="8703" max="8703" width="14" style="264" customWidth="1"/>
    <col min="8704" max="8704" width="2" style="264" customWidth="1"/>
    <col min="8705" max="8705" width="11.85546875" style="264" customWidth="1"/>
    <col min="8706" max="8706" width="13.5703125" style="264" customWidth="1"/>
    <col min="8707" max="8708" width="13.85546875" style="264" customWidth="1"/>
    <col min="8709" max="8710" width="14.85546875" style="264" customWidth="1"/>
    <col min="8711" max="8711" width="8.85546875" style="264" customWidth="1"/>
    <col min="8712" max="8712" width="12.5703125" style="264" customWidth="1"/>
    <col min="8713" max="8714" width="13" style="264" customWidth="1"/>
    <col min="8715" max="8958" width="9.140625" style="264"/>
    <col min="8959" max="8959" width="14" style="264" customWidth="1"/>
    <col min="8960" max="8960" width="2" style="264" customWidth="1"/>
    <col min="8961" max="8961" width="11.85546875" style="264" customWidth="1"/>
    <col min="8962" max="8962" width="13.5703125" style="264" customWidth="1"/>
    <col min="8963" max="8964" width="13.85546875" style="264" customWidth="1"/>
    <col min="8965" max="8966" width="14.85546875" style="264" customWidth="1"/>
    <col min="8967" max="8967" width="8.85546875" style="264" customWidth="1"/>
    <col min="8968" max="8968" width="12.5703125" style="264" customWidth="1"/>
    <col min="8969" max="8970" width="13" style="264" customWidth="1"/>
    <col min="8971" max="9214" width="9.140625" style="264"/>
    <col min="9215" max="9215" width="14" style="264" customWidth="1"/>
    <col min="9216" max="9216" width="2" style="264" customWidth="1"/>
    <col min="9217" max="9217" width="11.85546875" style="264" customWidth="1"/>
    <col min="9218" max="9218" width="13.5703125" style="264" customWidth="1"/>
    <col min="9219" max="9220" width="13.85546875" style="264" customWidth="1"/>
    <col min="9221" max="9222" width="14.85546875" style="264" customWidth="1"/>
    <col min="9223" max="9223" width="8.85546875" style="264" customWidth="1"/>
    <col min="9224" max="9224" width="12.5703125" style="264" customWidth="1"/>
    <col min="9225" max="9226" width="13" style="264" customWidth="1"/>
    <col min="9227" max="9470" width="9.140625" style="264"/>
    <col min="9471" max="9471" width="14" style="264" customWidth="1"/>
    <col min="9472" max="9472" width="2" style="264" customWidth="1"/>
    <col min="9473" max="9473" width="11.85546875" style="264" customWidth="1"/>
    <col min="9474" max="9474" width="13.5703125" style="264" customWidth="1"/>
    <col min="9475" max="9476" width="13.85546875" style="264" customWidth="1"/>
    <col min="9477" max="9478" width="14.85546875" style="264" customWidth="1"/>
    <col min="9479" max="9479" width="8.85546875" style="264" customWidth="1"/>
    <col min="9480" max="9480" width="12.5703125" style="264" customWidth="1"/>
    <col min="9481" max="9482" width="13" style="264" customWidth="1"/>
    <col min="9483" max="9726" width="9.140625" style="264"/>
    <col min="9727" max="9727" width="14" style="264" customWidth="1"/>
    <col min="9728" max="9728" width="2" style="264" customWidth="1"/>
    <col min="9729" max="9729" width="11.85546875" style="264" customWidth="1"/>
    <col min="9730" max="9730" width="13.5703125" style="264" customWidth="1"/>
    <col min="9731" max="9732" width="13.85546875" style="264" customWidth="1"/>
    <col min="9733" max="9734" width="14.85546875" style="264" customWidth="1"/>
    <col min="9735" max="9735" width="8.85546875" style="264" customWidth="1"/>
    <col min="9736" max="9736" width="12.5703125" style="264" customWidth="1"/>
    <col min="9737" max="9738" width="13" style="264" customWidth="1"/>
    <col min="9739" max="9982" width="9.140625" style="264"/>
    <col min="9983" max="9983" width="14" style="264" customWidth="1"/>
    <col min="9984" max="9984" width="2" style="264" customWidth="1"/>
    <col min="9985" max="9985" width="11.85546875" style="264" customWidth="1"/>
    <col min="9986" max="9986" width="13.5703125" style="264" customWidth="1"/>
    <col min="9987" max="9988" width="13.85546875" style="264" customWidth="1"/>
    <col min="9989" max="9990" width="14.85546875" style="264" customWidth="1"/>
    <col min="9991" max="9991" width="8.85546875" style="264" customWidth="1"/>
    <col min="9992" max="9992" width="12.5703125" style="264" customWidth="1"/>
    <col min="9993" max="9994" width="13" style="264" customWidth="1"/>
    <col min="9995" max="10238" width="9.140625" style="264"/>
    <col min="10239" max="10239" width="14" style="264" customWidth="1"/>
    <col min="10240" max="10240" width="2" style="264" customWidth="1"/>
    <col min="10241" max="10241" width="11.85546875" style="264" customWidth="1"/>
    <col min="10242" max="10242" width="13.5703125" style="264" customWidth="1"/>
    <col min="10243" max="10244" width="13.85546875" style="264" customWidth="1"/>
    <col min="10245" max="10246" width="14.85546875" style="264" customWidth="1"/>
    <col min="10247" max="10247" width="8.85546875" style="264" customWidth="1"/>
    <col min="10248" max="10248" width="12.5703125" style="264" customWidth="1"/>
    <col min="10249" max="10250" width="13" style="264" customWidth="1"/>
    <col min="10251" max="10494" width="9.140625" style="264"/>
    <col min="10495" max="10495" width="14" style="264" customWidth="1"/>
    <col min="10496" max="10496" width="2" style="264" customWidth="1"/>
    <col min="10497" max="10497" width="11.85546875" style="264" customWidth="1"/>
    <col min="10498" max="10498" width="13.5703125" style="264" customWidth="1"/>
    <col min="10499" max="10500" width="13.85546875" style="264" customWidth="1"/>
    <col min="10501" max="10502" width="14.85546875" style="264" customWidth="1"/>
    <col min="10503" max="10503" width="8.85546875" style="264" customWidth="1"/>
    <col min="10504" max="10504" width="12.5703125" style="264" customWidth="1"/>
    <col min="10505" max="10506" width="13" style="264" customWidth="1"/>
    <col min="10507" max="10750" width="9.140625" style="264"/>
    <col min="10751" max="10751" width="14" style="264" customWidth="1"/>
    <col min="10752" max="10752" width="2" style="264" customWidth="1"/>
    <col min="10753" max="10753" width="11.85546875" style="264" customWidth="1"/>
    <col min="10754" max="10754" width="13.5703125" style="264" customWidth="1"/>
    <col min="10755" max="10756" width="13.85546875" style="264" customWidth="1"/>
    <col min="10757" max="10758" width="14.85546875" style="264" customWidth="1"/>
    <col min="10759" max="10759" width="8.85546875" style="264" customWidth="1"/>
    <col min="10760" max="10760" width="12.5703125" style="264" customWidth="1"/>
    <col min="10761" max="10762" width="13" style="264" customWidth="1"/>
    <col min="10763" max="11006" width="9.140625" style="264"/>
    <col min="11007" max="11007" width="14" style="264" customWidth="1"/>
    <col min="11008" max="11008" width="2" style="264" customWidth="1"/>
    <col min="11009" max="11009" width="11.85546875" style="264" customWidth="1"/>
    <col min="11010" max="11010" width="13.5703125" style="264" customWidth="1"/>
    <col min="11011" max="11012" width="13.85546875" style="264" customWidth="1"/>
    <col min="11013" max="11014" width="14.85546875" style="264" customWidth="1"/>
    <col min="11015" max="11015" width="8.85546875" style="264" customWidth="1"/>
    <col min="11016" max="11016" width="12.5703125" style="264" customWidth="1"/>
    <col min="11017" max="11018" width="13" style="264" customWidth="1"/>
    <col min="11019" max="11262" width="9.140625" style="264"/>
    <col min="11263" max="11263" width="14" style="264" customWidth="1"/>
    <col min="11264" max="11264" width="2" style="264" customWidth="1"/>
    <col min="11265" max="11265" width="11.85546875" style="264" customWidth="1"/>
    <col min="11266" max="11266" width="13.5703125" style="264" customWidth="1"/>
    <col min="11267" max="11268" width="13.85546875" style="264" customWidth="1"/>
    <col min="11269" max="11270" width="14.85546875" style="264" customWidth="1"/>
    <col min="11271" max="11271" width="8.85546875" style="264" customWidth="1"/>
    <col min="11272" max="11272" width="12.5703125" style="264" customWidth="1"/>
    <col min="11273" max="11274" width="13" style="264" customWidth="1"/>
    <col min="11275" max="11518" width="9.140625" style="264"/>
    <col min="11519" max="11519" width="14" style="264" customWidth="1"/>
    <col min="11520" max="11520" width="2" style="264" customWidth="1"/>
    <col min="11521" max="11521" width="11.85546875" style="264" customWidth="1"/>
    <col min="11522" max="11522" width="13.5703125" style="264" customWidth="1"/>
    <col min="11523" max="11524" width="13.85546875" style="264" customWidth="1"/>
    <col min="11525" max="11526" width="14.85546875" style="264" customWidth="1"/>
    <col min="11527" max="11527" width="8.85546875" style="264" customWidth="1"/>
    <col min="11528" max="11528" width="12.5703125" style="264" customWidth="1"/>
    <col min="11529" max="11530" width="13" style="264" customWidth="1"/>
    <col min="11531" max="11774" width="9.140625" style="264"/>
    <col min="11775" max="11775" width="14" style="264" customWidth="1"/>
    <col min="11776" max="11776" width="2" style="264" customWidth="1"/>
    <col min="11777" max="11777" width="11.85546875" style="264" customWidth="1"/>
    <col min="11778" max="11778" width="13.5703125" style="264" customWidth="1"/>
    <col min="11779" max="11780" width="13.85546875" style="264" customWidth="1"/>
    <col min="11781" max="11782" width="14.85546875" style="264" customWidth="1"/>
    <col min="11783" max="11783" width="8.85546875" style="264" customWidth="1"/>
    <col min="11784" max="11784" width="12.5703125" style="264" customWidth="1"/>
    <col min="11785" max="11786" width="13" style="264" customWidth="1"/>
    <col min="11787" max="12030" width="9.140625" style="264"/>
    <col min="12031" max="12031" width="14" style="264" customWidth="1"/>
    <col min="12032" max="12032" width="2" style="264" customWidth="1"/>
    <col min="12033" max="12033" width="11.85546875" style="264" customWidth="1"/>
    <col min="12034" max="12034" width="13.5703125" style="264" customWidth="1"/>
    <col min="12035" max="12036" width="13.85546875" style="264" customWidth="1"/>
    <col min="12037" max="12038" width="14.85546875" style="264" customWidth="1"/>
    <col min="12039" max="12039" width="8.85546875" style="264" customWidth="1"/>
    <col min="12040" max="12040" width="12.5703125" style="264" customWidth="1"/>
    <col min="12041" max="12042" width="13" style="264" customWidth="1"/>
    <col min="12043" max="12286" width="9.140625" style="264"/>
    <col min="12287" max="12287" width="14" style="264" customWidth="1"/>
    <col min="12288" max="12288" width="2" style="264" customWidth="1"/>
    <col min="12289" max="12289" width="11.85546875" style="264" customWidth="1"/>
    <col min="12290" max="12290" width="13.5703125" style="264" customWidth="1"/>
    <col min="12291" max="12292" width="13.85546875" style="264" customWidth="1"/>
    <col min="12293" max="12294" width="14.85546875" style="264" customWidth="1"/>
    <col min="12295" max="12295" width="8.85546875" style="264" customWidth="1"/>
    <col min="12296" max="12296" width="12.5703125" style="264" customWidth="1"/>
    <col min="12297" max="12298" width="13" style="264" customWidth="1"/>
    <col min="12299" max="12542" width="9.140625" style="264"/>
    <col min="12543" max="12543" width="14" style="264" customWidth="1"/>
    <col min="12544" max="12544" width="2" style="264" customWidth="1"/>
    <col min="12545" max="12545" width="11.85546875" style="264" customWidth="1"/>
    <col min="12546" max="12546" width="13.5703125" style="264" customWidth="1"/>
    <col min="12547" max="12548" width="13.85546875" style="264" customWidth="1"/>
    <col min="12549" max="12550" width="14.85546875" style="264" customWidth="1"/>
    <col min="12551" max="12551" width="8.85546875" style="264" customWidth="1"/>
    <col min="12552" max="12552" width="12.5703125" style="264" customWidth="1"/>
    <col min="12553" max="12554" width="13" style="264" customWidth="1"/>
    <col min="12555" max="12798" width="9.140625" style="264"/>
    <col min="12799" max="12799" width="14" style="264" customWidth="1"/>
    <col min="12800" max="12800" width="2" style="264" customWidth="1"/>
    <col min="12801" max="12801" width="11.85546875" style="264" customWidth="1"/>
    <col min="12802" max="12802" width="13.5703125" style="264" customWidth="1"/>
    <col min="12803" max="12804" width="13.85546875" style="264" customWidth="1"/>
    <col min="12805" max="12806" width="14.85546875" style="264" customWidth="1"/>
    <col min="12807" max="12807" width="8.85546875" style="264" customWidth="1"/>
    <col min="12808" max="12808" width="12.5703125" style="264" customWidth="1"/>
    <col min="12809" max="12810" width="13" style="264" customWidth="1"/>
    <col min="12811" max="13054" width="9.140625" style="264"/>
    <col min="13055" max="13055" width="14" style="264" customWidth="1"/>
    <col min="13056" max="13056" width="2" style="264" customWidth="1"/>
    <col min="13057" max="13057" width="11.85546875" style="264" customWidth="1"/>
    <col min="13058" max="13058" width="13.5703125" style="264" customWidth="1"/>
    <col min="13059" max="13060" width="13.85546875" style="264" customWidth="1"/>
    <col min="13061" max="13062" width="14.85546875" style="264" customWidth="1"/>
    <col min="13063" max="13063" width="8.85546875" style="264" customWidth="1"/>
    <col min="13064" max="13064" width="12.5703125" style="264" customWidth="1"/>
    <col min="13065" max="13066" width="13" style="264" customWidth="1"/>
    <col min="13067" max="13310" width="9.140625" style="264"/>
    <col min="13311" max="13311" width="14" style="264" customWidth="1"/>
    <col min="13312" max="13312" width="2" style="264" customWidth="1"/>
    <col min="13313" max="13313" width="11.85546875" style="264" customWidth="1"/>
    <col min="13314" max="13314" width="13.5703125" style="264" customWidth="1"/>
    <col min="13315" max="13316" width="13.85546875" style="264" customWidth="1"/>
    <col min="13317" max="13318" width="14.85546875" style="264" customWidth="1"/>
    <col min="13319" max="13319" width="8.85546875" style="264" customWidth="1"/>
    <col min="13320" max="13320" width="12.5703125" style="264" customWidth="1"/>
    <col min="13321" max="13322" width="13" style="264" customWidth="1"/>
    <col min="13323" max="13566" width="9.140625" style="264"/>
    <col min="13567" max="13567" width="14" style="264" customWidth="1"/>
    <col min="13568" max="13568" width="2" style="264" customWidth="1"/>
    <col min="13569" max="13569" width="11.85546875" style="264" customWidth="1"/>
    <col min="13570" max="13570" width="13.5703125" style="264" customWidth="1"/>
    <col min="13571" max="13572" width="13.85546875" style="264" customWidth="1"/>
    <col min="13573" max="13574" width="14.85546875" style="264" customWidth="1"/>
    <col min="13575" max="13575" width="8.85546875" style="264" customWidth="1"/>
    <col min="13576" max="13576" width="12.5703125" style="264" customWidth="1"/>
    <col min="13577" max="13578" width="13" style="264" customWidth="1"/>
    <col min="13579" max="13822" width="9.140625" style="264"/>
    <col min="13823" max="13823" width="14" style="264" customWidth="1"/>
    <col min="13824" max="13824" width="2" style="264" customWidth="1"/>
    <col min="13825" max="13825" width="11.85546875" style="264" customWidth="1"/>
    <col min="13826" max="13826" width="13.5703125" style="264" customWidth="1"/>
    <col min="13827" max="13828" width="13.85546875" style="264" customWidth="1"/>
    <col min="13829" max="13830" width="14.85546875" style="264" customWidth="1"/>
    <col min="13831" max="13831" width="8.85546875" style="264" customWidth="1"/>
    <col min="13832" max="13832" width="12.5703125" style="264" customWidth="1"/>
    <col min="13833" max="13834" width="13" style="264" customWidth="1"/>
    <col min="13835" max="14078" width="9.140625" style="264"/>
    <col min="14079" max="14079" width="14" style="264" customWidth="1"/>
    <col min="14080" max="14080" width="2" style="264" customWidth="1"/>
    <col min="14081" max="14081" width="11.85546875" style="264" customWidth="1"/>
    <col min="14082" max="14082" width="13.5703125" style="264" customWidth="1"/>
    <col min="14083" max="14084" width="13.85546875" style="264" customWidth="1"/>
    <col min="14085" max="14086" width="14.85546875" style="264" customWidth="1"/>
    <col min="14087" max="14087" width="8.85546875" style="264" customWidth="1"/>
    <col min="14088" max="14088" width="12.5703125" style="264" customWidth="1"/>
    <col min="14089" max="14090" width="13" style="264" customWidth="1"/>
    <col min="14091" max="14334" width="9.140625" style="264"/>
    <col min="14335" max="14335" width="14" style="264" customWidth="1"/>
    <col min="14336" max="14336" width="2" style="264" customWidth="1"/>
    <col min="14337" max="14337" width="11.85546875" style="264" customWidth="1"/>
    <col min="14338" max="14338" width="13.5703125" style="264" customWidth="1"/>
    <col min="14339" max="14340" width="13.85546875" style="264" customWidth="1"/>
    <col min="14341" max="14342" width="14.85546875" style="264" customWidth="1"/>
    <col min="14343" max="14343" width="8.85546875" style="264" customWidth="1"/>
    <col min="14344" max="14344" width="12.5703125" style="264" customWidth="1"/>
    <col min="14345" max="14346" width="13" style="264" customWidth="1"/>
    <col min="14347" max="14590" width="9.140625" style="264"/>
    <col min="14591" max="14591" width="14" style="264" customWidth="1"/>
    <col min="14592" max="14592" width="2" style="264" customWidth="1"/>
    <col min="14593" max="14593" width="11.85546875" style="264" customWidth="1"/>
    <col min="14594" max="14594" width="13.5703125" style="264" customWidth="1"/>
    <col min="14595" max="14596" width="13.85546875" style="264" customWidth="1"/>
    <col min="14597" max="14598" width="14.85546875" style="264" customWidth="1"/>
    <col min="14599" max="14599" width="8.85546875" style="264" customWidth="1"/>
    <col min="14600" max="14600" width="12.5703125" style="264" customWidth="1"/>
    <col min="14601" max="14602" width="13" style="264" customWidth="1"/>
    <col min="14603" max="14846" width="9.140625" style="264"/>
    <col min="14847" max="14847" width="14" style="264" customWidth="1"/>
    <col min="14848" max="14848" width="2" style="264" customWidth="1"/>
    <col min="14849" max="14849" width="11.85546875" style="264" customWidth="1"/>
    <col min="14850" max="14850" width="13.5703125" style="264" customWidth="1"/>
    <col min="14851" max="14852" width="13.85546875" style="264" customWidth="1"/>
    <col min="14853" max="14854" width="14.85546875" style="264" customWidth="1"/>
    <col min="14855" max="14855" width="8.85546875" style="264" customWidth="1"/>
    <col min="14856" max="14856" width="12.5703125" style="264" customWidth="1"/>
    <col min="14857" max="14858" width="13" style="264" customWidth="1"/>
    <col min="14859" max="15102" width="9.140625" style="264"/>
    <col min="15103" max="15103" width="14" style="264" customWidth="1"/>
    <col min="15104" max="15104" width="2" style="264" customWidth="1"/>
    <col min="15105" max="15105" width="11.85546875" style="264" customWidth="1"/>
    <col min="15106" max="15106" width="13.5703125" style="264" customWidth="1"/>
    <col min="15107" max="15108" width="13.85546875" style="264" customWidth="1"/>
    <col min="15109" max="15110" width="14.85546875" style="264" customWidth="1"/>
    <col min="15111" max="15111" width="8.85546875" style="264" customWidth="1"/>
    <col min="15112" max="15112" width="12.5703125" style="264" customWidth="1"/>
    <col min="15113" max="15114" width="13" style="264" customWidth="1"/>
    <col min="15115" max="15358" width="9.140625" style="264"/>
    <col min="15359" max="15359" width="14" style="264" customWidth="1"/>
    <col min="15360" max="15360" width="2" style="264" customWidth="1"/>
    <col min="15361" max="15361" width="11.85546875" style="264" customWidth="1"/>
    <col min="15362" max="15362" width="13.5703125" style="264" customWidth="1"/>
    <col min="15363" max="15364" width="13.85546875" style="264" customWidth="1"/>
    <col min="15365" max="15366" width="14.85546875" style="264" customWidth="1"/>
    <col min="15367" max="15367" width="8.85546875" style="264" customWidth="1"/>
    <col min="15368" max="15368" width="12.5703125" style="264" customWidth="1"/>
    <col min="15369" max="15370" width="13" style="264" customWidth="1"/>
    <col min="15371" max="15614" width="9.140625" style="264"/>
    <col min="15615" max="15615" width="14" style="264" customWidth="1"/>
    <col min="15616" max="15616" width="2" style="264" customWidth="1"/>
    <col min="15617" max="15617" width="11.85546875" style="264" customWidth="1"/>
    <col min="15618" max="15618" width="13.5703125" style="264" customWidth="1"/>
    <col min="15619" max="15620" width="13.85546875" style="264" customWidth="1"/>
    <col min="15621" max="15622" width="14.85546875" style="264" customWidth="1"/>
    <col min="15623" max="15623" width="8.85546875" style="264" customWidth="1"/>
    <col min="15624" max="15624" width="12.5703125" style="264" customWidth="1"/>
    <col min="15625" max="15626" width="13" style="264" customWidth="1"/>
    <col min="15627" max="15870" width="9.140625" style="264"/>
    <col min="15871" max="15871" width="14" style="264" customWidth="1"/>
    <col min="15872" max="15872" width="2" style="264" customWidth="1"/>
    <col min="15873" max="15873" width="11.85546875" style="264" customWidth="1"/>
    <col min="15874" max="15874" width="13.5703125" style="264" customWidth="1"/>
    <col min="15875" max="15876" width="13.85546875" style="264" customWidth="1"/>
    <col min="15877" max="15878" width="14.85546875" style="264" customWidth="1"/>
    <col min="15879" max="15879" width="8.85546875" style="264" customWidth="1"/>
    <col min="15880" max="15880" width="12.5703125" style="264" customWidth="1"/>
    <col min="15881" max="15882" width="13" style="264" customWidth="1"/>
    <col min="15883" max="16126" width="9.140625" style="264"/>
    <col min="16127" max="16127" width="14" style="264" customWidth="1"/>
    <col min="16128" max="16128" width="2" style="264" customWidth="1"/>
    <col min="16129" max="16129" width="11.85546875" style="264" customWidth="1"/>
    <col min="16130" max="16130" width="13.5703125" style="264" customWidth="1"/>
    <col min="16131" max="16132" width="13.85546875" style="264" customWidth="1"/>
    <col min="16133" max="16134" width="14.85546875" style="264" customWidth="1"/>
    <col min="16135" max="16135" width="8.85546875" style="264" customWidth="1"/>
    <col min="16136" max="16136" width="12.5703125" style="264" customWidth="1"/>
    <col min="16137" max="16138" width="13" style="264" customWidth="1"/>
    <col min="16139" max="16384" width="9.140625" style="264"/>
  </cols>
  <sheetData>
    <row r="1" spans="1:10" ht="10.5" customHeight="1" thickBot="1" x14ac:dyDescent="0.45">
      <c r="A1" s="262"/>
      <c r="B1" s="299"/>
      <c r="C1" s="262"/>
      <c r="D1" s="263"/>
      <c r="E1" s="262"/>
      <c r="F1" s="262"/>
      <c r="G1" s="300"/>
      <c r="H1" s="300"/>
      <c r="I1" s="281"/>
      <c r="J1" s="281"/>
    </row>
    <row r="2" spans="1:10" ht="35.25" customHeight="1" thickBot="1" x14ac:dyDescent="0.3">
      <c r="A2" s="265" t="s">
        <v>117</v>
      </c>
      <c r="B2" s="299"/>
      <c r="C2" s="301" t="s">
        <v>118</v>
      </c>
      <c r="D2" s="302"/>
      <c r="E2" s="303" t="s">
        <v>119</v>
      </c>
      <c r="F2" s="303"/>
      <c r="G2" s="304" t="s">
        <v>120</v>
      </c>
      <c r="H2" s="305"/>
      <c r="I2" s="284"/>
      <c r="J2" s="284"/>
    </row>
    <row r="3" spans="1:10" ht="44.25" customHeight="1" x14ac:dyDescent="0.25">
      <c r="A3" s="266" t="s">
        <v>39</v>
      </c>
      <c r="B3" s="299"/>
      <c r="C3" s="267" t="s">
        <v>121</v>
      </c>
      <c r="D3" s="268" t="s">
        <v>122</v>
      </c>
      <c r="E3" s="269" t="s">
        <v>123</v>
      </c>
      <c r="F3" s="269" t="s">
        <v>124</v>
      </c>
      <c r="G3" s="269" t="s">
        <v>125</v>
      </c>
      <c r="H3" s="270" t="s">
        <v>126</v>
      </c>
      <c r="I3" s="285" t="s">
        <v>127</v>
      </c>
      <c r="J3" s="285" t="s">
        <v>128</v>
      </c>
    </row>
    <row r="4" spans="1:10" s="276" customFormat="1" ht="35.25" customHeight="1" x14ac:dyDescent="0.25">
      <c r="A4" s="271">
        <v>44227</v>
      </c>
      <c r="B4" s="299"/>
      <c r="C4" s="272">
        <f>SUM('GENSET #1'!B10+'GENSET #2'!B10+'GENSET #3'!B10+'GENSET #4'!B10+'GENSET #5'!B10)</f>
        <v>86935793</v>
      </c>
      <c r="D4" s="273"/>
      <c r="E4" s="274">
        <f>'Gas-2'!G5</f>
        <v>180</v>
      </c>
      <c r="F4" s="275"/>
      <c r="G4" s="274">
        <f>SUM(WATER!G6,WATER!L6,WATER!Q6,WATER!B6)</f>
        <v>912639</v>
      </c>
      <c r="I4" s="277"/>
      <c r="J4" s="277"/>
    </row>
    <row r="5" spans="1:10" ht="33" customHeight="1" x14ac:dyDescent="0.25">
      <c r="A5" s="278">
        <v>44228</v>
      </c>
      <c r="B5" s="299"/>
      <c r="C5" s="272">
        <f>SUM('GENSET #1'!B11+'GENSET #2'!B11+'GENSET #3'!B11+'GENSET #4'!B11+'GENSET #5'!B11)</f>
        <v>86962972</v>
      </c>
      <c r="D5" s="279">
        <f>IF((C5-C4&lt;0), "0",C5-C4)</f>
        <v>27179</v>
      </c>
      <c r="E5" s="272">
        <f>'Gas-2'!G6</f>
        <v>405</v>
      </c>
      <c r="F5" s="279">
        <f>IF((E5-E4&lt;0), "0",E5-E4)</f>
        <v>225</v>
      </c>
      <c r="G5" s="280">
        <f>SUM(WATER!C6,WATER!H6,WATER!M6,WATER!R6)</f>
        <v>912996</v>
      </c>
      <c r="H5" s="279">
        <f>IF((G5-G4&lt;0), "0",G5-G4)</f>
        <v>357</v>
      </c>
      <c r="I5" s="281">
        <v>52</v>
      </c>
      <c r="J5" s="281">
        <v>410</v>
      </c>
    </row>
    <row r="6" spans="1:10" ht="45" customHeight="1" x14ac:dyDescent="0.25">
      <c r="A6" s="278">
        <v>44229</v>
      </c>
      <c r="B6" s="299"/>
      <c r="C6" s="272">
        <f>SUM('GENSET #1'!B12+'GENSET #2'!B12+'GENSET #3'!B12+'GENSET #4'!B12+'GENSET #5'!B12)</f>
        <v>86990024</v>
      </c>
      <c r="D6" s="279">
        <f>IF((C6-C5&lt;0), "0",C6-C5)</f>
        <v>27052</v>
      </c>
      <c r="E6" s="272">
        <f>'Gas-2'!G7</f>
        <v>90</v>
      </c>
      <c r="F6" s="279" t="str">
        <f t="shared" ref="F6:F35" si="0">IF((E6-E5&lt;0), "0",E6-E5)</f>
        <v>0</v>
      </c>
      <c r="G6" s="280">
        <f>SUM(WATER!C7,WATER!H7,WATER!M7,WATER!R7)</f>
        <v>913270</v>
      </c>
      <c r="H6" s="279">
        <f t="shared" ref="H6:H35" si="1">IF((G6-G5&lt;0), "0",G6-G5)</f>
        <v>274</v>
      </c>
      <c r="I6" s="281">
        <v>55</v>
      </c>
      <c r="J6" s="281">
        <v>391</v>
      </c>
    </row>
    <row r="7" spans="1:10" ht="45" customHeight="1" x14ac:dyDescent="0.25">
      <c r="A7" s="278">
        <v>44230</v>
      </c>
      <c r="B7" s="299"/>
      <c r="C7" s="272">
        <f>SUM('GENSET #1'!B13+'GENSET #2'!B13+'GENSET #3'!B13+'GENSET #4'!B13+'GENSET #5'!B13)</f>
        <v>87017868</v>
      </c>
      <c r="D7" s="279">
        <f t="shared" ref="D7:D22" si="2">IF((C7-C6&lt;0), "0",C7-C6)</f>
        <v>27844</v>
      </c>
      <c r="E7" s="272">
        <f>'Gas-2'!G8</f>
        <v>405</v>
      </c>
      <c r="F7" s="279">
        <f t="shared" si="0"/>
        <v>315</v>
      </c>
      <c r="G7" s="280">
        <f>SUM(WATER!C8,WATER!H8,WATER!M8,WATER!R8)</f>
        <v>913597</v>
      </c>
      <c r="H7" s="279">
        <f t="shared" si="1"/>
        <v>327</v>
      </c>
      <c r="I7" s="281">
        <v>59</v>
      </c>
      <c r="J7" s="281">
        <v>316</v>
      </c>
    </row>
    <row r="8" spans="1:10" ht="45" customHeight="1" x14ac:dyDescent="0.25">
      <c r="A8" s="278">
        <v>44231</v>
      </c>
      <c r="B8" s="299"/>
      <c r="C8" s="272">
        <f>SUM('GENSET #1'!B14+'GENSET #2'!B14+'GENSET #3'!B14+'GENSET #4'!B14+'GENSET #5'!B14)</f>
        <v>87046403</v>
      </c>
      <c r="D8" s="279">
        <f t="shared" si="2"/>
        <v>28535</v>
      </c>
      <c r="E8" s="272">
        <f>'Gas-2'!G9</f>
        <v>180</v>
      </c>
      <c r="F8" s="279" t="str">
        <f t="shared" si="0"/>
        <v>0</v>
      </c>
      <c r="G8" s="280">
        <f>SUM(WATER!C9,WATER!H9,WATER!M9,WATER!R9)</f>
        <v>913971</v>
      </c>
      <c r="H8" s="279">
        <f t="shared" si="1"/>
        <v>374</v>
      </c>
      <c r="I8" s="281">
        <v>59</v>
      </c>
      <c r="J8" s="281">
        <v>484</v>
      </c>
    </row>
    <row r="9" spans="1:10" ht="45" customHeight="1" x14ac:dyDescent="0.25">
      <c r="A9" s="278">
        <v>44232</v>
      </c>
      <c r="B9" s="299"/>
      <c r="C9" s="272">
        <f>SUM('GENSET #1'!B15+'GENSET #2'!B15+'GENSET #3'!B15+'GENSET #4'!B15+'GENSET #5'!B15)</f>
        <v>87073469</v>
      </c>
      <c r="D9" s="279">
        <f t="shared" si="2"/>
        <v>27066</v>
      </c>
      <c r="E9" s="272">
        <f>'Gas-2'!G10</f>
        <v>405</v>
      </c>
      <c r="F9" s="279">
        <f t="shared" si="0"/>
        <v>225</v>
      </c>
      <c r="G9" s="280">
        <f>SUM(WATER!C10,WATER!H10,WATER!M10,WATER!R10)</f>
        <v>914296</v>
      </c>
      <c r="H9" s="279">
        <f t="shared" si="1"/>
        <v>325</v>
      </c>
      <c r="I9" s="281">
        <v>59</v>
      </c>
      <c r="J9" s="281">
        <v>460</v>
      </c>
    </row>
    <row r="10" spans="1:10" ht="45" customHeight="1" x14ac:dyDescent="0.25">
      <c r="A10" s="278">
        <v>44233</v>
      </c>
      <c r="B10" s="299"/>
      <c r="C10" s="272">
        <f>SUM('GENSET #1'!B16+'GENSET #2'!B16+'GENSET #3'!B16+'GENSET #4'!B16+'GENSET #5'!B16)</f>
        <v>87100583</v>
      </c>
      <c r="D10" s="279">
        <f t="shared" si="2"/>
        <v>27114</v>
      </c>
      <c r="E10" s="272">
        <f>'Gas-2'!G11</f>
        <v>90</v>
      </c>
      <c r="F10" s="279" t="str">
        <f t="shared" si="0"/>
        <v>0</v>
      </c>
      <c r="G10" s="280">
        <f>SUM(WATER!C11,WATER!H11,WATER!M11,WATER!R11)</f>
        <v>914688</v>
      </c>
      <c r="H10" s="279">
        <f t="shared" si="1"/>
        <v>392</v>
      </c>
      <c r="I10" s="281">
        <v>59</v>
      </c>
      <c r="J10" s="281">
        <v>469</v>
      </c>
    </row>
    <row r="11" spans="1:10" ht="45" customHeight="1" x14ac:dyDescent="0.25">
      <c r="A11" s="278">
        <v>44234</v>
      </c>
      <c r="B11" s="299"/>
      <c r="C11" s="272">
        <f>SUM('GENSET #1'!B17+'GENSET #2'!B17+'GENSET #3'!B17+'GENSET #4'!B17+'GENSET #5'!B17)</f>
        <v>87128267</v>
      </c>
      <c r="D11" s="279">
        <f t="shared" si="2"/>
        <v>27684</v>
      </c>
      <c r="E11" s="272">
        <f>'Gas-2'!G12</f>
        <v>270</v>
      </c>
      <c r="F11" s="279">
        <f t="shared" si="0"/>
        <v>180</v>
      </c>
      <c r="G11" s="280">
        <f>SUM(WATER!C12,WATER!H12,WATER!M12,WATER!R12)</f>
        <v>915024</v>
      </c>
      <c r="H11" s="279">
        <f t="shared" si="1"/>
        <v>336</v>
      </c>
      <c r="I11" s="281">
        <v>57</v>
      </c>
      <c r="J11" s="281">
        <v>416</v>
      </c>
    </row>
    <row r="12" spans="1:10" ht="45" customHeight="1" x14ac:dyDescent="0.25">
      <c r="A12" s="278">
        <v>44235</v>
      </c>
      <c r="B12" s="299"/>
      <c r="C12" s="272">
        <f>SUM('GENSET #1'!B18+'GENSET #2'!B18+'GENSET #3'!B18+'GENSET #4'!B18+'GENSET #5'!B18)</f>
        <v>87156903</v>
      </c>
      <c r="D12" s="279">
        <f t="shared" si="2"/>
        <v>28636</v>
      </c>
      <c r="E12" s="272">
        <f>'Gas-2'!G13</f>
        <v>315</v>
      </c>
      <c r="F12" s="279">
        <f t="shared" si="0"/>
        <v>45</v>
      </c>
      <c r="G12" s="280">
        <f>SUM(WATER!C13,WATER!H13,WATER!M13,WATER!R13)</f>
        <v>915387</v>
      </c>
      <c r="H12" s="279">
        <f t="shared" si="1"/>
        <v>363</v>
      </c>
      <c r="I12" s="281">
        <v>63</v>
      </c>
      <c r="J12" s="281">
        <v>484</v>
      </c>
    </row>
    <row r="13" spans="1:10" ht="45" customHeight="1" x14ac:dyDescent="0.25">
      <c r="A13" s="278">
        <v>44236</v>
      </c>
      <c r="B13" s="299"/>
      <c r="C13" s="272">
        <f>SUM('GENSET #1'!B19+'GENSET #2'!B19+'GENSET #3'!B19+'GENSET #4'!B19+'GENSET #5'!B19)</f>
        <v>87184806</v>
      </c>
      <c r="D13" s="279">
        <f t="shared" si="2"/>
        <v>27903</v>
      </c>
      <c r="E13" s="272">
        <f>'Gas-2'!G14</f>
        <v>135</v>
      </c>
      <c r="F13" s="279" t="str">
        <f t="shared" si="0"/>
        <v>0</v>
      </c>
      <c r="G13" s="280">
        <f>SUM(WATER!C14,WATER!H14,WATER!M14,WATER!R14)</f>
        <v>915748</v>
      </c>
      <c r="H13" s="279">
        <f t="shared" si="1"/>
        <v>361</v>
      </c>
      <c r="I13" s="281">
        <v>56</v>
      </c>
      <c r="J13" s="281">
        <v>445</v>
      </c>
    </row>
    <row r="14" spans="1:10" ht="45" customHeight="1" x14ac:dyDescent="0.25">
      <c r="A14" s="278">
        <v>44237</v>
      </c>
      <c r="B14" s="299"/>
      <c r="C14" s="272">
        <f>SUM('GENSET #1'!B20+'GENSET #2'!B20+'GENSET #3'!B20+'GENSET #4'!B20+'GENSET #5'!B20)</f>
        <v>87212471</v>
      </c>
      <c r="D14" s="279">
        <f t="shared" si="2"/>
        <v>27665</v>
      </c>
      <c r="E14" s="272">
        <f>'Gas-2'!G15</f>
        <v>405</v>
      </c>
      <c r="F14" s="279">
        <f t="shared" si="0"/>
        <v>270</v>
      </c>
      <c r="G14" s="280">
        <f>SUM(WATER!C15,WATER!H15,WATER!M15,WATER!R15)</f>
        <v>916118</v>
      </c>
      <c r="H14" s="279">
        <f t="shared" si="1"/>
        <v>370</v>
      </c>
      <c r="I14" s="281">
        <v>57</v>
      </c>
      <c r="J14" s="281">
        <v>506</v>
      </c>
    </row>
    <row r="15" spans="1:10" ht="45" customHeight="1" x14ac:dyDescent="0.25">
      <c r="A15" s="278">
        <v>44238</v>
      </c>
      <c r="B15" s="299"/>
      <c r="C15" s="272">
        <f>SUM('GENSET #1'!B21+'GENSET #2'!B21+'GENSET #3'!B21+'GENSET #4'!B21+'GENSET #5'!B21)</f>
        <v>87239053</v>
      </c>
      <c r="D15" s="279">
        <f t="shared" si="2"/>
        <v>26582</v>
      </c>
      <c r="E15" s="272">
        <f>'Gas-2'!G16</f>
        <v>180</v>
      </c>
      <c r="F15" s="279" t="str">
        <f t="shared" si="0"/>
        <v>0</v>
      </c>
      <c r="G15" s="280">
        <f>SUM(WATER!C16,WATER!H16,WATER!M16,WATER!R16)</f>
        <v>916490</v>
      </c>
      <c r="H15" s="279">
        <f t="shared" si="1"/>
        <v>372</v>
      </c>
      <c r="I15" s="281">
        <v>70</v>
      </c>
      <c r="J15" s="281">
        <v>558</v>
      </c>
    </row>
    <row r="16" spans="1:10" ht="45" customHeight="1" x14ac:dyDescent="0.25">
      <c r="A16" s="278">
        <v>44239</v>
      </c>
      <c r="B16" s="299"/>
      <c r="C16" s="272">
        <f>SUM('GENSET #1'!B22+'GENSET #2'!B22+'GENSET #3'!B22+'GENSET #4'!B22+'GENSET #5'!B22)</f>
        <v>87266153</v>
      </c>
      <c r="D16" s="279">
        <f t="shared" si="2"/>
        <v>27100</v>
      </c>
      <c r="E16" s="272">
        <f>'Gas-2'!G17</f>
        <v>450</v>
      </c>
      <c r="F16" s="279">
        <f t="shared" si="0"/>
        <v>270</v>
      </c>
      <c r="G16" s="280">
        <f>SUM(WATER!C17,WATER!H17,WATER!M17,WATER!R17)</f>
        <v>916851</v>
      </c>
      <c r="H16" s="279">
        <f t="shared" si="1"/>
        <v>361</v>
      </c>
      <c r="I16" s="281">
        <v>75</v>
      </c>
      <c r="J16" s="281">
        <v>649</v>
      </c>
    </row>
    <row r="17" spans="1:10" ht="45" customHeight="1" x14ac:dyDescent="0.25">
      <c r="A17" s="278">
        <v>44240</v>
      </c>
      <c r="B17" s="299"/>
      <c r="C17" s="272">
        <f>SUM('GENSET #1'!B23+'GENSET #2'!B23+'GENSET #3'!B23+'GENSET #4'!B23+'GENSET #5'!B23)</f>
        <v>87293637</v>
      </c>
      <c r="D17" s="279">
        <f t="shared" si="2"/>
        <v>27484</v>
      </c>
      <c r="E17" s="272">
        <f>'Gas-2'!G18</f>
        <v>45</v>
      </c>
      <c r="F17" s="279" t="str">
        <f t="shared" si="0"/>
        <v>0</v>
      </c>
      <c r="G17" s="280">
        <f>SUM(WATER!C18,WATER!H18,WATER!M18,WATER!R18)</f>
        <v>917247</v>
      </c>
      <c r="H17" s="279">
        <f t="shared" si="1"/>
        <v>396</v>
      </c>
      <c r="I17" s="281">
        <v>71</v>
      </c>
      <c r="J17" s="281">
        <v>629</v>
      </c>
    </row>
    <row r="18" spans="1:10" ht="45" customHeight="1" x14ac:dyDescent="0.25">
      <c r="A18" s="278">
        <v>44241</v>
      </c>
      <c r="B18" s="299"/>
      <c r="C18" s="272">
        <f>SUM('GENSET #1'!B24+'GENSET #2'!B24+'GENSET #3'!B24+'GENSET #4'!B24+'GENSET #5'!B24)</f>
        <v>87322065</v>
      </c>
      <c r="D18" s="279">
        <f t="shared" si="2"/>
        <v>28428</v>
      </c>
      <c r="E18" s="272">
        <f>'Gas-2'!G19</f>
        <v>405</v>
      </c>
      <c r="F18" s="279">
        <f t="shared" si="0"/>
        <v>360</v>
      </c>
      <c r="G18" s="280">
        <f>SUM(WATER!C19,WATER!H19,WATER!M19,WATER!R19)</f>
        <v>917666</v>
      </c>
      <c r="H18" s="279">
        <f t="shared" si="1"/>
        <v>419</v>
      </c>
      <c r="I18" s="281">
        <v>78</v>
      </c>
      <c r="J18" s="281">
        <v>620</v>
      </c>
    </row>
    <row r="19" spans="1:10" ht="45" customHeight="1" x14ac:dyDescent="0.25">
      <c r="A19" s="278">
        <v>44242</v>
      </c>
      <c r="B19" s="299"/>
      <c r="C19" s="272">
        <f>SUM('GENSET #1'!B25+'GENSET #2'!B25+'GENSET #3'!B25+'GENSET #4'!B25+'GENSET #5'!B25)</f>
        <v>87351269</v>
      </c>
      <c r="D19" s="279">
        <f t="shared" si="2"/>
        <v>29204</v>
      </c>
      <c r="E19" s="272">
        <f>'Gas-2'!G20</f>
        <v>45</v>
      </c>
      <c r="F19" s="279" t="str">
        <f t="shared" si="0"/>
        <v>0</v>
      </c>
      <c r="G19" s="280">
        <f>SUM(WATER!C20,WATER!H20,WATER!M20,WATER!R20)</f>
        <v>918089</v>
      </c>
      <c r="H19" s="279">
        <f t="shared" si="1"/>
        <v>423</v>
      </c>
      <c r="I19" s="281">
        <v>83</v>
      </c>
      <c r="J19" s="281">
        <v>721</v>
      </c>
    </row>
    <row r="20" spans="1:10" ht="45" customHeight="1" x14ac:dyDescent="0.25">
      <c r="A20" s="278">
        <v>44243</v>
      </c>
      <c r="B20" s="299"/>
      <c r="C20" s="272">
        <f>SUM('GENSET #1'!B26+'GENSET #2'!B26+'GENSET #3'!B26+'GENSET #4'!B26+'GENSET #5'!B26)</f>
        <v>87380173</v>
      </c>
      <c r="D20" s="279">
        <f t="shared" si="2"/>
        <v>28904</v>
      </c>
      <c r="E20" s="272">
        <f>'Gas-2'!G21</f>
        <v>180</v>
      </c>
      <c r="F20" s="279">
        <f t="shared" si="0"/>
        <v>135</v>
      </c>
      <c r="G20" s="280">
        <f>SUM(WATER!C21,WATER!H21,WATER!M21,WATER!R21)</f>
        <v>918473</v>
      </c>
      <c r="H20" s="279">
        <f t="shared" si="1"/>
        <v>384</v>
      </c>
      <c r="I20" s="281">
        <v>78.599999999999994</v>
      </c>
      <c r="J20" s="281">
        <v>702</v>
      </c>
    </row>
    <row r="21" spans="1:10" ht="45" customHeight="1" x14ac:dyDescent="0.25">
      <c r="A21" s="278">
        <v>44244</v>
      </c>
      <c r="B21" s="299"/>
      <c r="C21" s="272">
        <f>SUM('GENSET #1'!B27+'GENSET #2'!B27+'GENSET #3'!B27+'GENSET #4'!B27+'GENSET #5'!B27)</f>
        <v>87409919</v>
      </c>
      <c r="D21" s="279">
        <f t="shared" si="2"/>
        <v>29746</v>
      </c>
      <c r="E21" s="272">
        <f>'Gas-2'!G22</f>
        <v>405</v>
      </c>
      <c r="F21" s="279">
        <f t="shared" si="0"/>
        <v>225</v>
      </c>
      <c r="G21" s="280">
        <f>SUM(WATER!C22,WATER!H22,WATER!M22,WATER!R22)</f>
        <v>918968</v>
      </c>
      <c r="H21" s="279">
        <f t="shared" si="1"/>
        <v>495</v>
      </c>
      <c r="I21" s="281">
        <v>80.599999999999994</v>
      </c>
      <c r="J21" s="281">
        <v>770</v>
      </c>
    </row>
    <row r="22" spans="1:10" ht="45" customHeight="1" x14ac:dyDescent="0.25">
      <c r="A22" s="278">
        <v>44245</v>
      </c>
      <c r="B22" s="299"/>
      <c r="C22" s="272">
        <f>SUM('GENSET #1'!B28+'GENSET #2'!B28+'GENSET #3'!B28+'GENSET #4'!B28+'GENSET #5'!B28)</f>
        <v>87440464</v>
      </c>
      <c r="D22" s="279">
        <f t="shared" si="2"/>
        <v>30545</v>
      </c>
      <c r="E22" s="272">
        <f>'Gas-2'!G23</f>
        <v>45</v>
      </c>
      <c r="F22" s="279" t="str">
        <f t="shared" si="0"/>
        <v>0</v>
      </c>
      <c r="G22" s="280">
        <f>SUM(WATER!C23,WATER!H23,WATER!M23,WATER!R23)</f>
        <v>919377</v>
      </c>
      <c r="H22" s="279">
        <f t="shared" si="1"/>
        <v>409</v>
      </c>
      <c r="I22" s="281">
        <v>79.599999999999994</v>
      </c>
      <c r="J22" s="281">
        <v>700</v>
      </c>
    </row>
    <row r="23" spans="1:10" ht="45" customHeight="1" x14ac:dyDescent="0.25">
      <c r="A23" s="278">
        <v>44246</v>
      </c>
      <c r="B23" s="299"/>
      <c r="C23" s="272">
        <f>SUM('GENSET #1'!B29+'GENSET #2'!B29+'GENSET #3'!B29+'GENSET #4'!B29+'GENSET #5'!B29)</f>
        <v>87471433</v>
      </c>
      <c r="D23" s="279">
        <f>IF((C23-C22&lt;0), "0",C23-C22)</f>
        <v>30969</v>
      </c>
      <c r="E23" s="272">
        <f>'Gas-2'!G24</f>
        <v>315</v>
      </c>
      <c r="F23" s="279">
        <f t="shared" si="0"/>
        <v>270</v>
      </c>
      <c r="G23" s="280">
        <f>SUM(WATER!C24,WATER!H24,WATER!M24,WATER!R24)</f>
        <v>919782</v>
      </c>
      <c r="H23" s="279">
        <f t="shared" si="1"/>
        <v>405</v>
      </c>
      <c r="I23" s="281">
        <v>80.599999999999994</v>
      </c>
      <c r="J23" s="281">
        <v>703</v>
      </c>
    </row>
    <row r="24" spans="1:10" ht="45" customHeight="1" x14ac:dyDescent="0.25">
      <c r="A24" s="278">
        <v>44247</v>
      </c>
      <c r="B24" s="299"/>
      <c r="C24" s="272">
        <f>SUM('GENSET #1'!B30+'GENSET #2'!B30+'GENSET #3'!B30+'GENSET #4'!B30+'GENSET #5'!B30)</f>
        <v>87501837</v>
      </c>
      <c r="D24" s="279">
        <f t="shared" ref="D24:D35" si="3">IF((C24-C23&lt;0), "0",C24-C23)</f>
        <v>30404</v>
      </c>
      <c r="E24" s="272">
        <f>'Gas-2'!G25</f>
        <v>225</v>
      </c>
      <c r="F24" s="279" t="str">
        <f t="shared" si="0"/>
        <v>0</v>
      </c>
      <c r="G24" s="280">
        <f>SUM(WATER!C25,WATER!H25,WATER!M25,WATER!R25)</f>
        <v>920228</v>
      </c>
      <c r="H24" s="279">
        <f t="shared" si="1"/>
        <v>446</v>
      </c>
      <c r="I24" s="281"/>
      <c r="J24" s="281"/>
    </row>
    <row r="25" spans="1:10" ht="45" customHeight="1" x14ac:dyDescent="0.25">
      <c r="A25" s="278">
        <v>44248</v>
      </c>
      <c r="B25" s="299"/>
      <c r="C25" s="272">
        <f>SUM('GENSET #1'!B31+'GENSET #2'!B31+'GENSET #3'!B31+'GENSET #4'!B31+'GENSET #5'!B31)</f>
        <v>0</v>
      </c>
      <c r="D25" s="279" t="str">
        <f t="shared" si="3"/>
        <v>0</v>
      </c>
      <c r="E25" s="272">
        <f>'Gas-2'!G26</f>
        <v>0</v>
      </c>
      <c r="F25" s="279" t="str">
        <f t="shared" si="0"/>
        <v>0</v>
      </c>
      <c r="G25" s="280">
        <f>SUM(WATER!C26,WATER!H26,WATER!M26,WATER!R26)</f>
        <v>920592</v>
      </c>
      <c r="H25" s="279">
        <f t="shared" si="1"/>
        <v>364</v>
      </c>
      <c r="I25" s="281"/>
      <c r="J25" s="281"/>
    </row>
    <row r="26" spans="1:10" ht="45" customHeight="1" x14ac:dyDescent="0.25">
      <c r="A26" s="278">
        <v>44249</v>
      </c>
      <c r="B26" s="299"/>
      <c r="C26" s="272">
        <f>SUM('GENSET #1'!B32+'GENSET #2'!B32+'GENSET #3'!B32+'GENSET #4'!B32+'GENSET #5'!B32)</f>
        <v>0</v>
      </c>
      <c r="D26" s="279">
        <f t="shared" si="3"/>
        <v>0</v>
      </c>
      <c r="E26" s="272">
        <f>'Gas-2'!G27</f>
        <v>0</v>
      </c>
      <c r="F26" s="279">
        <f t="shared" si="0"/>
        <v>0</v>
      </c>
      <c r="G26" s="280">
        <f>SUM(WATER!C27,WATER!H27,WATER!M27,WATER!R27)</f>
        <v>0</v>
      </c>
      <c r="H26" s="279" t="str">
        <f t="shared" si="1"/>
        <v>0</v>
      </c>
      <c r="I26" s="281"/>
      <c r="J26" s="281"/>
    </row>
    <row r="27" spans="1:10" ht="45" customHeight="1" x14ac:dyDescent="0.25">
      <c r="A27" s="278">
        <v>44250</v>
      </c>
      <c r="B27" s="299"/>
      <c r="C27" s="272">
        <f>SUM('GENSET #1'!B33+'GENSET #2'!B33+'GENSET #3'!B33+'GENSET #4'!B33+'GENSET #5'!B33)</f>
        <v>0</v>
      </c>
      <c r="D27" s="279">
        <f t="shared" si="3"/>
        <v>0</v>
      </c>
      <c r="E27" s="272">
        <f>'Gas-2'!G28</f>
        <v>0</v>
      </c>
      <c r="F27" s="279">
        <f t="shared" si="0"/>
        <v>0</v>
      </c>
      <c r="G27" s="280">
        <f>SUM(WATER!C28,WATER!H28,WATER!M28,WATER!R28)</f>
        <v>0</v>
      </c>
      <c r="H27" s="279">
        <f t="shared" si="1"/>
        <v>0</v>
      </c>
      <c r="I27" s="281"/>
      <c r="J27" s="281"/>
    </row>
    <row r="28" spans="1:10" ht="45" customHeight="1" x14ac:dyDescent="0.25">
      <c r="A28" s="278">
        <v>44251</v>
      </c>
      <c r="B28" s="299"/>
      <c r="C28" s="272">
        <f>SUM('GENSET #1'!B34+'GENSET #2'!B34+'GENSET #3'!B34+'GENSET #4'!B34+'GENSET #5'!B34)</f>
        <v>0</v>
      </c>
      <c r="D28" s="279">
        <f t="shared" si="3"/>
        <v>0</v>
      </c>
      <c r="E28" s="272">
        <f>'Gas-2'!G29</f>
        <v>0</v>
      </c>
      <c r="F28" s="279">
        <f t="shared" si="0"/>
        <v>0</v>
      </c>
      <c r="G28" s="280">
        <f>SUM(WATER!C29,WATER!H29,WATER!M29,WATER!R29)</f>
        <v>0</v>
      </c>
      <c r="H28" s="279">
        <f t="shared" si="1"/>
        <v>0</v>
      </c>
      <c r="I28" s="281"/>
      <c r="J28" s="281"/>
    </row>
    <row r="29" spans="1:10" ht="45" customHeight="1" x14ac:dyDescent="0.25">
      <c r="A29" s="278">
        <v>44252</v>
      </c>
      <c r="B29" s="299"/>
      <c r="C29" s="272">
        <f>SUM('GENSET #1'!B35+'GENSET #2'!B35+'GENSET #3'!B35+'GENSET #4'!B35+'GENSET #5'!B35)</f>
        <v>0</v>
      </c>
      <c r="D29" s="279">
        <f t="shared" si="3"/>
        <v>0</v>
      </c>
      <c r="E29" s="272">
        <f>'Gas-2'!G30</f>
        <v>0</v>
      </c>
      <c r="F29" s="279">
        <f t="shared" si="0"/>
        <v>0</v>
      </c>
      <c r="G29" s="280">
        <f>SUM(WATER!C30,WATER!H30,WATER!M30,WATER!R30)</f>
        <v>0</v>
      </c>
      <c r="H29" s="279">
        <f t="shared" si="1"/>
        <v>0</v>
      </c>
      <c r="I29" s="281"/>
      <c r="J29" s="281"/>
    </row>
    <row r="30" spans="1:10" ht="45" customHeight="1" x14ac:dyDescent="0.25">
      <c r="A30" s="278">
        <v>44253</v>
      </c>
      <c r="B30" s="299"/>
      <c r="C30" s="272">
        <f>SUM('GENSET #1'!B36+'GENSET #2'!B36+'GENSET #3'!B36+'GENSET #4'!B36+'GENSET #5'!B36)</f>
        <v>0</v>
      </c>
      <c r="D30" s="279">
        <f t="shared" si="3"/>
        <v>0</v>
      </c>
      <c r="E30" s="272">
        <f>'Gas-2'!G31</f>
        <v>0</v>
      </c>
      <c r="F30" s="279">
        <f t="shared" si="0"/>
        <v>0</v>
      </c>
      <c r="G30" s="280">
        <f>SUM(WATER!C31,WATER!H31,WATER!M31,WATER!R31)</f>
        <v>0</v>
      </c>
      <c r="H30" s="279">
        <f t="shared" si="1"/>
        <v>0</v>
      </c>
      <c r="I30" s="281"/>
      <c r="J30" s="281"/>
    </row>
    <row r="31" spans="1:10" ht="45" customHeight="1" x14ac:dyDescent="0.25">
      <c r="A31" s="278">
        <v>44254</v>
      </c>
      <c r="B31" s="299"/>
      <c r="C31" s="272">
        <f>SUM('GENSET #1'!B37+'GENSET #2'!B37+'GENSET #3'!B37+'GENSET #4'!B37+'GENSET #5'!B37)</f>
        <v>0</v>
      </c>
      <c r="D31" s="279">
        <f t="shared" si="3"/>
        <v>0</v>
      </c>
      <c r="E31" s="272">
        <f>'Gas-2'!G32</f>
        <v>0</v>
      </c>
      <c r="F31" s="279">
        <f t="shared" si="0"/>
        <v>0</v>
      </c>
      <c r="G31" s="280">
        <f>SUM(WATER!C32,WATER!H32,WATER!M32,WATER!R32)</f>
        <v>0</v>
      </c>
      <c r="H31" s="279">
        <f t="shared" si="1"/>
        <v>0</v>
      </c>
      <c r="I31" s="281"/>
      <c r="J31" s="281"/>
    </row>
    <row r="32" spans="1:10" ht="45" customHeight="1" x14ac:dyDescent="0.25">
      <c r="A32" s="278">
        <v>44255</v>
      </c>
      <c r="B32" s="299"/>
      <c r="C32" s="272">
        <f>SUM('GENSET #1'!B38+'GENSET #2'!B38+'GENSET #3'!B38+'GENSET #4'!B38+'GENSET #5'!B38)</f>
        <v>0</v>
      </c>
      <c r="D32" s="279">
        <f t="shared" si="3"/>
        <v>0</v>
      </c>
      <c r="E32" s="272">
        <f>'Gas-2'!G33</f>
        <v>0</v>
      </c>
      <c r="F32" s="279">
        <f t="shared" si="0"/>
        <v>0</v>
      </c>
      <c r="G32" s="280">
        <f>SUM(WATER!C33,WATER!H33,WATER!M33,WATER!R33)</f>
        <v>0</v>
      </c>
      <c r="H32" s="279">
        <f t="shared" si="1"/>
        <v>0</v>
      </c>
      <c r="I32" s="281"/>
      <c r="J32" s="281"/>
    </row>
    <row r="33" spans="1:10" ht="36" customHeight="1" x14ac:dyDescent="0.25">
      <c r="A33" s="278"/>
      <c r="C33" s="272">
        <f>SUM('GENSET #1'!B39+'GENSET #2'!B39+'GENSET #3'!B39+'GENSET #4'!B39+'GENSET #5'!B39)</f>
        <v>0</v>
      </c>
      <c r="D33" s="279">
        <f t="shared" si="3"/>
        <v>0</v>
      </c>
      <c r="E33" s="272">
        <f>'Gas-2'!G34</f>
        <v>0</v>
      </c>
      <c r="F33" s="279">
        <f t="shared" si="0"/>
        <v>0</v>
      </c>
      <c r="G33" s="280">
        <f>SUM(WATER!C34,WATER!H34,WATER!M34,WATER!R34)</f>
        <v>0</v>
      </c>
      <c r="H33" s="279">
        <f t="shared" si="1"/>
        <v>0</v>
      </c>
      <c r="I33" s="281"/>
      <c r="J33" s="281"/>
    </row>
    <row r="34" spans="1:10" ht="45.6" customHeight="1" x14ac:dyDescent="0.25">
      <c r="A34" s="278"/>
      <c r="C34" s="272">
        <f>SUM('GENSET #1'!B40+'GENSET #2'!B40+'GENSET #3'!B40+'GENSET #4'!B40+'GENSET #5'!B40)</f>
        <v>0</v>
      </c>
      <c r="D34" s="279">
        <f t="shared" si="3"/>
        <v>0</v>
      </c>
      <c r="E34" s="272">
        <f>'Gas-2'!G35</f>
        <v>0</v>
      </c>
      <c r="F34" s="279">
        <f t="shared" si="0"/>
        <v>0</v>
      </c>
      <c r="G34" s="280">
        <f>SUM(WATER!C35,WATER!H35,WATER!M35,WATER!R35)</f>
        <v>0</v>
      </c>
      <c r="H34" s="279">
        <f t="shared" si="1"/>
        <v>0</v>
      </c>
      <c r="I34" s="281"/>
      <c r="J34" s="281"/>
    </row>
    <row r="35" spans="1:10" ht="47.45" customHeight="1" x14ac:dyDescent="0.25">
      <c r="A35" s="278"/>
      <c r="C35" s="272">
        <f>SUM('GENSET #1'!B41+'GENSET #2'!B41+'GENSET #3'!B41+'GENSET #4'!B41+'GENSET #5'!B41)</f>
        <v>0</v>
      </c>
      <c r="D35" s="279">
        <f t="shared" si="3"/>
        <v>0</v>
      </c>
      <c r="E35" s="272">
        <f>'Gas-2'!G36</f>
        <v>0</v>
      </c>
      <c r="F35" s="279">
        <f t="shared" si="0"/>
        <v>0</v>
      </c>
      <c r="G35" s="280">
        <f>SUM(WATER!C36,WATER!H36,WATER!M36,WATER!R36)</f>
        <v>0</v>
      </c>
      <c r="H35" s="279">
        <f t="shared" si="1"/>
        <v>0</v>
      </c>
      <c r="I35" s="281"/>
      <c r="J35" s="281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13" zoomScaleNormal="100" workbookViewId="0">
      <selection activeCell="I14" sqref="I14"/>
    </sheetView>
  </sheetViews>
  <sheetFormatPr defaultRowHeight="12.75" x14ac:dyDescent="0.2"/>
  <cols>
    <col min="1" max="1" width="9.5703125" style="171" customWidth="1"/>
    <col min="2" max="2" width="15.5703125" style="18" customWidth="1"/>
    <col min="3" max="3" width="13" style="18" customWidth="1"/>
    <col min="4" max="4" width="18.5703125" style="180" customWidth="1"/>
    <col min="5" max="5" width="14.5703125" style="19" customWidth="1"/>
    <col min="6" max="6" width="18.85546875" customWidth="1"/>
  </cols>
  <sheetData>
    <row r="1" spans="1:7" x14ac:dyDescent="0.2">
      <c r="A1" s="307" t="s">
        <v>0</v>
      </c>
      <c r="B1" s="307"/>
      <c r="C1" s="307"/>
      <c r="D1" s="307"/>
      <c r="E1" s="307"/>
      <c r="F1" s="307"/>
    </row>
    <row r="2" spans="1:7" x14ac:dyDescent="0.2">
      <c r="A2" s="5"/>
      <c r="E2" s="183"/>
    </row>
    <row r="3" spans="1:7" x14ac:dyDescent="0.2">
      <c r="A3" s="5" t="s">
        <v>1</v>
      </c>
      <c r="B3" s="96" t="s">
        <v>2</v>
      </c>
      <c r="C3" s="96"/>
      <c r="D3" s="181"/>
      <c r="E3" s="183"/>
    </row>
    <row r="4" spans="1:7" x14ac:dyDescent="0.2">
      <c r="A4" s="5" t="s">
        <v>3</v>
      </c>
      <c r="B4" s="101" t="s">
        <v>154</v>
      </c>
      <c r="C4" s="101"/>
      <c r="D4" s="178"/>
      <c r="E4" s="183"/>
    </row>
    <row r="5" spans="1:7" x14ac:dyDescent="0.2">
      <c r="A5" s="5" t="s">
        <v>4</v>
      </c>
      <c r="B5" s="172">
        <v>2021</v>
      </c>
      <c r="C5" s="172"/>
      <c r="D5" s="178"/>
      <c r="E5" s="183"/>
    </row>
    <row r="6" spans="1:7" x14ac:dyDescent="0.2">
      <c r="E6" s="306"/>
      <c r="F6" s="306"/>
    </row>
    <row r="7" spans="1:7" ht="38.25" x14ac:dyDescent="0.2">
      <c r="A7" s="173" t="s">
        <v>5</v>
      </c>
      <c r="B7" s="174" t="s">
        <v>114</v>
      </c>
      <c r="C7" s="174" t="s">
        <v>115</v>
      </c>
      <c r="D7" s="175" t="s">
        <v>116</v>
      </c>
      <c r="E7" s="176" t="s">
        <v>113</v>
      </c>
      <c r="F7" s="174" t="s">
        <v>6</v>
      </c>
    </row>
    <row r="8" spans="1:7" ht="15.75" customHeight="1" x14ac:dyDescent="0.2">
      <c r="A8" s="62">
        <v>1</v>
      </c>
      <c r="B8" s="157">
        <f>SUM('GENSET #1:GENSET #5'!D10)</f>
        <v>27179</v>
      </c>
      <c r="C8" s="157">
        <f>'Diesel consumption'!D5</f>
        <v>7550</v>
      </c>
      <c r="D8" s="182">
        <f>'SOLAR METER READING'!D9</f>
        <v>1446</v>
      </c>
      <c r="E8" s="179">
        <f>'Gas-2'!G6</f>
        <v>405</v>
      </c>
      <c r="F8" s="157">
        <f>WATER!V6</f>
        <v>357</v>
      </c>
      <c r="G8" s="8"/>
    </row>
    <row r="9" spans="1:7" ht="15.75" customHeight="1" x14ac:dyDescent="0.2">
      <c r="A9" s="62">
        <v>2</v>
      </c>
      <c r="B9" s="157">
        <f>SUM('GENSET #1:GENSET #5'!D11)</f>
        <v>27052</v>
      </c>
      <c r="C9" s="157">
        <f>'Diesel consumption'!D6</f>
        <v>7310</v>
      </c>
      <c r="D9" s="182">
        <f>'SOLAR METER READING'!D10</f>
        <v>3163</v>
      </c>
      <c r="E9" s="179">
        <f>'Gas-2'!G7</f>
        <v>90</v>
      </c>
      <c r="F9" s="157">
        <f>WATER!V7</f>
        <v>314</v>
      </c>
      <c r="G9" s="8"/>
    </row>
    <row r="10" spans="1:7" ht="15.75" customHeight="1" x14ac:dyDescent="0.2">
      <c r="A10" s="62">
        <v>3</v>
      </c>
      <c r="B10" s="157">
        <f>SUM('GENSET #1:GENSET #5'!D12)</f>
        <v>27844</v>
      </c>
      <c r="C10" s="157">
        <f>'Diesel consumption'!D7</f>
        <v>7700</v>
      </c>
      <c r="D10" s="182">
        <f>'SOLAR METER READING'!D11</f>
        <v>2804</v>
      </c>
      <c r="E10" s="179">
        <f>'Gas-2'!G8</f>
        <v>405</v>
      </c>
      <c r="F10" s="157">
        <f>WATER!V8</f>
        <v>327</v>
      </c>
      <c r="G10" s="8"/>
    </row>
    <row r="11" spans="1:7" ht="15.75" customHeight="1" x14ac:dyDescent="0.2">
      <c r="A11" s="62">
        <v>4</v>
      </c>
      <c r="B11" s="157">
        <f>SUM('GENSET #1:GENSET #5'!D13)</f>
        <v>28535</v>
      </c>
      <c r="C11" s="157">
        <f>'Diesel consumption'!D8</f>
        <v>7660</v>
      </c>
      <c r="D11" s="182">
        <f>'SOLAR METER READING'!D12</f>
        <v>3067</v>
      </c>
      <c r="E11" s="179">
        <f>'Gas-2'!G9</f>
        <v>180</v>
      </c>
      <c r="F11" s="157">
        <f>WATER!V9</f>
        <v>374</v>
      </c>
      <c r="G11" s="8"/>
    </row>
    <row r="12" spans="1:7" ht="15.75" customHeight="1" x14ac:dyDescent="0.2">
      <c r="A12" s="62">
        <v>5</v>
      </c>
      <c r="B12" s="157">
        <f>SUM('GENSET #1:GENSET #5'!D14)</f>
        <v>27066</v>
      </c>
      <c r="C12" s="157">
        <f>'Diesel consumption'!D9</f>
        <v>7500</v>
      </c>
      <c r="D12" s="182">
        <f>'SOLAR METER READING'!D13</f>
        <v>3078</v>
      </c>
      <c r="E12" s="179">
        <f>'Gas-2'!G10</f>
        <v>405</v>
      </c>
      <c r="F12" s="157">
        <f>WATER!V10</f>
        <v>325</v>
      </c>
      <c r="G12" s="8"/>
    </row>
    <row r="13" spans="1:7" ht="15.75" customHeight="1" x14ac:dyDescent="0.2">
      <c r="A13" s="62">
        <v>6</v>
      </c>
      <c r="B13" s="157">
        <f>SUM('GENSET #1:GENSET #5'!D15)</f>
        <v>27114</v>
      </c>
      <c r="C13" s="157">
        <f>'Diesel consumption'!D10</f>
        <v>7340</v>
      </c>
      <c r="D13" s="182">
        <f>'SOLAR METER READING'!D14</f>
        <v>3057</v>
      </c>
      <c r="E13" s="179">
        <f>'Gas-2'!G11</f>
        <v>90</v>
      </c>
      <c r="F13" s="157">
        <f>WATER!V11</f>
        <v>392</v>
      </c>
      <c r="G13" s="8"/>
    </row>
    <row r="14" spans="1:7" ht="15.75" customHeight="1" x14ac:dyDescent="0.2">
      <c r="A14" s="62">
        <v>7</v>
      </c>
      <c r="B14" s="157">
        <f>SUM('GENSET #1:GENSET #5'!D16)</f>
        <v>27684</v>
      </c>
      <c r="C14" s="157">
        <f>'Diesel consumption'!D11</f>
        <v>7680</v>
      </c>
      <c r="D14" s="182">
        <f>'SOLAR METER READING'!D15</f>
        <v>2974</v>
      </c>
      <c r="E14" s="179">
        <f>'Gas-2'!G12</f>
        <v>270</v>
      </c>
      <c r="F14" s="157">
        <f>WATER!V12</f>
        <v>336</v>
      </c>
      <c r="G14" s="8"/>
    </row>
    <row r="15" spans="1:7" ht="15.75" customHeight="1" x14ac:dyDescent="0.2">
      <c r="A15" s="62">
        <v>8</v>
      </c>
      <c r="B15" s="157">
        <f>SUM('GENSET #1:GENSET #5'!D17)</f>
        <v>28636</v>
      </c>
      <c r="C15" s="157">
        <f>'Diesel consumption'!D12</f>
        <v>7810</v>
      </c>
      <c r="D15" s="182">
        <f>'SOLAR METER READING'!D16</f>
        <v>3106</v>
      </c>
      <c r="E15" s="179">
        <f>'Gas-2'!G13</f>
        <v>315</v>
      </c>
      <c r="F15" s="157">
        <f>WATER!V13</f>
        <v>363</v>
      </c>
      <c r="G15" s="8"/>
    </row>
    <row r="16" spans="1:7" ht="15.75" customHeight="1" x14ac:dyDescent="0.2">
      <c r="A16" s="62">
        <v>9</v>
      </c>
      <c r="B16" s="157">
        <f>SUM('GENSET #1:GENSET #5'!D18)</f>
        <v>27903</v>
      </c>
      <c r="C16" s="157">
        <f>'Diesel consumption'!D13</f>
        <v>7740</v>
      </c>
      <c r="D16" s="182">
        <f>'SOLAR METER READING'!D17</f>
        <v>3008</v>
      </c>
      <c r="E16" s="179">
        <f>'Gas-2'!G14</f>
        <v>135</v>
      </c>
      <c r="F16" s="157">
        <f>WATER!V14</f>
        <v>361</v>
      </c>
      <c r="G16" s="8"/>
    </row>
    <row r="17" spans="1:7" ht="15.75" customHeight="1" x14ac:dyDescent="0.2">
      <c r="A17" s="62">
        <v>10</v>
      </c>
      <c r="B17" s="157">
        <f>SUM('GENSET #1:GENSET #5'!D19)</f>
        <v>27665</v>
      </c>
      <c r="C17" s="157">
        <f>'Diesel consumption'!D14</f>
        <v>7440</v>
      </c>
      <c r="D17" s="182">
        <f>'SOLAR METER READING'!D18</f>
        <v>3047</v>
      </c>
      <c r="E17" s="179">
        <f>'Gas-2'!G15</f>
        <v>405</v>
      </c>
      <c r="F17" s="157">
        <f>WATER!V15</f>
        <v>370</v>
      </c>
      <c r="G17" s="8"/>
    </row>
    <row r="18" spans="1:7" ht="15.75" customHeight="1" x14ac:dyDescent="0.2">
      <c r="A18" s="62">
        <v>11</v>
      </c>
      <c r="B18" s="157">
        <f>SUM('GENSET #1:GENSET #5'!D20)</f>
        <v>26582</v>
      </c>
      <c r="C18" s="157">
        <f>'Diesel consumption'!D15</f>
        <v>7520</v>
      </c>
      <c r="D18" s="182">
        <f>'SOLAR METER READING'!D19</f>
        <v>3015</v>
      </c>
      <c r="E18" s="179">
        <f>'Gas-2'!G16</f>
        <v>180</v>
      </c>
      <c r="F18" s="157">
        <f>WATER!V16</f>
        <v>372</v>
      </c>
      <c r="G18" s="8"/>
    </row>
    <row r="19" spans="1:7" ht="15.75" customHeight="1" x14ac:dyDescent="0.2">
      <c r="A19" s="62">
        <v>12</v>
      </c>
      <c r="B19" s="157">
        <f>SUM('GENSET #1:GENSET #5'!D21)</f>
        <v>27100</v>
      </c>
      <c r="C19" s="157">
        <f>'Diesel consumption'!D16</f>
        <v>7460</v>
      </c>
      <c r="D19" s="182">
        <f>'SOLAR METER READING'!D20</f>
        <v>3023</v>
      </c>
      <c r="E19" s="179">
        <f>'Gas-2'!G17</f>
        <v>450</v>
      </c>
      <c r="F19" s="157">
        <f>WATER!V17</f>
        <v>361</v>
      </c>
      <c r="G19" s="8"/>
    </row>
    <row r="20" spans="1:7" ht="15.75" customHeight="1" x14ac:dyDescent="0.2">
      <c r="A20" s="62">
        <v>13</v>
      </c>
      <c r="B20" s="157">
        <f>SUM('GENSET #1:GENSET #5'!D22)</f>
        <v>27484</v>
      </c>
      <c r="C20" s="157">
        <f>'Diesel consumption'!D17</f>
        <v>7570</v>
      </c>
      <c r="D20" s="182">
        <f>'SOLAR METER READING'!D21</f>
        <v>3221</v>
      </c>
      <c r="E20" s="179">
        <f>'Gas-2'!G18</f>
        <v>45</v>
      </c>
      <c r="F20" s="157">
        <f>WATER!V18</f>
        <v>396</v>
      </c>
      <c r="G20" s="8"/>
    </row>
    <row r="21" spans="1:7" ht="15.75" customHeight="1" x14ac:dyDescent="0.2">
      <c r="A21" s="62">
        <v>14</v>
      </c>
      <c r="B21" s="157">
        <f>SUM('GENSET #1:GENSET #5'!D23)</f>
        <v>28428</v>
      </c>
      <c r="C21" s="157">
        <f>'Diesel consumption'!D18</f>
        <v>7870</v>
      </c>
      <c r="D21" s="182">
        <f>'SOLAR METER READING'!D22</f>
        <v>3054</v>
      </c>
      <c r="E21" s="179">
        <f>'Gas-2'!G19</f>
        <v>405</v>
      </c>
      <c r="F21" s="157">
        <f>WATER!V19</f>
        <v>419</v>
      </c>
      <c r="G21" s="8"/>
    </row>
    <row r="22" spans="1:7" ht="15.75" customHeight="1" x14ac:dyDescent="0.2">
      <c r="A22" s="62">
        <v>15</v>
      </c>
      <c r="B22" s="157">
        <f>SUM('GENSET #1:GENSET #5'!D24)</f>
        <v>29204</v>
      </c>
      <c r="C22" s="157">
        <f>'Diesel consumption'!D19</f>
        <v>8010</v>
      </c>
      <c r="D22" s="182">
        <f>'SOLAR METER READING'!D23</f>
        <v>3094</v>
      </c>
      <c r="E22" s="179">
        <f>'Gas-2'!G20</f>
        <v>45</v>
      </c>
      <c r="F22" s="157">
        <f>WATER!V20</f>
        <v>423</v>
      </c>
      <c r="G22" s="8"/>
    </row>
    <row r="23" spans="1:7" ht="15.75" customHeight="1" x14ac:dyDescent="0.2">
      <c r="A23" s="62">
        <v>16</v>
      </c>
      <c r="B23" s="157">
        <f>SUM('GENSET #1:GENSET #5'!D25)</f>
        <v>28904</v>
      </c>
      <c r="C23" s="157">
        <f>'Diesel consumption'!D20</f>
        <v>7870</v>
      </c>
      <c r="D23" s="182">
        <f>'SOLAR METER READING'!D24</f>
        <v>3061</v>
      </c>
      <c r="E23" s="179">
        <f>'Gas-2'!G21</f>
        <v>180</v>
      </c>
      <c r="F23" s="157">
        <f>WATER!V21</f>
        <v>384</v>
      </c>
      <c r="G23" s="8"/>
    </row>
    <row r="24" spans="1:7" ht="15.75" customHeight="1" x14ac:dyDescent="0.2">
      <c r="A24" s="62">
        <v>17</v>
      </c>
      <c r="B24" s="157">
        <f>SUM('GENSET #1:GENSET #5'!D26)</f>
        <v>29746</v>
      </c>
      <c r="C24" s="157">
        <f>'Diesel consumption'!D21</f>
        <v>8360</v>
      </c>
      <c r="D24" s="182">
        <f>'SOLAR METER READING'!D25</f>
        <v>3072</v>
      </c>
      <c r="E24" s="179">
        <f>'Gas-2'!G22</f>
        <v>405</v>
      </c>
      <c r="F24" s="157">
        <f>WATER!V22</f>
        <v>495</v>
      </c>
      <c r="G24" s="8"/>
    </row>
    <row r="25" spans="1:7" ht="15.75" customHeight="1" x14ac:dyDescent="0.2">
      <c r="A25" s="62">
        <v>18</v>
      </c>
      <c r="B25" s="157">
        <f>SUM('GENSET #1:GENSET #5'!D27)</f>
        <v>30545</v>
      </c>
      <c r="C25" s="157">
        <f>'Diesel consumption'!D22</f>
        <v>8460</v>
      </c>
      <c r="D25" s="182">
        <f>'SOLAR METER READING'!D26</f>
        <v>2923</v>
      </c>
      <c r="E25" s="179">
        <f>'Gas-2'!G23</f>
        <v>45</v>
      </c>
      <c r="F25" s="157">
        <f>WATER!V23</f>
        <v>409</v>
      </c>
      <c r="G25" s="8"/>
    </row>
    <row r="26" spans="1:7" ht="15.75" customHeight="1" x14ac:dyDescent="0.2">
      <c r="A26" s="62">
        <v>19</v>
      </c>
      <c r="B26" s="157">
        <f>SUM('GENSET #1:GENSET #5'!D28)</f>
        <v>30969</v>
      </c>
      <c r="C26" s="157">
        <f>'Diesel consumption'!D23</f>
        <v>8510</v>
      </c>
      <c r="D26" s="182">
        <f>'SOLAR METER READING'!D27</f>
        <v>3215</v>
      </c>
      <c r="E26" s="179">
        <f>'Gas-2'!G24</f>
        <v>315</v>
      </c>
      <c r="F26" s="157">
        <f>WATER!V24</f>
        <v>405</v>
      </c>
      <c r="G26" s="8"/>
    </row>
    <row r="27" spans="1:7" ht="15.75" customHeight="1" x14ac:dyDescent="0.2">
      <c r="A27" s="62">
        <v>20</v>
      </c>
      <c r="B27" s="157">
        <f>SUM('GENSET #1:GENSET #5'!D29)</f>
        <v>30404</v>
      </c>
      <c r="C27" s="157">
        <f>'Diesel consumption'!D24</f>
        <v>8620</v>
      </c>
      <c r="D27" s="182">
        <f>'SOLAR METER READING'!D28</f>
        <v>2978</v>
      </c>
      <c r="E27" s="179">
        <f>'Gas-2'!G25</f>
        <v>225</v>
      </c>
      <c r="F27" s="157">
        <f>WATER!V25</f>
        <v>446</v>
      </c>
      <c r="G27" s="8"/>
    </row>
    <row r="28" spans="1:7" ht="15.75" customHeight="1" x14ac:dyDescent="0.2">
      <c r="A28" s="62">
        <v>21</v>
      </c>
      <c r="B28" s="157">
        <f>SUM('GENSET #1:GENSET #5'!D30)</f>
        <v>-87501837</v>
      </c>
      <c r="C28" s="157">
        <f>'Diesel consumption'!D25</f>
        <v>-43275400</v>
      </c>
      <c r="D28" s="182">
        <f>'SOLAR METER READING'!D29</f>
        <v>-2388558</v>
      </c>
      <c r="E28" s="179">
        <f>'Gas-2'!G26</f>
        <v>0</v>
      </c>
      <c r="F28" s="157">
        <f>WATER!V26</f>
        <v>364</v>
      </c>
      <c r="G28" s="8"/>
    </row>
    <row r="29" spans="1:7" ht="15.75" customHeight="1" x14ac:dyDescent="0.2">
      <c r="A29" s="62">
        <v>22</v>
      </c>
      <c r="B29" s="157">
        <f>SUM('GENSET #1:GENSET #5'!D31)</f>
        <v>0</v>
      </c>
      <c r="C29" s="157">
        <f>'Diesel consumption'!D26</f>
        <v>0</v>
      </c>
      <c r="D29" s="182">
        <f>'SOLAR METER READING'!D30</f>
        <v>0</v>
      </c>
      <c r="E29" s="179">
        <f>'Gas-2'!G27</f>
        <v>0</v>
      </c>
      <c r="F29" s="157">
        <f>WATER!V27</f>
        <v>-920592</v>
      </c>
      <c r="G29" s="8"/>
    </row>
    <row r="30" spans="1:7" ht="15.75" customHeight="1" x14ac:dyDescent="0.2">
      <c r="A30" s="62">
        <v>23</v>
      </c>
      <c r="B30" s="157">
        <f>SUM('GENSET #1:GENSET #5'!D32)</f>
        <v>0</v>
      </c>
      <c r="C30" s="157">
        <f>'Diesel consumption'!D27</f>
        <v>0</v>
      </c>
      <c r="D30" s="182">
        <f>'SOLAR METER READING'!D31</f>
        <v>0</v>
      </c>
      <c r="E30" s="179">
        <f>'Gas-2'!G28</f>
        <v>0</v>
      </c>
      <c r="F30" s="157">
        <f>WATER!V28</f>
        <v>0</v>
      </c>
      <c r="G30" s="8"/>
    </row>
    <row r="31" spans="1:7" ht="15.75" customHeight="1" x14ac:dyDescent="0.2">
      <c r="A31" s="62">
        <v>24</v>
      </c>
      <c r="B31" s="157">
        <f>SUM('GENSET #1:GENSET #5'!D33)</f>
        <v>0</v>
      </c>
      <c r="C31" s="157">
        <f>'Diesel consumption'!D28</f>
        <v>0</v>
      </c>
      <c r="D31" s="182">
        <f>'SOLAR METER READING'!D32</f>
        <v>0</v>
      </c>
      <c r="E31" s="179">
        <f>'Gas-2'!G29</f>
        <v>0</v>
      </c>
      <c r="F31" s="157">
        <f>WATER!V29</f>
        <v>0</v>
      </c>
      <c r="G31" s="8"/>
    </row>
    <row r="32" spans="1:7" ht="15.75" customHeight="1" x14ac:dyDescent="0.2">
      <c r="A32" s="62">
        <v>25</v>
      </c>
      <c r="B32" s="157">
        <f>SUM('GENSET #1:GENSET #5'!D34)</f>
        <v>0</v>
      </c>
      <c r="C32" s="157">
        <f>'Diesel consumption'!D29</f>
        <v>0</v>
      </c>
      <c r="D32" s="182">
        <f>'SOLAR METER READING'!D33</f>
        <v>0</v>
      </c>
      <c r="E32" s="179">
        <f>'Gas-2'!G30</f>
        <v>0</v>
      </c>
      <c r="F32" s="157">
        <f>WATER!V30</f>
        <v>0</v>
      </c>
      <c r="G32" s="8"/>
    </row>
    <row r="33" spans="1:11" ht="15.75" customHeight="1" x14ac:dyDescent="0.2">
      <c r="A33" s="62">
        <v>26</v>
      </c>
      <c r="B33" s="185">
        <f>SUM('GENSET #1:GENSET #5'!D35)</f>
        <v>0</v>
      </c>
      <c r="C33" s="157">
        <f>'Diesel consumption'!D30</f>
        <v>0</v>
      </c>
      <c r="D33" s="182">
        <f>'SOLAR METER READING'!D34</f>
        <v>0</v>
      </c>
      <c r="E33" s="179">
        <f>'Gas-2'!G31</f>
        <v>0</v>
      </c>
      <c r="F33" s="157">
        <f>WATER!V31</f>
        <v>0</v>
      </c>
      <c r="G33" s="8"/>
    </row>
    <row r="34" spans="1:11" ht="15.75" customHeight="1" x14ac:dyDescent="0.2">
      <c r="A34" s="62">
        <v>27</v>
      </c>
      <c r="B34" s="157">
        <f>SUM('GENSET #1:GENSET #5'!D36)</f>
        <v>0</v>
      </c>
      <c r="C34" s="157">
        <f>'Diesel consumption'!D31</f>
        <v>0</v>
      </c>
      <c r="D34" s="182">
        <f>'SOLAR METER READING'!D35</f>
        <v>0</v>
      </c>
      <c r="E34" s="179">
        <f>'Gas-2'!G32</f>
        <v>0</v>
      </c>
      <c r="F34" s="157">
        <f>WATER!V32</f>
        <v>0</v>
      </c>
      <c r="G34" s="8"/>
    </row>
    <row r="35" spans="1:11" ht="15.75" customHeight="1" x14ac:dyDescent="0.2">
      <c r="A35" s="62">
        <v>28</v>
      </c>
      <c r="B35" s="157">
        <f>SUM('GENSET #1:GENSET #5'!D37)</f>
        <v>0</v>
      </c>
      <c r="C35" s="157">
        <f>'Diesel consumption'!D32</f>
        <v>0</v>
      </c>
      <c r="D35" s="182">
        <f>'SOLAR METER READING'!D36</f>
        <v>0</v>
      </c>
      <c r="E35" s="179">
        <f>'Gas-2'!G33</f>
        <v>0</v>
      </c>
      <c r="F35" s="157">
        <f>WATER!V33</f>
        <v>0</v>
      </c>
      <c r="G35" s="8"/>
    </row>
    <row r="36" spans="1:11" ht="15.75" customHeight="1" x14ac:dyDescent="0.2">
      <c r="A36" s="62">
        <v>29</v>
      </c>
      <c r="B36" s="157">
        <f>SUM('GENSET #1:GENSET #5'!D38)</f>
        <v>0</v>
      </c>
      <c r="C36" s="157">
        <f>'Diesel consumption'!D33</f>
        <v>0</v>
      </c>
      <c r="D36" s="182">
        <f>'SOLAR METER READING'!D37</f>
        <v>0</v>
      </c>
      <c r="E36" s="179">
        <f>'Gas-2'!G34</f>
        <v>0</v>
      </c>
      <c r="F36" s="157">
        <f>WATER!V34</f>
        <v>0</v>
      </c>
      <c r="G36" s="8"/>
    </row>
    <row r="37" spans="1:11" ht="15.75" customHeight="1" x14ac:dyDescent="0.2">
      <c r="A37" s="62">
        <v>30</v>
      </c>
      <c r="B37" s="157">
        <f>SUM('GENSET #1:GENSET #5'!D39)</f>
        <v>0</v>
      </c>
      <c r="C37" s="157">
        <f>'Diesel consumption'!D34</f>
        <v>0</v>
      </c>
      <c r="D37" s="182">
        <f>'SOLAR METER READING'!D38</f>
        <v>0</v>
      </c>
      <c r="E37" s="179">
        <f>'Gas-2'!G35</f>
        <v>0</v>
      </c>
      <c r="F37" s="157">
        <f>WATER!V35</f>
        <v>0</v>
      </c>
      <c r="G37" s="8"/>
    </row>
    <row r="38" spans="1:11" ht="15.75" customHeight="1" x14ac:dyDescent="0.2">
      <c r="A38" s="62">
        <v>31</v>
      </c>
      <c r="B38" s="157">
        <f>SUM('GENSET #1:GENSET #5'!D40)</f>
        <v>0</v>
      </c>
      <c r="C38" s="157">
        <f>'Diesel consumption'!D35</f>
        <v>0</v>
      </c>
      <c r="D38" s="182">
        <f>'SOLAR METER READING'!D39</f>
        <v>0</v>
      </c>
      <c r="E38" s="179">
        <f>'Gas-2'!G36</f>
        <v>0</v>
      </c>
      <c r="F38" s="157">
        <f>WATER!V36</f>
        <v>0</v>
      </c>
      <c r="G38" s="8"/>
    </row>
    <row r="39" spans="1:11" ht="18.75" customHeight="1" thickBot="1" x14ac:dyDescent="0.25">
      <c r="A39" s="171" t="s">
        <v>7</v>
      </c>
      <c r="B39" s="177">
        <f>SUM(B8:B38)</f>
        <v>-86935793</v>
      </c>
      <c r="C39" s="177">
        <f>SUM(C8:C38)</f>
        <v>-43119420</v>
      </c>
      <c r="D39" s="177">
        <f>SUM(D8:D38)</f>
        <v>-2329152</v>
      </c>
      <c r="E39" s="184">
        <f>SUM(E8:E38)</f>
        <v>4995</v>
      </c>
      <c r="F39" s="9">
        <f>SUM(F8:F38)</f>
        <v>-912599</v>
      </c>
      <c r="K39" s="153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10" zoomScaleNormal="100" workbookViewId="0">
      <selection activeCell="C33" sqref="C33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08" t="s">
        <v>16</v>
      </c>
      <c r="D1" s="308"/>
    </row>
    <row r="2" spans="1:6" x14ac:dyDescent="0.2">
      <c r="C2" s="308"/>
      <c r="D2" s="308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1">
        <v>44228</v>
      </c>
      <c r="B6" s="91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09" t="s">
        <v>18</v>
      </c>
      <c r="C8" s="310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9">
        <v>16920895</v>
      </c>
      <c r="C10" s="89">
        <v>16923848</v>
      </c>
      <c r="D10" s="6">
        <f>C10-B10</f>
        <v>2953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16923848</v>
      </c>
      <c r="C11" s="89">
        <v>16923848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16923848</v>
      </c>
      <c r="C12" s="89">
        <v>16926251</v>
      </c>
      <c r="D12" s="6">
        <f t="shared" si="1"/>
        <v>2403</v>
      </c>
      <c r="E12" s="34"/>
      <c r="F12" s="34"/>
    </row>
    <row r="13" spans="1:6" ht="13.5" customHeight="1" x14ac:dyDescent="0.2">
      <c r="A13" s="30">
        <v>4</v>
      </c>
      <c r="B13" s="33">
        <f t="shared" si="0"/>
        <v>16926251</v>
      </c>
      <c r="C13" s="89">
        <v>16930675</v>
      </c>
      <c r="D13" s="6">
        <f t="shared" si="1"/>
        <v>4424</v>
      </c>
      <c r="E13" s="34"/>
      <c r="F13" s="34"/>
    </row>
    <row r="14" spans="1:6" ht="13.5" customHeight="1" x14ac:dyDescent="0.2">
      <c r="A14" s="30">
        <v>5</v>
      </c>
      <c r="B14" s="33">
        <f t="shared" si="0"/>
        <v>16930675</v>
      </c>
      <c r="C14" s="89">
        <v>16934875</v>
      </c>
      <c r="D14" s="6">
        <f t="shared" si="1"/>
        <v>4200</v>
      </c>
      <c r="E14" s="34"/>
      <c r="F14" s="34"/>
    </row>
    <row r="15" spans="1:6" ht="13.5" customHeight="1" x14ac:dyDescent="0.2">
      <c r="A15" s="30">
        <v>6</v>
      </c>
      <c r="B15" s="33">
        <f t="shared" si="0"/>
        <v>16934875</v>
      </c>
      <c r="C15" s="89">
        <v>16936706</v>
      </c>
      <c r="D15" s="6">
        <f>C15-B15</f>
        <v>1831</v>
      </c>
      <c r="E15" s="34"/>
      <c r="F15" s="34"/>
    </row>
    <row r="16" spans="1:6" ht="13.5" customHeight="1" x14ac:dyDescent="0.2">
      <c r="A16" s="30">
        <v>7</v>
      </c>
      <c r="B16" s="33">
        <f t="shared" si="0"/>
        <v>16936706</v>
      </c>
      <c r="C16" s="89">
        <v>16936706</v>
      </c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16936706</v>
      </c>
      <c r="C17" s="89">
        <v>16936706</v>
      </c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16936706</v>
      </c>
      <c r="C18" s="89">
        <v>16943098</v>
      </c>
      <c r="D18" s="6">
        <f t="shared" si="1"/>
        <v>6392</v>
      </c>
      <c r="E18" s="34"/>
      <c r="F18" s="34"/>
    </row>
    <row r="19" spans="1:6" ht="13.5" customHeight="1" x14ac:dyDescent="0.2">
      <c r="A19" s="30">
        <v>10</v>
      </c>
      <c r="B19" s="33">
        <f t="shared" si="0"/>
        <v>16943098</v>
      </c>
      <c r="C19" s="89">
        <v>16943512</v>
      </c>
      <c r="D19" s="6">
        <f t="shared" si="1"/>
        <v>414</v>
      </c>
      <c r="E19" s="34"/>
      <c r="F19" s="34"/>
    </row>
    <row r="20" spans="1:6" ht="13.5" customHeight="1" x14ac:dyDescent="0.2">
      <c r="A20" s="30">
        <v>11</v>
      </c>
      <c r="B20" s="33">
        <f t="shared" si="0"/>
        <v>16943512</v>
      </c>
      <c r="C20" s="89">
        <v>16947289</v>
      </c>
      <c r="D20" s="6">
        <f t="shared" si="1"/>
        <v>3777</v>
      </c>
      <c r="E20" s="34"/>
      <c r="F20" s="34"/>
    </row>
    <row r="21" spans="1:6" ht="13.5" customHeight="1" x14ac:dyDescent="0.2">
      <c r="A21" s="30">
        <v>12</v>
      </c>
      <c r="B21" s="33">
        <f t="shared" si="0"/>
        <v>16947289</v>
      </c>
      <c r="C21" s="89">
        <v>16947289</v>
      </c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16947289</v>
      </c>
      <c r="C22" s="89">
        <v>16950489</v>
      </c>
      <c r="D22" s="6">
        <f t="shared" si="1"/>
        <v>3200</v>
      </c>
      <c r="E22" s="34"/>
      <c r="F22" s="34"/>
    </row>
    <row r="23" spans="1:6" ht="13.5" customHeight="1" x14ac:dyDescent="0.2">
      <c r="A23" s="30">
        <v>14</v>
      </c>
      <c r="B23" s="33">
        <f t="shared" si="0"/>
        <v>16950489</v>
      </c>
      <c r="C23" s="89">
        <v>16954220</v>
      </c>
      <c r="D23" s="6">
        <f t="shared" si="1"/>
        <v>3731</v>
      </c>
      <c r="E23" s="34"/>
      <c r="F23" s="34"/>
    </row>
    <row r="24" spans="1:6" ht="13.5" customHeight="1" x14ac:dyDescent="0.2">
      <c r="A24" s="30">
        <v>15</v>
      </c>
      <c r="B24" s="33">
        <f t="shared" si="0"/>
        <v>16954220</v>
      </c>
      <c r="C24" s="89">
        <v>16957269</v>
      </c>
      <c r="D24" s="6">
        <f t="shared" si="1"/>
        <v>3049</v>
      </c>
      <c r="E24" s="34"/>
      <c r="F24" s="34"/>
    </row>
    <row r="25" spans="1:6" ht="13.5" customHeight="1" x14ac:dyDescent="0.2">
      <c r="A25" s="30">
        <v>16</v>
      </c>
      <c r="B25" s="33">
        <f t="shared" si="0"/>
        <v>16957269</v>
      </c>
      <c r="C25" s="89">
        <v>16960533</v>
      </c>
      <c r="D25" s="6">
        <f t="shared" si="1"/>
        <v>3264</v>
      </c>
      <c r="E25" s="34"/>
      <c r="F25" s="34"/>
    </row>
    <row r="26" spans="1:6" ht="13.5" customHeight="1" x14ac:dyDescent="0.2">
      <c r="A26" s="30">
        <v>17</v>
      </c>
      <c r="B26" s="33">
        <f t="shared" si="0"/>
        <v>16960533</v>
      </c>
      <c r="C26" s="89">
        <v>16963898</v>
      </c>
      <c r="D26" s="6">
        <f t="shared" si="1"/>
        <v>3365</v>
      </c>
      <c r="E26" s="34"/>
      <c r="F26" s="34"/>
    </row>
    <row r="27" spans="1:6" ht="13.5" customHeight="1" x14ac:dyDescent="0.2">
      <c r="A27" s="30">
        <v>18</v>
      </c>
      <c r="B27" s="33">
        <f t="shared" si="0"/>
        <v>16963898</v>
      </c>
      <c r="C27" s="89">
        <v>16971003</v>
      </c>
      <c r="D27" s="6">
        <f t="shared" si="1"/>
        <v>7105</v>
      </c>
      <c r="E27" s="34"/>
      <c r="F27" s="34"/>
    </row>
    <row r="28" spans="1:6" ht="13.5" customHeight="1" x14ac:dyDescent="0.2">
      <c r="A28" s="30">
        <v>19</v>
      </c>
      <c r="B28" s="33">
        <f t="shared" si="0"/>
        <v>16971003</v>
      </c>
      <c r="C28" s="89">
        <v>16975713</v>
      </c>
      <c r="D28" s="6">
        <f t="shared" si="1"/>
        <v>4710</v>
      </c>
      <c r="E28" s="34"/>
      <c r="F28" s="34"/>
    </row>
    <row r="29" spans="1:6" ht="13.5" customHeight="1" x14ac:dyDescent="0.2">
      <c r="A29" s="30">
        <v>20</v>
      </c>
      <c r="B29" s="33">
        <f t="shared" si="0"/>
        <v>16975713</v>
      </c>
      <c r="C29" s="89">
        <v>16982234</v>
      </c>
      <c r="D29" s="6">
        <f>C29-B29</f>
        <v>6521</v>
      </c>
      <c r="E29" s="34"/>
      <c r="F29" s="34"/>
    </row>
    <row r="30" spans="1:6" ht="13.5" customHeight="1" x14ac:dyDescent="0.2">
      <c r="A30" s="30">
        <v>21</v>
      </c>
      <c r="B30" s="33">
        <f t="shared" si="0"/>
        <v>16982234</v>
      </c>
      <c r="C30" s="89"/>
      <c r="D30" s="6">
        <f t="shared" si="1"/>
        <v>-16982234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9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9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9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42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96">
        <f t="shared" si="0"/>
        <v>0</v>
      </c>
      <c r="C35" s="89"/>
      <c r="D35" s="297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89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9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9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9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9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B41" s="18">
        <f>C40</f>
        <v>0</v>
      </c>
      <c r="D41" s="39">
        <f>SUM(D10:D40)</f>
        <v>-16920895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2" workbookViewId="0">
      <selection activeCell="C30" sqref="C30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08" t="s">
        <v>23</v>
      </c>
      <c r="D1" s="308"/>
    </row>
    <row r="2" spans="1:7" x14ac:dyDescent="0.2">
      <c r="C2" s="308"/>
      <c r="D2" s="308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1">
        <v>44228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09" t="s">
        <v>25</v>
      </c>
      <c r="C8" s="311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9">
        <v>28604837</v>
      </c>
      <c r="C10" s="89">
        <v>28611852</v>
      </c>
      <c r="D10" s="6">
        <f>C10-B10</f>
        <v>7015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28611852</v>
      </c>
      <c r="C11" s="89">
        <v>28625529</v>
      </c>
      <c r="D11" s="6">
        <f t="shared" ref="D11:D40" si="0">C11-B11</f>
        <v>13677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28625529</v>
      </c>
      <c r="C12" s="89">
        <v>28637293</v>
      </c>
      <c r="D12" s="6">
        <f t="shared" si="0"/>
        <v>11764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28637293</v>
      </c>
      <c r="C13" s="89">
        <v>28637293</v>
      </c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28637293</v>
      </c>
      <c r="C14" s="89">
        <v>28649139</v>
      </c>
      <c r="D14" s="6">
        <f t="shared" si="0"/>
        <v>11846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28649139</v>
      </c>
      <c r="C15" s="89">
        <v>28660139</v>
      </c>
      <c r="D15" s="6">
        <f t="shared" si="0"/>
        <v>11000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28660139</v>
      </c>
      <c r="C16" s="89">
        <v>28672700</v>
      </c>
      <c r="D16" s="6">
        <f t="shared" si="0"/>
        <v>12561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28672700</v>
      </c>
      <c r="C17" s="89">
        <v>28685519</v>
      </c>
      <c r="D17" s="6">
        <f t="shared" si="0"/>
        <v>12819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28685519</v>
      </c>
      <c r="C18" s="89">
        <v>28697320</v>
      </c>
      <c r="D18" s="6">
        <f t="shared" si="0"/>
        <v>11801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28697320</v>
      </c>
      <c r="C19" s="89">
        <v>28709840</v>
      </c>
      <c r="D19" s="6">
        <f t="shared" si="0"/>
        <v>12520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28709840</v>
      </c>
      <c r="C20" s="89">
        <v>28720378</v>
      </c>
      <c r="D20" s="6">
        <f t="shared" si="0"/>
        <v>10538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28720378</v>
      </c>
      <c r="C21" s="89">
        <v>28731732</v>
      </c>
      <c r="D21" s="6">
        <f t="shared" si="0"/>
        <v>11354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28731732</v>
      </c>
      <c r="C22" s="89">
        <v>28744258</v>
      </c>
      <c r="D22" s="6">
        <f t="shared" si="0"/>
        <v>12526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28744258</v>
      </c>
      <c r="C23" s="89">
        <v>28756504</v>
      </c>
      <c r="D23" s="6">
        <f t="shared" si="0"/>
        <v>12246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28756504</v>
      </c>
      <c r="C24" s="89">
        <v>28770007</v>
      </c>
      <c r="D24" s="6">
        <f t="shared" si="0"/>
        <v>13503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28770007</v>
      </c>
      <c r="C25" s="89">
        <v>28783545</v>
      </c>
      <c r="D25" s="6">
        <f t="shared" si="0"/>
        <v>13538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28783545</v>
      </c>
      <c r="C26" s="89">
        <v>28796762</v>
      </c>
      <c r="D26" s="6">
        <f t="shared" si="0"/>
        <v>13217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28796762</v>
      </c>
      <c r="C27" s="89">
        <v>28807540</v>
      </c>
      <c r="D27" s="6">
        <f t="shared" si="0"/>
        <v>10778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28807540</v>
      </c>
      <c r="C28" s="89">
        <v>28817479</v>
      </c>
      <c r="D28" s="6">
        <f t="shared" si="0"/>
        <v>9939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28817479</v>
      </c>
      <c r="C29" s="89">
        <v>28822733</v>
      </c>
      <c r="D29" s="6">
        <f t="shared" si="0"/>
        <v>5254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28822733</v>
      </c>
      <c r="C30" s="89"/>
      <c r="D30" s="6">
        <f t="shared" si="0"/>
        <v>-28822733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9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9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9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9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96">
        <f t="shared" si="1"/>
        <v>0</v>
      </c>
      <c r="C35" s="89"/>
      <c r="D35" s="297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89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9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9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9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9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>
        <f>C40</f>
        <v>0</v>
      </c>
      <c r="D41" s="49">
        <f>SUM(D10:D40)</f>
        <v>-28604837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7" workbookViewId="0">
      <selection activeCell="C30" sqref="C30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1">
        <v>44228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12445913</v>
      </c>
      <c r="C10" s="32">
        <v>12453553</v>
      </c>
      <c r="D10" s="38">
        <f>C10-B10</f>
        <v>7640</v>
      </c>
    </row>
    <row r="11" spans="1:5" ht="15.75" customHeight="1" x14ac:dyDescent="0.2">
      <c r="A11" s="45">
        <v>2</v>
      </c>
      <c r="B11" s="33">
        <f>C10</f>
        <v>12453553</v>
      </c>
      <c r="C11" s="32">
        <v>12462045</v>
      </c>
      <c r="D11" s="38">
        <f t="shared" ref="D11:D36" si="0">C11-B11</f>
        <v>8492</v>
      </c>
    </row>
    <row r="12" spans="1:5" x14ac:dyDescent="0.2">
      <c r="A12" s="45">
        <v>3</v>
      </c>
      <c r="B12" s="33">
        <f t="shared" ref="B12:B14" si="1">C11</f>
        <v>12462045</v>
      </c>
      <c r="C12" s="32">
        <v>12469290</v>
      </c>
      <c r="D12" s="38">
        <f t="shared" si="0"/>
        <v>7245</v>
      </c>
      <c r="E12" s="55"/>
    </row>
    <row r="13" spans="1:5" x14ac:dyDescent="0.2">
      <c r="A13" s="45">
        <v>4</v>
      </c>
      <c r="B13" s="33">
        <f t="shared" si="1"/>
        <v>12469290</v>
      </c>
      <c r="C13" s="32">
        <v>12480291</v>
      </c>
      <c r="D13" s="38">
        <f t="shared" si="0"/>
        <v>11001</v>
      </c>
      <c r="E13" s="55"/>
    </row>
    <row r="14" spans="1:5" ht="13.5" customHeight="1" x14ac:dyDescent="0.2">
      <c r="A14" s="45">
        <v>5</v>
      </c>
      <c r="B14" s="33">
        <f t="shared" si="1"/>
        <v>12480291</v>
      </c>
      <c r="C14" s="32">
        <v>12484113</v>
      </c>
      <c r="D14" s="38">
        <f t="shared" si="0"/>
        <v>3822</v>
      </c>
      <c r="E14" s="55"/>
    </row>
    <row r="15" spans="1:5" ht="13.5" customHeight="1" x14ac:dyDescent="0.2">
      <c r="A15" s="45">
        <v>6</v>
      </c>
      <c r="B15" s="33">
        <f t="shared" ref="B15:B38" si="2">C14</f>
        <v>12484113</v>
      </c>
      <c r="C15" s="32">
        <v>12490349</v>
      </c>
      <c r="D15" s="38">
        <f t="shared" si="0"/>
        <v>6236</v>
      </c>
      <c r="E15" s="55"/>
    </row>
    <row r="16" spans="1:5" ht="13.5" customHeight="1" x14ac:dyDescent="0.2">
      <c r="A16" s="45">
        <v>7</v>
      </c>
      <c r="B16" s="33">
        <f t="shared" si="2"/>
        <v>12490349</v>
      </c>
      <c r="C16" s="32">
        <v>12498528</v>
      </c>
      <c r="D16" s="38">
        <f t="shared" si="0"/>
        <v>8179</v>
      </c>
      <c r="E16" s="55"/>
    </row>
    <row r="17" spans="1:5" ht="13.5" customHeight="1" x14ac:dyDescent="0.2">
      <c r="A17" s="45">
        <v>8</v>
      </c>
      <c r="B17" s="33">
        <f t="shared" si="2"/>
        <v>12498528</v>
      </c>
      <c r="C17" s="32">
        <v>12502172</v>
      </c>
      <c r="D17" s="38">
        <f t="shared" si="0"/>
        <v>3644</v>
      </c>
      <c r="E17" s="55"/>
    </row>
    <row r="18" spans="1:5" ht="13.5" customHeight="1" x14ac:dyDescent="0.2">
      <c r="A18" s="45">
        <v>9</v>
      </c>
      <c r="B18" s="33">
        <f t="shared" si="2"/>
        <v>12502172</v>
      </c>
      <c r="C18" s="32">
        <v>12503953</v>
      </c>
      <c r="D18" s="38">
        <f t="shared" si="0"/>
        <v>1781</v>
      </c>
      <c r="E18" s="55"/>
    </row>
    <row r="19" spans="1:5" ht="13.5" customHeight="1" x14ac:dyDescent="0.2">
      <c r="A19" s="45">
        <v>10</v>
      </c>
      <c r="B19" s="33">
        <f t="shared" si="2"/>
        <v>12503953</v>
      </c>
      <c r="C19" s="32">
        <v>12512393</v>
      </c>
      <c r="D19" s="38">
        <f t="shared" si="0"/>
        <v>8440</v>
      </c>
      <c r="E19" s="55"/>
    </row>
    <row r="20" spans="1:5" ht="13.5" customHeight="1" x14ac:dyDescent="0.2">
      <c r="A20" s="45">
        <v>11</v>
      </c>
      <c r="B20" s="33">
        <f t="shared" si="2"/>
        <v>12512393</v>
      </c>
      <c r="C20" s="32">
        <v>12515854</v>
      </c>
      <c r="D20" s="38">
        <f t="shared" si="0"/>
        <v>3461</v>
      </c>
      <c r="E20" s="55"/>
    </row>
    <row r="21" spans="1:5" ht="13.5" customHeight="1" x14ac:dyDescent="0.2">
      <c r="A21" s="45">
        <v>12</v>
      </c>
      <c r="B21" s="33">
        <f t="shared" si="2"/>
        <v>12515854</v>
      </c>
      <c r="C21" s="32">
        <v>12522493</v>
      </c>
      <c r="D21" s="38">
        <f t="shared" si="0"/>
        <v>6639</v>
      </c>
      <c r="E21" s="55"/>
    </row>
    <row r="22" spans="1:5" ht="13.5" customHeight="1" x14ac:dyDescent="0.2">
      <c r="A22" s="45">
        <v>13</v>
      </c>
      <c r="B22" s="33">
        <f t="shared" si="2"/>
        <v>12522493</v>
      </c>
      <c r="C22" s="32">
        <v>12527833</v>
      </c>
      <c r="D22" s="38">
        <f t="shared" si="0"/>
        <v>5340</v>
      </c>
      <c r="E22" s="55"/>
    </row>
    <row r="23" spans="1:5" ht="13.5" customHeight="1" x14ac:dyDescent="0.2">
      <c r="A23" s="45">
        <v>14</v>
      </c>
      <c r="B23" s="33">
        <f t="shared" si="2"/>
        <v>12527833</v>
      </c>
      <c r="C23" s="32">
        <v>12531250</v>
      </c>
      <c r="D23" s="38">
        <f t="shared" si="0"/>
        <v>3417</v>
      </c>
      <c r="E23" s="55"/>
    </row>
    <row r="24" spans="1:5" ht="13.5" customHeight="1" x14ac:dyDescent="0.2">
      <c r="A24" s="45">
        <v>15</v>
      </c>
      <c r="B24" s="33">
        <f t="shared" si="2"/>
        <v>12531250</v>
      </c>
      <c r="C24" s="32">
        <v>12534403</v>
      </c>
      <c r="D24" s="38">
        <f t="shared" si="0"/>
        <v>3153</v>
      </c>
      <c r="E24" s="55"/>
    </row>
    <row r="25" spans="1:5" ht="13.5" customHeight="1" x14ac:dyDescent="0.2">
      <c r="A25" s="45">
        <v>16</v>
      </c>
      <c r="B25" s="33">
        <f t="shared" si="2"/>
        <v>12534403</v>
      </c>
      <c r="C25" s="32">
        <v>12537776</v>
      </c>
      <c r="D25" s="38">
        <f t="shared" si="0"/>
        <v>3373</v>
      </c>
      <c r="E25" s="55"/>
    </row>
    <row r="26" spans="1:5" ht="13.5" customHeight="1" x14ac:dyDescent="0.2">
      <c r="A26" s="45">
        <v>17</v>
      </c>
      <c r="B26" s="33">
        <f t="shared" si="2"/>
        <v>12537776</v>
      </c>
      <c r="C26" s="32">
        <v>12541407</v>
      </c>
      <c r="D26" s="38">
        <f t="shared" si="0"/>
        <v>3631</v>
      </c>
      <c r="E26" s="55"/>
    </row>
    <row r="27" spans="1:5" ht="13.5" customHeight="1" x14ac:dyDescent="0.2">
      <c r="A27" s="45">
        <v>18</v>
      </c>
      <c r="B27" s="33">
        <f t="shared" si="2"/>
        <v>12541407</v>
      </c>
      <c r="C27" s="32">
        <v>12549668</v>
      </c>
      <c r="D27" s="38">
        <f t="shared" si="0"/>
        <v>8261</v>
      </c>
      <c r="E27" s="55"/>
    </row>
    <row r="28" spans="1:5" ht="13.5" customHeight="1" x14ac:dyDescent="0.2">
      <c r="A28" s="45">
        <v>19</v>
      </c>
      <c r="B28" s="33">
        <f t="shared" si="2"/>
        <v>12549668</v>
      </c>
      <c r="C28" s="32">
        <v>12556159</v>
      </c>
      <c r="D28" s="38">
        <f t="shared" si="0"/>
        <v>6491</v>
      </c>
      <c r="E28" s="55"/>
    </row>
    <row r="29" spans="1:5" ht="13.5" customHeight="1" x14ac:dyDescent="0.2">
      <c r="A29" s="45">
        <v>20</v>
      </c>
      <c r="B29" s="33">
        <f t="shared" si="2"/>
        <v>12556159</v>
      </c>
      <c r="C29" s="32">
        <v>12563688</v>
      </c>
      <c r="D29" s="38">
        <f t="shared" si="0"/>
        <v>7529</v>
      </c>
      <c r="E29" s="55"/>
    </row>
    <row r="30" spans="1:5" ht="13.5" customHeight="1" x14ac:dyDescent="0.2">
      <c r="A30" s="45">
        <v>21</v>
      </c>
      <c r="B30" s="33">
        <f t="shared" si="2"/>
        <v>12563688</v>
      </c>
      <c r="C30" s="32"/>
      <c r="D30" s="38">
        <f t="shared" si="0"/>
        <v>-12563688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30"/>
      <c r="F34" s="131"/>
      <c r="G34" s="134"/>
      <c r="H34" s="135"/>
      <c r="I34" s="134"/>
      <c r="J34" s="134"/>
    </row>
    <row r="35" spans="1:10" s="3" customFormat="1" ht="13.5" customHeight="1" x14ac:dyDescent="0.2">
      <c r="A35" s="45">
        <v>26</v>
      </c>
      <c r="B35" s="296">
        <f t="shared" si="2"/>
        <v>0</v>
      </c>
      <c r="C35" s="32"/>
      <c r="D35" s="38">
        <f t="shared" si="0"/>
        <v>0</v>
      </c>
      <c r="E35" s="130"/>
      <c r="F35" s="132"/>
      <c r="G35" s="135"/>
      <c r="H35" s="135"/>
      <c r="I35" s="135"/>
      <c r="J35" s="135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30"/>
      <c r="F36" s="131"/>
      <c r="G36" s="134"/>
      <c r="H36" s="134"/>
      <c r="I36" s="134"/>
      <c r="J36" s="134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30"/>
      <c r="F37" s="131"/>
      <c r="G37" s="134"/>
      <c r="H37" s="134"/>
      <c r="I37" s="134"/>
      <c r="J37" s="134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12"/>
      <c r="F38" s="313"/>
      <c r="G38" s="134"/>
      <c r="H38" s="134"/>
      <c r="I38" s="134"/>
      <c r="J38" s="134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30"/>
      <c r="F39" s="131"/>
      <c r="G39" s="134"/>
      <c r="H39" s="134"/>
      <c r="I39" s="134"/>
      <c r="J39" s="134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30"/>
      <c r="F40" s="131"/>
      <c r="G40" s="134"/>
      <c r="H40" s="134"/>
      <c r="I40" s="134"/>
      <c r="J40" s="134"/>
    </row>
    <row r="41" spans="1:10" ht="13.5" customHeight="1" thickBot="1" x14ac:dyDescent="0.25">
      <c r="A41" t="s">
        <v>7</v>
      </c>
      <c r="B41" s="18">
        <f>C40</f>
        <v>0</v>
      </c>
      <c r="D41" s="49">
        <f>SUM(D10:D40)</f>
        <v>-12445913</v>
      </c>
      <c r="E41" s="130"/>
      <c r="F41" s="131"/>
      <c r="G41" s="134"/>
      <c r="H41" s="134"/>
      <c r="I41" s="134"/>
      <c r="J41" s="134"/>
    </row>
    <row r="42" spans="1:10" ht="12" customHeight="1" thickTop="1" x14ac:dyDescent="0.2">
      <c r="E42" s="130"/>
      <c r="F42" s="131"/>
      <c r="G42" s="134"/>
      <c r="H42" s="134"/>
      <c r="I42" s="134"/>
      <c r="J42" s="134"/>
    </row>
    <row r="43" spans="1:10" ht="14.25" customHeight="1" x14ac:dyDescent="0.2">
      <c r="E43" s="133"/>
      <c r="F43" s="131"/>
      <c r="G43" s="134"/>
      <c r="H43" s="134"/>
      <c r="I43" s="134"/>
      <c r="J43" s="13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0" workbookViewId="0">
      <selection activeCell="C30" sqref="C30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08" t="s">
        <v>30</v>
      </c>
      <c r="D1" s="308"/>
    </row>
    <row r="2" spans="1:5" x14ac:dyDescent="0.2">
      <c r="C2" s="308"/>
      <c r="D2" s="308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1">
        <v>44228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09" t="s">
        <v>32</v>
      </c>
      <c r="C8" s="311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11405429</v>
      </c>
      <c r="C10" s="32">
        <v>11407737</v>
      </c>
      <c r="D10" s="38">
        <f>C10-B10</f>
        <v>2308</v>
      </c>
      <c r="E10" s="29"/>
    </row>
    <row r="11" spans="1:5" ht="13.5" customHeight="1" x14ac:dyDescent="0.2">
      <c r="A11" s="45">
        <v>2</v>
      </c>
      <c r="B11" s="33">
        <f>C10</f>
        <v>11407737</v>
      </c>
      <c r="C11" s="32">
        <v>11409014</v>
      </c>
      <c r="D11" s="38">
        <f t="shared" ref="D11:D36" si="0">C11-B11</f>
        <v>1277</v>
      </c>
      <c r="E11" s="34"/>
    </row>
    <row r="12" spans="1:5" ht="13.5" customHeight="1" x14ac:dyDescent="0.2">
      <c r="A12" s="45">
        <v>3</v>
      </c>
      <c r="B12" s="33">
        <f t="shared" ref="B12:B40" si="1">C11</f>
        <v>11409014</v>
      </c>
      <c r="C12" s="32">
        <v>11411124</v>
      </c>
      <c r="D12" s="38">
        <f t="shared" si="0"/>
        <v>2110</v>
      </c>
      <c r="E12" s="34"/>
    </row>
    <row r="13" spans="1:5" ht="13.5" customHeight="1" x14ac:dyDescent="0.2">
      <c r="A13" s="45">
        <v>4</v>
      </c>
      <c r="B13" s="33">
        <f t="shared" si="1"/>
        <v>11411124</v>
      </c>
      <c r="C13" s="32">
        <v>11415636</v>
      </c>
      <c r="D13" s="38">
        <f t="shared" si="0"/>
        <v>4512</v>
      </c>
      <c r="E13" s="34"/>
    </row>
    <row r="14" spans="1:5" ht="13.5" customHeight="1" x14ac:dyDescent="0.2">
      <c r="A14" s="45">
        <v>5</v>
      </c>
      <c r="B14" s="33">
        <f t="shared" si="1"/>
        <v>11415636</v>
      </c>
      <c r="C14" s="32">
        <v>11418749</v>
      </c>
      <c r="D14" s="38">
        <f t="shared" si="0"/>
        <v>3113</v>
      </c>
      <c r="E14" s="34"/>
    </row>
    <row r="15" spans="1:5" ht="13.5" customHeight="1" x14ac:dyDescent="0.2">
      <c r="A15" s="45">
        <v>6</v>
      </c>
      <c r="B15" s="33">
        <f t="shared" si="1"/>
        <v>11418749</v>
      </c>
      <c r="C15" s="32">
        <v>11420876</v>
      </c>
      <c r="D15" s="38">
        <f t="shared" si="0"/>
        <v>2127</v>
      </c>
      <c r="E15" s="34"/>
    </row>
    <row r="16" spans="1:5" ht="13.5" customHeight="1" x14ac:dyDescent="0.2">
      <c r="A16" s="45">
        <v>7</v>
      </c>
      <c r="B16" s="33">
        <f t="shared" si="1"/>
        <v>11420876</v>
      </c>
      <c r="C16" s="32">
        <v>11424049</v>
      </c>
      <c r="D16" s="38">
        <f t="shared" si="0"/>
        <v>3173</v>
      </c>
      <c r="E16" s="34"/>
    </row>
    <row r="17" spans="1:5" ht="13.5" customHeight="1" x14ac:dyDescent="0.2">
      <c r="A17" s="45">
        <v>8</v>
      </c>
      <c r="B17" s="33">
        <f t="shared" si="1"/>
        <v>11424049</v>
      </c>
      <c r="C17" s="32">
        <v>11424858</v>
      </c>
      <c r="D17" s="38">
        <f t="shared" si="0"/>
        <v>809</v>
      </c>
      <c r="E17" s="34"/>
    </row>
    <row r="18" spans="1:5" ht="13.5" customHeight="1" x14ac:dyDescent="0.2">
      <c r="A18" s="45">
        <v>9</v>
      </c>
      <c r="B18" s="33">
        <f t="shared" si="1"/>
        <v>11424858</v>
      </c>
      <c r="C18" s="32">
        <v>11427480</v>
      </c>
      <c r="D18" s="38">
        <f t="shared" si="0"/>
        <v>2622</v>
      </c>
      <c r="E18" s="34"/>
    </row>
    <row r="19" spans="1:5" ht="13.5" customHeight="1" x14ac:dyDescent="0.2">
      <c r="A19" s="45">
        <v>10</v>
      </c>
      <c r="B19" s="33">
        <f t="shared" si="1"/>
        <v>11427480</v>
      </c>
      <c r="C19" s="32">
        <v>11429518</v>
      </c>
      <c r="D19" s="38">
        <f t="shared" si="0"/>
        <v>2038</v>
      </c>
      <c r="E19" s="34"/>
    </row>
    <row r="20" spans="1:5" ht="13.5" customHeight="1" x14ac:dyDescent="0.2">
      <c r="A20" s="45">
        <v>11</v>
      </c>
      <c r="B20" s="33">
        <f t="shared" si="1"/>
        <v>11429518</v>
      </c>
      <c r="C20" s="32">
        <v>11431580</v>
      </c>
      <c r="D20" s="38">
        <f t="shared" si="0"/>
        <v>2062</v>
      </c>
      <c r="E20" s="34"/>
    </row>
    <row r="21" spans="1:5" ht="13.5" customHeight="1" x14ac:dyDescent="0.2">
      <c r="A21" s="45">
        <v>12</v>
      </c>
      <c r="B21" s="33">
        <f t="shared" si="1"/>
        <v>11431580</v>
      </c>
      <c r="C21" s="32">
        <v>11433380</v>
      </c>
      <c r="D21" s="38">
        <f t="shared" si="0"/>
        <v>1800</v>
      </c>
      <c r="E21" s="34"/>
    </row>
    <row r="22" spans="1:5" ht="13.5" customHeight="1" x14ac:dyDescent="0.2">
      <c r="A22" s="45">
        <v>13</v>
      </c>
      <c r="B22" s="33">
        <f t="shared" si="1"/>
        <v>11433380</v>
      </c>
      <c r="C22" s="32">
        <v>11434586</v>
      </c>
      <c r="D22" s="38">
        <f t="shared" si="0"/>
        <v>1206</v>
      </c>
      <c r="E22" s="34"/>
    </row>
    <row r="23" spans="1:5" ht="13.5" customHeight="1" x14ac:dyDescent="0.2">
      <c r="A23" s="45">
        <v>14</v>
      </c>
      <c r="B23" s="33">
        <f t="shared" si="1"/>
        <v>11434586</v>
      </c>
      <c r="C23" s="32">
        <v>11436366</v>
      </c>
      <c r="D23" s="38">
        <f t="shared" si="0"/>
        <v>1780</v>
      </c>
      <c r="E23" s="34"/>
    </row>
    <row r="24" spans="1:5" ht="13.5" customHeight="1" x14ac:dyDescent="0.2">
      <c r="A24" s="45">
        <v>15</v>
      </c>
      <c r="B24" s="33">
        <f t="shared" si="1"/>
        <v>11436366</v>
      </c>
      <c r="C24" s="32">
        <v>11437888</v>
      </c>
      <c r="D24" s="38">
        <f t="shared" si="0"/>
        <v>1522</v>
      </c>
      <c r="E24" s="34"/>
    </row>
    <row r="25" spans="1:5" ht="13.5" customHeight="1" x14ac:dyDescent="0.2">
      <c r="A25" s="45">
        <v>16</v>
      </c>
      <c r="B25" s="33">
        <f t="shared" si="1"/>
        <v>11437888</v>
      </c>
      <c r="C25" s="32">
        <v>11438763</v>
      </c>
      <c r="D25" s="38">
        <f t="shared" si="0"/>
        <v>875</v>
      </c>
      <c r="E25" s="34"/>
    </row>
    <row r="26" spans="1:5" ht="13.5" customHeight="1" x14ac:dyDescent="0.2">
      <c r="A26" s="45">
        <v>17</v>
      </c>
      <c r="B26" s="33">
        <f t="shared" si="1"/>
        <v>11438763</v>
      </c>
      <c r="C26" s="32">
        <v>11441222</v>
      </c>
      <c r="D26" s="38">
        <f t="shared" si="0"/>
        <v>2459</v>
      </c>
      <c r="E26" s="34"/>
    </row>
    <row r="27" spans="1:5" ht="13.5" customHeight="1" x14ac:dyDescent="0.2">
      <c r="A27" s="45">
        <v>18</v>
      </c>
      <c r="B27" s="33">
        <f t="shared" si="1"/>
        <v>11441222</v>
      </c>
      <c r="C27" s="127">
        <v>11442569</v>
      </c>
      <c r="D27" s="128">
        <f t="shared" si="0"/>
        <v>1347</v>
      </c>
      <c r="E27" s="129"/>
    </row>
    <row r="28" spans="1:5" ht="13.5" customHeight="1" x14ac:dyDescent="0.2">
      <c r="A28" s="45">
        <v>19</v>
      </c>
      <c r="B28" s="33">
        <f t="shared" si="1"/>
        <v>11442569</v>
      </c>
      <c r="C28" s="32">
        <v>11445635</v>
      </c>
      <c r="D28" s="38">
        <f>C28-B28</f>
        <v>3066</v>
      </c>
      <c r="E28" s="34"/>
    </row>
    <row r="29" spans="1:5" ht="13.5" customHeight="1" x14ac:dyDescent="0.2">
      <c r="A29" s="45">
        <v>20</v>
      </c>
      <c r="B29" s="33">
        <f t="shared" si="1"/>
        <v>11445635</v>
      </c>
      <c r="C29" s="32">
        <v>11446617</v>
      </c>
      <c r="D29" s="38">
        <f t="shared" si="0"/>
        <v>982</v>
      </c>
      <c r="E29" s="34"/>
    </row>
    <row r="30" spans="1:5" ht="13.5" customHeight="1" x14ac:dyDescent="0.2">
      <c r="A30" s="45">
        <v>21</v>
      </c>
      <c r="B30" s="33">
        <f t="shared" si="1"/>
        <v>11446617</v>
      </c>
      <c r="C30" s="32"/>
      <c r="D30" s="38">
        <f t="shared" si="0"/>
        <v>-11446617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96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>
        <f>C40</f>
        <v>0</v>
      </c>
      <c r="D41" s="49">
        <f>SUM(D10:D40)</f>
        <v>-11405429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0" workbookViewId="0">
      <selection activeCell="C30" sqref="C30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08" t="s">
        <v>16</v>
      </c>
      <c r="D1" s="308"/>
    </row>
    <row r="2" spans="1:5" x14ac:dyDescent="0.2">
      <c r="C2" s="308"/>
      <c r="D2" s="308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1"/>
      <c r="B4" s="4"/>
      <c r="C4" s="24"/>
      <c r="D4" s="24"/>
      <c r="E4" s="24"/>
    </row>
    <row r="5" spans="1:5" s="1" customFormat="1" x14ac:dyDescent="0.2">
      <c r="A5" s="192"/>
      <c r="B5" s="190"/>
      <c r="C5" s="191"/>
      <c r="D5" s="191"/>
      <c r="E5" s="191"/>
    </row>
    <row r="6" spans="1:5" x14ac:dyDescent="0.2">
      <c r="A6" s="91">
        <v>44228</v>
      </c>
    </row>
    <row r="7" spans="1:5" ht="13.5" thickBot="1" x14ac:dyDescent="0.25">
      <c r="A7" s="192"/>
    </row>
    <row r="8" spans="1:5" ht="15.75" customHeight="1" thickBot="1" x14ac:dyDescent="0.25">
      <c r="A8" s="58"/>
      <c r="B8" s="309" t="s">
        <v>34</v>
      </c>
      <c r="C8" s="311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17558719</v>
      </c>
      <c r="C10" s="32">
        <v>17565982</v>
      </c>
      <c r="D10" s="38">
        <f>C10-B10</f>
        <v>7263</v>
      </c>
      <c r="E10" s="29"/>
    </row>
    <row r="11" spans="1:5" ht="13.5" customHeight="1" x14ac:dyDescent="0.2">
      <c r="A11" s="61">
        <v>2</v>
      </c>
      <c r="B11" s="33">
        <f>C10</f>
        <v>17565982</v>
      </c>
      <c r="C11" s="32">
        <v>17569588</v>
      </c>
      <c r="D11" s="38">
        <f t="shared" ref="D11:D37" si="0">C11-B11</f>
        <v>3606</v>
      </c>
      <c r="E11" s="34"/>
    </row>
    <row r="12" spans="1:5" ht="13.5" customHeight="1" x14ac:dyDescent="0.2">
      <c r="A12" s="60">
        <v>3</v>
      </c>
      <c r="B12" s="33">
        <f t="shared" ref="B12:B38" si="1">C11</f>
        <v>17569588</v>
      </c>
      <c r="C12" s="32">
        <v>17573910</v>
      </c>
      <c r="D12" s="38">
        <f t="shared" si="0"/>
        <v>4322</v>
      </c>
      <c r="E12" s="34"/>
    </row>
    <row r="13" spans="1:5" ht="13.5" customHeight="1" x14ac:dyDescent="0.2">
      <c r="A13" s="61">
        <v>4</v>
      </c>
      <c r="B13" s="33">
        <f t="shared" si="1"/>
        <v>17573910</v>
      </c>
      <c r="C13" s="32">
        <v>17582508</v>
      </c>
      <c r="D13" s="38">
        <f t="shared" si="0"/>
        <v>8598</v>
      </c>
      <c r="E13" s="34"/>
    </row>
    <row r="14" spans="1:5" ht="13.5" customHeight="1" x14ac:dyDescent="0.2">
      <c r="A14" s="60">
        <v>5</v>
      </c>
      <c r="B14" s="33">
        <f t="shared" si="1"/>
        <v>17582508</v>
      </c>
      <c r="C14" s="32">
        <v>17586593</v>
      </c>
      <c r="D14" s="38">
        <f t="shared" si="0"/>
        <v>4085</v>
      </c>
      <c r="E14" s="34"/>
    </row>
    <row r="15" spans="1:5" ht="13.5" customHeight="1" x14ac:dyDescent="0.2">
      <c r="A15" s="61">
        <v>6</v>
      </c>
      <c r="B15" s="33">
        <f t="shared" si="1"/>
        <v>17586593</v>
      </c>
      <c r="C15" s="32">
        <v>17592513</v>
      </c>
      <c r="D15" s="38">
        <f t="shared" si="0"/>
        <v>5920</v>
      </c>
      <c r="E15" s="34"/>
    </row>
    <row r="16" spans="1:5" ht="13.5" customHeight="1" x14ac:dyDescent="0.2">
      <c r="A16" s="60">
        <v>7</v>
      </c>
      <c r="B16" s="33">
        <f t="shared" si="1"/>
        <v>17592513</v>
      </c>
      <c r="C16" s="32">
        <v>17596284</v>
      </c>
      <c r="D16" s="38">
        <f t="shared" si="0"/>
        <v>3771</v>
      </c>
      <c r="E16" s="34"/>
    </row>
    <row r="17" spans="1:5" ht="13.5" customHeight="1" x14ac:dyDescent="0.2">
      <c r="A17" s="61">
        <v>8</v>
      </c>
      <c r="B17" s="33">
        <f t="shared" si="1"/>
        <v>17596284</v>
      </c>
      <c r="C17" s="32">
        <v>17607648</v>
      </c>
      <c r="D17" s="38">
        <f t="shared" si="0"/>
        <v>11364</v>
      </c>
      <c r="E17" s="34"/>
    </row>
    <row r="18" spans="1:5" ht="13.5" customHeight="1" x14ac:dyDescent="0.2">
      <c r="A18" s="60">
        <v>9</v>
      </c>
      <c r="B18" s="33">
        <f t="shared" si="1"/>
        <v>17607648</v>
      </c>
      <c r="C18" s="32">
        <v>17612955</v>
      </c>
      <c r="D18" s="38">
        <f t="shared" si="0"/>
        <v>5307</v>
      </c>
      <c r="E18" s="34"/>
    </row>
    <row r="19" spans="1:5" ht="13.5" customHeight="1" x14ac:dyDescent="0.2">
      <c r="A19" s="61">
        <v>10</v>
      </c>
      <c r="B19" s="33">
        <f t="shared" si="1"/>
        <v>17612955</v>
      </c>
      <c r="C19" s="32">
        <v>17617208</v>
      </c>
      <c r="D19" s="38">
        <f t="shared" si="0"/>
        <v>4253</v>
      </c>
      <c r="E19" s="34"/>
    </row>
    <row r="20" spans="1:5" ht="13.5" customHeight="1" x14ac:dyDescent="0.2">
      <c r="A20" s="60">
        <v>11</v>
      </c>
      <c r="B20" s="33">
        <f t="shared" si="1"/>
        <v>17617208</v>
      </c>
      <c r="C20" s="32">
        <v>17623952</v>
      </c>
      <c r="D20" s="38">
        <f t="shared" si="0"/>
        <v>6744</v>
      </c>
      <c r="E20" s="34"/>
    </row>
    <row r="21" spans="1:5" ht="13.5" customHeight="1" x14ac:dyDescent="0.2">
      <c r="A21" s="61">
        <v>12</v>
      </c>
      <c r="B21" s="33">
        <f t="shared" si="1"/>
        <v>17623952</v>
      </c>
      <c r="C21" s="32">
        <v>17631259</v>
      </c>
      <c r="D21" s="38">
        <f t="shared" si="0"/>
        <v>7307</v>
      </c>
      <c r="E21" s="34"/>
    </row>
    <row r="22" spans="1:5" ht="13.5" customHeight="1" x14ac:dyDescent="0.2">
      <c r="A22" s="60">
        <v>13</v>
      </c>
      <c r="B22" s="33">
        <f t="shared" si="1"/>
        <v>17631259</v>
      </c>
      <c r="C22" s="32">
        <v>17636471</v>
      </c>
      <c r="D22" s="38">
        <f t="shared" si="0"/>
        <v>5212</v>
      </c>
      <c r="E22" s="34"/>
    </row>
    <row r="23" spans="1:5" ht="13.5" customHeight="1" x14ac:dyDescent="0.2">
      <c r="A23" s="61">
        <v>14</v>
      </c>
      <c r="B23" s="33">
        <f t="shared" si="1"/>
        <v>17636471</v>
      </c>
      <c r="C23" s="32">
        <v>17643725</v>
      </c>
      <c r="D23" s="38">
        <f t="shared" si="0"/>
        <v>7254</v>
      </c>
      <c r="E23" s="34"/>
    </row>
    <row r="24" spans="1:5" ht="13.5" customHeight="1" x14ac:dyDescent="0.2">
      <c r="A24" s="60">
        <v>15</v>
      </c>
      <c r="B24" s="33">
        <f t="shared" si="1"/>
        <v>17643725</v>
      </c>
      <c r="C24" s="32">
        <v>17651702</v>
      </c>
      <c r="D24" s="38">
        <f t="shared" si="0"/>
        <v>7977</v>
      </c>
      <c r="E24" s="34"/>
    </row>
    <row r="25" spans="1:5" ht="13.5" customHeight="1" x14ac:dyDescent="0.2">
      <c r="A25" s="61">
        <v>16</v>
      </c>
      <c r="B25" s="33">
        <f t="shared" si="1"/>
        <v>17651702</v>
      </c>
      <c r="C25" s="32">
        <v>17659556</v>
      </c>
      <c r="D25" s="38">
        <f t="shared" si="0"/>
        <v>7854</v>
      </c>
      <c r="E25" s="34"/>
    </row>
    <row r="26" spans="1:5" ht="13.5" customHeight="1" x14ac:dyDescent="0.2">
      <c r="A26" s="60">
        <v>17</v>
      </c>
      <c r="B26" s="33">
        <f t="shared" si="1"/>
        <v>17659556</v>
      </c>
      <c r="C26" s="32">
        <v>17666630</v>
      </c>
      <c r="D26" s="38">
        <f t="shared" si="0"/>
        <v>7074</v>
      </c>
      <c r="E26" s="34"/>
    </row>
    <row r="27" spans="1:5" ht="13.5" customHeight="1" x14ac:dyDescent="0.2">
      <c r="A27" s="61">
        <v>18</v>
      </c>
      <c r="B27" s="33">
        <f t="shared" si="1"/>
        <v>17666630</v>
      </c>
      <c r="C27" s="32">
        <v>17669684</v>
      </c>
      <c r="D27" s="38">
        <f t="shared" si="0"/>
        <v>3054</v>
      </c>
      <c r="E27" s="34"/>
    </row>
    <row r="28" spans="1:5" ht="13.5" customHeight="1" x14ac:dyDescent="0.2">
      <c r="A28" s="60">
        <v>19</v>
      </c>
      <c r="B28" s="33">
        <f t="shared" si="1"/>
        <v>17669684</v>
      </c>
      <c r="C28" s="32">
        <v>17676447</v>
      </c>
      <c r="D28" s="38">
        <f t="shared" si="0"/>
        <v>6763</v>
      </c>
      <c r="E28" s="34"/>
    </row>
    <row r="29" spans="1:5" ht="13.5" customHeight="1" x14ac:dyDescent="0.2">
      <c r="A29" s="61">
        <v>20</v>
      </c>
      <c r="B29" s="33">
        <f t="shared" si="1"/>
        <v>17676447</v>
      </c>
      <c r="C29" s="32">
        <v>17686565</v>
      </c>
      <c r="D29" s="38">
        <f t="shared" si="0"/>
        <v>10118</v>
      </c>
      <c r="E29" s="34"/>
    </row>
    <row r="30" spans="1:5" ht="13.5" customHeight="1" x14ac:dyDescent="0.2">
      <c r="A30" s="60">
        <v>21</v>
      </c>
      <c r="B30" s="33">
        <f t="shared" si="1"/>
        <v>17686565</v>
      </c>
      <c r="C30" s="32"/>
      <c r="D30" s="38">
        <f t="shared" si="0"/>
        <v>-17686565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98">
        <v>26</v>
      </c>
      <c r="B35" s="296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B41" s="18">
        <f>C40</f>
        <v>0</v>
      </c>
      <c r="D41" s="49">
        <f>SUM(D10:D40)</f>
        <v>-17558719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opLeftCell="A4" workbookViewId="0">
      <selection activeCell="C24" sqref="C24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307" t="s">
        <v>153</v>
      </c>
      <c r="B1" s="307"/>
      <c r="C1" s="307"/>
      <c r="D1" s="307"/>
    </row>
    <row r="2" spans="1:12" x14ac:dyDescent="0.2">
      <c r="A2" s="91">
        <v>44228</v>
      </c>
    </row>
    <row r="3" spans="1:12" x14ac:dyDescent="0.2">
      <c r="A3" s="6"/>
      <c r="B3" s="6" t="s">
        <v>38</v>
      </c>
      <c r="C3" s="6"/>
      <c r="D3" s="62"/>
      <c r="F3" s="314" t="s">
        <v>79</v>
      </c>
      <c r="G3" s="314"/>
    </row>
    <row r="4" spans="1:12" x14ac:dyDescent="0.2">
      <c r="A4" s="6" t="s">
        <v>39</v>
      </c>
      <c r="B4" s="6" t="s">
        <v>40</v>
      </c>
      <c r="C4" s="6" t="s">
        <v>41</v>
      </c>
      <c r="D4" s="93" t="s">
        <v>85</v>
      </c>
      <c r="F4" s="145" t="s">
        <v>56</v>
      </c>
      <c r="G4" s="145" t="s">
        <v>57</v>
      </c>
      <c r="I4" s="148" t="s">
        <v>84</v>
      </c>
      <c r="K4" s="315" t="s">
        <v>86</v>
      </c>
      <c r="L4" s="316"/>
    </row>
    <row r="5" spans="1:12" x14ac:dyDescent="0.2">
      <c r="A5" s="151">
        <v>1</v>
      </c>
      <c r="B5" s="6">
        <v>43119420</v>
      </c>
      <c r="C5" s="63">
        <v>43126970</v>
      </c>
      <c r="D5" s="63">
        <f>C5-B5</f>
        <v>7550</v>
      </c>
      <c r="F5" s="145"/>
      <c r="G5" s="145"/>
      <c r="I5" s="149">
        <f t="shared" ref="I5:I34" si="0">D5/200</f>
        <v>37.75</v>
      </c>
      <c r="K5" s="8">
        <f>2.68*D5</f>
        <v>20234</v>
      </c>
      <c r="L5" s="8">
        <f>K5/1000</f>
        <v>20.234000000000002</v>
      </c>
    </row>
    <row r="6" spans="1:12" x14ac:dyDescent="0.2">
      <c r="A6" s="151">
        <v>2</v>
      </c>
      <c r="B6" s="6">
        <f>C5</f>
        <v>43126970</v>
      </c>
      <c r="C6" s="6">
        <v>43134280</v>
      </c>
      <c r="D6" s="63">
        <f>C6-B6</f>
        <v>7310</v>
      </c>
      <c r="F6" s="145"/>
      <c r="G6" s="145"/>
      <c r="I6" s="149">
        <f t="shared" si="0"/>
        <v>36.549999999999997</v>
      </c>
      <c r="K6" s="8">
        <f t="shared" ref="K6:K36" si="1">2.68*D6</f>
        <v>19590.800000000003</v>
      </c>
      <c r="L6" s="8">
        <f t="shared" ref="L6:L36" si="2">K6/1000</f>
        <v>19.590800000000002</v>
      </c>
    </row>
    <row r="7" spans="1:12" x14ac:dyDescent="0.2">
      <c r="A7" s="151">
        <v>3</v>
      </c>
      <c r="B7" s="6">
        <f t="shared" ref="B7:B35" si="3">C6</f>
        <v>43134280</v>
      </c>
      <c r="C7" s="6">
        <v>43141980</v>
      </c>
      <c r="D7" s="63">
        <f t="shared" ref="D7:D31" si="4">C7-B7</f>
        <v>7700</v>
      </c>
      <c r="F7" s="145"/>
      <c r="G7" s="145"/>
      <c r="I7" s="149">
        <f t="shared" si="0"/>
        <v>38.5</v>
      </c>
      <c r="K7" s="8">
        <f t="shared" si="1"/>
        <v>20636</v>
      </c>
      <c r="L7" s="8">
        <f t="shared" si="2"/>
        <v>20.635999999999999</v>
      </c>
    </row>
    <row r="8" spans="1:12" x14ac:dyDescent="0.2">
      <c r="A8" s="151">
        <v>4</v>
      </c>
      <c r="B8" s="6">
        <f t="shared" si="3"/>
        <v>43141980</v>
      </c>
      <c r="C8" s="6">
        <v>43149640</v>
      </c>
      <c r="D8" s="63">
        <f t="shared" si="4"/>
        <v>7660</v>
      </c>
      <c r="F8" s="145"/>
      <c r="G8" s="145"/>
      <c r="I8" s="149">
        <f t="shared" si="0"/>
        <v>38.299999999999997</v>
      </c>
      <c r="K8" s="8">
        <f t="shared" si="1"/>
        <v>20528.800000000003</v>
      </c>
      <c r="L8" s="8">
        <f t="shared" si="2"/>
        <v>20.528800000000004</v>
      </c>
    </row>
    <row r="9" spans="1:12" x14ac:dyDescent="0.2">
      <c r="A9" s="151">
        <v>5</v>
      </c>
      <c r="B9" s="6">
        <f t="shared" si="3"/>
        <v>43149640</v>
      </c>
      <c r="C9" s="6">
        <v>43157140</v>
      </c>
      <c r="D9" s="63">
        <f t="shared" si="4"/>
        <v>7500</v>
      </c>
      <c r="F9" s="145"/>
      <c r="G9" s="145"/>
      <c r="I9" s="149">
        <f t="shared" si="0"/>
        <v>37.5</v>
      </c>
      <c r="K9" s="8">
        <f t="shared" si="1"/>
        <v>20100</v>
      </c>
      <c r="L9" s="8">
        <f t="shared" si="2"/>
        <v>20.100000000000001</v>
      </c>
    </row>
    <row r="10" spans="1:12" x14ac:dyDescent="0.2">
      <c r="A10" s="151">
        <v>6</v>
      </c>
      <c r="B10" s="6">
        <f t="shared" si="3"/>
        <v>43157140</v>
      </c>
      <c r="C10" s="6">
        <v>43164480</v>
      </c>
      <c r="D10" s="63">
        <f t="shared" si="4"/>
        <v>7340</v>
      </c>
      <c r="F10" s="145"/>
      <c r="G10" s="145"/>
      <c r="I10" s="149">
        <f t="shared" si="0"/>
        <v>36.700000000000003</v>
      </c>
      <c r="K10" s="8">
        <f t="shared" si="1"/>
        <v>19671.2</v>
      </c>
      <c r="L10" s="8">
        <f t="shared" si="2"/>
        <v>19.671200000000002</v>
      </c>
    </row>
    <row r="11" spans="1:12" x14ac:dyDescent="0.2">
      <c r="A11" s="151">
        <v>7</v>
      </c>
      <c r="B11" s="6">
        <f t="shared" si="3"/>
        <v>43164480</v>
      </c>
      <c r="C11" s="6">
        <v>43172160</v>
      </c>
      <c r="D11" s="63">
        <f t="shared" si="4"/>
        <v>7680</v>
      </c>
      <c r="F11" s="145"/>
      <c r="G11" s="145"/>
      <c r="I11" s="149">
        <f t="shared" si="0"/>
        <v>38.4</v>
      </c>
      <c r="K11" s="8">
        <f t="shared" si="1"/>
        <v>20582.400000000001</v>
      </c>
      <c r="L11" s="8">
        <f t="shared" si="2"/>
        <v>20.5824</v>
      </c>
    </row>
    <row r="12" spans="1:12" x14ac:dyDescent="0.2">
      <c r="A12" s="151">
        <v>8</v>
      </c>
      <c r="B12" s="6">
        <f t="shared" si="3"/>
        <v>43172160</v>
      </c>
      <c r="C12" s="6">
        <v>43179970</v>
      </c>
      <c r="D12" s="63">
        <f t="shared" si="4"/>
        <v>7810</v>
      </c>
      <c r="F12" s="145"/>
      <c r="G12" s="145"/>
      <c r="I12" s="149">
        <f t="shared" si="0"/>
        <v>39.049999999999997</v>
      </c>
      <c r="K12" s="8">
        <f t="shared" si="1"/>
        <v>20930.800000000003</v>
      </c>
      <c r="L12" s="8">
        <f t="shared" si="2"/>
        <v>20.930800000000001</v>
      </c>
    </row>
    <row r="13" spans="1:12" x14ac:dyDescent="0.2">
      <c r="A13" s="151">
        <v>9</v>
      </c>
      <c r="B13" s="6">
        <f t="shared" si="3"/>
        <v>43179970</v>
      </c>
      <c r="C13" s="6">
        <v>43187710</v>
      </c>
      <c r="D13" s="63">
        <f t="shared" si="4"/>
        <v>7740</v>
      </c>
      <c r="F13" s="145"/>
      <c r="G13" s="145"/>
      <c r="I13" s="149">
        <f t="shared" si="0"/>
        <v>38.700000000000003</v>
      </c>
      <c r="K13" s="8">
        <f t="shared" si="1"/>
        <v>20743.2</v>
      </c>
      <c r="L13" s="8">
        <f t="shared" si="2"/>
        <v>20.743200000000002</v>
      </c>
    </row>
    <row r="14" spans="1:12" x14ac:dyDescent="0.2">
      <c r="A14" s="151">
        <v>10</v>
      </c>
      <c r="B14" s="6">
        <f t="shared" si="3"/>
        <v>43187710</v>
      </c>
      <c r="C14" s="6">
        <v>43195150</v>
      </c>
      <c r="D14" s="63">
        <f t="shared" si="4"/>
        <v>7440</v>
      </c>
      <c r="F14" s="145"/>
      <c r="G14" s="145"/>
      <c r="I14" s="149">
        <f t="shared" si="0"/>
        <v>37.200000000000003</v>
      </c>
      <c r="K14" s="8">
        <f t="shared" si="1"/>
        <v>19939.2</v>
      </c>
      <c r="L14" s="8">
        <f t="shared" si="2"/>
        <v>19.9392</v>
      </c>
    </row>
    <row r="15" spans="1:12" x14ac:dyDescent="0.2">
      <c r="A15" s="151">
        <v>11</v>
      </c>
      <c r="B15" s="6">
        <f t="shared" si="3"/>
        <v>43195150</v>
      </c>
      <c r="C15" s="6">
        <v>43202670</v>
      </c>
      <c r="D15" s="63">
        <f t="shared" si="4"/>
        <v>7520</v>
      </c>
      <c r="F15" s="145"/>
      <c r="G15" s="145"/>
      <c r="I15" s="149">
        <f t="shared" si="0"/>
        <v>37.6</v>
      </c>
      <c r="K15" s="8">
        <f t="shared" si="1"/>
        <v>20153.600000000002</v>
      </c>
      <c r="L15" s="8">
        <f t="shared" si="2"/>
        <v>20.153600000000001</v>
      </c>
    </row>
    <row r="16" spans="1:12" x14ac:dyDescent="0.2">
      <c r="A16" s="151">
        <v>12</v>
      </c>
      <c r="B16" s="6">
        <f t="shared" si="3"/>
        <v>43202670</v>
      </c>
      <c r="C16" s="6">
        <v>43210130</v>
      </c>
      <c r="D16" s="63">
        <f t="shared" si="4"/>
        <v>7460</v>
      </c>
      <c r="F16" s="145"/>
      <c r="G16" s="145"/>
      <c r="I16" s="149">
        <f t="shared" si="0"/>
        <v>37.299999999999997</v>
      </c>
      <c r="K16" s="8">
        <f t="shared" si="1"/>
        <v>19992.800000000003</v>
      </c>
      <c r="L16" s="8">
        <f t="shared" si="2"/>
        <v>19.992800000000003</v>
      </c>
    </row>
    <row r="17" spans="1:12" x14ac:dyDescent="0.2">
      <c r="A17" s="151">
        <v>13</v>
      </c>
      <c r="B17" s="6">
        <f t="shared" si="3"/>
        <v>43210130</v>
      </c>
      <c r="C17" s="6">
        <v>43217700</v>
      </c>
      <c r="D17" s="63">
        <f t="shared" si="4"/>
        <v>7570</v>
      </c>
      <c r="F17" s="145"/>
      <c r="G17" s="145"/>
      <c r="I17" s="149">
        <f t="shared" si="0"/>
        <v>37.85</v>
      </c>
      <c r="K17" s="8">
        <f t="shared" si="1"/>
        <v>20287.600000000002</v>
      </c>
      <c r="L17" s="8">
        <f t="shared" si="2"/>
        <v>20.287600000000001</v>
      </c>
    </row>
    <row r="18" spans="1:12" x14ac:dyDescent="0.2">
      <c r="A18" s="151">
        <v>14</v>
      </c>
      <c r="B18" s="6">
        <f t="shared" si="3"/>
        <v>43217700</v>
      </c>
      <c r="C18" s="6">
        <v>43225570</v>
      </c>
      <c r="D18" s="63">
        <f t="shared" si="4"/>
        <v>7870</v>
      </c>
      <c r="F18" s="145"/>
      <c r="G18" s="145"/>
      <c r="I18" s="149">
        <f t="shared" si="0"/>
        <v>39.35</v>
      </c>
      <c r="K18" s="8">
        <f t="shared" si="1"/>
        <v>21091.600000000002</v>
      </c>
      <c r="L18" s="8">
        <f t="shared" si="2"/>
        <v>21.091600000000003</v>
      </c>
    </row>
    <row r="19" spans="1:12" x14ac:dyDescent="0.2">
      <c r="A19" s="151">
        <v>15</v>
      </c>
      <c r="B19" s="6">
        <f t="shared" si="3"/>
        <v>43225570</v>
      </c>
      <c r="C19" s="6">
        <v>43233580</v>
      </c>
      <c r="D19" s="63">
        <f t="shared" si="4"/>
        <v>8010</v>
      </c>
      <c r="F19" s="145"/>
      <c r="G19" s="145"/>
      <c r="I19" s="149">
        <f t="shared" si="0"/>
        <v>40.049999999999997</v>
      </c>
      <c r="K19" s="8">
        <f t="shared" si="1"/>
        <v>21466.800000000003</v>
      </c>
      <c r="L19" s="8">
        <f t="shared" si="2"/>
        <v>21.466800000000003</v>
      </c>
    </row>
    <row r="20" spans="1:12" x14ac:dyDescent="0.2">
      <c r="A20" s="151">
        <v>16</v>
      </c>
      <c r="B20" s="6">
        <f t="shared" si="3"/>
        <v>43233580</v>
      </c>
      <c r="C20" s="6">
        <v>43241450</v>
      </c>
      <c r="D20" s="63">
        <f t="shared" si="4"/>
        <v>7870</v>
      </c>
      <c r="F20" s="145"/>
      <c r="G20" s="145"/>
      <c r="I20" s="149">
        <f t="shared" si="0"/>
        <v>39.35</v>
      </c>
      <c r="K20" s="8">
        <f t="shared" si="1"/>
        <v>21091.600000000002</v>
      </c>
      <c r="L20" s="8">
        <f t="shared" si="2"/>
        <v>21.091600000000003</v>
      </c>
    </row>
    <row r="21" spans="1:12" x14ac:dyDescent="0.2">
      <c r="A21" s="151">
        <v>17</v>
      </c>
      <c r="B21" s="6">
        <f t="shared" si="3"/>
        <v>43241450</v>
      </c>
      <c r="C21" s="6">
        <v>43249810</v>
      </c>
      <c r="D21" s="63">
        <f t="shared" si="4"/>
        <v>8360</v>
      </c>
      <c r="F21" s="145"/>
      <c r="G21" s="145"/>
      <c r="I21" s="149">
        <f t="shared" si="0"/>
        <v>41.8</v>
      </c>
      <c r="K21" s="8">
        <f t="shared" si="1"/>
        <v>22404.800000000003</v>
      </c>
      <c r="L21" s="8">
        <f t="shared" si="2"/>
        <v>22.404800000000002</v>
      </c>
    </row>
    <row r="22" spans="1:12" x14ac:dyDescent="0.2">
      <c r="A22" s="151">
        <v>18</v>
      </c>
      <c r="B22" s="6">
        <f t="shared" si="3"/>
        <v>43249810</v>
      </c>
      <c r="C22" s="6">
        <v>43258270</v>
      </c>
      <c r="D22" s="63">
        <f t="shared" si="4"/>
        <v>8460</v>
      </c>
      <c r="F22" s="145"/>
      <c r="G22" s="145"/>
      <c r="I22" s="149">
        <f t="shared" si="0"/>
        <v>42.3</v>
      </c>
      <c r="K22" s="8">
        <f t="shared" si="1"/>
        <v>22672.800000000003</v>
      </c>
      <c r="L22" s="8">
        <f t="shared" si="2"/>
        <v>22.672800000000002</v>
      </c>
    </row>
    <row r="23" spans="1:12" x14ac:dyDescent="0.2">
      <c r="A23" s="151">
        <v>19</v>
      </c>
      <c r="B23" s="6">
        <f t="shared" si="3"/>
        <v>43258270</v>
      </c>
      <c r="C23" s="6">
        <v>43266780</v>
      </c>
      <c r="D23" s="63">
        <f t="shared" si="4"/>
        <v>8510</v>
      </c>
      <c r="F23" s="145"/>
      <c r="G23" s="145"/>
      <c r="I23" s="149">
        <f t="shared" si="0"/>
        <v>42.55</v>
      </c>
      <c r="K23" s="8">
        <f t="shared" si="1"/>
        <v>22806.800000000003</v>
      </c>
      <c r="L23" s="8">
        <f t="shared" si="2"/>
        <v>22.806800000000003</v>
      </c>
    </row>
    <row r="24" spans="1:12" x14ac:dyDescent="0.2">
      <c r="A24" s="151">
        <v>20</v>
      </c>
      <c r="B24" s="6">
        <f t="shared" si="3"/>
        <v>43266780</v>
      </c>
      <c r="C24" s="6">
        <v>43275400</v>
      </c>
      <c r="D24" s="63">
        <f t="shared" si="4"/>
        <v>8620</v>
      </c>
      <c r="F24" s="145"/>
      <c r="G24" s="145"/>
      <c r="I24" s="149">
        <f t="shared" si="0"/>
        <v>43.1</v>
      </c>
      <c r="K24" s="8">
        <f t="shared" si="1"/>
        <v>23101.600000000002</v>
      </c>
      <c r="L24" s="8">
        <f t="shared" si="2"/>
        <v>23.101600000000001</v>
      </c>
    </row>
    <row r="25" spans="1:12" x14ac:dyDescent="0.2">
      <c r="A25" s="151">
        <v>21</v>
      </c>
      <c r="B25" s="6">
        <f t="shared" si="3"/>
        <v>43275400</v>
      </c>
      <c r="C25" s="6"/>
      <c r="D25" s="63">
        <f t="shared" si="4"/>
        <v>-43275400</v>
      </c>
      <c r="F25" s="145"/>
      <c r="G25" s="145"/>
      <c r="I25" s="149">
        <f t="shared" si="0"/>
        <v>-216377</v>
      </c>
      <c r="K25" s="8">
        <f t="shared" si="1"/>
        <v>-115978072</v>
      </c>
      <c r="L25" s="8">
        <f t="shared" si="2"/>
        <v>-115978.072</v>
      </c>
    </row>
    <row r="26" spans="1:12" x14ac:dyDescent="0.2">
      <c r="A26" s="151">
        <v>22</v>
      </c>
      <c r="B26" s="6">
        <f t="shared" si="3"/>
        <v>0</v>
      </c>
      <c r="C26" s="6"/>
      <c r="D26" s="63">
        <f t="shared" si="4"/>
        <v>0</v>
      </c>
      <c r="F26" s="145"/>
      <c r="G26" s="145"/>
      <c r="I26" s="149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51">
        <v>23</v>
      </c>
      <c r="B27" s="6">
        <f t="shared" si="3"/>
        <v>0</v>
      </c>
      <c r="C27" s="6"/>
      <c r="D27" s="63">
        <f t="shared" si="4"/>
        <v>0</v>
      </c>
      <c r="F27" s="145"/>
      <c r="G27" s="145"/>
      <c r="I27" s="149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51">
        <v>24</v>
      </c>
      <c r="B28" s="6">
        <f t="shared" si="3"/>
        <v>0</v>
      </c>
      <c r="C28" s="6"/>
      <c r="D28" s="63">
        <f t="shared" si="4"/>
        <v>0</v>
      </c>
      <c r="F28" s="145"/>
      <c r="G28" s="145"/>
      <c r="I28" s="149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51">
        <v>25</v>
      </c>
      <c r="B29" s="6">
        <f t="shared" si="3"/>
        <v>0</v>
      </c>
      <c r="C29" s="6"/>
      <c r="D29" s="136">
        <f t="shared" si="4"/>
        <v>0</v>
      </c>
      <c r="E29" s="132"/>
      <c r="F29" s="146"/>
      <c r="G29" s="145"/>
      <c r="I29" s="149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51">
        <v>26</v>
      </c>
      <c r="B30" s="6">
        <f t="shared" si="3"/>
        <v>0</v>
      </c>
      <c r="C30" s="6"/>
      <c r="D30" s="63">
        <f t="shared" si="4"/>
        <v>0</v>
      </c>
      <c r="F30" s="145"/>
      <c r="G30" s="145"/>
      <c r="I30" s="149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51">
        <v>27</v>
      </c>
      <c r="B31" s="6">
        <f t="shared" si="3"/>
        <v>0</v>
      </c>
      <c r="C31" s="6"/>
      <c r="D31" s="63">
        <f t="shared" si="4"/>
        <v>0</v>
      </c>
      <c r="F31" s="145"/>
      <c r="G31" s="145"/>
      <c r="I31" s="149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51">
        <v>28</v>
      </c>
      <c r="B32" s="6">
        <f t="shared" si="3"/>
        <v>0</v>
      </c>
      <c r="C32" s="6"/>
      <c r="D32" s="63">
        <f>C32-B32</f>
        <v>0</v>
      </c>
      <c r="F32" s="145"/>
      <c r="G32" s="145"/>
      <c r="I32" s="149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51">
        <v>29</v>
      </c>
      <c r="B33" s="6">
        <f t="shared" si="3"/>
        <v>0</v>
      </c>
      <c r="C33" s="6"/>
      <c r="D33" s="63">
        <f t="shared" ref="D33:D35" si="5">C33-B33</f>
        <v>0</v>
      </c>
      <c r="F33" s="145"/>
      <c r="G33" s="145"/>
      <c r="I33" s="149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51">
        <v>30</v>
      </c>
      <c r="B34" s="6">
        <f t="shared" si="3"/>
        <v>0</v>
      </c>
      <c r="C34" s="6"/>
      <c r="D34" s="63">
        <f t="shared" si="5"/>
        <v>0</v>
      </c>
      <c r="F34" s="145">
        <v>0</v>
      </c>
      <c r="G34" s="145"/>
      <c r="I34" s="149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51">
        <v>31</v>
      </c>
      <c r="B35" s="6">
        <f t="shared" si="3"/>
        <v>0</v>
      </c>
      <c r="C35" s="6"/>
      <c r="D35" s="63">
        <f t="shared" si="5"/>
        <v>0</v>
      </c>
      <c r="F35" s="170"/>
      <c r="G35" s="170"/>
      <c r="I35" s="149"/>
      <c r="K35" s="8"/>
      <c r="L35" s="8"/>
    </row>
    <row r="36" spans="1:12" ht="13.5" thickBot="1" x14ac:dyDescent="0.25">
      <c r="D36" s="64">
        <f>SUM(D5:D34)</f>
        <v>-43119420</v>
      </c>
      <c r="F36" s="147"/>
      <c r="G36" s="147"/>
      <c r="I36" s="149">
        <f>SUM(I5:I34)</f>
        <v>-215597.1</v>
      </c>
      <c r="K36" s="8">
        <f t="shared" si="1"/>
        <v>-115560045.60000001</v>
      </c>
      <c r="L36" s="8">
        <f t="shared" si="2"/>
        <v>-115560.04560000001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7" zoomScaleNormal="100" workbookViewId="0">
      <selection activeCell="C29" sqref="C29"/>
    </sheetView>
  </sheetViews>
  <sheetFormatPr defaultRowHeight="12.75" x14ac:dyDescent="0.2"/>
  <cols>
    <col min="1" max="1" width="5.28515625" style="187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308"/>
      <c r="D1" s="308"/>
    </row>
    <row r="2" spans="1:11" x14ac:dyDescent="0.2">
      <c r="B2" s="18"/>
      <c r="C2" s="308"/>
      <c r="D2" s="308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86"/>
      <c r="B5" s="91">
        <v>44228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309" t="s">
        <v>44</v>
      </c>
      <c r="C7" s="311"/>
      <c r="D7" s="70"/>
    </row>
    <row r="8" spans="1:11" ht="38.25" x14ac:dyDescent="0.2">
      <c r="A8" s="188" t="s">
        <v>5</v>
      </c>
      <c r="B8" s="152" t="s">
        <v>19</v>
      </c>
      <c r="C8" s="43" t="s">
        <v>20</v>
      </c>
      <c r="D8" s="71" t="s">
        <v>29</v>
      </c>
    </row>
    <row r="9" spans="1:11" x14ac:dyDescent="0.2">
      <c r="A9" s="189">
        <v>1</v>
      </c>
      <c r="B9" s="33">
        <v>2329152</v>
      </c>
      <c r="C9" s="33">
        <v>2330598</v>
      </c>
      <c r="D9" s="72">
        <f t="shared" ref="D9:D39" si="0">C9-B9</f>
        <v>1446</v>
      </c>
    </row>
    <row r="10" spans="1:11" x14ac:dyDescent="0.2">
      <c r="A10" s="74">
        <v>2</v>
      </c>
      <c r="B10" s="33">
        <f>C9</f>
        <v>2330598</v>
      </c>
      <c r="C10" s="33">
        <v>2333761</v>
      </c>
      <c r="D10" s="72">
        <f t="shared" si="0"/>
        <v>3163</v>
      </c>
    </row>
    <row r="11" spans="1:11" x14ac:dyDescent="0.2">
      <c r="A11" s="187">
        <v>3</v>
      </c>
      <c r="B11" s="33">
        <f t="shared" ref="B11:B39" si="1">C10</f>
        <v>2333761</v>
      </c>
      <c r="C11" s="33">
        <v>2336565</v>
      </c>
      <c r="D11" s="72">
        <f t="shared" si="0"/>
        <v>2804</v>
      </c>
    </row>
    <row r="12" spans="1:11" x14ac:dyDescent="0.2">
      <c r="A12" s="74">
        <v>4</v>
      </c>
      <c r="B12" s="33">
        <f t="shared" si="1"/>
        <v>2336565</v>
      </c>
      <c r="C12" s="33">
        <v>2339632</v>
      </c>
      <c r="D12" s="72">
        <f t="shared" si="0"/>
        <v>3067</v>
      </c>
    </row>
    <row r="13" spans="1:11" x14ac:dyDescent="0.2">
      <c r="A13" s="187">
        <v>5</v>
      </c>
      <c r="B13" s="33">
        <f t="shared" si="1"/>
        <v>2339632</v>
      </c>
      <c r="C13" s="33">
        <v>2342710</v>
      </c>
      <c r="D13" s="72">
        <f t="shared" si="0"/>
        <v>3078</v>
      </c>
      <c r="J13" t="s">
        <v>81</v>
      </c>
      <c r="K13" t="s">
        <v>80</v>
      </c>
    </row>
    <row r="14" spans="1:11" x14ac:dyDescent="0.2">
      <c r="A14" s="74">
        <v>6</v>
      </c>
      <c r="B14" s="33">
        <f t="shared" si="1"/>
        <v>2342710</v>
      </c>
      <c r="C14" s="33">
        <v>2345767</v>
      </c>
      <c r="D14" s="72">
        <f t="shared" si="0"/>
        <v>3057</v>
      </c>
      <c r="J14" s="148" t="s">
        <v>82</v>
      </c>
      <c r="K14" t="s">
        <v>83</v>
      </c>
    </row>
    <row r="15" spans="1:11" x14ac:dyDescent="0.2">
      <c r="A15" s="187">
        <v>7</v>
      </c>
      <c r="B15" s="33">
        <f t="shared" si="1"/>
        <v>2345767</v>
      </c>
      <c r="C15" s="33">
        <v>2348741</v>
      </c>
      <c r="D15" s="72">
        <f t="shared" si="0"/>
        <v>2974</v>
      </c>
      <c r="E15" s="44"/>
    </row>
    <row r="16" spans="1:11" x14ac:dyDescent="0.2">
      <c r="A16" s="74">
        <v>8</v>
      </c>
      <c r="B16" s="33">
        <f t="shared" si="1"/>
        <v>2348741</v>
      </c>
      <c r="C16" s="33">
        <v>2351847</v>
      </c>
      <c r="D16" s="72">
        <f t="shared" si="0"/>
        <v>3106</v>
      </c>
      <c r="E16" s="44"/>
    </row>
    <row r="17" spans="1:5" x14ac:dyDescent="0.2">
      <c r="A17" s="187">
        <v>9</v>
      </c>
      <c r="B17" s="33">
        <f t="shared" si="1"/>
        <v>2351847</v>
      </c>
      <c r="C17" s="33">
        <v>2354855</v>
      </c>
      <c r="D17" s="72">
        <f t="shared" si="0"/>
        <v>3008</v>
      </c>
      <c r="E17" s="44"/>
    </row>
    <row r="18" spans="1:5" x14ac:dyDescent="0.2">
      <c r="A18" s="74">
        <v>10</v>
      </c>
      <c r="B18" s="33">
        <f t="shared" si="1"/>
        <v>2354855</v>
      </c>
      <c r="C18" s="33">
        <v>2357902</v>
      </c>
      <c r="D18" s="72">
        <f t="shared" si="0"/>
        <v>3047</v>
      </c>
      <c r="E18" s="44"/>
    </row>
    <row r="19" spans="1:5" x14ac:dyDescent="0.2">
      <c r="A19" s="187">
        <v>11</v>
      </c>
      <c r="B19" s="33">
        <f t="shared" si="1"/>
        <v>2357902</v>
      </c>
      <c r="C19" s="33">
        <v>2360917</v>
      </c>
      <c r="D19" s="72">
        <f t="shared" si="0"/>
        <v>3015</v>
      </c>
      <c r="E19" s="44"/>
    </row>
    <row r="20" spans="1:5" x14ac:dyDescent="0.2">
      <c r="A20" s="74">
        <v>12</v>
      </c>
      <c r="B20" s="33">
        <f t="shared" si="1"/>
        <v>2360917</v>
      </c>
      <c r="C20" s="33">
        <v>2363940</v>
      </c>
      <c r="D20" s="72">
        <f t="shared" si="0"/>
        <v>3023</v>
      </c>
      <c r="E20" s="44"/>
    </row>
    <row r="21" spans="1:5" x14ac:dyDescent="0.2">
      <c r="A21" s="187">
        <v>13</v>
      </c>
      <c r="B21" s="33">
        <f t="shared" si="1"/>
        <v>2363940</v>
      </c>
      <c r="C21" s="33">
        <v>2367161</v>
      </c>
      <c r="D21" s="72">
        <f t="shared" si="0"/>
        <v>3221</v>
      </c>
      <c r="E21" s="44"/>
    </row>
    <row r="22" spans="1:5" x14ac:dyDescent="0.2">
      <c r="A22" s="74">
        <v>14</v>
      </c>
      <c r="B22" s="33">
        <f t="shared" si="1"/>
        <v>2367161</v>
      </c>
      <c r="C22" s="33">
        <v>2370215</v>
      </c>
      <c r="D22" s="72">
        <f t="shared" si="0"/>
        <v>3054</v>
      </c>
      <c r="E22" s="44"/>
    </row>
    <row r="23" spans="1:5" x14ac:dyDescent="0.2">
      <c r="A23" s="187">
        <v>15</v>
      </c>
      <c r="B23" s="33">
        <f t="shared" si="1"/>
        <v>2370215</v>
      </c>
      <c r="C23" s="33">
        <v>2373309</v>
      </c>
      <c r="D23" s="72">
        <f t="shared" si="0"/>
        <v>3094</v>
      </c>
      <c r="E23" s="44"/>
    </row>
    <row r="24" spans="1:5" x14ac:dyDescent="0.2">
      <c r="A24" s="74">
        <v>16</v>
      </c>
      <c r="B24" s="33">
        <f t="shared" si="1"/>
        <v>2373309</v>
      </c>
      <c r="C24" s="33">
        <v>2376370</v>
      </c>
      <c r="D24" s="72">
        <f t="shared" si="0"/>
        <v>3061</v>
      </c>
    </row>
    <row r="25" spans="1:5" x14ac:dyDescent="0.2">
      <c r="A25" s="187">
        <v>17</v>
      </c>
      <c r="B25" s="33">
        <f t="shared" si="1"/>
        <v>2376370</v>
      </c>
      <c r="C25" s="33">
        <v>2379442</v>
      </c>
      <c r="D25" s="72">
        <f t="shared" si="0"/>
        <v>3072</v>
      </c>
    </row>
    <row r="26" spans="1:5" x14ac:dyDescent="0.2">
      <c r="A26" s="74">
        <v>18</v>
      </c>
      <c r="B26" s="33">
        <f t="shared" si="1"/>
        <v>2379442</v>
      </c>
      <c r="C26" s="33">
        <v>2382365</v>
      </c>
      <c r="D26" s="72">
        <f t="shared" si="0"/>
        <v>2923</v>
      </c>
    </row>
    <row r="27" spans="1:5" x14ac:dyDescent="0.2">
      <c r="A27" s="187">
        <v>19</v>
      </c>
      <c r="B27" s="33">
        <f t="shared" si="1"/>
        <v>2382365</v>
      </c>
      <c r="C27" s="33">
        <v>2385580</v>
      </c>
      <c r="D27" s="72">
        <f t="shared" si="0"/>
        <v>3215</v>
      </c>
    </row>
    <row r="28" spans="1:5" x14ac:dyDescent="0.2">
      <c r="A28" s="74">
        <v>20</v>
      </c>
      <c r="B28" s="33">
        <f t="shared" si="1"/>
        <v>2385580</v>
      </c>
      <c r="C28" s="33">
        <v>2388558</v>
      </c>
      <c r="D28" s="72">
        <f t="shared" si="0"/>
        <v>2978</v>
      </c>
      <c r="E28" s="44"/>
    </row>
    <row r="29" spans="1:5" x14ac:dyDescent="0.2">
      <c r="A29" s="187">
        <v>21</v>
      </c>
      <c r="B29" s="33">
        <f t="shared" si="1"/>
        <v>2388558</v>
      </c>
      <c r="C29" s="33"/>
      <c r="D29" s="72">
        <f t="shared" si="0"/>
        <v>-2388558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187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43"/>
      <c r="D32" s="72">
        <f t="shared" si="0"/>
        <v>0</v>
      </c>
      <c r="E32" s="44"/>
    </row>
    <row r="33" spans="1:5" x14ac:dyDescent="0.2">
      <c r="A33" s="187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187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187" t="s">
        <v>7</v>
      </c>
      <c r="B40" s="18"/>
      <c r="C40" s="18"/>
      <c r="D40" s="73">
        <f>SUM(D9:D39)</f>
        <v>-2329152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A7" zoomScale="85" zoomScaleNormal="85" workbookViewId="0">
      <pane xSplit="1" ySplit="2" topLeftCell="B9" activePane="bottomRight" state="frozen"/>
      <selection activeCell="A7" sqref="A7"/>
      <selection pane="topRight" activeCell="B7" sqref="B7"/>
      <selection pane="bottomLeft" activeCell="A9" sqref="A9"/>
      <selection pane="bottomRight" activeCell="BB29" sqref="BB29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308"/>
      <c r="D1" s="308"/>
    </row>
    <row r="2" spans="1:94" x14ac:dyDescent="0.2">
      <c r="C2" s="308"/>
      <c r="D2" s="308"/>
    </row>
    <row r="3" spans="1:94" x14ac:dyDescent="0.2">
      <c r="C3" s="317" t="s">
        <v>45</v>
      </c>
      <c r="D3" s="317"/>
      <c r="E3" s="317"/>
      <c r="F3" s="317"/>
    </row>
    <row r="4" spans="1:94" x14ac:dyDescent="0.2">
      <c r="C4" s="317"/>
      <c r="D4" s="317"/>
      <c r="E4" s="317"/>
      <c r="F4" s="317"/>
    </row>
    <row r="5" spans="1:94" s="1" customFormat="1" x14ac:dyDescent="0.2">
      <c r="A5" s="318">
        <v>43313</v>
      </c>
      <c r="B5" s="318"/>
      <c r="C5" s="317"/>
      <c r="D5" s="317"/>
      <c r="E5" s="317"/>
      <c r="F5" s="317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0"/>
      <c r="AU5" s="154"/>
      <c r="AX5" s="154"/>
      <c r="BA5" s="154"/>
    </row>
    <row r="6" spans="1:94" ht="13.5" thickBot="1" x14ac:dyDescent="0.25"/>
    <row r="7" spans="1:94" s="115" customFormat="1" ht="15.75" customHeight="1" x14ac:dyDescent="0.2">
      <c r="A7" s="116"/>
      <c r="B7" s="319" t="s">
        <v>46</v>
      </c>
      <c r="C7" s="319"/>
      <c r="D7" s="319"/>
      <c r="E7" s="320" t="s">
        <v>47</v>
      </c>
      <c r="F7" s="320"/>
      <c r="G7" s="320"/>
      <c r="H7" s="323" t="s">
        <v>48</v>
      </c>
      <c r="I7" s="323"/>
      <c r="J7" s="323"/>
      <c r="K7" s="321" t="s">
        <v>49</v>
      </c>
      <c r="L7" s="321"/>
      <c r="M7" s="322"/>
      <c r="N7" s="321" t="s">
        <v>50</v>
      </c>
      <c r="O7" s="321"/>
      <c r="P7" s="322"/>
      <c r="Q7" s="321" t="s">
        <v>51</v>
      </c>
      <c r="R7" s="321"/>
      <c r="S7" s="322"/>
      <c r="T7" s="321" t="s">
        <v>52</v>
      </c>
      <c r="U7" s="321"/>
      <c r="V7" s="322"/>
      <c r="W7" s="321" t="s">
        <v>105</v>
      </c>
      <c r="X7" s="321"/>
      <c r="Y7" s="322"/>
      <c r="Z7" s="321" t="s">
        <v>54</v>
      </c>
      <c r="AA7" s="321"/>
      <c r="AB7" s="322"/>
      <c r="AC7" s="321" t="s">
        <v>94</v>
      </c>
      <c r="AD7" s="321"/>
      <c r="AE7" s="322"/>
      <c r="AF7" s="321" t="s">
        <v>72</v>
      </c>
      <c r="AG7" s="321"/>
      <c r="AH7" s="322"/>
      <c r="AI7" s="321" t="s">
        <v>92</v>
      </c>
      <c r="AJ7" s="321"/>
      <c r="AK7" s="322"/>
      <c r="AL7" s="321" t="s">
        <v>71</v>
      </c>
      <c r="AM7" s="321"/>
      <c r="AN7" s="322"/>
      <c r="AO7" s="321" t="s">
        <v>93</v>
      </c>
      <c r="AP7" s="321"/>
      <c r="AQ7" s="322"/>
      <c r="AR7" s="326" t="s">
        <v>87</v>
      </c>
      <c r="AS7" s="327"/>
      <c r="AT7" s="328"/>
      <c r="AU7" s="326" t="s">
        <v>95</v>
      </c>
      <c r="AV7" s="327"/>
      <c r="AW7" s="328"/>
      <c r="AX7" s="326" t="s">
        <v>96</v>
      </c>
      <c r="AY7" s="327"/>
      <c r="AZ7" s="328"/>
      <c r="BA7" s="326" t="s">
        <v>97</v>
      </c>
      <c r="BB7" s="327"/>
      <c r="BC7" s="328"/>
      <c r="BD7" s="324" t="s">
        <v>88</v>
      </c>
      <c r="BE7" s="324"/>
      <c r="BF7" s="325"/>
      <c r="BG7" s="324" t="s">
        <v>73</v>
      </c>
      <c r="BH7" s="324"/>
      <c r="BI7" s="325"/>
      <c r="BJ7" s="324" t="s">
        <v>74</v>
      </c>
      <c r="BK7" s="324"/>
      <c r="BL7" s="325"/>
      <c r="BM7" s="324" t="s">
        <v>75</v>
      </c>
      <c r="BN7" s="324"/>
      <c r="BO7" s="325"/>
      <c r="BP7" s="324" t="s">
        <v>76</v>
      </c>
      <c r="BQ7" s="324"/>
      <c r="BR7" s="325"/>
      <c r="BS7" s="324" t="s">
        <v>90</v>
      </c>
      <c r="BT7" s="324"/>
      <c r="BU7" s="325"/>
      <c r="BV7" s="324" t="s">
        <v>106</v>
      </c>
      <c r="BW7" s="324"/>
      <c r="BX7" s="325"/>
      <c r="BY7" s="324" t="s">
        <v>107</v>
      </c>
      <c r="BZ7" s="324"/>
      <c r="CA7" s="325"/>
      <c r="CB7" s="324" t="s">
        <v>108</v>
      </c>
      <c r="CC7" s="324"/>
      <c r="CD7" s="325"/>
      <c r="CE7" s="324" t="s">
        <v>109</v>
      </c>
      <c r="CF7" s="324"/>
      <c r="CG7" s="325"/>
      <c r="CH7" s="324" t="s">
        <v>110</v>
      </c>
      <c r="CI7" s="324"/>
      <c r="CJ7" s="325"/>
      <c r="CK7" s="324" t="s">
        <v>111</v>
      </c>
      <c r="CL7" s="324"/>
      <c r="CM7" s="325"/>
      <c r="CN7" s="324" t="s">
        <v>112</v>
      </c>
      <c r="CO7" s="324"/>
      <c r="CP7" s="325"/>
    </row>
    <row r="8" spans="1:94" s="115" customFormat="1" ht="26.25" customHeight="1" thickBot="1" x14ac:dyDescent="0.25">
      <c r="A8" s="106" t="s">
        <v>5</v>
      </c>
      <c r="B8" s="107" t="s">
        <v>56</v>
      </c>
      <c r="C8" s="107" t="s">
        <v>57</v>
      </c>
      <c r="D8" s="108" t="s">
        <v>58</v>
      </c>
      <c r="E8" s="109" t="s">
        <v>56</v>
      </c>
      <c r="F8" s="109" t="s">
        <v>57</v>
      </c>
      <c r="G8" s="110" t="s">
        <v>58</v>
      </c>
      <c r="H8" s="111" t="s">
        <v>56</v>
      </c>
      <c r="I8" s="111" t="s">
        <v>57</v>
      </c>
      <c r="J8" s="112" t="s">
        <v>58</v>
      </c>
      <c r="K8" s="113" t="s">
        <v>56</v>
      </c>
      <c r="L8" s="113" t="s">
        <v>57</v>
      </c>
      <c r="M8" s="114" t="s">
        <v>58</v>
      </c>
      <c r="N8" s="113" t="s">
        <v>56</v>
      </c>
      <c r="O8" s="113" t="s">
        <v>57</v>
      </c>
      <c r="P8" s="114" t="s">
        <v>58</v>
      </c>
      <c r="Q8" s="113" t="s">
        <v>56</v>
      </c>
      <c r="R8" s="113" t="s">
        <v>57</v>
      </c>
      <c r="S8" s="114" t="s">
        <v>58</v>
      </c>
      <c r="T8" s="113" t="s">
        <v>56</v>
      </c>
      <c r="U8" s="113" t="s">
        <v>57</v>
      </c>
      <c r="V8" s="114" t="s">
        <v>58</v>
      </c>
      <c r="W8" s="113" t="s">
        <v>56</v>
      </c>
      <c r="X8" s="113" t="s">
        <v>57</v>
      </c>
      <c r="Y8" s="114" t="s">
        <v>58</v>
      </c>
      <c r="Z8" s="113" t="s">
        <v>56</v>
      </c>
      <c r="AA8" s="113" t="s">
        <v>57</v>
      </c>
      <c r="AB8" s="114" t="s">
        <v>58</v>
      </c>
      <c r="AC8" s="113" t="s">
        <v>56</v>
      </c>
      <c r="AD8" s="113" t="s">
        <v>57</v>
      </c>
      <c r="AE8" s="114" t="s">
        <v>58</v>
      </c>
      <c r="AF8" s="113" t="s">
        <v>56</v>
      </c>
      <c r="AG8" s="113" t="s">
        <v>57</v>
      </c>
      <c r="AH8" s="114" t="s">
        <v>58</v>
      </c>
      <c r="AI8" s="113" t="s">
        <v>56</v>
      </c>
      <c r="AJ8" s="113" t="s">
        <v>57</v>
      </c>
      <c r="AK8" s="114" t="s">
        <v>58</v>
      </c>
      <c r="AL8" s="113" t="s">
        <v>56</v>
      </c>
      <c r="AM8" s="113" t="s">
        <v>57</v>
      </c>
      <c r="AN8" s="114" t="s">
        <v>58</v>
      </c>
      <c r="AO8" s="113" t="s">
        <v>56</v>
      </c>
      <c r="AP8" s="113" t="s">
        <v>57</v>
      </c>
      <c r="AQ8" s="114" t="s">
        <v>58</v>
      </c>
      <c r="AR8" s="113" t="s">
        <v>56</v>
      </c>
      <c r="AS8" s="113" t="s">
        <v>57</v>
      </c>
      <c r="AT8" s="114" t="s">
        <v>58</v>
      </c>
      <c r="AU8" s="113" t="s">
        <v>56</v>
      </c>
      <c r="AV8" s="113" t="s">
        <v>57</v>
      </c>
      <c r="AW8" s="114" t="s">
        <v>58</v>
      </c>
      <c r="AX8" s="113" t="s">
        <v>56</v>
      </c>
      <c r="AY8" s="113" t="s">
        <v>57</v>
      </c>
      <c r="AZ8" s="114" t="s">
        <v>58</v>
      </c>
      <c r="BA8" s="113" t="s">
        <v>56</v>
      </c>
      <c r="BB8" s="113" t="s">
        <v>57</v>
      </c>
      <c r="BC8" s="114" t="s">
        <v>58</v>
      </c>
      <c r="BD8" s="137" t="s">
        <v>56</v>
      </c>
      <c r="BE8" s="137" t="s">
        <v>57</v>
      </c>
      <c r="BF8" s="137" t="s">
        <v>89</v>
      </c>
      <c r="BG8" s="137" t="s">
        <v>56</v>
      </c>
      <c r="BH8" s="137" t="s">
        <v>57</v>
      </c>
      <c r="BI8" s="138" t="s">
        <v>58</v>
      </c>
      <c r="BJ8" s="137" t="s">
        <v>56</v>
      </c>
      <c r="BK8" s="137" t="s">
        <v>57</v>
      </c>
      <c r="BL8" s="138" t="s">
        <v>58</v>
      </c>
      <c r="BM8" s="137" t="s">
        <v>56</v>
      </c>
      <c r="BN8" s="137" t="s">
        <v>57</v>
      </c>
      <c r="BO8" s="138" t="s">
        <v>58</v>
      </c>
      <c r="BP8" s="137" t="s">
        <v>56</v>
      </c>
      <c r="BQ8" s="137" t="s">
        <v>57</v>
      </c>
      <c r="BR8" s="138" t="s">
        <v>58</v>
      </c>
      <c r="BS8" s="144" t="s">
        <v>56</v>
      </c>
      <c r="BT8" s="137" t="s">
        <v>57</v>
      </c>
      <c r="BU8" s="138" t="s">
        <v>58</v>
      </c>
      <c r="BV8" s="144" t="s">
        <v>56</v>
      </c>
      <c r="BW8" s="137" t="s">
        <v>57</v>
      </c>
      <c r="BX8" s="138" t="s">
        <v>58</v>
      </c>
      <c r="BY8" s="144" t="s">
        <v>56</v>
      </c>
      <c r="BZ8" s="137" t="s">
        <v>57</v>
      </c>
      <c r="CA8" s="138" t="s">
        <v>58</v>
      </c>
      <c r="CB8" s="144" t="s">
        <v>56</v>
      </c>
      <c r="CC8" s="137" t="s">
        <v>57</v>
      </c>
      <c r="CD8" s="138" t="s">
        <v>58</v>
      </c>
      <c r="CE8" s="144" t="s">
        <v>56</v>
      </c>
      <c r="CF8" s="137" t="s">
        <v>57</v>
      </c>
      <c r="CG8" s="138" t="s">
        <v>58</v>
      </c>
      <c r="CH8" s="144" t="s">
        <v>56</v>
      </c>
      <c r="CI8" s="137" t="s">
        <v>57</v>
      </c>
      <c r="CJ8" s="138" t="s">
        <v>58</v>
      </c>
      <c r="CK8" s="144" t="s">
        <v>56</v>
      </c>
      <c r="CL8" s="137" t="s">
        <v>57</v>
      </c>
      <c r="CM8" s="138" t="s">
        <v>58</v>
      </c>
      <c r="CN8" s="144" t="s">
        <v>56</v>
      </c>
      <c r="CO8" s="137" t="s">
        <v>57</v>
      </c>
      <c r="CP8" s="138" t="s">
        <v>58</v>
      </c>
    </row>
    <row r="9" spans="1:94" s="3" customFormat="1" x14ac:dyDescent="0.2">
      <c r="A9" s="74">
        <v>1</v>
      </c>
      <c r="B9" s="75">
        <v>25196905</v>
      </c>
      <c r="C9" s="75">
        <v>25199953</v>
      </c>
      <c r="D9" s="76">
        <f t="shared" ref="D9:D39" si="0">C9-B9</f>
        <v>3048</v>
      </c>
      <c r="E9" s="168">
        <v>22118523</v>
      </c>
      <c r="F9" s="78">
        <v>22122813</v>
      </c>
      <c r="G9" s="77">
        <f>F9-E9</f>
        <v>4290</v>
      </c>
      <c r="H9" s="79">
        <v>84139908</v>
      </c>
      <c r="I9" s="79">
        <v>84153340</v>
      </c>
      <c r="J9" s="84">
        <f t="shared" ref="J9:J39" si="1">I9-H9</f>
        <v>13432</v>
      </c>
      <c r="K9" s="79">
        <v>1787800</v>
      </c>
      <c r="L9" s="80">
        <v>1789600</v>
      </c>
      <c r="M9" s="84">
        <f t="shared" ref="M9:M35" si="2">L9-K9</f>
        <v>1800</v>
      </c>
      <c r="N9" s="79">
        <v>2415996</v>
      </c>
      <c r="O9" s="79">
        <v>2418545</v>
      </c>
      <c r="P9" s="84">
        <f t="shared" ref="P9:P35" si="3">O9-N9</f>
        <v>2549</v>
      </c>
      <c r="Q9" s="84">
        <v>1459300</v>
      </c>
      <c r="R9" s="80">
        <v>1461200</v>
      </c>
      <c r="S9" s="84">
        <f t="shared" ref="S9:S35" si="4">R9-Q9</f>
        <v>1900</v>
      </c>
      <c r="T9" s="79">
        <v>678159</v>
      </c>
      <c r="U9" s="80">
        <v>678649</v>
      </c>
      <c r="V9" s="84">
        <f t="shared" ref="V9:V35" si="5">U9-T9</f>
        <v>490</v>
      </c>
      <c r="W9" s="79">
        <v>7022800</v>
      </c>
      <c r="X9" s="80">
        <v>7028700</v>
      </c>
      <c r="Y9" s="84">
        <f t="shared" ref="Y9:Y35" si="6">X9-W9</f>
        <v>5900</v>
      </c>
      <c r="Z9" s="79">
        <v>1555800</v>
      </c>
      <c r="AA9" s="80">
        <v>1558100</v>
      </c>
      <c r="AB9" s="84">
        <f>AA9-Z9</f>
        <v>2300</v>
      </c>
      <c r="AC9" s="79">
        <v>455505</v>
      </c>
      <c r="AD9" s="81">
        <v>455929</v>
      </c>
      <c r="AE9" s="84">
        <f>AD9-AC9</f>
        <v>424</v>
      </c>
      <c r="AF9" s="79">
        <v>323370</v>
      </c>
      <c r="AG9" s="81">
        <v>323760</v>
      </c>
      <c r="AH9" s="84">
        <f>AG9-AF9</f>
        <v>390</v>
      </c>
      <c r="AI9" s="79">
        <v>548330</v>
      </c>
      <c r="AJ9" s="81">
        <v>549310</v>
      </c>
      <c r="AK9" s="84">
        <f>AJ9-AI9</f>
        <v>980</v>
      </c>
      <c r="AL9" s="79">
        <v>1010000</v>
      </c>
      <c r="AM9" s="81">
        <v>1011400</v>
      </c>
      <c r="AN9" s="84">
        <f>AM9-AL9</f>
        <v>1400</v>
      </c>
      <c r="AO9" s="79">
        <v>642560</v>
      </c>
      <c r="AP9" s="81">
        <v>643470</v>
      </c>
      <c r="AQ9" s="84">
        <f>AP9-AO9</f>
        <v>910</v>
      </c>
      <c r="AR9" s="79">
        <v>498770</v>
      </c>
      <c r="AS9" s="81">
        <v>499770</v>
      </c>
      <c r="AT9" s="84">
        <f>AS9-AR9</f>
        <v>1000</v>
      </c>
      <c r="AU9" s="79">
        <v>445730</v>
      </c>
      <c r="AV9" s="81">
        <v>447150</v>
      </c>
      <c r="AW9" s="84">
        <f>AV9-AU9</f>
        <v>1420</v>
      </c>
      <c r="AX9" s="81">
        <v>349000</v>
      </c>
      <c r="AY9" s="81">
        <v>350110</v>
      </c>
      <c r="AZ9" s="84">
        <f>AY9-AX9</f>
        <v>1110</v>
      </c>
      <c r="BA9" s="79">
        <v>951600</v>
      </c>
      <c r="BB9" s="81">
        <v>954450</v>
      </c>
      <c r="BC9" s="84">
        <f>BB9-BA9</f>
        <v>2850</v>
      </c>
      <c r="BD9" s="84">
        <v>19362</v>
      </c>
      <c r="BE9" s="84">
        <v>19464</v>
      </c>
      <c r="BF9" s="84">
        <f>BE9-BD9</f>
        <v>102</v>
      </c>
      <c r="BG9" s="79">
        <v>15795</v>
      </c>
      <c r="BH9" s="81">
        <v>15885</v>
      </c>
      <c r="BI9" s="193">
        <f>BH9-BG9</f>
        <v>90</v>
      </c>
      <c r="BJ9" s="81">
        <v>14732</v>
      </c>
      <c r="BK9" s="81">
        <v>14803</v>
      </c>
      <c r="BL9" s="84">
        <f>BK9-BJ9</f>
        <v>71</v>
      </c>
      <c r="BM9" s="79">
        <v>23491</v>
      </c>
      <c r="BN9" s="81">
        <v>23578</v>
      </c>
      <c r="BO9" s="84">
        <f>BN9-BM9</f>
        <v>87</v>
      </c>
      <c r="BP9" s="79">
        <v>16426</v>
      </c>
      <c r="BQ9" s="81">
        <v>16504</v>
      </c>
      <c r="BR9" s="84">
        <f>BQ9-BP9</f>
        <v>78</v>
      </c>
      <c r="BS9" s="79">
        <v>17670</v>
      </c>
      <c r="BT9" s="81">
        <v>17722</v>
      </c>
      <c r="BU9" s="84">
        <f>BT9-BS9</f>
        <v>52</v>
      </c>
      <c r="BV9" s="79">
        <v>12155</v>
      </c>
      <c r="BW9" s="81">
        <v>12204</v>
      </c>
      <c r="BX9" s="84">
        <f>BW9-BV9</f>
        <v>49</v>
      </c>
      <c r="BY9" s="79">
        <v>31718</v>
      </c>
      <c r="BZ9" s="81">
        <v>31855</v>
      </c>
      <c r="CA9" s="84">
        <f>BZ9-BY9</f>
        <v>137</v>
      </c>
      <c r="CB9" s="79">
        <v>25360</v>
      </c>
      <c r="CC9" s="81">
        <v>25440</v>
      </c>
      <c r="CD9" s="84">
        <f>CC9-CB9</f>
        <v>80</v>
      </c>
      <c r="CE9" s="79">
        <v>74185</v>
      </c>
      <c r="CF9" s="81">
        <v>74432</v>
      </c>
      <c r="CG9" s="84">
        <f>CF9-CE9</f>
        <v>247</v>
      </c>
      <c r="CH9" s="79">
        <v>44428</v>
      </c>
      <c r="CI9" s="81">
        <v>44798</v>
      </c>
      <c r="CJ9" s="84">
        <f>CI9-CH9</f>
        <v>370</v>
      </c>
      <c r="CK9" s="79">
        <v>12241</v>
      </c>
      <c r="CL9" s="81">
        <v>12290</v>
      </c>
      <c r="CM9" s="84">
        <f>CL9-CK9</f>
        <v>49</v>
      </c>
      <c r="CN9" s="79">
        <v>43908</v>
      </c>
      <c r="CO9" s="81">
        <v>44123</v>
      </c>
      <c r="CP9" s="84">
        <f>CO9-CN9</f>
        <v>215</v>
      </c>
    </row>
    <row r="10" spans="1:94" s="3" customFormat="1" ht="13.5" customHeight="1" x14ac:dyDescent="0.2">
      <c r="A10" s="82">
        <v>2</v>
      </c>
      <c r="B10" s="75">
        <f>C9</f>
        <v>25199953</v>
      </c>
      <c r="C10" s="75">
        <v>25203251</v>
      </c>
      <c r="D10" s="76">
        <f t="shared" si="0"/>
        <v>3298</v>
      </c>
      <c r="E10" s="77">
        <f>F9</f>
        <v>22122813</v>
      </c>
      <c r="F10" s="77">
        <v>22128035</v>
      </c>
      <c r="G10" s="77">
        <f>F10-E10</f>
        <v>5222</v>
      </c>
      <c r="H10" s="79">
        <f>I9</f>
        <v>84153340</v>
      </c>
      <c r="I10" s="79">
        <v>84165868</v>
      </c>
      <c r="J10" s="84">
        <f t="shared" si="1"/>
        <v>12528</v>
      </c>
      <c r="K10" s="79">
        <f>L9</f>
        <v>1789600</v>
      </c>
      <c r="L10" s="80">
        <v>1791600</v>
      </c>
      <c r="M10" s="84">
        <f t="shared" si="2"/>
        <v>2000</v>
      </c>
      <c r="N10" s="79">
        <f>O9</f>
        <v>2418545</v>
      </c>
      <c r="O10" s="79">
        <v>2421250</v>
      </c>
      <c r="P10" s="84">
        <f t="shared" si="3"/>
        <v>2705</v>
      </c>
      <c r="Q10" s="79">
        <f>R9</f>
        <v>1461200</v>
      </c>
      <c r="R10" s="80">
        <v>1462500</v>
      </c>
      <c r="S10" s="84">
        <f t="shared" si="4"/>
        <v>1300</v>
      </c>
      <c r="T10" s="79">
        <f>U9</f>
        <v>678649</v>
      </c>
      <c r="U10" s="80">
        <v>679172</v>
      </c>
      <c r="V10" s="84">
        <f t="shared" si="5"/>
        <v>523</v>
      </c>
      <c r="W10" s="79">
        <f>X9</f>
        <v>7028700</v>
      </c>
      <c r="X10" s="80">
        <v>7035100</v>
      </c>
      <c r="Y10" s="84">
        <f t="shared" si="6"/>
        <v>6400</v>
      </c>
      <c r="Z10" s="79">
        <f>AA9</f>
        <v>1558100</v>
      </c>
      <c r="AA10" s="80">
        <v>1559900</v>
      </c>
      <c r="AB10" s="84">
        <f t="shared" ref="AB10:AB35" si="7">AA10-Z10</f>
        <v>1800</v>
      </c>
      <c r="AC10" s="79">
        <f t="shared" ref="AC10:AC39" si="8">AD9</f>
        <v>455929</v>
      </c>
      <c r="AD10" s="79">
        <v>456390</v>
      </c>
      <c r="AE10" s="84">
        <f t="shared" ref="AE10:AE39" si="9">AD10-AC10</f>
        <v>461</v>
      </c>
      <c r="AF10" s="79">
        <f t="shared" ref="AF10:AF39" si="10">AG9</f>
        <v>323760</v>
      </c>
      <c r="AG10" s="79">
        <v>324100</v>
      </c>
      <c r="AH10" s="84">
        <f t="shared" ref="AH10:AH39" si="11">AG10-AF10</f>
        <v>340</v>
      </c>
      <c r="AI10" s="79">
        <f t="shared" ref="AI10:AI39" si="12">AJ9</f>
        <v>549310</v>
      </c>
      <c r="AJ10" s="79">
        <v>550100</v>
      </c>
      <c r="AK10" s="84">
        <f t="shared" ref="AK10:AK39" si="13">AJ10-AI10</f>
        <v>790</v>
      </c>
      <c r="AL10" s="79">
        <f>AM9</f>
        <v>1011400</v>
      </c>
      <c r="AM10" s="79">
        <v>1012700</v>
      </c>
      <c r="AN10" s="84">
        <f t="shared" ref="AN10:AN39" si="14">AM10-AL10</f>
        <v>1300</v>
      </c>
      <c r="AO10" s="79">
        <f>AP9</f>
        <v>643470</v>
      </c>
      <c r="AP10" s="79">
        <v>644270</v>
      </c>
      <c r="AQ10" s="84">
        <f t="shared" ref="AQ10:AQ39" si="15">AP10-AO10</f>
        <v>800</v>
      </c>
      <c r="AR10" s="79">
        <f>AS9</f>
        <v>499770</v>
      </c>
      <c r="AS10" s="79">
        <v>500080</v>
      </c>
      <c r="AT10" s="84">
        <f t="shared" ref="AT10:AT39" si="16">AS10-AR10</f>
        <v>310</v>
      </c>
      <c r="AU10" s="79">
        <f>AV9</f>
        <v>447150</v>
      </c>
      <c r="AV10" s="79">
        <v>448730</v>
      </c>
      <c r="AW10" s="84">
        <f t="shared" ref="AW10:AW39" si="17">AV10-AU10</f>
        <v>1580</v>
      </c>
      <c r="AX10" s="79">
        <f>AY9</f>
        <v>350110</v>
      </c>
      <c r="AY10" s="79">
        <v>351260</v>
      </c>
      <c r="AZ10" s="84">
        <f t="shared" ref="AZ10:AZ39" si="18">AY10-AX10</f>
        <v>1150</v>
      </c>
      <c r="BA10" s="79">
        <f>BB9</f>
        <v>954450</v>
      </c>
      <c r="BB10" s="79">
        <v>957710</v>
      </c>
      <c r="BC10" s="84">
        <f t="shared" ref="BC10:BC39" si="19">BB10-BA10</f>
        <v>3260</v>
      </c>
      <c r="BD10" s="84">
        <f>BE9</f>
        <v>19464</v>
      </c>
      <c r="BE10" s="84">
        <v>19557</v>
      </c>
      <c r="BF10" s="84">
        <f>BE10-BD10</f>
        <v>93</v>
      </c>
      <c r="BG10" s="79">
        <f>BH9</f>
        <v>15885</v>
      </c>
      <c r="BH10" s="79">
        <v>15987</v>
      </c>
      <c r="BI10" s="193">
        <f t="shared" ref="BI10:BI39" si="20">BH10-BG10</f>
        <v>102</v>
      </c>
      <c r="BJ10" s="79">
        <f>BK9</f>
        <v>14803</v>
      </c>
      <c r="BK10" s="79">
        <v>14885</v>
      </c>
      <c r="BL10" s="84">
        <f t="shared" ref="BL10:BL39" si="21">BK10-BJ10</f>
        <v>82</v>
      </c>
      <c r="BM10" s="79">
        <f>BN9</f>
        <v>23578</v>
      </c>
      <c r="BN10" s="79">
        <v>23689</v>
      </c>
      <c r="BO10" s="84">
        <f t="shared" ref="BO10:BO39" si="22">BN10-BM10</f>
        <v>111</v>
      </c>
      <c r="BP10" s="79">
        <f>BQ9</f>
        <v>16504</v>
      </c>
      <c r="BQ10" s="79">
        <v>16598</v>
      </c>
      <c r="BR10" s="84">
        <f t="shared" ref="BR10:BR39" si="23">BQ10-BP10</f>
        <v>94</v>
      </c>
      <c r="BS10" s="79">
        <f>BT9</f>
        <v>17722</v>
      </c>
      <c r="BT10" s="79">
        <v>17792</v>
      </c>
      <c r="BU10" s="84">
        <f t="shared" ref="BU10:BU39" si="24">BT10-BS10</f>
        <v>70</v>
      </c>
      <c r="BV10" s="79">
        <f>BW9</f>
        <v>12204</v>
      </c>
      <c r="BW10" s="79">
        <v>12257</v>
      </c>
      <c r="BX10" s="84">
        <f t="shared" ref="BX10:BX39" si="25">BW10-BV10</f>
        <v>53</v>
      </c>
      <c r="BY10" s="79">
        <f>BZ9</f>
        <v>31855</v>
      </c>
      <c r="BZ10" s="79">
        <v>31986</v>
      </c>
      <c r="CA10" s="84">
        <f t="shared" ref="CA10:CA39" si="26">BZ10-BY10</f>
        <v>131</v>
      </c>
      <c r="CB10" s="79">
        <f>CC9</f>
        <v>25440</v>
      </c>
      <c r="CC10" s="79">
        <v>25520</v>
      </c>
      <c r="CD10" s="84">
        <f t="shared" ref="CD10:CD39" si="27">CC10-CB10</f>
        <v>80</v>
      </c>
      <c r="CE10" s="79">
        <f>CF9</f>
        <v>74432</v>
      </c>
      <c r="CF10" s="79">
        <v>74710</v>
      </c>
      <c r="CG10" s="84">
        <f t="shared" ref="CG10:CG39" si="28">CF10-CE10</f>
        <v>278</v>
      </c>
      <c r="CH10" s="79">
        <f>CI9</f>
        <v>44798</v>
      </c>
      <c r="CI10" s="79">
        <v>45172</v>
      </c>
      <c r="CJ10" s="84">
        <f t="shared" ref="CJ10:CJ39" si="29">CI10-CH10</f>
        <v>374</v>
      </c>
      <c r="CK10" s="79">
        <f>CL9</f>
        <v>12290</v>
      </c>
      <c r="CL10" s="79">
        <v>12337</v>
      </c>
      <c r="CM10" s="84">
        <f t="shared" ref="CM10:CM39" si="30">CL10-CK10</f>
        <v>47</v>
      </c>
      <c r="CN10" s="79">
        <f>CO9</f>
        <v>44123</v>
      </c>
      <c r="CO10" s="79">
        <v>44328</v>
      </c>
      <c r="CP10" s="84">
        <f t="shared" ref="CP10:CP39" si="31">CO10-CN10</f>
        <v>205</v>
      </c>
    </row>
    <row r="11" spans="1:94" s="3" customFormat="1" ht="13.5" customHeight="1" x14ac:dyDescent="0.2">
      <c r="A11" s="82">
        <v>3</v>
      </c>
      <c r="B11" s="75">
        <f t="shared" ref="B11:B39" si="32">C10</f>
        <v>25203251</v>
      </c>
      <c r="C11" s="75">
        <v>25206588</v>
      </c>
      <c r="D11" s="76">
        <f t="shared" si="0"/>
        <v>3337</v>
      </c>
      <c r="E11" s="77">
        <f>F10</f>
        <v>22128035</v>
      </c>
      <c r="F11" s="77">
        <v>22133188</v>
      </c>
      <c r="G11" s="77">
        <f t="shared" ref="G11:G35" si="33">F11-E11</f>
        <v>5153</v>
      </c>
      <c r="H11" s="79">
        <f t="shared" ref="H11:H39" si="34">I10</f>
        <v>84165868</v>
      </c>
      <c r="I11" s="79">
        <v>84179181</v>
      </c>
      <c r="J11" s="84">
        <f t="shared" si="1"/>
        <v>13313</v>
      </c>
      <c r="K11" s="79">
        <f>L10</f>
        <v>1791600</v>
      </c>
      <c r="L11" s="80">
        <v>1793600</v>
      </c>
      <c r="M11" s="84">
        <f t="shared" si="2"/>
        <v>2000</v>
      </c>
      <c r="N11" s="79">
        <f>O10</f>
        <v>2421250</v>
      </c>
      <c r="O11" s="79">
        <v>2424028</v>
      </c>
      <c r="P11" s="84">
        <f t="shared" si="3"/>
        <v>2778</v>
      </c>
      <c r="Q11" s="79">
        <f t="shared" ref="Q11:Q39" si="35">R10</f>
        <v>1462500</v>
      </c>
      <c r="R11" s="79">
        <v>1463900</v>
      </c>
      <c r="S11" s="84">
        <f t="shared" si="4"/>
        <v>1400</v>
      </c>
      <c r="T11" s="79">
        <f>U10</f>
        <v>679172</v>
      </c>
      <c r="U11" s="80">
        <v>679659</v>
      </c>
      <c r="V11" s="84">
        <f t="shared" si="5"/>
        <v>487</v>
      </c>
      <c r="W11" s="79">
        <f>X10</f>
        <v>7035100</v>
      </c>
      <c r="X11" s="80">
        <v>7041400</v>
      </c>
      <c r="Y11" s="84">
        <f t="shared" si="6"/>
        <v>6300</v>
      </c>
      <c r="Z11" s="79">
        <f>AA10</f>
        <v>1559900</v>
      </c>
      <c r="AA11" s="80">
        <v>1561600</v>
      </c>
      <c r="AB11" s="84">
        <f t="shared" si="7"/>
        <v>1700</v>
      </c>
      <c r="AC11" s="79">
        <f t="shared" si="8"/>
        <v>456390</v>
      </c>
      <c r="AD11" s="80">
        <v>456914</v>
      </c>
      <c r="AE11" s="84">
        <f t="shared" si="9"/>
        <v>524</v>
      </c>
      <c r="AF11" s="79">
        <f t="shared" si="10"/>
        <v>324100</v>
      </c>
      <c r="AG11" s="80">
        <v>324500</v>
      </c>
      <c r="AH11" s="84">
        <f t="shared" si="11"/>
        <v>400</v>
      </c>
      <c r="AI11" s="79">
        <f t="shared" si="12"/>
        <v>550100</v>
      </c>
      <c r="AJ11" s="80">
        <v>550910</v>
      </c>
      <c r="AK11" s="84">
        <f t="shared" si="13"/>
        <v>810</v>
      </c>
      <c r="AL11" s="79">
        <f t="shared" ref="AL11:AL39" si="36">AM10</f>
        <v>1012700</v>
      </c>
      <c r="AM11" s="80">
        <v>1014100</v>
      </c>
      <c r="AN11" s="84">
        <f t="shared" si="14"/>
        <v>1400</v>
      </c>
      <c r="AO11" s="79">
        <f t="shared" ref="AO11:AO39" si="37">AP10</f>
        <v>644270</v>
      </c>
      <c r="AP11" s="80">
        <v>645120</v>
      </c>
      <c r="AQ11" s="84">
        <f t="shared" si="15"/>
        <v>850</v>
      </c>
      <c r="AR11" s="79">
        <f t="shared" ref="AR11:AR39" si="38">AS10</f>
        <v>500080</v>
      </c>
      <c r="AS11" s="79">
        <v>501880</v>
      </c>
      <c r="AT11" s="84">
        <f t="shared" si="16"/>
        <v>1800</v>
      </c>
      <c r="AU11" s="79">
        <f t="shared" ref="AU11:AU39" si="39">AV10</f>
        <v>448730</v>
      </c>
      <c r="AV11" s="79">
        <v>450190</v>
      </c>
      <c r="AW11" s="84">
        <f t="shared" si="17"/>
        <v>1460</v>
      </c>
      <c r="AX11" s="79">
        <f t="shared" ref="AX11:AX39" si="40">AY10</f>
        <v>351260</v>
      </c>
      <c r="AY11" s="79">
        <v>352420</v>
      </c>
      <c r="AZ11" s="84">
        <f t="shared" si="18"/>
        <v>1160</v>
      </c>
      <c r="BA11" s="79">
        <f t="shared" ref="BA11:BA39" si="41">BB10</f>
        <v>957710</v>
      </c>
      <c r="BB11" s="79">
        <v>961380</v>
      </c>
      <c r="BC11" s="84">
        <f t="shared" si="19"/>
        <v>3670</v>
      </c>
      <c r="BD11" s="84">
        <f t="shared" ref="BD11:BD39" si="42">BE10</f>
        <v>19557</v>
      </c>
      <c r="BE11" s="84">
        <v>19730</v>
      </c>
      <c r="BF11" s="84">
        <f t="shared" ref="BF11:BF39" si="43">BE11-BD11</f>
        <v>173</v>
      </c>
      <c r="BG11" s="79">
        <f t="shared" ref="BG11:BG39" si="44">BH10</f>
        <v>15987</v>
      </c>
      <c r="BH11" s="79">
        <v>16097</v>
      </c>
      <c r="BI11" s="193">
        <f t="shared" si="20"/>
        <v>110</v>
      </c>
      <c r="BJ11" s="79">
        <f t="shared" ref="BJ11:BJ39" si="45">BK10</f>
        <v>14885</v>
      </c>
      <c r="BK11" s="79">
        <v>14961</v>
      </c>
      <c r="BL11" s="84">
        <f t="shared" si="21"/>
        <v>76</v>
      </c>
      <c r="BM11" s="79">
        <f t="shared" ref="BM11:BM35" si="46">BN10</f>
        <v>23689</v>
      </c>
      <c r="BN11" s="79">
        <v>23801</v>
      </c>
      <c r="BO11" s="84">
        <f t="shared" si="22"/>
        <v>112</v>
      </c>
      <c r="BP11" s="79">
        <f t="shared" ref="BP11:BP39" si="47">BQ10</f>
        <v>16598</v>
      </c>
      <c r="BQ11" s="79">
        <v>16687</v>
      </c>
      <c r="BR11" s="84">
        <f t="shared" si="23"/>
        <v>89</v>
      </c>
      <c r="BS11" s="79">
        <f t="shared" ref="BS11:BS39" si="48">BT10</f>
        <v>17792</v>
      </c>
      <c r="BT11" s="80">
        <v>17858</v>
      </c>
      <c r="BU11" s="84">
        <f t="shared" si="24"/>
        <v>66</v>
      </c>
      <c r="BV11" s="79">
        <f t="shared" ref="BV11:BV39" si="49">BW10</f>
        <v>12257</v>
      </c>
      <c r="BW11" s="80">
        <v>12309</v>
      </c>
      <c r="BX11" s="84">
        <f t="shared" si="25"/>
        <v>52</v>
      </c>
      <c r="BY11" s="79">
        <f t="shared" ref="BY11:BY39" si="50">BZ10</f>
        <v>31986</v>
      </c>
      <c r="BZ11" s="80">
        <v>32106</v>
      </c>
      <c r="CA11" s="84">
        <f t="shared" si="26"/>
        <v>120</v>
      </c>
      <c r="CB11" s="79">
        <f t="shared" ref="CB11:CB39" si="51">CC10</f>
        <v>25520</v>
      </c>
      <c r="CC11" s="80">
        <v>25595</v>
      </c>
      <c r="CD11" s="84">
        <f t="shared" si="27"/>
        <v>75</v>
      </c>
      <c r="CE11" s="79">
        <f t="shared" ref="CE11:CE39" si="52">CF10</f>
        <v>74710</v>
      </c>
      <c r="CF11" s="80">
        <v>74973</v>
      </c>
      <c r="CG11" s="84">
        <f t="shared" si="28"/>
        <v>263</v>
      </c>
      <c r="CH11" s="79">
        <f t="shared" ref="CH11:CH39" si="53">CI10</f>
        <v>45172</v>
      </c>
      <c r="CI11" s="80">
        <v>45530</v>
      </c>
      <c r="CJ11" s="84">
        <f t="shared" si="29"/>
        <v>358</v>
      </c>
      <c r="CK11" s="79">
        <f t="shared" ref="CK11:CK39" si="54">CL10</f>
        <v>12337</v>
      </c>
      <c r="CL11" s="80">
        <v>12389</v>
      </c>
      <c r="CM11" s="84">
        <f t="shared" si="30"/>
        <v>52</v>
      </c>
      <c r="CN11" s="79">
        <f t="shared" ref="CN11:CN39" si="55">CO10</f>
        <v>44328</v>
      </c>
      <c r="CO11" s="80">
        <v>44509</v>
      </c>
      <c r="CP11" s="84">
        <f t="shared" si="31"/>
        <v>181</v>
      </c>
    </row>
    <row r="12" spans="1:94" s="3" customFormat="1" ht="13.5" customHeight="1" x14ac:dyDescent="0.2">
      <c r="A12" s="82">
        <v>4</v>
      </c>
      <c r="B12" s="75">
        <f t="shared" si="32"/>
        <v>25206588</v>
      </c>
      <c r="C12" s="75">
        <v>25210076</v>
      </c>
      <c r="D12" s="76">
        <f t="shared" si="0"/>
        <v>3488</v>
      </c>
      <c r="E12" s="77">
        <f>F11</f>
        <v>22133188</v>
      </c>
      <c r="F12" s="77">
        <v>22138559</v>
      </c>
      <c r="G12" s="77">
        <f t="shared" si="33"/>
        <v>5371</v>
      </c>
      <c r="H12" s="79">
        <f t="shared" si="34"/>
        <v>84179181</v>
      </c>
      <c r="I12" s="79">
        <v>84192766</v>
      </c>
      <c r="J12" s="84">
        <f t="shared" si="1"/>
        <v>13585</v>
      </c>
      <c r="K12" s="79">
        <f>L11</f>
        <v>1793600</v>
      </c>
      <c r="L12" s="80">
        <v>1795700</v>
      </c>
      <c r="M12" s="84">
        <f t="shared" si="2"/>
        <v>2100</v>
      </c>
      <c r="N12" s="79">
        <f>O11</f>
        <v>2424028</v>
      </c>
      <c r="O12" s="79">
        <v>2426907</v>
      </c>
      <c r="P12" s="84">
        <f t="shared" si="3"/>
        <v>2879</v>
      </c>
      <c r="Q12" s="79">
        <f t="shared" si="35"/>
        <v>1463900</v>
      </c>
      <c r="R12" s="79">
        <v>1465700</v>
      </c>
      <c r="S12" s="84">
        <f t="shared" si="4"/>
        <v>1800</v>
      </c>
      <c r="T12" s="79">
        <f>U11</f>
        <v>679659</v>
      </c>
      <c r="U12" s="80">
        <v>680161</v>
      </c>
      <c r="V12" s="84">
        <f t="shared" si="5"/>
        <v>502</v>
      </c>
      <c r="W12" s="79">
        <f>X11</f>
        <v>7041400</v>
      </c>
      <c r="X12" s="80">
        <v>7047800</v>
      </c>
      <c r="Y12" s="84">
        <f t="shared" si="6"/>
        <v>6400</v>
      </c>
      <c r="Z12" s="79">
        <f>AA11</f>
        <v>1561600</v>
      </c>
      <c r="AA12" s="80">
        <v>1563300</v>
      </c>
      <c r="AB12" s="84">
        <f t="shared" si="7"/>
        <v>1700</v>
      </c>
      <c r="AC12" s="79">
        <f t="shared" si="8"/>
        <v>456914</v>
      </c>
      <c r="AD12" s="80">
        <v>457396</v>
      </c>
      <c r="AE12" s="84">
        <f t="shared" si="9"/>
        <v>482</v>
      </c>
      <c r="AF12" s="79">
        <f t="shared" si="10"/>
        <v>324500</v>
      </c>
      <c r="AG12" s="80">
        <v>324870</v>
      </c>
      <c r="AH12" s="84">
        <f t="shared" si="11"/>
        <v>370</v>
      </c>
      <c r="AI12" s="79">
        <f t="shared" si="12"/>
        <v>550910</v>
      </c>
      <c r="AJ12" s="80">
        <v>551710</v>
      </c>
      <c r="AK12" s="84">
        <f t="shared" si="13"/>
        <v>800</v>
      </c>
      <c r="AL12" s="79">
        <f t="shared" si="36"/>
        <v>1014100</v>
      </c>
      <c r="AM12" s="80">
        <v>1015400</v>
      </c>
      <c r="AN12" s="84">
        <f t="shared" si="14"/>
        <v>1300</v>
      </c>
      <c r="AO12" s="79">
        <f t="shared" si="37"/>
        <v>645120</v>
      </c>
      <c r="AP12" s="80">
        <v>645930</v>
      </c>
      <c r="AQ12" s="84">
        <f t="shared" si="15"/>
        <v>810</v>
      </c>
      <c r="AR12" s="79">
        <f t="shared" si="38"/>
        <v>501880</v>
      </c>
      <c r="AS12" s="79">
        <v>503690</v>
      </c>
      <c r="AT12" s="84">
        <f t="shared" si="16"/>
        <v>1810</v>
      </c>
      <c r="AU12" s="79">
        <f t="shared" si="39"/>
        <v>450190</v>
      </c>
      <c r="AV12" s="79">
        <v>451630</v>
      </c>
      <c r="AW12" s="84">
        <f t="shared" si="17"/>
        <v>1440</v>
      </c>
      <c r="AX12" s="79">
        <f t="shared" si="40"/>
        <v>352420</v>
      </c>
      <c r="AY12" s="79">
        <v>353620</v>
      </c>
      <c r="AZ12" s="84">
        <f t="shared" si="18"/>
        <v>1200</v>
      </c>
      <c r="BA12" s="79">
        <f t="shared" si="41"/>
        <v>961380</v>
      </c>
      <c r="BB12" s="79">
        <v>964860</v>
      </c>
      <c r="BC12" s="84">
        <f t="shared" si="19"/>
        <v>3480</v>
      </c>
      <c r="BD12" s="84">
        <f t="shared" si="42"/>
        <v>19730</v>
      </c>
      <c r="BE12" s="84">
        <v>19882</v>
      </c>
      <c r="BF12" s="84">
        <f t="shared" si="43"/>
        <v>152</v>
      </c>
      <c r="BG12" s="79">
        <f t="shared" si="44"/>
        <v>16097</v>
      </c>
      <c r="BH12" s="79">
        <v>16190</v>
      </c>
      <c r="BI12" s="193">
        <f t="shared" si="20"/>
        <v>93</v>
      </c>
      <c r="BJ12" s="79">
        <f t="shared" si="45"/>
        <v>14961</v>
      </c>
      <c r="BK12" s="79">
        <v>15031</v>
      </c>
      <c r="BL12" s="84">
        <f t="shared" si="21"/>
        <v>70</v>
      </c>
      <c r="BM12" s="79">
        <f t="shared" si="46"/>
        <v>23801</v>
      </c>
      <c r="BN12" s="79">
        <v>23914</v>
      </c>
      <c r="BO12" s="84">
        <f t="shared" si="22"/>
        <v>113</v>
      </c>
      <c r="BP12" s="79">
        <f t="shared" si="47"/>
        <v>16687</v>
      </c>
      <c r="BQ12" s="79">
        <v>16780</v>
      </c>
      <c r="BR12" s="84">
        <f t="shared" si="23"/>
        <v>93</v>
      </c>
      <c r="BS12" s="79">
        <f t="shared" si="48"/>
        <v>17858</v>
      </c>
      <c r="BT12" s="80">
        <v>17921</v>
      </c>
      <c r="BU12" s="84">
        <f t="shared" si="24"/>
        <v>63</v>
      </c>
      <c r="BV12" s="79">
        <f t="shared" si="49"/>
        <v>12309</v>
      </c>
      <c r="BW12" s="80">
        <v>12367</v>
      </c>
      <c r="BX12" s="84">
        <f t="shared" si="25"/>
        <v>58</v>
      </c>
      <c r="BY12" s="79">
        <f t="shared" si="50"/>
        <v>32106</v>
      </c>
      <c r="BZ12" s="80">
        <v>32230</v>
      </c>
      <c r="CA12" s="84">
        <f t="shared" si="26"/>
        <v>124</v>
      </c>
      <c r="CB12" s="79">
        <f t="shared" si="51"/>
        <v>25595</v>
      </c>
      <c r="CC12" s="80">
        <v>25670</v>
      </c>
      <c r="CD12" s="84">
        <f t="shared" si="27"/>
        <v>75</v>
      </c>
      <c r="CE12" s="79">
        <f t="shared" si="52"/>
        <v>74973</v>
      </c>
      <c r="CF12" s="80">
        <v>75220</v>
      </c>
      <c r="CG12" s="84">
        <f t="shared" si="28"/>
        <v>247</v>
      </c>
      <c r="CH12" s="79">
        <f t="shared" si="53"/>
        <v>45530</v>
      </c>
      <c r="CI12" s="80">
        <v>45918</v>
      </c>
      <c r="CJ12" s="84">
        <f t="shared" si="29"/>
        <v>388</v>
      </c>
      <c r="CK12" s="79">
        <f t="shared" si="54"/>
        <v>12389</v>
      </c>
      <c r="CL12" s="80">
        <v>12438</v>
      </c>
      <c r="CM12" s="84">
        <f t="shared" si="30"/>
        <v>49</v>
      </c>
      <c r="CN12" s="79">
        <f t="shared" si="55"/>
        <v>44509</v>
      </c>
      <c r="CO12" s="80">
        <v>44747</v>
      </c>
      <c r="CP12" s="84">
        <f t="shared" si="31"/>
        <v>238</v>
      </c>
    </row>
    <row r="13" spans="1:94" s="3" customFormat="1" ht="13.5" customHeight="1" x14ac:dyDescent="0.2">
      <c r="A13" s="93">
        <v>5</v>
      </c>
      <c r="B13" s="75">
        <f t="shared" si="32"/>
        <v>25210076</v>
      </c>
      <c r="C13" s="75">
        <v>25213489</v>
      </c>
      <c r="D13" s="76">
        <f t="shared" si="0"/>
        <v>3413</v>
      </c>
      <c r="E13" s="77">
        <f t="shared" ref="E13:E36" si="56">F12</f>
        <v>22138559</v>
      </c>
      <c r="F13" s="77">
        <v>22143241</v>
      </c>
      <c r="G13" s="77">
        <f t="shared" si="33"/>
        <v>4682</v>
      </c>
      <c r="H13" s="79">
        <f t="shared" si="34"/>
        <v>84192766</v>
      </c>
      <c r="I13" s="79">
        <v>84205643</v>
      </c>
      <c r="J13" s="84">
        <f t="shared" si="1"/>
        <v>12877</v>
      </c>
      <c r="K13" s="79">
        <f t="shared" ref="K13:K39" si="57">L12</f>
        <v>1795700</v>
      </c>
      <c r="L13" s="79">
        <v>1797700</v>
      </c>
      <c r="M13" s="84">
        <f t="shared" si="2"/>
        <v>2000</v>
      </c>
      <c r="N13" s="79">
        <f t="shared" ref="N13:N24" si="58">O12</f>
        <v>2426907</v>
      </c>
      <c r="O13" s="79">
        <v>2429684</v>
      </c>
      <c r="P13" s="84">
        <f t="shared" si="3"/>
        <v>2777</v>
      </c>
      <c r="Q13" s="79">
        <f t="shared" si="35"/>
        <v>1465700</v>
      </c>
      <c r="R13" s="79">
        <v>1467300</v>
      </c>
      <c r="S13" s="84">
        <f t="shared" si="4"/>
        <v>1600</v>
      </c>
      <c r="T13" s="79">
        <f t="shared" ref="T13:T24" si="59">U12</f>
        <v>680161</v>
      </c>
      <c r="U13" s="79">
        <v>680656</v>
      </c>
      <c r="V13" s="84">
        <f t="shared" si="5"/>
        <v>495</v>
      </c>
      <c r="W13" s="79">
        <f t="shared" ref="W13:W24" si="60">X12</f>
        <v>7047800</v>
      </c>
      <c r="X13" s="79">
        <v>7053800</v>
      </c>
      <c r="Y13" s="84">
        <f t="shared" si="6"/>
        <v>6000</v>
      </c>
      <c r="Z13" s="79">
        <f t="shared" ref="Z13:Z24" si="61">AA12</f>
        <v>1563300</v>
      </c>
      <c r="AA13" s="79">
        <v>1565000</v>
      </c>
      <c r="AB13" s="84">
        <f t="shared" si="7"/>
        <v>1700</v>
      </c>
      <c r="AC13" s="79">
        <f t="shared" si="8"/>
        <v>457396</v>
      </c>
      <c r="AD13" s="80">
        <v>457833</v>
      </c>
      <c r="AE13" s="84">
        <f t="shared" si="9"/>
        <v>437</v>
      </c>
      <c r="AF13" s="79">
        <f t="shared" si="10"/>
        <v>324870</v>
      </c>
      <c r="AG13" s="80">
        <v>325230</v>
      </c>
      <c r="AH13" s="84">
        <f t="shared" si="11"/>
        <v>360</v>
      </c>
      <c r="AI13" s="79">
        <f t="shared" si="12"/>
        <v>551710</v>
      </c>
      <c r="AJ13" s="80">
        <v>552470</v>
      </c>
      <c r="AK13" s="84">
        <f t="shared" si="13"/>
        <v>760</v>
      </c>
      <c r="AL13" s="79">
        <f t="shared" si="36"/>
        <v>1015400</v>
      </c>
      <c r="AM13" s="80">
        <v>1016700</v>
      </c>
      <c r="AN13" s="84">
        <f t="shared" si="14"/>
        <v>1300</v>
      </c>
      <c r="AO13" s="79">
        <f t="shared" si="37"/>
        <v>645930</v>
      </c>
      <c r="AP13" s="80">
        <v>646750</v>
      </c>
      <c r="AQ13" s="84">
        <f t="shared" si="15"/>
        <v>820</v>
      </c>
      <c r="AR13" s="79">
        <f t="shared" si="38"/>
        <v>503690</v>
      </c>
      <c r="AS13" s="79">
        <v>505190</v>
      </c>
      <c r="AT13" s="84">
        <f t="shared" si="16"/>
        <v>1500</v>
      </c>
      <c r="AU13" s="79">
        <f t="shared" si="39"/>
        <v>451630</v>
      </c>
      <c r="AV13" s="79">
        <v>453050</v>
      </c>
      <c r="AW13" s="84">
        <f t="shared" si="17"/>
        <v>1420</v>
      </c>
      <c r="AX13" s="79">
        <f t="shared" si="40"/>
        <v>353620</v>
      </c>
      <c r="AY13" s="79">
        <v>354790</v>
      </c>
      <c r="AZ13" s="84">
        <f t="shared" si="18"/>
        <v>1170</v>
      </c>
      <c r="BA13" s="79">
        <f t="shared" si="41"/>
        <v>964860</v>
      </c>
      <c r="BB13" s="79">
        <v>968580</v>
      </c>
      <c r="BC13" s="84">
        <f t="shared" si="19"/>
        <v>3720</v>
      </c>
      <c r="BD13" s="84">
        <f t="shared" si="42"/>
        <v>19882</v>
      </c>
      <c r="BE13" s="84">
        <v>20015</v>
      </c>
      <c r="BF13" s="84">
        <f t="shared" si="43"/>
        <v>133</v>
      </c>
      <c r="BG13" s="79">
        <f t="shared" si="44"/>
        <v>16190</v>
      </c>
      <c r="BH13" s="79">
        <v>16278</v>
      </c>
      <c r="BI13" s="193">
        <f t="shared" si="20"/>
        <v>88</v>
      </c>
      <c r="BJ13" s="79">
        <f t="shared" si="45"/>
        <v>15031</v>
      </c>
      <c r="BK13" s="79">
        <v>15099</v>
      </c>
      <c r="BL13" s="84">
        <f t="shared" si="21"/>
        <v>68</v>
      </c>
      <c r="BM13" s="79">
        <f t="shared" si="46"/>
        <v>23914</v>
      </c>
      <c r="BN13" s="79">
        <v>24012</v>
      </c>
      <c r="BO13" s="84">
        <f t="shared" si="22"/>
        <v>98</v>
      </c>
      <c r="BP13" s="79">
        <f t="shared" si="47"/>
        <v>16780</v>
      </c>
      <c r="BQ13" s="79">
        <v>16881</v>
      </c>
      <c r="BR13" s="84">
        <f t="shared" si="23"/>
        <v>101</v>
      </c>
      <c r="BS13" s="79">
        <f t="shared" si="48"/>
        <v>17921</v>
      </c>
      <c r="BT13" s="80">
        <v>17982</v>
      </c>
      <c r="BU13" s="84">
        <f t="shared" si="24"/>
        <v>61</v>
      </c>
      <c r="BV13" s="79">
        <f t="shared" si="49"/>
        <v>12367</v>
      </c>
      <c r="BW13" s="80">
        <v>12419</v>
      </c>
      <c r="BX13" s="84">
        <f t="shared" si="25"/>
        <v>52</v>
      </c>
      <c r="BY13" s="79">
        <f t="shared" si="50"/>
        <v>32230</v>
      </c>
      <c r="BZ13" s="80">
        <v>32377</v>
      </c>
      <c r="CA13" s="84">
        <f t="shared" si="26"/>
        <v>147</v>
      </c>
      <c r="CB13" s="79">
        <f t="shared" si="51"/>
        <v>25670</v>
      </c>
      <c r="CC13" s="80">
        <v>25750</v>
      </c>
      <c r="CD13" s="84">
        <f t="shared" si="27"/>
        <v>80</v>
      </c>
      <c r="CE13" s="79">
        <f t="shared" si="52"/>
        <v>75220</v>
      </c>
      <c r="CF13" s="80">
        <v>75477</v>
      </c>
      <c r="CG13" s="84">
        <f t="shared" si="28"/>
        <v>257</v>
      </c>
      <c r="CH13" s="79">
        <f t="shared" si="53"/>
        <v>45918</v>
      </c>
      <c r="CI13" s="80">
        <v>46290</v>
      </c>
      <c r="CJ13" s="84">
        <f t="shared" si="29"/>
        <v>372</v>
      </c>
      <c r="CK13" s="79">
        <f t="shared" si="54"/>
        <v>12438</v>
      </c>
      <c r="CL13" s="80">
        <v>12520</v>
      </c>
      <c r="CM13" s="84">
        <f t="shared" si="30"/>
        <v>82</v>
      </c>
      <c r="CN13" s="79">
        <f t="shared" si="55"/>
        <v>44747</v>
      </c>
      <c r="CO13" s="80">
        <v>44939</v>
      </c>
      <c r="CP13" s="84">
        <f t="shared" si="31"/>
        <v>192</v>
      </c>
    </row>
    <row r="14" spans="1:94" s="3" customFormat="1" ht="13.5" customHeight="1" x14ac:dyDescent="0.2">
      <c r="A14" s="82">
        <v>6</v>
      </c>
      <c r="B14" s="75">
        <f t="shared" si="32"/>
        <v>25213489</v>
      </c>
      <c r="C14" s="75">
        <v>25216851</v>
      </c>
      <c r="D14" s="76">
        <f t="shared" si="0"/>
        <v>3362</v>
      </c>
      <c r="E14" s="77">
        <f t="shared" si="56"/>
        <v>22143241</v>
      </c>
      <c r="F14" s="77">
        <v>22147701</v>
      </c>
      <c r="G14" s="77">
        <f t="shared" si="33"/>
        <v>4460</v>
      </c>
      <c r="H14" s="79">
        <f t="shared" si="34"/>
        <v>84205643</v>
      </c>
      <c r="I14" s="79">
        <v>84218389</v>
      </c>
      <c r="J14" s="84">
        <f t="shared" si="1"/>
        <v>12746</v>
      </c>
      <c r="K14" s="79">
        <f t="shared" si="57"/>
        <v>1797700</v>
      </c>
      <c r="L14" s="79">
        <v>1799700</v>
      </c>
      <c r="M14" s="84">
        <f t="shared" si="2"/>
        <v>2000</v>
      </c>
      <c r="N14" s="79">
        <f t="shared" si="58"/>
        <v>2429684</v>
      </c>
      <c r="O14" s="79">
        <v>2432361</v>
      </c>
      <c r="P14" s="84">
        <f t="shared" si="3"/>
        <v>2677</v>
      </c>
      <c r="Q14" s="79">
        <f t="shared" si="35"/>
        <v>1467300</v>
      </c>
      <c r="R14" s="79">
        <v>1468800</v>
      </c>
      <c r="S14" s="84">
        <f t="shared" si="4"/>
        <v>1500</v>
      </c>
      <c r="T14" s="79">
        <f t="shared" si="59"/>
        <v>680656</v>
      </c>
      <c r="U14" s="79">
        <v>681103</v>
      </c>
      <c r="V14" s="84">
        <f t="shared" si="5"/>
        <v>447</v>
      </c>
      <c r="W14" s="79">
        <f t="shared" si="60"/>
        <v>7053800</v>
      </c>
      <c r="X14" s="79">
        <v>7059700</v>
      </c>
      <c r="Y14" s="84">
        <f t="shared" si="6"/>
        <v>5900</v>
      </c>
      <c r="Z14" s="79">
        <f t="shared" si="61"/>
        <v>1565000</v>
      </c>
      <c r="AA14" s="79">
        <v>1566900</v>
      </c>
      <c r="AB14" s="84">
        <f t="shared" si="7"/>
        <v>1900</v>
      </c>
      <c r="AC14" s="79">
        <f t="shared" si="8"/>
        <v>457833</v>
      </c>
      <c r="AD14" s="79">
        <v>458225</v>
      </c>
      <c r="AE14" s="84">
        <f t="shared" si="9"/>
        <v>392</v>
      </c>
      <c r="AF14" s="79">
        <f t="shared" si="10"/>
        <v>325230</v>
      </c>
      <c r="AG14" s="79">
        <v>325560</v>
      </c>
      <c r="AH14" s="84">
        <f t="shared" si="11"/>
        <v>330</v>
      </c>
      <c r="AI14" s="79">
        <f t="shared" si="12"/>
        <v>552470</v>
      </c>
      <c r="AJ14" s="79">
        <v>553260</v>
      </c>
      <c r="AK14" s="84">
        <f t="shared" si="13"/>
        <v>790</v>
      </c>
      <c r="AL14" s="79">
        <f t="shared" si="36"/>
        <v>1016700</v>
      </c>
      <c r="AM14" s="80">
        <v>1017900</v>
      </c>
      <c r="AN14" s="84">
        <f t="shared" si="14"/>
        <v>1200</v>
      </c>
      <c r="AO14" s="79">
        <f t="shared" si="37"/>
        <v>646750</v>
      </c>
      <c r="AP14" s="79">
        <v>647550</v>
      </c>
      <c r="AQ14" s="84">
        <f t="shared" si="15"/>
        <v>800</v>
      </c>
      <c r="AR14" s="79">
        <f t="shared" si="38"/>
        <v>505190</v>
      </c>
      <c r="AS14" s="79">
        <v>505830</v>
      </c>
      <c r="AT14" s="84">
        <f t="shared" si="16"/>
        <v>640</v>
      </c>
      <c r="AU14" s="79">
        <f t="shared" si="39"/>
        <v>453050</v>
      </c>
      <c r="AV14" s="79">
        <v>454540</v>
      </c>
      <c r="AW14" s="84">
        <f t="shared" si="17"/>
        <v>1490</v>
      </c>
      <c r="AX14" s="79">
        <f t="shared" si="40"/>
        <v>354790</v>
      </c>
      <c r="AY14" s="79">
        <v>356000</v>
      </c>
      <c r="AZ14" s="84">
        <f t="shared" si="18"/>
        <v>1210</v>
      </c>
      <c r="BA14" s="79">
        <f t="shared" si="41"/>
        <v>968580</v>
      </c>
      <c r="BB14" s="79">
        <v>972790</v>
      </c>
      <c r="BC14" s="84">
        <f t="shared" si="19"/>
        <v>4210</v>
      </c>
      <c r="BD14" s="84">
        <f t="shared" si="42"/>
        <v>20015</v>
      </c>
      <c r="BE14" s="84">
        <v>20132</v>
      </c>
      <c r="BF14" s="84">
        <f t="shared" si="43"/>
        <v>117</v>
      </c>
      <c r="BG14" s="79">
        <f t="shared" si="44"/>
        <v>16278</v>
      </c>
      <c r="BH14" s="79">
        <v>16350</v>
      </c>
      <c r="BI14" s="193">
        <f t="shared" si="20"/>
        <v>72</v>
      </c>
      <c r="BJ14" s="79">
        <f t="shared" si="45"/>
        <v>15099</v>
      </c>
      <c r="BK14" s="79">
        <v>15162</v>
      </c>
      <c r="BL14" s="84">
        <f t="shared" si="21"/>
        <v>63</v>
      </c>
      <c r="BM14" s="79">
        <f t="shared" si="46"/>
        <v>24012</v>
      </c>
      <c r="BN14" s="79">
        <v>24104</v>
      </c>
      <c r="BO14" s="84">
        <f t="shared" si="22"/>
        <v>92</v>
      </c>
      <c r="BP14" s="79">
        <f t="shared" si="47"/>
        <v>16881</v>
      </c>
      <c r="BQ14" s="79">
        <v>16982</v>
      </c>
      <c r="BR14" s="84">
        <f t="shared" si="23"/>
        <v>101</v>
      </c>
      <c r="BS14" s="79">
        <f t="shared" si="48"/>
        <v>17982</v>
      </c>
      <c r="BT14" s="79">
        <v>18037</v>
      </c>
      <c r="BU14" s="84">
        <f t="shared" si="24"/>
        <v>55</v>
      </c>
      <c r="BV14" s="79">
        <f t="shared" si="49"/>
        <v>12419</v>
      </c>
      <c r="BW14" s="79">
        <v>12469</v>
      </c>
      <c r="BX14" s="84">
        <f t="shared" si="25"/>
        <v>50</v>
      </c>
      <c r="BY14" s="79">
        <f t="shared" si="50"/>
        <v>32377</v>
      </c>
      <c r="BZ14" s="79">
        <v>32499</v>
      </c>
      <c r="CA14" s="84">
        <f t="shared" si="26"/>
        <v>122</v>
      </c>
      <c r="CB14" s="79">
        <f t="shared" si="51"/>
        <v>25750</v>
      </c>
      <c r="CC14" s="79">
        <v>25830</v>
      </c>
      <c r="CD14" s="84">
        <f t="shared" si="27"/>
        <v>80</v>
      </c>
      <c r="CE14" s="79">
        <f t="shared" si="52"/>
        <v>75477</v>
      </c>
      <c r="CF14" s="79">
        <v>75738</v>
      </c>
      <c r="CG14" s="84">
        <f t="shared" si="28"/>
        <v>261</v>
      </c>
      <c r="CH14" s="79">
        <f t="shared" si="53"/>
        <v>46290</v>
      </c>
      <c r="CI14" s="79">
        <v>46657</v>
      </c>
      <c r="CJ14" s="84">
        <f t="shared" si="29"/>
        <v>367</v>
      </c>
      <c r="CK14" s="79">
        <f t="shared" si="54"/>
        <v>12520</v>
      </c>
      <c r="CL14" s="79">
        <v>12528</v>
      </c>
      <c r="CM14" s="84">
        <f t="shared" si="30"/>
        <v>8</v>
      </c>
      <c r="CN14" s="79">
        <f t="shared" si="55"/>
        <v>44939</v>
      </c>
      <c r="CO14" s="79">
        <v>45058</v>
      </c>
      <c r="CP14" s="84">
        <f t="shared" si="31"/>
        <v>119</v>
      </c>
    </row>
    <row r="15" spans="1:94" s="3" customFormat="1" ht="13.5" customHeight="1" x14ac:dyDescent="0.2">
      <c r="A15" s="82">
        <v>7</v>
      </c>
      <c r="B15" s="75">
        <f t="shared" si="32"/>
        <v>25216851</v>
      </c>
      <c r="C15" s="75">
        <v>25220331</v>
      </c>
      <c r="D15" s="76">
        <f t="shared" si="0"/>
        <v>3480</v>
      </c>
      <c r="E15" s="77">
        <f t="shared" si="56"/>
        <v>22147701</v>
      </c>
      <c r="F15" s="77">
        <v>22152372</v>
      </c>
      <c r="G15" s="77">
        <f t="shared" si="33"/>
        <v>4671</v>
      </c>
      <c r="H15" s="79">
        <f t="shared" si="34"/>
        <v>84218389</v>
      </c>
      <c r="I15" s="79">
        <v>84231806</v>
      </c>
      <c r="J15" s="84">
        <f t="shared" si="1"/>
        <v>13417</v>
      </c>
      <c r="K15" s="79">
        <f t="shared" si="57"/>
        <v>1799700</v>
      </c>
      <c r="L15" s="79">
        <v>1801800</v>
      </c>
      <c r="M15" s="84">
        <f t="shared" si="2"/>
        <v>2100</v>
      </c>
      <c r="N15" s="79">
        <f t="shared" si="58"/>
        <v>2432361</v>
      </c>
      <c r="O15" s="79">
        <v>2435199</v>
      </c>
      <c r="P15" s="84">
        <f t="shared" si="3"/>
        <v>2838</v>
      </c>
      <c r="Q15" s="79">
        <f t="shared" si="35"/>
        <v>1468800</v>
      </c>
      <c r="R15" s="79">
        <v>1470600</v>
      </c>
      <c r="S15" s="84">
        <f t="shared" si="4"/>
        <v>1800</v>
      </c>
      <c r="T15" s="79">
        <f t="shared" si="59"/>
        <v>681103</v>
      </c>
      <c r="U15" s="79">
        <v>681586</v>
      </c>
      <c r="V15" s="84">
        <f t="shared" si="5"/>
        <v>483</v>
      </c>
      <c r="W15" s="79">
        <f t="shared" si="60"/>
        <v>7059700</v>
      </c>
      <c r="X15" s="79">
        <v>7066200</v>
      </c>
      <c r="Y15" s="84">
        <f t="shared" si="6"/>
        <v>6500</v>
      </c>
      <c r="Z15" s="79">
        <f t="shared" si="61"/>
        <v>1566900</v>
      </c>
      <c r="AA15" s="79">
        <v>1568600</v>
      </c>
      <c r="AB15" s="84">
        <f t="shared" si="7"/>
        <v>1700</v>
      </c>
      <c r="AC15" s="79">
        <f t="shared" si="8"/>
        <v>458225</v>
      </c>
      <c r="AD15" s="79">
        <v>458649</v>
      </c>
      <c r="AE15" s="84">
        <f t="shared" si="9"/>
        <v>424</v>
      </c>
      <c r="AF15" s="79">
        <f t="shared" si="10"/>
        <v>325560</v>
      </c>
      <c r="AG15" s="79">
        <v>325950</v>
      </c>
      <c r="AH15" s="84">
        <f t="shared" si="11"/>
        <v>390</v>
      </c>
      <c r="AI15" s="79">
        <f t="shared" si="12"/>
        <v>553260</v>
      </c>
      <c r="AJ15" s="79">
        <v>554100</v>
      </c>
      <c r="AK15" s="84">
        <f t="shared" si="13"/>
        <v>840</v>
      </c>
      <c r="AL15" s="79">
        <f t="shared" si="36"/>
        <v>1017900</v>
      </c>
      <c r="AM15" s="79">
        <v>1019300</v>
      </c>
      <c r="AN15" s="84">
        <f t="shared" si="14"/>
        <v>1400</v>
      </c>
      <c r="AO15" s="79">
        <f t="shared" si="37"/>
        <v>647550</v>
      </c>
      <c r="AP15" s="79">
        <v>648410</v>
      </c>
      <c r="AQ15" s="84">
        <f t="shared" si="15"/>
        <v>860</v>
      </c>
      <c r="AR15" s="79">
        <f t="shared" si="38"/>
        <v>505830</v>
      </c>
      <c r="AS15" s="79">
        <v>508060</v>
      </c>
      <c r="AT15" s="84">
        <f t="shared" si="16"/>
        <v>2230</v>
      </c>
      <c r="AU15" s="79">
        <f t="shared" si="39"/>
        <v>454540</v>
      </c>
      <c r="AV15" s="79">
        <v>457790</v>
      </c>
      <c r="AW15" s="84">
        <f t="shared" si="17"/>
        <v>3250</v>
      </c>
      <c r="AX15" s="79">
        <f t="shared" si="40"/>
        <v>356000</v>
      </c>
      <c r="AY15" s="79">
        <v>357150</v>
      </c>
      <c r="AZ15" s="84">
        <f t="shared" si="18"/>
        <v>1150</v>
      </c>
      <c r="BA15" s="79">
        <f t="shared" si="41"/>
        <v>972790</v>
      </c>
      <c r="BB15" s="79">
        <v>976030</v>
      </c>
      <c r="BC15" s="84">
        <f t="shared" si="19"/>
        <v>3240</v>
      </c>
      <c r="BD15" s="84">
        <f t="shared" si="42"/>
        <v>20132</v>
      </c>
      <c r="BE15" s="84">
        <v>20261</v>
      </c>
      <c r="BF15" s="84">
        <f t="shared" si="43"/>
        <v>129</v>
      </c>
      <c r="BG15" s="79">
        <f t="shared" si="44"/>
        <v>16350</v>
      </c>
      <c r="BH15" s="79">
        <v>16432</v>
      </c>
      <c r="BI15" s="193">
        <f t="shared" si="20"/>
        <v>82</v>
      </c>
      <c r="BJ15" s="79">
        <f t="shared" si="45"/>
        <v>15162</v>
      </c>
      <c r="BK15" s="79">
        <v>15230</v>
      </c>
      <c r="BL15" s="84">
        <f t="shared" si="21"/>
        <v>68</v>
      </c>
      <c r="BM15" s="79">
        <f t="shared" si="46"/>
        <v>24104</v>
      </c>
      <c r="BN15" s="79">
        <v>24199</v>
      </c>
      <c r="BO15" s="84">
        <f t="shared" si="22"/>
        <v>95</v>
      </c>
      <c r="BP15" s="79">
        <f t="shared" si="47"/>
        <v>16982</v>
      </c>
      <c r="BQ15" s="169">
        <v>17072</v>
      </c>
      <c r="BR15" s="84">
        <f t="shared" si="23"/>
        <v>90</v>
      </c>
      <c r="BS15" s="79">
        <f t="shared" si="48"/>
        <v>18037</v>
      </c>
      <c r="BT15" s="79">
        <v>18102</v>
      </c>
      <c r="BU15" s="84">
        <f t="shared" si="24"/>
        <v>65</v>
      </c>
      <c r="BV15" s="79">
        <f t="shared" si="49"/>
        <v>12469</v>
      </c>
      <c r="BW15" s="79">
        <v>12520</v>
      </c>
      <c r="BX15" s="84">
        <f t="shared" si="25"/>
        <v>51</v>
      </c>
      <c r="BY15" s="79">
        <f t="shared" si="50"/>
        <v>32499</v>
      </c>
      <c r="BZ15" s="79">
        <v>32604</v>
      </c>
      <c r="CA15" s="84">
        <f t="shared" si="26"/>
        <v>105</v>
      </c>
      <c r="CB15" s="79">
        <f t="shared" si="51"/>
        <v>25830</v>
      </c>
      <c r="CC15" s="79">
        <v>25913</v>
      </c>
      <c r="CD15" s="84">
        <f t="shared" si="27"/>
        <v>83</v>
      </c>
      <c r="CE15" s="79">
        <f t="shared" si="52"/>
        <v>75738</v>
      </c>
      <c r="CF15" s="79">
        <v>75991</v>
      </c>
      <c r="CG15" s="84">
        <f t="shared" si="28"/>
        <v>253</v>
      </c>
      <c r="CH15" s="79">
        <f t="shared" si="53"/>
        <v>46657</v>
      </c>
      <c r="CI15" s="79">
        <v>47041</v>
      </c>
      <c r="CJ15" s="84">
        <f t="shared" si="29"/>
        <v>384</v>
      </c>
      <c r="CK15" s="79">
        <f t="shared" si="54"/>
        <v>12528</v>
      </c>
      <c r="CL15" s="79">
        <v>12583</v>
      </c>
      <c r="CM15" s="84">
        <f t="shared" si="30"/>
        <v>55</v>
      </c>
      <c r="CN15" s="79">
        <f t="shared" si="55"/>
        <v>45058</v>
      </c>
      <c r="CO15" s="79">
        <v>45147</v>
      </c>
      <c r="CP15" s="84">
        <f t="shared" si="31"/>
        <v>89</v>
      </c>
    </row>
    <row r="16" spans="1:94" s="3" customFormat="1" ht="13.5" customHeight="1" x14ac:dyDescent="0.2">
      <c r="A16" s="82">
        <v>8</v>
      </c>
      <c r="B16" s="75">
        <f t="shared" si="32"/>
        <v>25220331</v>
      </c>
      <c r="C16" s="75">
        <v>25224037</v>
      </c>
      <c r="D16" s="76">
        <f t="shared" si="0"/>
        <v>3706</v>
      </c>
      <c r="E16" s="77">
        <f t="shared" si="56"/>
        <v>22152372</v>
      </c>
      <c r="F16" s="77">
        <v>22157370</v>
      </c>
      <c r="G16" s="77">
        <f t="shared" si="33"/>
        <v>4998</v>
      </c>
      <c r="H16" s="79">
        <f t="shared" si="34"/>
        <v>84231806</v>
      </c>
      <c r="I16" s="79">
        <v>84245691</v>
      </c>
      <c r="J16" s="84">
        <f t="shared" si="1"/>
        <v>13885</v>
      </c>
      <c r="K16" s="79">
        <f t="shared" si="57"/>
        <v>1801800</v>
      </c>
      <c r="L16" s="79">
        <v>1803800</v>
      </c>
      <c r="M16" s="84">
        <f t="shared" si="2"/>
        <v>2000</v>
      </c>
      <c r="N16" s="79">
        <f t="shared" si="58"/>
        <v>2435199</v>
      </c>
      <c r="O16" s="79">
        <v>2438120</v>
      </c>
      <c r="P16" s="84">
        <f t="shared" si="3"/>
        <v>2921</v>
      </c>
      <c r="Q16" s="79">
        <f t="shared" si="35"/>
        <v>1470600</v>
      </c>
      <c r="R16" s="79">
        <v>1472400</v>
      </c>
      <c r="S16" s="84">
        <f t="shared" si="4"/>
        <v>1800</v>
      </c>
      <c r="T16" s="79">
        <f t="shared" si="59"/>
        <v>681586</v>
      </c>
      <c r="U16" s="79">
        <v>682117</v>
      </c>
      <c r="V16" s="84">
        <f t="shared" si="5"/>
        <v>531</v>
      </c>
      <c r="W16" s="79">
        <f t="shared" si="60"/>
        <v>7066200</v>
      </c>
      <c r="X16" s="79">
        <v>7072800</v>
      </c>
      <c r="Y16" s="84">
        <f t="shared" si="6"/>
        <v>6600</v>
      </c>
      <c r="Z16" s="79">
        <f t="shared" si="61"/>
        <v>1568600</v>
      </c>
      <c r="AA16" s="79">
        <v>1570400</v>
      </c>
      <c r="AB16" s="84">
        <f t="shared" si="7"/>
        <v>1800</v>
      </c>
      <c r="AC16" s="79">
        <f t="shared" si="8"/>
        <v>458649</v>
      </c>
      <c r="AD16" s="79">
        <v>459138</v>
      </c>
      <c r="AE16" s="84">
        <f t="shared" si="9"/>
        <v>489</v>
      </c>
      <c r="AF16" s="79">
        <f t="shared" si="10"/>
        <v>325950</v>
      </c>
      <c r="AG16" s="79">
        <v>326340</v>
      </c>
      <c r="AH16" s="84">
        <f t="shared" si="11"/>
        <v>390</v>
      </c>
      <c r="AI16" s="79">
        <f t="shared" si="12"/>
        <v>554100</v>
      </c>
      <c r="AJ16" s="79">
        <v>554980</v>
      </c>
      <c r="AK16" s="84">
        <f t="shared" si="13"/>
        <v>880</v>
      </c>
      <c r="AL16" s="79">
        <f t="shared" si="36"/>
        <v>1019300</v>
      </c>
      <c r="AM16" s="79">
        <v>1020600</v>
      </c>
      <c r="AN16" s="84">
        <f t="shared" si="14"/>
        <v>1300</v>
      </c>
      <c r="AO16" s="79">
        <f t="shared" si="37"/>
        <v>648410</v>
      </c>
      <c r="AP16" s="79">
        <v>649310</v>
      </c>
      <c r="AQ16" s="84">
        <f t="shared" si="15"/>
        <v>900</v>
      </c>
      <c r="AR16" s="79">
        <f t="shared" si="38"/>
        <v>508060</v>
      </c>
      <c r="AS16" s="79">
        <v>508650</v>
      </c>
      <c r="AT16" s="84">
        <f t="shared" si="16"/>
        <v>590</v>
      </c>
      <c r="AU16" s="79">
        <f t="shared" si="39"/>
        <v>457790</v>
      </c>
      <c r="AV16" s="79">
        <v>457790</v>
      </c>
      <c r="AW16" s="84">
        <f t="shared" si="17"/>
        <v>0</v>
      </c>
      <c r="AX16" s="79">
        <f t="shared" si="40"/>
        <v>357150</v>
      </c>
      <c r="AY16" s="79">
        <v>358380</v>
      </c>
      <c r="AZ16" s="84">
        <f t="shared" si="18"/>
        <v>1230</v>
      </c>
      <c r="BA16" s="79">
        <f t="shared" si="41"/>
        <v>976030</v>
      </c>
      <c r="BB16" s="79">
        <v>979500</v>
      </c>
      <c r="BC16" s="84">
        <f t="shared" si="19"/>
        <v>3470</v>
      </c>
      <c r="BD16" s="84">
        <f t="shared" si="42"/>
        <v>20261</v>
      </c>
      <c r="BE16" s="84">
        <v>20399</v>
      </c>
      <c r="BF16" s="84">
        <f t="shared" si="43"/>
        <v>138</v>
      </c>
      <c r="BG16" s="79">
        <f t="shared" si="44"/>
        <v>16432</v>
      </c>
      <c r="BH16" s="79">
        <v>16516</v>
      </c>
      <c r="BI16" s="193">
        <f t="shared" si="20"/>
        <v>84</v>
      </c>
      <c r="BJ16" s="79">
        <f t="shared" si="45"/>
        <v>15230</v>
      </c>
      <c r="BK16" s="79">
        <v>15295</v>
      </c>
      <c r="BL16" s="84">
        <f t="shared" si="21"/>
        <v>65</v>
      </c>
      <c r="BM16" s="79">
        <f t="shared" si="46"/>
        <v>24199</v>
      </c>
      <c r="BN16" s="79">
        <v>24280</v>
      </c>
      <c r="BO16" s="84">
        <f t="shared" si="22"/>
        <v>81</v>
      </c>
      <c r="BP16" s="79">
        <f t="shared" si="47"/>
        <v>17072</v>
      </c>
      <c r="BQ16" s="79">
        <v>17176</v>
      </c>
      <c r="BR16" s="84">
        <f t="shared" si="23"/>
        <v>104</v>
      </c>
      <c r="BS16" s="79">
        <f t="shared" si="48"/>
        <v>18102</v>
      </c>
      <c r="BT16" s="79">
        <v>18165</v>
      </c>
      <c r="BU16" s="84">
        <f t="shared" si="24"/>
        <v>63</v>
      </c>
      <c r="BV16" s="79">
        <f t="shared" si="49"/>
        <v>12520</v>
      </c>
      <c r="BW16" s="79">
        <v>12573</v>
      </c>
      <c r="BX16" s="84">
        <f t="shared" si="25"/>
        <v>53</v>
      </c>
      <c r="BY16" s="79">
        <f t="shared" si="50"/>
        <v>32604</v>
      </c>
      <c r="BZ16" s="79">
        <v>32725</v>
      </c>
      <c r="CA16" s="84">
        <f t="shared" si="26"/>
        <v>121</v>
      </c>
      <c r="CB16" s="79">
        <f t="shared" si="51"/>
        <v>25913</v>
      </c>
      <c r="CC16" s="79">
        <v>25995</v>
      </c>
      <c r="CD16" s="84">
        <f t="shared" si="27"/>
        <v>82</v>
      </c>
      <c r="CE16" s="79">
        <f t="shared" si="52"/>
        <v>75991</v>
      </c>
      <c r="CF16" s="79">
        <v>76257</v>
      </c>
      <c r="CG16" s="84">
        <f t="shared" si="28"/>
        <v>266</v>
      </c>
      <c r="CH16" s="79">
        <f t="shared" si="53"/>
        <v>47041</v>
      </c>
      <c r="CI16" s="79">
        <v>47409</v>
      </c>
      <c r="CJ16" s="84">
        <f t="shared" si="29"/>
        <v>368</v>
      </c>
      <c r="CK16" s="79">
        <f t="shared" si="54"/>
        <v>12583</v>
      </c>
      <c r="CL16" s="79">
        <v>12633</v>
      </c>
      <c r="CM16" s="84">
        <f t="shared" si="30"/>
        <v>50</v>
      </c>
      <c r="CN16" s="79">
        <f t="shared" si="55"/>
        <v>45147</v>
      </c>
      <c r="CO16" s="79">
        <v>45268</v>
      </c>
      <c r="CP16" s="84">
        <f t="shared" si="31"/>
        <v>121</v>
      </c>
    </row>
    <row r="17" spans="1:1028" s="3" customFormat="1" ht="13.5" customHeight="1" x14ac:dyDescent="0.2">
      <c r="A17" s="82">
        <v>9</v>
      </c>
      <c r="B17" s="75">
        <f t="shared" si="32"/>
        <v>25224037</v>
      </c>
      <c r="C17" s="75">
        <v>25227504</v>
      </c>
      <c r="D17" s="76">
        <f t="shared" si="0"/>
        <v>3467</v>
      </c>
      <c r="E17" s="77">
        <f t="shared" si="56"/>
        <v>22157370</v>
      </c>
      <c r="F17" s="77">
        <v>22162210</v>
      </c>
      <c r="G17" s="77">
        <f t="shared" si="33"/>
        <v>4840</v>
      </c>
      <c r="H17" s="79">
        <f t="shared" si="34"/>
        <v>84245691</v>
      </c>
      <c r="I17" s="79">
        <v>84259009</v>
      </c>
      <c r="J17" s="84">
        <f t="shared" si="1"/>
        <v>13318</v>
      </c>
      <c r="K17" s="79">
        <f t="shared" si="57"/>
        <v>1803800</v>
      </c>
      <c r="L17" s="79">
        <v>1805800</v>
      </c>
      <c r="M17" s="84">
        <f t="shared" si="2"/>
        <v>2000</v>
      </c>
      <c r="N17" s="79">
        <f t="shared" si="58"/>
        <v>2438120</v>
      </c>
      <c r="O17" s="79">
        <v>2440818</v>
      </c>
      <c r="P17" s="84">
        <f t="shared" si="3"/>
        <v>2698</v>
      </c>
      <c r="Q17" s="79">
        <f t="shared" si="35"/>
        <v>1472400</v>
      </c>
      <c r="R17" s="79">
        <v>1474000</v>
      </c>
      <c r="S17" s="84">
        <f t="shared" si="4"/>
        <v>1600</v>
      </c>
      <c r="T17" s="79">
        <f t="shared" si="59"/>
        <v>682117</v>
      </c>
      <c r="U17" s="79">
        <v>682621</v>
      </c>
      <c r="V17" s="84">
        <f t="shared" si="5"/>
        <v>504</v>
      </c>
      <c r="W17" s="79">
        <f t="shared" si="60"/>
        <v>7072800</v>
      </c>
      <c r="X17" s="79">
        <v>7079200</v>
      </c>
      <c r="Y17" s="84">
        <f t="shared" si="6"/>
        <v>6400</v>
      </c>
      <c r="Z17" s="79">
        <f t="shared" si="61"/>
        <v>1570400</v>
      </c>
      <c r="AA17" s="79">
        <v>1572200</v>
      </c>
      <c r="AB17" s="84">
        <f t="shared" si="7"/>
        <v>1800</v>
      </c>
      <c r="AC17" s="79">
        <f t="shared" si="8"/>
        <v>459138</v>
      </c>
      <c r="AD17" s="79">
        <v>459565</v>
      </c>
      <c r="AE17" s="84">
        <f t="shared" si="9"/>
        <v>427</v>
      </c>
      <c r="AF17" s="79">
        <f t="shared" si="10"/>
        <v>326340</v>
      </c>
      <c r="AG17" s="79">
        <v>326720</v>
      </c>
      <c r="AH17" s="84">
        <f t="shared" si="11"/>
        <v>380</v>
      </c>
      <c r="AI17" s="79">
        <f t="shared" si="12"/>
        <v>554980</v>
      </c>
      <c r="AJ17" s="79">
        <v>555840</v>
      </c>
      <c r="AK17" s="84">
        <f t="shared" si="13"/>
        <v>860</v>
      </c>
      <c r="AL17" s="79">
        <f t="shared" si="36"/>
        <v>1020600</v>
      </c>
      <c r="AM17" s="79">
        <v>1021900</v>
      </c>
      <c r="AN17" s="84">
        <f t="shared" si="14"/>
        <v>1300</v>
      </c>
      <c r="AO17" s="79">
        <f t="shared" si="37"/>
        <v>649310</v>
      </c>
      <c r="AP17" s="79">
        <v>650210</v>
      </c>
      <c r="AQ17" s="84">
        <f t="shared" si="15"/>
        <v>900</v>
      </c>
      <c r="AR17" s="79">
        <f t="shared" si="38"/>
        <v>508650</v>
      </c>
      <c r="AS17" s="79">
        <v>510960</v>
      </c>
      <c r="AT17" s="84">
        <f t="shared" si="16"/>
        <v>2310</v>
      </c>
      <c r="AU17" s="79">
        <f t="shared" si="39"/>
        <v>457790</v>
      </c>
      <c r="AV17" s="79">
        <v>458760</v>
      </c>
      <c r="AW17" s="84">
        <f t="shared" si="17"/>
        <v>970</v>
      </c>
      <c r="AX17" s="79">
        <f t="shared" si="40"/>
        <v>358380</v>
      </c>
      <c r="AY17" s="79">
        <v>359590</v>
      </c>
      <c r="AZ17" s="84">
        <f t="shared" si="18"/>
        <v>1210</v>
      </c>
      <c r="BA17" s="79">
        <f t="shared" si="41"/>
        <v>979500</v>
      </c>
      <c r="BB17" s="79">
        <v>983320</v>
      </c>
      <c r="BC17" s="84">
        <f t="shared" si="19"/>
        <v>3820</v>
      </c>
      <c r="BD17" s="84">
        <f t="shared" si="42"/>
        <v>20399</v>
      </c>
      <c r="BE17" s="84">
        <v>20530</v>
      </c>
      <c r="BF17" s="84">
        <f t="shared" si="43"/>
        <v>131</v>
      </c>
      <c r="BG17" s="79">
        <f t="shared" si="44"/>
        <v>16516</v>
      </c>
      <c r="BH17" s="79">
        <v>16603</v>
      </c>
      <c r="BI17" s="193">
        <f t="shared" si="20"/>
        <v>87</v>
      </c>
      <c r="BJ17" s="79">
        <f t="shared" si="45"/>
        <v>15295</v>
      </c>
      <c r="BK17" s="79">
        <v>15364</v>
      </c>
      <c r="BL17" s="84">
        <f t="shared" si="21"/>
        <v>69</v>
      </c>
      <c r="BM17" s="79">
        <f t="shared" si="46"/>
        <v>24280</v>
      </c>
      <c r="BN17" s="79">
        <v>24428</v>
      </c>
      <c r="BO17" s="84">
        <f t="shared" si="22"/>
        <v>148</v>
      </c>
      <c r="BP17" s="79">
        <f t="shared" si="47"/>
        <v>17176</v>
      </c>
      <c r="BQ17" s="79">
        <v>17259</v>
      </c>
      <c r="BR17" s="84">
        <f t="shared" si="23"/>
        <v>83</v>
      </c>
      <c r="BS17" s="79">
        <f t="shared" si="48"/>
        <v>18165</v>
      </c>
      <c r="BT17" s="79">
        <v>18222</v>
      </c>
      <c r="BU17" s="84">
        <f t="shared" si="24"/>
        <v>57</v>
      </c>
      <c r="BV17" s="79">
        <f t="shared" si="49"/>
        <v>12573</v>
      </c>
      <c r="BW17" s="79">
        <v>12624</v>
      </c>
      <c r="BX17" s="84">
        <f t="shared" si="25"/>
        <v>51</v>
      </c>
      <c r="BY17" s="79">
        <f t="shared" si="50"/>
        <v>32725</v>
      </c>
      <c r="BZ17" s="79">
        <v>32834</v>
      </c>
      <c r="CA17" s="84">
        <f t="shared" si="26"/>
        <v>109</v>
      </c>
      <c r="CB17" s="79">
        <f t="shared" si="51"/>
        <v>25995</v>
      </c>
      <c r="CC17" s="79">
        <v>26075</v>
      </c>
      <c r="CD17" s="84">
        <f t="shared" si="27"/>
        <v>80</v>
      </c>
      <c r="CE17" s="79">
        <f t="shared" si="52"/>
        <v>76257</v>
      </c>
      <c r="CF17" s="79">
        <v>76497</v>
      </c>
      <c r="CG17" s="84">
        <f t="shared" si="28"/>
        <v>240</v>
      </c>
      <c r="CH17" s="79">
        <f t="shared" si="53"/>
        <v>47409</v>
      </c>
      <c r="CI17" s="79">
        <v>47768</v>
      </c>
      <c r="CJ17" s="84">
        <f t="shared" si="29"/>
        <v>359</v>
      </c>
      <c r="CK17" s="79">
        <f t="shared" si="54"/>
        <v>12633</v>
      </c>
      <c r="CL17" s="79">
        <v>12683</v>
      </c>
      <c r="CM17" s="84">
        <f t="shared" si="30"/>
        <v>50</v>
      </c>
      <c r="CN17" s="79">
        <f t="shared" si="55"/>
        <v>45268</v>
      </c>
      <c r="CO17" s="79">
        <v>45347</v>
      </c>
      <c r="CP17" s="84">
        <f t="shared" si="31"/>
        <v>79</v>
      </c>
    </row>
    <row r="18" spans="1:1028" s="3" customFormat="1" ht="13.5" customHeight="1" x14ac:dyDescent="0.2">
      <c r="A18" s="98">
        <v>10</v>
      </c>
      <c r="B18" s="75">
        <f t="shared" si="32"/>
        <v>25227504</v>
      </c>
      <c r="C18" s="75">
        <v>25231004</v>
      </c>
      <c r="D18" s="76">
        <f t="shared" si="0"/>
        <v>3500</v>
      </c>
      <c r="E18" s="77">
        <f t="shared" si="56"/>
        <v>22162210</v>
      </c>
      <c r="F18" s="77">
        <v>22166746</v>
      </c>
      <c r="G18" s="77">
        <f t="shared" si="33"/>
        <v>4536</v>
      </c>
      <c r="H18" s="79">
        <f t="shared" si="34"/>
        <v>84259009</v>
      </c>
      <c r="I18" s="79">
        <v>84272658</v>
      </c>
      <c r="J18" s="84">
        <f t="shared" si="1"/>
        <v>13649</v>
      </c>
      <c r="K18" s="79">
        <f t="shared" si="57"/>
        <v>1805800</v>
      </c>
      <c r="L18" s="79">
        <v>1807800</v>
      </c>
      <c r="M18" s="84">
        <f t="shared" si="2"/>
        <v>2000</v>
      </c>
      <c r="N18" s="79">
        <f t="shared" si="58"/>
        <v>2440818</v>
      </c>
      <c r="O18" s="79">
        <v>2443519</v>
      </c>
      <c r="P18" s="84">
        <f t="shared" si="3"/>
        <v>2701</v>
      </c>
      <c r="Q18" s="79">
        <f t="shared" si="35"/>
        <v>1474000</v>
      </c>
      <c r="R18" s="79">
        <v>1475900</v>
      </c>
      <c r="S18" s="84">
        <f t="shared" si="4"/>
        <v>1900</v>
      </c>
      <c r="T18" s="79">
        <f t="shared" si="59"/>
        <v>682621</v>
      </c>
      <c r="U18" s="79">
        <v>683167</v>
      </c>
      <c r="V18" s="84">
        <f t="shared" si="5"/>
        <v>546</v>
      </c>
      <c r="W18" s="79">
        <f t="shared" si="60"/>
        <v>7079200</v>
      </c>
      <c r="X18" s="79">
        <v>7085700</v>
      </c>
      <c r="Y18" s="84">
        <f t="shared" si="6"/>
        <v>6500</v>
      </c>
      <c r="Z18" s="79">
        <f t="shared" si="61"/>
        <v>1572200</v>
      </c>
      <c r="AA18" s="79">
        <v>1574000</v>
      </c>
      <c r="AB18" s="84">
        <f t="shared" si="7"/>
        <v>1800</v>
      </c>
      <c r="AC18" s="79">
        <f t="shared" si="8"/>
        <v>459565</v>
      </c>
      <c r="AD18" s="79">
        <v>459988</v>
      </c>
      <c r="AE18" s="84">
        <f t="shared" si="9"/>
        <v>423</v>
      </c>
      <c r="AF18" s="79">
        <f t="shared" si="10"/>
        <v>326720</v>
      </c>
      <c r="AG18" s="79">
        <v>327110</v>
      </c>
      <c r="AH18" s="84">
        <f t="shared" si="11"/>
        <v>390</v>
      </c>
      <c r="AI18" s="79">
        <f t="shared" si="12"/>
        <v>555840</v>
      </c>
      <c r="AJ18" s="79">
        <v>556690</v>
      </c>
      <c r="AK18" s="84">
        <f t="shared" si="13"/>
        <v>850</v>
      </c>
      <c r="AL18" s="79">
        <f t="shared" si="36"/>
        <v>1021900</v>
      </c>
      <c r="AM18" s="79">
        <v>1023300</v>
      </c>
      <c r="AN18" s="84">
        <f t="shared" si="14"/>
        <v>1400</v>
      </c>
      <c r="AO18" s="79">
        <f t="shared" si="37"/>
        <v>650210</v>
      </c>
      <c r="AP18" s="79">
        <v>651090</v>
      </c>
      <c r="AQ18" s="84">
        <f t="shared" si="15"/>
        <v>880</v>
      </c>
      <c r="AR18" s="79">
        <f t="shared" si="38"/>
        <v>510960</v>
      </c>
      <c r="AS18" s="79">
        <v>512780</v>
      </c>
      <c r="AT18" s="84">
        <f t="shared" si="16"/>
        <v>1820</v>
      </c>
      <c r="AU18" s="79">
        <f t="shared" si="39"/>
        <v>458760</v>
      </c>
      <c r="AV18" s="79">
        <v>459930</v>
      </c>
      <c r="AW18" s="84">
        <f t="shared" si="17"/>
        <v>1170</v>
      </c>
      <c r="AX18" s="79">
        <f t="shared" si="40"/>
        <v>359590</v>
      </c>
      <c r="AY18" s="79">
        <v>360780</v>
      </c>
      <c r="AZ18" s="84">
        <f t="shared" si="18"/>
        <v>1190</v>
      </c>
      <c r="BA18" s="79">
        <f t="shared" si="41"/>
        <v>983320</v>
      </c>
      <c r="BB18" s="79">
        <v>986800</v>
      </c>
      <c r="BC18" s="84">
        <f t="shared" si="19"/>
        <v>3480</v>
      </c>
      <c r="BD18" s="84">
        <f t="shared" si="42"/>
        <v>20530</v>
      </c>
      <c r="BE18" s="84">
        <v>20651</v>
      </c>
      <c r="BF18" s="84">
        <f t="shared" si="43"/>
        <v>121</v>
      </c>
      <c r="BG18" s="79">
        <f t="shared" si="44"/>
        <v>16603</v>
      </c>
      <c r="BH18" s="79">
        <v>16677</v>
      </c>
      <c r="BI18" s="193">
        <f t="shared" si="20"/>
        <v>74</v>
      </c>
      <c r="BJ18" s="79">
        <f t="shared" si="45"/>
        <v>15364</v>
      </c>
      <c r="BK18" s="79">
        <v>15424</v>
      </c>
      <c r="BL18" s="84">
        <f t="shared" si="21"/>
        <v>60</v>
      </c>
      <c r="BM18" s="79">
        <f t="shared" si="46"/>
        <v>24428</v>
      </c>
      <c r="BN18" s="79">
        <v>24543</v>
      </c>
      <c r="BO18" s="84">
        <f t="shared" si="22"/>
        <v>115</v>
      </c>
      <c r="BP18" s="79">
        <f t="shared" si="47"/>
        <v>17259</v>
      </c>
      <c r="BQ18" s="79">
        <v>17347</v>
      </c>
      <c r="BR18" s="84">
        <f t="shared" si="23"/>
        <v>88</v>
      </c>
      <c r="BS18" s="79">
        <f t="shared" si="48"/>
        <v>18222</v>
      </c>
      <c r="BT18" s="79">
        <v>18273</v>
      </c>
      <c r="BU18" s="84">
        <f t="shared" si="24"/>
        <v>51</v>
      </c>
      <c r="BV18" s="79">
        <f t="shared" si="49"/>
        <v>12624</v>
      </c>
      <c r="BW18" s="79">
        <v>12675</v>
      </c>
      <c r="BX18" s="84">
        <f t="shared" si="25"/>
        <v>51</v>
      </c>
      <c r="BY18" s="79">
        <f t="shared" si="50"/>
        <v>32834</v>
      </c>
      <c r="BZ18" s="79">
        <v>32946</v>
      </c>
      <c r="CA18" s="84">
        <f t="shared" si="26"/>
        <v>112</v>
      </c>
      <c r="CB18" s="79">
        <f t="shared" si="51"/>
        <v>26075</v>
      </c>
      <c r="CC18" s="79">
        <v>26154</v>
      </c>
      <c r="CD18" s="84">
        <f t="shared" si="27"/>
        <v>79</v>
      </c>
      <c r="CE18" s="79">
        <f t="shared" si="52"/>
        <v>76497</v>
      </c>
      <c r="CF18" s="79">
        <v>76746</v>
      </c>
      <c r="CG18" s="84">
        <f t="shared" si="28"/>
        <v>249</v>
      </c>
      <c r="CH18" s="79">
        <f t="shared" si="53"/>
        <v>47768</v>
      </c>
      <c r="CI18" s="79">
        <v>48166</v>
      </c>
      <c r="CJ18" s="84">
        <f t="shared" si="29"/>
        <v>398</v>
      </c>
      <c r="CK18" s="79">
        <f t="shared" si="54"/>
        <v>12683</v>
      </c>
      <c r="CL18" s="79">
        <v>12731</v>
      </c>
      <c r="CM18" s="84">
        <f t="shared" si="30"/>
        <v>48</v>
      </c>
      <c r="CN18" s="79">
        <f t="shared" si="55"/>
        <v>45347</v>
      </c>
      <c r="CO18" s="79">
        <v>45452</v>
      </c>
      <c r="CP18" s="84">
        <f t="shared" si="31"/>
        <v>105</v>
      </c>
    </row>
    <row r="19" spans="1:1028" s="3" customFormat="1" ht="13.5" customHeight="1" x14ac:dyDescent="0.2">
      <c r="A19" s="98">
        <v>11</v>
      </c>
      <c r="B19" s="75">
        <f t="shared" si="32"/>
        <v>25231004</v>
      </c>
      <c r="C19" s="75">
        <v>25234359</v>
      </c>
      <c r="D19" s="76">
        <f t="shared" si="0"/>
        <v>3355</v>
      </c>
      <c r="E19" s="77">
        <f t="shared" si="56"/>
        <v>22166746</v>
      </c>
      <c r="F19" s="77">
        <v>22171143</v>
      </c>
      <c r="G19" s="77">
        <f t="shared" si="33"/>
        <v>4397</v>
      </c>
      <c r="H19" s="79">
        <f t="shared" si="34"/>
        <v>84272658</v>
      </c>
      <c r="I19" s="79">
        <v>84285975</v>
      </c>
      <c r="J19" s="84">
        <f t="shared" si="1"/>
        <v>13317</v>
      </c>
      <c r="K19" s="79">
        <f t="shared" si="57"/>
        <v>1807800</v>
      </c>
      <c r="L19" s="79">
        <v>1809700</v>
      </c>
      <c r="M19" s="84">
        <f t="shared" si="2"/>
        <v>1900</v>
      </c>
      <c r="N19" s="79">
        <f t="shared" si="58"/>
        <v>2443519</v>
      </c>
      <c r="O19" s="79">
        <v>2446141</v>
      </c>
      <c r="P19" s="84">
        <f t="shared" si="3"/>
        <v>2622</v>
      </c>
      <c r="Q19" s="79">
        <f t="shared" si="35"/>
        <v>1475900</v>
      </c>
      <c r="R19" s="79">
        <v>1477700</v>
      </c>
      <c r="S19" s="84">
        <f t="shared" si="4"/>
        <v>1800</v>
      </c>
      <c r="T19" s="79">
        <f t="shared" si="59"/>
        <v>683167</v>
      </c>
      <c r="U19" s="79">
        <v>683755</v>
      </c>
      <c r="V19" s="84">
        <f t="shared" si="5"/>
        <v>588</v>
      </c>
      <c r="W19" s="79">
        <f t="shared" si="60"/>
        <v>7085700</v>
      </c>
      <c r="X19" s="79">
        <v>7091300</v>
      </c>
      <c r="Y19" s="84">
        <f t="shared" si="6"/>
        <v>5600</v>
      </c>
      <c r="Z19" s="79">
        <f t="shared" si="61"/>
        <v>1574000</v>
      </c>
      <c r="AA19" s="79">
        <v>1575600</v>
      </c>
      <c r="AB19" s="84">
        <f t="shared" si="7"/>
        <v>1600</v>
      </c>
      <c r="AC19" s="79">
        <f t="shared" si="8"/>
        <v>459988</v>
      </c>
      <c r="AD19" s="79">
        <v>460407</v>
      </c>
      <c r="AE19" s="84">
        <f t="shared" si="9"/>
        <v>419</v>
      </c>
      <c r="AF19" s="79">
        <f t="shared" si="10"/>
        <v>327110</v>
      </c>
      <c r="AG19" s="79">
        <v>327470</v>
      </c>
      <c r="AH19" s="84">
        <f t="shared" si="11"/>
        <v>360</v>
      </c>
      <c r="AI19" s="79">
        <f t="shared" si="12"/>
        <v>556690</v>
      </c>
      <c r="AJ19" s="79">
        <v>556690</v>
      </c>
      <c r="AK19" s="84">
        <f t="shared" si="13"/>
        <v>0</v>
      </c>
      <c r="AL19" s="79">
        <f t="shared" si="36"/>
        <v>1023300</v>
      </c>
      <c r="AM19" s="79">
        <v>1024600</v>
      </c>
      <c r="AN19" s="84">
        <f t="shared" si="14"/>
        <v>1300</v>
      </c>
      <c r="AO19" s="79">
        <f t="shared" si="37"/>
        <v>651090</v>
      </c>
      <c r="AP19" s="79">
        <v>651960</v>
      </c>
      <c r="AQ19" s="84">
        <f t="shared" si="15"/>
        <v>870</v>
      </c>
      <c r="AR19" s="79">
        <f t="shared" si="38"/>
        <v>512780</v>
      </c>
      <c r="AS19" s="79">
        <v>513650</v>
      </c>
      <c r="AT19" s="84">
        <f t="shared" si="16"/>
        <v>870</v>
      </c>
      <c r="AU19" s="79">
        <f t="shared" si="39"/>
        <v>459930</v>
      </c>
      <c r="AV19" s="79">
        <v>461290</v>
      </c>
      <c r="AW19" s="84">
        <f t="shared" si="17"/>
        <v>1360</v>
      </c>
      <c r="AX19" s="79">
        <f t="shared" si="40"/>
        <v>360780</v>
      </c>
      <c r="AY19" s="79">
        <v>361940</v>
      </c>
      <c r="AZ19" s="84">
        <f t="shared" si="18"/>
        <v>1160</v>
      </c>
      <c r="BA19" s="79">
        <f t="shared" si="41"/>
        <v>986800</v>
      </c>
      <c r="BB19" s="79">
        <v>990530</v>
      </c>
      <c r="BC19" s="84">
        <f t="shared" si="19"/>
        <v>3730</v>
      </c>
      <c r="BD19" s="84">
        <f t="shared" si="42"/>
        <v>20651</v>
      </c>
      <c r="BE19" s="84">
        <v>20749</v>
      </c>
      <c r="BF19" s="84">
        <f t="shared" si="43"/>
        <v>98</v>
      </c>
      <c r="BG19" s="79">
        <f t="shared" si="44"/>
        <v>16677</v>
      </c>
      <c r="BH19" s="79">
        <v>16747</v>
      </c>
      <c r="BI19" s="193">
        <f t="shared" si="20"/>
        <v>70</v>
      </c>
      <c r="BJ19" s="79">
        <f t="shared" si="45"/>
        <v>15424</v>
      </c>
      <c r="BK19" s="79">
        <v>15488</v>
      </c>
      <c r="BL19" s="84">
        <f t="shared" si="21"/>
        <v>64</v>
      </c>
      <c r="BM19" s="79">
        <f t="shared" si="46"/>
        <v>24543</v>
      </c>
      <c r="BN19" s="79">
        <v>24659</v>
      </c>
      <c r="BO19" s="84">
        <f t="shared" si="22"/>
        <v>116</v>
      </c>
      <c r="BP19" s="79">
        <f t="shared" si="47"/>
        <v>17347</v>
      </c>
      <c r="BQ19" s="79">
        <v>17430</v>
      </c>
      <c r="BR19" s="84">
        <f t="shared" si="23"/>
        <v>83</v>
      </c>
      <c r="BS19" s="79">
        <f t="shared" si="48"/>
        <v>18273</v>
      </c>
      <c r="BT19" s="79">
        <v>18333</v>
      </c>
      <c r="BU19" s="84">
        <f t="shared" si="24"/>
        <v>60</v>
      </c>
      <c r="BV19" s="79">
        <f t="shared" si="49"/>
        <v>12675</v>
      </c>
      <c r="BW19" s="79">
        <v>12728</v>
      </c>
      <c r="BX19" s="84">
        <f t="shared" si="25"/>
        <v>53</v>
      </c>
      <c r="BY19" s="79">
        <f t="shared" si="50"/>
        <v>32946</v>
      </c>
      <c r="BZ19" s="79">
        <v>33049</v>
      </c>
      <c r="CA19" s="84">
        <f t="shared" si="26"/>
        <v>103</v>
      </c>
      <c r="CB19" s="79">
        <f t="shared" si="51"/>
        <v>26154</v>
      </c>
      <c r="CC19" s="79">
        <v>26235</v>
      </c>
      <c r="CD19" s="84">
        <f t="shared" si="27"/>
        <v>81</v>
      </c>
      <c r="CE19" s="79">
        <f t="shared" si="52"/>
        <v>76746</v>
      </c>
      <c r="CF19" s="79">
        <v>76981</v>
      </c>
      <c r="CG19" s="84">
        <f t="shared" si="28"/>
        <v>235</v>
      </c>
      <c r="CH19" s="79">
        <f t="shared" si="53"/>
        <v>48166</v>
      </c>
      <c r="CI19" s="79">
        <v>48581</v>
      </c>
      <c r="CJ19" s="84">
        <f t="shared" si="29"/>
        <v>415</v>
      </c>
      <c r="CK19" s="79">
        <f t="shared" si="54"/>
        <v>12731</v>
      </c>
      <c r="CL19" s="79">
        <v>12777</v>
      </c>
      <c r="CM19" s="84">
        <f t="shared" si="30"/>
        <v>46</v>
      </c>
      <c r="CN19" s="79">
        <f t="shared" si="55"/>
        <v>45452</v>
      </c>
      <c r="CO19" s="79">
        <v>45566</v>
      </c>
      <c r="CP19" s="84">
        <f t="shared" si="31"/>
        <v>114</v>
      </c>
    </row>
    <row r="20" spans="1:1028" s="3" customFormat="1" ht="13.5" customHeight="1" x14ac:dyDescent="0.2">
      <c r="A20" s="98">
        <v>12</v>
      </c>
      <c r="B20" s="75">
        <f t="shared" si="32"/>
        <v>25234359</v>
      </c>
      <c r="C20" s="75">
        <v>25237687</v>
      </c>
      <c r="D20" s="76">
        <f t="shared" si="0"/>
        <v>3328</v>
      </c>
      <c r="E20" s="77">
        <f t="shared" si="56"/>
        <v>22171143</v>
      </c>
      <c r="F20" s="77">
        <v>22175318</v>
      </c>
      <c r="G20" s="77">
        <f t="shared" si="33"/>
        <v>4175</v>
      </c>
      <c r="H20" s="79">
        <f t="shared" si="34"/>
        <v>84285975</v>
      </c>
      <c r="I20" s="79">
        <v>84299441</v>
      </c>
      <c r="J20" s="84">
        <f t="shared" si="1"/>
        <v>13466</v>
      </c>
      <c r="K20" s="79">
        <f t="shared" si="57"/>
        <v>1809700</v>
      </c>
      <c r="L20" s="79">
        <v>1811600</v>
      </c>
      <c r="M20" s="84">
        <f t="shared" si="2"/>
        <v>1900</v>
      </c>
      <c r="N20" s="79">
        <f t="shared" si="58"/>
        <v>2446141</v>
      </c>
      <c r="O20" s="79">
        <v>2448764</v>
      </c>
      <c r="P20" s="84">
        <f t="shared" si="3"/>
        <v>2623</v>
      </c>
      <c r="Q20" s="79">
        <f t="shared" si="35"/>
        <v>1477700</v>
      </c>
      <c r="R20" s="79">
        <v>1479500</v>
      </c>
      <c r="S20" s="84">
        <f t="shared" si="4"/>
        <v>1800</v>
      </c>
      <c r="T20" s="79">
        <f t="shared" si="59"/>
        <v>683755</v>
      </c>
      <c r="U20" s="79">
        <v>684376</v>
      </c>
      <c r="V20" s="84">
        <f t="shared" si="5"/>
        <v>621</v>
      </c>
      <c r="W20" s="79">
        <f t="shared" si="60"/>
        <v>7091300</v>
      </c>
      <c r="X20" s="79">
        <v>7097400</v>
      </c>
      <c r="Y20" s="84">
        <f t="shared" si="6"/>
        <v>6100</v>
      </c>
      <c r="Z20" s="79">
        <f t="shared" si="61"/>
        <v>1575600</v>
      </c>
      <c r="AA20" s="79">
        <v>1577600</v>
      </c>
      <c r="AB20" s="84">
        <f t="shared" si="7"/>
        <v>2000</v>
      </c>
      <c r="AC20" s="79">
        <f t="shared" si="8"/>
        <v>460407</v>
      </c>
      <c r="AD20" s="79">
        <v>460837</v>
      </c>
      <c r="AE20" s="84">
        <f t="shared" si="9"/>
        <v>430</v>
      </c>
      <c r="AF20" s="79">
        <f t="shared" si="10"/>
        <v>327470</v>
      </c>
      <c r="AG20" s="79">
        <v>327820</v>
      </c>
      <c r="AH20" s="84">
        <f t="shared" si="11"/>
        <v>350</v>
      </c>
      <c r="AI20" s="79">
        <f t="shared" si="12"/>
        <v>556690</v>
      </c>
      <c r="AJ20" s="79">
        <v>558330</v>
      </c>
      <c r="AK20" s="84">
        <f t="shared" si="13"/>
        <v>1640</v>
      </c>
      <c r="AL20" s="79">
        <f t="shared" si="36"/>
        <v>1024600</v>
      </c>
      <c r="AM20" s="79">
        <v>1025800</v>
      </c>
      <c r="AN20" s="84">
        <f t="shared" si="14"/>
        <v>1200</v>
      </c>
      <c r="AO20" s="79">
        <f t="shared" si="37"/>
        <v>651960</v>
      </c>
      <c r="AP20" s="79">
        <v>652800</v>
      </c>
      <c r="AQ20" s="84">
        <f t="shared" si="15"/>
        <v>840</v>
      </c>
      <c r="AR20" s="79">
        <f t="shared" si="38"/>
        <v>513650</v>
      </c>
      <c r="AS20" s="79">
        <v>516200</v>
      </c>
      <c r="AT20" s="84">
        <f t="shared" si="16"/>
        <v>2550</v>
      </c>
      <c r="AU20" s="79">
        <f t="shared" si="39"/>
        <v>461290</v>
      </c>
      <c r="AV20" s="79">
        <v>462920</v>
      </c>
      <c r="AW20" s="84">
        <f t="shared" si="17"/>
        <v>1630</v>
      </c>
      <c r="AX20" s="79">
        <f t="shared" si="40"/>
        <v>361940</v>
      </c>
      <c r="AY20" s="79">
        <v>363110</v>
      </c>
      <c r="AZ20" s="84">
        <f t="shared" si="18"/>
        <v>1170</v>
      </c>
      <c r="BA20" s="79">
        <f t="shared" si="41"/>
        <v>990530</v>
      </c>
      <c r="BB20" s="79">
        <v>994180</v>
      </c>
      <c r="BC20" s="84">
        <f t="shared" si="19"/>
        <v>3650</v>
      </c>
      <c r="BD20" s="84">
        <f t="shared" si="42"/>
        <v>20749</v>
      </c>
      <c r="BE20" s="84">
        <v>20848</v>
      </c>
      <c r="BF20" s="84">
        <f t="shared" si="43"/>
        <v>99</v>
      </c>
      <c r="BG20" s="79">
        <f t="shared" si="44"/>
        <v>16747</v>
      </c>
      <c r="BH20" s="79">
        <v>16813</v>
      </c>
      <c r="BI20" s="193">
        <f t="shared" si="20"/>
        <v>66</v>
      </c>
      <c r="BJ20" s="79">
        <f t="shared" si="45"/>
        <v>15488</v>
      </c>
      <c r="BK20" s="79">
        <v>15553</v>
      </c>
      <c r="BL20" s="84">
        <f t="shared" si="21"/>
        <v>65</v>
      </c>
      <c r="BM20" s="79">
        <f t="shared" si="46"/>
        <v>24659</v>
      </c>
      <c r="BN20" s="79">
        <v>24766</v>
      </c>
      <c r="BO20" s="84">
        <f t="shared" si="22"/>
        <v>107</v>
      </c>
      <c r="BP20" s="79">
        <f t="shared" si="47"/>
        <v>17430</v>
      </c>
      <c r="BQ20" s="79">
        <v>17513</v>
      </c>
      <c r="BR20" s="84">
        <f t="shared" si="23"/>
        <v>83</v>
      </c>
      <c r="BS20" s="79">
        <f t="shared" si="48"/>
        <v>18333</v>
      </c>
      <c r="BT20" s="79">
        <v>18385</v>
      </c>
      <c r="BU20" s="84">
        <f t="shared" si="24"/>
        <v>52</v>
      </c>
      <c r="BV20" s="79">
        <f t="shared" si="49"/>
        <v>12728</v>
      </c>
      <c r="BW20" s="79">
        <v>12779</v>
      </c>
      <c r="BX20" s="84">
        <f t="shared" si="25"/>
        <v>51</v>
      </c>
      <c r="BY20" s="79">
        <f t="shared" si="50"/>
        <v>33049</v>
      </c>
      <c r="BZ20" s="79">
        <v>33152</v>
      </c>
      <c r="CA20" s="84">
        <f t="shared" si="26"/>
        <v>103</v>
      </c>
      <c r="CB20" s="79">
        <f t="shared" si="51"/>
        <v>26235</v>
      </c>
      <c r="CC20" s="79">
        <v>26315</v>
      </c>
      <c r="CD20" s="84">
        <f t="shared" si="27"/>
        <v>80</v>
      </c>
      <c r="CE20" s="79">
        <f t="shared" si="52"/>
        <v>76981</v>
      </c>
      <c r="CF20" s="79">
        <v>77238</v>
      </c>
      <c r="CG20" s="84">
        <f t="shared" si="28"/>
        <v>257</v>
      </c>
      <c r="CH20" s="79">
        <f t="shared" si="53"/>
        <v>48581</v>
      </c>
      <c r="CI20" s="79">
        <v>48976</v>
      </c>
      <c r="CJ20" s="84">
        <f t="shared" si="29"/>
        <v>395</v>
      </c>
      <c r="CK20" s="79">
        <f t="shared" si="54"/>
        <v>12777</v>
      </c>
      <c r="CL20" s="79">
        <v>12826</v>
      </c>
      <c r="CM20" s="84">
        <f t="shared" si="30"/>
        <v>49</v>
      </c>
      <c r="CN20" s="79">
        <f t="shared" si="55"/>
        <v>45566</v>
      </c>
      <c r="CO20" s="79">
        <v>45689</v>
      </c>
      <c r="CP20" s="84">
        <f t="shared" si="31"/>
        <v>123</v>
      </c>
    </row>
    <row r="21" spans="1:1028" s="3" customFormat="1" ht="13.5" customHeight="1" x14ac:dyDescent="0.2">
      <c r="A21" s="98">
        <v>13</v>
      </c>
      <c r="B21" s="75">
        <f t="shared" si="32"/>
        <v>25237687</v>
      </c>
      <c r="C21" s="75">
        <v>25241162</v>
      </c>
      <c r="D21" s="76">
        <f t="shared" si="0"/>
        <v>3475</v>
      </c>
      <c r="E21" s="77">
        <f t="shared" si="56"/>
        <v>22175318</v>
      </c>
      <c r="F21" s="77">
        <v>22179764</v>
      </c>
      <c r="G21" s="77">
        <f t="shared" si="33"/>
        <v>4446</v>
      </c>
      <c r="H21" s="79">
        <f t="shared" si="34"/>
        <v>84299441</v>
      </c>
      <c r="I21" s="79">
        <v>84312596</v>
      </c>
      <c r="J21" s="84">
        <f t="shared" si="1"/>
        <v>13155</v>
      </c>
      <c r="K21" s="79">
        <f t="shared" si="57"/>
        <v>1811600</v>
      </c>
      <c r="L21" s="79">
        <v>1813400</v>
      </c>
      <c r="M21" s="84">
        <f t="shared" si="2"/>
        <v>1800</v>
      </c>
      <c r="N21" s="79">
        <f t="shared" si="58"/>
        <v>2448764</v>
      </c>
      <c r="O21" s="79">
        <v>2451411</v>
      </c>
      <c r="P21" s="84">
        <f t="shared" si="3"/>
        <v>2647</v>
      </c>
      <c r="Q21" s="79">
        <f t="shared" si="35"/>
        <v>1479500</v>
      </c>
      <c r="R21" s="79">
        <v>1481200</v>
      </c>
      <c r="S21" s="84">
        <f t="shared" si="4"/>
        <v>1700</v>
      </c>
      <c r="T21" s="79">
        <f t="shared" si="59"/>
        <v>684376</v>
      </c>
      <c r="U21" s="79">
        <v>684985</v>
      </c>
      <c r="V21" s="84">
        <f t="shared" si="5"/>
        <v>609</v>
      </c>
      <c r="W21" s="79">
        <f t="shared" si="60"/>
        <v>7097400</v>
      </c>
      <c r="X21" s="79">
        <v>7103500</v>
      </c>
      <c r="Y21" s="84">
        <f t="shared" si="6"/>
        <v>6100</v>
      </c>
      <c r="Z21" s="79">
        <f t="shared" si="61"/>
        <v>1577600</v>
      </c>
      <c r="AA21" s="79">
        <v>1579600</v>
      </c>
      <c r="AB21" s="84">
        <f t="shared" si="7"/>
        <v>2000</v>
      </c>
      <c r="AC21" s="79">
        <f t="shared" si="8"/>
        <v>460837</v>
      </c>
      <c r="AD21" s="79">
        <v>461238</v>
      </c>
      <c r="AE21" s="84">
        <f t="shared" si="9"/>
        <v>401</v>
      </c>
      <c r="AF21" s="79">
        <f t="shared" si="10"/>
        <v>327820</v>
      </c>
      <c r="AG21" s="79">
        <v>328170</v>
      </c>
      <c r="AH21" s="84">
        <f t="shared" si="11"/>
        <v>350</v>
      </c>
      <c r="AI21" s="79">
        <f t="shared" si="12"/>
        <v>558330</v>
      </c>
      <c r="AJ21" s="79">
        <v>559130</v>
      </c>
      <c r="AK21" s="84">
        <f t="shared" si="13"/>
        <v>800</v>
      </c>
      <c r="AL21" s="79">
        <f t="shared" si="36"/>
        <v>1025800</v>
      </c>
      <c r="AM21" s="79">
        <v>1027000</v>
      </c>
      <c r="AN21" s="84">
        <f t="shared" si="14"/>
        <v>1200</v>
      </c>
      <c r="AO21" s="79">
        <f t="shared" si="37"/>
        <v>652800</v>
      </c>
      <c r="AP21" s="79">
        <v>653630</v>
      </c>
      <c r="AQ21" s="84">
        <f t="shared" si="15"/>
        <v>830</v>
      </c>
      <c r="AR21" s="79">
        <f t="shared" si="38"/>
        <v>516200</v>
      </c>
      <c r="AS21" s="79">
        <v>516430</v>
      </c>
      <c r="AT21" s="84">
        <f t="shared" si="16"/>
        <v>230</v>
      </c>
      <c r="AU21" s="79">
        <f t="shared" si="39"/>
        <v>462920</v>
      </c>
      <c r="AV21" s="79">
        <v>464450</v>
      </c>
      <c r="AW21" s="84">
        <f t="shared" si="17"/>
        <v>1530</v>
      </c>
      <c r="AX21" s="79">
        <f t="shared" si="40"/>
        <v>363110</v>
      </c>
      <c r="AY21" s="79">
        <v>364270</v>
      </c>
      <c r="AZ21" s="84">
        <f t="shared" si="18"/>
        <v>1160</v>
      </c>
      <c r="BA21" s="79">
        <f t="shared" si="41"/>
        <v>994180</v>
      </c>
      <c r="BB21" s="79">
        <v>997730</v>
      </c>
      <c r="BC21" s="84">
        <f t="shared" si="19"/>
        <v>3550</v>
      </c>
      <c r="BD21" s="84">
        <f t="shared" si="42"/>
        <v>20848</v>
      </c>
      <c r="BE21" s="84">
        <v>20951</v>
      </c>
      <c r="BF21" s="84">
        <f t="shared" si="43"/>
        <v>103</v>
      </c>
      <c r="BG21" s="79">
        <f t="shared" si="44"/>
        <v>16813</v>
      </c>
      <c r="BH21" s="79">
        <v>16893</v>
      </c>
      <c r="BI21" s="193">
        <f t="shared" si="20"/>
        <v>80</v>
      </c>
      <c r="BJ21" s="79">
        <f t="shared" si="45"/>
        <v>15553</v>
      </c>
      <c r="BK21" s="79">
        <v>15616</v>
      </c>
      <c r="BL21" s="84">
        <f t="shared" si="21"/>
        <v>63</v>
      </c>
      <c r="BM21" s="79">
        <f t="shared" si="46"/>
        <v>24766</v>
      </c>
      <c r="BN21" s="79">
        <v>24870</v>
      </c>
      <c r="BO21" s="84">
        <f t="shared" si="22"/>
        <v>104</v>
      </c>
      <c r="BP21" s="79">
        <f t="shared" si="47"/>
        <v>17513</v>
      </c>
      <c r="BQ21" s="79">
        <v>17597</v>
      </c>
      <c r="BR21" s="84">
        <f t="shared" si="23"/>
        <v>84</v>
      </c>
      <c r="BS21" s="79">
        <f t="shared" si="48"/>
        <v>18385</v>
      </c>
      <c r="BT21" s="79">
        <v>18437</v>
      </c>
      <c r="BU21" s="84">
        <f t="shared" si="24"/>
        <v>52</v>
      </c>
      <c r="BV21" s="79">
        <f t="shared" si="49"/>
        <v>12779</v>
      </c>
      <c r="BW21" s="79">
        <v>12832</v>
      </c>
      <c r="BX21" s="84">
        <f t="shared" si="25"/>
        <v>53</v>
      </c>
      <c r="BY21" s="79">
        <f t="shared" si="50"/>
        <v>33152</v>
      </c>
      <c r="BZ21" s="79">
        <v>33261</v>
      </c>
      <c r="CA21" s="84">
        <f t="shared" si="26"/>
        <v>109</v>
      </c>
      <c r="CB21" s="79">
        <f t="shared" si="51"/>
        <v>26315</v>
      </c>
      <c r="CC21" s="79">
        <v>26397</v>
      </c>
      <c r="CD21" s="84">
        <f t="shared" si="27"/>
        <v>82</v>
      </c>
      <c r="CE21" s="79">
        <f t="shared" si="52"/>
        <v>77238</v>
      </c>
      <c r="CF21" s="79">
        <v>77517</v>
      </c>
      <c r="CG21" s="84">
        <f t="shared" si="28"/>
        <v>279</v>
      </c>
      <c r="CH21" s="79">
        <f t="shared" si="53"/>
        <v>48976</v>
      </c>
      <c r="CI21" s="79">
        <v>49355</v>
      </c>
      <c r="CJ21" s="84">
        <f t="shared" si="29"/>
        <v>379</v>
      </c>
      <c r="CK21" s="79">
        <f t="shared" si="54"/>
        <v>12826</v>
      </c>
      <c r="CL21" s="79">
        <v>12872</v>
      </c>
      <c r="CM21" s="84">
        <f t="shared" si="30"/>
        <v>46</v>
      </c>
      <c r="CN21" s="79">
        <f t="shared" si="55"/>
        <v>45689</v>
      </c>
      <c r="CO21" s="79">
        <v>45837</v>
      </c>
      <c r="CP21" s="84">
        <f t="shared" si="31"/>
        <v>148</v>
      </c>
    </row>
    <row r="22" spans="1:1028" s="3" customFormat="1" ht="13.5" customHeight="1" x14ac:dyDescent="0.2">
      <c r="A22" s="98">
        <v>14</v>
      </c>
      <c r="B22" s="75">
        <f t="shared" si="32"/>
        <v>25241162</v>
      </c>
      <c r="C22" s="75">
        <v>25244797</v>
      </c>
      <c r="D22" s="76">
        <f t="shared" si="0"/>
        <v>3635</v>
      </c>
      <c r="E22" s="77">
        <f t="shared" si="56"/>
        <v>22179764</v>
      </c>
      <c r="F22" s="77">
        <v>22184358</v>
      </c>
      <c r="G22" s="77">
        <f t="shared" si="33"/>
        <v>4594</v>
      </c>
      <c r="H22" s="79">
        <f t="shared" si="34"/>
        <v>84312596</v>
      </c>
      <c r="I22" s="79">
        <v>84326631</v>
      </c>
      <c r="J22" s="84">
        <f t="shared" si="1"/>
        <v>14035</v>
      </c>
      <c r="K22" s="79">
        <f t="shared" si="57"/>
        <v>1813400</v>
      </c>
      <c r="L22" s="79">
        <v>1815300</v>
      </c>
      <c r="M22" s="84">
        <f t="shared" si="2"/>
        <v>1900</v>
      </c>
      <c r="N22" s="79">
        <f t="shared" si="58"/>
        <v>2451411</v>
      </c>
      <c r="O22" s="79">
        <v>2454123</v>
      </c>
      <c r="P22" s="84">
        <f t="shared" si="3"/>
        <v>2712</v>
      </c>
      <c r="Q22" s="79">
        <f t="shared" si="35"/>
        <v>1481200</v>
      </c>
      <c r="R22" s="79">
        <v>1483200</v>
      </c>
      <c r="S22" s="84">
        <f t="shared" si="4"/>
        <v>2000</v>
      </c>
      <c r="T22" s="79">
        <f t="shared" si="59"/>
        <v>684985</v>
      </c>
      <c r="U22" s="79">
        <v>685632</v>
      </c>
      <c r="V22" s="84">
        <f t="shared" si="5"/>
        <v>647</v>
      </c>
      <c r="W22" s="79">
        <f t="shared" si="60"/>
        <v>7103500</v>
      </c>
      <c r="X22" s="79">
        <v>7110200</v>
      </c>
      <c r="Y22" s="84">
        <f t="shared" si="6"/>
        <v>6700</v>
      </c>
      <c r="Z22" s="79">
        <f t="shared" si="61"/>
        <v>1579600</v>
      </c>
      <c r="AA22" s="79">
        <v>1581500</v>
      </c>
      <c r="AB22" s="84">
        <f t="shared" si="7"/>
        <v>1900</v>
      </c>
      <c r="AC22" s="79">
        <f t="shared" si="8"/>
        <v>461238</v>
      </c>
      <c r="AD22" s="79">
        <v>461833</v>
      </c>
      <c r="AE22" s="84">
        <f t="shared" si="9"/>
        <v>595</v>
      </c>
      <c r="AF22" s="79">
        <f t="shared" si="10"/>
        <v>328170</v>
      </c>
      <c r="AG22" s="79">
        <v>328560</v>
      </c>
      <c r="AH22" s="84">
        <f t="shared" si="11"/>
        <v>390</v>
      </c>
      <c r="AI22" s="79">
        <f t="shared" si="12"/>
        <v>559130</v>
      </c>
      <c r="AJ22" s="79">
        <v>559950</v>
      </c>
      <c r="AK22" s="84">
        <f t="shared" si="13"/>
        <v>820</v>
      </c>
      <c r="AL22" s="79">
        <f t="shared" si="36"/>
        <v>1027000</v>
      </c>
      <c r="AM22" s="79">
        <v>1028300</v>
      </c>
      <c r="AN22" s="84">
        <f t="shared" si="14"/>
        <v>1300</v>
      </c>
      <c r="AO22" s="79">
        <f t="shared" si="37"/>
        <v>653630</v>
      </c>
      <c r="AP22" s="79">
        <v>654510</v>
      </c>
      <c r="AQ22" s="84">
        <f t="shared" si="15"/>
        <v>880</v>
      </c>
      <c r="AR22" s="79">
        <f t="shared" si="38"/>
        <v>516430</v>
      </c>
      <c r="AS22" s="79">
        <v>518640</v>
      </c>
      <c r="AT22" s="84">
        <f t="shared" si="16"/>
        <v>2210</v>
      </c>
      <c r="AU22" s="79">
        <f t="shared" si="39"/>
        <v>464450</v>
      </c>
      <c r="AV22" s="79">
        <v>465890</v>
      </c>
      <c r="AW22" s="84">
        <f t="shared" si="17"/>
        <v>1440</v>
      </c>
      <c r="AX22" s="79">
        <f t="shared" si="40"/>
        <v>364270</v>
      </c>
      <c r="AY22" s="79">
        <v>365410</v>
      </c>
      <c r="AZ22" s="84">
        <f t="shared" si="18"/>
        <v>1140</v>
      </c>
      <c r="BA22" s="79">
        <f t="shared" si="41"/>
        <v>997730</v>
      </c>
      <c r="BB22" s="79">
        <v>1001700</v>
      </c>
      <c r="BC22" s="84">
        <f t="shared" si="19"/>
        <v>3970</v>
      </c>
      <c r="BD22" s="84">
        <f t="shared" si="42"/>
        <v>20951</v>
      </c>
      <c r="BE22" s="84">
        <v>21058</v>
      </c>
      <c r="BF22" s="84">
        <f t="shared" si="43"/>
        <v>107</v>
      </c>
      <c r="BG22" s="79">
        <f t="shared" si="44"/>
        <v>16893</v>
      </c>
      <c r="BH22" s="79">
        <v>16977</v>
      </c>
      <c r="BI22" s="193">
        <f t="shared" si="20"/>
        <v>84</v>
      </c>
      <c r="BJ22" s="79">
        <f t="shared" si="45"/>
        <v>15616</v>
      </c>
      <c r="BK22" s="79">
        <v>15688</v>
      </c>
      <c r="BL22" s="84">
        <f t="shared" si="21"/>
        <v>72</v>
      </c>
      <c r="BM22" s="79">
        <f t="shared" si="46"/>
        <v>24870</v>
      </c>
      <c r="BN22" s="79">
        <v>24980</v>
      </c>
      <c r="BO22" s="84">
        <f t="shared" si="22"/>
        <v>110</v>
      </c>
      <c r="BP22" s="79">
        <f t="shared" si="47"/>
        <v>17597</v>
      </c>
      <c r="BQ22" s="79">
        <v>17681</v>
      </c>
      <c r="BR22" s="84">
        <f t="shared" si="23"/>
        <v>84</v>
      </c>
      <c r="BS22" s="79">
        <f t="shared" si="48"/>
        <v>18437</v>
      </c>
      <c r="BT22" s="79">
        <v>18493</v>
      </c>
      <c r="BU22" s="84">
        <f t="shared" si="24"/>
        <v>56</v>
      </c>
      <c r="BV22" s="79">
        <f t="shared" si="49"/>
        <v>12832</v>
      </c>
      <c r="BW22" s="79">
        <v>12886</v>
      </c>
      <c r="BX22" s="84">
        <f t="shared" si="25"/>
        <v>54</v>
      </c>
      <c r="BY22" s="79">
        <f t="shared" si="50"/>
        <v>33261</v>
      </c>
      <c r="BZ22" s="79">
        <v>33381</v>
      </c>
      <c r="CA22" s="84">
        <f t="shared" si="26"/>
        <v>120</v>
      </c>
      <c r="CB22" s="79">
        <f t="shared" si="51"/>
        <v>26397</v>
      </c>
      <c r="CC22" s="79">
        <v>26480</v>
      </c>
      <c r="CD22" s="84">
        <f t="shared" si="27"/>
        <v>83</v>
      </c>
      <c r="CE22" s="79">
        <f t="shared" si="52"/>
        <v>77517</v>
      </c>
      <c r="CF22" s="79">
        <v>77770</v>
      </c>
      <c r="CG22" s="84">
        <f t="shared" si="28"/>
        <v>253</v>
      </c>
      <c r="CH22" s="79">
        <f t="shared" si="53"/>
        <v>49355</v>
      </c>
      <c r="CI22" s="79">
        <v>49748</v>
      </c>
      <c r="CJ22" s="84">
        <f t="shared" si="29"/>
        <v>393</v>
      </c>
      <c r="CK22" s="79">
        <f t="shared" si="54"/>
        <v>12872</v>
      </c>
      <c r="CL22" s="79">
        <v>12923</v>
      </c>
      <c r="CM22" s="84">
        <f t="shared" si="30"/>
        <v>51</v>
      </c>
      <c r="CN22" s="79">
        <f t="shared" si="55"/>
        <v>45837</v>
      </c>
      <c r="CO22" s="79">
        <v>46023</v>
      </c>
      <c r="CP22" s="84">
        <f t="shared" si="31"/>
        <v>186</v>
      </c>
    </row>
    <row r="23" spans="1:1028" s="3" customFormat="1" ht="13.5" customHeight="1" x14ac:dyDescent="0.2">
      <c r="A23" s="98">
        <v>15</v>
      </c>
      <c r="B23" s="75">
        <f t="shared" si="32"/>
        <v>25244797</v>
      </c>
      <c r="C23" s="75">
        <v>25248517</v>
      </c>
      <c r="D23" s="76">
        <f t="shared" si="0"/>
        <v>3720</v>
      </c>
      <c r="E23" s="77">
        <f t="shared" si="56"/>
        <v>22184358</v>
      </c>
      <c r="F23" s="77">
        <v>22188847</v>
      </c>
      <c r="G23" s="77">
        <f t="shared" si="33"/>
        <v>4489</v>
      </c>
      <c r="H23" s="79">
        <f t="shared" si="34"/>
        <v>84326631</v>
      </c>
      <c r="I23" s="79">
        <v>84341023</v>
      </c>
      <c r="J23" s="84">
        <f t="shared" si="1"/>
        <v>14392</v>
      </c>
      <c r="K23" s="79">
        <f t="shared" si="57"/>
        <v>1815300</v>
      </c>
      <c r="L23" s="79">
        <v>1817200</v>
      </c>
      <c r="M23" s="84">
        <f t="shared" si="2"/>
        <v>1900</v>
      </c>
      <c r="N23" s="79">
        <f t="shared" si="58"/>
        <v>2454123</v>
      </c>
      <c r="O23" s="79">
        <v>2456857</v>
      </c>
      <c r="P23" s="84">
        <f t="shared" si="3"/>
        <v>2734</v>
      </c>
      <c r="Q23" s="79">
        <f t="shared" si="35"/>
        <v>1483200</v>
      </c>
      <c r="R23" s="79">
        <v>1485600</v>
      </c>
      <c r="S23" s="84">
        <f t="shared" si="4"/>
        <v>2400</v>
      </c>
      <c r="T23" s="79">
        <f t="shared" si="59"/>
        <v>685632</v>
      </c>
      <c r="U23" s="79">
        <v>686173</v>
      </c>
      <c r="V23" s="84">
        <f t="shared" si="5"/>
        <v>541</v>
      </c>
      <c r="W23" s="79">
        <f t="shared" si="60"/>
        <v>7110200</v>
      </c>
      <c r="X23" s="79">
        <v>7116900</v>
      </c>
      <c r="Y23" s="84">
        <f t="shared" si="6"/>
        <v>6700</v>
      </c>
      <c r="Z23" s="79">
        <f t="shared" si="61"/>
        <v>1581500</v>
      </c>
      <c r="AA23" s="79">
        <v>1583600</v>
      </c>
      <c r="AB23" s="84">
        <f t="shared" si="7"/>
        <v>2100</v>
      </c>
      <c r="AC23" s="79">
        <f t="shared" si="8"/>
        <v>461833</v>
      </c>
      <c r="AD23" s="79">
        <v>462010</v>
      </c>
      <c r="AE23" s="84">
        <f t="shared" si="9"/>
        <v>177</v>
      </c>
      <c r="AF23" s="79">
        <f t="shared" si="10"/>
        <v>328560</v>
      </c>
      <c r="AG23" s="79">
        <v>328930</v>
      </c>
      <c r="AH23" s="84">
        <f t="shared" si="11"/>
        <v>370</v>
      </c>
      <c r="AI23" s="79">
        <f t="shared" si="12"/>
        <v>559950</v>
      </c>
      <c r="AJ23" s="79">
        <v>560790</v>
      </c>
      <c r="AK23" s="84">
        <f t="shared" si="13"/>
        <v>840</v>
      </c>
      <c r="AL23" s="79">
        <f t="shared" si="36"/>
        <v>1028300</v>
      </c>
      <c r="AM23" s="79">
        <v>1029500</v>
      </c>
      <c r="AN23" s="84">
        <f t="shared" si="14"/>
        <v>1200</v>
      </c>
      <c r="AO23" s="79">
        <f t="shared" si="37"/>
        <v>654510</v>
      </c>
      <c r="AP23" s="79">
        <v>655350</v>
      </c>
      <c r="AQ23" s="84">
        <f t="shared" si="15"/>
        <v>840</v>
      </c>
      <c r="AR23" s="79">
        <f t="shared" si="38"/>
        <v>518640</v>
      </c>
      <c r="AS23" s="79">
        <v>519910</v>
      </c>
      <c r="AT23" s="84">
        <f t="shared" si="16"/>
        <v>1270</v>
      </c>
      <c r="AU23" s="79">
        <f t="shared" si="39"/>
        <v>465890</v>
      </c>
      <c r="AV23" s="79">
        <v>467490</v>
      </c>
      <c r="AW23" s="84">
        <f t="shared" si="17"/>
        <v>1600</v>
      </c>
      <c r="AX23" s="79">
        <f t="shared" si="40"/>
        <v>365410</v>
      </c>
      <c r="AY23" s="79">
        <v>366640</v>
      </c>
      <c r="AZ23" s="84">
        <f t="shared" si="18"/>
        <v>1230</v>
      </c>
      <c r="BA23" s="79">
        <f t="shared" si="41"/>
        <v>1001700</v>
      </c>
      <c r="BB23" s="79">
        <v>1005400</v>
      </c>
      <c r="BC23" s="84">
        <f t="shared" si="19"/>
        <v>3700</v>
      </c>
      <c r="BD23" s="84">
        <f t="shared" si="42"/>
        <v>21058</v>
      </c>
      <c r="BE23" s="84">
        <v>21164</v>
      </c>
      <c r="BF23" s="84">
        <f t="shared" si="43"/>
        <v>106</v>
      </c>
      <c r="BG23" s="79">
        <f t="shared" si="44"/>
        <v>16977</v>
      </c>
      <c r="BH23" s="79">
        <v>17056</v>
      </c>
      <c r="BI23" s="193">
        <f t="shared" si="20"/>
        <v>79</v>
      </c>
      <c r="BJ23" s="79">
        <f t="shared" si="45"/>
        <v>15688</v>
      </c>
      <c r="BK23" s="79">
        <v>15750</v>
      </c>
      <c r="BL23" s="84">
        <f t="shared" si="21"/>
        <v>62</v>
      </c>
      <c r="BM23" s="79">
        <f t="shared" si="46"/>
        <v>24980</v>
      </c>
      <c r="BN23" s="79">
        <v>25084</v>
      </c>
      <c r="BO23" s="84">
        <f t="shared" si="22"/>
        <v>104</v>
      </c>
      <c r="BP23" s="79">
        <f t="shared" si="47"/>
        <v>17681</v>
      </c>
      <c r="BQ23" s="79">
        <v>17769</v>
      </c>
      <c r="BR23" s="84">
        <f t="shared" si="23"/>
        <v>88</v>
      </c>
      <c r="BS23" s="79">
        <f t="shared" si="48"/>
        <v>18493</v>
      </c>
      <c r="BT23" s="79">
        <v>18548</v>
      </c>
      <c r="BU23" s="84">
        <f t="shared" si="24"/>
        <v>55</v>
      </c>
      <c r="BV23" s="79">
        <f t="shared" si="49"/>
        <v>12886</v>
      </c>
      <c r="BW23" s="79">
        <v>12934</v>
      </c>
      <c r="BX23" s="84">
        <f t="shared" si="25"/>
        <v>48</v>
      </c>
      <c r="BY23" s="79">
        <f t="shared" si="50"/>
        <v>33381</v>
      </c>
      <c r="BZ23" s="79">
        <v>33534</v>
      </c>
      <c r="CA23" s="84">
        <f t="shared" si="26"/>
        <v>153</v>
      </c>
      <c r="CB23" s="79">
        <f t="shared" si="51"/>
        <v>26480</v>
      </c>
      <c r="CC23" s="79">
        <v>26564</v>
      </c>
      <c r="CD23" s="84">
        <f t="shared" si="27"/>
        <v>84</v>
      </c>
      <c r="CE23" s="79">
        <f t="shared" si="52"/>
        <v>77770</v>
      </c>
      <c r="CF23" s="79">
        <v>78032</v>
      </c>
      <c r="CG23" s="84">
        <f t="shared" si="28"/>
        <v>262</v>
      </c>
      <c r="CH23" s="79">
        <f t="shared" si="53"/>
        <v>49748</v>
      </c>
      <c r="CI23" s="79">
        <v>50316</v>
      </c>
      <c r="CJ23" s="84">
        <f t="shared" si="29"/>
        <v>568</v>
      </c>
      <c r="CK23" s="79">
        <f t="shared" si="54"/>
        <v>12923</v>
      </c>
      <c r="CL23" s="79">
        <v>12974</v>
      </c>
      <c r="CM23" s="84">
        <f t="shared" si="30"/>
        <v>51</v>
      </c>
      <c r="CN23" s="79">
        <f t="shared" si="55"/>
        <v>46023</v>
      </c>
      <c r="CO23" s="79">
        <v>46190</v>
      </c>
      <c r="CP23" s="84">
        <f t="shared" si="31"/>
        <v>167</v>
      </c>
    </row>
    <row r="24" spans="1:1028" s="3" customFormat="1" ht="13.5" customHeight="1" x14ac:dyDescent="0.2">
      <c r="A24" s="98">
        <v>16</v>
      </c>
      <c r="B24" s="75">
        <f t="shared" si="32"/>
        <v>25248517</v>
      </c>
      <c r="C24" s="75">
        <v>25252202</v>
      </c>
      <c r="D24" s="76">
        <f t="shared" si="0"/>
        <v>3685</v>
      </c>
      <c r="E24" s="77">
        <f t="shared" si="56"/>
        <v>22188847</v>
      </c>
      <c r="F24" s="77">
        <v>22193189</v>
      </c>
      <c r="G24" s="77">
        <f t="shared" si="33"/>
        <v>4342</v>
      </c>
      <c r="H24" s="79">
        <f t="shared" si="34"/>
        <v>84341023</v>
      </c>
      <c r="I24" s="79">
        <v>84354848</v>
      </c>
      <c r="J24" s="84">
        <f t="shared" si="1"/>
        <v>13825</v>
      </c>
      <c r="K24" s="79">
        <f t="shared" si="57"/>
        <v>1817200</v>
      </c>
      <c r="L24" s="79">
        <v>1819100</v>
      </c>
      <c r="M24" s="84">
        <f t="shared" si="2"/>
        <v>1900</v>
      </c>
      <c r="N24" s="79">
        <f t="shared" si="58"/>
        <v>2456857</v>
      </c>
      <c r="O24" s="79">
        <v>2459502</v>
      </c>
      <c r="P24" s="84">
        <f t="shared" si="3"/>
        <v>2645</v>
      </c>
      <c r="Q24" s="79">
        <f t="shared" si="35"/>
        <v>1485600</v>
      </c>
      <c r="R24" s="79">
        <v>1487200</v>
      </c>
      <c r="S24" s="84">
        <f t="shared" si="4"/>
        <v>1600</v>
      </c>
      <c r="T24" s="79">
        <f t="shared" si="59"/>
        <v>686173</v>
      </c>
      <c r="U24" s="79">
        <v>686784</v>
      </c>
      <c r="V24" s="84">
        <f t="shared" si="5"/>
        <v>611</v>
      </c>
      <c r="W24" s="79">
        <f t="shared" si="60"/>
        <v>7116900</v>
      </c>
      <c r="X24" s="79">
        <v>7123400</v>
      </c>
      <c r="Y24" s="84">
        <f t="shared" si="6"/>
        <v>6500</v>
      </c>
      <c r="Z24" s="79">
        <f t="shared" si="61"/>
        <v>1583600</v>
      </c>
      <c r="AA24" s="79">
        <v>1586100</v>
      </c>
      <c r="AB24" s="84">
        <f t="shared" si="7"/>
        <v>2500</v>
      </c>
      <c r="AC24" s="79">
        <f t="shared" si="8"/>
        <v>462010</v>
      </c>
      <c r="AD24" s="79">
        <v>462411</v>
      </c>
      <c r="AE24" s="84">
        <f t="shared" si="9"/>
        <v>401</v>
      </c>
      <c r="AF24" s="79">
        <f t="shared" si="10"/>
        <v>328930</v>
      </c>
      <c r="AG24" s="79">
        <v>329300</v>
      </c>
      <c r="AH24" s="84">
        <f t="shared" si="11"/>
        <v>370</v>
      </c>
      <c r="AI24" s="79">
        <f t="shared" si="12"/>
        <v>560790</v>
      </c>
      <c r="AJ24" s="79">
        <v>561640</v>
      </c>
      <c r="AK24" s="84">
        <f t="shared" si="13"/>
        <v>850</v>
      </c>
      <c r="AL24" s="79">
        <f t="shared" si="36"/>
        <v>1029500</v>
      </c>
      <c r="AM24" s="79">
        <v>1030900</v>
      </c>
      <c r="AN24" s="84">
        <f t="shared" si="14"/>
        <v>1400</v>
      </c>
      <c r="AO24" s="79">
        <f t="shared" si="37"/>
        <v>655350</v>
      </c>
      <c r="AP24" s="79">
        <v>656220</v>
      </c>
      <c r="AQ24" s="84">
        <f t="shared" si="15"/>
        <v>870</v>
      </c>
      <c r="AR24" s="79">
        <f t="shared" si="38"/>
        <v>519910</v>
      </c>
      <c r="AS24" s="79">
        <v>520500</v>
      </c>
      <c r="AT24" s="84">
        <f t="shared" si="16"/>
        <v>590</v>
      </c>
      <c r="AU24" s="79">
        <f t="shared" si="39"/>
        <v>467490</v>
      </c>
      <c r="AV24" s="79">
        <v>469080</v>
      </c>
      <c r="AW24" s="84">
        <f t="shared" si="17"/>
        <v>1590</v>
      </c>
      <c r="AX24" s="79">
        <f t="shared" si="40"/>
        <v>366640</v>
      </c>
      <c r="AY24" s="79">
        <v>367840</v>
      </c>
      <c r="AZ24" s="84">
        <f t="shared" si="18"/>
        <v>1200</v>
      </c>
      <c r="BA24" s="79">
        <f t="shared" si="41"/>
        <v>1005400</v>
      </c>
      <c r="BB24" s="79">
        <v>1009600</v>
      </c>
      <c r="BC24" s="84">
        <f t="shared" si="19"/>
        <v>4200</v>
      </c>
      <c r="BD24" s="84">
        <f t="shared" si="42"/>
        <v>21164</v>
      </c>
      <c r="BE24" s="84">
        <v>21258</v>
      </c>
      <c r="BF24" s="84">
        <f t="shared" si="43"/>
        <v>94</v>
      </c>
      <c r="BG24" s="79">
        <f t="shared" si="44"/>
        <v>17056</v>
      </c>
      <c r="BH24" s="79">
        <v>17128</v>
      </c>
      <c r="BI24" s="193">
        <f t="shared" si="20"/>
        <v>72</v>
      </c>
      <c r="BJ24" s="79">
        <f t="shared" si="45"/>
        <v>15750</v>
      </c>
      <c r="BK24" s="79">
        <v>15804</v>
      </c>
      <c r="BL24" s="84">
        <f t="shared" si="21"/>
        <v>54</v>
      </c>
      <c r="BM24" s="79">
        <f t="shared" si="46"/>
        <v>25084</v>
      </c>
      <c r="BN24" s="79">
        <v>25195</v>
      </c>
      <c r="BO24" s="84">
        <f t="shared" si="22"/>
        <v>111</v>
      </c>
      <c r="BP24" s="79">
        <f t="shared" si="47"/>
        <v>17769</v>
      </c>
      <c r="BQ24" s="79">
        <v>17856</v>
      </c>
      <c r="BR24" s="84">
        <f t="shared" si="23"/>
        <v>87</v>
      </c>
      <c r="BS24" s="79">
        <f t="shared" si="48"/>
        <v>18548</v>
      </c>
      <c r="BT24" s="79">
        <v>18605</v>
      </c>
      <c r="BU24" s="84">
        <f t="shared" si="24"/>
        <v>57</v>
      </c>
      <c r="BV24" s="79">
        <f t="shared" si="49"/>
        <v>12934</v>
      </c>
      <c r="BW24" s="79">
        <v>12981</v>
      </c>
      <c r="BX24" s="84">
        <f t="shared" si="25"/>
        <v>47</v>
      </c>
      <c r="BY24" s="79">
        <f t="shared" si="50"/>
        <v>33534</v>
      </c>
      <c r="BZ24" s="79">
        <v>33638</v>
      </c>
      <c r="CA24" s="84">
        <f t="shared" si="26"/>
        <v>104</v>
      </c>
      <c r="CB24" s="79">
        <f t="shared" si="51"/>
        <v>26564</v>
      </c>
      <c r="CC24" s="79">
        <v>26644</v>
      </c>
      <c r="CD24" s="84">
        <f t="shared" si="27"/>
        <v>80</v>
      </c>
      <c r="CE24" s="79">
        <f t="shared" si="52"/>
        <v>78032</v>
      </c>
      <c r="CF24" s="79">
        <v>78292</v>
      </c>
      <c r="CG24" s="84">
        <f t="shared" si="28"/>
        <v>260</v>
      </c>
      <c r="CH24" s="79">
        <f t="shared" si="53"/>
        <v>50316</v>
      </c>
      <c r="CI24" s="79">
        <v>50492</v>
      </c>
      <c r="CJ24" s="84">
        <f t="shared" si="29"/>
        <v>176</v>
      </c>
      <c r="CK24" s="79">
        <f t="shared" si="54"/>
        <v>12974</v>
      </c>
      <c r="CL24" s="79">
        <v>13021</v>
      </c>
      <c r="CM24" s="84">
        <f t="shared" si="30"/>
        <v>47</v>
      </c>
      <c r="CN24" s="79">
        <f t="shared" si="55"/>
        <v>46190</v>
      </c>
      <c r="CO24" s="79">
        <v>46306</v>
      </c>
      <c r="CP24" s="84">
        <f t="shared" si="31"/>
        <v>116</v>
      </c>
    </row>
    <row r="25" spans="1:1028" s="3" customFormat="1" ht="13.5" customHeight="1" x14ac:dyDescent="0.2">
      <c r="A25" s="98">
        <v>17</v>
      </c>
      <c r="B25" s="75">
        <f t="shared" si="32"/>
        <v>25252202</v>
      </c>
      <c r="C25" s="75">
        <v>25255986</v>
      </c>
      <c r="D25" s="76">
        <f t="shared" si="0"/>
        <v>3784</v>
      </c>
      <c r="E25" s="77">
        <f t="shared" si="56"/>
        <v>22193189</v>
      </c>
      <c r="F25" s="77">
        <v>22198210</v>
      </c>
      <c r="G25" s="77">
        <f t="shared" si="33"/>
        <v>5021</v>
      </c>
      <c r="H25" s="79">
        <f>I24</f>
        <v>84354848</v>
      </c>
      <c r="I25" s="79">
        <v>84369311</v>
      </c>
      <c r="J25" s="84">
        <f t="shared" si="1"/>
        <v>14463</v>
      </c>
      <c r="K25" s="79">
        <f t="shared" si="57"/>
        <v>1819100</v>
      </c>
      <c r="L25" s="79">
        <v>1821000</v>
      </c>
      <c r="M25" s="84">
        <f t="shared" si="2"/>
        <v>1900</v>
      </c>
      <c r="N25" s="79">
        <f>O24</f>
        <v>2459502</v>
      </c>
      <c r="O25" s="79">
        <v>2462136</v>
      </c>
      <c r="P25" s="84">
        <f t="shared" si="3"/>
        <v>2634</v>
      </c>
      <c r="Q25" s="79">
        <f t="shared" si="35"/>
        <v>1487200</v>
      </c>
      <c r="R25" s="79">
        <v>1489400</v>
      </c>
      <c r="S25" s="84">
        <f t="shared" si="4"/>
        <v>2200</v>
      </c>
      <c r="T25" s="79">
        <f>U24</f>
        <v>686784</v>
      </c>
      <c r="U25" s="79">
        <v>687411</v>
      </c>
      <c r="V25" s="84">
        <f t="shared" si="5"/>
        <v>627</v>
      </c>
      <c r="W25" s="79">
        <f>X24</f>
        <v>7123400</v>
      </c>
      <c r="X25" s="79">
        <v>7130500</v>
      </c>
      <c r="Y25" s="84">
        <f t="shared" si="6"/>
        <v>7100</v>
      </c>
      <c r="Z25" s="79">
        <f>AA24</f>
        <v>1586100</v>
      </c>
      <c r="AA25" s="79">
        <v>1588200</v>
      </c>
      <c r="AB25" s="84">
        <f t="shared" si="7"/>
        <v>2100</v>
      </c>
      <c r="AC25" s="79">
        <f t="shared" si="8"/>
        <v>462411</v>
      </c>
      <c r="AD25" s="79">
        <v>462835</v>
      </c>
      <c r="AE25" s="84">
        <f t="shared" si="9"/>
        <v>424</v>
      </c>
      <c r="AF25" s="79">
        <f t="shared" si="10"/>
        <v>329300</v>
      </c>
      <c r="AG25" s="79">
        <v>329700</v>
      </c>
      <c r="AH25" s="84">
        <f t="shared" si="11"/>
        <v>400</v>
      </c>
      <c r="AI25" s="79">
        <f t="shared" si="12"/>
        <v>561640</v>
      </c>
      <c r="AJ25" s="79">
        <v>562490</v>
      </c>
      <c r="AK25" s="84">
        <f t="shared" si="13"/>
        <v>850</v>
      </c>
      <c r="AL25" s="79">
        <f t="shared" si="36"/>
        <v>1030900</v>
      </c>
      <c r="AM25" s="79">
        <v>1032200</v>
      </c>
      <c r="AN25" s="84">
        <f t="shared" si="14"/>
        <v>1300</v>
      </c>
      <c r="AO25" s="79">
        <f t="shared" si="37"/>
        <v>656220</v>
      </c>
      <c r="AP25" s="79">
        <v>657080</v>
      </c>
      <c r="AQ25" s="84">
        <f t="shared" si="15"/>
        <v>860</v>
      </c>
      <c r="AR25" s="79">
        <f t="shared" si="38"/>
        <v>520500</v>
      </c>
      <c r="AS25" s="79">
        <v>522340</v>
      </c>
      <c r="AT25" s="84">
        <f t="shared" si="16"/>
        <v>1840</v>
      </c>
      <c r="AU25" s="79">
        <f t="shared" si="39"/>
        <v>469080</v>
      </c>
      <c r="AV25" s="79">
        <v>470560</v>
      </c>
      <c r="AW25" s="84">
        <f t="shared" si="17"/>
        <v>1480</v>
      </c>
      <c r="AX25" s="79">
        <f t="shared" si="40"/>
        <v>367840</v>
      </c>
      <c r="AY25" s="79">
        <v>369070</v>
      </c>
      <c r="AZ25" s="84">
        <f t="shared" si="18"/>
        <v>1230</v>
      </c>
      <c r="BA25" s="79">
        <f t="shared" si="41"/>
        <v>1009600</v>
      </c>
      <c r="BB25" s="79">
        <v>1013200</v>
      </c>
      <c r="BC25" s="84">
        <f t="shared" si="19"/>
        <v>3600</v>
      </c>
      <c r="BD25" s="84">
        <f t="shared" si="42"/>
        <v>21258</v>
      </c>
      <c r="BE25" s="84">
        <v>21371</v>
      </c>
      <c r="BF25" s="84">
        <f t="shared" si="43"/>
        <v>113</v>
      </c>
      <c r="BG25" s="79">
        <f t="shared" si="44"/>
        <v>17128</v>
      </c>
      <c r="BH25" s="79">
        <v>17212</v>
      </c>
      <c r="BI25" s="193">
        <f t="shared" si="20"/>
        <v>84</v>
      </c>
      <c r="BJ25" s="79">
        <f t="shared" si="45"/>
        <v>15804</v>
      </c>
      <c r="BK25" s="79">
        <v>15879</v>
      </c>
      <c r="BL25" s="84">
        <f t="shared" si="21"/>
        <v>75</v>
      </c>
      <c r="BM25" s="79">
        <f t="shared" si="46"/>
        <v>25195</v>
      </c>
      <c r="BN25" s="79">
        <v>25301</v>
      </c>
      <c r="BO25" s="84">
        <f>BN25-BM25</f>
        <v>106</v>
      </c>
      <c r="BP25" s="79">
        <f t="shared" si="47"/>
        <v>17856</v>
      </c>
      <c r="BQ25" s="79">
        <v>17957</v>
      </c>
      <c r="BR25" s="84">
        <f t="shared" si="23"/>
        <v>101</v>
      </c>
      <c r="BS25" s="79">
        <f t="shared" si="48"/>
        <v>18605</v>
      </c>
      <c r="BT25" s="79">
        <v>18673</v>
      </c>
      <c r="BU25" s="84">
        <f t="shared" si="24"/>
        <v>68</v>
      </c>
      <c r="BV25" s="79">
        <f t="shared" si="49"/>
        <v>12981</v>
      </c>
      <c r="BW25" s="79">
        <v>13032</v>
      </c>
      <c r="BX25" s="84">
        <f t="shared" si="25"/>
        <v>51</v>
      </c>
      <c r="BY25" s="79">
        <f t="shared" si="50"/>
        <v>33638</v>
      </c>
      <c r="BZ25" s="79">
        <v>33770</v>
      </c>
      <c r="CA25" s="84">
        <f t="shared" si="26"/>
        <v>132</v>
      </c>
      <c r="CB25" s="79">
        <f t="shared" si="51"/>
        <v>26644</v>
      </c>
      <c r="CC25" s="79">
        <v>26730</v>
      </c>
      <c r="CD25" s="84">
        <f t="shared" si="27"/>
        <v>86</v>
      </c>
      <c r="CE25" s="79">
        <f t="shared" si="52"/>
        <v>78292</v>
      </c>
      <c r="CF25" s="79">
        <v>78564</v>
      </c>
      <c r="CG25" s="84">
        <f t="shared" si="28"/>
        <v>272</v>
      </c>
      <c r="CH25" s="79">
        <f t="shared" si="53"/>
        <v>50492</v>
      </c>
      <c r="CI25" s="79">
        <v>50880</v>
      </c>
      <c r="CJ25" s="84">
        <f t="shared" si="29"/>
        <v>388</v>
      </c>
      <c r="CK25" s="79">
        <f t="shared" si="54"/>
        <v>13021</v>
      </c>
      <c r="CL25" s="79">
        <v>13069</v>
      </c>
      <c r="CM25" s="84">
        <f t="shared" si="30"/>
        <v>48</v>
      </c>
      <c r="CN25" s="79">
        <f t="shared" si="55"/>
        <v>46306</v>
      </c>
      <c r="CO25" s="79">
        <v>46379</v>
      </c>
      <c r="CP25" s="84">
        <f t="shared" si="31"/>
        <v>73</v>
      </c>
    </row>
    <row r="26" spans="1:1028" s="3" customFormat="1" ht="13.5" customHeight="1" x14ac:dyDescent="0.2">
      <c r="A26" s="98">
        <v>18</v>
      </c>
      <c r="B26" s="75">
        <f t="shared" si="32"/>
        <v>25255986</v>
      </c>
      <c r="C26" s="75">
        <v>25259851</v>
      </c>
      <c r="D26" s="76">
        <f t="shared" si="0"/>
        <v>3865</v>
      </c>
      <c r="E26" s="77">
        <f t="shared" si="56"/>
        <v>22198210</v>
      </c>
      <c r="F26" s="77">
        <v>22203405</v>
      </c>
      <c r="G26" s="77">
        <f t="shared" si="33"/>
        <v>5195</v>
      </c>
      <c r="H26" s="79">
        <f>I25</f>
        <v>84369311</v>
      </c>
      <c r="I26" s="79">
        <v>84384036</v>
      </c>
      <c r="J26" s="84">
        <f t="shared" si="1"/>
        <v>14725</v>
      </c>
      <c r="K26" s="79">
        <f t="shared" si="57"/>
        <v>1821000</v>
      </c>
      <c r="L26" s="79">
        <v>1823100</v>
      </c>
      <c r="M26" s="84">
        <f t="shared" si="2"/>
        <v>2100</v>
      </c>
      <c r="N26" s="79">
        <f>O25</f>
        <v>2462136</v>
      </c>
      <c r="O26" s="79">
        <v>2464816</v>
      </c>
      <c r="P26" s="84">
        <f t="shared" si="3"/>
        <v>2680</v>
      </c>
      <c r="Q26" s="79">
        <f t="shared" si="35"/>
        <v>1489400</v>
      </c>
      <c r="R26" s="79">
        <v>1491200</v>
      </c>
      <c r="S26" s="84">
        <f t="shared" si="4"/>
        <v>1800</v>
      </c>
      <c r="T26" s="79">
        <f>U25</f>
        <v>687411</v>
      </c>
      <c r="U26" s="79">
        <v>688121</v>
      </c>
      <c r="V26" s="84">
        <f t="shared" si="5"/>
        <v>710</v>
      </c>
      <c r="W26" s="79">
        <f>X25</f>
        <v>7130500</v>
      </c>
      <c r="X26" s="79">
        <v>7137300</v>
      </c>
      <c r="Y26" s="84">
        <f t="shared" si="6"/>
        <v>6800</v>
      </c>
      <c r="Z26" s="79">
        <f>AA25</f>
        <v>1588200</v>
      </c>
      <c r="AA26" s="79">
        <v>1590600</v>
      </c>
      <c r="AB26" s="84">
        <f t="shared" si="7"/>
        <v>2400</v>
      </c>
      <c r="AC26" s="79">
        <f t="shared" si="8"/>
        <v>462835</v>
      </c>
      <c r="AD26" s="79">
        <v>463216</v>
      </c>
      <c r="AE26" s="84">
        <f t="shared" si="9"/>
        <v>381</v>
      </c>
      <c r="AF26" s="79">
        <f t="shared" si="10"/>
        <v>329700</v>
      </c>
      <c r="AG26" s="79">
        <v>330100</v>
      </c>
      <c r="AH26" s="84">
        <f t="shared" si="11"/>
        <v>400</v>
      </c>
      <c r="AI26" s="79">
        <f t="shared" si="12"/>
        <v>562490</v>
      </c>
      <c r="AJ26" s="79">
        <v>563390</v>
      </c>
      <c r="AK26" s="84">
        <f t="shared" si="13"/>
        <v>900</v>
      </c>
      <c r="AL26" s="79">
        <f t="shared" si="36"/>
        <v>1032200</v>
      </c>
      <c r="AM26" s="79">
        <v>1033500</v>
      </c>
      <c r="AN26" s="84">
        <f t="shared" si="14"/>
        <v>1300</v>
      </c>
      <c r="AO26" s="79">
        <f t="shared" si="37"/>
        <v>657080</v>
      </c>
      <c r="AP26" s="79">
        <v>657960</v>
      </c>
      <c r="AQ26" s="84">
        <f t="shared" si="15"/>
        <v>880</v>
      </c>
      <c r="AR26" s="79">
        <f t="shared" si="38"/>
        <v>522340</v>
      </c>
      <c r="AS26" s="79">
        <v>524600</v>
      </c>
      <c r="AT26" s="84">
        <f t="shared" si="16"/>
        <v>2260</v>
      </c>
      <c r="AU26" s="79">
        <f t="shared" si="39"/>
        <v>470560</v>
      </c>
      <c r="AV26" s="79">
        <v>472250</v>
      </c>
      <c r="AW26" s="84">
        <f t="shared" si="17"/>
        <v>1690</v>
      </c>
      <c r="AX26" s="79">
        <f t="shared" si="40"/>
        <v>369070</v>
      </c>
      <c r="AY26" s="79">
        <v>370300</v>
      </c>
      <c r="AZ26" s="84">
        <f t="shared" si="18"/>
        <v>1230</v>
      </c>
      <c r="BA26" s="79">
        <f t="shared" si="41"/>
        <v>1013200</v>
      </c>
      <c r="BB26" s="79">
        <v>1017800</v>
      </c>
      <c r="BC26" s="84">
        <f t="shared" si="19"/>
        <v>4600</v>
      </c>
      <c r="BD26" s="84">
        <f t="shared" si="42"/>
        <v>21371</v>
      </c>
      <c r="BE26" s="84">
        <v>21499</v>
      </c>
      <c r="BF26" s="84">
        <f t="shared" si="43"/>
        <v>128</v>
      </c>
      <c r="BG26" s="79">
        <f t="shared" si="44"/>
        <v>17212</v>
      </c>
      <c r="BH26" s="79">
        <v>17298</v>
      </c>
      <c r="BI26" s="193">
        <f t="shared" si="20"/>
        <v>86</v>
      </c>
      <c r="BJ26" s="79">
        <f t="shared" si="45"/>
        <v>15879</v>
      </c>
      <c r="BK26" s="79">
        <v>15963</v>
      </c>
      <c r="BL26" s="84">
        <f t="shared" si="21"/>
        <v>84</v>
      </c>
      <c r="BM26" s="79">
        <f>BN25</f>
        <v>25301</v>
      </c>
      <c r="BN26" s="79">
        <v>25464</v>
      </c>
      <c r="BO26" s="84">
        <f>BN26-BM26</f>
        <v>163</v>
      </c>
      <c r="BP26" s="79">
        <f t="shared" si="47"/>
        <v>17957</v>
      </c>
      <c r="BQ26" s="79">
        <v>18054</v>
      </c>
      <c r="BR26" s="84">
        <f t="shared" si="23"/>
        <v>97</v>
      </c>
      <c r="BS26" s="79">
        <f t="shared" si="48"/>
        <v>18673</v>
      </c>
      <c r="BT26" s="79">
        <v>18738</v>
      </c>
      <c r="BU26" s="84">
        <f t="shared" si="24"/>
        <v>65</v>
      </c>
      <c r="BV26" s="79">
        <f t="shared" si="49"/>
        <v>13032</v>
      </c>
      <c r="BW26" s="79">
        <v>13082</v>
      </c>
      <c r="BX26" s="84">
        <f t="shared" si="25"/>
        <v>50</v>
      </c>
      <c r="BY26" s="79">
        <f t="shared" si="50"/>
        <v>33770</v>
      </c>
      <c r="BZ26" s="79">
        <v>33881</v>
      </c>
      <c r="CA26" s="84">
        <f t="shared" si="26"/>
        <v>111</v>
      </c>
      <c r="CB26" s="79">
        <f t="shared" si="51"/>
        <v>26730</v>
      </c>
      <c r="CC26" s="79">
        <v>26816</v>
      </c>
      <c r="CD26" s="84">
        <f t="shared" si="27"/>
        <v>86</v>
      </c>
      <c r="CE26" s="79">
        <f t="shared" si="52"/>
        <v>78564</v>
      </c>
      <c r="CF26" s="79">
        <v>78828</v>
      </c>
      <c r="CG26" s="84">
        <f t="shared" si="28"/>
        <v>264</v>
      </c>
      <c r="CH26" s="79">
        <f t="shared" si="53"/>
        <v>50880</v>
      </c>
      <c r="CI26" s="79">
        <v>51253</v>
      </c>
      <c r="CJ26" s="84">
        <f t="shared" si="29"/>
        <v>373</v>
      </c>
      <c r="CK26" s="79">
        <f t="shared" si="54"/>
        <v>13069</v>
      </c>
      <c r="CL26" s="79">
        <v>13116</v>
      </c>
      <c r="CM26" s="84">
        <f t="shared" si="30"/>
        <v>47</v>
      </c>
      <c r="CN26" s="79">
        <f t="shared" si="55"/>
        <v>46379</v>
      </c>
      <c r="CO26" s="79">
        <v>46501</v>
      </c>
      <c r="CP26" s="84">
        <f t="shared" si="31"/>
        <v>122</v>
      </c>
    </row>
    <row r="27" spans="1:1028" s="3" customFormat="1" ht="13.5" customHeight="1" x14ac:dyDescent="0.2">
      <c r="A27" s="98">
        <v>19</v>
      </c>
      <c r="B27" s="75">
        <f t="shared" si="32"/>
        <v>25259851</v>
      </c>
      <c r="C27" s="75">
        <v>25263832</v>
      </c>
      <c r="D27" s="76">
        <f t="shared" si="0"/>
        <v>3981</v>
      </c>
      <c r="E27" s="77">
        <f t="shared" si="56"/>
        <v>22203405</v>
      </c>
      <c r="F27" s="77">
        <v>22208761</v>
      </c>
      <c r="G27" s="77">
        <f t="shared" si="33"/>
        <v>5356</v>
      </c>
      <c r="H27" s="79">
        <f>I26</f>
        <v>84384036</v>
      </c>
      <c r="I27" s="79">
        <v>84399170</v>
      </c>
      <c r="J27" s="84">
        <f t="shared" si="1"/>
        <v>15134</v>
      </c>
      <c r="K27" s="79">
        <f t="shared" si="57"/>
        <v>1823100</v>
      </c>
      <c r="L27" s="79">
        <v>1825300</v>
      </c>
      <c r="M27" s="84">
        <f t="shared" si="2"/>
        <v>2200</v>
      </c>
      <c r="N27" s="79">
        <f>O26</f>
        <v>2464816</v>
      </c>
      <c r="O27" s="79">
        <v>2467633</v>
      </c>
      <c r="P27" s="84">
        <f t="shared" si="3"/>
        <v>2817</v>
      </c>
      <c r="Q27" s="79">
        <f t="shared" si="35"/>
        <v>1491200</v>
      </c>
      <c r="R27" s="79">
        <v>1493100</v>
      </c>
      <c r="S27" s="84">
        <f t="shared" si="4"/>
        <v>1900</v>
      </c>
      <c r="T27" s="79">
        <f>U26</f>
        <v>688121</v>
      </c>
      <c r="U27" s="79">
        <v>688878</v>
      </c>
      <c r="V27" s="84">
        <f t="shared" si="5"/>
        <v>757</v>
      </c>
      <c r="W27" s="79">
        <f>X26</f>
        <v>7137300</v>
      </c>
      <c r="X27" s="79">
        <v>7143600</v>
      </c>
      <c r="Y27" s="84">
        <f t="shared" si="6"/>
        <v>6300</v>
      </c>
      <c r="Z27" s="79">
        <f>AA26</f>
        <v>1590600</v>
      </c>
      <c r="AA27" s="79">
        <v>1593000</v>
      </c>
      <c r="AB27" s="84">
        <f t="shared" si="7"/>
        <v>2400</v>
      </c>
      <c r="AC27" s="79">
        <f t="shared" si="8"/>
        <v>463216</v>
      </c>
      <c r="AD27" s="79">
        <v>463721</v>
      </c>
      <c r="AE27" s="84">
        <f t="shared" si="9"/>
        <v>505</v>
      </c>
      <c r="AF27" s="79">
        <f t="shared" si="10"/>
        <v>330100</v>
      </c>
      <c r="AG27" s="79">
        <v>330510</v>
      </c>
      <c r="AH27" s="84">
        <f t="shared" si="11"/>
        <v>410</v>
      </c>
      <c r="AI27" s="79">
        <f t="shared" si="12"/>
        <v>563390</v>
      </c>
      <c r="AJ27" s="79">
        <v>564280</v>
      </c>
      <c r="AK27" s="84">
        <f t="shared" si="13"/>
        <v>890</v>
      </c>
      <c r="AL27" s="79">
        <f t="shared" si="36"/>
        <v>1033500</v>
      </c>
      <c r="AM27" s="79">
        <v>1035000</v>
      </c>
      <c r="AN27" s="84">
        <f t="shared" si="14"/>
        <v>1500</v>
      </c>
      <c r="AO27" s="79">
        <f t="shared" si="37"/>
        <v>657960</v>
      </c>
      <c r="AP27" s="79">
        <v>658890</v>
      </c>
      <c r="AQ27" s="84">
        <f t="shared" si="15"/>
        <v>930</v>
      </c>
      <c r="AR27" s="79">
        <f t="shared" si="38"/>
        <v>524600</v>
      </c>
      <c r="AS27" s="79">
        <v>525510</v>
      </c>
      <c r="AT27" s="84">
        <f t="shared" si="16"/>
        <v>910</v>
      </c>
      <c r="AU27" s="79">
        <f t="shared" si="39"/>
        <v>472250</v>
      </c>
      <c r="AV27" s="79">
        <v>474320</v>
      </c>
      <c r="AW27" s="84">
        <f t="shared" si="17"/>
        <v>2070</v>
      </c>
      <c r="AX27" s="79">
        <f t="shared" si="40"/>
        <v>370300</v>
      </c>
      <c r="AY27" s="79">
        <v>371580</v>
      </c>
      <c r="AZ27" s="84">
        <f t="shared" si="18"/>
        <v>1280</v>
      </c>
      <c r="BA27" s="79">
        <f t="shared" si="41"/>
        <v>1017800</v>
      </c>
      <c r="BB27" s="79">
        <v>1022100</v>
      </c>
      <c r="BC27" s="84">
        <f t="shared" si="19"/>
        <v>4300</v>
      </c>
      <c r="BD27" s="84">
        <f t="shared" si="42"/>
        <v>21499</v>
      </c>
      <c r="BE27" s="84">
        <v>21625</v>
      </c>
      <c r="BF27" s="84">
        <f t="shared" si="43"/>
        <v>126</v>
      </c>
      <c r="BG27" s="79">
        <f t="shared" si="44"/>
        <v>17298</v>
      </c>
      <c r="BH27" s="79">
        <v>17380</v>
      </c>
      <c r="BI27" s="193">
        <f t="shared" si="20"/>
        <v>82</v>
      </c>
      <c r="BJ27" s="79">
        <f t="shared" si="45"/>
        <v>15963</v>
      </c>
      <c r="BK27" s="79">
        <v>16049</v>
      </c>
      <c r="BL27" s="84">
        <f t="shared" si="21"/>
        <v>86</v>
      </c>
      <c r="BM27" s="79">
        <f>BN26</f>
        <v>25464</v>
      </c>
      <c r="BN27" s="79">
        <v>25600</v>
      </c>
      <c r="BO27" s="84">
        <f t="shared" si="22"/>
        <v>136</v>
      </c>
      <c r="BP27" s="79">
        <f t="shared" si="47"/>
        <v>18054</v>
      </c>
      <c r="BQ27" s="79">
        <v>18149</v>
      </c>
      <c r="BR27" s="84">
        <f t="shared" si="23"/>
        <v>95</v>
      </c>
      <c r="BS27" s="79">
        <f t="shared" si="48"/>
        <v>18738</v>
      </c>
      <c r="BT27" s="79">
        <v>18803</v>
      </c>
      <c r="BU27" s="84">
        <f t="shared" si="24"/>
        <v>65</v>
      </c>
      <c r="BV27" s="79">
        <f t="shared" si="49"/>
        <v>13082</v>
      </c>
      <c r="BW27" s="79">
        <v>13135</v>
      </c>
      <c r="BX27" s="84">
        <f t="shared" si="25"/>
        <v>53</v>
      </c>
      <c r="BY27" s="79">
        <f t="shared" si="50"/>
        <v>33881</v>
      </c>
      <c r="BZ27" s="79">
        <v>34025</v>
      </c>
      <c r="CA27" s="84">
        <f t="shared" si="26"/>
        <v>144</v>
      </c>
      <c r="CB27" s="79">
        <f t="shared" si="51"/>
        <v>26816</v>
      </c>
      <c r="CC27" s="79">
        <v>26903</v>
      </c>
      <c r="CD27" s="84">
        <f t="shared" si="27"/>
        <v>87</v>
      </c>
      <c r="CE27" s="79">
        <f t="shared" si="52"/>
        <v>78828</v>
      </c>
      <c r="CF27" s="79">
        <v>79100</v>
      </c>
      <c r="CG27" s="84">
        <f t="shared" si="28"/>
        <v>272</v>
      </c>
      <c r="CH27" s="79">
        <f t="shared" si="53"/>
        <v>51253</v>
      </c>
      <c r="CI27" s="79">
        <v>51639</v>
      </c>
      <c r="CJ27" s="84">
        <f t="shared" si="29"/>
        <v>386</v>
      </c>
      <c r="CK27" s="79">
        <f t="shared" si="54"/>
        <v>13116</v>
      </c>
      <c r="CL27" s="79">
        <v>13159</v>
      </c>
      <c r="CM27" s="84">
        <f t="shared" si="30"/>
        <v>43</v>
      </c>
      <c r="CN27" s="79">
        <f t="shared" si="55"/>
        <v>46501</v>
      </c>
      <c r="CO27" s="79">
        <v>46606</v>
      </c>
      <c r="CP27" s="84">
        <f t="shared" si="31"/>
        <v>105</v>
      </c>
    </row>
    <row r="28" spans="1:1028" s="3" customFormat="1" ht="13.5" customHeight="1" x14ac:dyDescent="0.2">
      <c r="A28" s="98">
        <v>20</v>
      </c>
      <c r="B28" s="75">
        <f t="shared" si="32"/>
        <v>25263832</v>
      </c>
      <c r="C28" s="75">
        <v>25267670</v>
      </c>
      <c r="D28" s="76">
        <f t="shared" si="0"/>
        <v>3838</v>
      </c>
      <c r="E28" s="77">
        <f t="shared" si="56"/>
        <v>22208761</v>
      </c>
      <c r="F28" s="77">
        <v>22213930</v>
      </c>
      <c r="G28" s="77">
        <f t="shared" si="33"/>
        <v>5169</v>
      </c>
      <c r="H28" s="79">
        <f t="shared" si="34"/>
        <v>84399170</v>
      </c>
      <c r="I28" s="79">
        <v>84413932</v>
      </c>
      <c r="J28" s="84">
        <f t="shared" si="1"/>
        <v>14762</v>
      </c>
      <c r="K28" s="79">
        <f t="shared" si="57"/>
        <v>1825300</v>
      </c>
      <c r="L28" s="79">
        <v>1827200</v>
      </c>
      <c r="M28" s="84">
        <f t="shared" si="2"/>
        <v>1900</v>
      </c>
      <c r="N28" s="79">
        <f t="shared" ref="N28:N39" si="62">O27</f>
        <v>2467633</v>
      </c>
      <c r="O28" s="79">
        <v>2470243</v>
      </c>
      <c r="P28" s="84">
        <f t="shared" si="3"/>
        <v>2610</v>
      </c>
      <c r="Q28" s="79">
        <f t="shared" si="35"/>
        <v>1493100</v>
      </c>
      <c r="R28" s="127">
        <v>1495100</v>
      </c>
      <c r="S28" s="84">
        <f t="shared" si="4"/>
        <v>2000</v>
      </c>
      <c r="T28" s="79">
        <f t="shared" ref="T28:T39" si="63">U27</f>
        <v>688878</v>
      </c>
      <c r="U28" s="79">
        <v>689639</v>
      </c>
      <c r="V28" s="84">
        <f t="shared" si="5"/>
        <v>761</v>
      </c>
      <c r="W28" s="79">
        <f t="shared" ref="W28:W39" si="64">X27</f>
        <v>7143600</v>
      </c>
      <c r="X28" s="79">
        <v>7149900</v>
      </c>
      <c r="Y28" s="84">
        <f t="shared" si="6"/>
        <v>6300</v>
      </c>
      <c r="Z28" s="79">
        <f t="shared" ref="Z28:Z39" si="65">AA27</f>
        <v>1593000</v>
      </c>
      <c r="AA28" s="79">
        <v>1595300</v>
      </c>
      <c r="AB28" s="84">
        <f t="shared" si="7"/>
        <v>2300</v>
      </c>
      <c r="AC28" s="79">
        <f t="shared" si="8"/>
        <v>463721</v>
      </c>
      <c r="AD28" s="79">
        <v>464151</v>
      </c>
      <c r="AE28" s="84">
        <f t="shared" si="9"/>
        <v>430</v>
      </c>
      <c r="AF28" s="79">
        <f t="shared" si="10"/>
        <v>330510</v>
      </c>
      <c r="AG28" s="79">
        <v>330900</v>
      </c>
      <c r="AH28" s="84">
        <f t="shared" si="11"/>
        <v>390</v>
      </c>
      <c r="AI28" s="79">
        <f t="shared" si="12"/>
        <v>564280</v>
      </c>
      <c r="AJ28" s="79">
        <v>565140</v>
      </c>
      <c r="AK28" s="84">
        <f t="shared" si="13"/>
        <v>860</v>
      </c>
      <c r="AL28" s="79">
        <f t="shared" si="36"/>
        <v>1035000</v>
      </c>
      <c r="AM28" s="79">
        <v>1036400</v>
      </c>
      <c r="AN28" s="84">
        <f t="shared" si="14"/>
        <v>1400</v>
      </c>
      <c r="AO28" s="79">
        <f t="shared" si="37"/>
        <v>658890</v>
      </c>
      <c r="AP28" s="79">
        <v>659770</v>
      </c>
      <c r="AQ28" s="84">
        <f t="shared" si="15"/>
        <v>880</v>
      </c>
      <c r="AR28" s="79">
        <f t="shared" si="38"/>
        <v>525510</v>
      </c>
      <c r="AS28" s="79">
        <v>527910</v>
      </c>
      <c r="AT28" s="84">
        <f t="shared" si="16"/>
        <v>2400</v>
      </c>
      <c r="AU28" s="79">
        <f t="shared" si="39"/>
        <v>474320</v>
      </c>
      <c r="AV28" s="79">
        <v>476310</v>
      </c>
      <c r="AW28" s="84">
        <f t="shared" si="17"/>
        <v>1990</v>
      </c>
      <c r="AX28" s="79">
        <f t="shared" si="40"/>
        <v>371580</v>
      </c>
      <c r="AY28" s="79">
        <v>372810</v>
      </c>
      <c r="AZ28" s="84">
        <f t="shared" si="18"/>
        <v>1230</v>
      </c>
      <c r="BA28" s="79">
        <f t="shared" si="41"/>
        <v>1022100</v>
      </c>
      <c r="BB28" s="79">
        <v>1026300</v>
      </c>
      <c r="BC28" s="84">
        <f t="shared" si="19"/>
        <v>4200</v>
      </c>
      <c r="BD28" s="84">
        <f t="shared" si="42"/>
        <v>21625</v>
      </c>
      <c r="BE28" s="84">
        <v>21738</v>
      </c>
      <c r="BF28" s="84">
        <f t="shared" si="43"/>
        <v>113</v>
      </c>
      <c r="BG28" s="79">
        <f t="shared" si="44"/>
        <v>17380</v>
      </c>
      <c r="BH28" s="79">
        <v>17478</v>
      </c>
      <c r="BI28" s="193">
        <f t="shared" si="20"/>
        <v>98</v>
      </c>
      <c r="BJ28" s="79">
        <f t="shared" si="45"/>
        <v>16049</v>
      </c>
      <c r="BK28" s="79">
        <v>16121</v>
      </c>
      <c r="BL28" s="84">
        <f t="shared" si="21"/>
        <v>72</v>
      </c>
      <c r="BM28" s="79">
        <f t="shared" si="46"/>
        <v>25600</v>
      </c>
      <c r="BN28" s="79">
        <v>25732</v>
      </c>
      <c r="BO28" s="84">
        <f t="shared" si="22"/>
        <v>132</v>
      </c>
      <c r="BP28" s="79">
        <f t="shared" si="47"/>
        <v>18149</v>
      </c>
      <c r="BQ28" s="79">
        <v>18247</v>
      </c>
      <c r="BR28" s="84">
        <f t="shared" si="23"/>
        <v>98</v>
      </c>
      <c r="BS28" s="79">
        <f t="shared" si="48"/>
        <v>18803</v>
      </c>
      <c r="BT28" s="79">
        <v>18887</v>
      </c>
      <c r="BU28" s="84">
        <f t="shared" si="24"/>
        <v>84</v>
      </c>
      <c r="BV28" s="79">
        <f t="shared" si="49"/>
        <v>13135</v>
      </c>
      <c r="BW28" s="79">
        <v>13189</v>
      </c>
      <c r="BX28" s="84">
        <f t="shared" si="25"/>
        <v>54</v>
      </c>
      <c r="BY28" s="79">
        <f t="shared" si="50"/>
        <v>34025</v>
      </c>
      <c r="BZ28" s="79">
        <v>34153</v>
      </c>
      <c r="CA28" s="84">
        <f t="shared" si="26"/>
        <v>128</v>
      </c>
      <c r="CB28" s="79">
        <f t="shared" si="51"/>
        <v>26903</v>
      </c>
      <c r="CC28" s="79">
        <v>26990</v>
      </c>
      <c r="CD28" s="84">
        <f t="shared" si="27"/>
        <v>87</v>
      </c>
      <c r="CE28" s="79">
        <f t="shared" si="52"/>
        <v>79100</v>
      </c>
      <c r="CF28" s="79">
        <v>79373</v>
      </c>
      <c r="CG28" s="84">
        <f t="shared" si="28"/>
        <v>273</v>
      </c>
      <c r="CH28" s="79">
        <f t="shared" si="53"/>
        <v>51639</v>
      </c>
      <c r="CI28" s="79">
        <v>52035</v>
      </c>
      <c r="CJ28" s="84">
        <f t="shared" si="29"/>
        <v>396</v>
      </c>
      <c r="CK28" s="79">
        <f t="shared" si="54"/>
        <v>13159</v>
      </c>
      <c r="CL28" s="79">
        <v>13212</v>
      </c>
      <c r="CM28" s="84">
        <f t="shared" si="30"/>
        <v>53</v>
      </c>
      <c r="CN28" s="79">
        <f t="shared" si="55"/>
        <v>46606</v>
      </c>
      <c r="CO28" s="79">
        <v>46708</v>
      </c>
      <c r="CP28" s="84">
        <f t="shared" si="31"/>
        <v>102</v>
      </c>
    </row>
    <row r="29" spans="1:1028" s="3" customFormat="1" ht="13.5" customHeight="1" x14ac:dyDescent="0.2">
      <c r="A29" s="98">
        <v>21</v>
      </c>
      <c r="B29" s="75">
        <f t="shared" si="32"/>
        <v>25267670</v>
      </c>
      <c r="C29" s="75"/>
      <c r="D29" s="76">
        <f t="shared" si="0"/>
        <v>-25267670</v>
      </c>
      <c r="E29" s="77">
        <f t="shared" si="56"/>
        <v>22213930</v>
      </c>
      <c r="F29" s="77"/>
      <c r="G29" s="77">
        <f t="shared" si="33"/>
        <v>-22213930</v>
      </c>
      <c r="H29" s="79">
        <f t="shared" si="34"/>
        <v>84413932</v>
      </c>
      <c r="I29" s="79"/>
      <c r="J29" s="84">
        <f t="shared" si="1"/>
        <v>-84413932</v>
      </c>
      <c r="K29" s="79">
        <f t="shared" si="57"/>
        <v>1827200</v>
      </c>
      <c r="L29" s="79"/>
      <c r="M29" s="84">
        <f t="shared" si="2"/>
        <v>-1827200</v>
      </c>
      <c r="N29" s="79">
        <f t="shared" si="62"/>
        <v>2470243</v>
      </c>
      <c r="O29" s="79"/>
      <c r="P29" s="84">
        <f t="shared" si="3"/>
        <v>-2470243</v>
      </c>
      <c r="Q29" s="79">
        <f t="shared" si="35"/>
        <v>1495100</v>
      </c>
      <c r="R29" s="79"/>
      <c r="S29" s="84">
        <f t="shared" si="4"/>
        <v>-1495100</v>
      </c>
      <c r="T29" s="79">
        <f t="shared" si="63"/>
        <v>689639</v>
      </c>
      <c r="U29" s="79"/>
      <c r="V29" s="84">
        <f t="shared" si="5"/>
        <v>-689639</v>
      </c>
      <c r="W29" s="79">
        <f t="shared" si="64"/>
        <v>7149900</v>
      </c>
      <c r="X29" s="79"/>
      <c r="Y29" s="84">
        <f t="shared" si="6"/>
        <v>-7149900</v>
      </c>
      <c r="Z29" s="79">
        <f t="shared" si="65"/>
        <v>1595300</v>
      </c>
      <c r="AA29" s="79"/>
      <c r="AB29" s="84">
        <f t="shared" si="7"/>
        <v>-1595300</v>
      </c>
      <c r="AC29" s="79">
        <f t="shared" si="8"/>
        <v>464151</v>
      </c>
      <c r="AD29" s="79"/>
      <c r="AE29" s="84">
        <f t="shared" si="9"/>
        <v>-464151</v>
      </c>
      <c r="AF29" s="79">
        <f t="shared" si="10"/>
        <v>330900</v>
      </c>
      <c r="AG29" s="79"/>
      <c r="AH29" s="84">
        <f t="shared" si="11"/>
        <v>-330900</v>
      </c>
      <c r="AI29" s="79">
        <f t="shared" si="12"/>
        <v>565140</v>
      </c>
      <c r="AJ29" s="79"/>
      <c r="AK29" s="84">
        <f t="shared" si="13"/>
        <v>-565140</v>
      </c>
      <c r="AL29" s="79">
        <f t="shared" si="36"/>
        <v>1036400</v>
      </c>
      <c r="AM29" s="79"/>
      <c r="AN29" s="84">
        <f t="shared" si="14"/>
        <v>-1036400</v>
      </c>
      <c r="AO29" s="79">
        <f t="shared" si="37"/>
        <v>659770</v>
      </c>
      <c r="AP29" s="79"/>
      <c r="AQ29" s="84">
        <f t="shared" si="15"/>
        <v>-659770</v>
      </c>
      <c r="AR29" s="79">
        <f t="shared" si="38"/>
        <v>527910</v>
      </c>
      <c r="AS29" s="79"/>
      <c r="AT29" s="84">
        <f t="shared" si="16"/>
        <v>-527910</v>
      </c>
      <c r="AU29" s="79">
        <f t="shared" si="39"/>
        <v>476310</v>
      </c>
      <c r="AV29" s="79"/>
      <c r="AW29" s="84">
        <f t="shared" si="17"/>
        <v>-476310</v>
      </c>
      <c r="AX29" s="79">
        <f t="shared" si="40"/>
        <v>372810</v>
      </c>
      <c r="AY29" s="79"/>
      <c r="AZ29" s="84">
        <f t="shared" si="18"/>
        <v>-372810</v>
      </c>
      <c r="BA29" s="79">
        <f t="shared" si="41"/>
        <v>1026300</v>
      </c>
      <c r="BB29" s="79"/>
      <c r="BC29" s="84">
        <f t="shared" si="19"/>
        <v>-1026300</v>
      </c>
      <c r="BD29" s="84">
        <f t="shared" si="42"/>
        <v>21738</v>
      </c>
      <c r="BE29" s="84"/>
      <c r="BF29" s="84">
        <f t="shared" si="43"/>
        <v>-21738</v>
      </c>
      <c r="BG29" s="79">
        <f t="shared" si="44"/>
        <v>17478</v>
      </c>
      <c r="BH29" s="79"/>
      <c r="BI29" s="193">
        <f t="shared" si="20"/>
        <v>-17478</v>
      </c>
      <c r="BJ29" s="79">
        <f t="shared" si="45"/>
        <v>16121</v>
      </c>
      <c r="BK29" s="79"/>
      <c r="BL29" s="84">
        <f t="shared" si="21"/>
        <v>-16121</v>
      </c>
      <c r="BM29" s="79">
        <f t="shared" si="46"/>
        <v>25732</v>
      </c>
      <c r="BN29" s="79"/>
      <c r="BO29" s="84">
        <f t="shared" si="22"/>
        <v>-25732</v>
      </c>
      <c r="BP29" s="79">
        <f t="shared" si="47"/>
        <v>18247</v>
      </c>
      <c r="BQ29" s="79"/>
      <c r="BR29" s="84">
        <f t="shared" si="23"/>
        <v>-18247</v>
      </c>
      <c r="BS29" s="79">
        <f t="shared" si="48"/>
        <v>18887</v>
      </c>
      <c r="BT29" s="79"/>
      <c r="BU29" s="84">
        <f t="shared" si="24"/>
        <v>-18887</v>
      </c>
      <c r="BV29" s="79">
        <f t="shared" si="49"/>
        <v>13189</v>
      </c>
      <c r="BW29" s="79"/>
      <c r="BX29" s="84">
        <f t="shared" si="25"/>
        <v>-13189</v>
      </c>
      <c r="BY29" s="79">
        <f t="shared" si="50"/>
        <v>34153</v>
      </c>
      <c r="BZ29" s="79"/>
      <c r="CA29" s="84">
        <f t="shared" si="26"/>
        <v>-34153</v>
      </c>
      <c r="CB29" s="79">
        <f t="shared" si="51"/>
        <v>26990</v>
      </c>
      <c r="CC29" s="79"/>
      <c r="CD29" s="84">
        <f t="shared" si="27"/>
        <v>-26990</v>
      </c>
      <c r="CE29" s="79">
        <f t="shared" si="52"/>
        <v>79373</v>
      </c>
      <c r="CF29" s="79"/>
      <c r="CG29" s="84">
        <f t="shared" si="28"/>
        <v>-79373</v>
      </c>
      <c r="CH29" s="79">
        <f t="shared" si="53"/>
        <v>52035</v>
      </c>
      <c r="CI29" s="79"/>
      <c r="CJ29" s="84">
        <f t="shared" si="29"/>
        <v>-52035</v>
      </c>
      <c r="CK29" s="79">
        <f t="shared" si="54"/>
        <v>13212</v>
      </c>
      <c r="CL29" s="79"/>
      <c r="CM29" s="84">
        <f t="shared" si="30"/>
        <v>-13212</v>
      </c>
      <c r="CN29" s="79">
        <f t="shared" si="55"/>
        <v>46708</v>
      </c>
      <c r="CO29" s="79"/>
      <c r="CP29" s="84">
        <f t="shared" si="31"/>
        <v>-46708</v>
      </c>
    </row>
    <row r="30" spans="1:1028" s="3" customFormat="1" ht="13.5" customHeight="1" x14ac:dyDescent="0.2">
      <c r="A30" s="98">
        <v>22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4">
        <f t="shared" si="1"/>
        <v>0</v>
      </c>
      <c r="K30" s="79">
        <f t="shared" si="57"/>
        <v>0</v>
      </c>
      <c r="L30" s="79"/>
      <c r="M30" s="84">
        <f t="shared" si="2"/>
        <v>0</v>
      </c>
      <c r="N30" s="79">
        <f t="shared" si="62"/>
        <v>0</v>
      </c>
      <c r="O30" s="79"/>
      <c r="P30" s="84">
        <f t="shared" si="3"/>
        <v>0</v>
      </c>
      <c r="Q30" s="79">
        <f t="shared" si="35"/>
        <v>0</v>
      </c>
      <c r="R30" s="79"/>
      <c r="S30" s="84">
        <f t="shared" si="4"/>
        <v>0</v>
      </c>
      <c r="T30" s="79">
        <f t="shared" si="63"/>
        <v>0</v>
      </c>
      <c r="U30" s="79"/>
      <c r="V30" s="84">
        <f t="shared" si="5"/>
        <v>0</v>
      </c>
      <c r="W30" s="79">
        <f t="shared" si="64"/>
        <v>0</v>
      </c>
      <c r="X30" s="79"/>
      <c r="Y30" s="84">
        <f t="shared" si="6"/>
        <v>0</v>
      </c>
      <c r="Z30" s="79">
        <f t="shared" si="65"/>
        <v>0</v>
      </c>
      <c r="AA30" s="79"/>
      <c r="AB30" s="84">
        <f t="shared" si="7"/>
        <v>0</v>
      </c>
      <c r="AC30" s="79">
        <f t="shared" si="8"/>
        <v>0</v>
      </c>
      <c r="AD30" s="79"/>
      <c r="AE30" s="84">
        <f t="shared" si="9"/>
        <v>0</v>
      </c>
      <c r="AF30" s="79">
        <f t="shared" si="10"/>
        <v>0</v>
      </c>
      <c r="AG30" s="79"/>
      <c r="AH30" s="84">
        <f t="shared" si="11"/>
        <v>0</v>
      </c>
      <c r="AI30" s="79">
        <f t="shared" si="12"/>
        <v>0</v>
      </c>
      <c r="AJ30" s="79"/>
      <c r="AK30" s="84">
        <f t="shared" si="13"/>
        <v>0</v>
      </c>
      <c r="AL30" s="79">
        <f t="shared" si="36"/>
        <v>0</v>
      </c>
      <c r="AM30" s="79"/>
      <c r="AN30" s="84">
        <f t="shared" si="14"/>
        <v>0</v>
      </c>
      <c r="AO30" s="79">
        <f t="shared" si="37"/>
        <v>0</v>
      </c>
      <c r="AP30" s="79"/>
      <c r="AQ30" s="84">
        <f t="shared" si="15"/>
        <v>0</v>
      </c>
      <c r="AR30" s="79">
        <f t="shared" si="38"/>
        <v>0</v>
      </c>
      <c r="AS30" s="79"/>
      <c r="AT30" s="84">
        <f t="shared" si="16"/>
        <v>0</v>
      </c>
      <c r="AU30" s="79">
        <f t="shared" si="39"/>
        <v>0</v>
      </c>
      <c r="AV30" s="79"/>
      <c r="AW30" s="84">
        <f t="shared" si="17"/>
        <v>0</v>
      </c>
      <c r="AX30" s="79">
        <f t="shared" si="40"/>
        <v>0</v>
      </c>
      <c r="AY30" s="79"/>
      <c r="AZ30" s="84">
        <f t="shared" si="18"/>
        <v>0</v>
      </c>
      <c r="BA30" s="79">
        <f t="shared" si="41"/>
        <v>0</v>
      </c>
      <c r="BB30" s="79"/>
      <c r="BC30" s="84">
        <f t="shared" si="19"/>
        <v>0</v>
      </c>
      <c r="BD30" s="84">
        <f t="shared" si="42"/>
        <v>0</v>
      </c>
      <c r="BE30" s="84"/>
      <c r="BF30" s="84">
        <f t="shared" si="43"/>
        <v>0</v>
      </c>
      <c r="BG30" s="79">
        <f t="shared" si="44"/>
        <v>0</v>
      </c>
      <c r="BH30" s="79"/>
      <c r="BI30" s="193">
        <f t="shared" si="20"/>
        <v>0</v>
      </c>
      <c r="BJ30" s="79">
        <f t="shared" si="45"/>
        <v>0</v>
      </c>
      <c r="BK30" s="79"/>
      <c r="BL30" s="84">
        <f t="shared" si="21"/>
        <v>0</v>
      </c>
      <c r="BM30" s="79">
        <f t="shared" si="46"/>
        <v>0</v>
      </c>
      <c r="BN30" s="79"/>
      <c r="BO30" s="84">
        <f t="shared" si="22"/>
        <v>0</v>
      </c>
      <c r="BP30" s="79">
        <f t="shared" si="47"/>
        <v>0</v>
      </c>
      <c r="BQ30" s="79"/>
      <c r="BR30" s="84">
        <f t="shared" si="23"/>
        <v>0</v>
      </c>
      <c r="BS30" s="79">
        <f t="shared" si="48"/>
        <v>0</v>
      </c>
      <c r="BT30" s="79"/>
      <c r="BU30" s="84">
        <f t="shared" si="24"/>
        <v>0</v>
      </c>
      <c r="BV30" s="79">
        <f t="shared" si="49"/>
        <v>0</v>
      </c>
      <c r="BW30" s="79"/>
      <c r="BX30" s="84">
        <f t="shared" si="25"/>
        <v>0</v>
      </c>
      <c r="BY30" s="79">
        <f t="shared" si="50"/>
        <v>0</v>
      </c>
      <c r="BZ30" s="79"/>
      <c r="CA30" s="84">
        <f t="shared" si="26"/>
        <v>0</v>
      </c>
      <c r="CB30" s="79">
        <f t="shared" si="51"/>
        <v>0</v>
      </c>
      <c r="CC30" s="79"/>
      <c r="CD30" s="84">
        <f t="shared" si="27"/>
        <v>0</v>
      </c>
      <c r="CE30" s="79">
        <f t="shared" si="52"/>
        <v>0</v>
      </c>
      <c r="CF30" s="79"/>
      <c r="CG30" s="84">
        <f t="shared" si="28"/>
        <v>0</v>
      </c>
      <c r="CH30" s="79">
        <f t="shared" si="53"/>
        <v>0</v>
      </c>
      <c r="CI30" s="79"/>
      <c r="CJ30" s="84">
        <f t="shared" si="29"/>
        <v>0</v>
      </c>
      <c r="CK30" s="79">
        <f t="shared" si="54"/>
        <v>0</v>
      </c>
      <c r="CL30" s="79"/>
      <c r="CM30" s="84">
        <f t="shared" si="30"/>
        <v>0</v>
      </c>
      <c r="CN30" s="79">
        <f t="shared" si="55"/>
        <v>0</v>
      </c>
      <c r="CO30" s="79"/>
      <c r="CP30" s="84">
        <f t="shared" si="31"/>
        <v>0</v>
      </c>
    </row>
    <row r="31" spans="1:1028" s="3" customFormat="1" ht="13.5" customHeight="1" x14ac:dyDescent="0.2">
      <c r="A31" s="98">
        <v>23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4">
        <f t="shared" si="1"/>
        <v>0</v>
      </c>
      <c r="K31" s="79">
        <f t="shared" si="57"/>
        <v>0</v>
      </c>
      <c r="L31" s="79"/>
      <c r="M31" s="84">
        <f t="shared" si="2"/>
        <v>0</v>
      </c>
      <c r="N31" s="79">
        <f t="shared" si="62"/>
        <v>0</v>
      </c>
      <c r="O31" s="79"/>
      <c r="P31" s="84">
        <f t="shared" si="3"/>
        <v>0</v>
      </c>
      <c r="Q31" s="79">
        <f t="shared" si="35"/>
        <v>0</v>
      </c>
      <c r="R31" s="79"/>
      <c r="S31" s="84">
        <f t="shared" si="4"/>
        <v>0</v>
      </c>
      <c r="T31" s="79">
        <f t="shared" si="63"/>
        <v>0</v>
      </c>
      <c r="U31" s="79"/>
      <c r="V31" s="84">
        <f t="shared" si="5"/>
        <v>0</v>
      </c>
      <c r="W31" s="79">
        <f t="shared" si="64"/>
        <v>0</v>
      </c>
      <c r="X31" s="79"/>
      <c r="Y31" s="84">
        <f t="shared" si="6"/>
        <v>0</v>
      </c>
      <c r="Z31" s="79">
        <f t="shared" si="65"/>
        <v>0</v>
      </c>
      <c r="AA31" s="79"/>
      <c r="AB31" s="84">
        <f t="shared" si="7"/>
        <v>0</v>
      </c>
      <c r="AC31" s="79">
        <f t="shared" si="8"/>
        <v>0</v>
      </c>
      <c r="AD31" s="79"/>
      <c r="AE31" s="84">
        <f t="shared" si="9"/>
        <v>0</v>
      </c>
      <c r="AF31" s="79">
        <f t="shared" si="10"/>
        <v>0</v>
      </c>
      <c r="AG31" s="79"/>
      <c r="AH31" s="84">
        <f t="shared" si="11"/>
        <v>0</v>
      </c>
      <c r="AI31" s="79">
        <f t="shared" si="12"/>
        <v>0</v>
      </c>
      <c r="AJ31" s="79"/>
      <c r="AK31" s="84">
        <f t="shared" si="13"/>
        <v>0</v>
      </c>
      <c r="AL31" s="79">
        <f t="shared" si="36"/>
        <v>0</v>
      </c>
      <c r="AM31" s="79"/>
      <c r="AN31" s="84">
        <f t="shared" si="14"/>
        <v>0</v>
      </c>
      <c r="AO31" s="79">
        <f t="shared" si="37"/>
        <v>0</v>
      </c>
      <c r="AP31" s="79"/>
      <c r="AQ31" s="84">
        <f t="shared" si="15"/>
        <v>0</v>
      </c>
      <c r="AR31" s="79">
        <f t="shared" si="38"/>
        <v>0</v>
      </c>
      <c r="AS31" s="79"/>
      <c r="AT31" s="84">
        <f t="shared" si="16"/>
        <v>0</v>
      </c>
      <c r="AU31" s="79">
        <f t="shared" si="39"/>
        <v>0</v>
      </c>
      <c r="AV31" s="79"/>
      <c r="AW31" s="84">
        <f t="shared" si="17"/>
        <v>0</v>
      </c>
      <c r="AX31" s="79">
        <f t="shared" si="40"/>
        <v>0</v>
      </c>
      <c r="AY31" s="79"/>
      <c r="AZ31" s="84">
        <f t="shared" si="18"/>
        <v>0</v>
      </c>
      <c r="BA31" s="79">
        <f t="shared" si="41"/>
        <v>0</v>
      </c>
      <c r="BB31" s="79"/>
      <c r="BC31" s="84">
        <f t="shared" si="19"/>
        <v>0</v>
      </c>
      <c r="BD31" s="84">
        <f t="shared" si="42"/>
        <v>0</v>
      </c>
      <c r="BE31" s="84"/>
      <c r="BF31" s="84">
        <f t="shared" si="43"/>
        <v>0</v>
      </c>
      <c r="BG31" s="79">
        <f t="shared" si="44"/>
        <v>0</v>
      </c>
      <c r="BH31" s="79"/>
      <c r="BI31" s="193">
        <f t="shared" si="20"/>
        <v>0</v>
      </c>
      <c r="BJ31" s="79">
        <f t="shared" si="45"/>
        <v>0</v>
      </c>
      <c r="BK31" s="79"/>
      <c r="BL31" s="84">
        <f t="shared" si="21"/>
        <v>0</v>
      </c>
      <c r="BM31" s="79">
        <f t="shared" si="46"/>
        <v>0</v>
      </c>
      <c r="BN31" s="79"/>
      <c r="BO31" s="84">
        <f t="shared" si="22"/>
        <v>0</v>
      </c>
      <c r="BP31" s="79">
        <f t="shared" si="47"/>
        <v>0</v>
      </c>
      <c r="BQ31" s="79"/>
      <c r="BR31" s="84">
        <f t="shared" si="23"/>
        <v>0</v>
      </c>
      <c r="BS31" s="79">
        <f t="shared" si="48"/>
        <v>0</v>
      </c>
      <c r="BT31" s="79"/>
      <c r="BU31" s="84">
        <f t="shared" si="24"/>
        <v>0</v>
      </c>
      <c r="BV31" s="79">
        <f t="shared" si="49"/>
        <v>0</v>
      </c>
      <c r="BW31" s="79"/>
      <c r="BX31" s="84">
        <f t="shared" si="25"/>
        <v>0</v>
      </c>
      <c r="BY31" s="79">
        <f t="shared" si="50"/>
        <v>0</v>
      </c>
      <c r="BZ31" s="79"/>
      <c r="CA31" s="84">
        <f t="shared" si="26"/>
        <v>0</v>
      </c>
      <c r="CB31" s="79">
        <f t="shared" si="51"/>
        <v>0</v>
      </c>
      <c r="CC31" s="79"/>
      <c r="CD31" s="84">
        <f t="shared" si="27"/>
        <v>0</v>
      </c>
      <c r="CE31" s="79">
        <f t="shared" si="52"/>
        <v>0</v>
      </c>
      <c r="CF31" s="79"/>
      <c r="CG31" s="84">
        <f t="shared" si="28"/>
        <v>0</v>
      </c>
      <c r="CH31" s="79">
        <f t="shared" si="53"/>
        <v>0</v>
      </c>
      <c r="CI31" s="79"/>
      <c r="CJ31" s="84">
        <f t="shared" si="29"/>
        <v>0</v>
      </c>
      <c r="CK31" s="79">
        <f t="shared" si="54"/>
        <v>0</v>
      </c>
      <c r="CL31" s="79"/>
      <c r="CM31" s="84">
        <f t="shared" si="30"/>
        <v>0</v>
      </c>
      <c r="CN31" s="79">
        <f t="shared" si="55"/>
        <v>0</v>
      </c>
      <c r="CO31" s="79"/>
      <c r="CP31" s="84">
        <f t="shared" si="31"/>
        <v>0</v>
      </c>
    </row>
    <row r="32" spans="1:1028" s="94" customFormat="1" ht="13.5" customHeight="1" x14ac:dyDescent="0.2">
      <c r="A32" s="98">
        <v>24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 t="shared" si="33"/>
        <v>0</v>
      </c>
      <c r="H32" s="79">
        <f t="shared" si="34"/>
        <v>0</v>
      </c>
      <c r="I32" s="79"/>
      <c r="J32" s="84">
        <f t="shared" si="1"/>
        <v>0</v>
      </c>
      <c r="K32" s="79">
        <f t="shared" si="57"/>
        <v>0</v>
      </c>
      <c r="L32" s="79"/>
      <c r="M32" s="84">
        <f t="shared" si="2"/>
        <v>0</v>
      </c>
      <c r="N32" s="79">
        <f t="shared" si="62"/>
        <v>0</v>
      </c>
      <c r="O32" s="79"/>
      <c r="P32" s="84">
        <f t="shared" si="3"/>
        <v>0</v>
      </c>
      <c r="Q32" s="79">
        <f t="shared" si="35"/>
        <v>0</v>
      </c>
      <c r="R32" s="79"/>
      <c r="S32" s="84">
        <f t="shared" si="4"/>
        <v>0</v>
      </c>
      <c r="T32" s="79">
        <f t="shared" si="63"/>
        <v>0</v>
      </c>
      <c r="U32" s="79"/>
      <c r="V32" s="84">
        <f t="shared" si="5"/>
        <v>0</v>
      </c>
      <c r="W32" s="79">
        <f t="shared" si="64"/>
        <v>0</v>
      </c>
      <c r="X32" s="79"/>
      <c r="Y32" s="84">
        <f t="shared" si="6"/>
        <v>0</v>
      </c>
      <c r="Z32" s="79">
        <f t="shared" si="65"/>
        <v>0</v>
      </c>
      <c r="AA32" s="79"/>
      <c r="AB32" s="84">
        <f t="shared" si="7"/>
        <v>0</v>
      </c>
      <c r="AC32" s="79">
        <f t="shared" si="8"/>
        <v>0</v>
      </c>
      <c r="AD32" s="79"/>
      <c r="AE32" s="84">
        <f t="shared" si="9"/>
        <v>0</v>
      </c>
      <c r="AF32" s="79">
        <f t="shared" si="10"/>
        <v>0</v>
      </c>
      <c r="AG32" s="79"/>
      <c r="AH32" s="84">
        <f t="shared" si="11"/>
        <v>0</v>
      </c>
      <c r="AI32" s="79">
        <f t="shared" si="12"/>
        <v>0</v>
      </c>
      <c r="AJ32" s="79"/>
      <c r="AK32" s="84">
        <f t="shared" si="13"/>
        <v>0</v>
      </c>
      <c r="AL32" s="79">
        <f t="shared" si="36"/>
        <v>0</v>
      </c>
      <c r="AM32" s="79"/>
      <c r="AN32" s="84">
        <f t="shared" si="14"/>
        <v>0</v>
      </c>
      <c r="AO32" s="79">
        <f t="shared" si="37"/>
        <v>0</v>
      </c>
      <c r="AP32" s="79"/>
      <c r="AQ32" s="84">
        <f t="shared" si="15"/>
        <v>0</v>
      </c>
      <c r="AR32" s="79">
        <f t="shared" si="38"/>
        <v>0</v>
      </c>
      <c r="AS32" s="79"/>
      <c r="AT32" s="84">
        <f t="shared" si="16"/>
        <v>0</v>
      </c>
      <c r="AU32" s="79">
        <f t="shared" si="39"/>
        <v>0</v>
      </c>
      <c r="AV32" s="79"/>
      <c r="AW32" s="84">
        <f t="shared" si="17"/>
        <v>0</v>
      </c>
      <c r="AX32" s="79">
        <f t="shared" si="40"/>
        <v>0</v>
      </c>
      <c r="AY32" s="79"/>
      <c r="AZ32" s="84">
        <f t="shared" si="18"/>
        <v>0</v>
      </c>
      <c r="BA32" s="79">
        <f t="shared" si="41"/>
        <v>0</v>
      </c>
      <c r="BB32" s="79"/>
      <c r="BC32" s="84">
        <f t="shared" si="19"/>
        <v>0</v>
      </c>
      <c r="BD32" s="84">
        <f t="shared" si="42"/>
        <v>0</v>
      </c>
      <c r="BE32" s="84"/>
      <c r="BF32" s="84">
        <f t="shared" si="43"/>
        <v>0</v>
      </c>
      <c r="BG32" s="79">
        <f t="shared" si="44"/>
        <v>0</v>
      </c>
      <c r="BH32" s="79"/>
      <c r="BI32" s="193">
        <f t="shared" si="20"/>
        <v>0</v>
      </c>
      <c r="BJ32" s="79">
        <f t="shared" si="45"/>
        <v>0</v>
      </c>
      <c r="BK32" s="79"/>
      <c r="BL32" s="84">
        <f t="shared" si="21"/>
        <v>0</v>
      </c>
      <c r="BM32" s="79">
        <f t="shared" si="46"/>
        <v>0</v>
      </c>
      <c r="BN32" s="79"/>
      <c r="BO32" s="84">
        <f t="shared" si="22"/>
        <v>0</v>
      </c>
      <c r="BP32" s="79">
        <f t="shared" si="47"/>
        <v>0</v>
      </c>
      <c r="BQ32" s="79"/>
      <c r="BR32" s="84">
        <f t="shared" si="23"/>
        <v>0</v>
      </c>
      <c r="BS32" s="79">
        <f t="shared" si="48"/>
        <v>0</v>
      </c>
      <c r="BT32" s="79"/>
      <c r="BU32" s="84">
        <f t="shared" si="24"/>
        <v>0</v>
      </c>
      <c r="BV32" s="79">
        <f t="shared" si="49"/>
        <v>0</v>
      </c>
      <c r="BW32" s="79"/>
      <c r="BX32" s="84">
        <f t="shared" si="25"/>
        <v>0</v>
      </c>
      <c r="BY32" s="79">
        <f t="shared" si="50"/>
        <v>0</v>
      </c>
      <c r="BZ32" s="79"/>
      <c r="CA32" s="84">
        <f t="shared" si="26"/>
        <v>0</v>
      </c>
      <c r="CB32" s="79">
        <f t="shared" si="51"/>
        <v>0</v>
      </c>
      <c r="CC32" s="79"/>
      <c r="CD32" s="84">
        <f t="shared" si="27"/>
        <v>0</v>
      </c>
      <c r="CE32" s="79">
        <f t="shared" si="52"/>
        <v>0</v>
      </c>
      <c r="CF32" s="79"/>
      <c r="CG32" s="84">
        <f t="shared" si="28"/>
        <v>0</v>
      </c>
      <c r="CH32" s="79">
        <f t="shared" si="53"/>
        <v>0</v>
      </c>
      <c r="CI32" s="79"/>
      <c r="CJ32" s="84">
        <f t="shared" si="29"/>
        <v>0</v>
      </c>
      <c r="CK32" s="79">
        <f t="shared" si="54"/>
        <v>0</v>
      </c>
      <c r="CL32" s="79"/>
      <c r="CM32" s="84">
        <f t="shared" si="30"/>
        <v>0</v>
      </c>
      <c r="CN32" s="79">
        <f t="shared" si="55"/>
        <v>0</v>
      </c>
      <c r="CO32" s="79"/>
      <c r="CP32" s="84">
        <f t="shared" si="31"/>
        <v>0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98">
        <v>25</v>
      </c>
      <c r="B33" s="75">
        <f t="shared" si="32"/>
        <v>0</v>
      </c>
      <c r="C33" s="75"/>
      <c r="D33" s="76">
        <f t="shared" si="0"/>
        <v>0</v>
      </c>
      <c r="E33" s="77">
        <f t="shared" si="56"/>
        <v>0</v>
      </c>
      <c r="F33" s="77"/>
      <c r="G33" s="77">
        <f t="shared" si="33"/>
        <v>0</v>
      </c>
      <c r="H33" s="79">
        <f t="shared" si="34"/>
        <v>0</v>
      </c>
      <c r="I33" s="79"/>
      <c r="J33" s="84">
        <f t="shared" si="1"/>
        <v>0</v>
      </c>
      <c r="K33" s="79">
        <f t="shared" si="57"/>
        <v>0</v>
      </c>
      <c r="L33" s="79"/>
      <c r="M33" s="84">
        <f t="shared" si="2"/>
        <v>0</v>
      </c>
      <c r="N33" s="79">
        <f t="shared" si="62"/>
        <v>0</v>
      </c>
      <c r="O33" s="79"/>
      <c r="P33" s="84">
        <f t="shared" si="3"/>
        <v>0</v>
      </c>
      <c r="Q33" s="79">
        <f t="shared" si="35"/>
        <v>0</v>
      </c>
      <c r="R33" s="79"/>
      <c r="S33" s="84">
        <f t="shared" si="4"/>
        <v>0</v>
      </c>
      <c r="T33" s="79">
        <f t="shared" si="63"/>
        <v>0</v>
      </c>
      <c r="U33" s="79"/>
      <c r="V33" s="84">
        <f t="shared" si="5"/>
        <v>0</v>
      </c>
      <c r="W33" s="79">
        <f t="shared" si="64"/>
        <v>0</v>
      </c>
      <c r="X33" s="79"/>
      <c r="Y33" s="84">
        <f t="shared" si="6"/>
        <v>0</v>
      </c>
      <c r="Z33" s="79">
        <f t="shared" si="65"/>
        <v>0</v>
      </c>
      <c r="AA33" s="79"/>
      <c r="AB33" s="84">
        <f t="shared" si="7"/>
        <v>0</v>
      </c>
      <c r="AC33" s="79">
        <f t="shared" si="8"/>
        <v>0</v>
      </c>
      <c r="AD33" s="79"/>
      <c r="AE33" s="84">
        <f t="shared" si="9"/>
        <v>0</v>
      </c>
      <c r="AF33" s="79">
        <f t="shared" si="10"/>
        <v>0</v>
      </c>
      <c r="AG33" s="79"/>
      <c r="AH33" s="84">
        <f t="shared" si="11"/>
        <v>0</v>
      </c>
      <c r="AI33" s="79">
        <f t="shared" si="12"/>
        <v>0</v>
      </c>
      <c r="AJ33" s="79"/>
      <c r="AK33" s="84">
        <f t="shared" si="13"/>
        <v>0</v>
      </c>
      <c r="AL33" s="79">
        <f t="shared" si="36"/>
        <v>0</v>
      </c>
      <c r="AM33" s="79"/>
      <c r="AN33" s="84">
        <f t="shared" si="14"/>
        <v>0</v>
      </c>
      <c r="AO33" s="79">
        <f t="shared" si="37"/>
        <v>0</v>
      </c>
      <c r="AP33" s="79"/>
      <c r="AQ33" s="84">
        <f t="shared" si="15"/>
        <v>0</v>
      </c>
      <c r="AR33" s="79">
        <f t="shared" si="38"/>
        <v>0</v>
      </c>
      <c r="AS33" s="79"/>
      <c r="AT33" s="84">
        <f t="shared" si="16"/>
        <v>0</v>
      </c>
      <c r="AU33" s="79">
        <f t="shared" si="39"/>
        <v>0</v>
      </c>
      <c r="AV33" s="79"/>
      <c r="AW33" s="84">
        <f t="shared" si="17"/>
        <v>0</v>
      </c>
      <c r="AX33" s="79">
        <f t="shared" si="40"/>
        <v>0</v>
      </c>
      <c r="AY33" s="79"/>
      <c r="AZ33" s="84">
        <f t="shared" si="18"/>
        <v>0</v>
      </c>
      <c r="BA33" s="79">
        <f t="shared" si="41"/>
        <v>0</v>
      </c>
      <c r="BB33" s="79"/>
      <c r="BC33" s="84">
        <f t="shared" si="19"/>
        <v>0</v>
      </c>
      <c r="BD33" s="84">
        <f t="shared" si="42"/>
        <v>0</v>
      </c>
      <c r="BE33" s="84"/>
      <c r="BF33" s="84">
        <f t="shared" si="43"/>
        <v>0</v>
      </c>
      <c r="BG33" s="79">
        <f t="shared" si="44"/>
        <v>0</v>
      </c>
      <c r="BH33" s="79"/>
      <c r="BI33" s="193">
        <f t="shared" si="20"/>
        <v>0</v>
      </c>
      <c r="BJ33" s="79">
        <f t="shared" si="45"/>
        <v>0</v>
      </c>
      <c r="BK33" s="79"/>
      <c r="BL33" s="84">
        <f t="shared" si="21"/>
        <v>0</v>
      </c>
      <c r="BM33" s="79">
        <f t="shared" si="46"/>
        <v>0</v>
      </c>
      <c r="BN33" s="79"/>
      <c r="BO33" s="84">
        <f t="shared" si="22"/>
        <v>0</v>
      </c>
      <c r="BP33" s="79">
        <f t="shared" si="47"/>
        <v>0</v>
      </c>
      <c r="BQ33" s="79"/>
      <c r="BR33" s="84">
        <f t="shared" si="23"/>
        <v>0</v>
      </c>
      <c r="BS33" s="79">
        <f t="shared" si="48"/>
        <v>0</v>
      </c>
      <c r="BT33" s="79"/>
      <c r="BU33" s="84">
        <f t="shared" si="24"/>
        <v>0</v>
      </c>
      <c r="BV33" s="79">
        <f t="shared" si="49"/>
        <v>0</v>
      </c>
      <c r="BW33" s="79"/>
      <c r="BX33" s="84">
        <f t="shared" si="25"/>
        <v>0</v>
      </c>
      <c r="BY33" s="79">
        <f t="shared" si="50"/>
        <v>0</v>
      </c>
      <c r="BZ33" s="79"/>
      <c r="CA33" s="84">
        <f t="shared" si="26"/>
        <v>0</v>
      </c>
      <c r="CB33" s="79">
        <f t="shared" si="51"/>
        <v>0</v>
      </c>
      <c r="CC33" s="79"/>
      <c r="CD33" s="84">
        <f t="shared" si="27"/>
        <v>0</v>
      </c>
      <c r="CE33" s="79">
        <f t="shared" si="52"/>
        <v>0</v>
      </c>
      <c r="CF33" s="79"/>
      <c r="CG33" s="84">
        <f t="shared" si="28"/>
        <v>0</v>
      </c>
      <c r="CH33" s="79">
        <f t="shared" si="53"/>
        <v>0</v>
      </c>
      <c r="CI33" s="79"/>
      <c r="CJ33" s="84">
        <f t="shared" si="29"/>
        <v>0</v>
      </c>
      <c r="CK33" s="79">
        <f t="shared" si="54"/>
        <v>0</v>
      </c>
      <c r="CL33" s="79"/>
      <c r="CM33" s="84">
        <f t="shared" si="30"/>
        <v>0</v>
      </c>
      <c r="CN33" s="79">
        <f t="shared" si="55"/>
        <v>0</v>
      </c>
      <c r="CO33" s="79"/>
      <c r="CP33" s="84">
        <f t="shared" si="31"/>
        <v>0</v>
      </c>
    </row>
    <row r="34" spans="1:94" s="3" customFormat="1" ht="13.5" customHeight="1" x14ac:dyDescent="0.2">
      <c r="A34" s="98">
        <v>26</v>
      </c>
      <c r="B34" s="75">
        <f t="shared" si="32"/>
        <v>0</v>
      </c>
      <c r="C34" s="75"/>
      <c r="D34" s="76">
        <f t="shared" si="0"/>
        <v>0</v>
      </c>
      <c r="E34" s="77">
        <f t="shared" si="56"/>
        <v>0</v>
      </c>
      <c r="F34" s="77"/>
      <c r="G34" s="77">
        <f t="shared" si="33"/>
        <v>0</v>
      </c>
      <c r="H34" s="79">
        <f t="shared" si="34"/>
        <v>0</v>
      </c>
      <c r="I34" s="79"/>
      <c r="J34" s="84">
        <f t="shared" si="1"/>
        <v>0</v>
      </c>
      <c r="K34" s="79">
        <f t="shared" si="57"/>
        <v>0</v>
      </c>
      <c r="L34" s="79"/>
      <c r="M34" s="84">
        <f t="shared" si="2"/>
        <v>0</v>
      </c>
      <c r="N34" s="79">
        <f t="shared" si="62"/>
        <v>0</v>
      </c>
      <c r="O34" s="79"/>
      <c r="P34" s="84">
        <f t="shared" si="3"/>
        <v>0</v>
      </c>
      <c r="Q34" s="79">
        <f t="shared" si="35"/>
        <v>0</v>
      </c>
      <c r="R34" s="79"/>
      <c r="S34" s="84">
        <f t="shared" si="4"/>
        <v>0</v>
      </c>
      <c r="T34" s="79">
        <f t="shared" si="63"/>
        <v>0</v>
      </c>
      <c r="U34" s="79"/>
      <c r="V34" s="84">
        <f t="shared" si="5"/>
        <v>0</v>
      </c>
      <c r="W34" s="79">
        <f t="shared" si="64"/>
        <v>0</v>
      </c>
      <c r="X34" s="79"/>
      <c r="Y34" s="84">
        <f t="shared" si="6"/>
        <v>0</v>
      </c>
      <c r="Z34" s="79">
        <f t="shared" si="65"/>
        <v>0</v>
      </c>
      <c r="AA34" s="79"/>
      <c r="AB34" s="84">
        <f t="shared" si="7"/>
        <v>0</v>
      </c>
      <c r="AC34" s="79">
        <f t="shared" si="8"/>
        <v>0</v>
      </c>
      <c r="AD34" s="79"/>
      <c r="AE34" s="84">
        <f t="shared" si="9"/>
        <v>0</v>
      </c>
      <c r="AF34" s="79">
        <f t="shared" si="10"/>
        <v>0</v>
      </c>
      <c r="AG34" s="79"/>
      <c r="AH34" s="84">
        <f t="shared" si="11"/>
        <v>0</v>
      </c>
      <c r="AI34" s="79">
        <f t="shared" si="12"/>
        <v>0</v>
      </c>
      <c r="AJ34" s="79"/>
      <c r="AK34" s="84">
        <f t="shared" si="13"/>
        <v>0</v>
      </c>
      <c r="AL34" s="79">
        <f t="shared" si="36"/>
        <v>0</v>
      </c>
      <c r="AM34" s="79"/>
      <c r="AN34" s="84">
        <f t="shared" si="14"/>
        <v>0</v>
      </c>
      <c r="AO34" s="79">
        <f t="shared" si="37"/>
        <v>0</v>
      </c>
      <c r="AP34" s="79"/>
      <c r="AQ34" s="84">
        <f t="shared" si="15"/>
        <v>0</v>
      </c>
      <c r="AR34" s="79">
        <f t="shared" si="38"/>
        <v>0</v>
      </c>
      <c r="AS34" s="79"/>
      <c r="AT34" s="84">
        <f t="shared" si="16"/>
        <v>0</v>
      </c>
      <c r="AU34" s="79">
        <f t="shared" si="39"/>
        <v>0</v>
      </c>
      <c r="AV34" s="79"/>
      <c r="AW34" s="84">
        <f t="shared" si="17"/>
        <v>0</v>
      </c>
      <c r="AX34" s="79">
        <f t="shared" si="40"/>
        <v>0</v>
      </c>
      <c r="AY34" s="79"/>
      <c r="AZ34" s="84">
        <f t="shared" si="18"/>
        <v>0</v>
      </c>
      <c r="BA34" s="79">
        <f t="shared" si="41"/>
        <v>0</v>
      </c>
      <c r="BB34" s="79"/>
      <c r="BC34" s="84">
        <f t="shared" si="19"/>
        <v>0</v>
      </c>
      <c r="BD34" s="84">
        <f t="shared" si="42"/>
        <v>0</v>
      </c>
      <c r="BE34" s="84"/>
      <c r="BF34" s="84">
        <f t="shared" si="43"/>
        <v>0</v>
      </c>
      <c r="BG34" s="79">
        <f t="shared" si="44"/>
        <v>0</v>
      </c>
      <c r="BH34" s="79"/>
      <c r="BI34" s="193">
        <f t="shared" si="20"/>
        <v>0</v>
      </c>
      <c r="BJ34" s="79">
        <f t="shared" si="45"/>
        <v>0</v>
      </c>
      <c r="BK34" s="79"/>
      <c r="BL34" s="84">
        <f t="shared" si="21"/>
        <v>0</v>
      </c>
      <c r="BM34" s="79">
        <f t="shared" si="46"/>
        <v>0</v>
      </c>
      <c r="BN34" s="79"/>
      <c r="BO34" s="84">
        <f t="shared" si="22"/>
        <v>0</v>
      </c>
      <c r="BP34" s="79">
        <f t="shared" si="47"/>
        <v>0</v>
      </c>
      <c r="BQ34" s="79"/>
      <c r="BR34" s="84">
        <f t="shared" si="23"/>
        <v>0</v>
      </c>
      <c r="BS34" s="79">
        <f t="shared" si="48"/>
        <v>0</v>
      </c>
      <c r="BT34" s="79"/>
      <c r="BU34" s="84">
        <f t="shared" si="24"/>
        <v>0</v>
      </c>
      <c r="BV34" s="79">
        <f t="shared" si="49"/>
        <v>0</v>
      </c>
      <c r="BW34" s="79"/>
      <c r="BX34" s="84">
        <f t="shared" si="25"/>
        <v>0</v>
      </c>
      <c r="BY34" s="79">
        <f t="shared" si="50"/>
        <v>0</v>
      </c>
      <c r="BZ34" s="79"/>
      <c r="CA34" s="84">
        <f t="shared" si="26"/>
        <v>0</v>
      </c>
      <c r="CB34" s="79">
        <f t="shared" si="51"/>
        <v>0</v>
      </c>
      <c r="CC34" s="79"/>
      <c r="CD34" s="84">
        <f t="shared" si="27"/>
        <v>0</v>
      </c>
      <c r="CE34" s="79">
        <f t="shared" si="52"/>
        <v>0</v>
      </c>
      <c r="CF34" s="79"/>
      <c r="CG34" s="84">
        <f t="shared" si="28"/>
        <v>0</v>
      </c>
      <c r="CH34" s="79">
        <f t="shared" si="53"/>
        <v>0</v>
      </c>
      <c r="CI34" s="79"/>
      <c r="CJ34" s="84">
        <f t="shared" si="29"/>
        <v>0</v>
      </c>
      <c r="CK34" s="79">
        <f t="shared" si="54"/>
        <v>0</v>
      </c>
      <c r="CL34" s="79"/>
      <c r="CM34" s="84">
        <f t="shared" si="30"/>
        <v>0</v>
      </c>
      <c r="CN34" s="79">
        <f t="shared" si="55"/>
        <v>0</v>
      </c>
      <c r="CO34" s="79"/>
      <c r="CP34" s="84">
        <f t="shared" si="31"/>
        <v>0</v>
      </c>
    </row>
    <row r="35" spans="1:94" s="3" customFormat="1" ht="13.5" customHeight="1" x14ac:dyDescent="0.2">
      <c r="A35" s="98">
        <v>27</v>
      </c>
      <c r="B35" s="75">
        <f t="shared" si="32"/>
        <v>0</v>
      </c>
      <c r="C35" s="75"/>
      <c r="D35" s="76">
        <f t="shared" si="0"/>
        <v>0</v>
      </c>
      <c r="E35" s="77">
        <f t="shared" si="56"/>
        <v>0</v>
      </c>
      <c r="F35" s="77"/>
      <c r="G35" s="77">
        <f t="shared" si="33"/>
        <v>0</v>
      </c>
      <c r="H35" s="79">
        <f t="shared" si="34"/>
        <v>0</v>
      </c>
      <c r="I35" s="79"/>
      <c r="J35" s="84">
        <f t="shared" si="1"/>
        <v>0</v>
      </c>
      <c r="K35" s="79">
        <f t="shared" si="57"/>
        <v>0</v>
      </c>
      <c r="L35" s="79"/>
      <c r="M35" s="84">
        <f t="shared" si="2"/>
        <v>0</v>
      </c>
      <c r="N35" s="79">
        <f t="shared" si="62"/>
        <v>0</v>
      </c>
      <c r="O35" s="79"/>
      <c r="P35" s="84">
        <f t="shared" si="3"/>
        <v>0</v>
      </c>
      <c r="Q35" s="79">
        <f t="shared" si="35"/>
        <v>0</v>
      </c>
      <c r="R35" s="79"/>
      <c r="S35" s="84">
        <f t="shared" si="4"/>
        <v>0</v>
      </c>
      <c r="T35" s="79">
        <f t="shared" si="63"/>
        <v>0</v>
      </c>
      <c r="U35" s="79"/>
      <c r="V35" s="84">
        <f t="shared" si="5"/>
        <v>0</v>
      </c>
      <c r="W35" s="79">
        <f t="shared" si="64"/>
        <v>0</v>
      </c>
      <c r="X35" s="79"/>
      <c r="Y35" s="84">
        <f t="shared" si="6"/>
        <v>0</v>
      </c>
      <c r="Z35" s="79">
        <f t="shared" si="65"/>
        <v>0</v>
      </c>
      <c r="AA35" s="79"/>
      <c r="AB35" s="84">
        <f t="shared" si="7"/>
        <v>0</v>
      </c>
      <c r="AC35" s="79">
        <f t="shared" si="8"/>
        <v>0</v>
      </c>
      <c r="AD35" s="79"/>
      <c r="AE35" s="84">
        <f t="shared" si="9"/>
        <v>0</v>
      </c>
      <c r="AF35" s="79">
        <f t="shared" si="10"/>
        <v>0</v>
      </c>
      <c r="AG35" s="79"/>
      <c r="AH35" s="84">
        <f t="shared" si="11"/>
        <v>0</v>
      </c>
      <c r="AI35" s="79">
        <f t="shared" si="12"/>
        <v>0</v>
      </c>
      <c r="AJ35" s="79"/>
      <c r="AK35" s="84">
        <f t="shared" si="13"/>
        <v>0</v>
      </c>
      <c r="AL35" s="79">
        <f t="shared" si="36"/>
        <v>0</v>
      </c>
      <c r="AM35" s="79"/>
      <c r="AN35" s="84">
        <f t="shared" si="14"/>
        <v>0</v>
      </c>
      <c r="AO35" s="79">
        <f t="shared" si="37"/>
        <v>0</v>
      </c>
      <c r="AP35" s="79"/>
      <c r="AQ35" s="84">
        <f t="shared" si="15"/>
        <v>0</v>
      </c>
      <c r="AR35" s="79">
        <f t="shared" si="38"/>
        <v>0</v>
      </c>
      <c r="AS35" s="79"/>
      <c r="AT35" s="84">
        <f t="shared" si="16"/>
        <v>0</v>
      </c>
      <c r="AU35" s="79">
        <f t="shared" si="39"/>
        <v>0</v>
      </c>
      <c r="AV35" s="79"/>
      <c r="AW35" s="84">
        <f t="shared" si="17"/>
        <v>0</v>
      </c>
      <c r="AX35" s="79">
        <f t="shared" si="40"/>
        <v>0</v>
      </c>
      <c r="AY35" s="79"/>
      <c r="AZ35" s="84">
        <f t="shared" si="18"/>
        <v>0</v>
      </c>
      <c r="BA35" s="79">
        <f t="shared" si="41"/>
        <v>0</v>
      </c>
      <c r="BB35" s="79"/>
      <c r="BC35" s="84">
        <f t="shared" si="19"/>
        <v>0</v>
      </c>
      <c r="BD35" s="84">
        <f t="shared" si="42"/>
        <v>0</v>
      </c>
      <c r="BE35" s="84"/>
      <c r="BF35" s="84">
        <f t="shared" si="43"/>
        <v>0</v>
      </c>
      <c r="BG35" s="79">
        <f t="shared" si="44"/>
        <v>0</v>
      </c>
      <c r="BH35" s="79"/>
      <c r="BI35" s="193">
        <f t="shared" si="20"/>
        <v>0</v>
      </c>
      <c r="BJ35" s="79">
        <f t="shared" si="45"/>
        <v>0</v>
      </c>
      <c r="BK35" s="79"/>
      <c r="BL35" s="84">
        <f t="shared" si="21"/>
        <v>0</v>
      </c>
      <c r="BM35" s="79">
        <f t="shared" si="46"/>
        <v>0</v>
      </c>
      <c r="BN35" s="79"/>
      <c r="BO35" s="84">
        <f t="shared" si="22"/>
        <v>0</v>
      </c>
      <c r="BP35" s="79">
        <f t="shared" si="47"/>
        <v>0</v>
      </c>
      <c r="BQ35" s="79"/>
      <c r="BR35" s="84">
        <f t="shared" si="23"/>
        <v>0</v>
      </c>
      <c r="BS35" s="79">
        <f t="shared" si="48"/>
        <v>0</v>
      </c>
      <c r="BT35" s="79"/>
      <c r="BU35" s="84">
        <f t="shared" si="24"/>
        <v>0</v>
      </c>
      <c r="BV35" s="79">
        <f t="shared" si="49"/>
        <v>0</v>
      </c>
      <c r="BW35" s="79"/>
      <c r="BX35" s="84">
        <f t="shared" si="25"/>
        <v>0</v>
      </c>
      <c r="BY35" s="79">
        <f t="shared" si="50"/>
        <v>0</v>
      </c>
      <c r="BZ35" s="79"/>
      <c r="CA35" s="84">
        <f t="shared" si="26"/>
        <v>0</v>
      </c>
      <c r="CB35" s="79">
        <f t="shared" si="51"/>
        <v>0</v>
      </c>
      <c r="CC35" s="79"/>
      <c r="CD35" s="84">
        <f t="shared" si="27"/>
        <v>0</v>
      </c>
      <c r="CE35" s="79">
        <f t="shared" si="52"/>
        <v>0</v>
      </c>
      <c r="CF35" s="79"/>
      <c r="CG35" s="84">
        <f t="shared" si="28"/>
        <v>0</v>
      </c>
      <c r="CH35" s="79">
        <f t="shared" si="53"/>
        <v>0</v>
      </c>
      <c r="CI35" s="79"/>
      <c r="CJ35" s="84">
        <f t="shared" si="29"/>
        <v>0</v>
      </c>
      <c r="CK35" s="79">
        <f t="shared" si="54"/>
        <v>0</v>
      </c>
      <c r="CL35" s="79"/>
      <c r="CM35" s="84">
        <f t="shared" si="30"/>
        <v>0</v>
      </c>
      <c r="CN35" s="79">
        <f t="shared" si="55"/>
        <v>0</v>
      </c>
      <c r="CO35" s="79"/>
      <c r="CP35" s="84">
        <f t="shared" si="31"/>
        <v>0</v>
      </c>
    </row>
    <row r="36" spans="1:94" s="3" customFormat="1" ht="13.5" customHeight="1" x14ac:dyDescent="0.2">
      <c r="A36" s="98">
        <v>28</v>
      </c>
      <c r="B36" s="75">
        <f t="shared" si="32"/>
        <v>0</v>
      </c>
      <c r="C36" s="75"/>
      <c r="D36" s="76">
        <f t="shared" si="0"/>
        <v>0</v>
      </c>
      <c r="E36" s="77">
        <f t="shared" si="56"/>
        <v>0</v>
      </c>
      <c r="F36" s="77"/>
      <c r="G36" s="77">
        <f>F36-E36</f>
        <v>0</v>
      </c>
      <c r="H36" s="79">
        <f t="shared" si="34"/>
        <v>0</v>
      </c>
      <c r="I36" s="79"/>
      <c r="J36" s="84">
        <f>I36-H36</f>
        <v>0</v>
      </c>
      <c r="K36" s="79">
        <f t="shared" si="57"/>
        <v>0</v>
      </c>
      <c r="L36" s="79"/>
      <c r="M36" s="84">
        <f>L36-K36</f>
        <v>0</v>
      </c>
      <c r="N36" s="79">
        <f t="shared" si="62"/>
        <v>0</v>
      </c>
      <c r="O36" s="79"/>
      <c r="P36" s="84">
        <f>O36-N36</f>
        <v>0</v>
      </c>
      <c r="Q36" s="79">
        <f t="shared" si="35"/>
        <v>0</v>
      </c>
      <c r="R36" s="81"/>
      <c r="S36" s="84">
        <f>R36-Q36</f>
        <v>0</v>
      </c>
      <c r="T36" s="79">
        <f t="shared" si="63"/>
        <v>0</v>
      </c>
      <c r="U36" s="79"/>
      <c r="V36" s="84">
        <f>U36-T36</f>
        <v>0</v>
      </c>
      <c r="W36" s="79">
        <f t="shared" si="64"/>
        <v>0</v>
      </c>
      <c r="X36" s="79"/>
      <c r="Y36" s="84">
        <f>X36-W36</f>
        <v>0</v>
      </c>
      <c r="Z36" s="79">
        <f t="shared" si="65"/>
        <v>0</v>
      </c>
      <c r="AA36" s="79"/>
      <c r="AB36" s="84">
        <f>AA36-Z36</f>
        <v>0</v>
      </c>
      <c r="AC36" s="79">
        <f t="shared" si="8"/>
        <v>0</v>
      </c>
      <c r="AD36" s="79"/>
      <c r="AE36" s="84">
        <f t="shared" si="9"/>
        <v>0</v>
      </c>
      <c r="AF36" s="79">
        <f t="shared" si="10"/>
        <v>0</v>
      </c>
      <c r="AG36" s="79"/>
      <c r="AH36" s="84">
        <f t="shared" si="11"/>
        <v>0</v>
      </c>
      <c r="AI36" s="79">
        <f t="shared" si="12"/>
        <v>0</v>
      </c>
      <c r="AJ36" s="79"/>
      <c r="AK36" s="84">
        <f t="shared" si="13"/>
        <v>0</v>
      </c>
      <c r="AL36" s="79">
        <f t="shared" si="36"/>
        <v>0</v>
      </c>
      <c r="AM36" s="79"/>
      <c r="AN36" s="84">
        <f t="shared" si="14"/>
        <v>0</v>
      </c>
      <c r="AO36" s="79">
        <f t="shared" si="37"/>
        <v>0</v>
      </c>
      <c r="AP36" s="79"/>
      <c r="AQ36" s="84">
        <f t="shared" si="15"/>
        <v>0</v>
      </c>
      <c r="AR36" s="79">
        <f t="shared" si="38"/>
        <v>0</v>
      </c>
      <c r="AS36" s="79"/>
      <c r="AT36" s="84">
        <f t="shared" si="16"/>
        <v>0</v>
      </c>
      <c r="AU36" s="79">
        <f t="shared" si="39"/>
        <v>0</v>
      </c>
      <c r="AV36" s="79"/>
      <c r="AW36" s="84">
        <f t="shared" si="17"/>
        <v>0</v>
      </c>
      <c r="AX36" s="79">
        <f t="shared" si="40"/>
        <v>0</v>
      </c>
      <c r="AY36" s="79"/>
      <c r="AZ36" s="84">
        <f t="shared" si="18"/>
        <v>0</v>
      </c>
      <c r="BA36" s="79">
        <f t="shared" si="41"/>
        <v>0</v>
      </c>
      <c r="BB36" s="79"/>
      <c r="BC36" s="84">
        <f t="shared" si="19"/>
        <v>0</v>
      </c>
      <c r="BD36" s="84">
        <f t="shared" si="42"/>
        <v>0</v>
      </c>
      <c r="BE36" s="84"/>
      <c r="BF36" s="84">
        <f t="shared" si="43"/>
        <v>0</v>
      </c>
      <c r="BG36" s="79">
        <f t="shared" si="44"/>
        <v>0</v>
      </c>
      <c r="BH36" s="79"/>
      <c r="BI36" s="193">
        <f t="shared" si="20"/>
        <v>0</v>
      </c>
      <c r="BJ36" s="79">
        <f t="shared" si="45"/>
        <v>0</v>
      </c>
      <c r="BK36" s="79"/>
      <c r="BL36" s="84">
        <f t="shared" si="21"/>
        <v>0</v>
      </c>
      <c r="BM36" s="79">
        <f>BN35</f>
        <v>0</v>
      </c>
      <c r="BN36" s="79"/>
      <c r="BO36" s="84">
        <f t="shared" si="22"/>
        <v>0</v>
      </c>
      <c r="BP36" s="79">
        <f t="shared" si="47"/>
        <v>0</v>
      </c>
      <c r="BQ36" s="79"/>
      <c r="BR36" s="84">
        <f t="shared" si="23"/>
        <v>0</v>
      </c>
      <c r="BS36" s="79">
        <f t="shared" si="48"/>
        <v>0</v>
      </c>
      <c r="BT36" s="79"/>
      <c r="BU36" s="84">
        <f t="shared" si="24"/>
        <v>0</v>
      </c>
      <c r="BV36" s="79">
        <f t="shared" si="49"/>
        <v>0</v>
      </c>
      <c r="BW36" s="79"/>
      <c r="BX36" s="84">
        <f t="shared" si="25"/>
        <v>0</v>
      </c>
      <c r="BY36" s="79">
        <f t="shared" si="50"/>
        <v>0</v>
      </c>
      <c r="BZ36" s="79"/>
      <c r="CA36" s="84">
        <f t="shared" si="26"/>
        <v>0</v>
      </c>
      <c r="CB36" s="79">
        <f t="shared" si="51"/>
        <v>0</v>
      </c>
      <c r="CC36" s="79"/>
      <c r="CD36" s="84">
        <f t="shared" si="27"/>
        <v>0</v>
      </c>
      <c r="CE36" s="79">
        <f t="shared" si="52"/>
        <v>0</v>
      </c>
      <c r="CF36" s="79"/>
      <c r="CG36" s="84">
        <f t="shared" si="28"/>
        <v>0</v>
      </c>
      <c r="CH36" s="79">
        <f t="shared" si="53"/>
        <v>0</v>
      </c>
      <c r="CI36" s="79"/>
      <c r="CJ36" s="84">
        <f t="shared" si="29"/>
        <v>0</v>
      </c>
      <c r="CK36" s="79">
        <f t="shared" si="54"/>
        <v>0</v>
      </c>
      <c r="CL36" s="79"/>
      <c r="CM36" s="84">
        <f t="shared" si="30"/>
        <v>0</v>
      </c>
      <c r="CN36" s="79">
        <f t="shared" si="55"/>
        <v>0</v>
      </c>
      <c r="CO36" s="79"/>
      <c r="CP36" s="84">
        <f t="shared" si="31"/>
        <v>0</v>
      </c>
    </row>
    <row r="37" spans="1:94" s="3" customFormat="1" ht="13.5" customHeight="1" x14ac:dyDescent="0.2">
      <c r="A37" s="98">
        <v>29</v>
      </c>
      <c r="B37" s="75">
        <f t="shared" si="32"/>
        <v>0</v>
      </c>
      <c r="C37" s="99"/>
      <c r="D37" s="76">
        <f t="shared" si="0"/>
        <v>0</v>
      </c>
      <c r="E37" s="77">
        <f>F36</f>
        <v>0</v>
      </c>
      <c r="F37" s="77"/>
      <c r="G37" s="77">
        <f>F37-E37</f>
        <v>0</v>
      </c>
      <c r="H37" s="79">
        <f t="shared" si="34"/>
        <v>0</v>
      </c>
      <c r="I37" s="79"/>
      <c r="J37" s="84">
        <f t="shared" si="1"/>
        <v>0</v>
      </c>
      <c r="K37" s="79">
        <f t="shared" si="57"/>
        <v>0</v>
      </c>
      <c r="L37" s="79"/>
      <c r="M37" s="84">
        <f t="shared" ref="M37:M39" si="66">L37-K37</f>
        <v>0</v>
      </c>
      <c r="N37" s="79">
        <f t="shared" si="62"/>
        <v>0</v>
      </c>
      <c r="O37" s="79"/>
      <c r="P37" s="84">
        <f t="shared" ref="P37:P39" si="67">O37-N37</f>
        <v>0</v>
      </c>
      <c r="Q37" s="79">
        <f t="shared" si="35"/>
        <v>0</v>
      </c>
      <c r="R37" s="84"/>
      <c r="S37" s="84">
        <f t="shared" ref="S37:S39" si="68">R37-Q37</f>
        <v>0</v>
      </c>
      <c r="T37" s="79">
        <f t="shared" si="63"/>
        <v>0</v>
      </c>
      <c r="U37" s="79"/>
      <c r="V37" s="84">
        <f t="shared" ref="V37:V39" si="69">U37-T37</f>
        <v>0</v>
      </c>
      <c r="W37" s="79">
        <f t="shared" si="64"/>
        <v>0</v>
      </c>
      <c r="X37" s="79"/>
      <c r="Y37" s="84">
        <f t="shared" ref="Y37:Y39" si="70">X37-W37</f>
        <v>0</v>
      </c>
      <c r="Z37" s="79">
        <f t="shared" si="65"/>
        <v>0</v>
      </c>
      <c r="AA37" s="79"/>
      <c r="AB37" s="84">
        <f t="shared" ref="AB37:AB39" si="71">AA37-Z37</f>
        <v>0</v>
      </c>
      <c r="AC37" s="79">
        <f t="shared" si="8"/>
        <v>0</v>
      </c>
      <c r="AD37" s="79"/>
      <c r="AE37" s="84">
        <f t="shared" si="9"/>
        <v>0</v>
      </c>
      <c r="AF37" s="79">
        <f t="shared" si="10"/>
        <v>0</v>
      </c>
      <c r="AG37" s="79"/>
      <c r="AH37" s="84">
        <f t="shared" si="11"/>
        <v>0</v>
      </c>
      <c r="AI37" s="79">
        <f t="shared" si="12"/>
        <v>0</v>
      </c>
      <c r="AJ37" s="79"/>
      <c r="AK37" s="84">
        <f t="shared" si="13"/>
        <v>0</v>
      </c>
      <c r="AL37" s="79">
        <f t="shared" si="36"/>
        <v>0</v>
      </c>
      <c r="AM37" s="79"/>
      <c r="AN37" s="84">
        <f t="shared" si="14"/>
        <v>0</v>
      </c>
      <c r="AO37" s="79">
        <f t="shared" si="37"/>
        <v>0</v>
      </c>
      <c r="AP37" s="79"/>
      <c r="AQ37" s="84">
        <f t="shared" si="15"/>
        <v>0</v>
      </c>
      <c r="AR37" s="79">
        <f t="shared" si="38"/>
        <v>0</v>
      </c>
      <c r="AS37" s="79"/>
      <c r="AT37" s="84">
        <f t="shared" si="16"/>
        <v>0</v>
      </c>
      <c r="AU37" s="79">
        <f t="shared" si="39"/>
        <v>0</v>
      </c>
      <c r="AV37" s="79"/>
      <c r="AW37" s="84">
        <f t="shared" si="17"/>
        <v>0</v>
      </c>
      <c r="AX37" s="79">
        <f t="shared" si="40"/>
        <v>0</v>
      </c>
      <c r="AY37" s="79"/>
      <c r="AZ37" s="84">
        <f t="shared" si="18"/>
        <v>0</v>
      </c>
      <c r="BA37" s="79">
        <f t="shared" si="41"/>
        <v>0</v>
      </c>
      <c r="BB37" s="79"/>
      <c r="BC37" s="84">
        <f t="shared" si="19"/>
        <v>0</v>
      </c>
      <c r="BD37" s="84">
        <f t="shared" si="42"/>
        <v>0</v>
      </c>
      <c r="BE37" s="84"/>
      <c r="BF37" s="84">
        <f t="shared" si="43"/>
        <v>0</v>
      </c>
      <c r="BG37" s="79">
        <f t="shared" si="44"/>
        <v>0</v>
      </c>
      <c r="BH37" s="79"/>
      <c r="BI37" s="193">
        <f t="shared" si="20"/>
        <v>0</v>
      </c>
      <c r="BJ37" s="79">
        <f t="shared" si="45"/>
        <v>0</v>
      </c>
      <c r="BK37" s="79"/>
      <c r="BL37" s="84">
        <f t="shared" si="21"/>
        <v>0</v>
      </c>
      <c r="BM37" s="79">
        <f t="shared" ref="BM37:BM39" si="72">BN36</f>
        <v>0</v>
      </c>
      <c r="BN37" s="79"/>
      <c r="BO37" s="84">
        <f t="shared" si="22"/>
        <v>0</v>
      </c>
      <c r="BP37" s="79">
        <f t="shared" si="47"/>
        <v>0</v>
      </c>
      <c r="BQ37" s="79"/>
      <c r="BR37" s="84">
        <f t="shared" si="23"/>
        <v>0</v>
      </c>
      <c r="BS37" s="79">
        <f t="shared" si="48"/>
        <v>0</v>
      </c>
      <c r="BT37" s="79"/>
      <c r="BU37" s="84">
        <f t="shared" si="24"/>
        <v>0</v>
      </c>
      <c r="BV37" s="79">
        <f t="shared" si="49"/>
        <v>0</v>
      </c>
      <c r="BW37" s="79"/>
      <c r="BX37" s="84">
        <f t="shared" si="25"/>
        <v>0</v>
      </c>
      <c r="BY37" s="79">
        <f t="shared" si="50"/>
        <v>0</v>
      </c>
      <c r="BZ37" s="79"/>
      <c r="CA37" s="84">
        <f t="shared" si="26"/>
        <v>0</v>
      </c>
      <c r="CB37" s="79">
        <f t="shared" si="51"/>
        <v>0</v>
      </c>
      <c r="CC37" s="79"/>
      <c r="CD37" s="84">
        <f t="shared" si="27"/>
        <v>0</v>
      </c>
      <c r="CE37" s="79">
        <f t="shared" si="52"/>
        <v>0</v>
      </c>
      <c r="CF37" s="79"/>
      <c r="CG37" s="84">
        <f t="shared" si="28"/>
        <v>0</v>
      </c>
      <c r="CH37" s="79">
        <f t="shared" si="53"/>
        <v>0</v>
      </c>
      <c r="CI37" s="79"/>
      <c r="CJ37" s="84">
        <f t="shared" si="29"/>
        <v>0</v>
      </c>
      <c r="CK37" s="79">
        <f t="shared" si="54"/>
        <v>0</v>
      </c>
      <c r="CL37" s="79"/>
      <c r="CM37" s="84">
        <f t="shared" si="30"/>
        <v>0</v>
      </c>
      <c r="CN37" s="79">
        <f t="shared" si="55"/>
        <v>0</v>
      </c>
      <c r="CO37" s="79"/>
      <c r="CP37" s="84">
        <f t="shared" si="31"/>
        <v>0</v>
      </c>
    </row>
    <row r="38" spans="1:94" s="3" customFormat="1" ht="13.5" customHeight="1" x14ac:dyDescent="0.2">
      <c r="A38" s="98">
        <v>30</v>
      </c>
      <c r="B38" s="75">
        <f t="shared" si="32"/>
        <v>0</v>
      </c>
      <c r="C38" s="75"/>
      <c r="D38" s="76">
        <f t="shared" si="0"/>
        <v>0</v>
      </c>
      <c r="E38" s="77">
        <f t="shared" ref="E38:E39" si="73">F37</f>
        <v>0</v>
      </c>
      <c r="F38" s="168"/>
      <c r="G38" s="77">
        <f t="shared" ref="G38:G39" si="74">F38-E38</f>
        <v>0</v>
      </c>
      <c r="H38" s="79">
        <f t="shared" si="34"/>
        <v>0</v>
      </c>
      <c r="I38" s="79"/>
      <c r="J38" s="84">
        <f t="shared" si="1"/>
        <v>0</v>
      </c>
      <c r="K38" s="79">
        <f t="shared" si="57"/>
        <v>0</v>
      </c>
      <c r="L38" s="79"/>
      <c r="M38" s="84">
        <f t="shared" si="66"/>
        <v>0</v>
      </c>
      <c r="N38" s="79">
        <f t="shared" si="62"/>
        <v>0</v>
      </c>
      <c r="O38" s="79"/>
      <c r="P38" s="84">
        <f t="shared" si="67"/>
        <v>0</v>
      </c>
      <c r="Q38" s="79">
        <f t="shared" si="35"/>
        <v>0</v>
      </c>
      <c r="R38" s="84"/>
      <c r="S38" s="84">
        <f t="shared" si="68"/>
        <v>0</v>
      </c>
      <c r="T38" s="79">
        <f t="shared" si="63"/>
        <v>0</v>
      </c>
      <c r="U38" s="79"/>
      <c r="V38" s="84">
        <f t="shared" si="69"/>
        <v>0</v>
      </c>
      <c r="W38" s="79">
        <f t="shared" si="64"/>
        <v>0</v>
      </c>
      <c r="X38" s="79"/>
      <c r="Y38" s="84">
        <f t="shared" si="70"/>
        <v>0</v>
      </c>
      <c r="Z38" s="79">
        <f t="shared" si="65"/>
        <v>0</v>
      </c>
      <c r="AA38" s="79"/>
      <c r="AB38" s="84">
        <f t="shared" si="71"/>
        <v>0</v>
      </c>
      <c r="AC38" s="79">
        <f t="shared" si="8"/>
        <v>0</v>
      </c>
      <c r="AD38" s="79"/>
      <c r="AE38" s="84">
        <f t="shared" si="9"/>
        <v>0</v>
      </c>
      <c r="AF38" s="79">
        <f t="shared" si="10"/>
        <v>0</v>
      </c>
      <c r="AG38" s="79"/>
      <c r="AH38" s="84">
        <f t="shared" si="11"/>
        <v>0</v>
      </c>
      <c r="AI38" s="79">
        <f t="shared" si="12"/>
        <v>0</v>
      </c>
      <c r="AJ38" s="79"/>
      <c r="AK38" s="84">
        <f t="shared" si="13"/>
        <v>0</v>
      </c>
      <c r="AL38" s="79">
        <f t="shared" si="36"/>
        <v>0</v>
      </c>
      <c r="AM38" s="79"/>
      <c r="AN38" s="84">
        <f t="shared" si="14"/>
        <v>0</v>
      </c>
      <c r="AO38" s="79">
        <f t="shared" si="37"/>
        <v>0</v>
      </c>
      <c r="AP38" s="79"/>
      <c r="AQ38" s="84">
        <f t="shared" si="15"/>
        <v>0</v>
      </c>
      <c r="AR38" s="79">
        <f t="shared" si="38"/>
        <v>0</v>
      </c>
      <c r="AS38" s="79"/>
      <c r="AT38" s="84">
        <f t="shared" si="16"/>
        <v>0</v>
      </c>
      <c r="AU38" s="79">
        <f t="shared" si="39"/>
        <v>0</v>
      </c>
      <c r="AV38" s="79"/>
      <c r="AW38" s="84">
        <f t="shared" si="17"/>
        <v>0</v>
      </c>
      <c r="AX38" s="79">
        <f t="shared" si="40"/>
        <v>0</v>
      </c>
      <c r="AY38" s="79"/>
      <c r="AZ38" s="84">
        <f t="shared" si="18"/>
        <v>0</v>
      </c>
      <c r="BA38" s="79">
        <f t="shared" si="41"/>
        <v>0</v>
      </c>
      <c r="BB38" s="79"/>
      <c r="BC38" s="84">
        <f t="shared" si="19"/>
        <v>0</v>
      </c>
      <c r="BD38" s="84">
        <f t="shared" si="42"/>
        <v>0</v>
      </c>
      <c r="BE38" s="84"/>
      <c r="BF38" s="84">
        <f t="shared" si="43"/>
        <v>0</v>
      </c>
      <c r="BG38" s="79">
        <f t="shared" si="44"/>
        <v>0</v>
      </c>
      <c r="BH38" s="79"/>
      <c r="BI38" s="193">
        <f t="shared" si="20"/>
        <v>0</v>
      </c>
      <c r="BJ38" s="79">
        <f t="shared" si="45"/>
        <v>0</v>
      </c>
      <c r="BK38" s="79"/>
      <c r="BL38" s="84">
        <f t="shared" si="21"/>
        <v>0</v>
      </c>
      <c r="BM38" s="79">
        <f t="shared" si="72"/>
        <v>0</v>
      </c>
      <c r="BN38" s="79"/>
      <c r="BO38" s="84">
        <f t="shared" si="22"/>
        <v>0</v>
      </c>
      <c r="BP38" s="79">
        <f t="shared" si="47"/>
        <v>0</v>
      </c>
      <c r="BQ38" s="79"/>
      <c r="BR38" s="84">
        <f t="shared" si="23"/>
        <v>0</v>
      </c>
      <c r="BS38" s="79">
        <f t="shared" si="48"/>
        <v>0</v>
      </c>
      <c r="BT38" s="79"/>
      <c r="BU38" s="84">
        <f t="shared" si="24"/>
        <v>0</v>
      </c>
      <c r="BV38" s="79">
        <f t="shared" si="49"/>
        <v>0</v>
      </c>
      <c r="BW38" s="79"/>
      <c r="BX38" s="84">
        <f t="shared" si="25"/>
        <v>0</v>
      </c>
      <c r="BY38" s="79">
        <f t="shared" si="50"/>
        <v>0</v>
      </c>
      <c r="BZ38" s="79"/>
      <c r="CA38" s="84">
        <f t="shared" si="26"/>
        <v>0</v>
      </c>
      <c r="CB38" s="79">
        <f t="shared" si="51"/>
        <v>0</v>
      </c>
      <c r="CC38" s="79"/>
      <c r="CD38" s="84">
        <f t="shared" si="27"/>
        <v>0</v>
      </c>
      <c r="CE38" s="79">
        <f t="shared" si="52"/>
        <v>0</v>
      </c>
      <c r="CF38" s="79"/>
      <c r="CG38" s="84">
        <f t="shared" si="28"/>
        <v>0</v>
      </c>
      <c r="CH38" s="79">
        <f t="shared" si="53"/>
        <v>0</v>
      </c>
      <c r="CI38" s="79"/>
      <c r="CJ38" s="84">
        <f t="shared" si="29"/>
        <v>0</v>
      </c>
      <c r="CK38" s="79">
        <f t="shared" si="54"/>
        <v>0</v>
      </c>
      <c r="CL38" s="79"/>
      <c r="CM38" s="84">
        <f t="shared" si="30"/>
        <v>0</v>
      </c>
      <c r="CN38" s="79">
        <f t="shared" si="55"/>
        <v>0</v>
      </c>
      <c r="CO38" s="79"/>
      <c r="CP38" s="84">
        <f t="shared" si="31"/>
        <v>0</v>
      </c>
    </row>
    <row r="39" spans="1:94" s="3" customFormat="1" ht="13.5" customHeight="1" x14ac:dyDescent="0.2">
      <c r="A39" s="98">
        <v>31</v>
      </c>
      <c r="B39" s="75">
        <f t="shared" si="32"/>
        <v>0</v>
      </c>
      <c r="C39" s="75"/>
      <c r="D39" s="76">
        <f t="shared" si="0"/>
        <v>0</v>
      </c>
      <c r="E39" s="77">
        <f t="shared" si="73"/>
        <v>0</v>
      </c>
      <c r="F39" s="168"/>
      <c r="G39" s="77">
        <f t="shared" si="74"/>
        <v>0</v>
      </c>
      <c r="H39" s="79">
        <f t="shared" si="34"/>
        <v>0</v>
      </c>
      <c r="I39" s="79"/>
      <c r="J39" s="84">
        <f t="shared" si="1"/>
        <v>0</v>
      </c>
      <c r="K39" s="79">
        <f t="shared" si="57"/>
        <v>0</v>
      </c>
      <c r="L39" s="79"/>
      <c r="M39" s="84">
        <f t="shared" si="66"/>
        <v>0</v>
      </c>
      <c r="N39" s="79">
        <f t="shared" si="62"/>
        <v>0</v>
      </c>
      <c r="O39" s="79"/>
      <c r="P39" s="84">
        <f t="shared" si="67"/>
        <v>0</v>
      </c>
      <c r="Q39" s="79">
        <f t="shared" si="35"/>
        <v>0</v>
      </c>
      <c r="R39" s="84"/>
      <c r="S39" s="84">
        <f t="shared" si="68"/>
        <v>0</v>
      </c>
      <c r="T39" s="79">
        <f t="shared" si="63"/>
        <v>0</v>
      </c>
      <c r="U39" s="79"/>
      <c r="V39" s="84">
        <f t="shared" si="69"/>
        <v>0</v>
      </c>
      <c r="W39" s="79">
        <f t="shared" si="64"/>
        <v>0</v>
      </c>
      <c r="X39" s="79"/>
      <c r="Y39" s="84">
        <f t="shared" si="70"/>
        <v>0</v>
      </c>
      <c r="Z39" s="79">
        <f t="shared" si="65"/>
        <v>0</v>
      </c>
      <c r="AA39" s="79"/>
      <c r="AB39" s="84">
        <f t="shared" si="71"/>
        <v>0</v>
      </c>
      <c r="AC39" s="79">
        <f t="shared" si="8"/>
        <v>0</v>
      </c>
      <c r="AD39" s="79"/>
      <c r="AE39" s="84">
        <f t="shared" si="9"/>
        <v>0</v>
      </c>
      <c r="AF39" s="79">
        <f t="shared" si="10"/>
        <v>0</v>
      </c>
      <c r="AG39" s="79"/>
      <c r="AH39" s="84">
        <f t="shared" si="11"/>
        <v>0</v>
      </c>
      <c r="AI39" s="79">
        <f t="shared" si="12"/>
        <v>0</v>
      </c>
      <c r="AJ39" s="79"/>
      <c r="AK39" s="84">
        <f t="shared" si="13"/>
        <v>0</v>
      </c>
      <c r="AL39" s="79">
        <f t="shared" si="36"/>
        <v>0</v>
      </c>
      <c r="AM39" s="79"/>
      <c r="AN39" s="84">
        <f t="shared" si="14"/>
        <v>0</v>
      </c>
      <c r="AO39" s="79">
        <f t="shared" si="37"/>
        <v>0</v>
      </c>
      <c r="AP39" s="79"/>
      <c r="AQ39" s="84">
        <f t="shared" si="15"/>
        <v>0</v>
      </c>
      <c r="AR39" s="79">
        <f t="shared" si="38"/>
        <v>0</v>
      </c>
      <c r="AS39" s="79"/>
      <c r="AT39" s="84">
        <f t="shared" si="16"/>
        <v>0</v>
      </c>
      <c r="AU39" s="79">
        <f t="shared" si="39"/>
        <v>0</v>
      </c>
      <c r="AV39" s="79"/>
      <c r="AW39" s="84">
        <f t="shared" si="17"/>
        <v>0</v>
      </c>
      <c r="AX39" s="79">
        <f t="shared" si="40"/>
        <v>0</v>
      </c>
      <c r="AY39" s="79"/>
      <c r="AZ39" s="84">
        <f t="shared" si="18"/>
        <v>0</v>
      </c>
      <c r="BA39" s="79">
        <f t="shared" si="41"/>
        <v>0</v>
      </c>
      <c r="BB39" s="79"/>
      <c r="BC39" s="84">
        <f t="shared" si="19"/>
        <v>0</v>
      </c>
      <c r="BD39" s="84">
        <f t="shared" si="42"/>
        <v>0</v>
      </c>
      <c r="BE39" s="84"/>
      <c r="BF39" s="84">
        <f t="shared" si="43"/>
        <v>0</v>
      </c>
      <c r="BG39" s="79">
        <f t="shared" si="44"/>
        <v>0</v>
      </c>
      <c r="BH39" s="79"/>
      <c r="BI39" s="193">
        <f t="shared" si="20"/>
        <v>0</v>
      </c>
      <c r="BJ39" s="79">
        <f t="shared" si="45"/>
        <v>0</v>
      </c>
      <c r="BK39" s="79"/>
      <c r="BL39" s="84">
        <f t="shared" si="21"/>
        <v>0</v>
      </c>
      <c r="BM39" s="79">
        <f t="shared" si="72"/>
        <v>0</v>
      </c>
      <c r="BN39" s="79"/>
      <c r="BO39" s="84">
        <f t="shared" si="22"/>
        <v>0</v>
      </c>
      <c r="BP39" s="79">
        <f t="shared" si="47"/>
        <v>0</v>
      </c>
      <c r="BQ39" s="79"/>
      <c r="BR39" s="84">
        <f t="shared" si="23"/>
        <v>0</v>
      </c>
      <c r="BS39" s="79">
        <f t="shared" si="48"/>
        <v>0</v>
      </c>
      <c r="BT39" s="79"/>
      <c r="BU39" s="84">
        <f t="shared" si="24"/>
        <v>0</v>
      </c>
      <c r="BV39" s="79">
        <f t="shared" si="49"/>
        <v>0</v>
      </c>
      <c r="BW39" s="79"/>
      <c r="BX39" s="84">
        <f t="shared" si="25"/>
        <v>0</v>
      </c>
      <c r="BY39" s="79">
        <f t="shared" si="50"/>
        <v>0</v>
      </c>
      <c r="BZ39" s="79"/>
      <c r="CA39" s="84">
        <f t="shared" si="26"/>
        <v>0</v>
      </c>
      <c r="CB39" s="79">
        <f t="shared" si="51"/>
        <v>0</v>
      </c>
      <c r="CC39" s="79"/>
      <c r="CD39" s="84">
        <f t="shared" si="27"/>
        <v>0</v>
      </c>
      <c r="CE39" s="79">
        <f t="shared" si="52"/>
        <v>0</v>
      </c>
      <c r="CF39" s="79"/>
      <c r="CG39" s="84">
        <f t="shared" si="28"/>
        <v>0</v>
      </c>
      <c r="CH39" s="79">
        <f t="shared" si="53"/>
        <v>0</v>
      </c>
      <c r="CI39" s="79"/>
      <c r="CJ39" s="84">
        <f t="shared" si="29"/>
        <v>0</v>
      </c>
      <c r="CK39" s="79">
        <f t="shared" si="54"/>
        <v>0</v>
      </c>
      <c r="CL39" s="79"/>
      <c r="CM39" s="84">
        <f t="shared" si="30"/>
        <v>0</v>
      </c>
      <c r="CN39" s="79">
        <f t="shared" si="55"/>
        <v>0</v>
      </c>
      <c r="CO39" s="79"/>
      <c r="CP39" s="84">
        <f t="shared" si="31"/>
        <v>0</v>
      </c>
    </row>
    <row r="40" spans="1:94" s="3" customFormat="1" ht="13.5" thickBot="1" x14ac:dyDescent="0.25">
      <c r="A40" s="3" t="s">
        <v>7</v>
      </c>
      <c r="B40" s="96"/>
      <c r="C40" s="96"/>
      <c r="D40" s="97">
        <f>SUM(D9:D39)</f>
        <v>-25196905</v>
      </c>
      <c r="E40" s="97"/>
      <c r="F40" s="97"/>
      <c r="G40" s="97">
        <f>SUM(G9:G39)</f>
        <v>-22118523</v>
      </c>
      <c r="H40" s="97"/>
      <c r="I40" s="97"/>
      <c r="J40" s="97">
        <f>SUM(J9:J39)</f>
        <v>-84139908</v>
      </c>
      <c r="K40" s="97"/>
      <c r="L40" s="97"/>
      <c r="M40" s="97">
        <f>SUM(M9:M39)</f>
        <v>-1787800</v>
      </c>
      <c r="N40" s="97"/>
      <c r="O40" s="97"/>
      <c r="P40" s="97">
        <f>SUM(P9:P39)</f>
        <v>-2415996</v>
      </c>
      <c r="Q40" s="97"/>
      <c r="R40" s="97"/>
      <c r="S40" s="97">
        <f>SUM(S9:S39)</f>
        <v>-1459300</v>
      </c>
      <c r="T40" s="97"/>
      <c r="U40" s="97"/>
      <c r="V40" s="97">
        <f>SUM(V9:V39)</f>
        <v>-678159</v>
      </c>
      <c r="W40" s="97"/>
      <c r="X40" s="97"/>
      <c r="Y40" s="97">
        <f>SUM(Y9:Y39)</f>
        <v>-7022800</v>
      </c>
      <c r="Z40" s="97"/>
      <c r="AA40" s="97"/>
      <c r="AB40" s="97">
        <f>SUM(AB9:AB39)</f>
        <v>-1555800</v>
      </c>
      <c r="AC40" s="97"/>
      <c r="AD40" s="97"/>
      <c r="AE40" s="97">
        <f>SUM(AE9:AE39)</f>
        <v>-455505</v>
      </c>
      <c r="AF40" s="97"/>
      <c r="AG40" s="97"/>
      <c r="AH40" s="97">
        <f>SUM(AH9:AH39)</f>
        <v>-323370</v>
      </c>
      <c r="AI40" s="97"/>
      <c r="AJ40" s="97"/>
      <c r="AK40" s="97">
        <f>SUM(AK9:AK39)</f>
        <v>-548330</v>
      </c>
      <c r="AL40" s="97"/>
      <c r="AM40" s="97"/>
      <c r="AN40" s="97">
        <f>SUM(AN9:AN39)</f>
        <v>-1010000</v>
      </c>
      <c r="AO40" s="97"/>
      <c r="AP40" s="97"/>
      <c r="AQ40" s="97">
        <f>SUM(AQ9:AQ39)</f>
        <v>-642560</v>
      </c>
      <c r="AR40" s="97"/>
      <c r="AS40" s="97"/>
      <c r="AT40" s="97">
        <f>SUM(AT9:AT39)</f>
        <v>-498770</v>
      </c>
      <c r="AU40" s="97"/>
      <c r="AV40" s="97"/>
      <c r="AW40" s="97">
        <f>SUM(AW9:AW39)</f>
        <v>-445730</v>
      </c>
      <c r="AX40" s="97"/>
      <c r="AY40" s="97"/>
      <c r="AZ40" s="97">
        <f>SUM(AZ9:AZ39)</f>
        <v>-349000</v>
      </c>
      <c r="BA40" s="97"/>
      <c r="BB40" s="97"/>
      <c r="BC40" s="97">
        <f>SUM(BC9:BC39)</f>
        <v>-951600</v>
      </c>
      <c r="BD40" s="97"/>
      <c r="BE40" s="97"/>
      <c r="BF40" s="97">
        <f>SUM(BF9:BF39)</f>
        <v>-19362</v>
      </c>
      <c r="BG40" s="97"/>
      <c r="BH40" s="97"/>
      <c r="BI40" s="194">
        <f>SUM(BI9:BI39)</f>
        <v>-15795</v>
      </c>
      <c r="BJ40" s="97"/>
      <c r="BK40" s="97"/>
      <c r="BL40" s="139">
        <f>SUM(BL9:BL39)</f>
        <v>-14732</v>
      </c>
      <c r="BM40" s="97"/>
      <c r="BN40" s="97"/>
      <c r="BO40" s="139">
        <f>SUM(BO9:BO39)</f>
        <v>-23491</v>
      </c>
      <c r="BP40" s="97"/>
      <c r="BQ40" s="97"/>
      <c r="BR40" s="139">
        <f>SUM(BR9:BR39)</f>
        <v>-16426</v>
      </c>
      <c r="BS40" s="97"/>
      <c r="BT40" s="97"/>
      <c r="BU40" s="139">
        <f>SUM(BU9:BU39)</f>
        <v>-17670</v>
      </c>
      <c r="BV40" s="97"/>
      <c r="BW40" s="97"/>
      <c r="BX40" s="139">
        <f>SUM(BX9:BX39)</f>
        <v>-12155</v>
      </c>
      <c r="BY40" s="97"/>
      <c r="BZ40" s="97"/>
      <c r="CA40" s="139">
        <f>SUM(CA9:CA39)</f>
        <v>-31718</v>
      </c>
      <c r="CB40" s="97"/>
      <c r="CC40" s="97"/>
      <c r="CD40" s="139">
        <f>SUM(CD9:CD39)</f>
        <v>-25360</v>
      </c>
      <c r="CE40" s="97"/>
      <c r="CF40" s="97"/>
      <c r="CG40" s="139">
        <f>SUM(CG9:CG39)</f>
        <v>-74185</v>
      </c>
      <c r="CH40" s="97"/>
      <c r="CI40" s="97"/>
      <c r="CJ40" s="139">
        <f>SUM(CJ9:CJ39)</f>
        <v>-44428</v>
      </c>
      <c r="CK40" s="97"/>
      <c r="CL40" s="97"/>
      <c r="CM40" s="139">
        <f>SUM(CM9:CM39)</f>
        <v>-12241</v>
      </c>
      <c r="CN40" s="97"/>
      <c r="CO40" s="97"/>
      <c r="CP40" s="139">
        <f>SUM(CP9:CP39)</f>
        <v>-43908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topLeftCell="E1" workbookViewId="0">
      <pane ySplit="5" topLeftCell="A16" activePane="bottomLeft" state="frozen"/>
      <selection activeCell="C1" sqref="C1"/>
      <selection pane="bottomLeft" activeCell="W25" sqref="W25"/>
    </sheetView>
  </sheetViews>
  <sheetFormatPr defaultRowHeight="12.75" x14ac:dyDescent="0.2"/>
  <cols>
    <col min="1" max="1" width="4.7109375" style="235" customWidth="1"/>
    <col min="2" max="2" width="13.5703125" style="235" customWidth="1"/>
    <col min="3" max="3" width="8.85546875" style="235" customWidth="1"/>
    <col min="4" max="4" width="10.5703125" style="235" customWidth="1"/>
    <col min="5" max="5" width="2" style="240" customWidth="1"/>
    <col min="6" max="6" width="5.140625" style="235" customWidth="1"/>
    <col min="7" max="7" width="13.5703125" style="235" customWidth="1"/>
    <col min="8" max="8" width="10" style="235" customWidth="1"/>
    <col min="9" max="9" width="14" style="235" customWidth="1"/>
    <col min="10" max="10" width="2.85546875" style="240" customWidth="1"/>
    <col min="11" max="11" width="5.42578125" style="235" customWidth="1"/>
    <col min="12" max="13" width="13.5703125" style="235" customWidth="1"/>
    <col min="14" max="14" width="12.140625" style="235" customWidth="1"/>
    <col min="15" max="15" width="2.85546875" style="240" customWidth="1"/>
    <col min="16" max="16" width="5.85546875" style="235" customWidth="1"/>
    <col min="17" max="17" width="13.5703125" style="235" customWidth="1"/>
    <col min="18" max="18" width="8.85546875" style="235" customWidth="1"/>
    <col min="19" max="19" width="11.140625" style="235" customWidth="1"/>
    <col min="20" max="20" width="2.42578125" style="240" customWidth="1"/>
    <col min="21" max="21" width="6.42578125" style="204" customWidth="1"/>
    <col min="22" max="22" width="10.85546875" style="238" customWidth="1"/>
    <col min="23" max="23" width="7.42578125" style="239" customWidth="1"/>
    <col min="24" max="24" width="11.85546875" style="204" customWidth="1"/>
    <col min="25" max="16384" width="9.140625" style="204"/>
  </cols>
  <sheetData>
    <row r="1" spans="1:24" ht="12.75" customHeight="1" x14ac:dyDescent="0.2">
      <c r="A1" s="329" t="s">
        <v>139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</row>
    <row r="2" spans="1:24" s="205" customFormat="1" ht="24" customHeight="1" x14ac:dyDescent="0.2">
      <c r="A2" s="329"/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</row>
    <row r="3" spans="1:24" ht="24.75" customHeight="1" x14ac:dyDescent="0.2">
      <c r="A3" s="330" t="s">
        <v>3</v>
      </c>
      <c r="B3" s="330"/>
      <c r="C3" s="206">
        <v>44228</v>
      </c>
      <c r="D3" s="207"/>
      <c r="E3" s="208"/>
      <c r="F3" s="208"/>
      <c r="G3" s="208"/>
      <c r="H3" s="208"/>
      <c r="I3" s="207"/>
      <c r="J3" s="208"/>
      <c r="K3" s="208"/>
      <c r="L3" s="208"/>
      <c r="M3" s="208"/>
      <c r="N3" s="207"/>
      <c r="O3" s="208"/>
      <c r="P3" s="208"/>
      <c r="Q3" s="208"/>
      <c r="R3" s="208"/>
      <c r="S3" s="207"/>
      <c r="T3" s="208"/>
      <c r="U3" s="208"/>
      <c r="V3" s="208"/>
      <c r="W3" s="208"/>
      <c r="X3" s="208"/>
    </row>
    <row r="4" spans="1:24" ht="15" customHeight="1" x14ac:dyDescent="0.2">
      <c r="A4" s="331" t="s">
        <v>140</v>
      </c>
      <c r="B4" s="332"/>
      <c r="C4" s="332"/>
      <c r="D4" s="333"/>
      <c r="E4" s="209"/>
      <c r="F4" s="331" t="s">
        <v>141</v>
      </c>
      <c r="G4" s="332"/>
      <c r="H4" s="332"/>
      <c r="I4" s="333"/>
      <c r="J4" s="209"/>
      <c r="K4" s="331" t="s">
        <v>142</v>
      </c>
      <c r="L4" s="332"/>
      <c r="M4" s="332"/>
      <c r="N4" s="333"/>
      <c r="O4" s="209"/>
      <c r="P4" s="331" t="s">
        <v>143</v>
      </c>
      <c r="Q4" s="332"/>
      <c r="R4" s="332"/>
      <c r="S4" s="333"/>
      <c r="T4" s="209"/>
      <c r="U4" s="334" t="s">
        <v>144</v>
      </c>
      <c r="V4" s="335"/>
      <c r="W4" s="335"/>
      <c r="X4" s="336"/>
    </row>
    <row r="5" spans="1:24" ht="36" customHeight="1" x14ac:dyDescent="0.2">
      <c r="A5" s="210" t="s">
        <v>5</v>
      </c>
      <c r="B5" s="210" t="s">
        <v>19</v>
      </c>
      <c r="C5" s="210" t="s">
        <v>20</v>
      </c>
      <c r="D5" s="211" t="s">
        <v>145</v>
      </c>
      <c r="E5" s="211"/>
      <c r="F5" s="210" t="s">
        <v>5</v>
      </c>
      <c r="G5" s="210" t="s">
        <v>19</v>
      </c>
      <c r="H5" s="210" t="s">
        <v>20</v>
      </c>
      <c r="I5" s="211" t="s">
        <v>145</v>
      </c>
      <c r="J5" s="211"/>
      <c r="K5" s="210" t="s">
        <v>5</v>
      </c>
      <c r="L5" s="210" t="s">
        <v>19</v>
      </c>
      <c r="M5" s="210" t="s">
        <v>20</v>
      </c>
      <c r="N5" s="211" t="s">
        <v>145</v>
      </c>
      <c r="O5" s="211"/>
      <c r="P5" s="210" t="s">
        <v>5</v>
      </c>
      <c r="Q5" s="210" t="s">
        <v>19</v>
      </c>
      <c r="R5" s="210" t="s">
        <v>20</v>
      </c>
      <c r="S5" s="211" t="s">
        <v>145</v>
      </c>
      <c r="T5" s="211"/>
      <c r="U5" s="212" t="s">
        <v>42</v>
      </c>
      <c r="V5" s="213" t="s">
        <v>13</v>
      </c>
      <c r="W5" s="214" t="s">
        <v>146</v>
      </c>
      <c r="X5" s="212" t="s">
        <v>91</v>
      </c>
    </row>
    <row r="6" spans="1:24" ht="15" customHeight="1" x14ac:dyDescent="0.2">
      <c r="A6" s="227">
        <v>1</v>
      </c>
      <c r="B6" s="215">
        <v>0</v>
      </c>
      <c r="C6" s="215">
        <v>40</v>
      </c>
      <c r="D6" s="216">
        <f>C6-B6</f>
        <v>40</v>
      </c>
      <c r="E6" s="287"/>
      <c r="F6" s="227">
        <v>1</v>
      </c>
      <c r="G6" s="218">
        <v>2540</v>
      </c>
      <c r="H6" s="215">
        <v>2589</v>
      </c>
      <c r="I6" s="216">
        <f>H6-G6</f>
        <v>49</v>
      </c>
      <c r="J6" s="287"/>
      <c r="K6" s="227">
        <v>1</v>
      </c>
      <c r="L6" s="215">
        <v>715673</v>
      </c>
      <c r="M6" s="215">
        <v>715806</v>
      </c>
      <c r="N6" s="216">
        <f>M6-L6</f>
        <v>133</v>
      </c>
      <c r="O6" s="219"/>
      <c r="P6" s="227">
        <v>1</v>
      </c>
      <c r="Q6" s="215">
        <v>194426</v>
      </c>
      <c r="R6" s="215">
        <v>194561</v>
      </c>
      <c r="S6" s="216">
        <f>R6-Q6</f>
        <v>135</v>
      </c>
      <c r="T6" s="217"/>
      <c r="U6" s="220">
        <v>1</v>
      </c>
      <c r="V6" s="221">
        <f>SUM(S6+N6+I6+D6)</f>
        <v>357</v>
      </c>
      <c r="W6" s="222">
        <v>51.46</v>
      </c>
      <c r="X6" s="223"/>
    </row>
    <row r="7" spans="1:24" ht="15" customHeight="1" x14ac:dyDescent="0.2">
      <c r="A7" s="227">
        <v>2</v>
      </c>
      <c r="B7" s="224">
        <f t="shared" ref="B7:B34" si="0">C6</f>
        <v>40</v>
      </c>
      <c r="C7" s="225">
        <v>109</v>
      </c>
      <c r="D7" s="226">
        <v>109</v>
      </c>
      <c r="E7" s="287"/>
      <c r="F7" s="227">
        <v>2</v>
      </c>
      <c r="G7" s="224">
        <f t="shared" ref="G7:G34" si="1">H6</f>
        <v>2589</v>
      </c>
      <c r="H7" s="225">
        <v>2589</v>
      </c>
      <c r="I7" s="226">
        <f t="shared" ref="I7:I10" si="2">H7-G7</f>
        <v>0</v>
      </c>
      <c r="J7" s="287"/>
      <c r="K7" s="227">
        <v>2</v>
      </c>
      <c r="L7" s="224">
        <f t="shared" ref="L7:L34" si="3">M6</f>
        <v>715806</v>
      </c>
      <c r="M7" s="225">
        <v>715982</v>
      </c>
      <c r="N7" s="226">
        <f t="shared" ref="N7:N10" si="4">M7-L7</f>
        <v>176</v>
      </c>
      <c r="O7" s="219"/>
      <c r="P7" s="227">
        <v>2</v>
      </c>
      <c r="Q7" s="224">
        <f t="shared" ref="Q7:Q34" si="5">R6</f>
        <v>194561</v>
      </c>
      <c r="R7" s="225">
        <v>194590</v>
      </c>
      <c r="S7" s="226">
        <f t="shared" ref="S7:S10" si="6">R7-Q7</f>
        <v>29</v>
      </c>
      <c r="T7" s="217"/>
      <c r="U7" s="227">
        <v>2</v>
      </c>
      <c r="V7" s="105">
        <f t="shared" ref="V7:V36" si="7">SUM(S7+N7+I7+D7)</f>
        <v>314</v>
      </c>
      <c r="W7" s="228">
        <v>54.37</v>
      </c>
      <c r="X7" s="229"/>
    </row>
    <row r="8" spans="1:24" ht="15" customHeight="1" x14ac:dyDescent="0.2">
      <c r="A8" s="227">
        <v>3</v>
      </c>
      <c r="B8" s="220">
        <f t="shared" si="0"/>
        <v>109</v>
      </c>
      <c r="C8" s="225">
        <f>109+15</f>
        <v>124</v>
      </c>
      <c r="D8" s="226">
        <f t="shared" ref="D8:D33" si="8">C8-B8</f>
        <v>15</v>
      </c>
      <c r="E8" s="287"/>
      <c r="F8" s="227">
        <v>3</v>
      </c>
      <c r="G8" s="220">
        <f t="shared" si="1"/>
        <v>2589</v>
      </c>
      <c r="H8" s="225">
        <v>2628</v>
      </c>
      <c r="I8" s="226">
        <f t="shared" si="2"/>
        <v>39</v>
      </c>
      <c r="J8" s="287"/>
      <c r="K8" s="227">
        <v>3</v>
      </c>
      <c r="L8" s="220">
        <f t="shared" si="3"/>
        <v>715982</v>
      </c>
      <c r="M8" s="225">
        <v>716185</v>
      </c>
      <c r="N8" s="226">
        <f t="shared" si="4"/>
        <v>203</v>
      </c>
      <c r="O8" s="219"/>
      <c r="P8" s="227">
        <v>3</v>
      </c>
      <c r="Q8" s="220">
        <f t="shared" si="5"/>
        <v>194590</v>
      </c>
      <c r="R8" s="225">
        <v>194660</v>
      </c>
      <c r="S8" s="226">
        <f t="shared" si="6"/>
        <v>70</v>
      </c>
      <c r="T8" s="217"/>
      <c r="U8" s="220">
        <v>3</v>
      </c>
      <c r="V8" s="105">
        <f t="shared" si="7"/>
        <v>327</v>
      </c>
      <c r="W8" s="228">
        <v>58.25</v>
      </c>
      <c r="X8" s="229"/>
    </row>
    <row r="9" spans="1:24" ht="15" customHeight="1" x14ac:dyDescent="0.2">
      <c r="A9" s="227">
        <v>4</v>
      </c>
      <c r="B9" s="220">
        <f t="shared" si="0"/>
        <v>124</v>
      </c>
      <c r="C9" s="225">
        <f>124+24</f>
        <v>148</v>
      </c>
      <c r="D9" s="226">
        <f t="shared" si="8"/>
        <v>24</v>
      </c>
      <c r="E9" s="287"/>
      <c r="F9" s="227">
        <v>4</v>
      </c>
      <c r="G9" s="220">
        <f t="shared" si="1"/>
        <v>2628</v>
      </c>
      <c r="H9" s="225">
        <v>2628</v>
      </c>
      <c r="I9" s="226">
        <f t="shared" si="2"/>
        <v>0</v>
      </c>
      <c r="J9" s="287"/>
      <c r="K9" s="227">
        <v>4</v>
      </c>
      <c r="L9" s="220">
        <f t="shared" si="3"/>
        <v>716185</v>
      </c>
      <c r="M9" s="225">
        <v>716426</v>
      </c>
      <c r="N9" s="226">
        <f t="shared" si="4"/>
        <v>241</v>
      </c>
      <c r="O9" s="219"/>
      <c r="P9" s="227">
        <v>4</v>
      </c>
      <c r="Q9" s="220">
        <f t="shared" si="5"/>
        <v>194660</v>
      </c>
      <c r="R9" s="225">
        <v>194769</v>
      </c>
      <c r="S9" s="226">
        <f t="shared" si="6"/>
        <v>109</v>
      </c>
      <c r="T9" s="217"/>
      <c r="U9" s="220">
        <v>4</v>
      </c>
      <c r="V9" s="105">
        <f t="shared" si="7"/>
        <v>374</v>
      </c>
      <c r="W9" s="228">
        <v>58.25</v>
      </c>
      <c r="X9" s="229"/>
    </row>
    <row r="10" spans="1:24" ht="15" customHeight="1" x14ac:dyDescent="0.2">
      <c r="A10" s="227">
        <v>5</v>
      </c>
      <c r="B10" s="220">
        <f t="shared" si="0"/>
        <v>148</v>
      </c>
      <c r="C10" s="225">
        <f>148+20</f>
        <v>168</v>
      </c>
      <c r="D10" s="226">
        <f t="shared" si="8"/>
        <v>20</v>
      </c>
      <c r="E10" s="287"/>
      <c r="F10" s="227">
        <v>5</v>
      </c>
      <c r="G10" s="220">
        <f t="shared" si="1"/>
        <v>2628</v>
      </c>
      <c r="H10" s="225">
        <v>2648</v>
      </c>
      <c r="I10" s="226">
        <f t="shared" si="2"/>
        <v>20</v>
      </c>
      <c r="J10" s="287"/>
      <c r="K10" s="227">
        <v>5</v>
      </c>
      <c r="L10" s="220">
        <f t="shared" si="3"/>
        <v>716426</v>
      </c>
      <c r="M10" s="225">
        <v>716660</v>
      </c>
      <c r="N10" s="226">
        <f t="shared" si="4"/>
        <v>234</v>
      </c>
      <c r="O10" s="219"/>
      <c r="P10" s="227">
        <v>5</v>
      </c>
      <c r="Q10" s="220">
        <f t="shared" si="5"/>
        <v>194769</v>
      </c>
      <c r="R10" s="225">
        <v>194820</v>
      </c>
      <c r="S10" s="226">
        <f t="shared" si="6"/>
        <v>51</v>
      </c>
      <c r="T10" s="217"/>
      <c r="U10" s="227">
        <v>5</v>
      </c>
      <c r="V10" s="105">
        <f t="shared" si="7"/>
        <v>325</v>
      </c>
      <c r="W10" s="228">
        <v>58.25</v>
      </c>
      <c r="X10" s="229"/>
    </row>
    <row r="11" spans="1:24" ht="15" customHeight="1" x14ac:dyDescent="0.2">
      <c r="A11" s="227">
        <v>6</v>
      </c>
      <c r="B11" s="220">
        <f t="shared" si="0"/>
        <v>168</v>
      </c>
      <c r="C11" s="225">
        <f>168+15</f>
        <v>183</v>
      </c>
      <c r="D11" s="226">
        <f>C11-B11</f>
        <v>15</v>
      </c>
      <c r="E11" s="287"/>
      <c r="F11" s="227">
        <v>6</v>
      </c>
      <c r="G11" s="220">
        <f t="shared" si="1"/>
        <v>2648</v>
      </c>
      <c r="H11" s="225">
        <v>2705</v>
      </c>
      <c r="I11" s="226">
        <f>H11-G11</f>
        <v>57</v>
      </c>
      <c r="J11" s="287"/>
      <c r="K11" s="227">
        <v>6</v>
      </c>
      <c r="L11" s="220">
        <f t="shared" si="3"/>
        <v>716660</v>
      </c>
      <c r="M11" s="225">
        <v>716904</v>
      </c>
      <c r="N11" s="226">
        <f>M11-L11</f>
        <v>244</v>
      </c>
      <c r="O11" s="219"/>
      <c r="P11" s="227">
        <v>6</v>
      </c>
      <c r="Q11" s="220">
        <f t="shared" si="5"/>
        <v>194820</v>
      </c>
      <c r="R11" s="225">
        <v>194896</v>
      </c>
      <c r="S11" s="226">
        <f>R11-Q11</f>
        <v>76</v>
      </c>
      <c r="T11" s="217"/>
      <c r="U11" s="220">
        <v>6</v>
      </c>
      <c r="V11" s="105">
        <f t="shared" si="7"/>
        <v>392</v>
      </c>
      <c r="W11" s="228">
        <v>58.25</v>
      </c>
      <c r="X11" s="229"/>
    </row>
    <row r="12" spans="1:24" ht="15" customHeight="1" x14ac:dyDescent="0.2">
      <c r="A12" s="227">
        <v>7</v>
      </c>
      <c r="B12" s="220">
        <f t="shared" si="0"/>
        <v>183</v>
      </c>
      <c r="C12" s="225">
        <f>183+5</f>
        <v>188</v>
      </c>
      <c r="D12" s="226">
        <f t="shared" si="8"/>
        <v>5</v>
      </c>
      <c r="E12" s="287"/>
      <c r="F12" s="227">
        <v>7</v>
      </c>
      <c r="G12" s="220">
        <f t="shared" si="1"/>
        <v>2705</v>
      </c>
      <c r="H12" s="225">
        <v>2714</v>
      </c>
      <c r="I12" s="226">
        <f t="shared" ref="I12:I24" si="9">H12-G12</f>
        <v>9</v>
      </c>
      <c r="J12" s="287"/>
      <c r="K12" s="227">
        <v>7</v>
      </c>
      <c r="L12" s="220">
        <f t="shared" si="3"/>
        <v>716904</v>
      </c>
      <c r="M12" s="225">
        <v>717130</v>
      </c>
      <c r="N12" s="226">
        <f t="shared" ref="N12:N24" si="10">M12-L12</f>
        <v>226</v>
      </c>
      <c r="O12" s="219"/>
      <c r="P12" s="227">
        <v>7</v>
      </c>
      <c r="Q12" s="220">
        <f t="shared" si="5"/>
        <v>194896</v>
      </c>
      <c r="R12" s="225">
        <v>194992</v>
      </c>
      <c r="S12" s="226">
        <f t="shared" ref="S12:S24" si="11">R12-Q12</f>
        <v>96</v>
      </c>
      <c r="T12" s="217"/>
      <c r="U12" s="220">
        <v>7</v>
      </c>
      <c r="V12" s="105">
        <f t="shared" si="7"/>
        <v>336</v>
      </c>
      <c r="W12" s="228">
        <v>59.22</v>
      </c>
      <c r="X12" s="229"/>
    </row>
    <row r="13" spans="1:24" ht="15" customHeight="1" x14ac:dyDescent="0.2">
      <c r="A13" s="227">
        <v>8</v>
      </c>
      <c r="B13" s="220">
        <f t="shared" si="0"/>
        <v>188</v>
      </c>
      <c r="C13" s="225">
        <f>188+55</f>
        <v>243</v>
      </c>
      <c r="D13" s="226">
        <f t="shared" si="8"/>
        <v>55</v>
      </c>
      <c r="E13" s="287"/>
      <c r="F13" s="227">
        <v>8</v>
      </c>
      <c r="G13" s="220">
        <f t="shared" si="1"/>
        <v>2714</v>
      </c>
      <c r="H13" s="225">
        <v>2762</v>
      </c>
      <c r="I13" s="226">
        <f t="shared" si="9"/>
        <v>48</v>
      </c>
      <c r="J13" s="287"/>
      <c r="K13" s="227">
        <v>8</v>
      </c>
      <c r="L13" s="220">
        <f t="shared" si="3"/>
        <v>717130</v>
      </c>
      <c r="M13" s="225">
        <v>717293</v>
      </c>
      <c r="N13" s="226">
        <f t="shared" si="10"/>
        <v>163</v>
      </c>
      <c r="O13" s="219"/>
      <c r="P13" s="227">
        <v>8</v>
      </c>
      <c r="Q13" s="220">
        <f t="shared" si="5"/>
        <v>194992</v>
      </c>
      <c r="R13" s="225">
        <v>195089</v>
      </c>
      <c r="S13" s="226">
        <f t="shared" si="11"/>
        <v>97</v>
      </c>
      <c r="T13" s="217"/>
      <c r="U13" s="227">
        <v>8</v>
      </c>
      <c r="V13" s="105">
        <f t="shared" si="7"/>
        <v>363</v>
      </c>
      <c r="W13" s="228">
        <v>66.7</v>
      </c>
      <c r="X13" s="229"/>
    </row>
    <row r="14" spans="1:24" ht="15" customHeight="1" x14ac:dyDescent="0.2">
      <c r="A14" s="227">
        <v>9</v>
      </c>
      <c r="B14" s="220">
        <f t="shared" si="0"/>
        <v>243</v>
      </c>
      <c r="C14" s="225">
        <f>243+20</f>
        <v>263</v>
      </c>
      <c r="D14" s="226">
        <f t="shared" si="8"/>
        <v>20</v>
      </c>
      <c r="E14" s="287"/>
      <c r="F14" s="227">
        <v>9</v>
      </c>
      <c r="G14" s="220">
        <f t="shared" si="1"/>
        <v>2762</v>
      </c>
      <c r="H14" s="225">
        <v>2803</v>
      </c>
      <c r="I14" s="226">
        <f t="shared" si="9"/>
        <v>41</v>
      </c>
      <c r="J14" s="287"/>
      <c r="K14" s="227">
        <v>9</v>
      </c>
      <c r="L14" s="220">
        <f t="shared" si="3"/>
        <v>717293</v>
      </c>
      <c r="M14" s="225">
        <v>717505</v>
      </c>
      <c r="N14" s="226">
        <f t="shared" si="10"/>
        <v>212</v>
      </c>
      <c r="O14" s="219"/>
      <c r="P14" s="227">
        <v>9</v>
      </c>
      <c r="Q14" s="220">
        <f t="shared" si="5"/>
        <v>195089</v>
      </c>
      <c r="R14" s="225">
        <v>195177</v>
      </c>
      <c r="S14" s="226">
        <f t="shared" si="11"/>
        <v>88</v>
      </c>
      <c r="T14" s="217"/>
      <c r="U14" s="220">
        <v>9</v>
      </c>
      <c r="V14" s="105">
        <f t="shared" si="7"/>
        <v>361</v>
      </c>
      <c r="W14" s="228">
        <v>63.11</v>
      </c>
      <c r="X14" s="229"/>
    </row>
    <row r="15" spans="1:24" ht="15" customHeight="1" x14ac:dyDescent="0.2">
      <c r="A15" s="227">
        <v>10</v>
      </c>
      <c r="B15" s="220">
        <f t="shared" si="0"/>
        <v>263</v>
      </c>
      <c r="C15" s="225">
        <f>263+20</f>
        <v>283</v>
      </c>
      <c r="D15" s="226">
        <f t="shared" si="8"/>
        <v>20</v>
      </c>
      <c r="E15" s="287"/>
      <c r="F15" s="227">
        <v>10</v>
      </c>
      <c r="G15" s="220">
        <f t="shared" si="1"/>
        <v>2803</v>
      </c>
      <c r="H15" s="225">
        <v>2821</v>
      </c>
      <c r="I15" s="226">
        <f t="shared" si="9"/>
        <v>18</v>
      </c>
      <c r="J15" s="287"/>
      <c r="K15" s="227">
        <v>10</v>
      </c>
      <c r="L15" s="220">
        <f t="shared" si="3"/>
        <v>717505</v>
      </c>
      <c r="M15" s="225">
        <v>717737</v>
      </c>
      <c r="N15" s="226">
        <f t="shared" si="10"/>
        <v>232</v>
      </c>
      <c r="O15" s="219"/>
      <c r="P15" s="227">
        <v>10</v>
      </c>
      <c r="Q15" s="220">
        <f t="shared" si="5"/>
        <v>195177</v>
      </c>
      <c r="R15" s="225">
        <v>195277</v>
      </c>
      <c r="S15" s="226">
        <f t="shared" si="11"/>
        <v>100</v>
      </c>
      <c r="T15" s="217"/>
      <c r="U15" s="220">
        <v>10</v>
      </c>
      <c r="V15" s="105">
        <f t="shared" si="7"/>
        <v>370</v>
      </c>
      <c r="W15" s="228">
        <v>62.14</v>
      </c>
      <c r="X15" s="229"/>
    </row>
    <row r="16" spans="1:24" ht="15" customHeight="1" x14ac:dyDescent="0.2">
      <c r="A16" s="227">
        <v>11</v>
      </c>
      <c r="B16" s="220">
        <f t="shared" si="0"/>
        <v>283</v>
      </c>
      <c r="C16" s="225">
        <v>283</v>
      </c>
      <c r="D16" s="226">
        <f t="shared" si="8"/>
        <v>0</v>
      </c>
      <c r="E16" s="287"/>
      <c r="F16" s="227">
        <v>11</v>
      </c>
      <c r="G16" s="220">
        <f t="shared" si="1"/>
        <v>2821</v>
      </c>
      <c r="H16" s="225">
        <v>2866</v>
      </c>
      <c r="I16" s="226">
        <f t="shared" si="9"/>
        <v>45</v>
      </c>
      <c r="J16" s="287"/>
      <c r="K16" s="227">
        <v>11</v>
      </c>
      <c r="L16" s="220">
        <f t="shared" si="3"/>
        <v>717737</v>
      </c>
      <c r="M16" s="225">
        <v>717960</v>
      </c>
      <c r="N16" s="226">
        <f t="shared" si="10"/>
        <v>223</v>
      </c>
      <c r="O16" s="219"/>
      <c r="P16" s="227">
        <v>11</v>
      </c>
      <c r="Q16" s="220">
        <f t="shared" si="5"/>
        <v>195277</v>
      </c>
      <c r="R16" s="225">
        <v>195381</v>
      </c>
      <c r="S16" s="226">
        <f t="shared" si="11"/>
        <v>104</v>
      </c>
      <c r="T16" s="217"/>
      <c r="U16" s="227">
        <v>11</v>
      </c>
      <c r="V16" s="105">
        <f t="shared" si="7"/>
        <v>372</v>
      </c>
      <c r="W16" s="228">
        <v>70.87</v>
      </c>
      <c r="X16" s="229"/>
    </row>
    <row r="17" spans="1:24" ht="15" customHeight="1" x14ac:dyDescent="0.2">
      <c r="A17" s="227">
        <v>12</v>
      </c>
      <c r="B17" s="220">
        <f t="shared" si="0"/>
        <v>283</v>
      </c>
      <c r="C17" s="225">
        <f>283+30</f>
        <v>313</v>
      </c>
      <c r="D17" s="226">
        <f t="shared" si="8"/>
        <v>30</v>
      </c>
      <c r="E17" s="287"/>
      <c r="F17" s="227">
        <v>12</v>
      </c>
      <c r="G17" s="220">
        <f t="shared" si="1"/>
        <v>2866</v>
      </c>
      <c r="H17" s="225">
        <v>2893</v>
      </c>
      <c r="I17" s="226">
        <f t="shared" si="9"/>
        <v>27</v>
      </c>
      <c r="J17" s="287"/>
      <c r="K17" s="227">
        <v>12</v>
      </c>
      <c r="L17" s="220">
        <f t="shared" si="3"/>
        <v>717960</v>
      </c>
      <c r="M17" s="225">
        <v>718174</v>
      </c>
      <c r="N17" s="226">
        <f t="shared" si="10"/>
        <v>214</v>
      </c>
      <c r="O17" s="219"/>
      <c r="P17" s="227">
        <v>12</v>
      </c>
      <c r="Q17" s="220">
        <f t="shared" si="5"/>
        <v>195381</v>
      </c>
      <c r="R17" s="225">
        <v>195471</v>
      </c>
      <c r="S17" s="226">
        <f t="shared" si="11"/>
        <v>90</v>
      </c>
      <c r="T17" s="217"/>
      <c r="U17" s="220">
        <v>12</v>
      </c>
      <c r="V17" s="105">
        <f t="shared" si="7"/>
        <v>361</v>
      </c>
      <c r="W17" s="228">
        <v>76.7</v>
      </c>
      <c r="X17" s="229"/>
    </row>
    <row r="18" spans="1:24" ht="15" customHeight="1" x14ac:dyDescent="0.2">
      <c r="A18" s="227">
        <v>13</v>
      </c>
      <c r="B18" s="220">
        <f t="shared" si="0"/>
        <v>313</v>
      </c>
      <c r="C18" s="225">
        <f>313+40</f>
        <v>353</v>
      </c>
      <c r="D18" s="226">
        <f t="shared" si="8"/>
        <v>40</v>
      </c>
      <c r="E18" s="287"/>
      <c r="F18" s="227">
        <v>13</v>
      </c>
      <c r="G18" s="220">
        <f t="shared" si="1"/>
        <v>2893</v>
      </c>
      <c r="H18" s="225">
        <v>2919</v>
      </c>
      <c r="I18" s="226">
        <f t="shared" si="9"/>
        <v>26</v>
      </c>
      <c r="J18" s="287"/>
      <c r="K18" s="227">
        <v>13</v>
      </c>
      <c r="L18" s="220">
        <f t="shared" si="3"/>
        <v>718174</v>
      </c>
      <c r="M18" s="225">
        <v>718414</v>
      </c>
      <c r="N18" s="226">
        <f t="shared" si="10"/>
        <v>240</v>
      </c>
      <c r="O18" s="219"/>
      <c r="P18" s="227">
        <v>13</v>
      </c>
      <c r="Q18" s="220">
        <f t="shared" si="5"/>
        <v>195471</v>
      </c>
      <c r="R18" s="225">
        <v>195561</v>
      </c>
      <c r="S18" s="226">
        <f t="shared" si="11"/>
        <v>90</v>
      </c>
      <c r="T18" s="217"/>
      <c r="U18" s="220">
        <v>13</v>
      </c>
      <c r="V18" s="105">
        <f t="shared" si="7"/>
        <v>396</v>
      </c>
      <c r="W18" s="228">
        <v>59.9</v>
      </c>
      <c r="X18" s="229"/>
    </row>
    <row r="19" spans="1:24" ht="15" customHeight="1" x14ac:dyDescent="0.2">
      <c r="A19" s="227">
        <v>14</v>
      </c>
      <c r="B19" s="220">
        <f t="shared" si="0"/>
        <v>353</v>
      </c>
      <c r="C19" s="225">
        <f>353+52</f>
        <v>405</v>
      </c>
      <c r="D19" s="226">
        <f t="shared" si="8"/>
        <v>52</v>
      </c>
      <c r="E19" s="287"/>
      <c r="F19" s="227">
        <v>14</v>
      </c>
      <c r="G19" s="220">
        <f t="shared" si="1"/>
        <v>2919</v>
      </c>
      <c r="H19" s="225">
        <v>2939</v>
      </c>
      <c r="I19" s="226">
        <f t="shared" si="9"/>
        <v>20</v>
      </c>
      <c r="J19" s="287"/>
      <c r="K19" s="227">
        <v>14</v>
      </c>
      <c r="L19" s="220">
        <f t="shared" si="3"/>
        <v>718414</v>
      </c>
      <c r="M19" s="225">
        <v>718664</v>
      </c>
      <c r="N19" s="226">
        <f t="shared" si="10"/>
        <v>250</v>
      </c>
      <c r="O19" s="219"/>
      <c r="P19" s="227">
        <v>14</v>
      </c>
      <c r="Q19" s="220">
        <f t="shared" si="5"/>
        <v>195561</v>
      </c>
      <c r="R19" s="225">
        <v>195658</v>
      </c>
      <c r="S19" s="226">
        <f t="shared" si="11"/>
        <v>97</v>
      </c>
      <c r="T19" s="217"/>
      <c r="U19" s="227">
        <v>14</v>
      </c>
      <c r="V19" s="105">
        <f t="shared" si="7"/>
        <v>419</v>
      </c>
      <c r="W19" s="228">
        <v>77.67</v>
      </c>
      <c r="X19" s="229"/>
    </row>
    <row r="20" spans="1:24" ht="15" customHeight="1" x14ac:dyDescent="0.2">
      <c r="A20" s="227">
        <v>15</v>
      </c>
      <c r="B20" s="220">
        <f t="shared" si="0"/>
        <v>405</v>
      </c>
      <c r="C20" s="225">
        <f>405+28</f>
        <v>433</v>
      </c>
      <c r="D20" s="226">
        <f t="shared" si="8"/>
        <v>28</v>
      </c>
      <c r="E20" s="287"/>
      <c r="F20" s="227">
        <v>15</v>
      </c>
      <c r="G20" s="220">
        <f t="shared" si="1"/>
        <v>2939</v>
      </c>
      <c r="H20" s="225">
        <v>2986</v>
      </c>
      <c r="I20" s="226">
        <f t="shared" si="9"/>
        <v>47</v>
      </c>
      <c r="J20" s="287"/>
      <c r="K20" s="227">
        <v>15</v>
      </c>
      <c r="L20" s="220">
        <f t="shared" si="3"/>
        <v>718664</v>
      </c>
      <c r="M20" s="225">
        <v>718911</v>
      </c>
      <c r="N20" s="226">
        <f t="shared" si="10"/>
        <v>247</v>
      </c>
      <c r="O20" s="219"/>
      <c r="P20" s="227">
        <v>15</v>
      </c>
      <c r="Q20" s="220">
        <f t="shared" si="5"/>
        <v>195658</v>
      </c>
      <c r="R20" s="225">
        <v>195759</v>
      </c>
      <c r="S20" s="226">
        <f t="shared" si="11"/>
        <v>101</v>
      </c>
      <c r="T20" s="217"/>
      <c r="U20" s="220">
        <v>15</v>
      </c>
      <c r="V20" s="105">
        <f t="shared" si="7"/>
        <v>423</v>
      </c>
      <c r="W20" s="228">
        <v>91.26</v>
      </c>
      <c r="X20" s="229"/>
    </row>
    <row r="21" spans="1:24" ht="15" customHeight="1" x14ac:dyDescent="0.2">
      <c r="A21" s="227">
        <v>16</v>
      </c>
      <c r="B21" s="220">
        <f t="shared" si="0"/>
        <v>433</v>
      </c>
      <c r="C21" s="225">
        <f>433+64</f>
        <v>497</v>
      </c>
      <c r="D21" s="226">
        <f t="shared" si="8"/>
        <v>64</v>
      </c>
      <c r="E21" s="287"/>
      <c r="F21" s="227">
        <v>16</v>
      </c>
      <c r="G21" s="220">
        <f t="shared" si="1"/>
        <v>2986</v>
      </c>
      <c r="H21" s="225">
        <v>3010</v>
      </c>
      <c r="I21" s="226">
        <f t="shared" si="9"/>
        <v>24</v>
      </c>
      <c r="J21" s="287"/>
      <c r="K21" s="227">
        <v>16</v>
      </c>
      <c r="L21" s="220">
        <f t="shared" si="3"/>
        <v>718911</v>
      </c>
      <c r="M21" s="225">
        <v>719118</v>
      </c>
      <c r="N21" s="226">
        <f t="shared" si="10"/>
        <v>207</v>
      </c>
      <c r="O21" s="219"/>
      <c r="P21" s="227">
        <v>16</v>
      </c>
      <c r="Q21" s="220">
        <f t="shared" si="5"/>
        <v>195759</v>
      </c>
      <c r="R21" s="225">
        <v>195848</v>
      </c>
      <c r="S21" s="226">
        <f t="shared" si="11"/>
        <v>89</v>
      </c>
      <c r="T21" s="217"/>
      <c r="U21" s="220">
        <v>16</v>
      </c>
      <c r="V21" s="105">
        <f t="shared" si="7"/>
        <v>384</v>
      </c>
      <c r="W21" s="228">
        <v>82.52</v>
      </c>
      <c r="X21" s="230"/>
    </row>
    <row r="22" spans="1:24" ht="15" customHeight="1" x14ac:dyDescent="0.2">
      <c r="A22" s="227">
        <v>17</v>
      </c>
      <c r="B22" s="220">
        <f t="shared" si="0"/>
        <v>497</v>
      </c>
      <c r="C22" s="225">
        <f>497+110</f>
        <v>607</v>
      </c>
      <c r="D22" s="226">
        <f t="shared" si="8"/>
        <v>110</v>
      </c>
      <c r="E22" s="287"/>
      <c r="F22" s="227">
        <v>17</v>
      </c>
      <c r="G22" s="220">
        <f t="shared" si="1"/>
        <v>3010</v>
      </c>
      <c r="H22" s="225">
        <v>3018</v>
      </c>
      <c r="I22" s="226">
        <f t="shared" si="9"/>
        <v>8</v>
      </c>
      <c r="J22" s="287"/>
      <c r="K22" s="227">
        <v>17</v>
      </c>
      <c r="L22" s="220">
        <f t="shared" si="3"/>
        <v>719118</v>
      </c>
      <c r="M22" s="225">
        <v>719382</v>
      </c>
      <c r="N22" s="226">
        <f t="shared" si="10"/>
        <v>264</v>
      </c>
      <c r="O22" s="219"/>
      <c r="P22" s="227">
        <v>17</v>
      </c>
      <c r="Q22" s="220">
        <f t="shared" si="5"/>
        <v>195848</v>
      </c>
      <c r="R22" s="225">
        <v>195961</v>
      </c>
      <c r="S22" s="226">
        <f t="shared" si="11"/>
        <v>113</v>
      </c>
      <c r="T22" s="217"/>
      <c r="U22" s="227">
        <v>17</v>
      </c>
      <c r="V22" s="105">
        <f t="shared" si="7"/>
        <v>495</v>
      </c>
      <c r="W22" s="228">
        <v>80.599999999999994</v>
      </c>
      <c r="X22" s="230"/>
    </row>
    <row r="23" spans="1:24" ht="15" customHeight="1" x14ac:dyDescent="0.2">
      <c r="A23" s="227">
        <v>18</v>
      </c>
      <c r="B23" s="220">
        <f t="shared" si="0"/>
        <v>607</v>
      </c>
      <c r="C23" s="225">
        <f>C22+52</f>
        <v>659</v>
      </c>
      <c r="D23" s="226">
        <f t="shared" si="8"/>
        <v>52</v>
      </c>
      <c r="E23" s="287"/>
      <c r="F23" s="227">
        <v>18</v>
      </c>
      <c r="G23" s="220">
        <f t="shared" si="1"/>
        <v>3018</v>
      </c>
      <c r="H23" s="225">
        <v>3039</v>
      </c>
      <c r="I23" s="226">
        <f t="shared" si="9"/>
        <v>21</v>
      </c>
      <c r="J23" s="287"/>
      <c r="K23" s="227">
        <v>18</v>
      </c>
      <c r="L23" s="220">
        <f t="shared" si="3"/>
        <v>719382</v>
      </c>
      <c r="M23" s="225">
        <v>719615</v>
      </c>
      <c r="N23" s="226">
        <f t="shared" si="10"/>
        <v>233</v>
      </c>
      <c r="O23" s="219"/>
      <c r="P23" s="227">
        <v>18</v>
      </c>
      <c r="Q23" s="220">
        <f t="shared" si="5"/>
        <v>195961</v>
      </c>
      <c r="R23" s="225">
        <v>196064</v>
      </c>
      <c r="S23" s="226">
        <f t="shared" si="11"/>
        <v>103</v>
      </c>
      <c r="T23" s="217"/>
      <c r="U23" s="220">
        <v>18</v>
      </c>
      <c r="V23" s="105">
        <f t="shared" si="7"/>
        <v>409</v>
      </c>
      <c r="W23" s="228">
        <v>79.599999999999994</v>
      </c>
      <c r="X23" s="230"/>
    </row>
    <row r="24" spans="1:24" ht="15" customHeight="1" x14ac:dyDescent="0.2">
      <c r="A24" s="227">
        <v>19</v>
      </c>
      <c r="B24" s="220">
        <f t="shared" si="0"/>
        <v>659</v>
      </c>
      <c r="C24" s="225">
        <f>C23+75</f>
        <v>734</v>
      </c>
      <c r="D24" s="226">
        <f t="shared" si="8"/>
        <v>75</v>
      </c>
      <c r="E24" s="287"/>
      <c r="F24" s="227">
        <v>19</v>
      </c>
      <c r="G24" s="220">
        <f t="shared" si="1"/>
        <v>3039</v>
      </c>
      <c r="H24" s="225">
        <v>3039</v>
      </c>
      <c r="I24" s="226">
        <f t="shared" si="9"/>
        <v>0</v>
      </c>
      <c r="J24" s="287"/>
      <c r="K24" s="227">
        <v>19</v>
      </c>
      <c r="L24" s="220">
        <f t="shared" si="3"/>
        <v>719615</v>
      </c>
      <c r="M24" s="225">
        <v>719847</v>
      </c>
      <c r="N24" s="226">
        <f t="shared" si="10"/>
        <v>232</v>
      </c>
      <c r="O24" s="219"/>
      <c r="P24" s="227">
        <v>19</v>
      </c>
      <c r="Q24" s="220">
        <f t="shared" si="5"/>
        <v>196064</v>
      </c>
      <c r="R24" s="225">
        <v>196162</v>
      </c>
      <c r="S24" s="226">
        <f t="shared" si="11"/>
        <v>98</v>
      </c>
      <c r="T24" s="217"/>
      <c r="U24" s="220">
        <v>19</v>
      </c>
      <c r="V24" s="105">
        <f t="shared" si="7"/>
        <v>405</v>
      </c>
      <c r="W24" s="231">
        <v>80.599999999999994</v>
      </c>
      <c r="X24" s="230"/>
    </row>
    <row r="25" spans="1:24" ht="15" customHeight="1" x14ac:dyDescent="0.2">
      <c r="A25" s="227">
        <v>20</v>
      </c>
      <c r="B25" s="220">
        <f t="shared" si="0"/>
        <v>734</v>
      </c>
      <c r="C25" s="225">
        <f>C24+40</f>
        <v>774</v>
      </c>
      <c r="D25" s="226">
        <f>C25-B25</f>
        <v>40</v>
      </c>
      <c r="E25" s="287"/>
      <c r="F25" s="227">
        <v>20</v>
      </c>
      <c r="G25" s="220">
        <f t="shared" si="1"/>
        <v>3039</v>
      </c>
      <c r="H25" s="225">
        <v>3085</v>
      </c>
      <c r="I25" s="226">
        <f>H25-G25</f>
        <v>46</v>
      </c>
      <c r="J25" s="287"/>
      <c r="K25" s="227">
        <v>20</v>
      </c>
      <c r="L25" s="220">
        <f t="shared" si="3"/>
        <v>719847</v>
      </c>
      <c r="M25" s="225">
        <v>720083</v>
      </c>
      <c r="N25" s="226">
        <f>M25-L25</f>
        <v>236</v>
      </c>
      <c r="O25" s="219"/>
      <c r="P25" s="227">
        <v>20</v>
      </c>
      <c r="Q25" s="220">
        <f t="shared" si="5"/>
        <v>196162</v>
      </c>
      <c r="R25" s="225">
        <v>196286</v>
      </c>
      <c r="S25" s="226">
        <f>R25-Q25</f>
        <v>124</v>
      </c>
      <c r="T25" s="217"/>
      <c r="U25" s="227">
        <v>20</v>
      </c>
      <c r="V25" s="105">
        <f t="shared" si="7"/>
        <v>446</v>
      </c>
      <c r="W25" s="231"/>
      <c r="X25" s="230"/>
    </row>
    <row r="26" spans="1:24" ht="15" customHeight="1" x14ac:dyDescent="0.2">
      <c r="A26" s="227">
        <v>21</v>
      </c>
      <c r="B26" s="220">
        <f t="shared" si="0"/>
        <v>774</v>
      </c>
      <c r="C26" s="225">
        <f>C25+90</f>
        <v>864</v>
      </c>
      <c r="D26" s="226">
        <f t="shared" si="8"/>
        <v>90</v>
      </c>
      <c r="E26" s="287"/>
      <c r="F26" s="227">
        <v>21</v>
      </c>
      <c r="G26" s="220">
        <f t="shared" si="1"/>
        <v>3085</v>
      </c>
      <c r="H26" s="225">
        <v>3085</v>
      </c>
      <c r="I26" s="226">
        <f t="shared" ref="I26:I29" si="12">H26-G26</f>
        <v>0</v>
      </c>
      <c r="J26" s="287"/>
      <c r="K26" s="227">
        <v>21</v>
      </c>
      <c r="L26" s="220">
        <f t="shared" si="3"/>
        <v>720083</v>
      </c>
      <c r="M26" s="225">
        <v>720306</v>
      </c>
      <c r="N26" s="226">
        <f t="shared" ref="N26:N29" si="13">M26-L26</f>
        <v>223</v>
      </c>
      <c r="O26" s="219"/>
      <c r="P26" s="227">
        <v>21</v>
      </c>
      <c r="Q26" s="220">
        <f t="shared" si="5"/>
        <v>196286</v>
      </c>
      <c r="R26" s="225">
        <v>196337</v>
      </c>
      <c r="S26" s="226">
        <f t="shared" ref="S26:S29" si="14">R26-Q26</f>
        <v>51</v>
      </c>
      <c r="T26" s="217"/>
      <c r="U26" s="220">
        <v>21</v>
      </c>
      <c r="V26" s="105">
        <f t="shared" si="7"/>
        <v>364</v>
      </c>
      <c r="W26" s="231"/>
      <c r="X26" s="230"/>
    </row>
    <row r="27" spans="1:24" ht="15" customHeight="1" x14ac:dyDescent="0.2">
      <c r="A27" s="227">
        <v>22</v>
      </c>
      <c r="B27" s="220">
        <f t="shared" si="0"/>
        <v>864</v>
      </c>
      <c r="C27" s="225">
        <v>0</v>
      </c>
      <c r="D27" s="226">
        <f t="shared" si="8"/>
        <v>-864</v>
      </c>
      <c r="E27" s="287"/>
      <c r="F27" s="227">
        <v>22</v>
      </c>
      <c r="G27" s="220">
        <f t="shared" si="1"/>
        <v>3085</v>
      </c>
      <c r="H27" s="225"/>
      <c r="I27" s="226">
        <f t="shared" si="12"/>
        <v>-3085</v>
      </c>
      <c r="J27" s="287"/>
      <c r="K27" s="227">
        <v>22</v>
      </c>
      <c r="L27" s="220">
        <f t="shared" si="3"/>
        <v>720306</v>
      </c>
      <c r="M27" s="225"/>
      <c r="N27" s="226">
        <f t="shared" si="13"/>
        <v>-720306</v>
      </c>
      <c r="O27" s="219"/>
      <c r="P27" s="227">
        <v>22</v>
      </c>
      <c r="Q27" s="220">
        <f t="shared" si="5"/>
        <v>196337</v>
      </c>
      <c r="R27" s="225"/>
      <c r="S27" s="226">
        <f t="shared" si="14"/>
        <v>-196337</v>
      </c>
      <c r="T27" s="217"/>
      <c r="U27" s="220">
        <v>22</v>
      </c>
      <c r="V27" s="105">
        <f t="shared" si="7"/>
        <v>-920592</v>
      </c>
      <c r="W27" s="231"/>
      <c r="X27" s="230"/>
    </row>
    <row r="28" spans="1:24" ht="15" customHeight="1" x14ac:dyDescent="0.2">
      <c r="A28" s="227">
        <v>23</v>
      </c>
      <c r="B28" s="220">
        <f t="shared" si="0"/>
        <v>0</v>
      </c>
      <c r="C28" s="225">
        <v>0</v>
      </c>
      <c r="D28" s="226">
        <f t="shared" si="8"/>
        <v>0</v>
      </c>
      <c r="E28" s="287"/>
      <c r="F28" s="227">
        <v>23</v>
      </c>
      <c r="G28" s="220">
        <f t="shared" si="1"/>
        <v>0</v>
      </c>
      <c r="H28" s="225"/>
      <c r="I28" s="226">
        <f t="shared" si="12"/>
        <v>0</v>
      </c>
      <c r="J28" s="287"/>
      <c r="K28" s="227">
        <v>23</v>
      </c>
      <c r="L28" s="220">
        <f t="shared" si="3"/>
        <v>0</v>
      </c>
      <c r="M28" s="225"/>
      <c r="N28" s="226">
        <f t="shared" si="13"/>
        <v>0</v>
      </c>
      <c r="O28" s="219"/>
      <c r="P28" s="227">
        <v>23</v>
      </c>
      <c r="Q28" s="220">
        <f t="shared" si="5"/>
        <v>0</v>
      </c>
      <c r="R28" s="225"/>
      <c r="S28" s="226">
        <f t="shared" si="14"/>
        <v>0</v>
      </c>
      <c r="T28" s="217"/>
      <c r="U28" s="227">
        <v>23</v>
      </c>
      <c r="V28" s="105">
        <f t="shared" si="7"/>
        <v>0</v>
      </c>
      <c r="W28" s="231"/>
      <c r="X28" s="230"/>
    </row>
    <row r="29" spans="1:24" ht="15" customHeight="1" x14ac:dyDescent="0.2">
      <c r="A29" s="227">
        <v>24</v>
      </c>
      <c r="B29" s="220">
        <f t="shared" si="0"/>
        <v>0</v>
      </c>
      <c r="C29" s="225">
        <v>0</v>
      </c>
      <c r="D29" s="226">
        <f t="shared" si="8"/>
        <v>0</v>
      </c>
      <c r="E29" s="287"/>
      <c r="F29" s="227">
        <v>24</v>
      </c>
      <c r="G29" s="220">
        <f t="shared" si="1"/>
        <v>0</v>
      </c>
      <c r="H29" s="225"/>
      <c r="I29" s="226">
        <f t="shared" si="12"/>
        <v>0</v>
      </c>
      <c r="J29" s="287"/>
      <c r="K29" s="227">
        <v>24</v>
      </c>
      <c r="L29" s="220">
        <f t="shared" si="3"/>
        <v>0</v>
      </c>
      <c r="M29" s="225"/>
      <c r="N29" s="226">
        <f t="shared" si="13"/>
        <v>0</v>
      </c>
      <c r="O29" s="219"/>
      <c r="P29" s="227">
        <v>24</v>
      </c>
      <c r="Q29" s="220">
        <f t="shared" si="5"/>
        <v>0</v>
      </c>
      <c r="R29" s="225"/>
      <c r="S29" s="226">
        <f t="shared" si="14"/>
        <v>0</v>
      </c>
      <c r="T29" s="217"/>
      <c r="U29" s="220">
        <v>24</v>
      </c>
      <c r="V29" s="105">
        <f t="shared" si="7"/>
        <v>0</v>
      </c>
      <c r="W29" s="231"/>
      <c r="X29" s="230"/>
    </row>
    <row r="30" spans="1:24" ht="15" customHeight="1" x14ac:dyDescent="0.2">
      <c r="A30" s="227">
        <v>25</v>
      </c>
      <c r="B30" s="220">
        <f t="shared" si="0"/>
        <v>0</v>
      </c>
      <c r="C30" s="232">
        <v>0</v>
      </c>
      <c r="D30" s="226">
        <f>C30-B30</f>
        <v>0</v>
      </c>
      <c r="E30" s="287"/>
      <c r="F30" s="227">
        <v>25</v>
      </c>
      <c r="G30" s="220">
        <f t="shared" si="1"/>
        <v>0</v>
      </c>
      <c r="H30" s="232"/>
      <c r="I30" s="226">
        <f>H30-G30</f>
        <v>0</v>
      </c>
      <c r="J30" s="287"/>
      <c r="K30" s="227">
        <v>25</v>
      </c>
      <c r="L30" s="220">
        <f t="shared" si="3"/>
        <v>0</v>
      </c>
      <c r="M30" s="232"/>
      <c r="N30" s="226">
        <f>M30-L30</f>
        <v>0</v>
      </c>
      <c r="O30" s="219"/>
      <c r="P30" s="227">
        <v>25</v>
      </c>
      <c r="Q30" s="220">
        <f t="shared" si="5"/>
        <v>0</v>
      </c>
      <c r="R30" s="232"/>
      <c r="S30" s="226">
        <f>R30-Q30</f>
        <v>0</v>
      </c>
      <c r="T30" s="217"/>
      <c r="U30" s="220">
        <v>25</v>
      </c>
      <c r="V30" s="105">
        <f t="shared" si="7"/>
        <v>0</v>
      </c>
      <c r="W30" s="231"/>
      <c r="X30" s="230"/>
    </row>
    <row r="31" spans="1:24" s="239" customFormat="1" ht="15" customHeight="1" x14ac:dyDescent="0.2">
      <c r="A31" s="227">
        <v>26</v>
      </c>
      <c r="B31" s="289">
        <f t="shared" si="0"/>
        <v>0</v>
      </c>
      <c r="C31" s="225">
        <v>0</v>
      </c>
      <c r="D31" s="290">
        <f t="shared" si="8"/>
        <v>0</v>
      </c>
      <c r="E31" s="291"/>
      <c r="F31" s="227">
        <v>26</v>
      </c>
      <c r="G31" s="289">
        <f t="shared" si="1"/>
        <v>0</v>
      </c>
      <c r="H31" s="225"/>
      <c r="I31" s="290">
        <f t="shared" ref="I31:I33" si="15">H31-G31</f>
        <v>0</v>
      </c>
      <c r="J31" s="291"/>
      <c r="K31" s="227">
        <v>26</v>
      </c>
      <c r="L31" s="289">
        <f t="shared" si="3"/>
        <v>0</v>
      </c>
      <c r="M31" s="225"/>
      <c r="N31" s="290">
        <f t="shared" ref="N31:N33" si="16">M31-L31</f>
        <v>0</v>
      </c>
      <c r="O31" s="292"/>
      <c r="P31" s="227">
        <v>26</v>
      </c>
      <c r="Q31" s="289">
        <f t="shared" si="5"/>
        <v>0</v>
      </c>
      <c r="R31" s="225"/>
      <c r="S31" s="290">
        <f t="shared" ref="S31:S33" si="17">R31-Q31</f>
        <v>0</v>
      </c>
      <c r="T31" s="293"/>
      <c r="U31" s="227">
        <v>26</v>
      </c>
      <c r="V31" s="294">
        <f t="shared" si="7"/>
        <v>0</v>
      </c>
      <c r="W31" s="231"/>
      <c r="X31" s="295"/>
    </row>
    <row r="32" spans="1:24" ht="15" customHeight="1" x14ac:dyDescent="0.2">
      <c r="A32" s="227">
        <v>27</v>
      </c>
      <c r="B32" s="220">
        <f t="shared" si="0"/>
        <v>0</v>
      </c>
      <c r="C32" s="225">
        <v>0</v>
      </c>
      <c r="D32" s="226">
        <f t="shared" si="8"/>
        <v>0</v>
      </c>
      <c r="E32" s="287"/>
      <c r="F32" s="227">
        <v>27</v>
      </c>
      <c r="G32" s="220">
        <f t="shared" si="1"/>
        <v>0</v>
      </c>
      <c r="H32" s="225"/>
      <c r="I32" s="226">
        <f t="shared" si="15"/>
        <v>0</v>
      </c>
      <c r="J32" s="287"/>
      <c r="K32" s="227">
        <v>27</v>
      </c>
      <c r="L32" s="220">
        <f t="shared" si="3"/>
        <v>0</v>
      </c>
      <c r="M32" s="225"/>
      <c r="N32" s="226">
        <f t="shared" si="16"/>
        <v>0</v>
      </c>
      <c r="O32" s="219"/>
      <c r="P32" s="227">
        <v>27</v>
      </c>
      <c r="Q32" s="220">
        <f t="shared" si="5"/>
        <v>0</v>
      </c>
      <c r="R32" s="225"/>
      <c r="S32" s="226">
        <f t="shared" si="17"/>
        <v>0</v>
      </c>
      <c r="T32" s="217"/>
      <c r="U32" s="220">
        <v>27</v>
      </c>
      <c r="V32" s="105">
        <f t="shared" si="7"/>
        <v>0</v>
      </c>
      <c r="W32" s="231"/>
      <c r="X32" s="230"/>
    </row>
    <row r="33" spans="1:26" ht="15" customHeight="1" x14ac:dyDescent="0.2">
      <c r="A33" s="227">
        <v>28</v>
      </c>
      <c r="B33" s="220">
        <f t="shared" si="0"/>
        <v>0</v>
      </c>
      <c r="C33" s="225">
        <v>0</v>
      </c>
      <c r="D33" s="226">
        <f t="shared" si="8"/>
        <v>0</v>
      </c>
      <c r="E33" s="287"/>
      <c r="F33" s="227">
        <v>28</v>
      </c>
      <c r="G33" s="220">
        <f t="shared" si="1"/>
        <v>0</v>
      </c>
      <c r="H33" s="225"/>
      <c r="I33" s="226">
        <f t="shared" si="15"/>
        <v>0</v>
      </c>
      <c r="J33" s="287"/>
      <c r="K33" s="227">
        <v>28</v>
      </c>
      <c r="L33" s="220">
        <f t="shared" si="3"/>
        <v>0</v>
      </c>
      <c r="M33" s="225"/>
      <c r="N33" s="226">
        <f t="shared" si="16"/>
        <v>0</v>
      </c>
      <c r="O33" s="219"/>
      <c r="P33" s="227">
        <v>28</v>
      </c>
      <c r="Q33" s="220">
        <f t="shared" si="5"/>
        <v>0</v>
      </c>
      <c r="R33" s="225"/>
      <c r="S33" s="226">
        <f t="shared" si="17"/>
        <v>0</v>
      </c>
      <c r="T33" s="217"/>
      <c r="U33" s="220">
        <v>28</v>
      </c>
      <c r="V33" s="105">
        <f t="shared" si="7"/>
        <v>0</v>
      </c>
      <c r="W33" s="231"/>
      <c r="X33" s="230"/>
    </row>
    <row r="34" spans="1:26" x14ac:dyDescent="0.2">
      <c r="A34" s="227">
        <v>29</v>
      </c>
      <c r="B34" s="220">
        <f t="shared" si="0"/>
        <v>0</v>
      </c>
      <c r="C34" s="225">
        <v>0</v>
      </c>
      <c r="D34" s="226">
        <f>C34-B34</f>
        <v>0</v>
      </c>
      <c r="E34" s="219"/>
      <c r="F34" s="227">
        <v>29</v>
      </c>
      <c r="G34" s="220">
        <f t="shared" si="1"/>
        <v>0</v>
      </c>
      <c r="H34" s="225"/>
      <c r="I34" s="226">
        <f>H34-G34</f>
        <v>0</v>
      </c>
      <c r="J34" s="219"/>
      <c r="K34" s="227">
        <v>29</v>
      </c>
      <c r="L34" s="220">
        <f t="shared" si="3"/>
        <v>0</v>
      </c>
      <c r="M34" s="225"/>
      <c r="N34" s="226">
        <f>M34-L34</f>
        <v>0</v>
      </c>
      <c r="O34" s="219"/>
      <c r="P34" s="227">
        <v>29</v>
      </c>
      <c r="Q34" s="220">
        <f t="shared" si="5"/>
        <v>0</v>
      </c>
      <c r="R34" s="225"/>
      <c r="S34" s="226">
        <f>R34-Q34</f>
        <v>0</v>
      </c>
      <c r="T34" s="217"/>
      <c r="U34" s="227">
        <v>29</v>
      </c>
      <c r="V34" s="105">
        <f t="shared" si="7"/>
        <v>0</v>
      </c>
      <c r="W34" s="231"/>
      <c r="X34" s="230"/>
      <c r="Z34" s="233">
        <f>SUM(W23:W32)</f>
        <v>160.19999999999999</v>
      </c>
    </row>
    <row r="35" spans="1:26" x14ac:dyDescent="0.2">
      <c r="A35" s="227">
        <v>30</v>
      </c>
      <c r="B35" s="220">
        <f>C34</f>
        <v>0</v>
      </c>
      <c r="C35" s="225">
        <v>0</v>
      </c>
      <c r="D35" s="226">
        <f>C35-B35</f>
        <v>0</v>
      </c>
      <c r="E35" s="219"/>
      <c r="F35" s="227">
        <v>30</v>
      </c>
      <c r="G35" s="220">
        <f>H34</f>
        <v>0</v>
      </c>
      <c r="H35" s="225"/>
      <c r="I35" s="226">
        <f>H35-G35</f>
        <v>0</v>
      </c>
      <c r="J35" s="219"/>
      <c r="K35" s="227">
        <v>30</v>
      </c>
      <c r="L35" s="220">
        <f>M34</f>
        <v>0</v>
      </c>
      <c r="M35" s="225"/>
      <c r="N35" s="226">
        <f>M35-L35</f>
        <v>0</v>
      </c>
      <c r="O35" s="219"/>
      <c r="P35" s="227">
        <v>30</v>
      </c>
      <c r="Q35" s="220">
        <f>R34</f>
        <v>0</v>
      </c>
      <c r="R35" s="225"/>
      <c r="S35" s="226">
        <f>R35-Q35</f>
        <v>0</v>
      </c>
      <c r="T35" s="217"/>
      <c r="U35" s="220">
        <v>30</v>
      </c>
      <c r="V35" s="105">
        <f t="shared" si="7"/>
        <v>0</v>
      </c>
      <c r="W35" s="231"/>
      <c r="X35" s="230"/>
      <c r="Z35" s="204">
        <f>Z34/11</f>
        <v>14.563636363636363</v>
      </c>
    </row>
    <row r="36" spans="1:26" x14ac:dyDescent="0.2">
      <c r="A36" s="227">
        <v>31</v>
      </c>
      <c r="B36" s="220">
        <f>C35</f>
        <v>0</v>
      </c>
      <c r="C36" s="225">
        <v>0</v>
      </c>
      <c r="D36" s="226">
        <f>C36-B36</f>
        <v>0</v>
      </c>
      <c r="E36" s="219"/>
      <c r="F36" s="227">
        <v>31</v>
      </c>
      <c r="G36" s="220">
        <f>H35</f>
        <v>0</v>
      </c>
      <c r="H36" s="225"/>
      <c r="I36" s="226">
        <f>H36-G36</f>
        <v>0</v>
      </c>
      <c r="J36" s="219"/>
      <c r="K36" s="227">
        <v>31</v>
      </c>
      <c r="L36" s="220">
        <f>M35</f>
        <v>0</v>
      </c>
      <c r="M36" s="225"/>
      <c r="N36" s="226">
        <f>M36-L36</f>
        <v>0</v>
      </c>
      <c r="O36" s="219"/>
      <c r="P36" s="227">
        <v>31</v>
      </c>
      <c r="Q36" s="220">
        <f>R35</f>
        <v>0</v>
      </c>
      <c r="R36" s="225"/>
      <c r="S36" s="226">
        <f>R36-Q36</f>
        <v>0</v>
      </c>
      <c r="T36" s="234"/>
      <c r="U36" s="220">
        <v>31</v>
      </c>
      <c r="V36" s="105">
        <f t="shared" si="7"/>
        <v>0</v>
      </c>
      <c r="W36" s="231"/>
      <c r="X36" s="230"/>
    </row>
    <row r="37" spans="1:26" ht="13.5" thickBot="1" x14ac:dyDescent="0.25">
      <c r="A37" s="235" t="s">
        <v>7</v>
      </c>
      <c r="D37" s="236">
        <f>SUM(D6:D36)</f>
        <v>40</v>
      </c>
      <c r="E37" s="237"/>
      <c r="F37" s="235" t="s">
        <v>7</v>
      </c>
      <c r="I37" s="236">
        <f>SUM(I6:I36)</f>
        <v>-2540</v>
      </c>
      <c r="J37" s="237"/>
      <c r="K37" s="235" t="s">
        <v>7</v>
      </c>
      <c r="N37" s="236">
        <f>SUM(N6:N36)</f>
        <v>-715673</v>
      </c>
      <c r="O37" s="237"/>
      <c r="P37" s="235" t="s">
        <v>7</v>
      </c>
      <c r="S37" s="236">
        <f>SUM(S6:S36)</f>
        <v>-194426</v>
      </c>
      <c r="T37" s="237"/>
      <c r="W37" s="288">
        <f>SUM(W6:W36)</f>
        <v>1289.7199999999996</v>
      </c>
    </row>
    <row r="38" spans="1:26" ht="13.5" thickTop="1" x14ac:dyDescent="0.2">
      <c r="W38" s="239">
        <f>W37/31</f>
        <v>41.603870967741919</v>
      </c>
    </row>
  </sheetData>
  <mergeCells count="7">
    <mergeCell ref="A1:X2"/>
    <mergeCell ref="A3:B3"/>
    <mergeCell ref="A4:D4"/>
    <mergeCell ref="F4:I4"/>
    <mergeCell ref="K4:N4"/>
    <mergeCell ref="P4:S4"/>
    <mergeCell ref="U4:X4"/>
  </mergeCells>
  <conditionalFormatting sqref="V15:V22">
    <cfRule type="cellIs" dxfId="1" priority="2" operator="greaterThan">
      <formula>380</formula>
    </cfRule>
  </conditionalFormatting>
  <conditionalFormatting sqref="V22:V36">
    <cfRule type="cellIs" dxfId="0" priority="1" operator="greaterThan">
      <formula>380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0" zoomScale="90" zoomScaleNormal="90" workbookViewId="0">
      <selection activeCell="D27" sqref="D27"/>
    </sheetView>
  </sheetViews>
  <sheetFormatPr defaultRowHeight="12.75" x14ac:dyDescent="0.2"/>
  <cols>
    <col min="1" max="1" width="7" style="260" customWidth="1"/>
    <col min="2" max="2" width="17.7109375" style="235" customWidth="1"/>
    <col min="3" max="3" width="15.7109375" style="235" customWidth="1"/>
    <col min="4" max="5" width="16.140625" style="235" customWidth="1"/>
    <col min="6" max="6" width="16.140625" style="261" customWidth="1"/>
    <col min="7" max="7" width="14.5703125" style="261" customWidth="1"/>
    <col min="8" max="8" width="13" style="204" customWidth="1"/>
    <col min="9" max="16384" width="9.140625" style="204"/>
  </cols>
  <sheetData>
    <row r="1" spans="1:20" s="205" customFormat="1" x14ac:dyDescent="0.2">
      <c r="A1" s="337"/>
      <c r="B1" s="337"/>
      <c r="C1" s="241"/>
      <c r="D1" s="241"/>
      <c r="E1" s="241"/>
      <c r="F1" s="242"/>
      <c r="G1" s="242"/>
    </row>
    <row r="2" spans="1:20" ht="24.75" customHeight="1" x14ac:dyDescent="0.2">
      <c r="A2" s="338" t="s">
        <v>36</v>
      </c>
      <c r="B2" s="338"/>
      <c r="C2" s="338"/>
      <c r="D2" s="338"/>
      <c r="E2" s="338"/>
      <c r="F2" s="338"/>
      <c r="G2" s="338"/>
      <c r="H2" s="338"/>
    </row>
    <row r="3" spans="1:20" ht="26.25" customHeight="1" x14ac:dyDescent="0.2">
      <c r="A3" s="243" t="s">
        <v>147</v>
      </c>
      <c r="B3" s="244">
        <v>44228</v>
      </c>
      <c r="C3" s="245"/>
      <c r="D3" s="243"/>
      <c r="E3" s="243"/>
      <c r="F3" s="243"/>
      <c r="G3" s="246"/>
      <c r="H3" s="247"/>
    </row>
    <row r="4" spans="1:20" ht="42" customHeight="1" x14ac:dyDescent="0.2">
      <c r="A4" s="248" t="s">
        <v>5</v>
      </c>
      <c r="B4" s="249" t="s">
        <v>148</v>
      </c>
      <c r="C4" s="249" t="s">
        <v>149</v>
      </c>
      <c r="D4" s="249" t="s">
        <v>150</v>
      </c>
      <c r="E4" s="249" t="s">
        <v>151</v>
      </c>
      <c r="F4" s="250" t="s">
        <v>7</v>
      </c>
      <c r="G4" s="251" t="s">
        <v>37</v>
      </c>
      <c r="H4" s="251" t="s">
        <v>152</v>
      </c>
    </row>
    <row r="5" spans="1:20" ht="24" customHeight="1" x14ac:dyDescent="0.2">
      <c r="A5" s="339">
        <v>44227</v>
      </c>
      <c r="B5" s="340"/>
      <c r="C5" s="340"/>
      <c r="D5" s="340"/>
      <c r="E5" s="340"/>
      <c r="F5" s="341"/>
      <c r="G5" s="252">
        <v>180</v>
      </c>
      <c r="H5" s="252"/>
    </row>
    <row r="6" spans="1:20" ht="21.75" customHeight="1" x14ac:dyDescent="0.2">
      <c r="A6" s="253">
        <v>1</v>
      </c>
      <c r="B6" s="227">
        <v>2</v>
      </c>
      <c r="C6" s="227">
        <v>1</v>
      </c>
      <c r="D6" s="227">
        <v>1</v>
      </c>
      <c r="E6" s="166">
        <v>5</v>
      </c>
      <c r="F6" s="254">
        <f>SUM(B6:E6)</f>
        <v>9</v>
      </c>
      <c r="G6" s="255">
        <f>F6*45</f>
        <v>405</v>
      </c>
      <c r="H6" s="256">
        <f>WATER!W6/31</f>
        <v>1.66</v>
      </c>
    </row>
    <row r="7" spans="1:20" ht="21.75" customHeight="1" x14ac:dyDescent="0.2">
      <c r="A7" s="253">
        <v>2</v>
      </c>
      <c r="B7" s="224">
        <v>1</v>
      </c>
      <c r="C7" s="224">
        <v>0</v>
      </c>
      <c r="D7" s="224">
        <v>1</v>
      </c>
      <c r="E7" s="166">
        <v>0</v>
      </c>
      <c r="F7" s="254">
        <f t="shared" ref="F7:F36" si="0">SUM(B7:E7)</f>
        <v>2</v>
      </c>
      <c r="G7" s="255">
        <f t="shared" ref="G7:G36" si="1">F7*45</f>
        <v>90</v>
      </c>
      <c r="H7" s="256">
        <f>WATER!W7</f>
        <v>54.37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1:20" ht="21.75" customHeight="1" x14ac:dyDescent="0.2">
      <c r="A8" s="253">
        <v>3</v>
      </c>
      <c r="B8" s="224">
        <v>2</v>
      </c>
      <c r="C8" s="224">
        <v>1</v>
      </c>
      <c r="D8" s="224">
        <v>1</v>
      </c>
      <c r="E8" s="166">
        <v>5</v>
      </c>
      <c r="F8" s="254">
        <f t="shared" si="0"/>
        <v>9</v>
      </c>
      <c r="G8" s="255">
        <f t="shared" si="1"/>
        <v>405</v>
      </c>
      <c r="H8" s="256">
        <f>WATER!W8</f>
        <v>58.25</v>
      </c>
    </row>
    <row r="9" spans="1:20" ht="21.75" customHeight="1" x14ac:dyDescent="0.2">
      <c r="A9" s="253">
        <v>4</v>
      </c>
      <c r="B9" s="224">
        <v>2</v>
      </c>
      <c r="C9" s="227">
        <v>1</v>
      </c>
      <c r="D9" s="224">
        <v>1</v>
      </c>
      <c r="E9" s="166">
        <v>0</v>
      </c>
      <c r="F9" s="254">
        <f t="shared" si="0"/>
        <v>4</v>
      </c>
      <c r="G9" s="255">
        <f t="shared" si="1"/>
        <v>180</v>
      </c>
      <c r="H9" s="256">
        <f>WATER!W9</f>
        <v>58.25</v>
      </c>
    </row>
    <row r="10" spans="1:20" ht="21.75" customHeight="1" x14ac:dyDescent="0.2">
      <c r="A10" s="253">
        <v>5</v>
      </c>
      <c r="B10" s="224">
        <v>2</v>
      </c>
      <c r="C10" s="224">
        <v>1</v>
      </c>
      <c r="D10" s="224">
        <v>1</v>
      </c>
      <c r="E10" s="166">
        <v>5</v>
      </c>
      <c r="F10" s="254">
        <f t="shared" si="0"/>
        <v>9</v>
      </c>
      <c r="G10" s="255">
        <f t="shared" si="1"/>
        <v>405</v>
      </c>
      <c r="H10" s="256">
        <f>WATER!W10</f>
        <v>58.25</v>
      </c>
    </row>
    <row r="11" spans="1:20" ht="21.75" customHeight="1" x14ac:dyDescent="0.2">
      <c r="A11" s="253">
        <v>6</v>
      </c>
      <c r="B11" s="224">
        <v>1</v>
      </c>
      <c r="C11" s="224">
        <v>0</v>
      </c>
      <c r="D11" s="224">
        <v>1</v>
      </c>
      <c r="E11" s="166">
        <v>0</v>
      </c>
      <c r="F11" s="254">
        <f t="shared" si="0"/>
        <v>2</v>
      </c>
      <c r="G11" s="255">
        <f t="shared" si="1"/>
        <v>90</v>
      </c>
      <c r="H11" s="256">
        <f>WATER!W11</f>
        <v>58.25</v>
      </c>
    </row>
    <row r="12" spans="1:20" ht="21.75" customHeight="1" x14ac:dyDescent="0.2">
      <c r="A12" s="253">
        <v>7</v>
      </c>
      <c r="B12" s="224">
        <v>2</v>
      </c>
      <c r="C12" s="227">
        <v>1</v>
      </c>
      <c r="D12" s="224">
        <v>1</v>
      </c>
      <c r="E12" s="166">
        <v>2</v>
      </c>
      <c r="F12" s="254">
        <f t="shared" si="0"/>
        <v>6</v>
      </c>
      <c r="G12" s="255">
        <f t="shared" si="1"/>
        <v>270</v>
      </c>
      <c r="H12" s="256">
        <f>WATER!W12</f>
        <v>59.22</v>
      </c>
    </row>
    <row r="13" spans="1:20" ht="21.75" customHeight="1" x14ac:dyDescent="0.2">
      <c r="A13" s="253">
        <v>8</v>
      </c>
      <c r="B13" s="224">
        <v>2</v>
      </c>
      <c r="C13" s="224">
        <v>1</v>
      </c>
      <c r="D13" s="224">
        <v>1</v>
      </c>
      <c r="E13" s="166">
        <v>3</v>
      </c>
      <c r="F13" s="254">
        <f t="shared" si="0"/>
        <v>7</v>
      </c>
      <c r="G13" s="255">
        <f t="shared" si="1"/>
        <v>315</v>
      </c>
      <c r="H13" s="256">
        <f>WATER!W13</f>
        <v>66.7</v>
      </c>
    </row>
    <row r="14" spans="1:20" ht="21.75" customHeight="1" x14ac:dyDescent="0.2">
      <c r="A14" s="253">
        <v>9</v>
      </c>
      <c r="B14" s="224">
        <v>2</v>
      </c>
      <c r="C14" s="224">
        <v>0</v>
      </c>
      <c r="D14" s="224">
        <v>1</v>
      </c>
      <c r="E14" s="166">
        <v>0</v>
      </c>
      <c r="F14" s="254">
        <f t="shared" si="0"/>
        <v>3</v>
      </c>
      <c r="G14" s="255">
        <f t="shared" si="1"/>
        <v>135</v>
      </c>
      <c r="H14" s="256">
        <f>WATER!W14</f>
        <v>63.11</v>
      </c>
    </row>
    <row r="15" spans="1:20" ht="21.75" customHeight="1" x14ac:dyDescent="0.2">
      <c r="A15" s="253">
        <v>10</v>
      </c>
      <c r="B15" s="227">
        <v>2</v>
      </c>
      <c r="C15" s="227">
        <v>1</v>
      </c>
      <c r="D15" s="227">
        <v>1</v>
      </c>
      <c r="E15" s="166">
        <v>5</v>
      </c>
      <c r="F15" s="254">
        <f t="shared" si="0"/>
        <v>9</v>
      </c>
      <c r="G15" s="255">
        <f t="shared" si="1"/>
        <v>405</v>
      </c>
      <c r="H15" s="256">
        <f>WATER!W15</f>
        <v>62.14</v>
      </c>
    </row>
    <row r="16" spans="1:20" ht="21.75" customHeight="1" x14ac:dyDescent="0.2">
      <c r="A16" s="253">
        <v>11</v>
      </c>
      <c r="B16" s="224">
        <v>2</v>
      </c>
      <c r="C16" s="224">
        <v>1</v>
      </c>
      <c r="D16" s="224">
        <v>1</v>
      </c>
      <c r="E16" s="166">
        <v>0</v>
      </c>
      <c r="F16" s="254">
        <f t="shared" si="0"/>
        <v>4</v>
      </c>
      <c r="G16" s="255">
        <f t="shared" si="1"/>
        <v>180</v>
      </c>
      <c r="H16" s="256">
        <f>WATER!W16</f>
        <v>70.87</v>
      </c>
    </row>
    <row r="17" spans="1:8" ht="21.75" customHeight="1" x14ac:dyDescent="0.2">
      <c r="A17" s="253">
        <v>12</v>
      </c>
      <c r="B17" s="224">
        <v>2</v>
      </c>
      <c r="C17" s="224">
        <v>2</v>
      </c>
      <c r="D17" s="224">
        <v>1</v>
      </c>
      <c r="E17" s="166">
        <v>5</v>
      </c>
      <c r="F17" s="254">
        <f t="shared" si="0"/>
        <v>10</v>
      </c>
      <c r="G17" s="255">
        <f t="shared" si="1"/>
        <v>450</v>
      </c>
      <c r="H17" s="256">
        <f>WATER!W17</f>
        <v>76.7</v>
      </c>
    </row>
    <row r="18" spans="1:8" ht="21.75" customHeight="1" x14ac:dyDescent="0.2">
      <c r="A18" s="253">
        <v>13</v>
      </c>
      <c r="B18" s="224">
        <v>0</v>
      </c>
      <c r="C18" s="227">
        <v>0</v>
      </c>
      <c r="D18" s="224">
        <v>1</v>
      </c>
      <c r="E18" s="166">
        <v>0</v>
      </c>
      <c r="F18" s="254">
        <f t="shared" si="0"/>
        <v>1</v>
      </c>
      <c r="G18" s="255">
        <f t="shared" si="1"/>
        <v>45</v>
      </c>
      <c r="H18" s="256">
        <f>WATER!W18</f>
        <v>59.9</v>
      </c>
    </row>
    <row r="19" spans="1:8" ht="21.75" customHeight="1" x14ac:dyDescent="0.2">
      <c r="A19" s="253">
        <v>14</v>
      </c>
      <c r="B19" s="224">
        <v>1</v>
      </c>
      <c r="C19" s="224">
        <v>2</v>
      </c>
      <c r="D19" s="224">
        <v>1</v>
      </c>
      <c r="E19" s="166">
        <v>5</v>
      </c>
      <c r="F19" s="254">
        <f t="shared" si="0"/>
        <v>9</v>
      </c>
      <c r="G19" s="255">
        <f t="shared" si="1"/>
        <v>405</v>
      </c>
      <c r="H19" s="256">
        <f>WATER!W19</f>
        <v>77.67</v>
      </c>
    </row>
    <row r="20" spans="1:8" ht="21.75" customHeight="1" x14ac:dyDescent="0.2">
      <c r="A20" s="253">
        <v>15</v>
      </c>
      <c r="B20" s="224">
        <v>0</v>
      </c>
      <c r="C20" s="224">
        <v>0</v>
      </c>
      <c r="D20" s="224">
        <v>1</v>
      </c>
      <c r="E20" s="166">
        <v>0</v>
      </c>
      <c r="F20" s="254">
        <f t="shared" si="0"/>
        <v>1</v>
      </c>
      <c r="G20" s="255">
        <f t="shared" si="1"/>
        <v>45</v>
      </c>
      <c r="H20" s="256">
        <f>WATER!W20</f>
        <v>91.26</v>
      </c>
    </row>
    <row r="21" spans="1:8" ht="21.75" customHeight="1" x14ac:dyDescent="0.2">
      <c r="A21" s="253">
        <v>16</v>
      </c>
      <c r="B21" s="224">
        <v>1</v>
      </c>
      <c r="C21" s="227">
        <v>2</v>
      </c>
      <c r="D21" s="224">
        <v>1</v>
      </c>
      <c r="E21" s="166">
        <v>0</v>
      </c>
      <c r="F21" s="254">
        <f t="shared" si="0"/>
        <v>4</v>
      </c>
      <c r="G21" s="255">
        <f t="shared" si="1"/>
        <v>180</v>
      </c>
      <c r="H21" s="256">
        <f>WATER!W21</f>
        <v>82.52</v>
      </c>
    </row>
    <row r="22" spans="1:8" ht="21.75" customHeight="1" x14ac:dyDescent="0.2">
      <c r="A22" s="253">
        <v>17</v>
      </c>
      <c r="B22" s="224">
        <v>2</v>
      </c>
      <c r="C22" s="224">
        <v>2</v>
      </c>
      <c r="D22" s="224">
        <v>0</v>
      </c>
      <c r="E22" s="166">
        <v>5</v>
      </c>
      <c r="F22" s="254">
        <f t="shared" si="0"/>
        <v>9</v>
      </c>
      <c r="G22" s="255">
        <f t="shared" si="1"/>
        <v>405</v>
      </c>
      <c r="H22" s="256">
        <f>WATER!W22</f>
        <v>80.599999999999994</v>
      </c>
    </row>
    <row r="23" spans="1:8" ht="21.75" customHeight="1" x14ac:dyDescent="0.2">
      <c r="A23" s="253">
        <v>18</v>
      </c>
      <c r="B23" s="224">
        <v>0</v>
      </c>
      <c r="C23" s="224">
        <v>1</v>
      </c>
      <c r="D23" s="224">
        <v>0</v>
      </c>
      <c r="E23" s="166">
        <v>0</v>
      </c>
      <c r="F23" s="254">
        <f t="shared" si="0"/>
        <v>1</v>
      </c>
      <c r="G23" s="255">
        <f t="shared" si="1"/>
        <v>45</v>
      </c>
      <c r="H23" s="256">
        <f>WATER!W23</f>
        <v>79.599999999999994</v>
      </c>
    </row>
    <row r="24" spans="1:8" ht="21.75" customHeight="1" x14ac:dyDescent="0.2">
      <c r="A24" s="253">
        <v>19</v>
      </c>
      <c r="B24" s="224">
        <v>2</v>
      </c>
      <c r="C24" s="227"/>
      <c r="D24" s="224"/>
      <c r="E24" s="166">
        <v>5</v>
      </c>
      <c r="F24" s="254">
        <f t="shared" si="0"/>
        <v>7</v>
      </c>
      <c r="G24" s="255">
        <f t="shared" si="1"/>
        <v>315</v>
      </c>
      <c r="H24" s="256">
        <f>WATER!W24</f>
        <v>80.599999999999994</v>
      </c>
    </row>
    <row r="25" spans="1:8" ht="21.75" customHeight="1" x14ac:dyDescent="0.2">
      <c r="A25" s="253">
        <v>20</v>
      </c>
      <c r="B25" s="224"/>
      <c r="C25" s="224"/>
      <c r="D25" s="224"/>
      <c r="E25" s="166">
        <v>5</v>
      </c>
      <c r="F25" s="254">
        <f t="shared" si="0"/>
        <v>5</v>
      </c>
      <c r="G25" s="255">
        <f t="shared" si="1"/>
        <v>225</v>
      </c>
      <c r="H25" s="256">
        <f>WATER!W25</f>
        <v>0</v>
      </c>
    </row>
    <row r="26" spans="1:8" ht="21.75" customHeight="1" x14ac:dyDescent="0.2">
      <c r="A26" s="253">
        <v>21</v>
      </c>
      <c r="B26" s="224"/>
      <c r="C26" s="224"/>
      <c r="D26" s="224"/>
      <c r="E26" s="166"/>
      <c r="F26" s="254">
        <f t="shared" si="0"/>
        <v>0</v>
      </c>
      <c r="G26" s="255">
        <f t="shared" si="1"/>
        <v>0</v>
      </c>
      <c r="H26" s="256">
        <f>WATER!W26</f>
        <v>0</v>
      </c>
    </row>
    <row r="27" spans="1:8" ht="21.75" customHeight="1" x14ac:dyDescent="0.2">
      <c r="A27" s="253">
        <v>22</v>
      </c>
      <c r="B27" s="224"/>
      <c r="C27" s="227"/>
      <c r="D27" s="224"/>
      <c r="E27" s="166"/>
      <c r="F27" s="254">
        <f t="shared" si="0"/>
        <v>0</v>
      </c>
      <c r="G27" s="255">
        <f t="shared" si="1"/>
        <v>0</v>
      </c>
      <c r="H27" s="256">
        <f>WATER!W27</f>
        <v>0</v>
      </c>
    </row>
    <row r="28" spans="1:8" ht="21.75" customHeight="1" x14ac:dyDescent="0.2">
      <c r="A28" s="253">
        <v>23</v>
      </c>
      <c r="B28" s="224"/>
      <c r="C28" s="224"/>
      <c r="D28" s="224"/>
      <c r="E28" s="166"/>
      <c r="F28" s="254">
        <f t="shared" si="0"/>
        <v>0</v>
      </c>
      <c r="G28" s="255">
        <f t="shared" si="1"/>
        <v>0</v>
      </c>
      <c r="H28" s="256">
        <f>WATER!W28</f>
        <v>0</v>
      </c>
    </row>
    <row r="29" spans="1:8" ht="21.75" customHeight="1" x14ac:dyDescent="0.2">
      <c r="A29" s="253">
        <v>24</v>
      </c>
      <c r="B29" s="224"/>
      <c r="C29" s="224"/>
      <c r="D29" s="224"/>
      <c r="E29" s="166"/>
      <c r="F29" s="254">
        <f t="shared" si="0"/>
        <v>0</v>
      </c>
      <c r="G29" s="255">
        <f t="shared" si="1"/>
        <v>0</v>
      </c>
      <c r="H29" s="256">
        <f>WATER!W29</f>
        <v>0</v>
      </c>
    </row>
    <row r="30" spans="1:8" ht="21.75" customHeight="1" x14ac:dyDescent="0.2">
      <c r="A30" s="253">
        <v>25</v>
      </c>
      <c r="B30" s="224"/>
      <c r="C30" s="227"/>
      <c r="D30" s="224"/>
      <c r="E30" s="166"/>
      <c r="F30" s="254">
        <f t="shared" si="0"/>
        <v>0</v>
      </c>
      <c r="G30" s="255">
        <f t="shared" si="1"/>
        <v>0</v>
      </c>
      <c r="H30" s="256">
        <f>WATER!W30</f>
        <v>0</v>
      </c>
    </row>
    <row r="31" spans="1:8" ht="21.75" customHeight="1" x14ac:dyDescent="0.2">
      <c r="A31" s="253">
        <v>26</v>
      </c>
      <c r="B31" s="224"/>
      <c r="C31" s="224"/>
      <c r="D31" s="224"/>
      <c r="E31" s="166"/>
      <c r="F31" s="254">
        <f t="shared" si="0"/>
        <v>0</v>
      </c>
      <c r="G31" s="255">
        <f t="shared" si="1"/>
        <v>0</v>
      </c>
      <c r="H31" s="256">
        <f>WATER!W31</f>
        <v>0</v>
      </c>
    </row>
    <row r="32" spans="1:8" ht="21.75" customHeight="1" x14ac:dyDescent="0.2">
      <c r="A32" s="253">
        <v>27</v>
      </c>
      <c r="B32" s="224"/>
      <c r="C32" s="224"/>
      <c r="D32" s="224"/>
      <c r="E32" s="166"/>
      <c r="F32" s="254">
        <f t="shared" si="0"/>
        <v>0</v>
      </c>
      <c r="G32" s="255">
        <f t="shared" si="1"/>
        <v>0</v>
      </c>
      <c r="H32" s="256">
        <f>WATER!W32</f>
        <v>0</v>
      </c>
    </row>
    <row r="33" spans="1:8" ht="21.75" customHeight="1" x14ac:dyDescent="0.2">
      <c r="A33" s="253">
        <v>28</v>
      </c>
      <c r="B33" s="224"/>
      <c r="C33" s="227"/>
      <c r="D33" s="224"/>
      <c r="E33" s="166"/>
      <c r="F33" s="254">
        <f t="shared" si="0"/>
        <v>0</v>
      </c>
      <c r="G33" s="255">
        <f t="shared" si="1"/>
        <v>0</v>
      </c>
      <c r="H33" s="256">
        <f>WATER!W33</f>
        <v>0</v>
      </c>
    </row>
    <row r="34" spans="1:8" ht="21.75" customHeight="1" x14ac:dyDescent="0.2">
      <c r="A34" s="253">
        <v>29</v>
      </c>
      <c r="B34" s="224"/>
      <c r="C34" s="224"/>
      <c r="D34" s="224"/>
      <c r="E34" s="166"/>
      <c r="F34" s="254">
        <f t="shared" si="0"/>
        <v>0</v>
      </c>
      <c r="G34" s="255">
        <f t="shared" si="1"/>
        <v>0</v>
      </c>
      <c r="H34" s="256">
        <f>WATER!W34</f>
        <v>0</v>
      </c>
    </row>
    <row r="35" spans="1:8" ht="21.75" customHeight="1" x14ac:dyDescent="0.2">
      <c r="A35" s="253">
        <v>30</v>
      </c>
      <c r="B35" s="224"/>
      <c r="C35" s="224"/>
      <c r="D35" s="224"/>
      <c r="E35" s="166"/>
      <c r="F35" s="254">
        <f t="shared" si="0"/>
        <v>0</v>
      </c>
      <c r="G35" s="255">
        <f t="shared" si="1"/>
        <v>0</v>
      </c>
      <c r="H35" s="256">
        <f>WATER!W35</f>
        <v>0</v>
      </c>
    </row>
    <row r="36" spans="1:8" ht="21.75" customHeight="1" x14ac:dyDescent="0.2">
      <c r="A36" s="253">
        <v>31</v>
      </c>
      <c r="B36" s="224"/>
      <c r="C36" s="224"/>
      <c r="D36" s="224"/>
      <c r="E36" s="166"/>
      <c r="F36" s="254">
        <f t="shared" si="0"/>
        <v>0</v>
      </c>
      <c r="G36" s="255">
        <f t="shared" si="1"/>
        <v>0</v>
      </c>
      <c r="H36" s="256">
        <f>WATER!W36</f>
        <v>0</v>
      </c>
    </row>
    <row r="37" spans="1:8" ht="21" customHeight="1" x14ac:dyDescent="0.2">
      <c r="A37" s="257" t="s">
        <v>7</v>
      </c>
      <c r="B37" s="257"/>
      <c r="C37" s="257"/>
      <c r="D37" s="258"/>
      <c r="E37" s="258">
        <f>SUM(E6:E36)</f>
        <v>50</v>
      </c>
      <c r="F37" s="259">
        <f>SUM(F6:F36)</f>
        <v>111</v>
      </c>
      <c r="G37" s="255">
        <f>SUM(G6:G36)</f>
        <v>4995</v>
      </c>
      <c r="H37" s="256">
        <f>SUM(H6:H36)/30</f>
        <v>41.330666666666659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topLeftCell="A7"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43">
        <v>44197</v>
      </c>
      <c r="C1" s="343"/>
      <c r="D1" s="343"/>
      <c r="E1" s="343"/>
      <c r="F1" s="343"/>
      <c r="G1" s="343"/>
      <c r="H1" s="343"/>
    </row>
    <row r="2" spans="2:14" ht="15.75" customHeight="1" x14ac:dyDescent="0.2">
      <c r="B2" s="343"/>
      <c r="C2" s="343"/>
      <c r="D2" s="343"/>
      <c r="E2" s="343"/>
      <c r="F2" s="343"/>
      <c r="G2" s="343"/>
      <c r="H2" s="343"/>
    </row>
    <row r="3" spans="2:14" ht="28.5" customHeight="1" x14ac:dyDescent="0.2">
      <c r="B3" s="344" t="s">
        <v>103</v>
      </c>
      <c r="C3" s="344"/>
      <c r="D3" s="344"/>
      <c r="E3" s="344"/>
      <c r="F3" s="344"/>
      <c r="G3" s="344"/>
      <c r="H3" s="344"/>
    </row>
    <row r="4" spans="2:14" x14ac:dyDescent="0.2">
      <c r="B4" s="162" t="s">
        <v>42</v>
      </c>
      <c r="C4" s="162" t="s">
        <v>98</v>
      </c>
      <c r="D4" s="162" t="s">
        <v>99</v>
      </c>
      <c r="E4" s="162" t="s">
        <v>100</v>
      </c>
      <c r="F4" s="162" t="s">
        <v>101</v>
      </c>
      <c r="G4" s="162" t="s">
        <v>102</v>
      </c>
      <c r="H4" s="162" t="s">
        <v>7</v>
      </c>
    </row>
    <row r="5" spans="2:14" x14ac:dyDescent="0.2">
      <c r="B5" s="160">
        <v>1</v>
      </c>
      <c r="C5" s="161">
        <f>'GENSET #1'!D10</f>
        <v>2953</v>
      </c>
      <c r="D5" s="161">
        <f>'GENSET #2'!D10</f>
        <v>7015</v>
      </c>
      <c r="E5" s="161">
        <f>'GENSET #3'!D10</f>
        <v>7640</v>
      </c>
      <c r="F5" s="161">
        <f>'GENSET #4'!D10</f>
        <v>2308</v>
      </c>
      <c r="G5" s="161">
        <f>'GENSET #5'!D10</f>
        <v>7263</v>
      </c>
      <c r="H5" s="165">
        <f>SUM(C5:G5)</f>
        <v>27179</v>
      </c>
    </row>
    <row r="6" spans="2:14" x14ac:dyDescent="0.2">
      <c r="B6" s="155">
        <v>2</v>
      </c>
      <c r="C6" s="18">
        <f>'GENSET #1'!D11</f>
        <v>0</v>
      </c>
      <c r="D6" s="18">
        <f>'GENSET #2'!D11</f>
        <v>13677</v>
      </c>
      <c r="E6" s="18">
        <f>'GENSET #3'!D11</f>
        <v>8492</v>
      </c>
      <c r="F6" s="18">
        <f>'GENSET #4'!D11</f>
        <v>1277</v>
      </c>
      <c r="G6" s="18">
        <f>'GENSET #5'!D11</f>
        <v>3606</v>
      </c>
      <c r="H6" s="165">
        <f>SUM(C6:G6)</f>
        <v>27052</v>
      </c>
    </row>
    <row r="7" spans="2:14" x14ac:dyDescent="0.2">
      <c r="B7" s="160">
        <v>3</v>
      </c>
      <c r="C7" s="161">
        <f>'GENSET #1'!D12</f>
        <v>2403</v>
      </c>
      <c r="D7" s="161">
        <f>'GENSET #2'!D12</f>
        <v>11764</v>
      </c>
      <c r="E7" s="161">
        <f>'GENSET #3'!D12</f>
        <v>7245</v>
      </c>
      <c r="F7" s="161">
        <f>'GENSET #4'!D12</f>
        <v>2110</v>
      </c>
      <c r="G7" s="161">
        <f>'GENSET #5'!D12</f>
        <v>4322</v>
      </c>
      <c r="H7" s="165">
        <f t="shared" ref="H7:H35" si="0">SUM(C7:G7)</f>
        <v>27844</v>
      </c>
    </row>
    <row r="8" spans="2:14" x14ac:dyDescent="0.2">
      <c r="B8" s="155">
        <v>4</v>
      </c>
      <c r="C8" s="18">
        <f>'GENSET #1'!D13</f>
        <v>4424</v>
      </c>
      <c r="D8" s="18">
        <f>'GENSET #2'!D13</f>
        <v>0</v>
      </c>
      <c r="E8" s="18">
        <f>'GENSET #3'!D13</f>
        <v>11001</v>
      </c>
      <c r="F8" s="18">
        <f>'GENSET #4'!D13</f>
        <v>4512</v>
      </c>
      <c r="G8" s="18">
        <f>'GENSET #5'!D13</f>
        <v>8598</v>
      </c>
      <c r="H8" s="165">
        <f t="shared" si="0"/>
        <v>28535</v>
      </c>
    </row>
    <row r="9" spans="2:14" x14ac:dyDescent="0.2">
      <c r="B9" s="160">
        <v>5</v>
      </c>
      <c r="C9" s="161">
        <f>'GENSET #1'!D14</f>
        <v>4200</v>
      </c>
      <c r="D9" s="161">
        <f>'GENSET #2'!D14</f>
        <v>11846</v>
      </c>
      <c r="E9" s="161">
        <f>'GENSET #3'!D14</f>
        <v>3822</v>
      </c>
      <c r="F9" s="161">
        <f>'GENSET #4'!D14</f>
        <v>3113</v>
      </c>
      <c r="G9" s="161">
        <f>'GENSET #5'!D14</f>
        <v>4085</v>
      </c>
      <c r="H9" s="165">
        <f t="shared" si="0"/>
        <v>27066</v>
      </c>
    </row>
    <row r="10" spans="2:14" x14ac:dyDescent="0.2">
      <c r="B10" s="155">
        <v>6</v>
      </c>
      <c r="C10" s="18">
        <f>'GENSET #1'!D15</f>
        <v>1831</v>
      </c>
      <c r="D10" s="18">
        <f>'GENSET #2'!D15</f>
        <v>11000</v>
      </c>
      <c r="E10" s="18">
        <f>'GENSET #3'!D15</f>
        <v>6236</v>
      </c>
      <c r="F10" s="18">
        <f>'GENSET #4'!D15</f>
        <v>2127</v>
      </c>
      <c r="G10" s="18">
        <f>'GENSET #5'!D15</f>
        <v>5920</v>
      </c>
      <c r="H10" s="165">
        <f t="shared" si="0"/>
        <v>27114</v>
      </c>
      <c r="K10" s="164"/>
      <c r="L10" s="164"/>
      <c r="M10" s="164"/>
      <c r="N10" s="164"/>
    </row>
    <row r="11" spans="2:14" x14ac:dyDescent="0.2">
      <c r="B11" s="160">
        <v>7</v>
      </c>
      <c r="C11" s="161">
        <f>'GENSET #1'!D16</f>
        <v>0</v>
      </c>
      <c r="D11" s="161">
        <f>'GENSET #2'!D16</f>
        <v>12561</v>
      </c>
      <c r="E11" s="161">
        <f>'GENSET #3'!D16</f>
        <v>8179</v>
      </c>
      <c r="F11" s="161">
        <f>'GENSET #4'!D16</f>
        <v>3173</v>
      </c>
      <c r="G11" s="161">
        <f>'GENSET #5'!D16</f>
        <v>3771</v>
      </c>
      <c r="H11" s="165">
        <f t="shared" si="0"/>
        <v>27684</v>
      </c>
      <c r="K11" s="164"/>
      <c r="L11" s="164"/>
      <c r="M11" s="164"/>
      <c r="N11" s="164"/>
    </row>
    <row r="12" spans="2:14" x14ac:dyDescent="0.2">
      <c r="B12" s="155">
        <v>8</v>
      </c>
      <c r="C12" s="18">
        <f>'GENSET #1'!D17</f>
        <v>0</v>
      </c>
      <c r="D12" s="18">
        <f>'GENSET #2'!D17</f>
        <v>12819</v>
      </c>
      <c r="E12" s="18">
        <f>'GENSET #3'!D17</f>
        <v>3644</v>
      </c>
      <c r="F12" s="18">
        <f>'GENSET #4'!D17</f>
        <v>809</v>
      </c>
      <c r="G12" s="18">
        <f>'GENSET #5'!D17</f>
        <v>11364</v>
      </c>
      <c r="H12" s="165">
        <f t="shared" si="0"/>
        <v>28636</v>
      </c>
      <c r="K12" s="164"/>
      <c r="L12" s="164"/>
      <c r="M12" s="164"/>
      <c r="N12" s="164"/>
    </row>
    <row r="13" spans="2:14" x14ac:dyDescent="0.2">
      <c r="B13" s="160">
        <v>9</v>
      </c>
      <c r="C13" s="161">
        <f>'GENSET #1'!D18</f>
        <v>6392</v>
      </c>
      <c r="D13" s="161">
        <f>'GENSET #2'!D18</f>
        <v>11801</v>
      </c>
      <c r="E13" s="161">
        <f>'GENSET #3'!D18</f>
        <v>1781</v>
      </c>
      <c r="F13" s="161">
        <f>'GENSET #4'!D18</f>
        <v>2622</v>
      </c>
      <c r="G13" s="161">
        <f>'GENSET #5'!D18</f>
        <v>5307</v>
      </c>
      <c r="H13" s="165">
        <f t="shared" si="0"/>
        <v>27903</v>
      </c>
      <c r="K13" s="164"/>
      <c r="L13" s="164"/>
      <c r="M13" s="164"/>
      <c r="N13" s="164"/>
    </row>
    <row r="14" spans="2:14" x14ac:dyDescent="0.2">
      <c r="B14" s="155">
        <v>10</v>
      </c>
      <c r="C14" s="18">
        <f>'GENSET #1'!D19</f>
        <v>414</v>
      </c>
      <c r="D14" s="18">
        <f>'GENSET #2'!D19</f>
        <v>12520</v>
      </c>
      <c r="E14" s="18">
        <f>'GENSET #3'!D19</f>
        <v>8440</v>
      </c>
      <c r="F14" s="18">
        <f>'GENSET #4'!D19</f>
        <v>2038</v>
      </c>
      <c r="G14" s="18">
        <f>'GENSET #5'!D19</f>
        <v>4253</v>
      </c>
      <c r="H14" s="165">
        <f t="shared" si="0"/>
        <v>27665</v>
      </c>
      <c r="K14" s="164"/>
      <c r="L14" s="164"/>
      <c r="M14" s="164"/>
      <c r="N14" s="164"/>
    </row>
    <row r="15" spans="2:14" x14ac:dyDescent="0.2">
      <c r="B15" s="160">
        <v>11</v>
      </c>
      <c r="C15" s="161">
        <f>'GENSET #1'!D20</f>
        <v>3777</v>
      </c>
      <c r="D15" s="161">
        <f>'GENSET #2'!D20</f>
        <v>10538</v>
      </c>
      <c r="E15" s="161">
        <f>'GENSET #3'!D20</f>
        <v>3461</v>
      </c>
      <c r="F15" s="161">
        <f>'GENSET #4'!D20</f>
        <v>2062</v>
      </c>
      <c r="G15" s="161">
        <f>'GENSET #5'!D20</f>
        <v>6744</v>
      </c>
      <c r="H15" s="165">
        <f t="shared" si="0"/>
        <v>26582</v>
      </c>
      <c r="K15" s="164"/>
      <c r="L15" s="164"/>
      <c r="M15" s="164"/>
      <c r="N15" s="164"/>
    </row>
    <row r="16" spans="2:14" x14ac:dyDescent="0.2">
      <c r="B16" s="155">
        <v>12</v>
      </c>
      <c r="C16" s="18">
        <f>'GENSET #1'!D21</f>
        <v>0</v>
      </c>
      <c r="D16" s="18">
        <f>'GENSET #2'!D21</f>
        <v>11354</v>
      </c>
      <c r="E16" s="18">
        <f>'GENSET #3'!D21</f>
        <v>6639</v>
      </c>
      <c r="F16" s="18">
        <f>'GENSET #4'!D21</f>
        <v>1800</v>
      </c>
      <c r="G16" s="18">
        <f>'GENSET #5'!D21</f>
        <v>7307</v>
      </c>
      <c r="H16" s="165">
        <f t="shared" si="0"/>
        <v>27100</v>
      </c>
      <c r="K16" s="164"/>
      <c r="L16" s="164"/>
      <c r="M16" s="164"/>
      <c r="N16" s="164"/>
    </row>
    <row r="17" spans="2:14" x14ac:dyDescent="0.2">
      <c r="B17" s="160">
        <v>13</v>
      </c>
      <c r="C17" s="161">
        <f>'GENSET #1'!D22</f>
        <v>3200</v>
      </c>
      <c r="D17" s="161">
        <f>'GENSET #2'!D22</f>
        <v>12526</v>
      </c>
      <c r="E17" s="161">
        <f>'GENSET #3'!D22</f>
        <v>5340</v>
      </c>
      <c r="F17" s="161">
        <f>'GENSET #4'!D22</f>
        <v>1206</v>
      </c>
      <c r="G17" s="161">
        <f>'GENSET #5'!D22</f>
        <v>5212</v>
      </c>
      <c r="H17" s="165">
        <f t="shared" si="0"/>
        <v>27484</v>
      </c>
      <c r="K17" s="164"/>
      <c r="L17" s="164"/>
      <c r="M17" s="164"/>
      <c r="N17" s="164"/>
    </row>
    <row r="18" spans="2:14" x14ac:dyDescent="0.2">
      <c r="B18" s="155">
        <v>14</v>
      </c>
      <c r="C18" s="18">
        <f>'GENSET #1'!D23</f>
        <v>3731</v>
      </c>
      <c r="D18" s="18">
        <f>'GENSET #2'!D23</f>
        <v>12246</v>
      </c>
      <c r="E18" s="18">
        <f>'GENSET #3'!D23</f>
        <v>3417</v>
      </c>
      <c r="F18" s="18">
        <f>'GENSET #4'!D23</f>
        <v>1780</v>
      </c>
      <c r="G18" s="18">
        <f>'GENSET #5'!D23</f>
        <v>7254</v>
      </c>
      <c r="H18" s="165">
        <f t="shared" si="0"/>
        <v>28428</v>
      </c>
      <c r="K18" s="164"/>
      <c r="L18" s="164"/>
      <c r="M18" s="164"/>
      <c r="N18" s="164"/>
    </row>
    <row r="19" spans="2:14" x14ac:dyDescent="0.2">
      <c r="B19" s="160">
        <v>15</v>
      </c>
      <c r="C19" s="161">
        <f>'GENSET #1'!D24</f>
        <v>3049</v>
      </c>
      <c r="D19" s="161">
        <f>'GENSET #2'!D24</f>
        <v>13503</v>
      </c>
      <c r="E19" s="161">
        <f>'GENSET #3'!D24</f>
        <v>3153</v>
      </c>
      <c r="F19" s="161">
        <f>'GENSET #4'!D24</f>
        <v>1522</v>
      </c>
      <c r="G19" s="161">
        <f>'GENSET #5'!D24</f>
        <v>7977</v>
      </c>
      <c r="H19" s="165">
        <f t="shared" si="0"/>
        <v>29204</v>
      </c>
      <c r="K19" s="164"/>
      <c r="L19" s="164"/>
      <c r="M19" s="164"/>
      <c r="N19" s="164"/>
    </row>
    <row r="20" spans="2:14" x14ac:dyDescent="0.2">
      <c r="B20" s="155">
        <v>16</v>
      </c>
      <c r="C20" s="18">
        <f>'GENSET #1'!D25</f>
        <v>3264</v>
      </c>
      <c r="D20" s="18">
        <f>'GENSET #2'!D25</f>
        <v>13538</v>
      </c>
      <c r="E20" s="18">
        <f>'GENSET #3'!D25</f>
        <v>3373</v>
      </c>
      <c r="F20" s="18">
        <f>'GENSET #4'!D25</f>
        <v>875</v>
      </c>
      <c r="G20" s="18">
        <f>'GENSET #5'!D25</f>
        <v>7854</v>
      </c>
      <c r="H20" s="165">
        <f t="shared" si="0"/>
        <v>28904</v>
      </c>
      <c r="K20" s="164"/>
      <c r="L20" s="164"/>
      <c r="M20" s="164"/>
      <c r="N20" s="164"/>
    </row>
    <row r="21" spans="2:14" x14ac:dyDescent="0.2">
      <c r="B21" s="160">
        <v>17</v>
      </c>
      <c r="C21" s="161">
        <f>'GENSET #1'!D26</f>
        <v>3365</v>
      </c>
      <c r="D21" s="161">
        <f>'GENSET #2'!D26</f>
        <v>13217</v>
      </c>
      <c r="E21" s="161">
        <f>'GENSET #3'!D26</f>
        <v>3631</v>
      </c>
      <c r="F21" s="161">
        <f>'GENSET #4'!D26</f>
        <v>2459</v>
      </c>
      <c r="G21" s="161">
        <f>'GENSET #5'!D26</f>
        <v>7074</v>
      </c>
      <c r="H21" s="165">
        <f t="shared" si="0"/>
        <v>29746</v>
      </c>
      <c r="K21" s="164"/>
      <c r="L21" s="164"/>
      <c r="M21" s="164"/>
      <c r="N21" s="164"/>
    </row>
    <row r="22" spans="2:14" x14ac:dyDescent="0.2">
      <c r="B22" s="155">
        <v>18</v>
      </c>
      <c r="C22" s="18">
        <f>'GENSET #1'!D27</f>
        <v>7105</v>
      </c>
      <c r="D22" s="18">
        <f>'GENSET #2'!D27</f>
        <v>10778</v>
      </c>
      <c r="E22" s="18">
        <f>'GENSET #3'!D27</f>
        <v>8261</v>
      </c>
      <c r="F22" s="18">
        <f>'GENSET #4'!D27</f>
        <v>1347</v>
      </c>
      <c r="G22" s="18">
        <f>'GENSET #5'!D27</f>
        <v>3054</v>
      </c>
      <c r="H22" s="165">
        <f t="shared" si="0"/>
        <v>30545</v>
      </c>
    </row>
    <row r="23" spans="2:14" x14ac:dyDescent="0.2">
      <c r="B23" s="160">
        <v>19</v>
      </c>
      <c r="C23" s="161">
        <f>'GENSET #1'!D28</f>
        <v>4710</v>
      </c>
      <c r="D23" s="161">
        <f>'GENSET #2'!D28</f>
        <v>9939</v>
      </c>
      <c r="E23" s="161">
        <f>'GENSET #3'!D28</f>
        <v>6491</v>
      </c>
      <c r="F23" s="161">
        <f>'GENSET #4'!D28</f>
        <v>3066</v>
      </c>
      <c r="G23" s="161">
        <f>'GENSET #5'!D28</f>
        <v>6763</v>
      </c>
      <c r="H23" s="165">
        <f t="shared" si="0"/>
        <v>30969</v>
      </c>
    </row>
    <row r="24" spans="2:14" x14ac:dyDescent="0.2">
      <c r="B24" s="155">
        <v>20</v>
      </c>
      <c r="C24" s="18">
        <f>'GENSET #1'!D29</f>
        <v>6521</v>
      </c>
      <c r="D24" s="18">
        <f>'GENSET #2'!D29</f>
        <v>5254</v>
      </c>
      <c r="E24" s="18">
        <f>'GENSET #3'!D29</f>
        <v>7529</v>
      </c>
      <c r="F24" s="18">
        <f>'GENSET #4'!D29</f>
        <v>982</v>
      </c>
      <c r="G24" s="18">
        <f>'GENSET #5'!D29</f>
        <v>10118</v>
      </c>
      <c r="H24" s="165">
        <f t="shared" si="0"/>
        <v>30404</v>
      </c>
    </row>
    <row r="25" spans="2:14" x14ac:dyDescent="0.2">
      <c r="B25" s="160">
        <v>21</v>
      </c>
      <c r="C25" s="161">
        <f>'GENSET #1'!D30</f>
        <v>-16982234</v>
      </c>
      <c r="D25" s="161">
        <f>'GENSET #2'!D30</f>
        <v>-28822733</v>
      </c>
      <c r="E25" s="161">
        <f>'GENSET #3'!D30</f>
        <v>-12563688</v>
      </c>
      <c r="F25" s="161">
        <f>'GENSET #4'!D30</f>
        <v>-11446617</v>
      </c>
      <c r="G25" s="161">
        <f>'GENSET #5'!D30</f>
        <v>-17686565</v>
      </c>
      <c r="H25" s="165">
        <f t="shared" si="0"/>
        <v>-87501837</v>
      </c>
    </row>
    <row r="26" spans="2:14" x14ac:dyDescent="0.2">
      <c r="B26" s="155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65">
        <f t="shared" si="0"/>
        <v>0</v>
      </c>
    </row>
    <row r="27" spans="2:14" x14ac:dyDescent="0.2">
      <c r="B27" s="160">
        <v>23</v>
      </c>
      <c r="C27" s="161">
        <f>'GENSET #1'!D32</f>
        <v>0</v>
      </c>
      <c r="D27" s="161">
        <f>'GENSET #2'!D32</f>
        <v>0</v>
      </c>
      <c r="E27" s="161">
        <f>'GENSET #3'!D32</f>
        <v>0</v>
      </c>
      <c r="F27" s="161">
        <f>'GENSET #4'!D32</f>
        <v>0</v>
      </c>
      <c r="G27" s="161">
        <f>'GENSET #5'!D32</f>
        <v>0</v>
      </c>
      <c r="H27" s="165">
        <f t="shared" si="0"/>
        <v>0</v>
      </c>
    </row>
    <row r="28" spans="2:14" x14ac:dyDescent="0.2">
      <c r="B28" s="155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65">
        <f t="shared" si="0"/>
        <v>0</v>
      </c>
    </row>
    <row r="29" spans="2:14" x14ac:dyDescent="0.2">
      <c r="B29" s="160">
        <v>25</v>
      </c>
      <c r="C29" s="161">
        <f>'GENSET #1'!D34</f>
        <v>0</v>
      </c>
      <c r="D29" s="161">
        <f>'GENSET #2'!D34</f>
        <v>0</v>
      </c>
      <c r="E29" s="161">
        <f>'GENSET #3'!D34</f>
        <v>0</v>
      </c>
      <c r="F29" s="161">
        <f>'GENSET #4'!D34</f>
        <v>0</v>
      </c>
      <c r="G29" s="161">
        <f>'GENSET #5'!D34</f>
        <v>0</v>
      </c>
      <c r="H29" s="165">
        <f t="shared" si="0"/>
        <v>0</v>
      </c>
    </row>
    <row r="30" spans="2:14" x14ac:dyDescent="0.2">
      <c r="B30" s="155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65">
        <f t="shared" si="0"/>
        <v>0</v>
      </c>
    </row>
    <row r="31" spans="2:14" x14ac:dyDescent="0.2">
      <c r="B31" s="160">
        <v>27</v>
      </c>
      <c r="C31" s="161">
        <f>'GENSET #1'!D36</f>
        <v>0</v>
      </c>
      <c r="D31" s="161">
        <f>'GENSET #2'!D36</f>
        <v>0</v>
      </c>
      <c r="E31" s="161">
        <f>'GENSET #3'!D36</f>
        <v>0</v>
      </c>
      <c r="F31" s="161">
        <f>'GENSET #4'!D36</f>
        <v>0</v>
      </c>
      <c r="G31" s="161">
        <f>'GENSET #5'!D36</f>
        <v>0</v>
      </c>
      <c r="H31" s="165">
        <f t="shared" si="0"/>
        <v>0</v>
      </c>
    </row>
    <row r="32" spans="2:14" x14ac:dyDescent="0.2">
      <c r="B32" s="155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65">
        <f t="shared" si="0"/>
        <v>0</v>
      </c>
    </row>
    <row r="33" spans="1:8" x14ac:dyDescent="0.2">
      <c r="B33" s="160">
        <v>29</v>
      </c>
      <c r="C33" s="161">
        <f>'GENSET #1'!D38</f>
        <v>0</v>
      </c>
      <c r="D33" s="161">
        <f>'GENSET #2'!D38</f>
        <v>0</v>
      </c>
      <c r="E33" s="161">
        <f>'GENSET #3'!D38</f>
        <v>0</v>
      </c>
      <c r="F33" s="161">
        <f>'GENSET #4'!D38</f>
        <v>0</v>
      </c>
      <c r="G33" s="161">
        <f>'GENSET #5'!D38</f>
        <v>0</v>
      </c>
      <c r="H33" s="165">
        <f t="shared" si="0"/>
        <v>0</v>
      </c>
    </row>
    <row r="34" spans="1:8" x14ac:dyDescent="0.2">
      <c r="B34" s="155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65">
        <f t="shared" si="0"/>
        <v>0</v>
      </c>
    </row>
    <row r="35" spans="1:8" x14ac:dyDescent="0.2">
      <c r="B35" s="160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65">
        <f t="shared" si="0"/>
        <v>0</v>
      </c>
    </row>
    <row r="36" spans="1:8" x14ac:dyDescent="0.2">
      <c r="A36" s="342" t="s">
        <v>104</v>
      </c>
      <c r="B36" s="342"/>
      <c r="C36" s="163">
        <f>SUM(C5:C35)</f>
        <v>-16920895</v>
      </c>
      <c r="D36" s="163">
        <f>SUM(D5:D35)</f>
        <v>-28604837</v>
      </c>
      <c r="E36" s="163">
        <f>SUM(E5:E35)</f>
        <v>-12445913</v>
      </c>
      <c r="F36" s="163">
        <f>SUM(F5:F35)</f>
        <v>-11405429</v>
      </c>
      <c r="G36" s="163">
        <f>SUM(G5:G35)</f>
        <v>-17558719</v>
      </c>
      <c r="H36" s="163"/>
    </row>
  </sheetData>
  <mergeCells count="3">
    <mergeCell ref="A36:B36"/>
    <mergeCell ref="B1:H2"/>
    <mergeCell ref="B3:H3"/>
  </mergeCells>
  <phoneticPr fontId="1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topLeftCell="A13" workbookViewId="0">
      <selection activeCell="G9" sqref="G9:G3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18">
        <v>44201</v>
      </c>
      <c r="C4" s="318"/>
      <c r="D4" s="10"/>
      <c r="E4" s="10"/>
      <c r="F4" s="156"/>
    </row>
    <row r="5" spans="1:10" ht="14.25" customHeight="1" x14ac:dyDescent="0.2">
      <c r="A5" s="6"/>
      <c r="B5" s="11"/>
      <c r="C5" s="11"/>
      <c r="D5" s="12"/>
      <c r="E5" s="10"/>
      <c r="F5" s="156"/>
    </row>
    <row r="7" spans="1:10" x14ac:dyDescent="0.2">
      <c r="A7" s="1" t="s">
        <v>8</v>
      </c>
    </row>
    <row r="8" spans="1:10" ht="24" customHeight="1" x14ac:dyDescent="0.2">
      <c r="A8" s="13" t="s">
        <v>63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0" t="s">
        <v>62</v>
      </c>
    </row>
    <row r="9" spans="1:10" x14ac:dyDescent="0.2">
      <c r="A9" s="6">
        <v>1</v>
      </c>
      <c r="B9" s="7">
        <f>SUM('GENSET #1:GENSET #5'!D10)</f>
        <v>27179</v>
      </c>
      <c r="C9" s="7">
        <f>'Diesel consumption'!D5</f>
        <v>7550</v>
      </c>
      <c r="D9" s="2">
        <f>'SOLAR METER READING'!D9</f>
        <v>1446</v>
      </c>
      <c r="E9" s="7">
        <f>'Gas-2'!G6</f>
        <v>405</v>
      </c>
      <c r="F9" s="157">
        <f>WATER!V6</f>
        <v>357</v>
      </c>
      <c r="G9" s="159">
        <f>WATER!W6</f>
        <v>51.46</v>
      </c>
      <c r="H9" s="15">
        <f>B9/C9</f>
        <v>3.5998675496688741</v>
      </c>
      <c r="I9" s="15">
        <f>SUM(B9,D9)</f>
        <v>28625</v>
      </c>
      <c r="J9" s="3"/>
    </row>
    <row r="10" spans="1:10" x14ac:dyDescent="0.2">
      <c r="A10" s="6">
        <v>2</v>
      </c>
      <c r="B10" s="7">
        <f>SUM('GENSET #1:GENSET #5'!D11)</f>
        <v>27052</v>
      </c>
      <c r="C10" s="7">
        <f>'Diesel consumption'!D6</f>
        <v>7310</v>
      </c>
      <c r="D10" s="2">
        <f>'SOLAR METER READING'!D10</f>
        <v>3163</v>
      </c>
      <c r="E10" s="7">
        <f>'Gas-2'!G7</f>
        <v>90</v>
      </c>
      <c r="F10" s="157">
        <f>WATER!V7</f>
        <v>314</v>
      </c>
      <c r="G10" s="159">
        <f>WATER!W7</f>
        <v>54.37</v>
      </c>
      <c r="H10" s="15">
        <f t="shared" ref="H10:H38" si="0">B10/C10</f>
        <v>3.7006839945280436</v>
      </c>
      <c r="I10" s="15">
        <f t="shared" ref="I10:I40" si="1">SUM(B10,D10)</f>
        <v>30215</v>
      </c>
    </row>
    <row r="11" spans="1:10" x14ac:dyDescent="0.2">
      <c r="A11" s="6">
        <v>3</v>
      </c>
      <c r="B11" s="7">
        <f>SUM('GENSET #1:GENSET #5'!D12)</f>
        <v>27844</v>
      </c>
      <c r="C11" s="7">
        <f>'Diesel consumption'!D7</f>
        <v>7700</v>
      </c>
      <c r="D11" s="2">
        <f>'SOLAR METER READING'!D11</f>
        <v>2804</v>
      </c>
      <c r="E11" s="7">
        <f>'Gas-2'!G8</f>
        <v>405</v>
      </c>
      <c r="F11" s="157">
        <f>WATER!V8</f>
        <v>327</v>
      </c>
      <c r="G11" s="159">
        <f>WATER!W8</f>
        <v>58.25</v>
      </c>
      <c r="H11" s="15">
        <f t="shared" si="0"/>
        <v>3.6161038961038963</v>
      </c>
      <c r="I11" s="15">
        <f t="shared" si="1"/>
        <v>30648</v>
      </c>
    </row>
    <row r="12" spans="1:10" x14ac:dyDescent="0.2">
      <c r="A12" s="6">
        <v>4</v>
      </c>
      <c r="B12" s="7">
        <f>SUM('GENSET #1:GENSET #5'!D13)</f>
        <v>28535</v>
      </c>
      <c r="C12" s="7">
        <f>'Diesel consumption'!D8</f>
        <v>7660</v>
      </c>
      <c r="D12" s="2">
        <f>'SOLAR METER READING'!D12</f>
        <v>3067</v>
      </c>
      <c r="E12" s="7">
        <f>'Gas-2'!G9</f>
        <v>180</v>
      </c>
      <c r="F12" s="157">
        <f>WATER!V9</f>
        <v>374</v>
      </c>
      <c r="G12" s="159">
        <f>WATER!W9</f>
        <v>58.25</v>
      </c>
      <c r="H12" s="15">
        <f t="shared" si="0"/>
        <v>3.725195822454308</v>
      </c>
      <c r="I12" s="15">
        <f t="shared" si="1"/>
        <v>31602</v>
      </c>
    </row>
    <row r="13" spans="1:10" x14ac:dyDescent="0.2">
      <c r="A13" s="6">
        <v>5</v>
      </c>
      <c r="B13" s="7">
        <f>SUM('GENSET #1:GENSET #5'!D14)</f>
        <v>27066</v>
      </c>
      <c r="C13" s="7">
        <f>'Diesel consumption'!D9</f>
        <v>7500</v>
      </c>
      <c r="D13" s="2">
        <f>'SOLAR METER READING'!D13</f>
        <v>3078</v>
      </c>
      <c r="E13" s="7">
        <f>'Gas-2'!G10</f>
        <v>405</v>
      </c>
      <c r="F13" s="157">
        <f>WATER!V10</f>
        <v>325</v>
      </c>
      <c r="G13" s="159">
        <f>WATER!W10</f>
        <v>58.25</v>
      </c>
      <c r="H13" s="15">
        <f t="shared" si="0"/>
        <v>3.6088</v>
      </c>
      <c r="I13" s="15">
        <f t="shared" si="1"/>
        <v>30144</v>
      </c>
    </row>
    <row r="14" spans="1:10" x14ac:dyDescent="0.2">
      <c r="A14" s="6">
        <v>6</v>
      </c>
      <c r="B14" s="7">
        <f>SUM('GENSET #1:GENSET #5'!D15)</f>
        <v>27114</v>
      </c>
      <c r="C14" s="7">
        <f>'Diesel consumption'!D10</f>
        <v>7340</v>
      </c>
      <c r="D14" s="2">
        <f>'SOLAR METER READING'!D14</f>
        <v>3057</v>
      </c>
      <c r="E14" s="7">
        <f>'Gas-2'!G11</f>
        <v>90</v>
      </c>
      <c r="F14" s="157">
        <f>WATER!V11</f>
        <v>392</v>
      </c>
      <c r="G14" s="159">
        <f>WATER!W11</f>
        <v>58.25</v>
      </c>
      <c r="H14" s="15">
        <f t="shared" si="0"/>
        <v>3.6940054495912809</v>
      </c>
      <c r="I14" s="15">
        <f t="shared" si="1"/>
        <v>30171</v>
      </c>
    </row>
    <row r="15" spans="1:10" x14ac:dyDescent="0.2">
      <c r="A15" s="6">
        <v>7</v>
      </c>
      <c r="B15" s="7">
        <f>SUM('GENSET #1:GENSET #5'!D16)</f>
        <v>27684</v>
      </c>
      <c r="C15" s="7">
        <f>'Diesel consumption'!D11</f>
        <v>7680</v>
      </c>
      <c r="D15" s="2">
        <f>'SOLAR METER READING'!D15</f>
        <v>2974</v>
      </c>
      <c r="E15" s="7">
        <f>'Gas-2'!G12</f>
        <v>270</v>
      </c>
      <c r="F15" s="157">
        <f>WATER!V12</f>
        <v>336</v>
      </c>
      <c r="G15" s="159">
        <f>WATER!W12</f>
        <v>59.22</v>
      </c>
      <c r="H15" s="15">
        <f t="shared" si="0"/>
        <v>3.6046874999999998</v>
      </c>
      <c r="I15" s="15">
        <f t="shared" si="1"/>
        <v>30658</v>
      </c>
    </row>
    <row r="16" spans="1:10" x14ac:dyDescent="0.2">
      <c r="A16" s="6">
        <v>8</v>
      </c>
      <c r="B16" s="7">
        <f>SUM('GENSET #1:GENSET #5'!D17)</f>
        <v>28636</v>
      </c>
      <c r="C16" s="7">
        <f>'Diesel consumption'!D12</f>
        <v>7810</v>
      </c>
      <c r="D16" s="2">
        <f>'SOLAR METER READING'!D16</f>
        <v>3106</v>
      </c>
      <c r="E16" s="7">
        <f>'Gas-2'!G13</f>
        <v>315</v>
      </c>
      <c r="F16" s="157">
        <f>WATER!V13</f>
        <v>363</v>
      </c>
      <c r="G16" s="159">
        <f>WATER!W13</f>
        <v>66.7</v>
      </c>
      <c r="H16" s="15">
        <f t="shared" si="0"/>
        <v>3.6665813060179255</v>
      </c>
      <c r="I16" s="15">
        <f t="shared" si="1"/>
        <v>31742</v>
      </c>
    </row>
    <row r="17" spans="1:9" x14ac:dyDescent="0.2">
      <c r="A17" s="6">
        <v>9</v>
      </c>
      <c r="B17" s="7">
        <f>SUM('GENSET #1:GENSET #5'!D18)</f>
        <v>27903</v>
      </c>
      <c r="C17" s="7">
        <f>'Diesel consumption'!D13</f>
        <v>7740</v>
      </c>
      <c r="D17" s="2">
        <f>'SOLAR METER READING'!D17</f>
        <v>3008</v>
      </c>
      <c r="E17" s="7">
        <f>'Gas-2'!G14</f>
        <v>135</v>
      </c>
      <c r="F17" s="157">
        <f>WATER!V14</f>
        <v>361</v>
      </c>
      <c r="G17" s="159">
        <f>WATER!W14</f>
        <v>63.11</v>
      </c>
      <c r="H17" s="15">
        <f t="shared" si="0"/>
        <v>3.6050387596899225</v>
      </c>
      <c r="I17" s="15">
        <f t="shared" si="1"/>
        <v>30911</v>
      </c>
    </row>
    <row r="18" spans="1:9" x14ac:dyDescent="0.2">
      <c r="A18" s="6">
        <v>10</v>
      </c>
      <c r="B18" s="7">
        <f>SUM('GENSET #1:GENSET #5'!D19)</f>
        <v>27665</v>
      </c>
      <c r="C18" s="7">
        <f>'Diesel consumption'!D14</f>
        <v>7440</v>
      </c>
      <c r="D18" s="2">
        <f>'SOLAR METER READING'!D18</f>
        <v>3047</v>
      </c>
      <c r="E18" s="7">
        <f>'Gas-2'!G15</f>
        <v>405</v>
      </c>
      <c r="F18" s="157">
        <f>WATER!V15</f>
        <v>370</v>
      </c>
      <c r="G18" s="159">
        <f>WATER!W15</f>
        <v>62.14</v>
      </c>
      <c r="H18" s="15">
        <f t="shared" si="0"/>
        <v>3.7184139784946235</v>
      </c>
      <c r="I18" s="15">
        <f t="shared" si="1"/>
        <v>30712</v>
      </c>
    </row>
    <row r="19" spans="1:9" x14ac:dyDescent="0.2">
      <c r="A19" s="6">
        <v>11</v>
      </c>
      <c r="B19" s="7">
        <f>SUM('GENSET #1:GENSET #5'!D20)</f>
        <v>26582</v>
      </c>
      <c r="C19" s="7">
        <f>'Diesel consumption'!D15</f>
        <v>7520</v>
      </c>
      <c r="D19" s="2">
        <f>'SOLAR METER READING'!D19</f>
        <v>3015</v>
      </c>
      <c r="E19" s="7">
        <f>'Gas-2'!G16</f>
        <v>180</v>
      </c>
      <c r="F19" s="157">
        <f>WATER!V16</f>
        <v>372</v>
      </c>
      <c r="G19" s="159">
        <f>WATER!W16</f>
        <v>70.87</v>
      </c>
      <c r="H19" s="15">
        <f t="shared" si="0"/>
        <v>3.534840425531915</v>
      </c>
      <c r="I19" s="15">
        <f t="shared" si="1"/>
        <v>29597</v>
      </c>
    </row>
    <row r="20" spans="1:9" x14ac:dyDescent="0.2">
      <c r="A20" s="6">
        <v>12</v>
      </c>
      <c r="B20" s="7">
        <f>SUM('GENSET #1:GENSET #5'!D21)</f>
        <v>27100</v>
      </c>
      <c r="C20" s="7">
        <f>'Diesel consumption'!D16</f>
        <v>7460</v>
      </c>
      <c r="D20" s="2">
        <f>'SOLAR METER READING'!D20</f>
        <v>3023</v>
      </c>
      <c r="E20" s="7">
        <f>'Gas-2'!G17</f>
        <v>450</v>
      </c>
      <c r="F20" s="157">
        <f>WATER!V17</f>
        <v>361</v>
      </c>
      <c r="G20" s="159">
        <f>WATER!W17</f>
        <v>76.7</v>
      </c>
      <c r="H20" s="15">
        <f t="shared" si="0"/>
        <v>3.6327077747989276</v>
      </c>
      <c r="I20" s="15">
        <f t="shared" si="1"/>
        <v>30123</v>
      </c>
    </row>
    <row r="21" spans="1:9" x14ac:dyDescent="0.2">
      <c r="A21" s="6">
        <v>13</v>
      </c>
      <c r="B21" s="7">
        <f>SUM('GENSET #1:GENSET #5'!D22)</f>
        <v>27484</v>
      </c>
      <c r="C21" s="7">
        <f>'Diesel consumption'!D17</f>
        <v>7570</v>
      </c>
      <c r="D21" s="2">
        <f>'SOLAR METER READING'!D21</f>
        <v>3221</v>
      </c>
      <c r="E21" s="7">
        <f>'Gas-2'!G18</f>
        <v>45</v>
      </c>
      <c r="F21" s="157">
        <f>WATER!V18</f>
        <v>396</v>
      </c>
      <c r="G21" s="159">
        <f>WATER!W18</f>
        <v>59.9</v>
      </c>
      <c r="H21" s="15">
        <f t="shared" si="0"/>
        <v>3.6306472919418757</v>
      </c>
      <c r="I21" s="15">
        <f t="shared" si="1"/>
        <v>30705</v>
      </c>
    </row>
    <row r="22" spans="1:9" x14ac:dyDescent="0.2">
      <c r="A22" s="6">
        <v>14</v>
      </c>
      <c r="B22" s="7">
        <f>SUM('GENSET #1:GENSET #5'!D23)</f>
        <v>28428</v>
      </c>
      <c r="C22" s="7">
        <f>'Diesel consumption'!D18</f>
        <v>7870</v>
      </c>
      <c r="D22" s="2">
        <f>'SOLAR METER READING'!D22</f>
        <v>3054</v>
      </c>
      <c r="E22" s="7">
        <f>'Gas-2'!G19</f>
        <v>405</v>
      </c>
      <c r="F22" s="157">
        <f>WATER!V19</f>
        <v>419</v>
      </c>
      <c r="G22" s="159">
        <f>WATER!W19</f>
        <v>77.67</v>
      </c>
      <c r="H22" s="15">
        <f t="shared" si="0"/>
        <v>3.6121982210927572</v>
      </c>
      <c r="I22" s="15">
        <f t="shared" si="1"/>
        <v>31482</v>
      </c>
    </row>
    <row r="23" spans="1:9" x14ac:dyDescent="0.2">
      <c r="A23" s="6">
        <v>15</v>
      </c>
      <c r="B23" s="7">
        <f>SUM('GENSET #1:GENSET #5'!D24)</f>
        <v>29204</v>
      </c>
      <c r="C23" s="7">
        <f>'Diesel consumption'!D19</f>
        <v>8010</v>
      </c>
      <c r="D23" s="2">
        <f>'SOLAR METER READING'!D23</f>
        <v>3094</v>
      </c>
      <c r="E23" s="7">
        <f>'Gas-2'!G20</f>
        <v>45</v>
      </c>
      <c r="F23" s="157">
        <f>WATER!V20</f>
        <v>423</v>
      </c>
      <c r="G23" s="159">
        <f>WATER!W20</f>
        <v>91.26</v>
      </c>
      <c r="H23" s="15">
        <f t="shared" si="0"/>
        <v>3.6459425717852683</v>
      </c>
      <c r="I23" s="15">
        <f t="shared" si="1"/>
        <v>32298</v>
      </c>
    </row>
    <row r="24" spans="1:9" x14ac:dyDescent="0.2">
      <c r="A24" s="6">
        <v>16</v>
      </c>
      <c r="B24" s="7">
        <f>SUM('GENSET #1:GENSET #5'!D25)</f>
        <v>28904</v>
      </c>
      <c r="C24" s="7">
        <f>'Diesel consumption'!D20</f>
        <v>7870</v>
      </c>
      <c r="D24" s="2">
        <f>'SOLAR METER READING'!D24</f>
        <v>3061</v>
      </c>
      <c r="E24" s="7">
        <f>'Gas-2'!G21</f>
        <v>180</v>
      </c>
      <c r="F24" s="157">
        <f>WATER!V21</f>
        <v>384</v>
      </c>
      <c r="G24" s="159">
        <f>WATER!W21</f>
        <v>82.52</v>
      </c>
      <c r="H24" s="15">
        <f t="shared" si="0"/>
        <v>3.6726810673443455</v>
      </c>
      <c r="I24" s="15">
        <f t="shared" si="1"/>
        <v>31965</v>
      </c>
    </row>
    <row r="25" spans="1:9" x14ac:dyDescent="0.2">
      <c r="A25" s="6">
        <v>17</v>
      </c>
      <c r="B25" s="7">
        <f>SUM('GENSET #1:GENSET #5'!D26)</f>
        <v>29746</v>
      </c>
      <c r="C25" s="7">
        <f>'Diesel consumption'!D21</f>
        <v>8360</v>
      </c>
      <c r="D25" s="2">
        <f>'SOLAR METER READING'!D25</f>
        <v>3072</v>
      </c>
      <c r="E25" s="7">
        <f>'Gas-2'!G22</f>
        <v>405</v>
      </c>
      <c r="F25" s="157">
        <f>WATER!V22</f>
        <v>495</v>
      </c>
      <c r="G25" s="159">
        <f>WATER!W22</f>
        <v>80.599999999999994</v>
      </c>
      <c r="H25" s="15">
        <f t="shared" si="0"/>
        <v>3.5581339712918658</v>
      </c>
      <c r="I25" s="15">
        <f t="shared" si="1"/>
        <v>32818</v>
      </c>
    </row>
    <row r="26" spans="1:9" x14ac:dyDescent="0.2">
      <c r="A26" s="6">
        <v>18</v>
      </c>
      <c r="B26" s="7">
        <f>SUM('GENSET #1:GENSET #5'!D27)</f>
        <v>30545</v>
      </c>
      <c r="C26" s="7">
        <f>'Diesel consumption'!D22</f>
        <v>8460</v>
      </c>
      <c r="D26" s="2">
        <f>'SOLAR METER READING'!D26</f>
        <v>2923</v>
      </c>
      <c r="E26" s="7">
        <f>'Gas-2'!G23</f>
        <v>45</v>
      </c>
      <c r="F26" s="157">
        <f>WATER!V23</f>
        <v>409</v>
      </c>
      <c r="G26" s="159">
        <f>WATER!W23</f>
        <v>79.599999999999994</v>
      </c>
      <c r="H26" s="15">
        <f t="shared" si="0"/>
        <v>3.6105200945626477</v>
      </c>
      <c r="I26" s="15">
        <f t="shared" si="1"/>
        <v>33468</v>
      </c>
    </row>
    <row r="27" spans="1:9" x14ac:dyDescent="0.2">
      <c r="A27" s="6">
        <v>19</v>
      </c>
      <c r="B27" s="7">
        <f>SUM('GENSET #1:GENSET #5'!D28)</f>
        <v>30969</v>
      </c>
      <c r="C27" s="7">
        <f>'Diesel consumption'!D23</f>
        <v>8510</v>
      </c>
      <c r="D27" s="2">
        <f>'SOLAR METER READING'!D27</f>
        <v>3215</v>
      </c>
      <c r="E27" s="7">
        <f>'Gas-2'!G24</f>
        <v>315</v>
      </c>
      <c r="F27" s="157">
        <f>WATER!V24</f>
        <v>405</v>
      </c>
      <c r="G27" s="159">
        <f>WATER!W24</f>
        <v>80.599999999999994</v>
      </c>
      <c r="H27" s="15">
        <f t="shared" si="0"/>
        <v>3.6391304347826088</v>
      </c>
      <c r="I27" s="15">
        <f t="shared" si="1"/>
        <v>34184</v>
      </c>
    </row>
    <row r="28" spans="1:9" x14ac:dyDescent="0.2">
      <c r="A28" s="6">
        <v>20</v>
      </c>
      <c r="B28" s="7">
        <f>SUM('GENSET #1:GENSET #5'!D29)</f>
        <v>30404</v>
      </c>
      <c r="C28" s="7">
        <f>'Diesel consumption'!D24</f>
        <v>8620</v>
      </c>
      <c r="D28" s="2">
        <f>'SOLAR METER READING'!D28</f>
        <v>2978</v>
      </c>
      <c r="E28" s="7">
        <f>'Gas-2'!G25</f>
        <v>225</v>
      </c>
      <c r="F28" s="157">
        <f>WATER!V25</f>
        <v>446</v>
      </c>
      <c r="G28" s="159">
        <f>WATER!W25</f>
        <v>0</v>
      </c>
      <c r="H28" s="15">
        <f t="shared" si="0"/>
        <v>3.5271461716937353</v>
      </c>
      <c r="I28" s="15">
        <f t="shared" si="1"/>
        <v>33382</v>
      </c>
    </row>
    <row r="29" spans="1:9" x14ac:dyDescent="0.2">
      <c r="A29" s="6">
        <v>21</v>
      </c>
      <c r="B29" s="7">
        <f>SUM('GENSET #1:GENSET #5'!D30)</f>
        <v>-87501837</v>
      </c>
      <c r="C29" s="7">
        <f>'Diesel consumption'!D25</f>
        <v>-43275400</v>
      </c>
      <c r="D29" s="2">
        <f>'SOLAR METER READING'!D29</f>
        <v>-2388558</v>
      </c>
      <c r="E29" s="7">
        <f>'Gas-2'!G26</f>
        <v>0</v>
      </c>
      <c r="F29" s="157">
        <f>WATER!V26</f>
        <v>364</v>
      </c>
      <c r="G29" s="159">
        <f>WATER!W26</f>
        <v>0</v>
      </c>
      <c r="H29" s="15">
        <f t="shared" si="0"/>
        <v>2.0219763884331514</v>
      </c>
      <c r="I29" s="15">
        <f t="shared" si="1"/>
        <v>-89890395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57">
        <f>WATER!V27</f>
        <v>-920592</v>
      </c>
      <c r="G30" s="159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57">
        <f>WATER!V28</f>
        <v>0</v>
      </c>
      <c r="G31" s="159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57">
        <f>WATER!V29</f>
        <v>0</v>
      </c>
      <c r="G32" s="159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57">
        <f>WATER!V30</f>
        <v>0</v>
      </c>
      <c r="G33" s="159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57">
        <f>WATER!V31</f>
        <v>0</v>
      </c>
      <c r="G34" s="159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57">
        <f>WATER!V32</f>
        <v>0</v>
      </c>
      <c r="G35" s="159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57">
        <f>WATER!V33</f>
        <v>0</v>
      </c>
      <c r="G36" s="159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57">
        <f>WATER!V34</f>
        <v>0</v>
      </c>
      <c r="G37" s="159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57">
        <f>WATER!V35</f>
        <v>0</v>
      </c>
      <c r="G38" s="159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57">
        <f>WATER!V36</f>
        <v>0</v>
      </c>
      <c r="G39" s="159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-86935793</v>
      </c>
      <c r="C40" s="17">
        <f t="shared" ref="C40:D40" si="2">SUM(C9:C39)</f>
        <v>-43119420</v>
      </c>
      <c r="D40" s="17">
        <f t="shared" si="2"/>
        <v>-2329152</v>
      </c>
      <c r="E40" s="17">
        <f>SUM(E9:E39)</f>
        <v>4995</v>
      </c>
      <c r="F40" s="158">
        <f>SUM(F9:F39)</f>
        <v>-912599</v>
      </c>
      <c r="G40" s="6"/>
      <c r="I40" s="15">
        <f t="shared" si="1"/>
        <v>-89264945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47">
        <v>44170</v>
      </c>
      <c r="B1" s="347"/>
      <c r="C1" s="347"/>
    </row>
    <row r="2" spans="1:3" x14ac:dyDescent="0.2">
      <c r="A2" s="345" t="s">
        <v>78</v>
      </c>
      <c r="B2" s="346"/>
      <c r="C2" s="346"/>
    </row>
    <row r="3" spans="1:3" ht="26.25" customHeight="1" x14ac:dyDescent="0.2">
      <c r="A3" s="346"/>
      <c r="B3" s="346"/>
      <c r="C3" s="346"/>
    </row>
    <row r="4" spans="1:3" x14ac:dyDescent="0.2">
      <c r="A4" s="140">
        <v>1</v>
      </c>
      <c r="B4" s="140">
        <f>'FEEDER Consumption '!AT9+'FEEDER Consumption '!BI9+'FEEDER Consumption '!BL9+'FEEDER Consumption '!BO9+'FEEDER Consumption '!BR9+'FEEDER Consumption '!BU9</f>
        <v>1378</v>
      </c>
      <c r="C4" s="140" t="s">
        <v>77</v>
      </c>
    </row>
    <row r="5" spans="1:3" x14ac:dyDescent="0.2">
      <c r="A5" s="141">
        <v>2</v>
      </c>
      <c r="B5" s="141">
        <f>'FEEDER Consumption '!AT10+'FEEDER Consumption '!BI10+'FEEDER Consumption '!BL10+'FEEDER Consumption '!BO10+'FEEDER Consumption '!BR10+'FEEDER Consumption '!BU10</f>
        <v>769</v>
      </c>
      <c r="C5" s="141" t="s">
        <v>77</v>
      </c>
    </row>
    <row r="6" spans="1:3" x14ac:dyDescent="0.2">
      <c r="A6" s="140">
        <v>3</v>
      </c>
      <c r="B6" s="140">
        <f>'FEEDER Consumption '!AT11+'FEEDER Consumption '!BI11+'FEEDER Consumption '!BL11+'FEEDER Consumption '!BO11+'FEEDER Consumption '!BR11+'FEEDER Consumption '!BU11</f>
        <v>2253</v>
      </c>
      <c r="C6" s="140" t="s">
        <v>77</v>
      </c>
    </row>
    <row r="7" spans="1:3" x14ac:dyDescent="0.2">
      <c r="A7" s="141">
        <v>4</v>
      </c>
      <c r="B7" s="141">
        <f>'FEEDER Consumption '!AT12+'FEEDER Consumption '!BI12+'FEEDER Consumption '!BL12+'FEEDER Consumption '!BO12+'FEEDER Consumption '!BR12+'FEEDER Consumption '!BU12</f>
        <v>2242</v>
      </c>
      <c r="C7" s="141" t="s">
        <v>77</v>
      </c>
    </row>
    <row r="8" spans="1:3" x14ac:dyDescent="0.2">
      <c r="A8" s="140">
        <v>5</v>
      </c>
      <c r="B8" s="140">
        <f>'FEEDER Consumption '!AT13+'FEEDER Consumption '!BI13+'FEEDER Consumption '!BL13+'FEEDER Consumption '!BO13+'FEEDER Consumption '!BR13+'FEEDER Consumption '!BU13</f>
        <v>1916</v>
      </c>
      <c r="C8" s="140" t="s">
        <v>77</v>
      </c>
    </row>
    <row r="9" spans="1:3" x14ac:dyDescent="0.2">
      <c r="A9" s="141">
        <v>6</v>
      </c>
      <c r="B9" s="141">
        <f>'FEEDER Consumption '!AT14+'FEEDER Consumption '!BI14+'FEEDER Consumption '!BL14+'FEEDER Consumption '!BO14+'FEEDER Consumption '!BR14+'FEEDER Consumption '!BU14</f>
        <v>1023</v>
      </c>
      <c r="C9" s="141" t="s">
        <v>77</v>
      </c>
    </row>
    <row r="10" spans="1:3" x14ac:dyDescent="0.2">
      <c r="A10" s="140">
        <v>7</v>
      </c>
      <c r="B10" s="140">
        <f>'FEEDER Consumption '!AT15+'FEEDER Consumption '!BI15+'FEEDER Consumption '!BL15+'FEEDER Consumption '!BO15+'FEEDER Consumption '!BR15+'FEEDER Consumption '!BU15</f>
        <v>2630</v>
      </c>
      <c r="C10" s="140" t="s">
        <v>77</v>
      </c>
    </row>
    <row r="11" spans="1:3" x14ac:dyDescent="0.2">
      <c r="A11" s="141">
        <v>8</v>
      </c>
      <c r="B11" s="141">
        <f>'FEEDER Consumption '!AT16+'FEEDER Consumption '!BI16+'FEEDER Consumption '!BL16+'FEEDER Consumption '!BO16+'FEEDER Consumption '!BR16+'FEEDER Consumption '!BU16</f>
        <v>987</v>
      </c>
      <c r="C11" s="141" t="s">
        <v>77</v>
      </c>
    </row>
    <row r="12" spans="1:3" x14ac:dyDescent="0.2">
      <c r="A12" s="140">
        <v>9</v>
      </c>
      <c r="B12" s="140">
        <f>'FEEDER Consumption '!AT17+'FEEDER Consumption '!BI17+'FEEDER Consumption '!BL17+'FEEDER Consumption '!BO17+'FEEDER Consumption '!BR17+'FEEDER Consumption '!BU17</f>
        <v>2754</v>
      </c>
      <c r="C12" s="140" t="s">
        <v>77</v>
      </c>
    </row>
    <row r="13" spans="1:3" x14ac:dyDescent="0.2">
      <c r="A13" s="141">
        <v>10</v>
      </c>
      <c r="B13" s="141">
        <f>'FEEDER Consumption '!AT18+'FEEDER Consumption '!BI18+'FEEDER Consumption '!BL18+'FEEDER Consumption '!BO18+'FEEDER Consumption '!BR18+'FEEDER Consumption '!BU18</f>
        <v>2208</v>
      </c>
      <c r="C13" s="141" t="s">
        <v>77</v>
      </c>
    </row>
    <row r="14" spans="1:3" x14ac:dyDescent="0.2">
      <c r="A14" s="140">
        <v>11</v>
      </c>
      <c r="B14" s="140">
        <f>'FEEDER Consumption '!AT19+'FEEDER Consumption '!BI19+'FEEDER Consumption '!BL19+'FEEDER Consumption '!BO19+'FEEDER Consumption '!BR19+'FEEDER Consumption '!BU19</f>
        <v>1263</v>
      </c>
      <c r="C14" s="140" t="s">
        <v>77</v>
      </c>
    </row>
    <row r="15" spans="1:3" x14ac:dyDescent="0.2">
      <c r="A15" s="141">
        <v>12</v>
      </c>
      <c r="B15" s="141">
        <f>'FEEDER Consumption '!AT20+'FEEDER Consumption '!BI20+'FEEDER Consumption '!BL20+'FEEDER Consumption '!BO20+'FEEDER Consumption '!BR20+'FEEDER Consumption '!BU20</f>
        <v>2923</v>
      </c>
      <c r="C15" s="141" t="s">
        <v>77</v>
      </c>
    </row>
    <row r="16" spans="1:3" x14ac:dyDescent="0.2">
      <c r="A16" s="140">
        <v>13</v>
      </c>
      <c r="B16" s="140">
        <f>'FEEDER Consumption '!AT21+'FEEDER Consumption '!BI21+'FEEDER Consumption '!BL21+'FEEDER Consumption '!BO21+'FEEDER Consumption '!BR21+'FEEDER Consumption '!BU21</f>
        <v>613</v>
      </c>
      <c r="C16" s="140" t="s">
        <v>77</v>
      </c>
    </row>
    <row r="17" spans="1:3" x14ac:dyDescent="0.2">
      <c r="A17" s="141">
        <v>14</v>
      </c>
      <c r="B17" s="141">
        <f>'FEEDER Consumption '!AT22+'FEEDER Consumption '!BI22+'FEEDER Consumption '!BL22+'FEEDER Consumption '!BO22+'FEEDER Consumption '!BR22+'FEEDER Consumption '!BU22</f>
        <v>2616</v>
      </c>
      <c r="C17" s="141" t="s">
        <v>77</v>
      </c>
    </row>
    <row r="18" spans="1:3" x14ac:dyDescent="0.2">
      <c r="A18" s="140">
        <v>15</v>
      </c>
      <c r="B18" s="140">
        <f>'FEEDER Consumption '!AT23+'FEEDER Consumption '!BI23+'FEEDER Consumption '!BL23+'FEEDER Consumption '!BO23+'FEEDER Consumption '!BR23+'FEEDER Consumption '!BU23</f>
        <v>1658</v>
      </c>
      <c r="C18" s="140" t="s">
        <v>77</v>
      </c>
    </row>
    <row r="19" spans="1:3" x14ac:dyDescent="0.2">
      <c r="A19" s="141">
        <v>16</v>
      </c>
      <c r="B19" s="141">
        <f>'FEEDER Consumption '!AT24+'FEEDER Consumption '!BI24+'FEEDER Consumption '!BL24+'FEEDER Consumption '!BO24+'FEEDER Consumption '!BR24+'FEEDER Consumption '!BU24</f>
        <v>971</v>
      </c>
      <c r="C19" s="141" t="s">
        <v>77</v>
      </c>
    </row>
    <row r="20" spans="1:3" x14ac:dyDescent="0.2">
      <c r="A20" s="140">
        <v>17</v>
      </c>
      <c r="B20" s="140">
        <f>'FEEDER Consumption '!AT25+'FEEDER Consumption '!BI25+'FEEDER Consumption '!BL25+'FEEDER Consumption '!BO25+'FEEDER Consumption '!BR25+'FEEDER Consumption '!BU25</f>
        <v>2274</v>
      </c>
      <c r="C20" s="140" t="s">
        <v>77</v>
      </c>
    </row>
    <row r="21" spans="1:3" x14ac:dyDescent="0.2">
      <c r="A21" s="141">
        <v>18</v>
      </c>
      <c r="B21" s="141">
        <f>'FEEDER Consumption '!AT26+'FEEDER Consumption '!BI26+'FEEDER Consumption '!BL26+'FEEDER Consumption '!BO26+'FEEDER Consumption '!BR26+'FEEDER Consumption '!BU26</f>
        <v>2755</v>
      </c>
      <c r="C21" s="141" t="s">
        <v>77</v>
      </c>
    </row>
    <row r="22" spans="1:3" x14ac:dyDescent="0.2">
      <c r="A22" s="140">
        <v>19</v>
      </c>
      <c r="B22" s="140">
        <f>'FEEDER Consumption '!AT27+'FEEDER Consumption '!BI27+'FEEDER Consumption '!BL27+'FEEDER Consumption '!BO27+'FEEDER Consumption '!BR27+'FEEDER Consumption '!BU27</f>
        <v>1374</v>
      </c>
      <c r="C22" s="140" t="s">
        <v>77</v>
      </c>
    </row>
    <row r="23" spans="1:3" x14ac:dyDescent="0.2">
      <c r="A23" s="141">
        <v>20</v>
      </c>
      <c r="B23" s="141">
        <f>'FEEDER Consumption '!AT28+'FEEDER Consumption '!BI28+'FEEDER Consumption '!BL28+'FEEDER Consumption '!BO28+'FEEDER Consumption '!BR28+'FEEDER Consumption '!BU28</f>
        <v>2884</v>
      </c>
      <c r="C23" s="141" t="s">
        <v>77</v>
      </c>
    </row>
    <row r="24" spans="1:3" x14ac:dyDescent="0.2">
      <c r="A24" s="140">
        <v>21</v>
      </c>
      <c r="B24" s="140">
        <f>'FEEDER Consumption '!AT29+'FEEDER Consumption '!BI29+'FEEDER Consumption '!BL29+'FEEDER Consumption '!BO29+'FEEDER Consumption '!BR29+'FEEDER Consumption '!BU29</f>
        <v>-624375</v>
      </c>
      <c r="C24" s="140" t="s">
        <v>77</v>
      </c>
    </row>
    <row r="25" spans="1:3" x14ac:dyDescent="0.2">
      <c r="A25" s="141">
        <v>22</v>
      </c>
      <c r="B25" s="141">
        <f>'FEEDER Consumption '!AT30+'FEEDER Consumption '!BI30+'FEEDER Consumption '!BL30+'FEEDER Consumption '!BO30+'FEEDER Consumption '!BR30+'FEEDER Consumption '!BU30</f>
        <v>0</v>
      </c>
      <c r="C25" s="141" t="s">
        <v>77</v>
      </c>
    </row>
    <row r="26" spans="1:3" x14ac:dyDescent="0.2">
      <c r="A26" s="140">
        <v>23</v>
      </c>
      <c r="B26" s="140">
        <f>'FEEDER Consumption '!AT31+'FEEDER Consumption '!BI31+'FEEDER Consumption '!BL31+'FEEDER Consumption '!BO31+'FEEDER Consumption '!BR31+'FEEDER Consumption '!BU31</f>
        <v>0</v>
      </c>
      <c r="C26" s="140" t="s">
        <v>77</v>
      </c>
    </row>
    <row r="27" spans="1:3" x14ac:dyDescent="0.2">
      <c r="A27" s="141">
        <v>24</v>
      </c>
      <c r="B27" s="141">
        <f>'FEEDER Consumption '!AT32+'FEEDER Consumption '!BI32+'FEEDER Consumption '!BL32+'FEEDER Consumption '!BO32+'FEEDER Consumption '!BR32+'FEEDER Consumption '!BU32</f>
        <v>0</v>
      </c>
      <c r="C27" s="141" t="s">
        <v>77</v>
      </c>
    </row>
    <row r="28" spans="1:3" x14ac:dyDescent="0.2">
      <c r="A28" s="140">
        <v>25</v>
      </c>
      <c r="B28" s="140">
        <f>'FEEDER Consumption '!AT33+'FEEDER Consumption '!BI33+'FEEDER Consumption '!BL33+'FEEDER Consumption '!BO33+'FEEDER Consumption '!BR33+'FEEDER Consumption '!BU33</f>
        <v>0</v>
      </c>
      <c r="C28" s="140" t="s">
        <v>77</v>
      </c>
    </row>
    <row r="29" spans="1:3" x14ac:dyDescent="0.2">
      <c r="A29" s="141">
        <v>26</v>
      </c>
      <c r="B29" s="141">
        <f>'FEEDER Consumption '!AT34+'FEEDER Consumption '!BI34+'FEEDER Consumption '!BL34+'FEEDER Consumption '!BO34+'FEEDER Consumption '!BR34+'FEEDER Consumption '!BU34</f>
        <v>0</v>
      </c>
      <c r="C29" s="141" t="s">
        <v>77</v>
      </c>
    </row>
    <row r="30" spans="1:3" x14ac:dyDescent="0.2">
      <c r="A30" s="140">
        <v>27</v>
      </c>
      <c r="B30" s="140">
        <f>'FEEDER Consumption '!AT35+'FEEDER Consumption '!BI35+'FEEDER Consumption '!BL35+'FEEDER Consumption '!BO35+'FEEDER Consumption '!BR35+'FEEDER Consumption '!BU35</f>
        <v>0</v>
      </c>
      <c r="C30" s="140" t="s">
        <v>77</v>
      </c>
    </row>
    <row r="31" spans="1:3" x14ac:dyDescent="0.2">
      <c r="A31" s="141">
        <v>28</v>
      </c>
      <c r="B31" s="141">
        <f>'FEEDER Consumption '!AT36+'FEEDER Consumption '!BI36+'FEEDER Consumption '!BL36+'FEEDER Consumption '!BO36+'FEEDER Consumption '!BR36+'FEEDER Consumption '!BU36</f>
        <v>0</v>
      </c>
      <c r="C31" s="141" t="s">
        <v>77</v>
      </c>
    </row>
    <row r="32" spans="1:3" x14ac:dyDescent="0.2">
      <c r="A32" s="140">
        <v>29</v>
      </c>
      <c r="B32" s="140">
        <f>'FEEDER Consumption '!AT37+'FEEDER Consumption '!BI37+'FEEDER Consumption '!BL37+'FEEDER Consumption '!BO37+'FEEDER Consumption '!BR37+'FEEDER Consumption '!BU37</f>
        <v>0</v>
      </c>
      <c r="C32" s="140" t="s">
        <v>77</v>
      </c>
    </row>
    <row r="33" spans="1:3" x14ac:dyDescent="0.2">
      <c r="A33" s="141">
        <v>30</v>
      </c>
      <c r="B33" s="141">
        <f>'FEEDER Consumption '!AT38+'FEEDER Consumption '!BI38+'FEEDER Consumption '!BL38+'FEEDER Consumption '!BO38+'FEEDER Consumption '!BR38+'FEEDER Consumption '!BU38</f>
        <v>0</v>
      </c>
      <c r="C33" s="141" t="s">
        <v>77</v>
      </c>
    </row>
    <row r="34" spans="1:3" x14ac:dyDescent="0.2">
      <c r="A34" s="141" t="s">
        <v>7</v>
      </c>
      <c r="B34" s="141">
        <f>'FEEDER Consumption '!AT40+'FEEDER Consumption '!BI40+'FEEDER Consumption '!BL40+'FEEDER Consumption '!BO40+'FEEDER Consumption '!BR40+'FEEDER Consumption '!BU40</f>
        <v>-586884</v>
      </c>
      <c r="C34" s="141" t="s">
        <v>77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4"/>
    </row>
    <row r="2" spans="1:18" ht="12.75" customHeight="1" x14ac:dyDescent="0.2">
      <c r="B2" s="104"/>
    </row>
    <row r="3" spans="1:18" x14ac:dyDescent="0.2">
      <c r="B3" s="102"/>
      <c r="C3" s="103"/>
    </row>
    <row r="4" spans="1:18" x14ac:dyDescent="0.2">
      <c r="B4" s="102"/>
      <c r="C4" s="102"/>
    </row>
    <row r="5" spans="1:18" s="1" customFormat="1" x14ac:dyDescent="0.2">
      <c r="A5" s="4"/>
      <c r="B5" s="91">
        <v>44170</v>
      </c>
      <c r="C5" s="103"/>
      <c r="D5" s="24"/>
      <c r="E5" s="24"/>
      <c r="F5" s="100"/>
      <c r="G5" s="101"/>
      <c r="H5" s="24"/>
      <c r="I5" s="24"/>
      <c r="K5" s="24"/>
    </row>
    <row r="6" spans="1:18" ht="13.5" thickBot="1" x14ac:dyDescent="0.25"/>
    <row r="7" spans="1:18" s="126" customFormat="1" ht="33.75" x14ac:dyDescent="0.2">
      <c r="A7" s="117"/>
      <c r="B7" s="122" t="s">
        <v>59</v>
      </c>
      <c r="C7" s="122" t="s">
        <v>47</v>
      </c>
      <c r="D7" s="123" t="s">
        <v>48</v>
      </c>
      <c r="E7" s="122" t="s">
        <v>49</v>
      </c>
      <c r="F7" s="124" t="s">
        <v>50</v>
      </c>
      <c r="G7" s="124" t="s">
        <v>60</v>
      </c>
      <c r="H7" s="124" t="s">
        <v>52</v>
      </c>
      <c r="I7" s="124" t="s">
        <v>53</v>
      </c>
      <c r="J7" s="118" t="s">
        <v>61</v>
      </c>
      <c r="K7" s="119" t="s">
        <v>55</v>
      </c>
      <c r="L7" s="125" t="s">
        <v>64</v>
      </c>
      <c r="M7" s="125" t="s">
        <v>65</v>
      </c>
      <c r="N7" s="125" t="s">
        <v>66</v>
      </c>
      <c r="O7" s="125" t="s">
        <v>67</v>
      </c>
      <c r="P7" s="125" t="s">
        <v>68</v>
      </c>
      <c r="Q7" s="125" t="s">
        <v>69</v>
      </c>
      <c r="R7" s="125" t="s">
        <v>70</v>
      </c>
    </row>
    <row r="8" spans="1:18" s="115" customFormat="1" ht="26.25" customHeight="1" thickBot="1" x14ac:dyDescent="0.25">
      <c r="A8" s="120" t="s">
        <v>5</v>
      </c>
      <c r="B8" s="121" t="s">
        <v>58</v>
      </c>
      <c r="C8" s="121" t="s">
        <v>58</v>
      </c>
      <c r="D8" s="121" t="s">
        <v>58</v>
      </c>
      <c r="E8" s="121" t="s">
        <v>58</v>
      </c>
      <c r="F8" s="121" t="s">
        <v>58</v>
      </c>
      <c r="G8" s="121" t="s">
        <v>58</v>
      </c>
      <c r="H8" s="121" t="s">
        <v>58</v>
      </c>
      <c r="I8" s="121" t="s">
        <v>58</v>
      </c>
      <c r="J8" s="121" t="s">
        <v>58</v>
      </c>
      <c r="K8" s="121" t="s">
        <v>58</v>
      </c>
    </row>
    <row r="9" spans="1:18" x14ac:dyDescent="0.2">
      <c r="A9" s="74">
        <v>1</v>
      </c>
      <c r="B9" s="87">
        <f>'FEEDER Consumption '!D9</f>
        <v>3048</v>
      </c>
      <c r="C9" s="85">
        <f>'FEEDER Consumption '!G9</f>
        <v>4290</v>
      </c>
      <c r="D9" s="85">
        <f>'FEEDER Consumption '!J9</f>
        <v>13432</v>
      </c>
      <c r="E9" s="85">
        <f>'FEEDER Consumption '!M9</f>
        <v>1800</v>
      </c>
      <c r="F9" s="85">
        <f>'FEEDER Consumption '!P9</f>
        <v>2549</v>
      </c>
      <c r="G9" s="85">
        <f>'FEEDER Consumption '!S9</f>
        <v>1900</v>
      </c>
      <c r="H9" s="85">
        <f>'FEEDER Consumption '!V9</f>
        <v>490</v>
      </c>
      <c r="I9" s="85">
        <f>'FEEDER Consumption '!Y9</f>
        <v>5900</v>
      </c>
      <c r="J9" s="62">
        <f>'FEEDER Consumption '!AB9</f>
        <v>2300</v>
      </c>
      <c r="K9" s="85">
        <f>'FEEDER Consumption '!AE9</f>
        <v>424</v>
      </c>
      <c r="L9" s="92">
        <f>SUM(E9:F9)</f>
        <v>4349</v>
      </c>
      <c r="M9" s="92">
        <f>SUM(I9:J9)</f>
        <v>8200</v>
      </c>
      <c r="N9" s="92">
        <f>SUM(G9:H9)</f>
        <v>2390</v>
      </c>
      <c r="O9" s="92">
        <f>'Focus Data'!I9</f>
        <v>28625</v>
      </c>
      <c r="P9" s="92">
        <f>L9/O9%</f>
        <v>15.193013100436682</v>
      </c>
      <c r="Q9" s="92">
        <f>M9/O9%</f>
        <v>28.646288209606986</v>
      </c>
      <c r="R9" s="92">
        <f>N9/O9%</f>
        <v>8.3493449781659397</v>
      </c>
    </row>
    <row r="10" spans="1:18" ht="13.5" customHeight="1" x14ac:dyDescent="0.2">
      <c r="A10" s="82">
        <v>2</v>
      </c>
      <c r="B10" s="87">
        <f>'FEEDER Consumption '!D10</f>
        <v>3298</v>
      </c>
      <c r="C10" s="85">
        <f>'FEEDER Consumption '!G10</f>
        <v>5222</v>
      </c>
      <c r="D10" s="85">
        <f>'FEEDER Consumption '!J10</f>
        <v>12528</v>
      </c>
      <c r="E10" s="85">
        <f>'FEEDER Consumption '!M10</f>
        <v>2000</v>
      </c>
      <c r="F10" s="85">
        <f>'FEEDER Consumption '!P10</f>
        <v>2705</v>
      </c>
      <c r="G10" s="85">
        <f>'FEEDER Consumption '!S10</f>
        <v>1300</v>
      </c>
      <c r="H10" s="85">
        <f>'FEEDER Consumption '!V10</f>
        <v>523</v>
      </c>
      <c r="I10" s="85">
        <f>'FEEDER Consumption '!Y10</f>
        <v>6400</v>
      </c>
      <c r="J10" s="62">
        <f>'FEEDER Consumption '!AB10</f>
        <v>1800</v>
      </c>
      <c r="K10" s="85">
        <f>'FEEDER Consumption '!AE10</f>
        <v>461</v>
      </c>
      <c r="L10" s="92">
        <f t="shared" ref="L10:L39" si="0">SUM(E10:F10)</f>
        <v>4705</v>
      </c>
      <c r="M10" s="92">
        <f t="shared" ref="M10:M39" si="1">SUM(I10:J10)</f>
        <v>8200</v>
      </c>
      <c r="N10" s="92">
        <f t="shared" ref="N10:N39" si="2">SUM(G10:H10)</f>
        <v>1823</v>
      </c>
      <c r="O10" s="92">
        <f>'Focus Data'!I10</f>
        <v>30215</v>
      </c>
      <c r="P10" s="92">
        <f t="shared" ref="P10:P39" si="3">L10/O10%</f>
        <v>15.571735892768494</v>
      </c>
      <c r="Q10" s="92">
        <f t="shared" ref="Q10:Q39" si="4">M10/O10%</f>
        <v>27.138838325335101</v>
      </c>
      <c r="R10" s="92">
        <f t="shared" ref="R10:R39" si="5">N10/O10%</f>
        <v>6.0334271057421818</v>
      </c>
    </row>
    <row r="11" spans="1:18" ht="13.5" customHeight="1" x14ac:dyDescent="0.2">
      <c r="A11" s="82">
        <v>3</v>
      </c>
      <c r="B11" s="87">
        <f>'FEEDER Consumption '!D11</f>
        <v>3337</v>
      </c>
      <c r="C11" s="85">
        <f>'FEEDER Consumption '!G11</f>
        <v>5153</v>
      </c>
      <c r="D11" s="85">
        <f>'FEEDER Consumption '!J11</f>
        <v>13313</v>
      </c>
      <c r="E11" s="85">
        <f>'FEEDER Consumption '!M11</f>
        <v>2000</v>
      </c>
      <c r="F11" s="85">
        <f>'FEEDER Consumption '!P11</f>
        <v>2778</v>
      </c>
      <c r="G11" s="85">
        <f>'FEEDER Consumption '!S11</f>
        <v>1400</v>
      </c>
      <c r="H11" s="85">
        <f>'FEEDER Consumption '!V11</f>
        <v>487</v>
      </c>
      <c r="I11" s="85">
        <f>'FEEDER Consumption '!Y11</f>
        <v>6300</v>
      </c>
      <c r="J11" s="62">
        <f>'FEEDER Consumption '!AB11</f>
        <v>1700</v>
      </c>
      <c r="K11" s="85">
        <f>'FEEDER Consumption '!AE11</f>
        <v>524</v>
      </c>
      <c r="L11" s="92">
        <f t="shared" si="0"/>
        <v>4778</v>
      </c>
      <c r="M11" s="92">
        <f t="shared" si="1"/>
        <v>8000</v>
      </c>
      <c r="N11" s="92">
        <f t="shared" si="2"/>
        <v>1887</v>
      </c>
      <c r="O11" s="92">
        <f>'Focus Data'!I11</f>
        <v>30648</v>
      </c>
      <c r="P11" s="92">
        <f t="shared" si="3"/>
        <v>15.589924301748889</v>
      </c>
      <c r="Q11" s="92">
        <f t="shared" si="4"/>
        <v>26.102845210127903</v>
      </c>
      <c r="R11" s="92">
        <f t="shared" si="5"/>
        <v>6.1570086139389186</v>
      </c>
    </row>
    <row r="12" spans="1:18" ht="13.5" customHeight="1" x14ac:dyDescent="0.2">
      <c r="A12" s="82">
        <v>4</v>
      </c>
      <c r="B12" s="87">
        <f>'FEEDER Consumption '!D12</f>
        <v>3488</v>
      </c>
      <c r="C12" s="85">
        <f>'FEEDER Consumption '!G12</f>
        <v>5371</v>
      </c>
      <c r="D12" s="85">
        <f>'FEEDER Consumption '!J12</f>
        <v>13585</v>
      </c>
      <c r="E12" s="85">
        <f>'FEEDER Consumption '!M12</f>
        <v>2100</v>
      </c>
      <c r="F12" s="85">
        <f>'FEEDER Consumption '!P12</f>
        <v>2879</v>
      </c>
      <c r="G12" s="85">
        <f>'FEEDER Consumption '!S12</f>
        <v>1800</v>
      </c>
      <c r="H12" s="85">
        <f>'FEEDER Consumption '!V12</f>
        <v>502</v>
      </c>
      <c r="I12" s="85">
        <f>'FEEDER Consumption '!Y12</f>
        <v>6400</v>
      </c>
      <c r="J12" s="62">
        <f>'FEEDER Consumption '!AB12</f>
        <v>1700</v>
      </c>
      <c r="K12" s="85">
        <f>'FEEDER Consumption '!AE12</f>
        <v>482</v>
      </c>
      <c r="L12" s="92">
        <f t="shared" si="0"/>
        <v>4979</v>
      </c>
      <c r="M12" s="92">
        <f t="shared" si="1"/>
        <v>8100</v>
      </c>
      <c r="N12" s="92">
        <f t="shared" si="2"/>
        <v>2302</v>
      </c>
      <c r="O12" s="92">
        <f>'Focus Data'!I12</f>
        <v>31602</v>
      </c>
      <c r="P12" s="92">
        <f t="shared" si="3"/>
        <v>15.755331941016392</v>
      </c>
      <c r="Q12" s="92">
        <f t="shared" si="4"/>
        <v>25.631289158913994</v>
      </c>
      <c r="R12" s="92">
        <f t="shared" si="5"/>
        <v>7.2843490918296316</v>
      </c>
    </row>
    <row r="13" spans="1:18" ht="13.5" customHeight="1" x14ac:dyDescent="0.2">
      <c r="A13" s="82">
        <v>5</v>
      </c>
      <c r="B13" s="87">
        <f>'FEEDER Consumption '!D13</f>
        <v>3413</v>
      </c>
      <c r="C13" s="85">
        <f>'FEEDER Consumption '!G13</f>
        <v>4682</v>
      </c>
      <c r="D13" s="85">
        <f>'FEEDER Consumption '!J13</f>
        <v>12877</v>
      </c>
      <c r="E13" s="85">
        <f>'FEEDER Consumption '!M13</f>
        <v>2000</v>
      </c>
      <c r="F13" s="85">
        <f>'FEEDER Consumption '!P13</f>
        <v>2777</v>
      </c>
      <c r="G13" s="85">
        <f>'FEEDER Consumption '!S13</f>
        <v>1600</v>
      </c>
      <c r="H13" s="85">
        <f>'FEEDER Consumption '!V13</f>
        <v>495</v>
      </c>
      <c r="I13" s="85">
        <f>'FEEDER Consumption '!Y13</f>
        <v>6000</v>
      </c>
      <c r="J13" s="62">
        <f>'FEEDER Consumption '!AB13</f>
        <v>1700</v>
      </c>
      <c r="K13" s="85">
        <f>'FEEDER Consumption '!AE13</f>
        <v>437</v>
      </c>
      <c r="L13" s="92">
        <f t="shared" si="0"/>
        <v>4777</v>
      </c>
      <c r="M13" s="92">
        <f t="shared" si="1"/>
        <v>7700</v>
      </c>
      <c r="N13" s="92">
        <f t="shared" si="2"/>
        <v>2095</v>
      </c>
      <c r="O13" s="92">
        <f>'Focus Data'!I13</f>
        <v>30144</v>
      </c>
      <c r="P13" s="92">
        <f t="shared" si="3"/>
        <v>15.847266454352441</v>
      </c>
      <c r="Q13" s="92">
        <f t="shared" si="4"/>
        <v>25.544055201698512</v>
      </c>
      <c r="R13" s="92">
        <f t="shared" si="5"/>
        <v>6.9499734607218686</v>
      </c>
    </row>
    <row r="14" spans="1:18" ht="13.5" customHeight="1" x14ac:dyDescent="0.2">
      <c r="A14" s="82">
        <v>6</v>
      </c>
      <c r="B14" s="87">
        <f>'FEEDER Consumption '!D14</f>
        <v>3362</v>
      </c>
      <c r="C14" s="85">
        <f>'FEEDER Consumption '!G14</f>
        <v>4460</v>
      </c>
      <c r="D14" s="85">
        <f>'FEEDER Consumption '!J14</f>
        <v>12746</v>
      </c>
      <c r="E14" s="85">
        <f>'FEEDER Consumption '!M14</f>
        <v>2000</v>
      </c>
      <c r="F14" s="85">
        <f>'FEEDER Consumption '!P14</f>
        <v>2677</v>
      </c>
      <c r="G14" s="85">
        <f>'FEEDER Consumption '!S14</f>
        <v>1500</v>
      </c>
      <c r="H14" s="85">
        <f>'FEEDER Consumption '!V14</f>
        <v>447</v>
      </c>
      <c r="I14" s="85">
        <f>'FEEDER Consumption '!Y14</f>
        <v>5900</v>
      </c>
      <c r="J14" s="62">
        <f>'FEEDER Consumption '!AB14</f>
        <v>1900</v>
      </c>
      <c r="K14" s="85">
        <f>'FEEDER Consumption '!AE14</f>
        <v>392</v>
      </c>
      <c r="L14" s="92">
        <f t="shared" si="0"/>
        <v>4677</v>
      </c>
      <c r="M14" s="92">
        <f t="shared" si="1"/>
        <v>7800</v>
      </c>
      <c r="N14" s="92">
        <f t="shared" si="2"/>
        <v>1947</v>
      </c>
      <c r="O14" s="92">
        <f>'Focus Data'!I14</f>
        <v>30171</v>
      </c>
      <c r="P14" s="92">
        <f t="shared" si="3"/>
        <v>15.501640648304665</v>
      </c>
      <c r="Q14" s="92">
        <f t="shared" si="4"/>
        <v>25.85263995227205</v>
      </c>
      <c r="R14" s="92">
        <f t="shared" si="5"/>
        <v>6.4532166650094469</v>
      </c>
    </row>
    <row r="15" spans="1:18" ht="13.5" customHeight="1" x14ac:dyDescent="0.2">
      <c r="A15" s="82">
        <v>7</v>
      </c>
      <c r="B15" s="87">
        <f>'FEEDER Consumption '!D15</f>
        <v>3480</v>
      </c>
      <c r="C15" s="85">
        <f>'FEEDER Consumption '!G15</f>
        <v>4671</v>
      </c>
      <c r="D15" s="85">
        <f>'FEEDER Consumption '!J15</f>
        <v>13417</v>
      </c>
      <c r="E15" s="85">
        <f>'FEEDER Consumption '!M15</f>
        <v>2100</v>
      </c>
      <c r="F15" s="85">
        <f>'FEEDER Consumption '!P15</f>
        <v>2838</v>
      </c>
      <c r="G15" s="85">
        <f>'FEEDER Consumption '!S15</f>
        <v>1800</v>
      </c>
      <c r="H15" s="85">
        <f>'FEEDER Consumption '!V15</f>
        <v>483</v>
      </c>
      <c r="I15" s="85">
        <f>'FEEDER Consumption '!Y15</f>
        <v>6500</v>
      </c>
      <c r="J15" s="62">
        <f>'FEEDER Consumption '!AB15</f>
        <v>1700</v>
      </c>
      <c r="K15" s="85">
        <f>'FEEDER Consumption '!AE15</f>
        <v>424</v>
      </c>
      <c r="L15" s="92">
        <f t="shared" si="0"/>
        <v>4938</v>
      </c>
      <c r="M15" s="92">
        <f t="shared" si="1"/>
        <v>8200</v>
      </c>
      <c r="N15" s="92">
        <f t="shared" si="2"/>
        <v>2283</v>
      </c>
      <c r="O15" s="92">
        <f>'Focus Data'!I15</f>
        <v>30658</v>
      </c>
      <c r="P15" s="92">
        <f t="shared" si="3"/>
        <v>16.106725813816951</v>
      </c>
      <c r="Q15" s="92">
        <f t="shared" si="4"/>
        <v>26.74668928175354</v>
      </c>
      <c r="R15" s="92">
        <f t="shared" si="5"/>
        <v>7.4466697110052849</v>
      </c>
    </row>
    <row r="16" spans="1:18" ht="13.5" customHeight="1" x14ac:dyDescent="0.2">
      <c r="A16" s="82">
        <v>8</v>
      </c>
      <c r="B16" s="87">
        <f>'FEEDER Consumption '!D16</f>
        <v>3706</v>
      </c>
      <c r="C16" s="85">
        <f>'FEEDER Consumption '!G16</f>
        <v>4998</v>
      </c>
      <c r="D16" s="85">
        <f>'FEEDER Consumption '!J16</f>
        <v>13885</v>
      </c>
      <c r="E16" s="85">
        <f>'FEEDER Consumption '!M16</f>
        <v>2000</v>
      </c>
      <c r="F16" s="85">
        <f>'FEEDER Consumption '!P16</f>
        <v>2921</v>
      </c>
      <c r="G16" s="85">
        <f>'FEEDER Consumption '!S16</f>
        <v>1800</v>
      </c>
      <c r="H16" s="85">
        <f>'FEEDER Consumption '!V16</f>
        <v>531</v>
      </c>
      <c r="I16" s="85">
        <f>'FEEDER Consumption '!Y16</f>
        <v>6600</v>
      </c>
      <c r="J16" s="62">
        <f>'FEEDER Consumption '!AB16</f>
        <v>1800</v>
      </c>
      <c r="K16" s="85">
        <f>'FEEDER Consumption '!AE16</f>
        <v>489</v>
      </c>
      <c r="L16" s="92">
        <f t="shared" si="0"/>
        <v>4921</v>
      </c>
      <c r="M16" s="92">
        <f t="shared" si="1"/>
        <v>8400</v>
      </c>
      <c r="N16" s="92">
        <f t="shared" si="2"/>
        <v>2331</v>
      </c>
      <c r="O16" s="92">
        <f>'Focus Data'!I16</f>
        <v>31742</v>
      </c>
      <c r="P16" s="92">
        <f t="shared" si="3"/>
        <v>15.503118896099805</v>
      </c>
      <c r="Q16" s="92">
        <f t="shared" si="4"/>
        <v>26.463360846827545</v>
      </c>
      <c r="R16" s="92">
        <f t="shared" si="5"/>
        <v>7.343582634994644</v>
      </c>
    </row>
    <row r="17" spans="1:18" ht="13.5" customHeight="1" x14ac:dyDescent="0.2">
      <c r="A17" s="82">
        <v>9</v>
      </c>
      <c r="B17" s="87">
        <f>'FEEDER Consumption '!D17</f>
        <v>3467</v>
      </c>
      <c r="C17" s="85">
        <f>'FEEDER Consumption '!G17</f>
        <v>4840</v>
      </c>
      <c r="D17" s="85">
        <f>'FEEDER Consumption '!J17</f>
        <v>13318</v>
      </c>
      <c r="E17" s="85">
        <f>'FEEDER Consumption '!M17</f>
        <v>2000</v>
      </c>
      <c r="F17" s="85">
        <f>'FEEDER Consumption '!P17</f>
        <v>2698</v>
      </c>
      <c r="G17" s="85">
        <f>'FEEDER Consumption '!S17</f>
        <v>1600</v>
      </c>
      <c r="H17" s="85">
        <f>'FEEDER Consumption '!V17</f>
        <v>504</v>
      </c>
      <c r="I17" s="85">
        <f>'FEEDER Consumption '!Y17</f>
        <v>6400</v>
      </c>
      <c r="J17" s="62">
        <f>'FEEDER Consumption '!AB17</f>
        <v>1800</v>
      </c>
      <c r="K17" s="85">
        <f>'FEEDER Consumption '!AE17</f>
        <v>427</v>
      </c>
      <c r="L17" s="92">
        <f t="shared" si="0"/>
        <v>4698</v>
      </c>
      <c r="M17" s="92">
        <f t="shared" si="1"/>
        <v>8200</v>
      </c>
      <c r="N17" s="92">
        <f t="shared" si="2"/>
        <v>2104</v>
      </c>
      <c r="O17" s="92">
        <f>'Focus Data'!I17</f>
        <v>30911</v>
      </c>
      <c r="P17" s="92">
        <f t="shared" si="3"/>
        <v>15.198473035488984</v>
      </c>
      <c r="Q17" s="92">
        <f t="shared" si="4"/>
        <v>26.527773284591245</v>
      </c>
      <c r="R17" s="92">
        <f t="shared" si="5"/>
        <v>6.8066384135097531</v>
      </c>
    </row>
    <row r="18" spans="1:18" ht="13.5" customHeight="1" x14ac:dyDescent="0.2">
      <c r="A18" s="82">
        <v>10</v>
      </c>
      <c r="B18" s="87">
        <f>'FEEDER Consumption '!D18</f>
        <v>3500</v>
      </c>
      <c r="C18" s="85">
        <f>'FEEDER Consumption '!G18</f>
        <v>4536</v>
      </c>
      <c r="D18" s="85">
        <f>'FEEDER Consumption '!J18</f>
        <v>13649</v>
      </c>
      <c r="E18" s="85">
        <f>'FEEDER Consumption '!M18</f>
        <v>2000</v>
      </c>
      <c r="F18" s="85">
        <f>'FEEDER Consumption '!P18</f>
        <v>2701</v>
      </c>
      <c r="G18" s="85">
        <f>'FEEDER Consumption '!S18</f>
        <v>1900</v>
      </c>
      <c r="H18" s="85">
        <f>'FEEDER Consumption '!V18</f>
        <v>546</v>
      </c>
      <c r="I18" s="85">
        <f>'FEEDER Consumption '!Y18</f>
        <v>6500</v>
      </c>
      <c r="J18" s="62">
        <f>'FEEDER Consumption '!AB18</f>
        <v>1800</v>
      </c>
      <c r="K18" s="85">
        <f>'FEEDER Consumption '!AE18</f>
        <v>423</v>
      </c>
      <c r="L18" s="92">
        <f t="shared" si="0"/>
        <v>4701</v>
      </c>
      <c r="M18" s="92">
        <f t="shared" si="1"/>
        <v>8300</v>
      </c>
      <c r="N18" s="92">
        <f t="shared" si="2"/>
        <v>2446</v>
      </c>
      <c r="O18" s="92">
        <f>'Focus Data'!I18</f>
        <v>30712</v>
      </c>
      <c r="P18" s="92">
        <f t="shared" si="3"/>
        <v>15.306720500130242</v>
      </c>
      <c r="Q18" s="92">
        <f t="shared" si="4"/>
        <v>27.025266996613702</v>
      </c>
      <c r="R18" s="92">
        <f t="shared" si="5"/>
        <v>7.964313623339411</v>
      </c>
    </row>
    <row r="19" spans="1:18" ht="13.5" customHeight="1" x14ac:dyDescent="0.2">
      <c r="A19" s="82">
        <v>11</v>
      </c>
      <c r="B19" s="87">
        <f>'FEEDER Consumption '!D19</f>
        <v>3355</v>
      </c>
      <c r="C19" s="85">
        <f>'FEEDER Consumption '!G19</f>
        <v>4397</v>
      </c>
      <c r="D19" s="85">
        <f>'FEEDER Consumption '!J19</f>
        <v>13317</v>
      </c>
      <c r="E19" s="85">
        <f>'FEEDER Consumption '!M19</f>
        <v>1900</v>
      </c>
      <c r="F19" s="85">
        <f>'FEEDER Consumption '!P19</f>
        <v>2622</v>
      </c>
      <c r="G19" s="85">
        <f>'FEEDER Consumption '!S19</f>
        <v>1800</v>
      </c>
      <c r="H19" s="85">
        <f>'FEEDER Consumption '!V19</f>
        <v>588</v>
      </c>
      <c r="I19" s="85">
        <f>'FEEDER Consumption '!Y19</f>
        <v>5600</v>
      </c>
      <c r="J19" s="62">
        <f>'FEEDER Consumption '!AB19</f>
        <v>1600</v>
      </c>
      <c r="K19" s="85">
        <f>'FEEDER Consumption '!AE19</f>
        <v>419</v>
      </c>
      <c r="L19" s="92">
        <f t="shared" si="0"/>
        <v>4522</v>
      </c>
      <c r="M19" s="92">
        <f t="shared" si="1"/>
        <v>7200</v>
      </c>
      <c r="N19" s="92">
        <f t="shared" si="2"/>
        <v>2388</v>
      </c>
      <c r="O19" s="92">
        <f>'Focus Data'!I19</f>
        <v>29597</v>
      </c>
      <c r="P19" s="92">
        <f t="shared" si="3"/>
        <v>15.278575531303847</v>
      </c>
      <c r="Q19" s="92">
        <f t="shared" si="4"/>
        <v>24.326789877352432</v>
      </c>
      <c r="R19" s="92">
        <f t="shared" si="5"/>
        <v>8.06838530932189</v>
      </c>
    </row>
    <row r="20" spans="1:18" ht="13.5" customHeight="1" x14ac:dyDescent="0.2">
      <c r="A20" s="82">
        <v>12</v>
      </c>
      <c r="B20" s="87">
        <f>'FEEDER Consumption '!D20</f>
        <v>3328</v>
      </c>
      <c r="C20" s="85">
        <f>'FEEDER Consumption '!G20</f>
        <v>4175</v>
      </c>
      <c r="D20" s="85">
        <f>'FEEDER Consumption '!J20</f>
        <v>13466</v>
      </c>
      <c r="E20" s="85">
        <f>'FEEDER Consumption '!M20</f>
        <v>1900</v>
      </c>
      <c r="F20" s="85">
        <f>'FEEDER Consumption '!P20</f>
        <v>2623</v>
      </c>
      <c r="G20" s="85">
        <f>'FEEDER Consumption '!S20</f>
        <v>1800</v>
      </c>
      <c r="H20" s="85">
        <f>'FEEDER Consumption '!V20</f>
        <v>621</v>
      </c>
      <c r="I20" s="85">
        <f>'FEEDER Consumption '!Y20</f>
        <v>6100</v>
      </c>
      <c r="J20" s="62">
        <f>'FEEDER Consumption '!AB20</f>
        <v>2000</v>
      </c>
      <c r="K20" s="85">
        <f>'FEEDER Consumption '!AE20</f>
        <v>430</v>
      </c>
      <c r="L20" s="92">
        <f t="shared" si="0"/>
        <v>4523</v>
      </c>
      <c r="M20" s="92">
        <f t="shared" si="1"/>
        <v>8100</v>
      </c>
      <c r="N20" s="92">
        <f t="shared" si="2"/>
        <v>2421</v>
      </c>
      <c r="O20" s="92">
        <f>'Focus Data'!I20</f>
        <v>30123</v>
      </c>
      <c r="P20" s="92">
        <f t="shared" si="3"/>
        <v>15.015104737243966</v>
      </c>
      <c r="Q20" s="92">
        <f t="shared" si="4"/>
        <v>26.8897520167314</v>
      </c>
      <c r="R20" s="92">
        <f t="shared" si="5"/>
        <v>8.0370481027786074</v>
      </c>
    </row>
    <row r="21" spans="1:18" ht="13.5" customHeight="1" x14ac:dyDescent="0.2">
      <c r="A21" s="82">
        <v>13</v>
      </c>
      <c r="B21" s="87">
        <f>'FEEDER Consumption '!D21</f>
        <v>3475</v>
      </c>
      <c r="C21" s="85">
        <f>'FEEDER Consumption '!G21</f>
        <v>4446</v>
      </c>
      <c r="D21" s="85">
        <f>'FEEDER Consumption '!J21</f>
        <v>13155</v>
      </c>
      <c r="E21" s="85">
        <f>'FEEDER Consumption '!M21</f>
        <v>1800</v>
      </c>
      <c r="F21" s="85">
        <f>'FEEDER Consumption '!P21</f>
        <v>2647</v>
      </c>
      <c r="G21" s="85">
        <f>'FEEDER Consumption '!S21</f>
        <v>1700</v>
      </c>
      <c r="H21" s="85">
        <f>'FEEDER Consumption '!V21</f>
        <v>609</v>
      </c>
      <c r="I21" s="85">
        <f>'FEEDER Consumption '!Y21</f>
        <v>6100</v>
      </c>
      <c r="J21" s="62">
        <f>'FEEDER Consumption '!AB21</f>
        <v>2000</v>
      </c>
      <c r="K21" s="85">
        <f>'FEEDER Consumption '!AE21</f>
        <v>401</v>
      </c>
      <c r="L21" s="92">
        <f t="shared" si="0"/>
        <v>4447</v>
      </c>
      <c r="M21" s="92">
        <f t="shared" si="1"/>
        <v>8100</v>
      </c>
      <c r="N21" s="92">
        <f t="shared" si="2"/>
        <v>2309</v>
      </c>
      <c r="O21" s="92">
        <f>'Focus Data'!I21</f>
        <v>30705</v>
      </c>
      <c r="P21" s="92">
        <f t="shared" si="3"/>
        <v>14.482983227487379</v>
      </c>
      <c r="Q21" s="92">
        <f t="shared" si="4"/>
        <v>26.380068392769907</v>
      </c>
      <c r="R21" s="92">
        <f t="shared" si="5"/>
        <v>7.5199478912229276</v>
      </c>
    </row>
    <row r="22" spans="1:18" ht="13.5" customHeight="1" x14ac:dyDescent="0.2">
      <c r="A22" s="82">
        <v>14</v>
      </c>
      <c r="B22" s="87">
        <f>'FEEDER Consumption '!D22</f>
        <v>3635</v>
      </c>
      <c r="C22" s="85">
        <f>'FEEDER Consumption '!G22</f>
        <v>4594</v>
      </c>
      <c r="D22" s="85">
        <f>'FEEDER Consumption '!J22</f>
        <v>14035</v>
      </c>
      <c r="E22" s="85">
        <f>'FEEDER Consumption '!M22</f>
        <v>1900</v>
      </c>
      <c r="F22" s="85">
        <f>'FEEDER Consumption '!P22</f>
        <v>2712</v>
      </c>
      <c r="G22" s="85">
        <f>'FEEDER Consumption '!S22</f>
        <v>2000</v>
      </c>
      <c r="H22" s="85">
        <f>'FEEDER Consumption '!V22</f>
        <v>647</v>
      </c>
      <c r="I22" s="85">
        <f>'FEEDER Consumption '!Y22</f>
        <v>6700</v>
      </c>
      <c r="J22" s="62">
        <f>'FEEDER Consumption '!AB22</f>
        <v>1900</v>
      </c>
      <c r="K22" s="85">
        <f>'FEEDER Consumption '!AE22</f>
        <v>595</v>
      </c>
      <c r="L22" s="92">
        <f t="shared" si="0"/>
        <v>4612</v>
      </c>
      <c r="M22" s="92">
        <f t="shared" si="1"/>
        <v>8600</v>
      </c>
      <c r="N22" s="92">
        <f t="shared" si="2"/>
        <v>2647</v>
      </c>
      <c r="O22" s="92">
        <f>'Focus Data'!I22</f>
        <v>31482</v>
      </c>
      <c r="P22" s="92">
        <f t="shared" si="3"/>
        <v>14.649641064735405</v>
      </c>
      <c r="Q22" s="92">
        <f t="shared" si="4"/>
        <v>27.317197128517883</v>
      </c>
      <c r="R22" s="92">
        <f t="shared" si="5"/>
        <v>8.4079791626961438</v>
      </c>
    </row>
    <row r="23" spans="1:18" ht="13.5" customHeight="1" x14ac:dyDescent="0.2">
      <c r="A23" s="82">
        <v>15</v>
      </c>
      <c r="B23" s="87">
        <f>'FEEDER Consumption '!D23</f>
        <v>3720</v>
      </c>
      <c r="C23" s="85">
        <f>'FEEDER Consumption '!G23</f>
        <v>4489</v>
      </c>
      <c r="D23" s="85">
        <f>'FEEDER Consumption '!J23</f>
        <v>14392</v>
      </c>
      <c r="E23" s="85">
        <f>'FEEDER Consumption '!M23</f>
        <v>1900</v>
      </c>
      <c r="F23" s="85">
        <f>'FEEDER Consumption '!P23</f>
        <v>2734</v>
      </c>
      <c r="G23" s="85">
        <f>'FEEDER Consumption '!S23</f>
        <v>2400</v>
      </c>
      <c r="H23" s="85">
        <f>'FEEDER Consumption '!V23</f>
        <v>541</v>
      </c>
      <c r="I23" s="85">
        <f>'FEEDER Consumption '!Y23</f>
        <v>6700</v>
      </c>
      <c r="J23" s="62">
        <f>'FEEDER Consumption '!AB23</f>
        <v>2100</v>
      </c>
      <c r="K23" s="85">
        <f>'FEEDER Consumption '!AE23</f>
        <v>177</v>
      </c>
      <c r="L23" s="92">
        <f t="shared" si="0"/>
        <v>4634</v>
      </c>
      <c r="M23" s="92">
        <f t="shared" si="1"/>
        <v>8800</v>
      </c>
      <c r="N23" s="92">
        <f t="shared" si="2"/>
        <v>2941</v>
      </c>
      <c r="O23" s="92">
        <f>'Focus Data'!I23</f>
        <v>32298</v>
      </c>
      <c r="P23" s="92">
        <f t="shared" si="3"/>
        <v>14.347637624620718</v>
      </c>
      <c r="Q23" s="92">
        <f t="shared" si="4"/>
        <v>27.246269118830885</v>
      </c>
      <c r="R23" s="92">
        <f t="shared" si="5"/>
        <v>9.1058269861910954</v>
      </c>
    </row>
    <row r="24" spans="1:18" ht="13.5" customHeight="1" x14ac:dyDescent="0.2">
      <c r="A24" s="82">
        <v>16</v>
      </c>
      <c r="B24" s="87">
        <f>'FEEDER Consumption '!D24</f>
        <v>3685</v>
      </c>
      <c r="C24" s="85">
        <f>'FEEDER Consumption '!G24</f>
        <v>4342</v>
      </c>
      <c r="D24" s="85">
        <f>'FEEDER Consumption '!J24</f>
        <v>13825</v>
      </c>
      <c r="E24" s="85">
        <f>'FEEDER Consumption '!M24</f>
        <v>1900</v>
      </c>
      <c r="F24" s="85">
        <f>'FEEDER Consumption '!P24</f>
        <v>2645</v>
      </c>
      <c r="G24" s="85">
        <f>'FEEDER Consumption '!S24</f>
        <v>1600</v>
      </c>
      <c r="H24" s="85">
        <f>'FEEDER Consumption '!V24</f>
        <v>611</v>
      </c>
      <c r="I24" s="85">
        <f>'FEEDER Consumption '!Y24</f>
        <v>6500</v>
      </c>
      <c r="J24" s="62">
        <f>'FEEDER Consumption '!AB24</f>
        <v>2500</v>
      </c>
      <c r="K24" s="85">
        <f>'FEEDER Consumption '!AE24</f>
        <v>401</v>
      </c>
      <c r="L24" s="92">
        <f t="shared" si="0"/>
        <v>4545</v>
      </c>
      <c r="M24" s="92">
        <f t="shared" si="1"/>
        <v>9000</v>
      </c>
      <c r="N24" s="92">
        <f t="shared" si="2"/>
        <v>2211</v>
      </c>
      <c r="O24" s="92">
        <f>'Focus Data'!I24</f>
        <v>31965</v>
      </c>
      <c r="P24" s="92">
        <f t="shared" si="3"/>
        <v>14.218676677616143</v>
      </c>
      <c r="Q24" s="92">
        <f t="shared" si="4"/>
        <v>28.155795401220086</v>
      </c>
      <c r="R24" s="92">
        <f t="shared" si="5"/>
        <v>6.9169404035664011</v>
      </c>
    </row>
    <row r="25" spans="1:18" ht="13.5" customHeight="1" x14ac:dyDescent="0.2">
      <c r="A25" s="82">
        <v>17</v>
      </c>
      <c r="B25" s="87">
        <f>'FEEDER Consumption '!D25</f>
        <v>3784</v>
      </c>
      <c r="C25" s="85">
        <f>'FEEDER Consumption '!G25</f>
        <v>5021</v>
      </c>
      <c r="D25" s="85">
        <f>'FEEDER Consumption '!J25</f>
        <v>14463</v>
      </c>
      <c r="E25" s="85">
        <f>'FEEDER Consumption '!M25</f>
        <v>1900</v>
      </c>
      <c r="F25" s="85">
        <f>'FEEDER Consumption '!P25</f>
        <v>2634</v>
      </c>
      <c r="G25" s="85">
        <f>'FEEDER Consumption '!S25</f>
        <v>2200</v>
      </c>
      <c r="H25" s="85">
        <f>'FEEDER Consumption '!V25</f>
        <v>627</v>
      </c>
      <c r="I25" s="85">
        <f>'FEEDER Consumption '!Y25</f>
        <v>7100</v>
      </c>
      <c r="J25" s="62">
        <f>'FEEDER Consumption '!AB25</f>
        <v>2100</v>
      </c>
      <c r="K25" s="85">
        <f>'FEEDER Consumption '!AE25</f>
        <v>424</v>
      </c>
      <c r="L25" s="92">
        <f t="shared" si="0"/>
        <v>4534</v>
      </c>
      <c r="M25" s="92">
        <f t="shared" si="1"/>
        <v>9200</v>
      </c>
      <c r="N25" s="92">
        <f t="shared" si="2"/>
        <v>2827</v>
      </c>
      <c r="O25" s="92">
        <f>'Focus Data'!I25</f>
        <v>32818</v>
      </c>
      <c r="P25" s="92">
        <f t="shared" si="3"/>
        <v>13.815589006033274</v>
      </c>
      <c r="Q25" s="92">
        <f t="shared" si="4"/>
        <v>28.033396306904748</v>
      </c>
      <c r="R25" s="92">
        <f t="shared" si="5"/>
        <v>8.6141751477847528</v>
      </c>
    </row>
    <row r="26" spans="1:18" ht="13.5" customHeight="1" x14ac:dyDescent="0.2">
      <c r="A26" s="82">
        <v>18</v>
      </c>
      <c r="B26" s="87">
        <f>'FEEDER Consumption '!D26</f>
        <v>3865</v>
      </c>
      <c r="C26" s="85">
        <f>'FEEDER Consumption '!G26</f>
        <v>5195</v>
      </c>
      <c r="D26" s="85">
        <f>'FEEDER Consumption '!J26</f>
        <v>14725</v>
      </c>
      <c r="E26" s="85">
        <f>'FEEDER Consumption '!M26</f>
        <v>2100</v>
      </c>
      <c r="F26" s="85">
        <f>'FEEDER Consumption '!P26</f>
        <v>2680</v>
      </c>
      <c r="G26" s="85">
        <f>'FEEDER Consumption '!S26</f>
        <v>1800</v>
      </c>
      <c r="H26" s="85">
        <f>'FEEDER Consumption '!V26</f>
        <v>710</v>
      </c>
      <c r="I26" s="85">
        <f>'FEEDER Consumption '!Y26</f>
        <v>6800</v>
      </c>
      <c r="J26" s="62">
        <f>'FEEDER Consumption '!AB26</f>
        <v>2400</v>
      </c>
      <c r="K26" s="85">
        <f>'FEEDER Consumption '!AE26</f>
        <v>381</v>
      </c>
      <c r="L26" s="92">
        <f t="shared" si="0"/>
        <v>4780</v>
      </c>
      <c r="M26" s="92">
        <f t="shared" si="1"/>
        <v>9200</v>
      </c>
      <c r="N26" s="92">
        <f t="shared" si="2"/>
        <v>2510</v>
      </c>
      <c r="O26" s="92">
        <f>'Focus Data'!I26</f>
        <v>33468</v>
      </c>
      <c r="P26" s="92">
        <f t="shared" si="3"/>
        <v>14.282299509979682</v>
      </c>
      <c r="Q26" s="92">
        <f t="shared" si="4"/>
        <v>27.48894466355922</v>
      </c>
      <c r="R26" s="92">
        <f t="shared" si="5"/>
        <v>7.4997012071232216</v>
      </c>
    </row>
    <row r="27" spans="1:18" ht="13.5" customHeight="1" x14ac:dyDescent="0.2">
      <c r="A27" s="82">
        <v>19</v>
      </c>
      <c r="B27" s="87">
        <f>'FEEDER Consumption '!D27</f>
        <v>3981</v>
      </c>
      <c r="C27" s="85">
        <f>'FEEDER Consumption '!G27</f>
        <v>5356</v>
      </c>
      <c r="D27" s="85">
        <f>'FEEDER Consumption '!J27</f>
        <v>15134</v>
      </c>
      <c r="E27" s="85">
        <f>'FEEDER Consumption '!M27</f>
        <v>2200</v>
      </c>
      <c r="F27" s="85">
        <f>'FEEDER Consumption '!P27</f>
        <v>2817</v>
      </c>
      <c r="G27" s="85">
        <f>'FEEDER Consumption '!S27</f>
        <v>1900</v>
      </c>
      <c r="H27" s="85">
        <f>'FEEDER Consumption '!V27</f>
        <v>757</v>
      </c>
      <c r="I27" s="85">
        <f>'FEEDER Consumption '!Y27</f>
        <v>6300</v>
      </c>
      <c r="J27" s="62">
        <f>'FEEDER Consumption '!AB27</f>
        <v>2400</v>
      </c>
      <c r="K27" s="85">
        <f>'FEEDER Consumption '!AE27</f>
        <v>505</v>
      </c>
      <c r="L27" s="92">
        <f t="shared" si="0"/>
        <v>5017</v>
      </c>
      <c r="M27" s="92">
        <f t="shared" si="1"/>
        <v>8700</v>
      </c>
      <c r="N27" s="92">
        <f t="shared" si="2"/>
        <v>2657</v>
      </c>
      <c r="O27" s="92">
        <f>'Focus Data'!I27</f>
        <v>34184</v>
      </c>
      <c r="P27" s="92">
        <f t="shared" si="3"/>
        <v>14.676456821904987</v>
      </c>
      <c r="Q27" s="92">
        <f t="shared" si="4"/>
        <v>25.450503159372808</v>
      </c>
      <c r="R27" s="92">
        <f t="shared" si="5"/>
        <v>7.7726421717762699</v>
      </c>
    </row>
    <row r="28" spans="1:18" ht="13.5" customHeight="1" x14ac:dyDescent="0.2">
      <c r="A28" s="82">
        <v>20</v>
      </c>
      <c r="B28" s="87">
        <f>'FEEDER Consumption '!D28</f>
        <v>3838</v>
      </c>
      <c r="C28" s="85">
        <f>'FEEDER Consumption '!G28</f>
        <v>5169</v>
      </c>
      <c r="D28" s="85">
        <f>'FEEDER Consumption '!J28</f>
        <v>14762</v>
      </c>
      <c r="E28" s="85">
        <f>'FEEDER Consumption '!M28</f>
        <v>1900</v>
      </c>
      <c r="F28" s="85">
        <f>'FEEDER Consumption '!P28</f>
        <v>2610</v>
      </c>
      <c r="G28" s="85">
        <f>'FEEDER Consumption '!S28</f>
        <v>2000</v>
      </c>
      <c r="H28" s="85">
        <f>'FEEDER Consumption '!V28</f>
        <v>761</v>
      </c>
      <c r="I28" s="85">
        <f>'FEEDER Consumption '!Y28</f>
        <v>6300</v>
      </c>
      <c r="J28" s="62">
        <f>'FEEDER Consumption '!AB28</f>
        <v>2300</v>
      </c>
      <c r="K28" s="85">
        <f>'FEEDER Consumption '!AE28</f>
        <v>430</v>
      </c>
      <c r="L28" s="92">
        <f t="shared" si="0"/>
        <v>4510</v>
      </c>
      <c r="M28" s="92">
        <f t="shared" si="1"/>
        <v>8600</v>
      </c>
      <c r="N28" s="92">
        <f t="shared" si="2"/>
        <v>2761</v>
      </c>
      <c r="O28" s="92">
        <f>'Focus Data'!I28</f>
        <v>33382</v>
      </c>
      <c r="P28" s="92">
        <f t="shared" si="3"/>
        <v>13.510274998502187</v>
      </c>
      <c r="Q28" s="92">
        <f t="shared" si="4"/>
        <v>25.762386915103949</v>
      </c>
      <c r="R28" s="92">
        <f t="shared" si="5"/>
        <v>8.2709244503025587</v>
      </c>
    </row>
    <row r="29" spans="1:18" ht="13.5" customHeight="1" x14ac:dyDescent="0.2">
      <c r="A29" s="82">
        <v>21</v>
      </c>
      <c r="B29" s="87">
        <f>'FEEDER Consumption '!D29</f>
        <v>-25267670</v>
      </c>
      <c r="C29" s="85">
        <f>'FEEDER Consumption '!G29</f>
        <v>-22213930</v>
      </c>
      <c r="D29" s="85">
        <f>'FEEDER Consumption '!J29</f>
        <v>-84413932</v>
      </c>
      <c r="E29" s="85">
        <f>'FEEDER Consumption '!M29</f>
        <v>-1827200</v>
      </c>
      <c r="F29" s="85">
        <f>'FEEDER Consumption '!P29</f>
        <v>-2470243</v>
      </c>
      <c r="G29" s="85">
        <f>'FEEDER Consumption '!S29</f>
        <v>-1495100</v>
      </c>
      <c r="H29" s="85">
        <f>'FEEDER Consumption '!V29</f>
        <v>-689639</v>
      </c>
      <c r="I29" s="85">
        <f>'FEEDER Consumption '!Y29</f>
        <v>-7149900</v>
      </c>
      <c r="J29" s="62">
        <f>'FEEDER Consumption '!AB29</f>
        <v>-1595300</v>
      </c>
      <c r="K29" s="85">
        <f>'FEEDER Consumption '!AE29</f>
        <v>-464151</v>
      </c>
      <c r="L29" s="92">
        <f t="shared" si="0"/>
        <v>-4297443</v>
      </c>
      <c r="M29" s="92">
        <f t="shared" si="1"/>
        <v>-8745200</v>
      </c>
      <c r="N29" s="92">
        <f t="shared" si="2"/>
        <v>-2184739</v>
      </c>
      <c r="O29" s="92">
        <f>'Focus Data'!I29</f>
        <v>-89890395</v>
      </c>
      <c r="P29" s="92">
        <f t="shared" si="3"/>
        <v>4.7807588341335023</v>
      </c>
      <c r="Q29" s="92">
        <f t="shared" si="4"/>
        <v>9.7287368689391123</v>
      </c>
      <c r="R29" s="92">
        <f t="shared" si="5"/>
        <v>2.4304476579505518</v>
      </c>
    </row>
    <row r="30" spans="1:18" ht="13.5" customHeight="1" x14ac:dyDescent="0.2">
      <c r="A30" s="82">
        <v>22</v>
      </c>
      <c r="B30" s="87">
        <f>'FEEDER Consumption '!D30</f>
        <v>0</v>
      </c>
      <c r="C30" s="85">
        <f>'FEEDER Consumption '!G30</f>
        <v>0</v>
      </c>
      <c r="D30" s="85">
        <f>'FEEDER Consumption '!J30</f>
        <v>0</v>
      </c>
      <c r="E30" s="85">
        <f>'FEEDER Consumption '!M30</f>
        <v>0</v>
      </c>
      <c r="F30" s="85">
        <f>'FEEDER Consumption '!P30</f>
        <v>0</v>
      </c>
      <c r="G30" s="85">
        <f>'FEEDER Consumption '!S30</f>
        <v>0</v>
      </c>
      <c r="H30" s="85">
        <f>'FEEDER Consumption '!V30</f>
        <v>0</v>
      </c>
      <c r="I30" s="85">
        <f>'FEEDER Consumption '!Y30</f>
        <v>0</v>
      </c>
      <c r="J30" s="62">
        <f>'FEEDER Consumption '!AB30</f>
        <v>0</v>
      </c>
      <c r="K30" s="85">
        <f>'FEEDER Consumption '!AE30</f>
        <v>0</v>
      </c>
      <c r="L30" s="92">
        <f t="shared" si="0"/>
        <v>0</v>
      </c>
      <c r="M30" s="92">
        <f t="shared" si="1"/>
        <v>0</v>
      </c>
      <c r="N30" s="92">
        <f t="shared" si="2"/>
        <v>0</v>
      </c>
      <c r="O30" s="92">
        <f>'Focus Data'!I30</f>
        <v>0</v>
      </c>
      <c r="P30" s="92" t="e">
        <f t="shared" si="3"/>
        <v>#DIV/0!</v>
      </c>
      <c r="Q30" s="92" t="e">
        <f t="shared" si="4"/>
        <v>#DIV/0!</v>
      </c>
      <c r="R30" s="92" t="e">
        <f t="shared" si="5"/>
        <v>#DIV/0!</v>
      </c>
    </row>
    <row r="31" spans="1:18" ht="13.5" customHeight="1" x14ac:dyDescent="0.2">
      <c r="A31" s="82">
        <v>23</v>
      </c>
      <c r="B31" s="87">
        <f>'FEEDER Consumption '!D31</f>
        <v>0</v>
      </c>
      <c r="C31" s="85">
        <f>'FEEDER Consumption '!G31</f>
        <v>0</v>
      </c>
      <c r="D31" s="85">
        <f>'FEEDER Consumption '!J31</f>
        <v>0</v>
      </c>
      <c r="E31" s="85">
        <f>'FEEDER Consumption '!M31</f>
        <v>0</v>
      </c>
      <c r="F31" s="85">
        <f>'FEEDER Consumption '!P31</f>
        <v>0</v>
      </c>
      <c r="G31" s="85">
        <f>'FEEDER Consumption '!S31</f>
        <v>0</v>
      </c>
      <c r="H31" s="85">
        <f>'FEEDER Consumption '!V31</f>
        <v>0</v>
      </c>
      <c r="I31" s="85">
        <f>'FEEDER Consumption '!Y31</f>
        <v>0</v>
      </c>
      <c r="J31" s="62">
        <f>'FEEDER Consumption '!AB31</f>
        <v>0</v>
      </c>
      <c r="K31" s="85">
        <f>'FEEDER Consumption '!AE31</f>
        <v>0</v>
      </c>
      <c r="L31" s="92">
        <f t="shared" si="0"/>
        <v>0</v>
      </c>
      <c r="M31" s="92">
        <f t="shared" si="1"/>
        <v>0</v>
      </c>
      <c r="N31" s="92">
        <f t="shared" si="2"/>
        <v>0</v>
      </c>
      <c r="O31" s="92">
        <f>'Focus Data'!I31</f>
        <v>0</v>
      </c>
      <c r="P31" s="92" t="e">
        <f t="shared" si="3"/>
        <v>#DIV/0!</v>
      </c>
      <c r="Q31" s="92" t="e">
        <f t="shared" si="4"/>
        <v>#DIV/0!</v>
      </c>
      <c r="R31" s="92" t="e">
        <f t="shared" si="5"/>
        <v>#DIV/0!</v>
      </c>
    </row>
    <row r="32" spans="1:18" ht="13.5" customHeight="1" x14ac:dyDescent="0.2">
      <c r="A32" s="82">
        <v>24</v>
      </c>
      <c r="B32" s="87">
        <f>'FEEDER Consumption '!D32</f>
        <v>0</v>
      </c>
      <c r="C32" s="85">
        <f>'FEEDER Consumption '!G32</f>
        <v>0</v>
      </c>
      <c r="D32" s="85">
        <f>'FEEDER Consumption '!J32</f>
        <v>0</v>
      </c>
      <c r="E32" s="85">
        <f>'FEEDER Consumption '!M32</f>
        <v>0</v>
      </c>
      <c r="F32" s="85">
        <f>'FEEDER Consumption '!P32</f>
        <v>0</v>
      </c>
      <c r="G32" s="85">
        <f>'FEEDER Consumption '!S32</f>
        <v>0</v>
      </c>
      <c r="H32" s="85">
        <f>'FEEDER Consumption '!V32</f>
        <v>0</v>
      </c>
      <c r="I32" s="85">
        <f>'FEEDER Consumption '!Y32</f>
        <v>0</v>
      </c>
      <c r="J32" s="62">
        <f>'FEEDER Consumption '!AB32</f>
        <v>0</v>
      </c>
      <c r="K32" s="85">
        <f>'FEEDER Consumption '!AE32</f>
        <v>0</v>
      </c>
      <c r="L32" s="92">
        <f t="shared" si="0"/>
        <v>0</v>
      </c>
      <c r="M32" s="92">
        <f t="shared" si="1"/>
        <v>0</v>
      </c>
      <c r="N32" s="92">
        <f t="shared" si="2"/>
        <v>0</v>
      </c>
      <c r="O32" s="92">
        <f>'Focus Data'!I32</f>
        <v>0</v>
      </c>
      <c r="P32" s="92" t="e">
        <f t="shared" si="3"/>
        <v>#DIV/0!</v>
      </c>
      <c r="Q32" s="92" t="e">
        <f t="shared" si="4"/>
        <v>#DIV/0!</v>
      </c>
      <c r="R32" s="92" t="e">
        <f t="shared" si="5"/>
        <v>#DIV/0!</v>
      </c>
    </row>
    <row r="33" spans="1:18" ht="13.5" customHeight="1" x14ac:dyDescent="0.2">
      <c r="A33" s="82">
        <v>25</v>
      </c>
      <c r="B33" s="87">
        <f>'FEEDER Consumption '!D33</f>
        <v>0</v>
      </c>
      <c r="C33" s="85">
        <f>'FEEDER Consumption '!G33</f>
        <v>0</v>
      </c>
      <c r="D33" s="85">
        <f>'FEEDER Consumption '!J33</f>
        <v>0</v>
      </c>
      <c r="E33" s="85">
        <f>'FEEDER Consumption '!M33</f>
        <v>0</v>
      </c>
      <c r="F33" s="85">
        <f>'FEEDER Consumption '!P33</f>
        <v>0</v>
      </c>
      <c r="G33" s="85">
        <f>'FEEDER Consumption '!S33</f>
        <v>0</v>
      </c>
      <c r="H33" s="85">
        <f>'FEEDER Consumption '!V33</f>
        <v>0</v>
      </c>
      <c r="I33" s="85">
        <f>'FEEDER Consumption '!Y33</f>
        <v>0</v>
      </c>
      <c r="J33" s="62">
        <f>'FEEDER Consumption '!AB33</f>
        <v>0</v>
      </c>
      <c r="K33" s="85">
        <f>'FEEDER Consumption '!AE33</f>
        <v>0</v>
      </c>
      <c r="L33" s="92">
        <f t="shared" si="0"/>
        <v>0</v>
      </c>
      <c r="M33" s="92">
        <f t="shared" si="1"/>
        <v>0</v>
      </c>
      <c r="N33" s="92">
        <f t="shared" si="2"/>
        <v>0</v>
      </c>
      <c r="O33" s="92">
        <f>'Focus Data'!I33</f>
        <v>0</v>
      </c>
      <c r="P33" s="92" t="e">
        <f t="shared" si="3"/>
        <v>#DIV/0!</v>
      </c>
      <c r="Q33" s="92" t="e">
        <f t="shared" si="4"/>
        <v>#DIV/0!</v>
      </c>
      <c r="R33" s="92" t="e">
        <f t="shared" si="5"/>
        <v>#DIV/0!</v>
      </c>
    </row>
    <row r="34" spans="1:18" ht="13.5" customHeight="1" x14ac:dyDescent="0.2">
      <c r="A34" s="82">
        <v>26</v>
      </c>
      <c r="B34" s="87">
        <f>'FEEDER Consumption '!D34</f>
        <v>0</v>
      </c>
      <c r="C34" s="85">
        <f>'FEEDER Consumption '!G34</f>
        <v>0</v>
      </c>
      <c r="D34" s="85">
        <f>'FEEDER Consumption '!J34</f>
        <v>0</v>
      </c>
      <c r="E34" s="85">
        <f>'FEEDER Consumption '!M34</f>
        <v>0</v>
      </c>
      <c r="F34" s="85">
        <f>'FEEDER Consumption '!P34</f>
        <v>0</v>
      </c>
      <c r="G34" s="85">
        <f>'FEEDER Consumption '!S34</f>
        <v>0</v>
      </c>
      <c r="H34" s="85">
        <f>'FEEDER Consumption '!V34</f>
        <v>0</v>
      </c>
      <c r="I34" s="85">
        <f>'FEEDER Consumption '!Y34</f>
        <v>0</v>
      </c>
      <c r="J34" s="62">
        <f>'FEEDER Consumption '!AB34</f>
        <v>0</v>
      </c>
      <c r="K34" s="85">
        <f>'FEEDER Consumption '!AE34</f>
        <v>0</v>
      </c>
      <c r="L34" s="92">
        <f t="shared" si="0"/>
        <v>0</v>
      </c>
      <c r="M34" s="92">
        <f t="shared" si="1"/>
        <v>0</v>
      </c>
      <c r="N34" s="92">
        <f t="shared" si="2"/>
        <v>0</v>
      </c>
      <c r="O34" s="92">
        <f>'Focus Data'!I34</f>
        <v>0</v>
      </c>
      <c r="P34" s="92" t="e">
        <f t="shared" si="3"/>
        <v>#DIV/0!</v>
      </c>
      <c r="Q34" s="92" t="e">
        <f t="shared" si="4"/>
        <v>#DIV/0!</v>
      </c>
      <c r="R34" s="92" t="e">
        <f t="shared" si="5"/>
        <v>#DIV/0!</v>
      </c>
    </row>
    <row r="35" spans="1:18" ht="13.5" customHeight="1" x14ac:dyDescent="0.2">
      <c r="A35" s="83">
        <v>27</v>
      </c>
      <c r="B35" s="87">
        <f>'FEEDER Consumption '!D35</f>
        <v>0</v>
      </c>
      <c r="C35" s="85">
        <f>'FEEDER Consumption '!G35</f>
        <v>0</v>
      </c>
      <c r="D35" s="85">
        <f>'FEEDER Consumption '!J35</f>
        <v>0</v>
      </c>
      <c r="E35" s="85">
        <f>'FEEDER Consumption '!M35</f>
        <v>0</v>
      </c>
      <c r="F35" s="85">
        <f>'FEEDER Consumption '!P35</f>
        <v>0</v>
      </c>
      <c r="G35" s="85">
        <f>'FEEDER Consumption '!S35</f>
        <v>0</v>
      </c>
      <c r="H35" s="85">
        <f>'FEEDER Consumption '!V35</f>
        <v>0</v>
      </c>
      <c r="I35" s="85">
        <f>'FEEDER Consumption '!Y35</f>
        <v>0</v>
      </c>
      <c r="J35" s="62">
        <f>'FEEDER Consumption '!AB35</f>
        <v>0</v>
      </c>
      <c r="K35" s="85">
        <f>'FEEDER Consumption '!AE35</f>
        <v>0</v>
      </c>
      <c r="L35" s="92">
        <f t="shared" si="0"/>
        <v>0</v>
      </c>
      <c r="M35" s="92">
        <f t="shared" si="1"/>
        <v>0</v>
      </c>
      <c r="N35" s="92">
        <f t="shared" si="2"/>
        <v>0</v>
      </c>
      <c r="O35" s="92">
        <f>'Focus Data'!I35</f>
        <v>0</v>
      </c>
      <c r="P35" s="92" t="e">
        <f t="shared" si="3"/>
        <v>#DIV/0!</v>
      </c>
      <c r="Q35" s="92" t="e">
        <f t="shared" si="4"/>
        <v>#DIV/0!</v>
      </c>
      <c r="R35" s="92" t="e">
        <f t="shared" si="5"/>
        <v>#DIV/0!</v>
      </c>
    </row>
    <row r="36" spans="1:18" ht="13.5" customHeight="1" x14ac:dyDescent="0.2">
      <c r="A36" s="82">
        <v>28</v>
      </c>
      <c r="B36" s="87">
        <f>'FEEDER Consumption '!D36</f>
        <v>0</v>
      </c>
      <c r="C36" s="85">
        <f>'FEEDER Consumption '!G36</f>
        <v>0</v>
      </c>
      <c r="D36" s="85">
        <f>'FEEDER Consumption '!J36</f>
        <v>0</v>
      </c>
      <c r="E36" s="85">
        <f>'FEEDER Consumption '!M36</f>
        <v>0</v>
      </c>
      <c r="F36" s="85">
        <f>'FEEDER Consumption '!P36</f>
        <v>0</v>
      </c>
      <c r="G36" s="85">
        <f>'FEEDER Consumption '!S36</f>
        <v>0</v>
      </c>
      <c r="H36" s="85">
        <f>'FEEDER Consumption '!V36</f>
        <v>0</v>
      </c>
      <c r="I36" s="85">
        <f>'FEEDER Consumption '!Y36</f>
        <v>0</v>
      </c>
      <c r="J36" s="62">
        <f>'FEEDER Consumption '!AB36</f>
        <v>0</v>
      </c>
      <c r="K36" s="85">
        <f>'FEEDER Consumption '!AE36</f>
        <v>0</v>
      </c>
      <c r="L36" s="92">
        <f t="shared" si="0"/>
        <v>0</v>
      </c>
      <c r="M36" s="92">
        <f t="shared" si="1"/>
        <v>0</v>
      </c>
      <c r="N36" s="92">
        <f t="shared" si="2"/>
        <v>0</v>
      </c>
      <c r="O36" s="92">
        <f>'Focus Data'!I36</f>
        <v>0</v>
      </c>
      <c r="P36" s="92" t="e">
        <f t="shared" si="3"/>
        <v>#DIV/0!</v>
      </c>
      <c r="Q36" s="92" t="e">
        <f t="shared" si="4"/>
        <v>#DIV/0!</v>
      </c>
      <c r="R36" s="92" t="e">
        <f t="shared" si="5"/>
        <v>#DIV/0!</v>
      </c>
    </row>
    <row r="37" spans="1:18" ht="13.5" customHeight="1" x14ac:dyDescent="0.2">
      <c r="A37" s="82">
        <v>29</v>
      </c>
      <c r="B37" s="87">
        <f>'FEEDER Consumption '!D37</f>
        <v>0</v>
      </c>
      <c r="C37" s="85">
        <f>'FEEDER Consumption '!G37</f>
        <v>0</v>
      </c>
      <c r="D37" s="85">
        <f>'FEEDER Consumption '!J37</f>
        <v>0</v>
      </c>
      <c r="E37" s="85">
        <f>'FEEDER Consumption '!M37</f>
        <v>0</v>
      </c>
      <c r="F37" s="85">
        <f>'FEEDER Consumption '!P37</f>
        <v>0</v>
      </c>
      <c r="G37" s="85">
        <f>'FEEDER Consumption '!S37</f>
        <v>0</v>
      </c>
      <c r="H37" s="85">
        <f>'FEEDER Consumption '!V37</f>
        <v>0</v>
      </c>
      <c r="I37" s="85">
        <f>'FEEDER Consumption '!Y37</f>
        <v>0</v>
      </c>
      <c r="J37" s="62">
        <f>'FEEDER Consumption '!AB37</f>
        <v>0</v>
      </c>
      <c r="K37" s="85">
        <f>'FEEDER Consumption '!AE37</f>
        <v>0</v>
      </c>
      <c r="L37" s="92">
        <f t="shared" si="0"/>
        <v>0</v>
      </c>
      <c r="M37" s="92">
        <f t="shared" si="1"/>
        <v>0</v>
      </c>
      <c r="N37" s="92">
        <f t="shared" si="2"/>
        <v>0</v>
      </c>
      <c r="O37" s="92">
        <f>'Focus Data'!I37</f>
        <v>0</v>
      </c>
      <c r="P37" s="92" t="e">
        <f t="shared" si="3"/>
        <v>#DIV/0!</v>
      </c>
      <c r="Q37" s="92" t="e">
        <f t="shared" si="4"/>
        <v>#DIV/0!</v>
      </c>
      <c r="R37" s="92" t="e">
        <f t="shared" si="5"/>
        <v>#DIV/0!</v>
      </c>
    </row>
    <row r="38" spans="1:18" ht="13.5" customHeight="1" x14ac:dyDescent="0.2">
      <c r="A38" s="82">
        <v>30</v>
      </c>
      <c r="B38" s="87">
        <f>'FEEDER Consumption '!D38</f>
        <v>0</v>
      </c>
      <c r="C38" s="85">
        <f>'FEEDER Consumption '!G38</f>
        <v>0</v>
      </c>
      <c r="D38" s="85">
        <f>'FEEDER Consumption '!J38</f>
        <v>0</v>
      </c>
      <c r="E38" s="85">
        <f>'FEEDER Consumption '!M38</f>
        <v>0</v>
      </c>
      <c r="F38" s="85">
        <f>'FEEDER Consumption '!P38</f>
        <v>0</v>
      </c>
      <c r="G38" s="85">
        <f>'FEEDER Consumption '!S38</f>
        <v>0</v>
      </c>
      <c r="H38" s="85">
        <f>'FEEDER Consumption '!V38</f>
        <v>0</v>
      </c>
      <c r="I38" s="85">
        <f>'FEEDER Consumption '!Y38</f>
        <v>0</v>
      </c>
      <c r="J38" s="62">
        <f>'FEEDER Consumption '!AB38</f>
        <v>0</v>
      </c>
      <c r="K38" s="85">
        <f>'FEEDER Consumption '!AE38</f>
        <v>0</v>
      </c>
      <c r="L38" s="92">
        <f t="shared" si="0"/>
        <v>0</v>
      </c>
      <c r="M38" s="92">
        <f t="shared" si="1"/>
        <v>0</v>
      </c>
      <c r="N38" s="92">
        <f t="shared" si="2"/>
        <v>0</v>
      </c>
      <c r="O38" s="92">
        <f>'Focus Data'!I38</f>
        <v>0</v>
      </c>
      <c r="P38" s="92" t="e">
        <f t="shared" si="3"/>
        <v>#DIV/0!</v>
      </c>
      <c r="Q38" s="92" t="e">
        <f t="shared" si="4"/>
        <v>#DIV/0!</v>
      </c>
      <c r="R38" s="92" t="e">
        <f t="shared" si="5"/>
        <v>#DIV/0!</v>
      </c>
    </row>
    <row r="39" spans="1:18" ht="14.25" customHeight="1" x14ac:dyDescent="0.2">
      <c r="A39" s="86"/>
      <c r="B39" s="87">
        <v>0</v>
      </c>
      <c r="C39" s="85" t="e">
        <f>'FEEDER Consumption '!#REF!</f>
        <v>#REF!</v>
      </c>
      <c r="D39" s="85" t="e">
        <f>'FEEDER Consumption '!#REF!</f>
        <v>#REF!</v>
      </c>
      <c r="E39" s="88"/>
      <c r="F39" s="85" t="e">
        <f>'FEEDER Consumption '!#REF!</f>
        <v>#REF!</v>
      </c>
      <c r="G39" s="85" t="e">
        <f>'FEEDER Consumption '!#REF!</f>
        <v>#REF!</v>
      </c>
      <c r="H39" s="85" t="e">
        <f>'FEEDER Consumption '!#REF!</f>
        <v>#REF!</v>
      </c>
      <c r="I39" s="85" t="e">
        <f>'FEEDER Consumption '!#REF!</f>
        <v>#REF!</v>
      </c>
      <c r="J39" s="62" t="e">
        <f>'FEEDER Consumption '!#REF!</f>
        <v>#REF!</v>
      </c>
      <c r="K39" s="85" t="e">
        <f>'FEEDER Consumption '!#REF!</f>
        <v>#REF!</v>
      </c>
      <c r="L39" s="92" t="e">
        <f t="shared" si="0"/>
        <v>#REF!</v>
      </c>
      <c r="M39" s="92" t="e">
        <f t="shared" si="1"/>
        <v>#REF!</v>
      </c>
      <c r="N39" s="92" t="e">
        <f t="shared" si="2"/>
        <v>#REF!</v>
      </c>
      <c r="O39" s="92">
        <f>'Focus Data'!I40</f>
        <v>-89264945</v>
      </c>
      <c r="P39" s="92" t="e">
        <f t="shared" si="3"/>
        <v>#REF!</v>
      </c>
      <c r="Q39" s="92" t="e">
        <f t="shared" si="4"/>
        <v>#REF!</v>
      </c>
      <c r="R39" s="92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-25196905</v>
      </c>
      <c r="C40" s="39">
        <f t="shared" si="6"/>
        <v>-22118523</v>
      </c>
      <c r="D40" s="39">
        <f t="shared" si="6"/>
        <v>-84139908</v>
      </c>
      <c r="E40" s="95">
        <f t="shared" si="6"/>
        <v>-1787800</v>
      </c>
      <c r="F40" s="95">
        <f t="shared" si="6"/>
        <v>-2415996</v>
      </c>
      <c r="G40" s="95">
        <f t="shared" si="6"/>
        <v>-1459300</v>
      </c>
      <c r="H40" s="95">
        <f t="shared" si="6"/>
        <v>-678159</v>
      </c>
      <c r="I40" s="95">
        <f t="shared" si="6"/>
        <v>-7022800</v>
      </c>
      <c r="J40" s="95">
        <f t="shared" si="6"/>
        <v>-1555800</v>
      </c>
      <c r="K40" s="95">
        <f t="shared" si="6"/>
        <v>-455505</v>
      </c>
      <c r="L40" s="95">
        <f t="shared" si="6"/>
        <v>-4203796</v>
      </c>
      <c r="M40" s="95">
        <f t="shared" si="6"/>
        <v>-8578600</v>
      </c>
      <c r="N40" s="95">
        <f t="shared" si="6"/>
        <v>-2137459</v>
      </c>
      <c r="O40" s="95">
        <f t="shared" si="6"/>
        <v>-89264945</v>
      </c>
      <c r="P40" s="95" t="e">
        <f t="shared" si="6"/>
        <v>#DIV/0!</v>
      </c>
      <c r="Q40" s="95" t="e">
        <f t="shared" si="6"/>
        <v>#DIV/0!</v>
      </c>
      <c r="R40" s="95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WATER VILLA PRJECT</vt:lpstr>
      <vt:lpstr>FEEDER summry</vt:lpstr>
      <vt:lpstr>Sheet1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Ahmed Risan</cp:lastModifiedBy>
  <cp:lastPrinted>2021-02-17T04:03:40Z</cp:lastPrinted>
  <dcterms:created xsi:type="dcterms:W3CDTF">2018-12-01T06:13:40Z</dcterms:created>
  <dcterms:modified xsi:type="dcterms:W3CDTF">2021-02-21T08:41:28Z</dcterms:modified>
</cp:coreProperties>
</file>