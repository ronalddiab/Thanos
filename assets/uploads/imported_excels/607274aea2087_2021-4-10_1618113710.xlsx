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<sst xmlns="http://schemas.openxmlformats.org/spreadsheetml/2006/main" count="128" uniqueCount="49">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</sst>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Submetering!R11</f>
        <v>674.56006200000002</v>
      </c>
      <c r="H11" s="11">
        <v>0.52800000000000002</v>
      </c>
      <c r="I11" s="12">
        <f>Hotel!B16</f>
        <v>117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Hotel!AV16*0.00378541*100</f>
        <v>674.56006200000002</v>
      </c>
      <c r="S11" s="4">
        <f>Hotel!B16</f>
        <v>117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M23" sqref="AM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16"/>
        <v>540</v>
      </c>
      <c r="R16" s="37">
        <f t="shared" si="17"/>
        <v>1810</v>
      </c>
      <c r="S16" s="37">
        <f t="shared" si="15"/>
        <v>3560</v>
      </c>
      <c r="T16" s="37">
        <f t="shared" si="18"/>
        <v>1480</v>
      </c>
      <c r="U16" s="37">
        <f t="shared" si="19"/>
        <v>4170</v>
      </c>
      <c r="V16" s="37">
        <f t="shared" si="20"/>
        <v>2760</v>
      </c>
      <c r="W16" s="37">
        <f t="shared" si="21"/>
        <v>2190</v>
      </c>
      <c r="X16" s="37">
        <f t="shared" si="22"/>
        <v>3090</v>
      </c>
      <c r="Y16" s="37">
        <f t="shared" si="23"/>
        <v>4210</v>
      </c>
      <c r="Z16" s="37">
        <f t="shared" si="24"/>
        <v>2320</v>
      </c>
      <c r="AA16" s="37">
        <f t="shared" si="25"/>
        <v>3600</v>
      </c>
      <c r="AB16" s="37">
        <f t="shared" si="26"/>
        <v>6300</v>
      </c>
      <c r="AC16" s="37">
        <f t="shared" si="27"/>
        <v>9630</v>
      </c>
      <c r="AD16" s="35">
        <f t="shared" si="28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29"/>
        <v>228.3</v>
      </c>
      <c r="AU16" s="47">
        <v>550217</v>
      </c>
      <c r="AV16" s="37">
        <f t="shared" si="31"/>
        <v>1782</v>
      </c>
      <c r="AW16" s="35">
        <f t="shared" si="30"/>
        <v>3.5640000000000001</v>
      </c>
    </row>
    <row r="17" spans="1:49" x14ac:dyDescent="0.25">
      <c r="A17" s="23">
        <v>44297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6"/>
        <v>0</v>
      </c>
      <c r="R17" s="37" t="str">
        <f t="shared" si="17"/>
        <v>0</v>
      </c>
      <c r="S17" s="37" t="str">
        <f t="shared" si="15"/>
        <v>0</v>
      </c>
      <c r="T17" s="37" t="str">
        <f t="shared" si="18"/>
        <v>0</v>
      </c>
      <c r="U17" s="37" t="str">
        <f t="shared" si="19"/>
        <v>0</v>
      </c>
      <c r="V17" s="37" t="str">
        <f t="shared" si="20"/>
        <v>0</v>
      </c>
      <c r="W17" s="37" t="str">
        <f t="shared" si="21"/>
        <v>0</v>
      </c>
      <c r="X17" s="37" t="str">
        <f t="shared" si="22"/>
        <v>0</v>
      </c>
      <c r="Y17" s="37" t="str">
        <f t="shared" si="23"/>
        <v>0</v>
      </c>
      <c r="Z17" s="37" t="str">
        <f t="shared" si="24"/>
        <v>0</v>
      </c>
      <c r="AA17" s="37" t="str">
        <f t="shared" si="25"/>
        <v>0</v>
      </c>
      <c r="AB17" s="37" t="str">
        <f t="shared" si="26"/>
        <v>0</v>
      </c>
      <c r="AC17" s="37" t="str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 t="str">
        <f t="shared" si="31"/>
        <v>0</v>
      </c>
      <c r="AW17" s="35">
        <f t="shared" si="30"/>
        <v>0</v>
      </c>
    </row>
    <row r="18" spans="1:49" x14ac:dyDescent="0.25">
      <c r="A18" s="23">
        <v>44298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44299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44300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5510</v>
      </c>
      <c r="R38" s="38">
        <f t="shared" ref="R38:AD38" si="62">SUM(R7:R37)</f>
        <v>18660</v>
      </c>
      <c r="S38" s="38">
        <f t="shared" si="62"/>
        <v>33670</v>
      </c>
      <c r="T38" s="38">
        <f t="shared" si="62"/>
        <v>14930</v>
      </c>
      <c r="U38" s="38">
        <f t="shared" si="62"/>
        <v>39340</v>
      </c>
      <c r="V38" s="38">
        <f t="shared" si="62"/>
        <v>28850</v>
      </c>
      <c r="W38" s="38">
        <f t="shared" si="62"/>
        <v>22650</v>
      </c>
      <c r="X38" s="38">
        <f t="shared" si="62"/>
        <v>30870</v>
      </c>
      <c r="Y38" s="38">
        <f t="shared" si="62"/>
        <v>43700</v>
      </c>
      <c r="Z38" s="38">
        <f t="shared" si="62"/>
        <v>25550</v>
      </c>
      <c r="AA38" s="38">
        <f t="shared" si="62"/>
        <v>34500</v>
      </c>
      <c r="AB38" s="38">
        <f t="shared" si="62"/>
        <v>65360</v>
      </c>
      <c r="AC38" s="38">
        <f t="shared" si="62"/>
        <v>100630</v>
      </c>
      <c r="AD38" s="38">
        <f t="shared" si="62"/>
        <v>464220</v>
      </c>
      <c r="AF38" s="35">
        <f t="shared" ref="AF38:AS38" si="63">SUM(AF7:AF34)</f>
        <v>27.549999999999997</v>
      </c>
      <c r="AG38" s="35">
        <f t="shared" si="63"/>
        <v>93.300000000000011</v>
      </c>
      <c r="AH38" s="35">
        <f t="shared" si="63"/>
        <v>168.35</v>
      </c>
      <c r="AI38" s="35">
        <f t="shared" si="63"/>
        <v>74.650000000000006</v>
      </c>
      <c r="AJ38" s="35">
        <f t="shared" si="63"/>
        <v>196.7</v>
      </c>
      <c r="AK38" s="35">
        <f t="shared" si="63"/>
        <v>144.25000000000003</v>
      </c>
      <c r="AL38" s="35">
        <f t="shared" si="63"/>
        <v>113.25000000000001</v>
      </c>
      <c r="AM38" s="35">
        <f t="shared" si="63"/>
        <v>154.34999999999997</v>
      </c>
      <c r="AN38" s="35">
        <f t="shared" si="63"/>
        <v>218.50000000000003</v>
      </c>
      <c r="AO38" s="35">
        <f t="shared" si="63"/>
        <v>127.74999999999999</v>
      </c>
      <c r="AP38" s="35">
        <f t="shared" si="63"/>
        <v>172.5</v>
      </c>
      <c r="AQ38" s="35">
        <f t="shared" si="63"/>
        <v>326.8</v>
      </c>
      <c r="AR38" s="35">
        <f t="shared" si="63"/>
        <v>503.15000000000003</v>
      </c>
      <c r="AS38" s="35">
        <f t="shared" si="63"/>
        <v>2321.1</v>
      </c>
      <c r="AU38" s="48"/>
      <c r="AV38" s="35">
        <f>SUM(AV7:AV34)</f>
        <v>17765</v>
      </c>
      <c r="AW38" s="35">
        <f>SUM(AW7:AW34)</f>
        <v>28.128</v>
      </c>
    </row>
    <row r="39" spans="1:49" x14ac:dyDescent="0.25">
      <c r="D39">
        <v>5.0000000000000001E-3</v>
      </c>
      <c r="AV39" s="36">
        <f>AV38*0.00378541*1000</f>
        <v>67247.808649999992</v>
      </c>
    </row>
    <row r="40" spans="1:49" x14ac:dyDescent="0.25">
      <c r="D40">
        <v>2E-3</v>
      </c>
      <c r="AV40">
        <f>AV39/31</f>
        <v>2169.28415</v>
      </c>
    </row>
    <row r="41" spans="1:49" x14ac:dyDescent="0.25">
      <c r="AV41">
        <f>AV38*0.00378541</f>
        <v>67.247808649999996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2021-04-11T04:01:12Z</dcterms:modified>
</cp:coreProperties>
</file>