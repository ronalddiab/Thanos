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TOTAL" sheetId="1" r:id="rId1"/>
    <sheet name="Submetring" sheetId="2" r:id="rId2"/>
    <sheet name="Hotel" sheetId="3" r:id="rId3"/>
    <sheet name="Submetres" sheetId="4" r:id="rId4"/>
  </sheets>
  <externalReferences>
    <externalReference r:id="rId5"/>
  </externalReferenc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V10" i="3" l="1"/>
  <c r="V11" i="3"/>
  <c r="V12" i="3"/>
  <c r="V13" i="3"/>
  <c r="V14" i="3"/>
  <c r="V15" i="3"/>
  <c r="V16" i="3"/>
  <c r="V17" i="3"/>
  <c r="V18" i="3"/>
  <c r="V19" i="3"/>
  <c r="V20" i="3"/>
  <c r="V21" i="3"/>
  <c r="V22" i="3"/>
  <c r="V23" i="3"/>
  <c r="V24" i="3"/>
  <c r="V25" i="3"/>
  <c r="V26" i="3"/>
  <c r="V27" i="3"/>
  <c r="V28" i="3"/>
  <c r="V29" i="3"/>
  <c r="V30" i="3"/>
  <c r="V31" i="3"/>
  <c r="V32" i="3"/>
  <c r="V33" i="3"/>
  <c r="V34" i="3"/>
  <c r="V35" i="3"/>
  <c r="V36" i="3"/>
  <c r="V9" i="3"/>
  <c r="Y37" i="3" l="1"/>
  <c r="U18" i="3" l="1"/>
  <c r="U19" i="3"/>
  <c r="U20" i="3"/>
  <c r="U21" i="3"/>
  <c r="U22" i="3"/>
  <c r="U23" i="3"/>
  <c r="K27" i="2" l="1"/>
  <c r="K28" i="2"/>
  <c r="K29" i="2"/>
  <c r="K3" i="1" l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2" i="1"/>
  <c r="K3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" i="2"/>
  <c r="U36" i="3"/>
  <c r="P36" i="3"/>
  <c r="I29" i="2" s="1"/>
  <c r="N36" i="3"/>
  <c r="H29" i="2" s="1"/>
  <c r="H35" i="3"/>
  <c r="H36" i="3"/>
  <c r="F36" i="3"/>
  <c r="F29" i="2" s="1"/>
  <c r="D36" i="3"/>
  <c r="E29" i="2" s="1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1" i="3"/>
  <c r="H32" i="3"/>
  <c r="H33" i="3"/>
  <c r="H34" i="3"/>
  <c r="F9" i="3"/>
  <c r="F10" i="3"/>
  <c r="F3" i="2" s="1"/>
  <c r="F11" i="3"/>
  <c r="F4" i="2" s="1"/>
  <c r="F12" i="3"/>
  <c r="F5" i="2" s="1"/>
  <c r="F13" i="3"/>
  <c r="F6" i="2" s="1"/>
  <c r="F14" i="3"/>
  <c r="F7" i="2" s="1"/>
  <c r="F15" i="3"/>
  <c r="F8" i="2" s="1"/>
  <c r="F16" i="3"/>
  <c r="F9" i="2" s="1"/>
  <c r="F17" i="3"/>
  <c r="F10" i="2" s="1"/>
  <c r="F18" i="3"/>
  <c r="F11" i="2" s="1"/>
  <c r="F19" i="3"/>
  <c r="F12" i="2" s="1"/>
  <c r="F20" i="3"/>
  <c r="F13" i="2" s="1"/>
  <c r="F21" i="3"/>
  <c r="F14" i="2" s="1"/>
  <c r="F22" i="3"/>
  <c r="F15" i="2" s="1"/>
  <c r="F23" i="3"/>
  <c r="F16" i="2" s="1"/>
  <c r="F24" i="3"/>
  <c r="F17" i="2" s="1"/>
  <c r="F25" i="3"/>
  <c r="F18" i="2" s="1"/>
  <c r="F26" i="3"/>
  <c r="F19" i="2" s="1"/>
  <c r="F27" i="3"/>
  <c r="F20" i="2" s="1"/>
  <c r="F28" i="3"/>
  <c r="F21" i="2" s="1"/>
  <c r="F29" i="3"/>
  <c r="F22" i="2" s="1"/>
  <c r="F30" i="3"/>
  <c r="F23" i="2" s="1"/>
  <c r="F31" i="3"/>
  <c r="F24" i="2" s="1"/>
  <c r="F32" i="3"/>
  <c r="F25" i="2" s="1"/>
  <c r="F33" i="3"/>
  <c r="F26" i="2" s="1"/>
  <c r="F34" i="3"/>
  <c r="F27" i="2" s="1"/>
  <c r="F35" i="3"/>
  <c r="F28" i="2" s="1"/>
  <c r="D9" i="3"/>
  <c r="D10" i="3"/>
  <c r="D11" i="3"/>
  <c r="E4" i="2" s="1"/>
  <c r="D12" i="3"/>
  <c r="E5" i="2" s="1"/>
  <c r="D13" i="3"/>
  <c r="E6" i="2" s="1"/>
  <c r="D14" i="3"/>
  <c r="E7" i="2" s="1"/>
  <c r="D15" i="3"/>
  <c r="E8" i="2" s="1"/>
  <c r="D16" i="3"/>
  <c r="E9" i="2" s="1"/>
  <c r="D17" i="3"/>
  <c r="E10" i="2" s="1"/>
  <c r="D18" i="3"/>
  <c r="E11" i="2" s="1"/>
  <c r="D19" i="3"/>
  <c r="E12" i="2" s="1"/>
  <c r="D20" i="3"/>
  <c r="D21" i="3"/>
  <c r="E14" i="2" s="1"/>
  <c r="D22" i="3"/>
  <c r="E15" i="2" s="1"/>
  <c r="D23" i="3"/>
  <c r="E16" i="2" s="1"/>
  <c r="D24" i="3"/>
  <c r="D25" i="3"/>
  <c r="E18" i="2" s="1"/>
  <c r="D26" i="3"/>
  <c r="E19" i="2" s="1"/>
  <c r="D27" i="3"/>
  <c r="E20" i="2" s="1"/>
  <c r="D28" i="3"/>
  <c r="E21" i="2" s="1"/>
  <c r="D29" i="3"/>
  <c r="E22" i="2" s="1"/>
  <c r="D30" i="3"/>
  <c r="E23" i="2" s="1"/>
  <c r="D31" i="3"/>
  <c r="E24" i="2" s="1"/>
  <c r="D32" i="3"/>
  <c r="E25" i="2" s="1"/>
  <c r="D33" i="3"/>
  <c r="E26" i="2" s="1"/>
  <c r="D34" i="3"/>
  <c r="E27" i="2" s="1"/>
  <c r="D35" i="3"/>
  <c r="E28" i="2" s="1"/>
  <c r="U35" i="3"/>
  <c r="P35" i="3"/>
  <c r="I28" i="2" s="1"/>
  <c r="N35" i="3"/>
  <c r="H28" i="2" s="1"/>
  <c r="U34" i="3"/>
  <c r="P34" i="3"/>
  <c r="I27" i="2" s="1"/>
  <c r="N34" i="3"/>
  <c r="H27" i="2" s="1"/>
  <c r="U33" i="3"/>
  <c r="P33" i="3"/>
  <c r="I26" i="2" s="1"/>
  <c r="N33" i="3"/>
  <c r="H26" i="2" s="1"/>
  <c r="U32" i="3"/>
  <c r="P32" i="3"/>
  <c r="I25" i="2" s="1"/>
  <c r="N32" i="3"/>
  <c r="H25" i="2" s="1"/>
  <c r="U31" i="3"/>
  <c r="P31" i="3"/>
  <c r="I24" i="2" s="1"/>
  <c r="N31" i="3"/>
  <c r="H24" i="2" s="1"/>
  <c r="U30" i="3"/>
  <c r="P30" i="3"/>
  <c r="I23" i="2" s="1"/>
  <c r="N30" i="3"/>
  <c r="H23" i="2" s="1"/>
  <c r="U29" i="3"/>
  <c r="P29" i="3"/>
  <c r="I22" i="2" s="1"/>
  <c r="N29" i="3"/>
  <c r="H22" i="2" s="1"/>
  <c r="U28" i="3"/>
  <c r="P28" i="3"/>
  <c r="N28" i="3"/>
  <c r="H21" i="2" s="1"/>
  <c r="U27" i="3"/>
  <c r="P27" i="3"/>
  <c r="I20" i="2" s="1"/>
  <c r="N27" i="3"/>
  <c r="H20" i="2" s="1"/>
  <c r="U26" i="3"/>
  <c r="P26" i="3"/>
  <c r="I19" i="2" s="1"/>
  <c r="N26" i="3"/>
  <c r="H19" i="2" s="1"/>
  <c r="U25" i="3"/>
  <c r="P25" i="3"/>
  <c r="I18" i="2" s="1"/>
  <c r="N25" i="3"/>
  <c r="H18" i="2" s="1"/>
  <c r="U24" i="3"/>
  <c r="P24" i="3"/>
  <c r="N24" i="3"/>
  <c r="H17" i="2" s="1"/>
  <c r="P23" i="3"/>
  <c r="I16" i="2" s="1"/>
  <c r="N23" i="3"/>
  <c r="H16" i="2" s="1"/>
  <c r="P22" i="3"/>
  <c r="N22" i="3"/>
  <c r="H15" i="2" s="1"/>
  <c r="P21" i="3"/>
  <c r="I14" i="2" s="1"/>
  <c r="N21" i="3"/>
  <c r="H14" i="2" s="1"/>
  <c r="P20" i="3"/>
  <c r="I13" i="2" s="1"/>
  <c r="N20" i="3"/>
  <c r="H13" i="2" s="1"/>
  <c r="P19" i="3"/>
  <c r="I12" i="2" s="1"/>
  <c r="N19" i="3"/>
  <c r="H12" i="2" s="1"/>
  <c r="P18" i="3"/>
  <c r="I11" i="2" s="1"/>
  <c r="N18" i="3"/>
  <c r="H11" i="2" s="1"/>
  <c r="B18" i="3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2" i="3" s="1"/>
  <c r="B33" i="3" s="1"/>
  <c r="B34" i="3" s="1"/>
  <c r="B35" i="3" s="1"/>
  <c r="B36" i="3" s="1"/>
  <c r="U17" i="3"/>
  <c r="P17" i="3"/>
  <c r="I10" i="2" s="1"/>
  <c r="N17" i="3"/>
  <c r="H10" i="2" s="1"/>
  <c r="U16" i="3"/>
  <c r="P16" i="3"/>
  <c r="N16" i="3"/>
  <c r="H9" i="2" s="1"/>
  <c r="U15" i="3"/>
  <c r="P15" i="3"/>
  <c r="I8" i="2" s="1"/>
  <c r="N15" i="3"/>
  <c r="H8" i="2" s="1"/>
  <c r="U14" i="3"/>
  <c r="P14" i="3"/>
  <c r="I7" i="2" s="1"/>
  <c r="N14" i="3"/>
  <c r="H7" i="2" s="1"/>
  <c r="U13" i="3"/>
  <c r="P13" i="3"/>
  <c r="I6" i="2" s="1"/>
  <c r="N13" i="3"/>
  <c r="H6" i="2" s="1"/>
  <c r="U12" i="3"/>
  <c r="P12" i="3"/>
  <c r="N12" i="3"/>
  <c r="H5" i="2" s="1"/>
  <c r="U11" i="3"/>
  <c r="P11" i="3"/>
  <c r="I4" i="2" s="1"/>
  <c r="N11" i="3"/>
  <c r="H4" i="2" s="1"/>
  <c r="U10" i="3"/>
  <c r="P10" i="3"/>
  <c r="I3" i="2" s="1"/>
  <c r="N10" i="3"/>
  <c r="H3" i="2" s="1"/>
  <c r="B10" i="3"/>
  <c r="B11" i="3" s="1"/>
  <c r="B12" i="3" s="1"/>
  <c r="B13" i="3" s="1"/>
  <c r="B14" i="3" s="1"/>
  <c r="B15" i="3" s="1"/>
  <c r="B16" i="3" s="1"/>
  <c r="U9" i="3"/>
  <c r="P9" i="3"/>
  <c r="N9" i="3"/>
  <c r="U6" i="3"/>
  <c r="V6" i="3" s="1"/>
  <c r="P6" i="3"/>
  <c r="N6" i="3"/>
  <c r="H6" i="3"/>
  <c r="J6" i="3" s="1"/>
  <c r="B6" i="3"/>
  <c r="CO29" i="2"/>
  <c r="CN29" i="2"/>
  <c r="CM29" i="2"/>
  <c r="CL29" i="2"/>
  <c r="CK29" i="2"/>
  <c r="CJ29" i="2"/>
  <c r="CI29" i="2"/>
  <c r="CH29" i="2"/>
  <c r="CG29" i="2"/>
  <c r="CF29" i="2"/>
  <c r="CE29" i="2"/>
  <c r="CD29" i="2"/>
  <c r="CC29" i="2"/>
  <c r="CB29" i="2"/>
  <c r="CA29" i="2"/>
  <c r="BZ29" i="2"/>
  <c r="BY29" i="2"/>
  <c r="BX29" i="2"/>
  <c r="BW29" i="2"/>
  <c r="BV29" i="2"/>
  <c r="BU29" i="2"/>
  <c r="BT29" i="2"/>
  <c r="BS29" i="2"/>
  <c r="BR29" i="2"/>
  <c r="BQ29" i="2"/>
  <c r="BP29" i="2"/>
  <c r="BO29" i="2"/>
  <c r="BN29" i="2"/>
  <c r="BM29" i="2"/>
  <c r="BL29" i="2"/>
  <c r="BK29" i="2"/>
  <c r="BJ29" i="2"/>
  <c r="BI29" i="2"/>
  <c r="CO28" i="2"/>
  <c r="CN28" i="2"/>
  <c r="CM28" i="2"/>
  <c r="CL28" i="2"/>
  <c r="CK28" i="2"/>
  <c r="CJ28" i="2"/>
  <c r="CI28" i="2"/>
  <c r="CH28" i="2"/>
  <c r="CG28" i="2"/>
  <c r="CF28" i="2"/>
  <c r="CE28" i="2"/>
  <c r="CD28" i="2"/>
  <c r="CC28" i="2"/>
  <c r="CB28" i="2"/>
  <c r="CA28" i="2"/>
  <c r="BZ28" i="2"/>
  <c r="BY28" i="2"/>
  <c r="BX28" i="2"/>
  <c r="BW28" i="2"/>
  <c r="BV28" i="2"/>
  <c r="BU28" i="2"/>
  <c r="BT28" i="2"/>
  <c r="BS28" i="2"/>
  <c r="BR28" i="2"/>
  <c r="BQ28" i="2"/>
  <c r="BP28" i="2"/>
  <c r="BO28" i="2"/>
  <c r="BN28" i="2"/>
  <c r="BM28" i="2"/>
  <c r="BL28" i="2"/>
  <c r="BK28" i="2"/>
  <c r="BJ28" i="2"/>
  <c r="BI28" i="2"/>
  <c r="CO27" i="2"/>
  <c r="CN27" i="2"/>
  <c r="CM27" i="2"/>
  <c r="CL27" i="2"/>
  <c r="CK27" i="2"/>
  <c r="CJ27" i="2"/>
  <c r="CI27" i="2"/>
  <c r="CH27" i="2"/>
  <c r="CG27" i="2"/>
  <c r="CF27" i="2"/>
  <c r="CE27" i="2"/>
  <c r="CD27" i="2"/>
  <c r="CC27" i="2"/>
  <c r="CB27" i="2"/>
  <c r="CA27" i="2"/>
  <c r="BZ27" i="2"/>
  <c r="BY27" i="2"/>
  <c r="BX27" i="2"/>
  <c r="BW27" i="2"/>
  <c r="BV27" i="2"/>
  <c r="BU27" i="2"/>
  <c r="BT27" i="2"/>
  <c r="BS27" i="2"/>
  <c r="BR27" i="2"/>
  <c r="BQ27" i="2"/>
  <c r="BP27" i="2"/>
  <c r="BO27" i="2"/>
  <c r="BN27" i="2"/>
  <c r="BM27" i="2"/>
  <c r="BL27" i="2"/>
  <c r="BK27" i="2"/>
  <c r="BJ27" i="2"/>
  <c r="BI27" i="2"/>
  <c r="CO26" i="2"/>
  <c r="CN26" i="2"/>
  <c r="CM26" i="2"/>
  <c r="CL26" i="2"/>
  <c r="CK26" i="2"/>
  <c r="CJ26" i="2"/>
  <c r="CI26" i="2"/>
  <c r="CH26" i="2"/>
  <c r="CG26" i="2"/>
  <c r="CF26" i="2"/>
  <c r="CE26" i="2"/>
  <c r="CD26" i="2"/>
  <c r="CC26" i="2"/>
  <c r="CB26" i="2"/>
  <c r="CA26" i="2"/>
  <c r="BZ26" i="2"/>
  <c r="BY26" i="2"/>
  <c r="BX26" i="2"/>
  <c r="BW26" i="2"/>
  <c r="BV26" i="2"/>
  <c r="BU26" i="2"/>
  <c r="BT26" i="2"/>
  <c r="BS26" i="2"/>
  <c r="BR26" i="2"/>
  <c r="BQ26" i="2"/>
  <c r="BP26" i="2"/>
  <c r="BO26" i="2"/>
  <c r="BN26" i="2"/>
  <c r="BM26" i="2"/>
  <c r="BL26" i="2"/>
  <c r="BK26" i="2"/>
  <c r="BJ26" i="2"/>
  <c r="BI26" i="2"/>
  <c r="CO25" i="2"/>
  <c r="CN25" i="2"/>
  <c r="CM25" i="2"/>
  <c r="CL25" i="2"/>
  <c r="CK25" i="2"/>
  <c r="CJ25" i="2"/>
  <c r="CI25" i="2"/>
  <c r="CH25" i="2"/>
  <c r="CG25" i="2"/>
  <c r="CF25" i="2"/>
  <c r="CE25" i="2"/>
  <c r="CD25" i="2"/>
  <c r="CC25" i="2"/>
  <c r="CB25" i="2"/>
  <c r="CA25" i="2"/>
  <c r="BZ25" i="2"/>
  <c r="BY25" i="2"/>
  <c r="BX25" i="2"/>
  <c r="BW25" i="2"/>
  <c r="BV25" i="2"/>
  <c r="BU25" i="2"/>
  <c r="BT25" i="2"/>
  <c r="BS25" i="2"/>
  <c r="BR25" i="2"/>
  <c r="BQ25" i="2"/>
  <c r="BP25" i="2"/>
  <c r="BO25" i="2"/>
  <c r="BN25" i="2"/>
  <c r="BM25" i="2"/>
  <c r="BL25" i="2"/>
  <c r="BK25" i="2"/>
  <c r="BJ25" i="2"/>
  <c r="BI25" i="2"/>
  <c r="CO24" i="2"/>
  <c r="CN24" i="2"/>
  <c r="CM24" i="2"/>
  <c r="CL24" i="2"/>
  <c r="CK24" i="2"/>
  <c r="CJ24" i="2"/>
  <c r="CI24" i="2"/>
  <c r="CH24" i="2"/>
  <c r="CG24" i="2"/>
  <c r="CF24" i="2"/>
  <c r="CE24" i="2"/>
  <c r="CD24" i="2"/>
  <c r="CC24" i="2"/>
  <c r="CB24" i="2"/>
  <c r="CA24" i="2"/>
  <c r="BZ24" i="2"/>
  <c r="BY24" i="2"/>
  <c r="BX24" i="2"/>
  <c r="BW24" i="2"/>
  <c r="BV24" i="2"/>
  <c r="BU24" i="2"/>
  <c r="BT24" i="2"/>
  <c r="BS24" i="2"/>
  <c r="BR24" i="2"/>
  <c r="BQ24" i="2"/>
  <c r="BP24" i="2"/>
  <c r="BO24" i="2"/>
  <c r="BN24" i="2"/>
  <c r="BM24" i="2"/>
  <c r="BL24" i="2"/>
  <c r="BK24" i="2"/>
  <c r="BJ24" i="2"/>
  <c r="BI24" i="2"/>
  <c r="CO23" i="2"/>
  <c r="CN23" i="2"/>
  <c r="CM23" i="2"/>
  <c r="CL23" i="2"/>
  <c r="CK23" i="2"/>
  <c r="CJ23" i="2"/>
  <c r="CI23" i="2"/>
  <c r="CH23" i="2"/>
  <c r="CG23" i="2"/>
  <c r="CF23" i="2"/>
  <c r="CE23" i="2"/>
  <c r="CD23" i="2"/>
  <c r="CC23" i="2"/>
  <c r="CB23" i="2"/>
  <c r="CA23" i="2"/>
  <c r="BZ23" i="2"/>
  <c r="BY23" i="2"/>
  <c r="BX23" i="2"/>
  <c r="BW23" i="2"/>
  <c r="BV23" i="2"/>
  <c r="BU23" i="2"/>
  <c r="BT23" i="2"/>
  <c r="BS23" i="2"/>
  <c r="BR23" i="2"/>
  <c r="BQ23" i="2"/>
  <c r="BP23" i="2"/>
  <c r="BO23" i="2"/>
  <c r="BN23" i="2"/>
  <c r="BM23" i="2"/>
  <c r="BL23" i="2"/>
  <c r="BK23" i="2"/>
  <c r="BJ23" i="2"/>
  <c r="BI23" i="2"/>
  <c r="CO22" i="2"/>
  <c r="CN22" i="2"/>
  <c r="CM22" i="2"/>
  <c r="CL22" i="2"/>
  <c r="CK22" i="2"/>
  <c r="CJ22" i="2"/>
  <c r="CI22" i="2"/>
  <c r="CH22" i="2"/>
  <c r="CG22" i="2"/>
  <c r="CF22" i="2"/>
  <c r="CE22" i="2"/>
  <c r="CD22" i="2"/>
  <c r="CC22" i="2"/>
  <c r="CB22" i="2"/>
  <c r="CA22" i="2"/>
  <c r="BZ22" i="2"/>
  <c r="BY22" i="2"/>
  <c r="BX22" i="2"/>
  <c r="BW22" i="2"/>
  <c r="BV22" i="2"/>
  <c r="BU22" i="2"/>
  <c r="BT22" i="2"/>
  <c r="BS22" i="2"/>
  <c r="BR22" i="2"/>
  <c r="BQ22" i="2"/>
  <c r="BP22" i="2"/>
  <c r="BO22" i="2"/>
  <c r="BN22" i="2"/>
  <c r="BM22" i="2"/>
  <c r="BL22" i="2"/>
  <c r="BK22" i="2"/>
  <c r="BJ22" i="2"/>
  <c r="BI22" i="2"/>
  <c r="CO21" i="2"/>
  <c r="CN21" i="2"/>
  <c r="CM21" i="2"/>
  <c r="CL21" i="2"/>
  <c r="CK21" i="2"/>
  <c r="CJ21" i="2"/>
  <c r="CI21" i="2"/>
  <c r="CH21" i="2"/>
  <c r="CG21" i="2"/>
  <c r="CF21" i="2"/>
  <c r="CE21" i="2"/>
  <c r="CD21" i="2"/>
  <c r="CC21" i="2"/>
  <c r="CB21" i="2"/>
  <c r="CA21" i="2"/>
  <c r="BZ21" i="2"/>
  <c r="BY21" i="2"/>
  <c r="BX21" i="2"/>
  <c r="BW21" i="2"/>
  <c r="BV21" i="2"/>
  <c r="BU21" i="2"/>
  <c r="BT21" i="2"/>
  <c r="BS21" i="2"/>
  <c r="BR21" i="2"/>
  <c r="BQ21" i="2"/>
  <c r="BP21" i="2"/>
  <c r="BO21" i="2"/>
  <c r="BN21" i="2"/>
  <c r="BM21" i="2"/>
  <c r="BL21" i="2"/>
  <c r="BK21" i="2"/>
  <c r="BJ21" i="2"/>
  <c r="BI21" i="2"/>
  <c r="CO20" i="2"/>
  <c r="CN20" i="2"/>
  <c r="CM20" i="2"/>
  <c r="CL20" i="2"/>
  <c r="CK20" i="2"/>
  <c r="CJ20" i="2"/>
  <c r="CI20" i="2"/>
  <c r="CH20" i="2"/>
  <c r="CG20" i="2"/>
  <c r="CF20" i="2"/>
  <c r="CE20" i="2"/>
  <c r="CD20" i="2"/>
  <c r="CC20" i="2"/>
  <c r="CB20" i="2"/>
  <c r="CA20" i="2"/>
  <c r="BZ20" i="2"/>
  <c r="BY20" i="2"/>
  <c r="BX20" i="2"/>
  <c r="BW20" i="2"/>
  <c r="BV20" i="2"/>
  <c r="BU20" i="2"/>
  <c r="BT20" i="2"/>
  <c r="BS20" i="2"/>
  <c r="BR20" i="2"/>
  <c r="BQ20" i="2"/>
  <c r="BP20" i="2"/>
  <c r="BO20" i="2"/>
  <c r="BN20" i="2"/>
  <c r="BM20" i="2"/>
  <c r="BL20" i="2"/>
  <c r="BK20" i="2"/>
  <c r="BJ20" i="2"/>
  <c r="BI20" i="2"/>
  <c r="CO19" i="2"/>
  <c r="CN19" i="2"/>
  <c r="CM19" i="2"/>
  <c r="CL19" i="2"/>
  <c r="CK19" i="2"/>
  <c r="CJ19" i="2"/>
  <c r="CI19" i="2"/>
  <c r="CH19" i="2"/>
  <c r="CG19" i="2"/>
  <c r="CF19" i="2"/>
  <c r="CE19" i="2"/>
  <c r="CD19" i="2"/>
  <c r="CC19" i="2"/>
  <c r="CB19" i="2"/>
  <c r="CA19" i="2"/>
  <c r="BZ19" i="2"/>
  <c r="BY19" i="2"/>
  <c r="BX19" i="2"/>
  <c r="BW19" i="2"/>
  <c r="BV19" i="2"/>
  <c r="BU19" i="2"/>
  <c r="BT19" i="2"/>
  <c r="BS19" i="2"/>
  <c r="BR19" i="2"/>
  <c r="BQ19" i="2"/>
  <c r="BP19" i="2"/>
  <c r="BO19" i="2"/>
  <c r="BN19" i="2"/>
  <c r="BM19" i="2"/>
  <c r="BL19" i="2"/>
  <c r="BK19" i="2"/>
  <c r="BJ19" i="2"/>
  <c r="BI19" i="2"/>
  <c r="CO18" i="2"/>
  <c r="CN18" i="2"/>
  <c r="CM18" i="2"/>
  <c r="CL18" i="2"/>
  <c r="CK18" i="2"/>
  <c r="CJ18" i="2"/>
  <c r="CI18" i="2"/>
  <c r="CH18" i="2"/>
  <c r="CG18" i="2"/>
  <c r="CF18" i="2"/>
  <c r="CE18" i="2"/>
  <c r="CD18" i="2"/>
  <c r="CC18" i="2"/>
  <c r="CB18" i="2"/>
  <c r="CA18" i="2"/>
  <c r="BZ18" i="2"/>
  <c r="BY18" i="2"/>
  <c r="BX18" i="2"/>
  <c r="BW18" i="2"/>
  <c r="BV18" i="2"/>
  <c r="BU18" i="2"/>
  <c r="BT18" i="2"/>
  <c r="BS18" i="2"/>
  <c r="BR18" i="2"/>
  <c r="BQ18" i="2"/>
  <c r="BP18" i="2"/>
  <c r="BO18" i="2"/>
  <c r="BN18" i="2"/>
  <c r="BM18" i="2"/>
  <c r="BL18" i="2"/>
  <c r="BK18" i="2"/>
  <c r="BJ18" i="2"/>
  <c r="BI18" i="2"/>
  <c r="CO17" i="2"/>
  <c r="CN17" i="2"/>
  <c r="CM17" i="2"/>
  <c r="CL17" i="2"/>
  <c r="CK17" i="2"/>
  <c r="CJ17" i="2"/>
  <c r="CI17" i="2"/>
  <c r="CH17" i="2"/>
  <c r="CG17" i="2"/>
  <c r="CF17" i="2"/>
  <c r="CE17" i="2"/>
  <c r="CD17" i="2"/>
  <c r="CC17" i="2"/>
  <c r="CB17" i="2"/>
  <c r="CA17" i="2"/>
  <c r="BZ17" i="2"/>
  <c r="BY17" i="2"/>
  <c r="BX17" i="2"/>
  <c r="BW17" i="2"/>
  <c r="BV17" i="2"/>
  <c r="BU17" i="2"/>
  <c r="BT17" i="2"/>
  <c r="BS17" i="2"/>
  <c r="BR17" i="2"/>
  <c r="BQ17" i="2"/>
  <c r="BP17" i="2"/>
  <c r="BO17" i="2"/>
  <c r="BN17" i="2"/>
  <c r="BM17" i="2"/>
  <c r="BL17" i="2"/>
  <c r="BK17" i="2"/>
  <c r="BJ17" i="2"/>
  <c r="BI17" i="2"/>
  <c r="CO16" i="2"/>
  <c r="CN16" i="2"/>
  <c r="CM16" i="2"/>
  <c r="CL16" i="2"/>
  <c r="CK16" i="2"/>
  <c r="CJ16" i="2"/>
  <c r="CI16" i="2"/>
  <c r="CH16" i="2"/>
  <c r="CG16" i="2"/>
  <c r="CF16" i="2"/>
  <c r="CE16" i="2"/>
  <c r="CD16" i="2"/>
  <c r="CC16" i="2"/>
  <c r="CB16" i="2"/>
  <c r="CA16" i="2"/>
  <c r="BZ16" i="2"/>
  <c r="BY16" i="2"/>
  <c r="BX16" i="2"/>
  <c r="BW16" i="2"/>
  <c r="BV16" i="2"/>
  <c r="BU16" i="2"/>
  <c r="BT16" i="2"/>
  <c r="BS16" i="2"/>
  <c r="BR16" i="2"/>
  <c r="BQ16" i="2"/>
  <c r="BP16" i="2"/>
  <c r="BO16" i="2"/>
  <c r="BN16" i="2"/>
  <c r="BM16" i="2"/>
  <c r="BL16" i="2"/>
  <c r="BK16" i="2"/>
  <c r="BJ16" i="2"/>
  <c r="BI16" i="2"/>
  <c r="CO15" i="2"/>
  <c r="CN15" i="2"/>
  <c r="CM15" i="2"/>
  <c r="CL15" i="2"/>
  <c r="CK15" i="2"/>
  <c r="CJ15" i="2"/>
  <c r="CI15" i="2"/>
  <c r="CH15" i="2"/>
  <c r="CG15" i="2"/>
  <c r="CF15" i="2"/>
  <c r="CE15" i="2"/>
  <c r="CD15" i="2"/>
  <c r="CC15" i="2"/>
  <c r="CB15" i="2"/>
  <c r="CA15" i="2"/>
  <c r="BZ15" i="2"/>
  <c r="BY15" i="2"/>
  <c r="BX15" i="2"/>
  <c r="BW15" i="2"/>
  <c r="BV15" i="2"/>
  <c r="BU15" i="2"/>
  <c r="BT15" i="2"/>
  <c r="BS15" i="2"/>
  <c r="BR15" i="2"/>
  <c r="BQ15" i="2"/>
  <c r="BP15" i="2"/>
  <c r="BO15" i="2"/>
  <c r="BN15" i="2"/>
  <c r="BM15" i="2"/>
  <c r="BL15" i="2"/>
  <c r="BK15" i="2"/>
  <c r="BJ15" i="2"/>
  <c r="BI15" i="2"/>
  <c r="CO14" i="2"/>
  <c r="CN14" i="2"/>
  <c r="CM14" i="2"/>
  <c r="CL14" i="2"/>
  <c r="CK14" i="2"/>
  <c r="CJ14" i="2"/>
  <c r="CI14" i="2"/>
  <c r="CH14" i="2"/>
  <c r="CG14" i="2"/>
  <c r="CF14" i="2"/>
  <c r="CE14" i="2"/>
  <c r="CD14" i="2"/>
  <c r="CC14" i="2"/>
  <c r="CB14" i="2"/>
  <c r="CA14" i="2"/>
  <c r="BZ14" i="2"/>
  <c r="BY14" i="2"/>
  <c r="BX14" i="2"/>
  <c r="BW14" i="2"/>
  <c r="BV14" i="2"/>
  <c r="BU14" i="2"/>
  <c r="BT14" i="2"/>
  <c r="BS14" i="2"/>
  <c r="BR14" i="2"/>
  <c r="BQ14" i="2"/>
  <c r="BP14" i="2"/>
  <c r="BO14" i="2"/>
  <c r="BN14" i="2"/>
  <c r="BM14" i="2"/>
  <c r="BL14" i="2"/>
  <c r="BK14" i="2"/>
  <c r="BJ14" i="2"/>
  <c r="BI14" i="2"/>
  <c r="CO13" i="2"/>
  <c r="CN13" i="2"/>
  <c r="CM13" i="2"/>
  <c r="CL13" i="2"/>
  <c r="CK13" i="2"/>
  <c r="CJ13" i="2"/>
  <c r="CI13" i="2"/>
  <c r="CH13" i="2"/>
  <c r="CG13" i="2"/>
  <c r="CF13" i="2"/>
  <c r="CE13" i="2"/>
  <c r="CD13" i="2"/>
  <c r="CC13" i="2"/>
  <c r="CB13" i="2"/>
  <c r="CA13" i="2"/>
  <c r="BZ13" i="2"/>
  <c r="BY13" i="2"/>
  <c r="BX13" i="2"/>
  <c r="BW13" i="2"/>
  <c r="BV13" i="2"/>
  <c r="BU13" i="2"/>
  <c r="BT13" i="2"/>
  <c r="BS13" i="2"/>
  <c r="BR13" i="2"/>
  <c r="BQ13" i="2"/>
  <c r="BP13" i="2"/>
  <c r="BO13" i="2"/>
  <c r="BN13" i="2"/>
  <c r="BM13" i="2"/>
  <c r="BL13" i="2"/>
  <c r="BK13" i="2"/>
  <c r="BJ13" i="2"/>
  <c r="BI13" i="2"/>
  <c r="CO12" i="2"/>
  <c r="CN12" i="2"/>
  <c r="CM12" i="2"/>
  <c r="CL12" i="2"/>
  <c r="CK12" i="2"/>
  <c r="CJ12" i="2"/>
  <c r="CI12" i="2"/>
  <c r="CH12" i="2"/>
  <c r="CG12" i="2"/>
  <c r="CF12" i="2"/>
  <c r="CE12" i="2"/>
  <c r="CD12" i="2"/>
  <c r="CC12" i="2"/>
  <c r="CB12" i="2"/>
  <c r="CA12" i="2"/>
  <c r="BZ12" i="2"/>
  <c r="BY12" i="2"/>
  <c r="BX12" i="2"/>
  <c r="BW12" i="2"/>
  <c r="BV12" i="2"/>
  <c r="BU12" i="2"/>
  <c r="BT12" i="2"/>
  <c r="BS12" i="2"/>
  <c r="BR12" i="2"/>
  <c r="BQ12" i="2"/>
  <c r="BP12" i="2"/>
  <c r="BO12" i="2"/>
  <c r="BN12" i="2"/>
  <c r="BM12" i="2"/>
  <c r="BL12" i="2"/>
  <c r="BK12" i="2"/>
  <c r="BJ12" i="2"/>
  <c r="BI12" i="2"/>
  <c r="CO11" i="2"/>
  <c r="CN11" i="2"/>
  <c r="CM11" i="2"/>
  <c r="CL11" i="2"/>
  <c r="CK11" i="2"/>
  <c r="CJ11" i="2"/>
  <c r="CI11" i="2"/>
  <c r="CH11" i="2"/>
  <c r="CG11" i="2"/>
  <c r="CF11" i="2"/>
  <c r="CE11" i="2"/>
  <c r="CD11" i="2"/>
  <c r="CC11" i="2"/>
  <c r="CB11" i="2"/>
  <c r="CA11" i="2"/>
  <c r="BZ11" i="2"/>
  <c r="BY11" i="2"/>
  <c r="BX11" i="2"/>
  <c r="BW11" i="2"/>
  <c r="BV11" i="2"/>
  <c r="BU11" i="2"/>
  <c r="BT11" i="2"/>
  <c r="BS11" i="2"/>
  <c r="BR11" i="2"/>
  <c r="BQ11" i="2"/>
  <c r="BP11" i="2"/>
  <c r="BO11" i="2"/>
  <c r="BN11" i="2"/>
  <c r="BM11" i="2"/>
  <c r="BL11" i="2"/>
  <c r="BK11" i="2"/>
  <c r="BJ11" i="2"/>
  <c r="BI11" i="2"/>
  <c r="CO10" i="2"/>
  <c r="CN10" i="2"/>
  <c r="CM10" i="2"/>
  <c r="CL10" i="2"/>
  <c r="CK10" i="2"/>
  <c r="CJ10" i="2"/>
  <c r="CI10" i="2"/>
  <c r="CH10" i="2"/>
  <c r="CG10" i="2"/>
  <c r="CF10" i="2"/>
  <c r="CE10" i="2"/>
  <c r="CD10" i="2"/>
  <c r="CC10" i="2"/>
  <c r="CB10" i="2"/>
  <c r="CA10" i="2"/>
  <c r="BZ10" i="2"/>
  <c r="BY10" i="2"/>
  <c r="BX10" i="2"/>
  <c r="BW10" i="2"/>
  <c r="BV10" i="2"/>
  <c r="BU10" i="2"/>
  <c r="BT10" i="2"/>
  <c r="BS10" i="2"/>
  <c r="BR10" i="2"/>
  <c r="BQ10" i="2"/>
  <c r="BP10" i="2"/>
  <c r="BO10" i="2"/>
  <c r="BN10" i="2"/>
  <c r="BM10" i="2"/>
  <c r="BL10" i="2"/>
  <c r="BK10" i="2"/>
  <c r="BJ10" i="2"/>
  <c r="BI10" i="2"/>
  <c r="CO9" i="2"/>
  <c r="CN9" i="2"/>
  <c r="CM9" i="2"/>
  <c r="CL9" i="2"/>
  <c r="CK9" i="2"/>
  <c r="CJ9" i="2"/>
  <c r="CI9" i="2"/>
  <c r="CH9" i="2"/>
  <c r="CG9" i="2"/>
  <c r="CF9" i="2"/>
  <c r="CE9" i="2"/>
  <c r="CD9" i="2"/>
  <c r="CC9" i="2"/>
  <c r="CB9" i="2"/>
  <c r="CA9" i="2"/>
  <c r="BZ9" i="2"/>
  <c r="BY9" i="2"/>
  <c r="BX9" i="2"/>
  <c r="BW9" i="2"/>
  <c r="BV9" i="2"/>
  <c r="BU9" i="2"/>
  <c r="BT9" i="2"/>
  <c r="BS9" i="2"/>
  <c r="BR9" i="2"/>
  <c r="BQ9" i="2"/>
  <c r="BP9" i="2"/>
  <c r="BO9" i="2"/>
  <c r="BN9" i="2"/>
  <c r="BM9" i="2"/>
  <c r="BL9" i="2"/>
  <c r="BK9" i="2"/>
  <c r="BJ9" i="2"/>
  <c r="BI9" i="2"/>
  <c r="CO8" i="2"/>
  <c r="CN8" i="2"/>
  <c r="CM8" i="2"/>
  <c r="CL8" i="2"/>
  <c r="CK8" i="2"/>
  <c r="CJ8" i="2"/>
  <c r="CI8" i="2"/>
  <c r="CH8" i="2"/>
  <c r="CG8" i="2"/>
  <c r="CF8" i="2"/>
  <c r="CE8" i="2"/>
  <c r="CD8" i="2"/>
  <c r="CC8" i="2"/>
  <c r="CB8" i="2"/>
  <c r="CA8" i="2"/>
  <c r="BZ8" i="2"/>
  <c r="BY8" i="2"/>
  <c r="BX8" i="2"/>
  <c r="BW8" i="2"/>
  <c r="BV8" i="2"/>
  <c r="BU8" i="2"/>
  <c r="BT8" i="2"/>
  <c r="BS8" i="2"/>
  <c r="BR8" i="2"/>
  <c r="BQ8" i="2"/>
  <c r="BP8" i="2"/>
  <c r="BO8" i="2"/>
  <c r="BN8" i="2"/>
  <c r="BM8" i="2"/>
  <c r="BL8" i="2"/>
  <c r="BK8" i="2"/>
  <c r="BJ8" i="2"/>
  <c r="BI8" i="2"/>
  <c r="CO7" i="2"/>
  <c r="CN7" i="2"/>
  <c r="CM7" i="2"/>
  <c r="CL7" i="2"/>
  <c r="CK7" i="2"/>
  <c r="CJ7" i="2"/>
  <c r="CI7" i="2"/>
  <c r="CH7" i="2"/>
  <c r="CG7" i="2"/>
  <c r="CF7" i="2"/>
  <c r="CE7" i="2"/>
  <c r="CD7" i="2"/>
  <c r="CC7" i="2"/>
  <c r="CB7" i="2"/>
  <c r="CA7" i="2"/>
  <c r="BZ7" i="2"/>
  <c r="BY7" i="2"/>
  <c r="BX7" i="2"/>
  <c r="BW7" i="2"/>
  <c r="BV7" i="2"/>
  <c r="BU7" i="2"/>
  <c r="BT7" i="2"/>
  <c r="BS7" i="2"/>
  <c r="BR7" i="2"/>
  <c r="BQ7" i="2"/>
  <c r="BP7" i="2"/>
  <c r="BO7" i="2"/>
  <c r="BN7" i="2"/>
  <c r="BM7" i="2"/>
  <c r="BL7" i="2"/>
  <c r="BK7" i="2"/>
  <c r="BJ7" i="2"/>
  <c r="BI7" i="2"/>
  <c r="CO6" i="2"/>
  <c r="CN6" i="2"/>
  <c r="CM6" i="2"/>
  <c r="CL6" i="2"/>
  <c r="CK6" i="2"/>
  <c r="CJ6" i="2"/>
  <c r="CI6" i="2"/>
  <c r="CH6" i="2"/>
  <c r="CG6" i="2"/>
  <c r="CF6" i="2"/>
  <c r="CE6" i="2"/>
  <c r="CD6" i="2"/>
  <c r="CC6" i="2"/>
  <c r="CB6" i="2"/>
  <c r="CA6" i="2"/>
  <c r="BZ6" i="2"/>
  <c r="BY6" i="2"/>
  <c r="BX6" i="2"/>
  <c r="BW6" i="2"/>
  <c r="BV6" i="2"/>
  <c r="BU6" i="2"/>
  <c r="BT6" i="2"/>
  <c r="BS6" i="2"/>
  <c r="BR6" i="2"/>
  <c r="BQ6" i="2"/>
  <c r="BP6" i="2"/>
  <c r="BO6" i="2"/>
  <c r="BN6" i="2"/>
  <c r="BM6" i="2"/>
  <c r="BL6" i="2"/>
  <c r="BK6" i="2"/>
  <c r="BJ6" i="2"/>
  <c r="BI6" i="2"/>
  <c r="CO5" i="2"/>
  <c r="CN5" i="2"/>
  <c r="CM5" i="2"/>
  <c r="CL5" i="2"/>
  <c r="CK5" i="2"/>
  <c r="CJ5" i="2"/>
  <c r="CI5" i="2"/>
  <c r="CH5" i="2"/>
  <c r="CG5" i="2"/>
  <c r="CF5" i="2"/>
  <c r="CE5" i="2"/>
  <c r="CD5" i="2"/>
  <c r="CC5" i="2"/>
  <c r="CB5" i="2"/>
  <c r="CA5" i="2"/>
  <c r="BZ5" i="2"/>
  <c r="BY5" i="2"/>
  <c r="BX5" i="2"/>
  <c r="BW5" i="2"/>
  <c r="BV5" i="2"/>
  <c r="BU5" i="2"/>
  <c r="BT5" i="2"/>
  <c r="BS5" i="2"/>
  <c r="BR5" i="2"/>
  <c r="BQ5" i="2"/>
  <c r="BP5" i="2"/>
  <c r="BO5" i="2"/>
  <c r="BN5" i="2"/>
  <c r="BM5" i="2"/>
  <c r="BL5" i="2"/>
  <c r="BK5" i="2"/>
  <c r="BJ5" i="2"/>
  <c r="BI5" i="2"/>
  <c r="CO4" i="2"/>
  <c r="CN4" i="2"/>
  <c r="CM4" i="2"/>
  <c r="CL4" i="2"/>
  <c r="CK4" i="2"/>
  <c r="CJ4" i="2"/>
  <c r="CI4" i="2"/>
  <c r="CH4" i="2"/>
  <c r="CG4" i="2"/>
  <c r="CF4" i="2"/>
  <c r="CE4" i="2"/>
  <c r="CD4" i="2"/>
  <c r="CC4" i="2"/>
  <c r="CB4" i="2"/>
  <c r="CA4" i="2"/>
  <c r="BZ4" i="2"/>
  <c r="BY4" i="2"/>
  <c r="BX4" i="2"/>
  <c r="BW4" i="2"/>
  <c r="BV4" i="2"/>
  <c r="BU4" i="2"/>
  <c r="BT4" i="2"/>
  <c r="BS4" i="2"/>
  <c r="BR4" i="2"/>
  <c r="BQ4" i="2"/>
  <c r="BP4" i="2"/>
  <c r="BO4" i="2"/>
  <c r="BN4" i="2"/>
  <c r="BM4" i="2"/>
  <c r="BL4" i="2"/>
  <c r="BK4" i="2"/>
  <c r="BJ4" i="2"/>
  <c r="BI4" i="2"/>
  <c r="CO3" i="2"/>
  <c r="CN3" i="2"/>
  <c r="CM3" i="2"/>
  <c r="CL3" i="2"/>
  <c r="CK3" i="2"/>
  <c r="CJ3" i="2"/>
  <c r="CI3" i="2"/>
  <c r="CH3" i="2"/>
  <c r="CG3" i="2"/>
  <c r="CF3" i="2"/>
  <c r="CE3" i="2"/>
  <c r="CD3" i="2"/>
  <c r="CC3" i="2"/>
  <c r="CB3" i="2"/>
  <c r="CA3" i="2"/>
  <c r="BZ3" i="2"/>
  <c r="BY3" i="2"/>
  <c r="BX3" i="2"/>
  <c r="BW3" i="2"/>
  <c r="BV3" i="2"/>
  <c r="BU3" i="2"/>
  <c r="BT3" i="2"/>
  <c r="BS3" i="2"/>
  <c r="BR3" i="2"/>
  <c r="BQ3" i="2"/>
  <c r="BP3" i="2"/>
  <c r="BO3" i="2"/>
  <c r="BN3" i="2"/>
  <c r="BM3" i="2"/>
  <c r="BL3" i="2"/>
  <c r="BK3" i="2"/>
  <c r="BJ3" i="2"/>
  <c r="BI3" i="2"/>
  <c r="B3" i="2"/>
  <c r="B4" i="2" s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CO2" i="2"/>
  <c r="CN2" i="2"/>
  <c r="CM2" i="2"/>
  <c r="CL2" i="2"/>
  <c r="CK2" i="2"/>
  <c r="CJ2" i="2"/>
  <c r="CI2" i="2"/>
  <c r="CH2" i="2"/>
  <c r="CG2" i="2"/>
  <c r="CF2" i="2"/>
  <c r="CE2" i="2"/>
  <c r="CD2" i="2"/>
  <c r="CC2" i="2"/>
  <c r="CB2" i="2"/>
  <c r="CA2" i="2"/>
  <c r="BZ2" i="2"/>
  <c r="BY2" i="2"/>
  <c r="BX2" i="2"/>
  <c r="BW2" i="2"/>
  <c r="BV2" i="2"/>
  <c r="BU2" i="2"/>
  <c r="BT2" i="2"/>
  <c r="BS2" i="2"/>
  <c r="BR2" i="2"/>
  <c r="BQ2" i="2"/>
  <c r="BP2" i="2"/>
  <c r="BO2" i="2"/>
  <c r="BN2" i="2"/>
  <c r="BM2" i="2"/>
  <c r="BL2" i="2"/>
  <c r="BK2" i="2"/>
  <c r="BJ2" i="2"/>
  <c r="BI2" i="2"/>
  <c r="B3" i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I9" i="3" l="1"/>
  <c r="K9" i="3" s="1"/>
  <c r="G21" i="2"/>
  <c r="E21" i="1" s="1"/>
  <c r="I28" i="3"/>
  <c r="K28" i="3" s="1"/>
  <c r="G9" i="2"/>
  <c r="E9" i="1" s="1"/>
  <c r="I16" i="3"/>
  <c r="K16" i="3" s="1"/>
  <c r="G24" i="2"/>
  <c r="E24" i="1" s="1"/>
  <c r="I31" i="3"/>
  <c r="K31" i="3" s="1"/>
  <c r="G20" i="2"/>
  <c r="E20" i="1" s="1"/>
  <c r="I27" i="3"/>
  <c r="G16" i="2"/>
  <c r="E16" i="1" s="1"/>
  <c r="I23" i="3"/>
  <c r="K23" i="3" s="1"/>
  <c r="G12" i="2"/>
  <c r="E12" i="1" s="1"/>
  <c r="I19" i="3"/>
  <c r="K19" i="3" s="1"/>
  <c r="G8" i="2"/>
  <c r="E8" i="1" s="1"/>
  <c r="I15" i="3"/>
  <c r="K15" i="3" s="1"/>
  <c r="G4" i="2"/>
  <c r="E4" i="1" s="1"/>
  <c r="I11" i="3"/>
  <c r="K11" i="3" s="1"/>
  <c r="G17" i="2"/>
  <c r="I24" i="3"/>
  <c r="K24" i="3" s="1"/>
  <c r="G5" i="2"/>
  <c r="E5" i="1" s="1"/>
  <c r="I12" i="3"/>
  <c r="K12" i="3" s="1"/>
  <c r="G27" i="2"/>
  <c r="E27" i="1" s="1"/>
  <c r="I34" i="3"/>
  <c r="K34" i="3" s="1"/>
  <c r="G23" i="2"/>
  <c r="E23" i="1" s="1"/>
  <c r="I30" i="3"/>
  <c r="K30" i="3" s="1"/>
  <c r="G19" i="2"/>
  <c r="E19" i="1" s="1"/>
  <c r="I26" i="3"/>
  <c r="K26" i="3" s="1"/>
  <c r="G15" i="2"/>
  <c r="E15" i="1" s="1"/>
  <c r="I22" i="3"/>
  <c r="K22" i="3" s="1"/>
  <c r="G11" i="2"/>
  <c r="E11" i="1" s="1"/>
  <c r="I18" i="3"/>
  <c r="K18" i="3" s="1"/>
  <c r="G7" i="2"/>
  <c r="E7" i="1" s="1"/>
  <c r="I14" i="3"/>
  <c r="K14" i="3" s="1"/>
  <c r="G3" i="2"/>
  <c r="I10" i="3"/>
  <c r="K10" i="3" s="1"/>
  <c r="G29" i="2"/>
  <c r="E29" i="1" s="1"/>
  <c r="I36" i="3"/>
  <c r="K36" i="3" s="1"/>
  <c r="G25" i="2"/>
  <c r="E25" i="1" s="1"/>
  <c r="I32" i="3"/>
  <c r="K32" i="3" s="1"/>
  <c r="G13" i="2"/>
  <c r="I20" i="3"/>
  <c r="K20" i="3" s="1"/>
  <c r="G26" i="2"/>
  <c r="I33" i="3"/>
  <c r="K33" i="3" s="1"/>
  <c r="G22" i="2"/>
  <c r="E22" i="1" s="1"/>
  <c r="I29" i="3"/>
  <c r="K29" i="3" s="1"/>
  <c r="G18" i="2"/>
  <c r="E18" i="1" s="1"/>
  <c r="I25" i="3"/>
  <c r="K25" i="3" s="1"/>
  <c r="G14" i="2"/>
  <c r="E14" i="1" s="1"/>
  <c r="I21" i="3"/>
  <c r="K21" i="3" s="1"/>
  <c r="G10" i="2"/>
  <c r="E10" i="1" s="1"/>
  <c r="I17" i="3"/>
  <c r="K17" i="3" s="1"/>
  <c r="G6" i="2"/>
  <c r="E6" i="1" s="1"/>
  <c r="I13" i="3"/>
  <c r="K13" i="3" s="1"/>
  <c r="G28" i="2"/>
  <c r="E28" i="1" s="1"/>
  <c r="I35" i="3"/>
  <c r="K35" i="3" s="1"/>
  <c r="J2" i="2"/>
  <c r="I2" i="1" s="1"/>
  <c r="T37" i="3"/>
  <c r="I2" i="2"/>
  <c r="O37" i="3"/>
  <c r="H2" i="2"/>
  <c r="M37" i="3"/>
  <c r="G2" i="2"/>
  <c r="G37" i="3"/>
  <c r="F2" i="2"/>
  <c r="E37" i="3"/>
  <c r="E2" i="2"/>
  <c r="C37" i="3"/>
  <c r="J26" i="2"/>
  <c r="I26" i="1" s="1"/>
  <c r="J25" i="2"/>
  <c r="I25" i="1" s="1"/>
  <c r="J27" i="2"/>
  <c r="I27" i="1" s="1"/>
  <c r="J29" i="2"/>
  <c r="I29" i="1" s="1"/>
  <c r="J28" i="2"/>
  <c r="I28" i="1" s="1"/>
  <c r="R32" i="3"/>
  <c r="J6" i="2"/>
  <c r="I6" i="1" s="1"/>
  <c r="J10" i="2"/>
  <c r="I10" i="1" s="1"/>
  <c r="G6" i="1"/>
  <c r="G10" i="1"/>
  <c r="G11" i="1"/>
  <c r="Q12" i="3"/>
  <c r="Q16" i="3"/>
  <c r="G3" i="1"/>
  <c r="G4" i="1"/>
  <c r="G8" i="1"/>
  <c r="G7" i="1"/>
  <c r="G14" i="1"/>
  <c r="Q22" i="3"/>
  <c r="G18" i="1"/>
  <c r="E3" i="2"/>
  <c r="I9" i="2"/>
  <c r="G9" i="1" s="1"/>
  <c r="I5" i="2"/>
  <c r="G5" i="1" s="1"/>
  <c r="J9" i="2"/>
  <c r="I9" i="1" s="1"/>
  <c r="J5" i="2"/>
  <c r="I5" i="1" s="1"/>
  <c r="J24" i="2"/>
  <c r="I24" i="1" s="1"/>
  <c r="J8" i="2"/>
  <c r="I8" i="1" s="1"/>
  <c r="J4" i="2"/>
  <c r="I4" i="1" s="1"/>
  <c r="G12" i="1"/>
  <c r="G16" i="1"/>
  <c r="Q24" i="3"/>
  <c r="G20" i="1"/>
  <c r="Q28" i="3"/>
  <c r="J11" i="2"/>
  <c r="I11" i="1" s="1"/>
  <c r="J7" i="2"/>
  <c r="I7" i="1" s="1"/>
  <c r="J3" i="2"/>
  <c r="I3" i="1" s="1"/>
  <c r="K6" i="3"/>
  <c r="J23" i="2"/>
  <c r="I23" i="1" s="1"/>
  <c r="G26" i="1"/>
  <c r="R36" i="3"/>
  <c r="Q36" i="3"/>
  <c r="G24" i="1"/>
  <c r="G28" i="1"/>
  <c r="G25" i="1"/>
  <c r="G22" i="1"/>
  <c r="G23" i="1"/>
  <c r="Q34" i="3"/>
  <c r="G29" i="1"/>
  <c r="R31" i="3"/>
  <c r="Q30" i="3"/>
  <c r="R34" i="3"/>
  <c r="G27" i="1"/>
  <c r="J22" i="2"/>
  <c r="I22" i="1" s="1"/>
  <c r="J21" i="2"/>
  <c r="I21" i="1" s="1"/>
  <c r="J17" i="2"/>
  <c r="I17" i="1" s="1"/>
  <c r="J13" i="2"/>
  <c r="I13" i="1" s="1"/>
  <c r="J14" i="2"/>
  <c r="I14" i="1" s="1"/>
  <c r="J20" i="2"/>
  <c r="I20" i="1" s="1"/>
  <c r="J16" i="2"/>
  <c r="I16" i="1" s="1"/>
  <c r="J12" i="2"/>
  <c r="I12" i="1" s="1"/>
  <c r="J18" i="2"/>
  <c r="I18" i="1" s="1"/>
  <c r="J19" i="2"/>
  <c r="I19" i="1" s="1"/>
  <c r="J15" i="2"/>
  <c r="I15" i="1" s="1"/>
  <c r="I15" i="2"/>
  <c r="G15" i="1" s="1"/>
  <c r="G13" i="1"/>
  <c r="Q26" i="3"/>
  <c r="Q20" i="3"/>
  <c r="G19" i="1"/>
  <c r="I21" i="2"/>
  <c r="G21" i="1" s="1"/>
  <c r="I17" i="2"/>
  <c r="G17" i="1" s="1"/>
  <c r="E17" i="2"/>
  <c r="E13" i="2"/>
  <c r="E13" i="1" s="1"/>
  <c r="Q14" i="3"/>
  <c r="Q18" i="3"/>
  <c r="Q13" i="3"/>
  <c r="Q17" i="3"/>
  <c r="Q19" i="3"/>
  <c r="Q25" i="3"/>
  <c r="Q33" i="3"/>
  <c r="Q32" i="3"/>
  <c r="Q23" i="3"/>
  <c r="Q29" i="3"/>
  <c r="Q31" i="3"/>
  <c r="Q9" i="3"/>
  <c r="Q10" i="3"/>
  <c r="Q11" i="3"/>
  <c r="Q15" i="3"/>
  <c r="Q21" i="3"/>
  <c r="Q27" i="3"/>
  <c r="Q35" i="3"/>
  <c r="R27" i="3"/>
  <c r="K27" i="3"/>
  <c r="R25" i="3"/>
  <c r="R24" i="3"/>
  <c r="R29" i="3"/>
  <c r="R12" i="3"/>
  <c r="R18" i="3"/>
  <c r="R26" i="3"/>
  <c r="R28" i="3"/>
  <c r="R30" i="3"/>
  <c r="R14" i="3"/>
  <c r="R20" i="3"/>
  <c r="R22" i="3"/>
  <c r="R33" i="3"/>
  <c r="R35" i="3"/>
  <c r="R23" i="3"/>
  <c r="R10" i="3"/>
  <c r="R16" i="3"/>
  <c r="R11" i="3"/>
  <c r="R13" i="3"/>
  <c r="R15" i="3"/>
  <c r="R17" i="3"/>
  <c r="Q6" i="3"/>
  <c r="R6" i="3" s="1"/>
  <c r="R19" i="3"/>
  <c r="R21" i="3"/>
  <c r="R9" i="3"/>
  <c r="E17" i="1" l="1"/>
  <c r="E3" i="1"/>
  <c r="K37" i="3"/>
  <c r="G2" i="1"/>
  <c r="E2" i="1"/>
  <c r="V37" i="3"/>
  <c r="R37" i="3"/>
  <c r="Q37" i="3"/>
  <c r="I37" i="3"/>
  <c r="X13" i="3"/>
  <c r="Z13" i="3" s="1"/>
  <c r="X6" i="3"/>
  <c r="Z6" i="3" s="1"/>
  <c r="X32" i="3"/>
  <c r="Z32" i="3" s="1"/>
  <c r="X10" i="3"/>
  <c r="Z10" i="3" s="1"/>
  <c r="X24" i="3"/>
  <c r="Z24" i="3" s="1"/>
  <c r="E26" i="1"/>
  <c r="X31" i="3"/>
  <c r="Z31" i="3" s="1"/>
  <c r="X30" i="3"/>
  <c r="Z30" i="3" s="1"/>
  <c r="X36" i="3"/>
  <c r="Z36" i="3" s="1"/>
  <c r="X20" i="3"/>
  <c r="Z20" i="3" s="1"/>
  <c r="X33" i="3"/>
  <c r="Z33" i="3" s="1"/>
  <c r="X34" i="3"/>
  <c r="Z34" i="3" s="1"/>
  <c r="X29" i="3"/>
  <c r="Z29" i="3" s="1"/>
  <c r="X28" i="3"/>
  <c r="Z28" i="3" s="1"/>
  <c r="X25" i="3"/>
  <c r="Z25" i="3" s="1"/>
  <c r="X27" i="3"/>
  <c r="Z27" i="3" s="1"/>
  <c r="X16" i="3"/>
  <c r="Z16" i="3" s="1"/>
  <c r="X14" i="3"/>
  <c r="Z14" i="3" s="1"/>
  <c r="X12" i="3"/>
  <c r="Z12" i="3" s="1"/>
  <c r="X11" i="3"/>
  <c r="Z11" i="3" s="1"/>
  <c r="X18" i="3"/>
  <c r="Z18" i="3" s="1"/>
  <c r="X35" i="3"/>
  <c r="Z35" i="3" s="1"/>
  <c r="X15" i="3"/>
  <c r="Z15" i="3" s="1"/>
  <c r="X22" i="3"/>
  <c r="Z22" i="3" s="1"/>
  <c r="X26" i="3"/>
  <c r="Z26" i="3" s="1"/>
  <c r="X23" i="3"/>
  <c r="Z23" i="3" s="1"/>
  <c r="X19" i="3"/>
  <c r="Z19" i="3" s="1"/>
  <c r="X17" i="3"/>
  <c r="Z17" i="3" s="1"/>
  <c r="X21" i="3"/>
  <c r="Z21" i="3" s="1"/>
  <c r="X9" i="3" l="1"/>
  <c r="X37" i="3" s="1"/>
  <c r="Z9" i="3" l="1"/>
  <c r="Z37" i="3" s="1"/>
</calcChain>
</file>

<file path=xl/sharedStrings.xml><?xml version="1.0" encoding="utf-8"?>
<sst xmlns="http://schemas.openxmlformats.org/spreadsheetml/2006/main" count="301" uniqueCount="123">
  <si>
    <t>Site Name</t>
  </si>
  <si>
    <t>Day</t>
  </si>
  <si>
    <t>Month</t>
  </si>
  <si>
    <t>Year</t>
  </si>
  <si>
    <t>Total Electricity Kwh</t>
  </si>
  <si>
    <t>Electricity Tariff ($/Kwh)</t>
  </si>
  <si>
    <t>Natual Gas (m3)</t>
  </si>
  <si>
    <t>Natural Gas $/m3</t>
  </si>
  <si>
    <t>Water Utility Supply (m3) m3</t>
  </si>
  <si>
    <t>Water Utility Supply (m3) $/m3</t>
  </si>
  <si>
    <t xml:space="preserve">Room Nights </t>
  </si>
  <si>
    <t>Tunis</t>
  </si>
  <si>
    <t>Ph1 KWh</t>
  </si>
  <si>
    <t>Ph2 KWh</t>
  </si>
  <si>
    <t>Ph3 KWh</t>
  </si>
  <si>
    <r>
      <t>Cuisine m</t>
    </r>
    <r>
      <rPr>
        <b/>
        <vertAlign val="superscript"/>
        <sz val="11"/>
        <color indexed="8"/>
        <rFont val="Calibri"/>
        <family val="2"/>
      </rPr>
      <t>3</t>
    </r>
  </si>
  <si>
    <r>
      <t>Chaufferie m</t>
    </r>
    <r>
      <rPr>
        <b/>
        <vertAlign val="superscript"/>
        <sz val="11"/>
        <color indexed="8"/>
        <rFont val="Calibri"/>
        <family val="2"/>
      </rPr>
      <t>3</t>
    </r>
  </si>
  <si>
    <r>
      <t>Water m</t>
    </r>
    <r>
      <rPr>
        <b/>
        <vertAlign val="superscript"/>
        <sz val="11"/>
        <color indexed="8"/>
        <rFont val="Calibri"/>
        <family val="2"/>
      </rPr>
      <t>3</t>
    </r>
  </si>
  <si>
    <t>Groupe Froid Indus 1 - KWH</t>
  </si>
  <si>
    <t>Beach Bar - KWH</t>
  </si>
  <si>
    <t>SGX zone de service secours - KWH</t>
  </si>
  <si>
    <t>Gen.Rest.Spécialité Secours - KWH</t>
  </si>
  <si>
    <t>SGX Rest.Menu+ young adult - KWH</t>
  </si>
  <si>
    <t>Onduleur Principal 1er - KWH</t>
  </si>
  <si>
    <t>Bloc A Hebergement - KWH</t>
  </si>
  <si>
    <t>Bloc B Hebergement - KWH</t>
  </si>
  <si>
    <t>TGBT Hebergement - KWH</t>
  </si>
  <si>
    <t>S1,S2,P2,P3,P6,P7 - KWH</t>
  </si>
  <si>
    <t>Buanderie - KWH</t>
  </si>
  <si>
    <t>Gen.Spa.Secours - KWH</t>
  </si>
  <si>
    <t>S3,S4 - KWH</t>
  </si>
  <si>
    <t xml:space="preserve">Groupe Froid Indus - KWH </t>
  </si>
  <si>
    <t>Gen.Reception Secours - KWH</t>
  </si>
  <si>
    <t>Surpresseur Eau potable - KWH</t>
  </si>
  <si>
    <t>Service Comptabilité Secours - KWH</t>
  </si>
  <si>
    <t>Clim+Extraction Data Center - KWH</t>
  </si>
  <si>
    <t>SGX grand parking Area - KWH</t>
  </si>
  <si>
    <t>Cuisine rest.Menu secours - KWH</t>
  </si>
  <si>
    <t>S5,S6,P4,P5,P9 - KWH</t>
  </si>
  <si>
    <t>Parking valet + Standard secours - KWH</t>
  </si>
  <si>
    <t>Administration secours - KWH</t>
  </si>
  <si>
    <t>Eclairage Grand piscine Ext Secours - KWH</t>
  </si>
  <si>
    <t>FM+SGX Buanderie Secours - KWH</t>
  </si>
  <si>
    <t>Orange - KWH</t>
  </si>
  <si>
    <t>FM chaudière à vapeur - KWH</t>
  </si>
  <si>
    <t>Loge Gardien 2 - KWH</t>
  </si>
  <si>
    <t>Loge Gardien 1 - KWH</t>
  </si>
  <si>
    <t>TGBT Sécurité - KWH</t>
  </si>
  <si>
    <t>Gen.Centre congrés secours - KWH</t>
  </si>
  <si>
    <t>FM chaufferie Gauche - KWH</t>
  </si>
  <si>
    <t>Groupe d'eau glacé 1 - KWH</t>
  </si>
  <si>
    <t>FM cuisine Rest.Menu - KWH</t>
  </si>
  <si>
    <t>FM cuisine Ballroom - KWH</t>
  </si>
  <si>
    <t>Groupe d'eau glacé 2 - KWH</t>
  </si>
  <si>
    <t>Groupe d'eau glacé 3 - KWH</t>
  </si>
  <si>
    <t>FM piscine extérieur - KWH</t>
  </si>
  <si>
    <t>Show power Centre Congrés - KWH</t>
  </si>
  <si>
    <t>Groupe d'eau glacé 4 - KWH</t>
  </si>
  <si>
    <t>Gene.Clim Centre congré - KWH</t>
  </si>
  <si>
    <t>FM rest.spécialité normal - KWH</t>
  </si>
  <si>
    <t>FM Cuisine reception normal - KWH</t>
  </si>
  <si>
    <t>Gene.Spa normal - KWH</t>
  </si>
  <si>
    <t>Clim Zone Rest.Menu - KWH</t>
  </si>
  <si>
    <t>Chauf.Gauche.Eau Foide.adoucisseur - m3</t>
  </si>
  <si>
    <t>Chauf.Gauche.Eau Foide.Cuisine - m3</t>
  </si>
  <si>
    <t>Chauf.Gauche.Eau Foide.Heberg - m3</t>
  </si>
  <si>
    <t>Chauf.Gauche.Eau Foide.Piscine - m3</t>
  </si>
  <si>
    <t>Chauf.Gauche.Eau Foide.Buanderie - m3</t>
  </si>
  <si>
    <t>Chauf.Gauche.Dep.EC heb - m3</t>
  </si>
  <si>
    <t>Chauf.Gauche.Ret.EC Heb - m3</t>
  </si>
  <si>
    <t>Chauf.Gauche.Ret.EC.LC et service divers - m3</t>
  </si>
  <si>
    <t>Chauf.Gauche.Retour eau glacé - m3</t>
  </si>
  <si>
    <t>Chauf.Gauche.Ret.eau.ch.buanderie - m3</t>
  </si>
  <si>
    <t>Chauf.Gauche.Remp. retour  coll.EC - m3</t>
  </si>
  <si>
    <t>Chauf.Droite.Eau.Froide.Adoucisseur - m3</t>
  </si>
  <si>
    <t>Chauf.Droite.Eau.Froide.Spa pool - m3</t>
  </si>
  <si>
    <t>Chauf.Droite.Eau.Froide.pataugeoire - m3</t>
  </si>
  <si>
    <t>Chauf.Droite.Eau.Froide.Spa Base 3 - m3</t>
  </si>
  <si>
    <t>Chauf.Droite.Eau.Froide. Heberg droite - m3</t>
  </si>
  <si>
    <t>Chauf.Droite.Dep.EC Heb droite - m3</t>
  </si>
  <si>
    <t>Chauf.Droite.Dep.EC Spa - m3</t>
  </si>
  <si>
    <t>Chauf.Droite.Ret.EC Spa - m3</t>
  </si>
  <si>
    <t xml:space="preserve">Arrosage - m3 </t>
  </si>
  <si>
    <t>suite presidentielle - m3</t>
  </si>
  <si>
    <t>Kids club - m3</t>
  </si>
  <si>
    <t>Tow Bedroom A - m3</t>
  </si>
  <si>
    <t>Tow Bedroom B - m3</t>
  </si>
  <si>
    <t>Tow Bedroom C - m3</t>
  </si>
  <si>
    <t>wirlpool h - m3</t>
  </si>
  <si>
    <t>wirlpool f -m3</t>
  </si>
  <si>
    <t>piscine spa pool - m3</t>
  </si>
  <si>
    <t>piscine ext - m3</t>
  </si>
  <si>
    <t>filtration piscine ext - m3</t>
  </si>
  <si>
    <t>depart chaufferie droite - m3</t>
  </si>
  <si>
    <t>adoucisseur chaufferie vapeur - m3</t>
  </si>
  <si>
    <t>RELEVEE JOURNALIERE D'ENERGIE</t>
  </si>
  <si>
    <t>D</t>
  </si>
  <si>
    <t>ELECTRICITE</t>
  </si>
  <si>
    <t>GAZ</t>
  </si>
  <si>
    <t>EAU</t>
  </si>
  <si>
    <t>Cout</t>
  </si>
  <si>
    <t>Pax /</t>
  </si>
  <si>
    <t>PH 1</t>
  </si>
  <si>
    <t>Con.</t>
  </si>
  <si>
    <t>PH 2</t>
  </si>
  <si>
    <t>PH 3</t>
  </si>
  <si>
    <t>E.A Totale</t>
  </si>
  <si>
    <r>
      <t>cos</t>
    </r>
    <r>
      <rPr>
        <sz val="9"/>
        <color indexed="56"/>
        <rFont val="Calibri"/>
        <family val="2"/>
      </rPr>
      <t>ℓ</t>
    </r>
  </si>
  <si>
    <t>cout</t>
  </si>
  <si>
    <t>Cuisine</t>
  </si>
  <si>
    <t>Chaufferie</t>
  </si>
  <si>
    <t>T.cons</t>
  </si>
  <si>
    <t>SONEDE</t>
  </si>
  <si>
    <t>/ jour</t>
  </si>
  <si>
    <t>Nuité</t>
  </si>
  <si>
    <t>/ pax</t>
  </si>
  <si>
    <t>J</t>
  </si>
  <si>
    <t>V</t>
  </si>
  <si>
    <t>S</t>
  </si>
  <si>
    <t>L</t>
  </si>
  <si>
    <t>MA</t>
  </si>
  <si>
    <t>ME</t>
  </si>
  <si>
    <t>February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</si>
</sst>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;;;"/>
    <numFmt numFmtId="165" formatCode="0.000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002060"/>
      <name val="Arial"/>
      <family val="2"/>
    </font>
    <font>
      <sz val="10"/>
      <color rgb="FFFF0000"/>
      <name val="Arial"/>
      <family val="2"/>
    </font>
    <font>
      <sz val="11"/>
      <color rgb="FF002060"/>
      <name val="Calibri"/>
      <family val="2"/>
      <scheme val="minor"/>
    </font>
    <font>
      <b/>
      <vertAlign val="superscript"/>
      <sz val="11"/>
      <color indexed="8"/>
      <name val="Calibri"/>
      <family val="2"/>
    </font>
    <font>
      <b/>
      <sz val="10"/>
      <color theme="1"/>
      <name val="Calibri"/>
      <family val="2"/>
      <scheme val="minor"/>
    </font>
    <font>
      <b/>
      <sz val="16"/>
      <color indexed="60"/>
      <name val="Arial"/>
      <family val="2"/>
    </font>
    <font>
      <b/>
      <sz val="16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9"/>
      <color theme="0"/>
      <name val="Arial"/>
      <family val="2"/>
    </font>
    <font>
      <sz val="8"/>
      <color indexed="56"/>
      <name val="Arial"/>
      <family val="2"/>
    </font>
    <font>
      <sz val="8"/>
      <color theme="0"/>
      <name val="Arial"/>
      <family val="2"/>
    </font>
    <font>
      <sz val="8"/>
      <color indexed="12"/>
      <name val="Arial"/>
      <family val="2"/>
    </font>
    <font>
      <sz val="9"/>
      <name val="Arial"/>
      <family val="2"/>
    </font>
    <font>
      <b/>
      <i/>
      <sz val="9"/>
      <name val="Arial"/>
      <family val="2"/>
    </font>
    <font>
      <sz val="9"/>
      <color indexed="13"/>
      <name val="Arial"/>
      <family val="2"/>
    </font>
    <font>
      <sz val="9"/>
      <color indexed="56"/>
      <name val="Arial"/>
      <family val="2"/>
    </font>
    <font>
      <sz val="9"/>
      <color indexed="56"/>
      <name val="Calibri"/>
      <family val="2"/>
    </font>
    <font>
      <sz val="8"/>
      <name val="Arial"/>
      <family val="2"/>
    </font>
    <font>
      <sz val="8"/>
      <color rgb="FFFF0066"/>
      <name val="Arial"/>
      <family val="2"/>
    </font>
    <font>
      <b/>
      <sz val="8"/>
      <color rgb="FFFF0000"/>
      <name val="Arial"/>
      <family val="2"/>
    </font>
    <font>
      <b/>
      <sz val="8"/>
      <color indexed="14"/>
      <name val="Arial"/>
      <family val="2"/>
    </font>
    <font>
      <b/>
      <sz val="8"/>
      <color rgb="FFFF0066"/>
      <name val="Arial"/>
      <family val="2"/>
    </font>
    <font>
      <b/>
      <sz val="8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rgb="FFFFCC99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60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3"/>
        <bgColor indexed="64"/>
      </patternFill>
    </fill>
  </fills>
  <borders count="4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ashDot">
        <color indexed="64"/>
      </bottom>
      <diagonal/>
    </border>
    <border>
      <left/>
      <right/>
      <top/>
      <bottom style="dotted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4">
    <xf numFmtId="0" fontId="0" fillId="0" borderId="0"/>
    <xf numFmtId="0" fontId="2" fillId="2" borderId="0" applyNumberFormat="0" applyBorder="0" applyAlignment="0" applyProtection="0"/>
    <xf numFmtId="0" fontId="3" fillId="3" borderId="1" applyNumberFormat="0" applyAlignment="0" applyProtection="0"/>
    <xf numFmtId="0" fontId="1" fillId="4" borderId="0" applyNumberFormat="0" applyBorder="0" applyAlignment="0" applyProtection="0"/>
  </cellStyleXfs>
  <cellXfs count="136">
    <xf numFmtId="0" fontId="0" fillId="0" borderId="0" xfId="0"/>
    <xf numFmtId="0" fontId="4" fillId="0" borderId="2" xfId="0" applyFont="1" applyBorder="1" applyAlignment="1">
      <alignment horizontal="center" vertical="top"/>
    </xf>
    <xf numFmtId="0" fontId="6" fillId="0" borderId="2" xfId="0" applyFont="1" applyBorder="1" applyAlignment="1">
      <alignment horizontal="center" vertical="top"/>
    </xf>
    <xf numFmtId="1" fontId="7" fillId="0" borderId="2" xfId="0" applyNumberFormat="1" applyFont="1" applyBorder="1" applyAlignment="1">
      <alignment horizontal="center" vertical="top" wrapText="1"/>
    </xf>
    <xf numFmtId="0" fontId="4" fillId="0" borderId="2" xfId="0" applyFont="1" applyBorder="1" applyAlignment="1">
      <alignment horizontal="center" vertical="top" wrapText="1"/>
    </xf>
    <xf numFmtId="1" fontId="4" fillId="0" borderId="2" xfId="0" applyNumberFormat="1" applyFont="1" applyBorder="1" applyAlignment="1">
      <alignment horizontal="center" vertical="top" wrapText="1"/>
    </xf>
    <xf numFmtId="0" fontId="8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1" fontId="8" fillId="0" borderId="0" xfId="0" applyNumberFormat="1" applyFont="1" applyAlignment="1">
      <alignment horizontal="center"/>
    </xf>
    <xf numFmtId="0" fontId="10" fillId="0" borderId="0" xfId="0" applyFont="1" applyAlignment="1">
      <alignment horizontal="center"/>
    </xf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0" fontId="4" fillId="0" borderId="2" xfId="0" applyFont="1" applyBorder="1"/>
    <xf numFmtId="0" fontId="4" fillId="0" borderId="2" xfId="0" applyFont="1" applyBorder="1" applyAlignment="1">
      <alignment horizontal="center"/>
    </xf>
    <xf numFmtId="1" fontId="4" fillId="0" borderId="2" xfId="0" applyNumberFormat="1" applyFont="1" applyBorder="1" applyAlignment="1">
      <alignment horizontal="center" wrapText="1"/>
    </xf>
    <xf numFmtId="0" fontId="4" fillId="0" borderId="2" xfId="0" applyFont="1" applyBorder="1" applyAlignment="1">
      <alignment horizont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5" borderId="4" xfId="0" applyFill="1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12" fillId="0" borderId="2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5" fillId="0" borderId="0" xfId="0" applyFont="1"/>
    <xf numFmtId="0" fontId="0" fillId="0" borderId="0" xfId="0" applyAlignment="1">
      <alignment horizontal="right"/>
    </xf>
    <xf numFmtId="164" fontId="5" fillId="5" borderId="0" xfId="0" applyNumberFormat="1" applyFont="1" applyFill="1" applyAlignment="1">
      <alignment horizontal="center"/>
    </xf>
    <xf numFmtId="164" fontId="16" fillId="5" borderId="14" xfId="0" applyNumberFormat="1" applyFont="1" applyFill="1" applyBorder="1" applyAlignment="1">
      <alignment horizontal="center" vertical="center"/>
    </xf>
    <xf numFmtId="164" fontId="2" fillId="0" borderId="15" xfId="1" applyNumberFormat="1" applyFill="1" applyBorder="1" applyAlignment="1">
      <alignment horizontal="center"/>
    </xf>
    <xf numFmtId="164" fontId="17" fillId="0" borderId="16" xfId="0" applyNumberFormat="1" applyFont="1" applyBorder="1" applyAlignment="1">
      <alignment horizontal="center"/>
    </xf>
    <xf numFmtId="164" fontId="2" fillId="0" borderId="14" xfId="1" applyNumberFormat="1" applyFill="1" applyBorder="1" applyAlignment="1">
      <alignment horizontal="center"/>
    </xf>
    <xf numFmtId="164" fontId="16" fillId="5" borderId="14" xfId="0" applyNumberFormat="1" applyFont="1" applyFill="1" applyBorder="1" applyAlignment="1">
      <alignment vertical="center"/>
    </xf>
    <xf numFmtId="164" fontId="18" fillId="5" borderId="14" xfId="0" applyNumberFormat="1" applyFont="1" applyFill="1" applyBorder="1" applyAlignment="1">
      <alignment vertical="center"/>
    </xf>
    <xf numFmtId="164" fontId="16" fillId="5" borderId="14" xfId="0" applyNumberFormat="1" applyFont="1" applyFill="1" applyBorder="1" applyAlignment="1">
      <alignment horizontal="right" vertical="center"/>
    </xf>
    <xf numFmtId="164" fontId="16" fillId="5" borderId="0" xfId="0" applyNumberFormat="1" applyFont="1" applyFill="1" applyAlignment="1">
      <alignment vertical="center"/>
    </xf>
    <xf numFmtId="164" fontId="17" fillId="0" borderId="17" xfId="0" applyNumberFormat="1" applyFont="1" applyBorder="1" applyAlignment="1" applyProtection="1">
      <alignment horizontal="center"/>
      <protection locked="0" hidden="1"/>
    </xf>
    <xf numFmtId="164" fontId="17" fillId="0" borderId="18" xfId="0" applyNumberFormat="1" applyFont="1" applyBorder="1" applyAlignment="1" applyProtection="1">
      <alignment horizontal="center"/>
      <protection locked="0" hidden="1"/>
    </xf>
    <xf numFmtId="164" fontId="19" fillId="0" borderId="18" xfId="0" applyNumberFormat="1" applyFont="1" applyBorder="1" applyAlignment="1" applyProtection="1">
      <alignment horizontal="center"/>
      <protection locked="0" hidden="1"/>
    </xf>
    <xf numFmtId="164" fontId="16" fillId="5" borderId="18" xfId="0" applyNumberFormat="1" applyFont="1" applyFill="1" applyBorder="1" applyAlignment="1">
      <alignment vertical="center"/>
    </xf>
    <xf numFmtId="164" fontId="0" fillId="0" borderId="0" xfId="0" applyNumberFormat="1"/>
    <xf numFmtId="0" fontId="20" fillId="0" borderId="0" xfId="0" applyFont="1" applyAlignment="1">
      <alignment horizontal="center" vertical="center"/>
    </xf>
    <xf numFmtId="0" fontId="21" fillId="7" borderId="0" xfId="0" applyFont="1" applyFill="1" applyAlignment="1">
      <alignment horizontal="center" vertical="center"/>
    </xf>
    <xf numFmtId="0" fontId="22" fillId="8" borderId="23" xfId="0" applyFont="1" applyFill="1" applyBorder="1" applyAlignment="1">
      <alignment horizontal="center" vertical="center"/>
    </xf>
    <xf numFmtId="0" fontId="20" fillId="9" borderId="24" xfId="0" applyFont="1" applyFill="1" applyBorder="1" applyAlignment="1">
      <alignment horizontal="center" vertical="center"/>
    </xf>
    <xf numFmtId="0" fontId="20" fillId="10" borderId="24" xfId="0" applyFont="1" applyFill="1" applyBorder="1" applyAlignment="1">
      <alignment horizontal="center" vertical="center"/>
    </xf>
    <xf numFmtId="0" fontId="17" fillId="11" borderId="6" xfId="0" applyFont="1" applyFill="1" applyBorder="1" applyAlignment="1">
      <alignment horizontal="center" vertical="center"/>
    </xf>
    <xf numFmtId="0" fontId="23" fillId="11" borderId="25" xfId="0" applyFont="1" applyFill="1" applyBorder="1" applyAlignment="1">
      <alignment horizontal="center" vertical="center"/>
    </xf>
    <xf numFmtId="0" fontId="23" fillId="11" borderId="6" xfId="0" applyFont="1" applyFill="1" applyBorder="1" applyAlignment="1">
      <alignment horizontal="center" vertical="center"/>
    </xf>
    <xf numFmtId="0" fontId="23" fillId="11" borderId="26" xfId="0" applyFont="1" applyFill="1" applyBorder="1" applyAlignment="1">
      <alignment horizontal="center" vertical="center"/>
    </xf>
    <xf numFmtId="0" fontId="23" fillId="7" borderId="0" xfId="0" applyFont="1" applyFill="1" applyAlignment="1">
      <alignment horizontal="center" vertical="center"/>
    </xf>
    <xf numFmtId="0" fontId="17" fillId="11" borderId="22" xfId="0" applyFont="1" applyFill="1" applyBorder="1" applyAlignment="1">
      <alignment horizontal="center" vertical="center"/>
    </xf>
    <xf numFmtId="0" fontId="17" fillId="11" borderId="25" xfId="0" applyFont="1" applyFill="1" applyBorder="1" applyAlignment="1">
      <alignment horizontal="center" vertical="center"/>
    </xf>
    <xf numFmtId="0" fontId="23" fillId="11" borderId="6" xfId="0" applyFont="1" applyFill="1" applyBorder="1" applyAlignment="1">
      <alignment horizontal="right" vertical="center"/>
    </xf>
    <xf numFmtId="0" fontId="23" fillId="11" borderId="25" xfId="0" applyFont="1" applyFill="1" applyBorder="1" applyAlignment="1">
      <alignment horizontal="right" vertical="center"/>
    </xf>
    <xf numFmtId="0" fontId="23" fillId="11" borderId="22" xfId="0" applyFont="1" applyFill="1" applyBorder="1" applyAlignment="1">
      <alignment horizontal="center" vertical="center"/>
    </xf>
    <xf numFmtId="0" fontId="20" fillId="7" borderId="0" xfId="0" applyFont="1" applyFill="1" applyAlignment="1">
      <alignment horizontal="center" vertical="center"/>
    </xf>
    <xf numFmtId="0" fontId="22" fillId="8" borderId="27" xfId="0" applyFont="1" applyFill="1" applyBorder="1" applyAlignment="1">
      <alignment horizontal="center" vertical="center"/>
    </xf>
    <xf numFmtId="0" fontId="20" fillId="9" borderId="28" xfId="0" applyFont="1" applyFill="1" applyBorder="1" applyAlignment="1">
      <alignment horizontal="center" vertical="center"/>
    </xf>
    <xf numFmtId="0" fontId="20" fillId="10" borderId="28" xfId="0" applyFont="1" applyFill="1" applyBorder="1" applyAlignment="1">
      <alignment horizontal="center" vertical="center"/>
    </xf>
    <xf numFmtId="0" fontId="23" fillId="11" borderId="14" xfId="0" applyFont="1" applyFill="1" applyBorder="1" applyAlignment="1">
      <alignment horizontal="center" vertical="center"/>
    </xf>
    <xf numFmtId="3" fontId="17" fillId="0" borderId="0" xfId="0" applyNumberFormat="1" applyFont="1" applyAlignment="1">
      <alignment horizontal="center"/>
    </xf>
    <xf numFmtId="3" fontId="2" fillId="2" borderId="15" xfId="1" applyNumberFormat="1" applyBorder="1" applyAlignment="1">
      <alignment horizontal="center"/>
    </xf>
    <xf numFmtId="4" fontId="3" fillId="3" borderId="1" xfId="2" applyNumberFormat="1" applyAlignment="1">
      <alignment horizontal="center"/>
    </xf>
    <xf numFmtId="3" fontId="1" fillId="4" borderId="15" xfId="3" applyNumberFormat="1" applyBorder="1" applyAlignment="1">
      <alignment horizontal="center"/>
    </xf>
    <xf numFmtId="3" fontId="25" fillId="0" borderId="0" xfId="0" applyNumberFormat="1" applyFont="1" applyAlignment="1">
      <alignment horizontal="center"/>
    </xf>
    <xf numFmtId="3" fontId="3" fillId="3" borderId="1" xfId="2" applyNumberFormat="1" applyAlignment="1">
      <alignment horizontal="center"/>
    </xf>
    <xf numFmtId="165" fontId="1" fillId="4" borderId="15" xfId="3" applyNumberFormat="1" applyBorder="1" applyAlignment="1">
      <alignment horizontal="center"/>
    </xf>
    <xf numFmtId="0" fontId="25" fillId="0" borderId="0" xfId="0" applyFont="1" applyAlignment="1">
      <alignment horizontal="center"/>
    </xf>
    <xf numFmtId="165" fontId="26" fillId="0" borderId="29" xfId="0" applyNumberFormat="1" applyFont="1" applyBorder="1" applyAlignment="1">
      <alignment horizontal="center"/>
    </xf>
    <xf numFmtId="0" fontId="17" fillId="0" borderId="0" xfId="0" applyFont="1" applyAlignment="1">
      <alignment horizontal="center"/>
    </xf>
    <xf numFmtId="165" fontId="17" fillId="0" borderId="15" xfId="0" applyNumberFormat="1" applyFont="1" applyBorder="1" applyAlignment="1">
      <alignment horizontal="center"/>
    </xf>
    <xf numFmtId="0" fontId="17" fillId="0" borderId="15" xfId="0" applyFont="1" applyBorder="1" applyAlignment="1">
      <alignment horizontal="center"/>
    </xf>
    <xf numFmtId="165" fontId="17" fillId="12" borderId="15" xfId="0" applyNumberFormat="1" applyFont="1" applyFill="1" applyBorder="1" applyAlignment="1">
      <alignment horizontal="center"/>
    </xf>
    <xf numFmtId="3" fontId="17" fillId="0" borderId="14" xfId="0" applyNumberFormat="1" applyFont="1" applyBorder="1" applyAlignment="1">
      <alignment horizontal="center"/>
    </xf>
    <xf numFmtId="165" fontId="17" fillId="0" borderId="14" xfId="0" applyNumberFormat="1" applyFont="1" applyBorder="1" applyAlignment="1">
      <alignment horizontal="center"/>
    </xf>
    <xf numFmtId="0" fontId="17" fillId="0" borderId="14" xfId="0" applyFont="1" applyBorder="1" applyAlignment="1">
      <alignment horizontal="center"/>
    </xf>
    <xf numFmtId="165" fontId="17" fillId="12" borderId="14" xfId="0" applyNumberFormat="1" applyFont="1" applyFill="1" applyBorder="1" applyAlignment="1">
      <alignment horizontal="center"/>
    </xf>
    <xf numFmtId="0" fontId="23" fillId="11" borderId="30" xfId="0" applyFont="1" applyFill="1" applyBorder="1" applyAlignment="1">
      <alignment horizontal="center" vertical="center"/>
    </xf>
    <xf numFmtId="3" fontId="25" fillId="0" borderId="8" xfId="0" applyNumberFormat="1" applyFont="1" applyBorder="1" applyAlignment="1">
      <alignment horizontal="center"/>
    </xf>
    <xf numFmtId="0" fontId="25" fillId="0" borderId="8" xfId="0" applyFont="1" applyBorder="1" applyAlignment="1">
      <alignment horizontal="center"/>
    </xf>
    <xf numFmtId="165" fontId="17" fillId="12" borderId="30" xfId="0" applyNumberFormat="1" applyFont="1" applyFill="1" applyBorder="1" applyAlignment="1">
      <alignment horizontal="center"/>
    </xf>
    <xf numFmtId="0" fontId="23" fillId="11" borderId="15" xfId="0" applyFont="1" applyFill="1" applyBorder="1" applyAlignment="1">
      <alignment horizontal="center" vertical="center"/>
    </xf>
    <xf numFmtId="3" fontId="25" fillId="0" borderId="2" xfId="0" applyNumberFormat="1" applyFont="1" applyBorder="1" applyAlignment="1">
      <alignment horizontal="center"/>
    </xf>
    <xf numFmtId="3" fontId="25" fillId="0" borderId="31" xfId="0" applyNumberFormat="1" applyFont="1" applyBorder="1" applyAlignment="1">
      <alignment horizontal="center"/>
    </xf>
    <xf numFmtId="165" fontId="17" fillId="0" borderId="30" xfId="0" applyNumberFormat="1" applyFont="1" applyBorder="1" applyAlignment="1">
      <alignment horizontal="center"/>
    </xf>
    <xf numFmtId="0" fontId="23" fillId="0" borderId="0" xfId="0" applyFont="1" applyAlignment="1">
      <alignment horizontal="center" vertical="center"/>
    </xf>
    <xf numFmtId="3" fontId="25" fillId="0" borderId="22" xfId="0" applyNumberFormat="1" applyFont="1" applyBorder="1" applyAlignment="1">
      <alignment vertical="center"/>
    </xf>
    <xf numFmtId="3" fontId="25" fillId="0" borderId="32" xfId="0" applyNumberFormat="1" applyFont="1" applyBorder="1" applyAlignment="1">
      <alignment vertical="center"/>
    </xf>
    <xf numFmtId="3" fontId="25" fillId="0" borderId="6" xfId="0" applyNumberFormat="1" applyFont="1" applyBorder="1" applyAlignment="1">
      <alignment vertical="center"/>
    </xf>
    <xf numFmtId="3" fontId="27" fillId="0" borderId="6" xfId="0" applyNumberFormat="1" applyFont="1" applyBorder="1" applyAlignment="1">
      <alignment horizontal="right" vertical="center"/>
    </xf>
    <xf numFmtId="4" fontId="28" fillId="0" borderId="6" xfId="0" applyNumberFormat="1" applyFont="1" applyBorder="1" applyAlignment="1">
      <alignment vertical="center"/>
    </xf>
    <xf numFmtId="0" fontId="25" fillId="0" borderId="6" xfId="0" applyFont="1" applyBorder="1" applyAlignment="1">
      <alignment vertical="center"/>
    </xf>
    <xf numFmtId="3" fontId="29" fillId="0" borderId="6" xfId="0" applyNumberFormat="1" applyFont="1" applyBorder="1" applyAlignment="1">
      <alignment vertical="center"/>
    </xf>
    <xf numFmtId="0" fontId="30" fillId="0" borderId="6" xfId="0" applyFont="1" applyBorder="1" applyAlignment="1">
      <alignment horizontal="center" vertical="center"/>
    </xf>
    <xf numFmtId="1" fontId="28" fillId="0" borderId="6" xfId="0" applyNumberFormat="1" applyFont="1" applyBorder="1" applyAlignment="1">
      <alignment vertical="center"/>
    </xf>
    <xf numFmtId="0" fontId="30" fillId="0" borderId="6" xfId="0" applyFont="1" applyBorder="1" applyAlignment="1">
      <alignment vertical="center"/>
    </xf>
    <xf numFmtId="165" fontId="28" fillId="0" borderId="26" xfId="0" applyNumberFormat="1" applyFont="1" applyBorder="1" applyAlignment="1">
      <alignment vertical="center"/>
    </xf>
    <xf numFmtId="0" fontId="0" fillId="0" borderId="12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5" borderId="22" xfId="0" applyFill="1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12" fillId="0" borderId="6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0" fillId="0" borderId="35" xfId="0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0" fillId="5" borderId="36" xfId="0" applyFill="1" applyBorder="1" applyAlignment="1">
      <alignment horizontal="center" vertical="center"/>
    </xf>
    <xf numFmtId="0" fontId="0" fillId="0" borderId="6" xfId="0" applyBorder="1"/>
    <xf numFmtId="0" fontId="0" fillId="5" borderId="6" xfId="0" applyFill="1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0" fillId="0" borderId="39" xfId="0" applyBorder="1"/>
    <xf numFmtId="164" fontId="17" fillId="0" borderId="0" xfId="0" applyNumberFormat="1" applyFont="1" applyAlignment="1">
      <alignment horizontal="center"/>
    </xf>
    <xf numFmtId="0" fontId="0" fillId="0" borderId="40" xfId="0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3" fontId="17" fillId="0" borderId="16" xfId="0" applyNumberFormat="1" applyFont="1" applyBorder="1" applyAlignment="1">
      <alignment horizontal="center"/>
    </xf>
    <xf numFmtId="3" fontId="19" fillId="0" borderId="0" xfId="0" applyNumberFormat="1" applyFont="1" applyAlignment="1">
      <alignment horizontal="center"/>
    </xf>
    <xf numFmtId="0" fontId="13" fillId="0" borderId="6" xfId="0" applyFont="1" applyBorder="1" applyAlignment="1">
      <alignment horizontal="center" vertical="center"/>
    </xf>
    <xf numFmtId="0" fontId="14" fillId="0" borderId="7" xfId="0" applyFont="1" applyBorder="1" applyAlignment="1">
      <alignment horizontal="center" vertical="center"/>
    </xf>
    <xf numFmtId="0" fontId="14" fillId="0" borderId="8" xfId="0" applyFont="1" applyBorder="1" applyAlignment="1">
      <alignment horizontal="center" vertical="center"/>
    </xf>
    <xf numFmtId="0" fontId="14" fillId="0" borderId="9" xfId="0" applyFont="1" applyBorder="1" applyAlignment="1">
      <alignment horizontal="center" vertical="center"/>
    </xf>
    <xf numFmtId="0" fontId="14" fillId="0" borderId="10" xfId="0" applyFont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4" fillId="0" borderId="11" xfId="0" applyFont="1" applyBorder="1" applyAlignment="1">
      <alignment horizontal="center" vertical="center"/>
    </xf>
    <xf numFmtId="0" fontId="14" fillId="0" borderId="12" xfId="0" applyFont="1" applyBorder="1" applyAlignment="1">
      <alignment horizontal="center" vertical="center"/>
    </xf>
    <xf numFmtId="0" fontId="14" fillId="0" borderId="2" xfId="0" applyFont="1" applyBorder="1" applyAlignment="1">
      <alignment horizontal="center" vertical="center"/>
    </xf>
    <xf numFmtId="0" fontId="14" fillId="0" borderId="13" xfId="0" applyFont="1" applyBorder="1" applyAlignment="1">
      <alignment horizontal="center" vertical="center"/>
    </xf>
    <xf numFmtId="0" fontId="21" fillId="6" borderId="19" xfId="0" applyFont="1" applyFill="1" applyBorder="1" applyAlignment="1">
      <alignment horizontal="center" vertical="center"/>
    </xf>
    <xf numFmtId="0" fontId="21" fillId="6" borderId="20" xfId="0" applyFont="1" applyFill="1" applyBorder="1" applyAlignment="1">
      <alignment horizontal="center" vertical="center"/>
    </xf>
    <xf numFmtId="0" fontId="21" fillId="6" borderId="21" xfId="0" applyFont="1" applyFill="1" applyBorder="1" applyAlignment="1">
      <alignment horizontal="center" vertical="center"/>
    </xf>
    <xf numFmtId="0" fontId="21" fillId="6" borderId="6" xfId="0" applyFont="1" applyFill="1" applyBorder="1" applyAlignment="1">
      <alignment horizontal="center" vertical="center"/>
    </xf>
    <xf numFmtId="0" fontId="21" fillId="6" borderId="22" xfId="0" applyFont="1" applyFill="1" applyBorder="1" applyAlignment="1">
      <alignment horizontal="center" vertical="center"/>
    </xf>
    <xf numFmtId="3" fontId="25" fillId="0" borderId="33" xfId="0" applyNumberFormat="1" applyFont="1" applyBorder="1" applyAlignment="1">
      <alignment horizontal="center" vertical="center"/>
    </xf>
    <xf numFmtId="3" fontId="25" fillId="0" borderId="26" xfId="0" applyNumberFormat="1" applyFont="1" applyBorder="1" applyAlignment="1">
      <alignment horizontal="center" vertical="center"/>
    </xf>
    <xf numFmtId="3" fontId="25" fillId="0" borderId="22" xfId="0" applyNumberFormat="1" applyFont="1" applyBorder="1" applyAlignment="1">
      <alignment horizontal="center" vertical="center"/>
    </xf>
    <xf numFmtId="0" fontId="25" fillId="0" borderId="22" xfId="0" applyFont="1" applyBorder="1" applyAlignment="1">
      <alignment horizontal="center" vertical="center"/>
    </xf>
    <xf numFmtId="0" fontId="25" fillId="0" borderId="26" xfId="0" applyFont="1" applyBorder="1" applyAlignment="1">
      <alignment horizontal="center" vertical="center"/>
    </xf>
  </cellXfs>
  <cellStyles count="4">
    <cellStyle name="40% - Accent2" xfId="3" builtinId="35"/>
    <cellStyle name="Bad" xfId="1" builtinId="27"/>
    <cellStyle name="Input" xfId="2" builtinId="20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externalLink" Target="externalLinks/externalLink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1-FS%20Tunis_HEP%20Daily_April%202020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"/>
      <sheetName val="Submetering"/>
      <sheetName val="Hotel"/>
      <sheetName val="Submeters"/>
    </sheetNames>
    <sheetDataSet>
      <sheetData sheetId="0" refreshError="1"/>
      <sheetData sheetId="1" refreshError="1"/>
      <sheetData sheetId="2" refreshError="1"/>
      <sheetData sheetId="3" refreshError="1">
        <row r="6">
          <cell r="AY6">
            <v>481902</v>
          </cell>
        </row>
        <row r="8">
          <cell r="AY8">
            <v>482291</v>
          </cell>
        </row>
        <row r="9">
          <cell r="AY9">
            <v>482619</v>
          </cell>
        </row>
        <row r="10">
          <cell r="AY10">
            <v>482937</v>
          </cell>
        </row>
        <row r="11">
          <cell r="AY11">
            <v>483201</v>
          </cell>
        </row>
        <row r="12">
          <cell r="AY12">
            <v>483550</v>
          </cell>
        </row>
        <row r="13">
          <cell r="AY13">
            <v>483835</v>
          </cell>
        </row>
        <row r="14">
          <cell r="AY14">
            <v>484202</v>
          </cell>
        </row>
        <row r="15">
          <cell r="AY15">
            <v>484398</v>
          </cell>
        </row>
        <row r="16">
          <cell r="AY16">
            <v>484624</v>
          </cell>
        </row>
        <row r="17">
          <cell r="AY17">
            <v>484924</v>
          </cell>
        </row>
        <row r="18">
          <cell r="AY18">
            <v>485201</v>
          </cell>
        </row>
        <row r="19">
          <cell r="AY19">
            <v>485494</v>
          </cell>
        </row>
        <row r="20">
          <cell r="AY20">
            <v>485932</v>
          </cell>
        </row>
        <row r="21">
          <cell r="AY21">
            <v>486402</v>
          </cell>
        </row>
        <row r="22">
          <cell r="AY22">
            <v>486722</v>
          </cell>
        </row>
        <row r="23">
          <cell r="AY23">
            <v>486990</v>
          </cell>
        </row>
        <row r="24">
          <cell r="AY24">
            <v>487215</v>
          </cell>
        </row>
        <row r="25">
          <cell r="AY25">
            <v>487535</v>
          </cell>
        </row>
        <row r="26">
          <cell r="AY26">
            <v>487853</v>
          </cell>
        </row>
        <row r="33">
          <cell r="AY33">
            <v>489913</v>
          </cell>
        </row>
        <row r="34">
          <cell r="AY34">
            <v>490222</v>
          </cell>
        </row>
        <row r="35">
          <cell r="AY35">
            <v>490523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9"/>
  <sheetViews>
    <sheetView tabSelected="1" workbookViewId="0">
      <selection activeCell="Q21" sqref="Q21"/>
    </sheetView>
  </sheetViews>
  <sheetFormatPr defaultRowHeight="15" x14ac:dyDescent="0.25"/>
  <sheetData>
    <row r="1" spans="1:11" ht="75" x14ac:dyDescent="0.25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4" t="s">
        <v>5</v>
      </c>
      <c r="G1" s="5" t="s">
        <v>6</v>
      </c>
      <c r="H1" s="4" t="s">
        <v>7</v>
      </c>
      <c r="I1" s="4" t="s">
        <v>8</v>
      </c>
      <c r="J1" s="4" t="s">
        <v>9</v>
      </c>
      <c r="K1" s="4" t="s">
        <v>10</v>
      </c>
    </row>
    <row r="2" spans="1:11" x14ac:dyDescent="0.25">
      <c r="A2" s="6" t="s">
        <v>11</v>
      </c>
      <c r="B2" s="6">
        <v>1</v>
      </c>
      <c r="C2" s="7">
        <v>2</v>
      </c>
      <c r="D2" s="6">
        <v>2023</v>
      </c>
      <c r="E2" s="8">
        <f>Submetring!E2+Submetring!F2+Submetring!G2</f>
        <v>7346</v>
      </c>
      <c r="F2" s="6">
        <v>0.29099999999999998</v>
      </c>
      <c r="G2" s="8">
        <f>Submetring!H2+Submetring!I2</f>
        <v>2728</v>
      </c>
      <c r="H2" s="6">
        <v>0.56711199999999995</v>
      </c>
      <c r="I2" s="8">
        <f>Submetring!J2</f>
        <v>276</v>
      </c>
      <c r="J2" s="6">
        <v>3.992</v>
      </c>
      <c r="K2" s="8">
        <f>Hotel!Y9</f>
        <v>62</v>
      </c>
    </row>
    <row r="3" spans="1:11" x14ac:dyDescent="0.25">
      <c r="A3" s="6" t="s">
        <v>11</v>
      </c>
      <c r="B3" s="9">
        <f>B2+1</f>
        <v>2</v>
      </c>
      <c r="C3" s="7">
        <v>2</v>
      </c>
      <c r="D3" s="6">
        <v>2023</v>
      </c>
      <c r="E3" s="8">
        <f>Submetring!E3+Submetring!F3+Submetring!G3</f>
        <v>7484</v>
      </c>
      <c r="F3" s="6">
        <v>0.29099999999999998</v>
      </c>
      <c r="G3" s="8">
        <f>Submetring!H3+Submetring!I3</f>
        <v>2613</v>
      </c>
      <c r="H3" s="6">
        <v>0.56711199999999995</v>
      </c>
      <c r="I3" s="8">
        <f>Submetring!J3</f>
        <v>119</v>
      </c>
      <c r="J3" s="6">
        <v>3.992</v>
      </c>
      <c r="K3" s="8">
        <f>Hotel!Y10</f>
        <v>67</v>
      </c>
    </row>
    <row r="4" spans="1:11" x14ac:dyDescent="0.25">
      <c r="A4" s="6" t="s">
        <v>11</v>
      </c>
      <c r="B4" s="9">
        <f t="shared" ref="B4:B29" si="0">B3+1</f>
        <v>3</v>
      </c>
      <c r="C4" s="7">
        <v>2</v>
      </c>
      <c r="D4" s="6">
        <v>2023</v>
      </c>
      <c r="E4" s="8">
        <f>Submetring!E4+Submetring!F4+Submetring!G4</f>
        <v>7532</v>
      </c>
      <c r="F4" s="6">
        <v>0.29099999999999998</v>
      </c>
      <c r="G4" s="8">
        <f>Submetring!H4+Submetring!I4</f>
        <v>2604</v>
      </c>
      <c r="H4" s="6">
        <v>0.56711199999999995</v>
      </c>
      <c r="I4" s="8">
        <f>Submetring!J4</f>
        <v>181</v>
      </c>
      <c r="J4" s="6">
        <v>3.992</v>
      </c>
      <c r="K4" s="8">
        <f>Hotel!Y11</f>
        <v>63</v>
      </c>
    </row>
    <row r="5" spans="1:11" x14ac:dyDescent="0.25">
      <c r="A5" s="6" t="s">
        <v>11</v>
      </c>
      <c r="B5" s="9">
        <f t="shared" si="0"/>
        <v>4</v>
      </c>
      <c r="C5" s="7">
        <v>2</v>
      </c>
      <c r="D5" s="6">
        <v>2023</v>
      </c>
      <c r="E5" s="8">
        <f>Submetring!E5+Submetring!F5+Submetring!G5</f>
        <v>8005</v>
      </c>
      <c r="F5" s="6">
        <v>0.29099999999999998</v>
      </c>
      <c r="G5" s="8">
        <f>Submetring!H5+Submetring!I5</f>
        <v>2417</v>
      </c>
      <c r="H5" s="6">
        <v>0.56711199999999995</v>
      </c>
      <c r="I5" s="8">
        <f>Submetring!J5</f>
        <v>175</v>
      </c>
      <c r="J5" s="6">
        <v>3.992</v>
      </c>
      <c r="K5" s="8">
        <f>Hotel!Y12</f>
        <v>48</v>
      </c>
    </row>
    <row r="6" spans="1:11" x14ac:dyDescent="0.25">
      <c r="A6" s="6" t="s">
        <v>11</v>
      </c>
      <c r="B6" s="9">
        <f t="shared" si="0"/>
        <v>5</v>
      </c>
      <c r="C6" s="7">
        <v>2</v>
      </c>
      <c r="D6" s="6">
        <v>2023</v>
      </c>
      <c r="E6" s="8">
        <f>Submetring!E6+Submetring!F6+Submetring!G6</f>
        <v>7721</v>
      </c>
      <c r="F6" s="6">
        <v>0.29099999999999998</v>
      </c>
      <c r="G6" s="8">
        <f>Submetring!H6+Submetring!I6</f>
        <v>2341</v>
      </c>
      <c r="H6" s="6">
        <v>0.56711199999999995</v>
      </c>
      <c r="I6" s="8">
        <f>Submetring!J6</f>
        <v>181</v>
      </c>
      <c r="J6" s="6">
        <v>3.992</v>
      </c>
      <c r="K6" s="8">
        <f>Hotel!Y13</f>
        <v>42</v>
      </c>
    </row>
    <row r="7" spans="1:11" x14ac:dyDescent="0.25">
      <c r="A7" s="6" t="s">
        <v>11</v>
      </c>
      <c r="B7" s="9">
        <f t="shared" si="0"/>
        <v>6</v>
      </c>
      <c r="C7" s="7">
        <v>2</v>
      </c>
      <c r="D7" s="6">
        <v>2023</v>
      </c>
      <c r="E7" s="8">
        <f>Submetring!E7+Submetring!F7+Submetring!G7</f>
        <v>7917</v>
      </c>
      <c r="F7" s="6">
        <v>0.29099999999999998</v>
      </c>
      <c r="G7" s="8">
        <f>Submetring!H7+Submetring!I7</f>
        <v>2240</v>
      </c>
      <c r="H7" s="6">
        <v>0.56711199999999995</v>
      </c>
      <c r="I7" s="8">
        <f>Submetring!J7</f>
        <v>129</v>
      </c>
      <c r="J7" s="6">
        <v>3.992</v>
      </c>
      <c r="K7" s="8">
        <f>Hotel!Y14</f>
        <v>44</v>
      </c>
    </row>
    <row r="8" spans="1:11" x14ac:dyDescent="0.25">
      <c r="A8" s="6" t="s">
        <v>11</v>
      </c>
      <c r="B8" s="9">
        <f t="shared" si="0"/>
        <v>7</v>
      </c>
      <c r="C8" s="7">
        <v>2</v>
      </c>
      <c r="D8" s="6">
        <v>2023</v>
      </c>
      <c r="E8" s="8">
        <f>Submetring!E8+Submetring!F8+Submetring!G8</f>
        <v>7352</v>
      </c>
      <c r="F8" s="6">
        <v>0.29099999999999998</v>
      </c>
      <c r="G8" s="8">
        <f>Submetring!H8+Submetring!I8</f>
        <v>1966</v>
      </c>
      <c r="H8" s="6">
        <v>0.56711199999999995</v>
      </c>
      <c r="I8" s="8">
        <f>Submetring!J8</f>
        <v>93</v>
      </c>
      <c r="J8" s="6">
        <v>3.992</v>
      </c>
      <c r="K8" s="8">
        <f>Hotel!Y15</f>
        <v>55</v>
      </c>
    </row>
    <row r="9" spans="1:11" x14ac:dyDescent="0.25">
      <c r="A9" s="6" t="s">
        <v>11</v>
      </c>
      <c r="B9" s="9">
        <f t="shared" si="0"/>
        <v>8</v>
      </c>
      <c r="C9" s="7">
        <v>2</v>
      </c>
      <c r="D9" s="6">
        <v>2023</v>
      </c>
      <c r="E9" s="8">
        <f>Submetring!E9+Submetring!F9+Submetring!G9</f>
        <v>7208</v>
      </c>
      <c r="F9" s="6">
        <v>0.29099999999999998</v>
      </c>
      <c r="G9" s="8">
        <f>Submetring!H9+Submetring!I9</f>
        <v>1973</v>
      </c>
      <c r="H9" s="6">
        <v>0.56711199999999995</v>
      </c>
      <c r="I9" s="8">
        <f>Submetring!J9</f>
        <v>172</v>
      </c>
      <c r="J9" s="6">
        <v>3.992</v>
      </c>
      <c r="K9" s="8">
        <f>Hotel!Y16</f>
        <v>65</v>
      </c>
    </row>
    <row r="10" spans="1:11" x14ac:dyDescent="0.25">
      <c r="A10" s="6" t="s">
        <v>11</v>
      </c>
      <c r="B10" s="9">
        <f t="shared" si="0"/>
        <v>9</v>
      </c>
      <c r="C10" s="7">
        <v>2</v>
      </c>
      <c r="D10" s="6">
        <v>2023</v>
      </c>
      <c r="E10" s="8">
        <f>Submetring!E10+Submetring!F10+Submetring!G10</f>
        <v>8128</v>
      </c>
      <c r="F10" s="6">
        <v>0.29099999999999998</v>
      </c>
      <c r="G10" s="8">
        <f>Submetring!H10+Submetring!I10</f>
        <v>2520</v>
      </c>
      <c r="H10" s="6">
        <v>0.56711199999999995</v>
      </c>
      <c r="I10" s="8">
        <f>Submetring!J10</f>
        <v>128</v>
      </c>
      <c r="J10" s="6">
        <v>3.992</v>
      </c>
      <c r="K10" s="8">
        <f>Hotel!Y17</f>
        <v>59</v>
      </c>
    </row>
    <row r="11" spans="1:11" x14ac:dyDescent="0.25">
      <c r="A11" s="6" t="s">
        <v>11</v>
      </c>
      <c r="B11" s="9">
        <f t="shared" si="0"/>
        <v>10</v>
      </c>
      <c r="C11" s="7">
        <v>2</v>
      </c>
      <c r="D11" s="6">
        <v>2023</v>
      </c>
      <c r="E11" s="8">
        <f>Submetring!E11+Submetring!F11+Submetring!G11</f>
        <v>7588</v>
      </c>
      <c r="F11" s="6">
        <v>0.29099999999999998</v>
      </c>
      <c r="G11" s="8">
        <f>Submetring!H11+Submetring!I11</f>
        <v>2223</v>
      </c>
      <c r="H11" s="6">
        <v>0.56711199999999995</v>
      </c>
      <c r="I11" s="8">
        <f>Submetring!J11</f>
        <v>146</v>
      </c>
      <c r="J11" s="6">
        <v>3.992</v>
      </c>
      <c r="K11" s="8">
        <f>Hotel!Y18</f>
        <v>67</v>
      </c>
    </row>
    <row r="12" spans="1:11" x14ac:dyDescent="0.25">
      <c r="A12" s="6" t="s">
        <v>11</v>
      </c>
      <c r="B12" s="9">
        <f t="shared" si="0"/>
        <v>11</v>
      </c>
      <c r="C12" s="7">
        <v>2</v>
      </c>
      <c r="D12" s="6">
        <v>2023</v>
      </c>
      <c r="E12" s="8">
        <f>Submetring!E12+Submetring!F12+Submetring!G12</f>
        <v>8181</v>
      </c>
      <c r="F12" s="6">
        <v>0.29099999999999998</v>
      </c>
      <c r="G12" s="8">
        <f>Submetring!H12+Submetring!I12</f>
        <v>2553</v>
      </c>
      <c r="H12" s="6">
        <v>0.56711199999999995</v>
      </c>
      <c r="I12" s="8">
        <f>Submetring!J12</f>
        <v>181</v>
      </c>
      <c r="J12" s="6">
        <v>3.992</v>
      </c>
      <c r="K12" s="8">
        <f>Hotel!Y19</f>
        <v>57</v>
      </c>
    </row>
    <row r="13" spans="1:11" x14ac:dyDescent="0.25">
      <c r="A13" s="6" t="s">
        <v>11</v>
      </c>
      <c r="B13" s="9">
        <f t="shared" si="0"/>
        <v>12</v>
      </c>
      <c r="C13" s="7">
        <v>2</v>
      </c>
      <c r="D13" s="6">
        <v>2023</v>
      </c>
      <c r="E13" s="8">
        <f>Submetring!E13+Submetring!F13+Submetring!G13</f>
        <v>7219</v>
      </c>
      <c r="F13" s="6">
        <v>0.29099999999999998</v>
      </c>
      <c r="G13" s="8">
        <f>Submetring!H13+Submetring!I13</f>
        <v>2193</v>
      </c>
      <c r="H13" s="6">
        <v>0.56711199999999995</v>
      </c>
      <c r="I13" s="8">
        <f>Submetring!J13</f>
        <v>181</v>
      </c>
      <c r="J13" s="6">
        <v>3.992</v>
      </c>
      <c r="K13" s="8">
        <f>Hotel!Y20</f>
        <v>59</v>
      </c>
    </row>
    <row r="14" spans="1:11" x14ac:dyDescent="0.25">
      <c r="A14" s="6" t="s">
        <v>11</v>
      </c>
      <c r="B14" s="9">
        <f t="shared" si="0"/>
        <v>13</v>
      </c>
      <c r="C14" s="7">
        <v>2</v>
      </c>
      <c r="D14" s="6">
        <v>2023</v>
      </c>
      <c r="E14" s="8">
        <f>Submetring!E14+Submetring!F14+Submetring!G14</f>
        <v>7227</v>
      </c>
      <c r="F14" s="6">
        <v>0.29099999999999998</v>
      </c>
      <c r="G14" s="8">
        <f>Submetring!H14+Submetring!I14</f>
        <v>2263</v>
      </c>
      <c r="H14" s="6">
        <v>0.56711199999999995</v>
      </c>
      <c r="I14" s="8">
        <f>Submetring!J14</f>
        <v>193</v>
      </c>
      <c r="J14" s="6">
        <v>3.992</v>
      </c>
      <c r="K14" s="8">
        <f>Hotel!Y21</f>
        <v>51</v>
      </c>
    </row>
    <row r="15" spans="1:11" x14ac:dyDescent="0.25">
      <c r="A15" s="6" t="s">
        <v>11</v>
      </c>
      <c r="B15" s="9">
        <f t="shared" si="0"/>
        <v>14</v>
      </c>
      <c r="C15" s="7">
        <v>2</v>
      </c>
      <c r="D15" s="6">
        <v>2023</v>
      </c>
      <c r="E15" s="8">
        <f>Submetring!E15+Submetring!F15+Submetring!G15</f>
        <v>7042</v>
      </c>
      <c r="F15" s="6">
        <v>0.29099999999999998</v>
      </c>
      <c r="G15" s="8">
        <f>Submetring!H15+Submetring!I15</f>
        <v>1944</v>
      </c>
      <c r="H15" s="6">
        <v>0.56711199999999995</v>
      </c>
      <c r="I15" s="8">
        <f>Submetring!J15</f>
        <v>137</v>
      </c>
      <c r="J15" s="6">
        <v>3.992</v>
      </c>
      <c r="K15" s="8">
        <f>Hotel!Y22</f>
        <v>67</v>
      </c>
    </row>
    <row r="16" spans="1:11" x14ac:dyDescent="0.25">
      <c r="A16" s="6" t="s">
        <v>11</v>
      </c>
      <c r="B16" s="9">
        <f t="shared" si="0"/>
        <v>15</v>
      </c>
      <c r="C16" s="7">
        <v>2</v>
      </c>
      <c r="D16" s="6">
        <v>2023</v>
      </c>
      <c r="E16" s="8">
        <f>Submetring!E16+Submetring!F16+Submetring!G16</f>
        <v>6930</v>
      </c>
      <c r="F16" s="6">
        <v>0.29099999999999998</v>
      </c>
      <c r="G16" s="8">
        <f>Submetring!H16+Submetring!I16</f>
        <v>1684</v>
      </c>
      <c r="H16" s="6">
        <v>0.56711199999999995</v>
      </c>
      <c r="I16" s="8">
        <f>Submetring!J16</f>
        <v>141</v>
      </c>
      <c r="J16" s="6">
        <v>3.992</v>
      </c>
      <c r="K16" s="8">
        <f>Hotel!Y23</f>
        <v>82</v>
      </c>
    </row>
    <row r="17" spans="1:11" x14ac:dyDescent="0.25">
      <c r="A17" s="6" t="s">
        <v>11</v>
      </c>
      <c r="B17" s="9">
        <f t="shared" si="0"/>
        <v>16</v>
      </c>
      <c r="C17" s="7">
        <v>2</v>
      </c>
      <c r="D17" s="6">
        <v>2023</v>
      </c>
      <c r="E17" s="8">
        <f>Submetring!E17+Submetring!F17+Submetring!G17</f>
        <v>7304</v>
      </c>
      <c r="F17" s="6">
        <v>0.29099999999999998</v>
      </c>
      <c r="G17" s="8">
        <f>Submetring!H17+Submetring!I17</f>
        <v>1764</v>
      </c>
      <c r="H17" s="6">
        <v>0.56711199999999995</v>
      </c>
      <c r="I17" s="8">
        <f>Submetring!J17</f>
        <v>169</v>
      </c>
      <c r="J17" s="6">
        <v>3.992</v>
      </c>
      <c r="K17" s="8">
        <f>Hotel!Y24</f>
        <v>83</v>
      </c>
    </row>
    <row r="18" spans="1:11" x14ac:dyDescent="0.25">
      <c r="A18" s="6" t="s">
        <v>11</v>
      </c>
      <c r="B18" s="9">
        <f t="shared" si="0"/>
        <v>17</v>
      </c>
      <c r="C18" s="7">
        <v>2</v>
      </c>
      <c r="D18" s="6">
        <v>2023</v>
      </c>
      <c r="E18" s="8">
        <f>Submetring!E18+Submetring!F18+Submetring!G18</f>
        <v>7114</v>
      </c>
      <c r="F18" s="6">
        <v>0.29099999999999998</v>
      </c>
      <c r="G18" s="8">
        <f>Submetring!H18+Submetring!I18</f>
        <v>1936</v>
      </c>
      <c r="H18" s="6">
        <v>0.56711199999999995</v>
      </c>
      <c r="I18" s="8">
        <f>Submetring!J18</f>
        <v>169</v>
      </c>
      <c r="J18" s="6">
        <v>3.992</v>
      </c>
      <c r="K18" s="8">
        <f>Hotel!Y25</f>
        <v>106</v>
      </c>
    </row>
    <row r="19" spans="1:11" x14ac:dyDescent="0.25">
      <c r="A19" s="6" t="s">
        <v>11</v>
      </c>
      <c r="B19" s="9">
        <f t="shared" si="0"/>
        <v>18</v>
      </c>
      <c r="C19" s="7">
        <v>2</v>
      </c>
      <c r="D19" s="6">
        <v>2023</v>
      </c>
      <c r="E19" s="8">
        <f>Submetring!E19+Submetring!F19+Submetring!G19</f>
        <v>6869</v>
      </c>
      <c r="F19" s="6">
        <v>0.29099999999999998</v>
      </c>
      <c r="G19" s="8">
        <f>Submetring!H19+Submetring!I19</f>
        <v>1793</v>
      </c>
      <c r="H19" s="6">
        <v>0.56711199999999995</v>
      </c>
      <c r="I19" s="8">
        <f>Submetring!J19</f>
        <v>240</v>
      </c>
      <c r="J19" s="6">
        <v>3.992</v>
      </c>
      <c r="K19" s="8">
        <f>Hotel!Y26</f>
        <v>102</v>
      </c>
    </row>
    <row r="20" spans="1:11" x14ac:dyDescent="0.25">
      <c r="A20" s="6" t="s">
        <v>11</v>
      </c>
      <c r="B20" s="9">
        <f t="shared" si="0"/>
        <v>19</v>
      </c>
      <c r="C20" s="7">
        <v>2</v>
      </c>
      <c r="D20" s="6">
        <v>2023</v>
      </c>
      <c r="E20" s="8">
        <f>Submetring!E20+Submetring!F20+Submetring!G20</f>
        <v>7231</v>
      </c>
      <c r="F20" s="6">
        <v>0.29099999999999998</v>
      </c>
      <c r="G20" s="8">
        <f>Submetring!H20+Submetring!I20</f>
        <v>1880</v>
      </c>
      <c r="H20" s="6">
        <v>0.56711199999999995</v>
      </c>
      <c r="I20" s="8">
        <f>Submetring!J20</f>
        <v>161</v>
      </c>
      <c r="J20" s="6">
        <v>3.992</v>
      </c>
      <c r="K20" s="8">
        <f>Hotel!Y27</f>
        <v>62</v>
      </c>
    </row>
    <row r="21" spans="1:11" x14ac:dyDescent="0.25">
      <c r="A21" s="6" t="s">
        <v>11</v>
      </c>
      <c r="B21" s="9">
        <f t="shared" si="0"/>
        <v>20</v>
      </c>
      <c r="C21" s="7">
        <v>2</v>
      </c>
      <c r="D21" s="6">
        <v>2023</v>
      </c>
      <c r="E21" s="8">
        <f>Submetring!E21+Submetring!F21+Submetring!G21</f>
        <v>7586</v>
      </c>
      <c r="F21" s="6">
        <v>0.29099999999999998</v>
      </c>
      <c r="G21" s="8">
        <f>Submetring!H21+Submetring!I21</f>
        <v>1916</v>
      </c>
      <c r="H21" s="6">
        <v>0.56711199999999995</v>
      </c>
      <c r="I21" s="8">
        <f>Submetring!J21</f>
        <v>202</v>
      </c>
      <c r="J21" s="6">
        <v>3.992</v>
      </c>
      <c r="K21" s="8">
        <f>Hotel!Y28</f>
        <v>58</v>
      </c>
    </row>
    <row r="22" spans="1:11" x14ac:dyDescent="0.25">
      <c r="A22" s="6" t="s">
        <v>11</v>
      </c>
      <c r="B22" s="9">
        <f t="shared" si="0"/>
        <v>21</v>
      </c>
      <c r="C22" s="7">
        <v>2</v>
      </c>
      <c r="D22" s="6">
        <v>2023</v>
      </c>
      <c r="E22" s="8">
        <f>Submetring!E22+Submetring!F22+Submetring!G22</f>
        <v>8044</v>
      </c>
      <c r="F22" s="6">
        <v>0.29099999999999998</v>
      </c>
      <c r="G22" s="8">
        <f>Submetring!H22+Submetring!I22</f>
        <v>1968</v>
      </c>
      <c r="H22" s="6">
        <v>0.56711199999999995</v>
      </c>
      <c r="I22" s="8">
        <f>Submetring!J22</f>
        <v>198</v>
      </c>
      <c r="J22" s="6">
        <v>3.992</v>
      </c>
      <c r="K22" s="8">
        <f>Hotel!Y29</f>
        <v>81</v>
      </c>
    </row>
    <row r="23" spans="1:11" x14ac:dyDescent="0.25">
      <c r="A23" s="6" t="s">
        <v>11</v>
      </c>
      <c r="B23" s="9">
        <f t="shared" si="0"/>
        <v>22</v>
      </c>
      <c r="C23" s="7">
        <v>2</v>
      </c>
      <c r="D23" s="6">
        <v>2023</v>
      </c>
      <c r="E23" s="8">
        <f>Submetring!E23+Submetring!F23+Submetring!G23</f>
        <v>7760</v>
      </c>
      <c r="F23" s="6">
        <v>0.29099999999999998</v>
      </c>
      <c r="G23" s="8">
        <f>Submetring!H23+Submetring!I23</f>
        <v>1863</v>
      </c>
      <c r="H23" s="6">
        <v>0.56711199999999995</v>
      </c>
      <c r="I23" s="8">
        <f>Submetring!J23</f>
        <v>220</v>
      </c>
      <c r="J23" s="6">
        <v>3.992</v>
      </c>
      <c r="K23" s="8">
        <f>Hotel!Y30</f>
        <v>114</v>
      </c>
    </row>
    <row r="24" spans="1:11" x14ac:dyDescent="0.25">
      <c r="A24" s="6" t="s">
        <v>11</v>
      </c>
      <c r="B24" s="9">
        <f t="shared" si="0"/>
        <v>23</v>
      </c>
      <c r="C24" s="7">
        <v>2</v>
      </c>
      <c r="D24" s="6">
        <v>2023</v>
      </c>
      <c r="E24" s="8">
        <f>Submetring!E24+Submetring!F24+Submetring!G24</f>
        <v>8896</v>
      </c>
      <c r="F24" s="6">
        <v>0.29099999999999998</v>
      </c>
      <c r="G24" s="8">
        <f>Submetring!H24+Submetring!I24</f>
        <v>2021</v>
      </c>
      <c r="H24" s="6">
        <v>0.56711199999999995</v>
      </c>
      <c r="I24" s="8">
        <f>Submetring!J24</f>
        <v>167</v>
      </c>
      <c r="J24" s="6">
        <v>3.992</v>
      </c>
      <c r="K24" s="8">
        <f>Hotel!Y31</f>
        <v>149</v>
      </c>
    </row>
    <row r="25" spans="1:11" x14ac:dyDescent="0.25">
      <c r="A25" s="6" t="s">
        <v>11</v>
      </c>
      <c r="B25" s="9">
        <f t="shared" si="0"/>
        <v>24</v>
      </c>
      <c r="C25" s="7">
        <v>2</v>
      </c>
      <c r="D25" s="6">
        <v>2023</v>
      </c>
      <c r="E25" s="8">
        <f>Submetring!E25+Submetring!F25+Submetring!G25</f>
        <v>8132</v>
      </c>
      <c r="F25" s="6">
        <v>0.29099999999999998</v>
      </c>
      <c r="G25" s="8">
        <f>Submetring!H25+Submetring!I25</f>
        <v>1896</v>
      </c>
      <c r="H25" s="6">
        <v>0.56711199999999995</v>
      </c>
      <c r="I25" s="8">
        <f>Submetring!J25</f>
        <v>211</v>
      </c>
      <c r="J25" s="6">
        <v>3.992</v>
      </c>
      <c r="K25" s="8">
        <f>Hotel!Y32</f>
        <v>132</v>
      </c>
    </row>
    <row r="26" spans="1:11" x14ac:dyDescent="0.25">
      <c r="A26" s="6" t="s">
        <v>11</v>
      </c>
      <c r="B26" s="9">
        <f>B25+1</f>
        <v>25</v>
      </c>
      <c r="C26" s="7">
        <v>2</v>
      </c>
      <c r="D26" s="6">
        <v>2023</v>
      </c>
      <c r="E26" s="8">
        <f>Submetring!E26+Submetring!F26+Submetring!G26</f>
        <v>8857</v>
      </c>
      <c r="F26" s="6">
        <v>0.29099999999999998</v>
      </c>
      <c r="G26" s="8">
        <f>Submetring!H26+Submetring!I26</f>
        <v>1666</v>
      </c>
      <c r="H26" s="6">
        <v>0.56711199999999995</v>
      </c>
      <c r="I26" s="8">
        <f>Submetring!J26</f>
        <v>216</v>
      </c>
      <c r="J26" s="6">
        <v>3.992</v>
      </c>
      <c r="K26" s="8">
        <f>Hotel!Y33</f>
        <v>80</v>
      </c>
    </row>
    <row r="27" spans="1:11" x14ac:dyDescent="0.25">
      <c r="A27" s="6" t="s">
        <v>11</v>
      </c>
      <c r="B27" s="9">
        <f t="shared" si="0"/>
        <v>26</v>
      </c>
      <c r="C27" s="7">
        <v>2</v>
      </c>
      <c r="D27" s="6">
        <v>2023</v>
      </c>
      <c r="E27" s="8">
        <f>Submetring!E27+Submetring!F27+Submetring!G27</f>
        <v>9263</v>
      </c>
      <c r="F27" s="6">
        <v>0.29099999999999998</v>
      </c>
      <c r="G27" s="8">
        <f>Submetring!H27+Submetring!I27</f>
        <v>1946</v>
      </c>
      <c r="H27" s="6">
        <v>0.56711199999999995</v>
      </c>
      <c r="I27" s="8">
        <f>Submetring!J27</f>
        <v>181</v>
      </c>
      <c r="J27" s="6">
        <v>3.992</v>
      </c>
      <c r="K27" s="8">
        <f>Hotel!Y34</f>
        <v>115</v>
      </c>
    </row>
    <row r="28" spans="1:11" x14ac:dyDescent="0.25">
      <c r="A28" s="6" t="s">
        <v>11</v>
      </c>
      <c r="B28" s="9">
        <f t="shared" si="0"/>
        <v>27</v>
      </c>
      <c r="C28" s="7">
        <v>2</v>
      </c>
      <c r="D28" s="6">
        <v>2023</v>
      </c>
      <c r="E28" s="8">
        <f>Submetring!E28+Submetring!F28+Submetring!G28</f>
        <v>9120</v>
      </c>
      <c r="F28" s="6">
        <v>0.29099999999999998</v>
      </c>
      <c r="G28" s="8">
        <f>Submetring!H28+Submetring!I28</f>
        <v>2039</v>
      </c>
      <c r="H28" s="6">
        <v>0.56711199999999995</v>
      </c>
      <c r="I28" s="8">
        <f>Submetring!J28</f>
        <v>233</v>
      </c>
      <c r="J28" s="6">
        <v>3.992</v>
      </c>
      <c r="K28" s="8">
        <f>Hotel!Y35</f>
        <v>105</v>
      </c>
    </row>
    <row r="29" spans="1:11" x14ac:dyDescent="0.25">
      <c r="A29" s="6" t="s">
        <v>11</v>
      </c>
      <c r="B29" s="9">
        <f t="shared" si="0"/>
        <v>28</v>
      </c>
      <c r="C29" s="7">
        <v>2</v>
      </c>
      <c r="D29" s="6">
        <v>2023</v>
      </c>
      <c r="E29" s="8">
        <f>Submetring!E29+Submetring!F29+Submetring!G29</f>
        <v>9528</v>
      </c>
      <c r="F29" s="6">
        <v>0.29099999999999998</v>
      </c>
      <c r="G29" s="8">
        <f>Submetring!H29+Submetring!I29</f>
        <v>1816</v>
      </c>
      <c r="H29" s="6">
        <v>0.56711199999999995</v>
      </c>
      <c r="I29" s="8">
        <f>Submetring!J29</f>
        <v>222</v>
      </c>
      <c r="J29" s="6">
        <v>3.992</v>
      </c>
      <c r="K29" s="8">
        <f>Hotel!Y36</f>
        <v>106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O29"/>
  <sheetViews>
    <sheetView workbookViewId="0">
      <selection activeCell="D31" sqref="D31"/>
    </sheetView>
  </sheetViews>
  <sheetFormatPr defaultRowHeight="15" x14ac:dyDescent="0.25"/>
  <sheetData>
    <row r="1" spans="1:93" ht="90" x14ac:dyDescent="0.25">
      <c r="A1" s="12" t="s">
        <v>0</v>
      </c>
      <c r="B1" s="13" t="s">
        <v>1</v>
      </c>
      <c r="C1" s="13" t="s">
        <v>2</v>
      </c>
      <c r="D1" s="13" t="s">
        <v>3</v>
      </c>
      <c r="E1" s="14" t="s">
        <v>12</v>
      </c>
      <c r="F1" s="14" t="s">
        <v>13</v>
      </c>
      <c r="G1" s="14" t="s">
        <v>14</v>
      </c>
      <c r="H1" s="14" t="s">
        <v>15</v>
      </c>
      <c r="I1" s="14" t="s">
        <v>16</v>
      </c>
      <c r="J1" s="14" t="s">
        <v>17</v>
      </c>
      <c r="K1" s="15" t="s">
        <v>10</v>
      </c>
      <c r="L1" s="16" t="s">
        <v>18</v>
      </c>
      <c r="M1" s="17" t="s">
        <v>19</v>
      </c>
      <c r="N1" s="17" t="s">
        <v>20</v>
      </c>
      <c r="O1" s="17" t="s">
        <v>21</v>
      </c>
      <c r="P1" s="17" t="s">
        <v>22</v>
      </c>
      <c r="Q1" s="17" t="s">
        <v>23</v>
      </c>
      <c r="R1" s="17" t="s">
        <v>24</v>
      </c>
      <c r="S1" s="17" t="s">
        <v>25</v>
      </c>
      <c r="T1" s="17" t="s">
        <v>26</v>
      </c>
      <c r="U1" s="17" t="s">
        <v>27</v>
      </c>
      <c r="V1" s="17" t="s">
        <v>28</v>
      </c>
      <c r="W1" s="17" t="s">
        <v>29</v>
      </c>
      <c r="X1" s="17" t="s">
        <v>30</v>
      </c>
      <c r="Y1" s="17" t="s">
        <v>31</v>
      </c>
      <c r="Z1" s="17" t="s">
        <v>32</v>
      </c>
      <c r="AA1" s="17" t="s">
        <v>33</v>
      </c>
      <c r="AB1" s="17" t="s">
        <v>34</v>
      </c>
      <c r="AC1" s="17" t="s">
        <v>35</v>
      </c>
      <c r="AD1" s="17" t="s">
        <v>36</v>
      </c>
      <c r="AE1" s="17" t="s">
        <v>37</v>
      </c>
      <c r="AF1" s="17" t="s">
        <v>38</v>
      </c>
      <c r="AG1" s="17" t="s">
        <v>25</v>
      </c>
      <c r="AH1" s="17" t="s">
        <v>39</v>
      </c>
      <c r="AI1" s="17" t="s">
        <v>40</v>
      </c>
      <c r="AJ1" s="17" t="s">
        <v>41</v>
      </c>
      <c r="AK1" s="17" t="s">
        <v>42</v>
      </c>
      <c r="AL1" s="17" t="s">
        <v>43</v>
      </c>
      <c r="AM1" s="17" t="s">
        <v>44</v>
      </c>
      <c r="AN1" s="17" t="s">
        <v>45</v>
      </c>
      <c r="AO1" s="17" t="s">
        <v>46</v>
      </c>
      <c r="AP1" s="17" t="s">
        <v>47</v>
      </c>
      <c r="AQ1" s="17" t="s">
        <v>48</v>
      </c>
      <c r="AR1" s="17" t="s">
        <v>49</v>
      </c>
      <c r="AS1" s="17" t="s">
        <v>50</v>
      </c>
      <c r="AT1" s="17" t="s">
        <v>51</v>
      </c>
      <c r="AU1" s="17" t="s">
        <v>52</v>
      </c>
      <c r="AV1" s="18" t="s">
        <v>53</v>
      </c>
      <c r="AW1" s="17" t="s">
        <v>54</v>
      </c>
      <c r="AX1" s="17" t="s">
        <v>55</v>
      </c>
      <c r="AY1" s="17" t="s">
        <v>56</v>
      </c>
      <c r="AZ1" s="17" t="s">
        <v>57</v>
      </c>
      <c r="BA1" s="17" t="s">
        <v>24</v>
      </c>
      <c r="BB1" s="17" t="s">
        <v>25</v>
      </c>
      <c r="BC1" s="17" t="s">
        <v>58</v>
      </c>
      <c r="BD1" s="17" t="s">
        <v>25</v>
      </c>
      <c r="BE1" s="17" t="s">
        <v>59</v>
      </c>
      <c r="BF1" s="17" t="s">
        <v>60</v>
      </c>
      <c r="BG1" s="17" t="s">
        <v>61</v>
      </c>
      <c r="BH1" s="17" t="s">
        <v>62</v>
      </c>
      <c r="BI1" s="19" t="s">
        <v>26</v>
      </c>
      <c r="BJ1" s="20" t="s">
        <v>63</v>
      </c>
      <c r="BK1" s="20" t="s">
        <v>64</v>
      </c>
      <c r="BL1" s="20" t="s">
        <v>65</v>
      </c>
      <c r="BM1" s="20" t="s">
        <v>66</v>
      </c>
      <c r="BN1" s="20" t="s">
        <v>67</v>
      </c>
      <c r="BO1" s="20" t="s">
        <v>68</v>
      </c>
      <c r="BP1" s="20" t="s">
        <v>69</v>
      </c>
      <c r="BQ1" s="20" t="s">
        <v>70</v>
      </c>
      <c r="BR1" s="20" t="s">
        <v>71</v>
      </c>
      <c r="BS1" s="20" t="s">
        <v>72</v>
      </c>
      <c r="BT1" s="20" t="s">
        <v>73</v>
      </c>
      <c r="BU1" s="20" t="s">
        <v>74</v>
      </c>
      <c r="BV1" s="20" t="s">
        <v>75</v>
      </c>
      <c r="BW1" s="20" t="s">
        <v>76</v>
      </c>
      <c r="BX1" s="20" t="s">
        <v>77</v>
      </c>
      <c r="BY1" s="20" t="s">
        <v>78</v>
      </c>
      <c r="BZ1" s="20" t="s">
        <v>79</v>
      </c>
      <c r="CA1" s="20" t="s">
        <v>80</v>
      </c>
      <c r="CB1" s="20" t="s">
        <v>81</v>
      </c>
      <c r="CC1" s="21" t="s">
        <v>82</v>
      </c>
      <c r="CD1" s="21" t="s">
        <v>83</v>
      </c>
      <c r="CE1" s="21" t="s">
        <v>84</v>
      </c>
      <c r="CF1" s="21" t="s">
        <v>85</v>
      </c>
      <c r="CG1" s="21" t="s">
        <v>86</v>
      </c>
      <c r="CH1" s="21" t="s">
        <v>87</v>
      </c>
      <c r="CI1" s="21" t="s">
        <v>88</v>
      </c>
      <c r="CJ1" s="21" t="s">
        <v>89</v>
      </c>
      <c r="CK1" s="21" t="s">
        <v>90</v>
      </c>
      <c r="CL1" s="21" t="s">
        <v>91</v>
      </c>
      <c r="CM1" s="21" t="s">
        <v>92</v>
      </c>
      <c r="CN1" s="21" t="s">
        <v>93</v>
      </c>
      <c r="CO1" s="21" t="s">
        <v>94</v>
      </c>
    </row>
    <row r="2" spans="1:93" x14ac:dyDescent="0.25">
      <c r="A2" t="s">
        <v>11</v>
      </c>
      <c r="B2" s="10">
        <v>1</v>
      </c>
      <c r="C2" s="10">
        <v>2</v>
      </c>
      <c r="D2" s="10">
        <v>2023</v>
      </c>
      <c r="E2" s="11">
        <f>Hotel!D9</f>
        <v>2496</v>
      </c>
      <c r="F2" s="11">
        <f>Hotel!F9</f>
        <v>2533</v>
      </c>
      <c r="G2" s="11">
        <f>Hotel!H9</f>
        <v>2317</v>
      </c>
      <c r="H2" s="11">
        <f>Hotel!N9</f>
        <v>161</v>
      </c>
      <c r="I2" s="11">
        <f>Hotel!P9</f>
        <v>2567</v>
      </c>
      <c r="J2" s="11">
        <f>Hotel!U9</f>
        <v>276</v>
      </c>
      <c r="K2" s="11">
        <f>Hotel!Y9</f>
        <v>62</v>
      </c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  <c r="Z2" s="22"/>
      <c r="AA2" s="22"/>
      <c r="AB2" s="22"/>
      <c r="AC2" s="22"/>
      <c r="AD2" s="22"/>
      <c r="AE2" s="22"/>
      <c r="AF2" s="22"/>
      <c r="AG2" s="22"/>
      <c r="AH2" s="22"/>
      <c r="AI2" s="22"/>
      <c r="AJ2" s="22"/>
      <c r="AK2" s="22"/>
      <c r="AL2" s="22"/>
      <c r="AM2" s="22"/>
      <c r="AN2" s="22"/>
      <c r="AO2" s="22"/>
      <c r="AP2" s="22"/>
      <c r="AQ2" s="22"/>
      <c r="AR2" s="22"/>
      <c r="AS2" s="22"/>
      <c r="AT2" s="22"/>
      <c r="AU2" s="22"/>
      <c r="AV2" s="22"/>
      <c r="AW2" s="22"/>
      <c r="AX2" s="22"/>
      <c r="AY2" s="22"/>
      <c r="AZ2" s="22"/>
      <c r="BA2" s="22"/>
      <c r="BB2" s="22"/>
      <c r="BC2" s="22"/>
      <c r="BD2" s="22"/>
      <c r="BE2" s="22"/>
      <c r="BF2" s="22"/>
      <c r="BG2" s="22"/>
      <c r="BH2" s="22"/>
      <c r="BI2" s="22">
        <f>IF(([1]Submeters!AY8-[1]Submeters!AY6)&lt;0,"0",[1]Submeters!AY8-[1]Submeters!AY6)</f>
        <v>389</v>
      </c>
      <c r="BJ2" s="22" t="e">
        <f>IF(([1]Submeters!AZ8-[1]Submeters!AZ6)&lt;0,"0",[1]Submeters!AZ8-[1]Submeters!AZ6)</f>
        <v>#REF!</v>
      </c>
      <c r="BK2" s="22" t="e">
        <f>IF(([1]Submeters!BA8-[1]Submeters!BA6)&lt;0,"0",[1]Submeters!BA8-[1]Submeters!BA6)</f>
        <v>#REF!</v>
      </c>
      <c r="BL2" s="22" t="e">
        <f>IF(([1]Submeters!BB8-[1]Submeters!BB6)&lt;0,"0",[1]Submeters!BB8-[1]Submeters!BB6)</f>
        <v>#REF!</v>
      </c>
      <c r="BM2" s="22" t="e">
        <f>IF(([1]Submeters!BC8-[1]Submeters!BC6)&lt;0,"0",[1]Submeters!BC8-[1]Submeters!BC6)</f>
        <v>#REF!</v>
      </c>
      <c r="BN2" s="22" t="e">
        <f>IF(([1]Submeters!BD8-[1]Submeters!BD6)&lt;0,"0",[1]Submeters!BD8-[1]Submeters!BD6)</f>
        <v>#REF!</v>
      </c>
      <c r="BO2" s="22" t="e">
        <f>IF(([1]Submeters!BE8-[1]Submeters!BE6)&lt;0,"0",[1]Submeters!BE8-[1]Submeters!BE6)</f>
        <v>#REF!</v>
      </c>
      <c r="BP2" s="22" t="e">
        <f>IF(([1]Submeters!BF8-[1]Submeters!BF6)&lt;0,"0",[1]Submeters!BF8-[1]Submeters!BF6)</f>
        <v>#REF!</v>
      </c>
      <c r="BQ2" s="22" t="e">
        <f>IF(([1]Submeters!BG8-[1]Submeters!BG6)&lt;0,"0",[1]Submeters!BG8-[1]Submeters!BG6)</f>
        <v>#REF!</v>
      </c>
      <c r="BR2" s="22" t="e">
        <f>IF(([1]Submeters!BH8-[1]Submeters!BH6)&lt;0,"0",[1]Submeters!BH8-[1]Submeters!BH6)</f>
        <v>#REF!</v>
      </c>
      <c r="BS2" s="22" t="e">
        <f>IF(([1]Submeters!BI8-[1]Submeters!BI6)&lt;0,"0",[1]Submeters!BI8-[1]Submeters!BI6)</f>
        <v>#REF!</v>
      </c>
      <c r="BT2" s="22" t="e">
        <f>IF(([1]Submeters!BJ8-[1]Submeters!BJ6)&lt;0,"0",[1]Submeters!BJ8-[1]Submeters!BJ6)</f>
        <v>#REF!</v>
      </c>
      <c r="BU2" s="22" t="e">
        <f>IF(([1]Submeters!BK8-[1]Submeters!BK6)&lt;0,"0",[1]Submeters!BK8-[1]Submeters!BK6)</f>
        <v>#REF!</v>
      </c>
      <c r="BV2" s="22" t="e">
        <f>IF(([1]Submeters!BL8-[1]Submeters!BL6)&lt;0,"0",[1]Submeters!BL8-[1]Submeters!BL6)</f>
        <v>#REF!</v>
      </c>
      <c r="BW2" s="22" t="e">
        <f>IF(([1]Submeters!BM8-[1]Submeters!BM6)&lt;0,"0",[1]Submeters!BM8-[1]Submeters!BM6)</f>
        <v>#REF!</v>
      </c>
      <c r="BX2" s="22" t="e">
        <f>IF(([1]Submeters!BN8-[1]Submeters!BN6)&lt;0,"0",[1]Submeters!BN8-[1]Submeters!BN6)</f>
        <v>#REF!</v>
      </c>
      <c r="BY2" s="22" t="e">
        <f>IF(([1]Submeters!BO8-[1]Submeters!BO6)&lt;0,"0",[1]Submeters!BO8-[1]Submeters!BO6)</f>
        <v>#REF!</v>
      </c>
      <c r="BZ2" s="22" t="e">
        <f>IF(([1]Submeters!BP8-[1]Submeters!BP6)&lt;0,"0",[1]Submeters!BP8-[1]Submeters!BP6)</f>
        <v>#REF!</v>
      </c>
      <c r="CA2" s="22" t="e">
        <f>IF(([1]Submeters!BQ8-[1]Submeters!BQ6)&lt;0,"0",[1]Submeters!BQ8-[1]Submeters!BQ6)</f>
        <v>#REF!</v>
      </c>
      <c r="CB2" s="22" t="e">
        <f>IF(([1]Submeters!BR8-[1]Submeters!BR6)&lt;0,"0",[1]Submeters!BR8-[1]Submeters!BR6)</f>
        <v>#REF!</v>
      </c>
      <c r="CC2" s="22" t="e">
        <f>IF(([1]Submeters!BS8-[1]Submeters!BS6)&lt;0,"0",[1]Submeters!BS8-[1]Submeters!BS6)</f>
        <v>#REF!</v>
      </c>
      <c r="CD2" s="22" t="e">
        <f>IF(([1]Submeters!BT8-[1]Submeters!BT6)&lt;0,"0",[1]Submeters!BT8-[1]Submeters!BT6)</f>
        <v>#REF!</v>
      </c>
      <c r="CE2" s="22" t="e">
        <f>IF(([1]Submeters!BU8-[1]Submeters!BU6)&lt;0,"0",[1]Submeters!BU8-[1]Submeters!BU6)</f>
        <v>#REF!</v>
      </c>
      <c r="CF2" s="22" t="e">
        <f>IF(([1]Submeters!BV8-[1]Submeters!BV6)&lt;0,"0",[1]Submeters!BV8-[1]Submeters!BV6)</f>
        <v>#REF!</v>
      </c>
      <c r="CG2" s="22" t="e">
        <f>IF(([1]Submeters!BW8-[1]Submeters!BW6)&lt;0,"0",[1]Submeters!BW8-[1]Submeters!BW6)</f>
        <v>#REF!</v>
      </c>
      <c r="CH2" s="22" t="e">
        <f>IF(([1]Submeters!BX8-[1]Submeters!BX6)&lt;0,"0",[1]Submeters!BX8-[1]Submeters!BX6)</f>
        <v>#REF!</v>
      </c>
      <c r="CI2" s="22" t="e">
        <f>IF(([1]Submeters!BY8-[1]Submeters!BY6)&lt;0,"0",[1]Submeters!BY8-[1]Submeters!BY6)</f>
        <v>#REF!</v>
      </c>
      <c r="CJ2" s="22" t="e">
        <f>IF(([1]Submeters!BZ8-[1]Submeters!BZ6)&lt;0,"0",[1]Submeters!BZ8-[1]Submeters!BZ6)</f>
        <v>#REF!</v>
      </c>
      <c r="CK2" s="22" t="e">
        <f>IF(([1]Submeters!CA8-[1]Submeters!CA6)&lt;0,"0",[1]Submeters!CA8-[1]Submeters!CA6)</f>
        <v>#REF!</v>
      </c>
      <c r="CL2" s="22" t="e">
        <f>IF(([1]Submeters!CB8-[1]Submeters!CB6)&lt;0,"0",[1]Submeters!CB8-[1]Submeters!CB6)</f>
        <v>#REF!</v>
      </c>
      <c r="CM2" s="22" t="e">
        <f>IF(([1]Submeters!CC8-[1]Submeters!CC6)&lt;0,"0",[1]Submeters!CC8-[1]Submeters!CC6)</f>
        <v>#REF!</v>
      </c>
      <c r="CN2" s="22" t="e">
        <f>IF(([1]Submeters!CD8-[1]Submeters!CD6)&lt;0,"0",[1]Submeters!CD8-[1]Submeters!CD6)</f>
        <v>#REF!</v>
      </c>
      <c r="CO2" s="22" t="e">
        <f>IF(([1]Submeters!CE8-[1]Submeters!CE6)&lt;0,"0",[1]Submeters!CE8-[1]Submeters!CE6)</f>
        <v>#REF!</v>
      </c>
    </row>
    <row r="3" spans="1:93" x14ac:dyDescent="0.25">
      <c r="A3" t="s">
        <v>11</v>
      </c>
      <c r="B3" s="10">
        <f>B2+1</f>
        <v>2</v>
      </c>
      <c r="C3" s="10">
        <v>2</v>
      </c>
      <c r="D3" s="10">
        <v>2023</v>
      </c>
      <c r="E3" s="11">
        <f>Hotel!D10</f>
        <v>2533</v>
      </c>
      <c r="F3" s="11">
        <f>Hotel!F10</f>
        <v>2591</v>
      </c>
      <c r="G3" s="11">
        <f>Hotel!H10</f>
        <v>2360</v>
      </c>
      <c r="H3" s="11">
        <f>Hotel!N10</f>
        <v>189</v>
      </c>
      <c r="I3" s="11">
        <f>Hotel!P10</f>
        <v>2424</v>
      </c>
      <c r="J3" s="11">
        <f>Hotel!U10</f>
        <v>119</v>
      </c>
      <c r="K3" s="11">
        <f>Hotel!Y10</f>
        <v>67</v>
      </c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>
        <f>IF(([1]Submeters!AY9-[1]Submeters!AY8)&lt;0,"0",[1]Submeters!AY9-[1]Submeters!AY8)</f>
        <v>328</v>
      </c>
      <c r="BJ3" s="22" t="e">
        <f>IF(([1]Submeters!AZ9-[1]Submeters!AZ8)&lt;0,"0",[1]Submeters!AZ9-[1]Submeters!AZ8)</f>
        <v>#REF!</v>
      </c>
      <c r="BK3" s="22" t="e">
        <f>IF(([1]Submeters!BA9-[1]Submeters!BA8)&lt;0,"0",[1]Submeters!BA9-[1]Submeters!BA8)</f>
        <v>#REF!</v>
      </c>
      <c r="BL3" s="22" t="e">
        <f>IF(([1]Submeters!BB9-[1]Submeters!BB8)&lt;0,"0",[1]Submeters!BB9-[1]Submeters!BB8)</f>
        <v>#REF!</v>
      </c>
      <c r="BM3" s="22" t="e">
        <f>IF(([1]Submeters!BC9-[1]Submeters!BC8)&lt;0,"0",[1]Submeters!BC9-[1]Submeters!BC8)</f>
        <v>#REF!</v>
      </c>
      <c r="BN3" s="22" t="e">
        <f>IF(([1]Submeters!BD9-[1]Submeters!BD8)&lt;0,"0",[1]Submeters!BD9-[1]Submeters!BD8)</f>
        <v>#REF!</v>
      </c>
      <c r="BO3" s="22" t="e">
        <f>IF(([1]Submeters!BE9-[1]Submeters!BE8)&lt;0,"0",[1]Submeters!BE9-[1]Submeters!BE8)</f>
        <v>#REF!</v>
      </c>
      <c r="BP3" s="22" t="e">
        <f>IF(([1]Submeters!BF9-[1]Submeters!BF8)&lt;0,"0",[1]Submeters!BF9-[1]Submeters!BF8)</f>
        <v>#REF!</v>
      </c>
      <c r="BQ3" s="22" t="e">
        <f>IF(([1]Submeters!BG9-[1]Submeters!BG8)&lt;0,"0",[1]Submeters!BG9-[1]Submeters!BG8)</f>
        <v>#REF!</v>
      </c>
      <c r="BR3" s="22" t="e">
        <f>IF(([1]Submeters!BH9-[1]Submeters!BH8)&lt;0,"0",[1]Submeters!BH9-[1]Submeters!BH8)</f>
        <v>#REF!</v>
      </c>
      <c r="BS3" s="22" t="e">
        <f>IF(([1]Submeters!BI9-[1]Submeters!BI8)&lt;0,"0",[1]Submeters!BI9-[1]Submeters!BI8)</f>
        <v>#REF!</v>
      </c>
      <c r="BT3" s="22" t="e">
        <f>IF(([1]Submeters!BJ9-[1]Submeters!BJ8)&lt;0,"0",[1]Submeters!BJ9-[1]Submeters!BJ8)</f>
        <v>#REF!</v>
      </c>
      <c r="BU3" s="22" t="e">
        <f>IF(([1]Submeters!BK9-[1]Submeters!BK8)&lt;0,"0",[1]Submeters!BK9-[1]Submeters!BK8)</f>
        <v>#REF!</v>
      </c>
      <c r="BV3" s="22" t="e">
        <f>IF(([1]Submeters!BL9-[1]Submeters!BL8)&lt;0,"0",[1]Submeters!BL9-[1]Submeters!BL8)</f>
        <v>#REF!</v>
      </c>
      <c r="BW3" s="22" t="e">
        <f>IF(([1]Submeters!BM9-[1]Submeters!BM8)&lt;0,"0",[1]Submeters!BM9-[1]Submeters!BM8)</f>
        <v>#REF!</v>
      </c>
      <c r="BX3" s="22" t="e">
        <f>IF(([1]Submeters!BN9-[1]Submeters!BN8)&lt;0,"0",[1]Submeters!BN9-[1]Submeters!BN8)</f>
        <v>#REF!</v>
      </c>
      <c r="BY3" s="22" t="e">
        <f>IF(([1]Submeters!BO9-[1]Submeters!BO8)&lt;0,"0",[1]Submeters!BO9-[1]Submeters!BO8)</f>
        <v>#REF!</v>
      </c>
      <c r="BZ3" s="22" t="e">
        <f>IF(([1]Submeters!BP9-[1]Submeters!BP8)&lt;0,"0",[1]Submeters!BP9-[1]Submeters!BP8)</f>
        <v>#REF!</v>
      </c>
      <c r="CA3" s="22" t="e">
        <f>IF(([1]Submeters!BQ9-[1]Submeters!BQ8)&lt;0,"0",[1]Submeters!BQ9-[1]Submeters!BQ8)</f>
        <v>#REF!</v>
      </c>
      <c r="CB3" s="22" t="e">
        <f>IF(([1]Submeters!BR9-[1]Submeters!BR8)&lt;0,"0",[1]Submeters!BR9-[1]Submeters!BR8)</f>
        <v>#REF!</v>
      </c>
      <c r="CC3" s="22" t="e">
        <f>IF(([1]Submeters!BS9-[1]Submeters!BS8)&lt;0,"0",[1]Submeters!BS9-[1]Submeters!BS8)</f>
        <v>#REF!</v>
      </c>
      <c r="CD3" s="22" t="e">
        <f>IF(([1]Submeters!BT9-[1]Submeters!BT8)&lt;0,"0",[1]Submeters!BT9-[1]Submeters!BT8)</f>
        <v>#REF!</v>
      </c>
      <c r="CE3" s="22" t="e">
        <f>IF(([1]Submeters!BU9-[1]Submeters!BU8)&lt;0,"0",[1]Submeters!BU9-[1]Submeters!BU8)</f>
        <v>#REF!</v>
      </c>
      <c r="CF3" s="22" t="e">
        <f>IF(([1]Submeters!BV9-[1]Submeters!BV8)&lt;0,"0",[1]Submeters!BV9-[1]Submeters!BV8)</f>
        <v>#REF!</v>
      </c>
      <c r="CG3" s="22" t="e">
        <f>IF(([1]Submeters!BW9-[1]Submeters!BW8)&lt;0,"0",[1]Submeters!BW9-[1]Submeters!BW8)</f>
        <v>#REF!</v>
      </c>
      <c r="CH3" s="22" t="e">
        <f>IF(([1]Submeters!BX9-[1]Submeters!BX8)&lt;0,"0",[1]Submeters!BX9-[1]Submeters!BX8)</f>
        <v>#REF!</v>
      </c>
      <c r="CI3" s="22" t="e">
        <f>IF(([1]Submeters!BY9-[1]Submeters!BY8)&lt;0,"0",[1]Submeters!BY9-[1]Submeters!BY8)</f>
        <v>#REF!</v>
      </c>
      <c r="CJ3" s="22" t="e">
        <f>IF(([1]Submeters!BZ9-[1]Submeters!BZ8)&lt;0,"0",[1]Submeters!BZ9-[1]Submeters!BZ8)</f>
        <v>#REF!</v>
      </c>
      <c r="CK3" s="22" t="e">
        <f>IF(([1]Submeters!CA9-[1]Submeters!CA8)&lt;0,"0",[1]Submeters!CA9-[1]Submeters!CA8)</f>
        <v>#REF!</v>
      </c>
      <c r="CL3" s="22" t="e">
        <f>IF(([1]Submeters!CB9-[1]Submeters!CB8)&lt;0,"0",[1]Submeters!CB9-[1]Submeters!CB8)</f>
        <v>#REF!</v>
      </c>
      <c r="CM3" s="22" t="e">
        <f>IF(([1]Submeters!CC9-[1]Submeters!CC8)&lt;0,"0",[1]Submeters!CC9-[1]Submeters!CC8)</f>
        <v>#REF!</v>
      </c>
      <c r="CN3" s="22" t="e">
        <f>IF(([1]Submeters!CD9-[1]Submeters!CD8)&lt;0,"0",[1]Submeters!CD9-[1]Submeters!CD8)</f>
        <v>#REF!</v>
      </c>
      <c r="CO3" s="22" t="e">
        <f>IF(([1]Submeters!CE9-[1]Submeters!CE8)&lt;0,"0",[1]Submeters!CE9-[1]Submeters!CE8)</f>
        <v>#REF!</v>
      </c>
    </row>
    <row r="4" spans="1:93" x14ac:dyDescent="0.25">
      <c r="A4" t="s">
        <v>11</v>
      </c>
      <c r="B4" s="10">
        <f t="shared" ref="B4:B29" si="0">B3+1</f>
        <v>3</v>
      </c>
      <c r="C4" s="10">
        <v>2</v>
      </c>
      <c r="D4" s="10">
        <v>2023</v>
      </c>
      <c r="E4" s="11">
        <f>Hotel!D11</f>
        <v>2539</v>
      </c>
      <c r="F4" s="11">
        <f>Hotel!F11</f>
        <v>2599</v>
      </c>
      <c r="G4" s="11">
        <f>Hotel!H11</f>
        <v>2394</v>
      </c>
      <c r="H4" s="11">
        <f>Hotel!N11</f>
        <v>191</v>
      </c>
      <c r="I4" s="11">
        <f>Hotel!P11</f>
        <v>2413</v>
      </c>
      <c r="J4" s="11">
        <f>Hotel!U11</f>
        <v>181</v>
      </c>
      <c r="K4" s="11">
        <f>Hotel!Y11</f>
        <v>63</v>
      </c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2"/>
      <c r="AD4" s="22"/>
      <c r="AE4" s="22"/>
      <c r="AF4" s="22"/>
      <c r="AG4" s="22"/>
      <c r="AH4" s="22"/>
      <c r="AI4" s="22"/>
      <c r="AJ4" s="22"/>
      <c r="AK4" s="22"/>
      <c r="AL4" s="22"/>
      <c r="AM4" s="22"/>
      <c r="AN4" s="22"/>
      <c r="AO4" s="22"/>
      <c r="AP4" s="22"/>
      <c r="AQ4" s="22"/>
      <c r="AR4" s="22"/>
      <c r="AS4" s="22"/>
      <c r="AT4" s="22"/>
      <c r="AU4" s="22"/>
      <c r="AV4" s="22"/>
      <c r="AW4" s="22"/>
      <c r="AX4" s="22"/>
      <c r="AY4" s="22"/>
      <c r="AZ4" s="22"/>
      <c r="BA4" s="22"/>
      <c r="BB4" s="22"/>
      <c r="BC4" s="22"/>
      <c r="BD4" s="22"/>
      <c r="BE4" s="22"/>
      <c r="BF4" s="22"/>
      <c r="BG4" s="22"/>
      <c r="BH4" s="22"/>
      <c r="BI4" s="22">
        <f>IF(([1]Submeters!AY10-[1]Submeters!AY9)&lt;0,"0",[1]Submeters!AY10-[1]Submeters!AY9)</f>
        <v>318</v>
      </c>
      <c r="BJ4" s="22" t="e">
        <f>IF(([1]Submeters!AZ10-[1]Submeters!AZ9)&lt;0,"0",[1]Submeters!AZ10-[1]Submeters!AZ9)</f>
        <v>#REF!</v>
      </c>
      <c r="BK4" s="22" t="e">
        <f>IF(([1]Submeters!BA10-[1]Submeters!BA9)&lt;0,"0",[1]Submeters!BA10-[1]Submeters!BA9)</f>
        <v>#REF!</v>
      </c>
      <c r="BL4" s="22" t="e">
        <f>IF(([1]Submeters!BB10-[1]Submeters!BB9)&lt;0,"0",[1]Submeters!BB10-[1]Submeters!BB9)</f>
        <v>#REF!</v>
      </c>
      <c r="BM4" s="22" t="e">
        <f>IF(([1]Submeters!BC10-[1]Submeters!BC9)&lt;0,"0",[1]Submeters!BC10-[1]Submeters!BC9)</f>
        <v>#REF!</v>
      </c>
      <c r="BN4" s="22" t="e">
        <f>IF(([1]Submeters!BD10-[1]Submeters!BD9)&lt;0,"0",[1]Submeters!BD10-[1]Submeters!BD9)</f>
        <v>#REF!</v>
      </c>
      <c r="BO4" s="22" t="e">
        <f>IF(([1]Submeters!BE10-[1]Submeters!BE9)&lt;0,"0",[1]Submeters!BE10-[1]Submeters!BE9)</f>
        <v>#REF!</v>
      </c>
      <c r="BP4" s="22" t="e">
        <f>IF(([1]Submeters!BF10-[1]Submeters!BF9)&lt;0,"0",[1]Submeters!BF10-[1]Submeters!BF9)</f>
        <v>#REF!</v>
      </c>
      <c r="BQ4" s="22" t="e">
        <f>IF(([1]Submeters!BG10-[1]Submeters!BG9)&lt;0,"0",[1]Submeters!BG10-[1]Submeters!BG9)</f>
        <v>#REF!</v>
      </c>
      <c r="BR4" s="22" t="e">
        <f>IF(([1]Submeters!BH10-[1]Submeters!BH9)&lt;0,"0",[1]Submeters!BH10-[1]Submeters!BH9)</f>
        <v>#REF!</v>
      </c>
      <c r="BS4" s="22" t="e">
        <f>IF(([1]Submeters!BI10-[1]Submeters!BI9)&lt;0,"0",[1]Submeters!BI10-[1]Submeters!BI9)</f>
        <v>#REF!</v>
      </c>
      <c r="BT4" s="22" t="e">
        <f>IF(([1]Submeters!BJ10-[1]Submeters!BJ9)&lt;0,"0",[1]Submeters!BJ10-[1]Submeters!BJ9)</f>
        <v>#REF!</v>
      </c>
      <c r="BU4" s="22" t="e">
        <f>IF(([1]Submeters!BK10-[1]Submeters!BK9)&lt;0,"0",[1]Submeters!BK10-[1]Submeters!BK9)</f>
        <v>#REF!</v>
      </c>
      <c r="BV4" s="22" t="e">
        <f>IF(([1]Submeters!BL10-[1]Submeters!BL9)&lt;0,"0",[1]Submeters!BL10-[1]Submeters!BL9)</f>
        <v>#REF!</v>
      </c>
      <c r="BW4" s="22" t="e">
        <f>IF(([1]Submeters!BM10-[1]Submeters!BM9)&lt;0,"0",[1]Submeters!BM10-[1]Submeters!BM9)</f>
        <v>#REF!</v>
      </c>
      <c r="BX4" s="22" t="e">
        <f>IF(([1]Submeters!BN10-[1]Submeters!BN9)&lt;0,"0",[1]Submeters!BN10-[1]Submeters!BN9)</f>
        <v>#REF!</v>
      </c>
      <c r="BY4" s="22" t="e">
        <f>IF(([1]Submeters!BO10-[1]Submeters!BO9)&lt;0,"0",[1]Submeters!BO10-[1]Submeters!BO9)</f>
        <v>#REF!</v>
      </c>
      <c r="BZ4" s="22" t="e">
        <f>IF(([1]Submeters!BP10-[1]Submeters!BP9)&lt;0,"0",[1]Submeters!BP10-[1]Submeters!BP9)</f>
        <v>#REF!</v>
      </c>
      <c r="CA4" s="22" t="e">
        <f>IF(([1]Submeters!BQ10-[1]Submeters!BQ9)&lt;0,"0",[1]Submeters!BQ10-[1]Submeters!BQ9)</f>
        <v>#REF!</v>
      </c>
      <c r="CB4" s="22" t="e">
        <f>IF(([1]Submeters!BR10-[1]Submeters!BR9)&lt;0,"0",[1]Submeters!BR10-[1]Submeters!BR9)</f>
        <v>#REF!</v>
      </c>
      <c r="CC4" s="22" t="e">
        <f>IF(([1]Submeters!BS10-[1]Submeters!BS9)&lt;0,"0",[1]Submeters!BS10-[1]Submeters!BS9)</f>
        <v>#REF!</v>
      </c>
      <c r="CD4" s="22" t="e">
        <f>IF(([1]Submeters!BT10-[1]Submeters!BT9)&lt;0,"0",[1]Submeters!BT10-[1]Submeters!BT9)</f>
        <v>#REF!</v>
      </c>
      <c r="CE4" s="22" t="e">
        <f>IF(([1]Submeters!BU10-[1]Submeters!BU9)&lt;0,"0",[1]Submeters!BU10-[1]Submeters!BU9)</f>
        <v>#REF!</v>
      </c>
      <c r="CF4" s="22" t="e">
        <f>IF(([1]Submeters!BV10-[1]Submeters!BV9)&lt;0,"0",[1]Submeters!BV10-[1]Submeters!BV9)</f>
        <v>#REF!</v>
      </c>
      <c r="CG4" s="22" t="e">
        <f>IF(([1]Submeters!BW10-[1]Submeters!BW9)&lt;0,"0",[1]Submeters!BW10-[1]Submeters!BW9)</f>
        <v>#REF!</v>
      </c>
      <c r="CH4" s="22" t="e">
        <f>IF(([1]Submeters!BX10-[1]Submeters!BX9)&lt;0,"0",[1]Submeters!BX10-[1]Submeters!BX9)</f>
        <v>#REF!</v>
      </c>
      <c r="CI4" s="22" t="e">
        <f>IF(([1]Submeters!BY10-[1]Submeters!BY9)&lt;0,"0",[1]Submeters!BY10-[1]Submeters!BY9)</f>
        <v>#REF!</v>
      </c>
      <c r="CJ4" s="22" t="e">
        <f>IF(([1]Submeters!BZ10-[1]Submeters!BZ9)&lt;0,"0",[1]Submeters!BZ10-[1]Submeters!BZ9)</f>
        <v>#REF!</v>
      </c>
      <c r="CK4" s="22" t="e">
        <f>IF(([1]Submeters!CA10-[1]Submeters!CA9)&lt;0,"0",[1]Submeters!CA10-[1]Submeters!CA9)</f>
        <v>#REF!</v>
      </c>
      <c r="CL4" s="22" t="e">
        <f>IF(([1]Submeters!CB10-[1]Submeters!CB9)&lt;0,"0",[1]Submeters!CB10-[1]Submeters!CB9)</f>
        <v>#REF!</v>
      </c>
      <c r="CM4" s="22" t="e">
        <f>IF(([1]Submeters!CC10-[1]Submeters!CC9)&lt;0,"0",[1]Submeters!CC10-[1]Submeters!CC9)</f>
        <v>#REF!</v>
      </c>
      <c r="CN4" s="22" t="e">
        <f>IF(([1]Submeters!CD10-[1]Submeters!CD9)&lt;0,"0",[1]Submeters!CD10-[1]Submeters!CD9)</f>
        <v>#REF!</v>
      </c>
      <c r="CO4" s="22" t="e">
        <f>IF(([1]Submeters!CE10-[1]Submeters!CE9)&lt;0,"0",[1]Submeters!CE10-[1]Submeters!CE9)</f>
        <v>#REF!</v>
      </c>
    </row>
    <row r="5" spans="1:93" x14ac:dyDescent="0.25">
      <c r="A5" t="s">
        <v>11</v>
      </c>
      <c r="B5" s="10">
        <f t="shared" si="0"/>
        <v>4</v>
      </c>
      <c r="C5" s="10">
        <v>2</v>
      </c>
      <c r="D5" s="10">
        <v>2023</v>
      </c>
      <c r="E5" s="11">
        <f>Hotel!D12</f>
        <v>2725</v>
      </c>
      <c r="F5" s="11">
        <f>Hotel!F12</f>
        <v>2747</v>
      </c>
      <c r="G5" s="11">
        <f>Hotel!H12</f>
        <v>2533</v>
      </c>
      <c r="H5" s="11">
        <f>Hotel!N12</f>
        <v>166</v>
      </c>
      <c r="I5" s="11">
        <f>Hotel!P12</f>
        <v>2251</v>
      </c>
      <c r="J5" s="11">
        <f>Hotel!U12</f>
        <v>175</v>
      </c>
      <c r="K5" s="11">
        <f>Hotel!Y12</f>
        <v>48</v>
      </c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  <c r="AA5" s="22"/>
      <c r="AB5" s="22"/>
      <c r="AC5" s="22"/>
      <c r="AD5" s="22"/>
      <c r="AE5" s="22"/>
      <c r="AF5" s="22"/>
      <c r="AG5" s="22"/>
      <c r="AH5" s="22"/>
      <c r="AI5" s="22"/>
      <c r="AJ5" s="22"/>
      <c r="AK5" s="22"/>
      <c r="AL5" s="22"/>
      <c r="AM5" s="22"/>
      <c r="AN5" s="22"/>
      <c r="AO5" s="22"/>
      <c r="AP5" s="22"/>
      <c r="AQ5" s="22"/>
      <c r="AR5" s="22"/>
      <c r="AS5" s="22"/>
      <c r="AT5" s="22"/>
      <c r="AU5" s="22"/>
      <c r="AV5" s="22"/>
      <c r="AW5" s="22"/>
      <c r="AX5" s="22"/>
      <c r="AY5" s="22"/>
      <c r="AZ5" s="22"/>
      <c r="BA5" s="22"/>
      <c r="BB5" s="22"/>
      <c r="BC5" s="22"/>
      <c r="BD5" s="22"/>
      <c r="BE5" s="22"/>
      <c r="BF5" s="22"/>
      <c r="BG5" s="22"/>
      <c r="BH5" s="22"/>
      <c r="BI5" s="22">
        <f>IF(([1]Submeters!AY11-[1]Submeters!AY10)&lt;0,"0",[1]Submeters!AY11-[1]Submeters!AY10)</f>
        <v>264</v>
      </c>
      <c r="BJ5" s="22" t="e">
        <f>IF(([1]Submeters!AZ11-[1]Submeters!AZ10)&lt;0,"0",[1]Submeters!AZ11-[1]Submeters!AZ10)</f>
        <v>#REF!</v>
      </c>
      <c r="BK5" s="22" t="e">
        <f>IF(([1]Submeters!BA11-[1]Submeters!BA10)&lt;0,"0",[1]Submeters!BA11-[1]Submeters!BA10)</f>
        <v>#REF!</v>
      </c>
      <c r="BL5" s="22" t="e">
        <f>IF(([1]Submeters!BB11-[1]Submeters!BB10)&lt;0,"0",[1]Submeters!BB11-[1]Submeters!BB10)</f>
        <v>#REF!</v>
      </c>
      <c r="BM5" s="22" t="e">
        <f>IF(([1]Submeters!BC11-[1]Submeters!BC10)&lt;0,"0",[1]Submeters!BC11-[1]Submeters!BC10)</f>
        <v>#REF!</v>
      </c>
      <c r="BN5" s="22" t="e">
        <f>IF(([1]Submeters!BD11-[1]Submeters!BD10)&lt;0,"0",[1]Submeters!BD11-[1]Submeters!BD10)</f>
        <v>#REF!</v>
      </c>
      <c r="BO5" s="22" t="e">
        <f>IF(([1]Submeters!BE11-[1]Submeters!BE10)&lt;0,"0",[1]Submeters!BE11-[1]Submeters!BE10)</f>
        <v>#REF!</v>
      </c>
      <c r="BP5" s="22" t="e">
        <f>IF(([1]Submeters!BF11-[1]Submeters!BF10)&lt;0,"0",[1]Submeters!BF11-[1]Submeters!BF10)</f>
        <v>#REF!</v>
      </c>
      <c r="BQ5" s="22" t="e">
        <f>IF(([1]Submeters!BG11-[1]Submeters!BG10)&lt;0,"0",[1]Submeters!BG11-[1]Submeters!BG10)</f>
        <v>#REF!</v>
      </c>
      <c r="BR5" s="22" t="e">
        <f>IF(([1]Submeters!BH11-[1]Submeters!BH10)&lt;0,"0",[1]Submeters!BH11-[1]Submeters!BH10)</f>
        <v>#REF!</v>
      </c>
      <c r="BS5" s="22" t="e">
        <f>IF(([1]Submeters!BI11-[1]Submeters!BI10)&lt;0,"0",[1]Submeters!BI11-[1]Submeters!BI10)</f>
        <v>#REF!</v>
      </c>
      <c r="BT5" s="22" t="e">
        <f>IF(([1]Submeters!BJ11-[1]Submeters!BJ10)&lt;0,"0",[1]Submeters!BJ11-[1]Submeters!BJ10)</f>
        <v>#REF!</v>
      </c>
      <c r="BU5" s="22" t="e">
        <f>IF(([1]Submeters!BK11-[1]Submeters!BK10)&lt;0,"0",[1]Submeters!BK11-[1]Submeters!BK10)</f>
        <v>#REF!</v>
      </c>
      <c r="BV5" s="22" t="e">
        <f>IF(([1]Submeters!BL11-[1]Submeters!BL10)&lt;0,"0",[1]Submeters!BL11-[1]Submeters!BL10)</f>
        <v>#REF!</v>
      </c>
      <c r="BW5" s="22" t="e">
        <f>IF(([1]Submeters!BM11-[1]Submeters!BM10)&lt;0,"0",[1]Submeters!BM11-[1]Submeters!BM10)</f>
        <v>#REF!</v>
      </c>
      <c r="BX5" s="22" t="e">
        <f>IF(([1]Submeters!BN11-[1]Submeters!BN10)&lt;0,"0",[1]Submeters!BN11-[1]Submeters!BN10)</f>
        <v>#REF!</v>
      </c>
      <c r="BY5" s="22" t="e">
        <f>IF(([1]Submeters!BO11-[1]Submeters!BO10)&lt;0,"0",[1]Submeters!BO11-[1]Submeters!BO10)</f>
        <v>#REF!</v>
      </c>
      <c r="BZ5" s="22" t="e">
        <f>IF(([1]Submeters!BP11-[1]Submeters!BP10)&lt;0,"0",[1]Submeters!BP11-[1]Submeters!BP10)</f>
        <v>#REF!</v>
      </c>
      <c r="CA5" s="22" t="e">
        <f>IF(([1]Submeters!BQ11-[1]Submeters!BQ10)&lt;0,"0",[1]Submeters!BQ11-[1]Submeters!BQ10)</f>
        <v>#REF!</v>
      </c>
      <c r="CB5" s="22" t="e">
        <f>IF(([1]Submeters!BR11-[1]Submeters!BR10)&lt;0,"0",[1]Submeters!BR11-[1]Submeters!BR10)</f>
        <v>#REF!</v>
      </c>
      <c r="CC5" s="22" t="e">
        <f>IF(([1]Submeters!BS11-[1]Submeters!BS10)&lt;0,"0",[1]Submeters!BS11-[1]Submeters!BS10)</f>
        <v>#REF!</v>
      </c>
      <c r="CD5" s="22" t="e">
        <f>IF(([1]Submeters!BT11-[1]Submeters!BT10)&lt;0,"0",[1]Submeters!BT11-[1]Submeters!BT10)</f>
        <v>#REF!</v>
      </c>
      <c r="CE5" s="22" t="e">
        <f>IF(([1]Submeters!BU11-[1]Submeters!BU10)&lt;0,"0",[1]Submeters!BU11-[1]Submeters!BU10)</f>
        <v>#REF!</v>
      </c>
      <c r="CF5" s="22" t="e">
        <f>IF(([1]Submeters!BV11-[1]Submeters!BV10)&lt;0,"0",[1]Submeters!BV11-[1]Submeters!BV10)</f>
        <v>#REF!</v>
      </c>
      <c r="CG5" s="22" t="e">
        <f>IF(([1]Submeters!BW11-[1]Submeters!BW10)&lt;0,"0",[1]Submeters!BW11-[1]Submeters!BW10)</f>
        <v>#REF!</v>
      </c>
      <c r="CH5" s="22" t="e">
        <f>IF(([1]Submeters!BX11-[1]Submeters!BX10)&lt;0,"0",[1]Submeters!BX11-[1]Submeters!BX10)</f>
        <v>#REF!</v>
      </c>
      <c r="CI5" s="22" t="e">
        <f>IF(([1]Submeters!BY11-[1]Submeters!BY10)&lt;0,"0",[1]Submeters!BY11-[1]Submeters!BY10)</f>
        <v>#REF!</v>
      </c>
      <c r="CJ5" s="22" t="e">
        <f>IF(([1]Submeters!BZ11-[1]Submeters!BZ10)&lt;0,"0",[1]Submeters!BZ11-[1]Submeters!BZ10)</f>
        <v>#REF!</v>
      </c>
      <c r="CK5" s="22" t="e">
        <f>IF(([1]Submeters!CA11-[1]Submeters!CA10)&lt;0,"0",[1]Submeters!CA11-[1]Submeters!CA10)</f>
        <v>#REF!</v>
      </c>
      <c r="CL5" s="22" t="e">
        <f>IF(([1]Submeters!CB11-[1]Submeters!CB10)&lt;0,"0",[1]Submeters!CB11-[1]Submeters!CB10)</f>
        <v>#REF!</v>
      </c>
      <c r="CM5" s="22" t="e">
        <f>IF(([1]Submeters!CC11-[1]Submeters!CC10)&lt;0,"0",[1]Submeters!CC11-[1]Submeters!CC10)</f>
        <v>#REF!</v>
      </c>
      <c r="CN5" s="22" t="e">
        <f>IF(([1]Submeters!CD11-[1]Submeters!CD10)&lt;0,"0",[1]Submeters!CD11-[1]Submeters!CD10)</f>
        <v>#REF!</v>
      </c>
      <c r="CO5" s="22" t="e">
        <f>IF(([1]Submeters!CE11-[1]Submeters!CE10)&lt;0,"0",[1]Submeters!CE11-[1]Submeters!CE10)</f>
        <v>#REF!</v>
      </c>
    </row>
    <row r="6" spans="1:93" x14ac:dyDescent="0.25">
      <c r="A6" t="s">
        <v>11</v>
      </c>
      <c r="B6" s="10">
        <f t="shared" si="0"/>
        <v>5</v>
      </c>
      <c r="C6" s="10">
        <v>2</v>
      </c>
      <c r="D6" s="10">
        <v>2023</v>
      </c>
      <c r="E6" s="11">
        <f>Hotel!D13</f>
        <v>2619</v>
      </c>
      <c r="F6" s="11">
        <f>Hotel!F13</f>
        <v>2659</v>
      </c>
      <c r="G6" s="11">
        <f>Hotel!H13</f>
        <v>2443</v>
      </c>
      <c r="H6" s="11">
        <f>Hotel!N13</f>
        <v>157</v>
      </c>
      <c r="I6" s="11">
        <f>Hotel!P13</f>
        <v>2184</v>
      </c>
      <c r="J6" s="11">
        <f>Hotel!U13</f>
        <v>181</v>
      </c>
      <c r="K6" s="11">
        <f>Hotel!Y13</f>
        <v>42</v>
      </c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  <c r="AA6" s="22"/>
      <c r="AB6" s="22"/>
      <c r="AC6" s="22"/>
      <c r="AD6" s="22"/>
      <c r="AE6" s="22"/>
      <c r="AF6" s="22"/>
      <c r="AG6" s="22"/>
      <c r="AH6" s="22"/>
      <c r="AI6" s="22"/>
      <c r="AJ6" s="22"/>
      <c r="AK6" s="22"/>
      <c r="AL6" s="22"/>
      <c r="AM6" s="22"/>
      <c r="AN6" s="22"/>
      <c r="AO6" s="22"/>
      <c r="AP6" s="22"/>
      <c r="AQ6" s="22"/>
      <c r="AR6" s="22"/>
      <c r="AS6" s="22"/>
      <c r="AT6" s="22"/>
      <c r="AU6" s="22"/>
      <c r="AV6" s="22"/>
      <c r="AW6" s="22"/>
      <c r="AX6" s="22"/>
      <c r="AY6" s="22"/>
      <c r="AZ6" s="22"/>
      <c r="BA6" s="22"/>
      <c r="BB6" s="22"/>
      <c r="BC6" s="22"/>
      <c r="BD6" s="22"/>
      <c r="BE6" s="22"/>
      <c r="BF6" s="22"/>
      <c r="BG6" s="22"/>
      <c r="BH6" s="22"/>
      <c r="BI6" s="22">
        <f>IF(([1]Submeters!AY12-[1]Submeters!AY11)&lt;0,"0",[1]Submeters!AY12-[1]Submeters!AY11)</f>
        <v>349</v>
      </c>
      <c r="BJ6" s="22" t="e">
        <f>IF(([1]Submeters!AZ12-[1]Submeters!AZ11)&lt;0,"0",[1]Submeters!AZ12-[1]Submeters!AZ11)</f>
        <v>#REF!</v>
      </c>
      <c r="BK6" s="22" t="e">
        <f>IF(([1]Submeters!BA12-[1]Submeters!BA11)&lt;0,"0",[1]Submeters!BA12-[1]Submeters!BA11)</f>
        <v>#REF!</v>
      </c>
      <c r="BL6" s="22" t="e">
        <f>IF(([1]Submeters!BB12-[1]Submeters!BB11)&lt;0,"0",[1]Submeters!BB12-[1]Submeters!BB11)</f>
        <v>#REF!</v>
      </c>
      <c r="BM6" s="22" t="e">
        <f>IF(([1]Submeters!BC12-[1]Submeters!BC11)&lt;0,"0",[1]Submeters!BC12-[1]Submeters!BC11)</f>
        <v>#REF!</v>
      </c>
      <c r="BN6" s="22" t="e">
        <f>IF(([1]Submeters!BD12-[1]Submeters!BD11)&lt;0,"0",[1]Submeters!BD12-[1]Submeters!BD11)</f>
        <v>#REF!</v>
      </c>
      <c r="BO6" s="22" t="e">
        <f>IF(([1]Submeters!BE12-[1]Submeters!BE11)&lt;0,"0",[1]Submeters!BE12-[1]Submeters!BE11)</f>
        <v>#REF!</v>
      </c>
      <c r="BP6" s="22" t="e">
        <f>IF(([1]Submeters!BF12-[1]Submeters!BF11)&lt;0,"0",[1]Submeters!BF12-[1]Submeters!BF11)</f>
        <v>#REF!</v>
      </c>
      <c r="BQ6" s="22" t="e">
        <f>IF(([1]Submeters!BG12-[1]Submeters!BG11)&lt;0,"0",[1]Submeters!BG12-[1]Submeters!BG11)</f>
        <v>#REF!</v>
      </c>
      <c r="BR6" s="22" t="e">
        <f>IF(([1]Submeters!BH12-[1]Submeters!BH11)&lt;0,"0",[1]Submeters!BH12-[1]Submeters!BH11)</f>
        <v>#REF!</v>
      </c>
      <c r="BS6" s="22" t="e">
        <f>IF(([1]Submeters!BI12-[1]Submeters!BI11)&lt;0,"0",[1]Submeters!BI12-[1]Submeters!BI11)</f>
        <v>#REF!</v>
      </c>
      <c r="BT6" s="22" t="e">
        <f>IF(([1]Submeters!BJ12-[1]Submeters!BJ11)&lt;0,"0",[1]Submeters!BJ12-[1]Submeters!BJ11)</f>
        <v>#REF!</v>
      </c>
      <c r="BU6" s="22" t="e">
        <f>IF(([1]Submeters!BK12-[1]Submeters!BK11)&lt;0,"0",[1]Submeters!BK12-[1]Submeters!BK11)</f>
        <v>#REF!</v>
      </c>
      <c r="BV6" s="22" t="e">
        <f>IF(([1]Submeters!BL12-[1]Submeters!BL11)&lt;0,"0",[1]Submeters!BL12-[1]Submeters!BL11)</f>
        <v>#REF!</v>
      </c>
      <c r="BW6" s="22" t="e">
        <f>IF(([1]Submeters!BM12-[1]Submeters!BM11)&lt;0,"0",[1]Submeters!BM12-[1]Submeters!BM11)</f>
        <v>#REF!</v>
      </c>
      <c r="BX6" s="22" t="e">
        <f>IF(([1]Submeters!BN12-[1]Submeters!BN11)&lt;0,"0",[1]Submeters!BN12-[1]Submeters!BN11)</f>
        <v>#REF!</v>
      </c>
      <c r="BY6" s="22" t="e">
        <f>IF(([1]Submeters!BO12-[1]Submeters!BO11)&lt;0,"0",[1]Submeters!BO12-[1]Submeters!BO11)</f>
        <v>#REF!</v>
      </c>
      <c r="BZ6" s="22" t="e">
        <f>IF(([1]Submeters!BP12-[1]Submeters!BP11)&lt;0,"0",[1]Submeters!BP12-[1]Submeters!BP11)</f>
        <v>#REF!</v>
      </c>
      <c r="CA6" s="22" t="e">
        <f>IF(([1]Submeters!BQ12-[1]Submeters!BQ11)&lt;0,"0",[1]Submeters!BQ12-[1]Submeters!BQ11)</f>
        <v>#REF!</v>
      </c>
      <c r="CB6" s="22" t="e">
        <f>IF(([1]Submeters!BR12-[1]Submeters!BR11)&lt;0,"0",[1]Submeters!BR12-[1]Submeters!BR11)</f>
        <v>#REF!</v>
      </c>
      <c r="CC6" s="22" t="e">
        <f>IF(([1]Submeters!BS12-[1]Submeters!BS11)&lt;0,"0",[1]Submeters!BS12-[1]Submeters!BS11)</f>
        <v>#REF!</v>
      </c>
      <c r="CD6" s="22" t="e">
        <f>IF(([1]Submeters!BT12-[1]Submeters!BT11)&lt;0,"0",[1]Submeters!BT12-[1]Submeters!BT11)</f>
        <v>#REF!</v>
      </c>
      <c r="CE6" s="22" t="e">
        <f>IF(([1]Submeters!BU12-[1]Submeters!BU11)&lt;0,"0",[1]Submeters!BU12-[1]Submeters!BU11)</f>
        <v>#REF!</v>
      </c>
      <c r="CF6" s="22" t="e">
        <f>IF(([1]Submeters!BV12-[1]Submeters!BV11)&lt;0,"0",[1]Submeters!BV12-[1]Submeters!BV11)</f>
        <v>#REF!</v>
      </c>
      <c r="CG6" s="22" t="e">
        <f>IF(([1]Submeters!BW12-[1]Submeters!BW11)&lt;0,"0",[1]Submeters!BW12-[1]Submeters!BW11)</f>
        <v>#REF!</v>
      </c>
      <c r="CH6" s="22" t="e">
        <f>IF(([1]Submeters!BX12-[1]Submeters!BX11)&lt;0,"0",[1]Submeters!BX12-[1]Submeters!BX11)</f>
        <v>#REF!</v>
      </c>
      <c r="CI6" s="22" t="e">
        <f>IF(([1]Submeters!BY12-[1]Submeters!BY11)&lt;0,"0",[1]Submeters!BY12-[1]Submeters!BY11)</f>
        <v>#REF!</v>
      </c>
      <c r="CJ6" s="22" t="e">
        <f>IF(([1]Submeters!BZ12-[1]Submeters!BZ11)&lt;0,"0",[1]Submeters!BZ12-[1]Submeters!BZ11)</f>
        <v>#REF!</v>
      </c>
      <c r="CK6" s="22" t="e">
        <f>IF(([1]Submeters!CA12-[1]Submeters!CA11)&lt;0,"0",[1]Submeters!CA12-[1]Submeters!CA11)</f>
        <v>#REF!</v>
      </c>
      <c r="CL6" s="22" t="e">
        <f>IF(([1]Submeters!CB12-[1]Submeters!CB11)&lt;0,"0",[1]Submeters!CB12-[1]Submeters!CB11)</f>
        <v>#REF!</v>
      </c>
      <c r="CM6" s="22" t="e">
        <f>IF(([1]Submeters!CC12-[1]Submeters!CC11)&lt;0,"0",[1]Submeters!CC12-[1]Submeters!CC11)</f>
        <v>#REF!</v>
      </c>
      <c r="CN6" s="22" t="e">
        <f>IF(([1]Submeters!CD12-[1]Submeters!CD11)&lt;0,"0",[1]Submeters!CD12-[1]Submeters!CD11)</f>
        <v>#REF!</v>
      </c>
      <c r="CO6" s="22" t="e">
        <f>IF(([1]Submeters!CE12-[1]Submeters!CE11)&lt;0,"0",[1]Submeters!CE12-[1]Submeters!CE11)</f>
        <v>#REF!</v>
      </c>
    </row>
    <row r="7" spans="1:93" x14ac:dyDescent="0.25">
      <c r="A7" t="s">
        <v>11</v>
      </c>
      <c r="B7" s="10">
        <f t="shared" si="0"/>
        <v>6</v>
      </c>
      <c r="C7" s="10">
        <v>2</v>
      </c>
      <c r="D7" s="10">
        <v>2023</v>
      </c>
      <c r="E7" s="11">
        <f>Hotel!D14</f>
        <v>2675</v>
      </c>
      <c r="F7" s="11">
        <f>Hotel!F14</f>
        <v>2703</v>
      </c>
      <c r="G7" s="11">
        <f>Hotel!H14</f>
        <v>2539</v>
      </c>
      <c r="H7" s="11">
        <f>Hotel!N14</f>
        <v>94</v>
      </c>
      <c r="I7" s="11">
        <f>Hotel!P14</f>
        <v>2146</v>
      </c>
      <c r="J7" s="11">
        <f>Hotel!U14</f>
        <v>129</v>
      </c>
      <c r="K7" s="11">
        <f>Hotel!Y14</f>
        <v>44</v>
      </c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  <c r="AP7" s="22"/>
      <c r="AQ7" s="22"/>
      <c r="AR7" s="22"/>
      <c r="AS7" s="22"/>
      <c r="AT7" s="22"/>
      <c r="AU7" s="22"/>
      <c r="AV7" s="22"/>
      <c r="AW7" s="22"/>
      <c r="AX7" s="22"/>
      <c r="AY7" s="22"/>
      <c r="AZ7" s="22"/>
      <c r="BA7" s="22"/>
      <c r="BB7" s="22"/>
      <c r="BC7" s="22"/>
      <c r="BD7" s="22"/>
      <c r="BE7" s="22"/>
      <c r="BF7" s="22"/>
      <c r="BG7" s="22"/>
      <c r="BH7" s="22"/>
      <c r="BI7" s="22">
        <f>IF(([1]Submeters!AY13-[1]Submeters!AY12)&lt;0,"0",[1]Submeters!AY13-[1]Submeters!AY12)</f>
        <v>285</v>
      </c>
      <c r="BJ7" s="22" t="e">
        <f>IF(([1]Submeters!AZ13-[1]Submeters!AZ12)&lt;0,"0",[1]Submeters!AZ13-[1]Submeters!AZ12)</f>
        <v>#REF!</v>
      </c>
      <c r="BK7" s="22" t="e">
        <f>IF(([1]Submeters!BA13-[1]Submeters!BA12)&lt;0,"0",[1]Submeters!BA13-[1]Submeters!BA12)</f>
        <v>#REF!</v>
      </c>
      <c r="BL7" s="22" t="e">
        <f>IF(([1]Submeters!BB13-[1]Submeters!BB12)&lt;0,"0",[1]Submeters!BB13-[1]Submeters!BB12)</f>
        <v>#REF!</v>
      </c>
      <c r="BM7" s="22" t="e">
        <f>IF(([1]Submeters!BC13-[1]Submeters!BC12)&lt;0,"0",[1]Submeters!BC13-[1]Submeters!BC12)</f>
        <v>#REF!</v>
      </c>
      <c r="BN7" s="22" t="e">
        <f>IF(([1]Submeters!BD13-[1]Submeters!BD12)&lt;0,"0",[1]Submeters!BD13-[1]Submeters!BD12)</f>
        <v>#REF!</v>
      </c>
      <c r="BO7" s="22" t="e">
        <f>IF(([1]Submeters!BE13-[1]Submeters!BE12)&lt;0,"0",[1]Submeters!BE13-[1]Submeters!BE12)</f>
        <v>#REF!</v>
      </c>
      <c r="BP7" s="22" t="e">
        <f>IF(([1]Submeters!BF13-[1]Submeters!BF12)&lt;0,"0",[1]Submeters!BF13-[1]Submeters!BF12)</f>
        <v>#REF!</v>
      </c>
      <c r="BQ7" s="22" t="e">
        <f>IF(([1]Submeters!BG13-[1]Submeters!BG12)&lt;0,"0",[1]Submeters!BG13-[1]Submeters!BG12)</f>
        <v>#REF!</v>
      </c>
      <c r="BR7" s="22" t="e">
        <f>IF(([1]Submeters!BH13-[1]Submeters!BH12)&lt;0,"0",[1]Submeters!BH13-[1]Submeters!BH12)</f>
        <v>#REF!</v>
      </c>
      <c r="BS7" s="22" t="e">
        <f>IF(([1]Submeters!BI13-[1]Submeters!BI12)&lt;0,"0",[1]Submeters!BI13-[1]Submeters!BI12)</f>
        <v>#REF!</v>
      </c>
      <c r="BT7" s="22" t="e">
        <f>IF(([1]Submeters!BJ13-[1]Submeters!BJ12)&lt;0,"0",[1]Submeters!BJ13-[1]Submeters!BJ12)</f>
        <v>#REF!</v>
      </c>
      <c r="BU7" s="22" t="e">
        <f>IF(([1]Submeters!BK13-[1]Submeters!BK12)&lt;0,"0",[1]Submeters!BK13-[1]Submeters!BK12)</f>
        <v>#REF!</v>
      </c>
      <c r="BV7" s="22" t="e">
        <f>IF(([1]Submeters!BL13-[1]Submeters!BL12)&lt;0,"0",[1]Submeters!BL13-[1]Submeters!BL12)</f>
        <v>#REF!</v>
      </c>
      <c r="BW7" s="22" t="e">
        <f>IF(([1]Submeters!BM13-[1]Submeters!BM12)&lt;0,"0",[1]Submeters!BM13-[1]Submeters!BM12)</f>
        <v>#REF!</v>
      </c>
      <c r="BX7" s="22" t="e">
        <f>IF(([1]Submeters!BN13-[1]Submeters!BN12)&lt;0,"0",[1]Submeters!BN13-[1]Submeters!BN12)</f>
        <v>#REF!</v>
      </c>
      <c r="BY7" s="22" t="e">
        <f>IF(([1]Submeters!BO13-[1]Submeters!BO12)&lt;0,"0",[1]Submeters!BO13-[1]Submeters!BO12)</f>
        <v>#REF!</v>
      </c>
      <c r="BZ7" s="22" t="e">
        <f>IF(([1]Submeters!BP13-[1]Submeters!BP12)&lt;0,"0",[1]Submeters!BP13-[1]Submeters!BP12)</f>
        <v>#REF!</v>
      </c>
      <c r="CA7" s="22" t="e">
        <f>IF(([1]Submeters!BQ13-[1]Submeters!BQ12)&lt;0,"0",[1]Submeters!BQ13-[1]Submeters!BQ12)</f>
        <v>#REF!</v>
      </c>
      <c r="CB7" s="22" t="e">
        <f>IF(([1]Submeters!BR13-[1]Submeters!BR12)&lt;0,"0",[1]Submeters!BR13-[1]Submeters!BR12)</f>
        <v>#REF!</v>
      </c>
      <c r="CC7" s="22" t="e">
        <f>IF(([1]Submeters!BS13-[1]Submeters!BS12)&lt;0,"0",[1]Submeters!BS13-[1]Submeters!BS12)</f>
        <v>#REF!</v>
      </c>
      <c r="CD7" s="22" t="e">
        <f>IF(([1]Submeters!BT13-[1]Submeters!BT12)&lt;0,"0",[1]Submeters!BT13-[1]Submeters!BT12)</f>
        <v>#REF!</v>
      </c>
      <c r="CE7" s="22" t="e">
        <f>IF(([1]Submeters!BU13-[1]Submeters!BU12)&lt;0,"0",[1]Submeters!BU13-[1]Submeters!BU12)</f>
        <v>#REF!</v>
      </c>
      <c r="CF7" s="22" t="e">
        <f>IF(([1]Submeters!BV13-[1]Submeters!BV12)&lt;0,"0",[1]Submeters!BV13-[1]Submeters!BV12)</f>
        <v>#REF!</v>
      </c>
      <c r="CG7" s="22" t="e">
        <f>IF(([1]Submeters!BW13-[1]Submeters!BW12)&lt;0,"0",[1]Submeters!BW13-[1]Submeters!BW12)</f>
        <v>#REF!</v>
      </c>
      <c r="CH7" s="22" t="e">
        <f>IF(([1]Submeters!BX13-[1]Submeters!BX12)&lt;0,"0",[1]Submeters!BX13-[1]Submeters!BX12)</f>
        <v>#REF!</v>
      </c>
      <c r="CI7" s="22" t="e">
        <f>IF(([1]Submeters!BY13-[1]Submeters!BY12)&lt;0,"0",[1]Submeters!BY13-[1]Submeters!BY12)</f>
        <v>#REF!</v>
      </c>
      <c r="CJ7" s="22" t="e">
        <f>IF(([1]Submeters!BZ13-[1]Submeters!BZ12)&lt;0,"0",[1]Submeters!BZ13-[1]Submeters!BZ12)</f>
        <v>#REF!</v>
      </c>
      <c r="CK7" s="22" t="e">
        <f>IF(([1]Submeters!CA13-[1]Submeters!CA12)&lt;0,"0",[1]Submeters!CA13-[1]Submeters!CA12)</f>
        <v>#REF!</v>
      </c>
      <c r="CL7" s="22" t="e">
        <f>IF(([1]Submeters!CB13-[1]Submeters!CB12)&lt;0,"0",[1]Submeters!CB13-[1]Submeters!CB12)</f>
        <v>#REF!</v>
      </c>
      <c r="CM7" s="22" t="e">
        <f>IF(([1]Submeters!CC13-[1]Submeters!CC12)&lt;0,"0",[1]Submeters!CC13-[1]Submeters!CC12)</f>
        <v>#REF!</v>
      </c>
      <c r="CN7" s="22" t="e">
        <f>IF(([1]Submeters!CD13-[1]Submeters!CD12)&lt;0,"0",[1]Submeters!CD13-[1]Submeters!CD12)</f>
        <v>#REF!</v>
      </c>
      <c r="CO7" s="22" t="e">
        <f>IF(([1]Submeters!CE13-[1]Submeters!CE12)&lt;0,"0",[1]Submeters!CE13-[1]Submeters!CE12)</f>
        <v>#REF!</v>
      </c>
    </row>
    <row r="8" spans="1:93" x14ac:dyDescent="0.25">
      <c r="A8" t="s">
        <v>11</v>
      </c>
      <c r="B8" s="10">
        <f t="shared" si="0"/>
        <v>7</v>
      </c>
      <c r="C8" s="10">
        <v>2</v>
      </c>
      <c r="D8" s="10">
        <v>2023</v>
      </c>
      <c r="E8" s="11">
        <f>Hotel!D15</f>
        <v>2483</v>
      </c>
      <c r="F8" s="11">
        <f>Hotel!F15</f>
        <v>2536</v>
      </c>
      <c r="G8" s="11">
        <f>Hotel!H15</f>
        <v>2333</v>
      </c>
      <c r="H8" s="11">
        <f>Hotel!N15</f>
        <v>149</v>
      </c>
      <c r="I8" s="11">
        <f>Hotel!P15</f>
        <v>1817</v>
      </c>
      <c r="J8" s="11">
        <f>Hotel!U15</f>
        <v>93</v>
      </c>
      <c r="K8" s="11">
        <f>Hotel!Y15</f>
        <v>55</v>
      </c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  <c r="AB8" s="22"/>
      <c r="AC8" s="22"/>
      <c r="AD8" s="22"/>
      <c r="AE8" s="22"/>
      <c r="AF8" s="22"/>
      <c r="AG8" s="22"/>
      <c r="AH8" s="22"/>
      <c r="AI8" s="22"/>
      <c r="AJ8" s="22"/>
      <c r="AK8" s="22"/>
      <c r="AL8" s="22"/>
      <c r="AM8" s="22"/>
      <c r="AN8" s="22"/>
      <c r="AO8" s="22"/>
      <c r="AP8" s="22"/>
      <c r="AQ8" s="22"/>
      <c r="AR8" s="22"/>
      <c r="AS8" s="22"/>
      <c r="AT8" s="22"/>
      <c r="AU8" s="22"/>
      <c r="AV8" s="22"/>
      <c r="AW8" s="22"/>
      <c r="AX8" s="22"/>
      <c r="AY8" s="22"/>
      <c r="AZ8" s="22"/>
      <c r="BA8" s="22"/>
      <c r="BB8" s="22"/>
      <c r="BC8" s="22"/>
      <c r="BD8" s="22"/>
      <c r="BE8" s="22"/>
      <c r="BF8" s="22"/>
      <c r="BG8" s="22"/>
      <c r="BH8" s="22"/>
      <c r="BI8" s="22">
        <f>IF(([1]Submeters!AY14-[1]Submeters!AY13)&lt;0,"0",[1]Submeters!AY14-[1]Submeters!AY13)</f>
        <v>367</v>
      </c>
      <c r="BJ8" s="22" t="e">
        <f>IF(([1]Submeters!AZ14-[1]Submeters!AZ13)&lt;0,"0",[1]Submeters!AZ14-[1]Submeters!AZ13)</f>
        <v>#REF!</v>
      </c>
      <c r="BK8" s="22" t="e">
        <f>IF(([1]Submeters!BA14-[1]Submeters!BA13)&lt;0,"0",[1]Submeters!BA14-[1]Submeters!BA13)</f>
        <v>#REF!</v>
      </c>
      <c r="BL8" s="22" t="e">
        <f>IF(([1]Submeters!BB14-[1]Submeters!BB13)&lt;0,"0",[1]Submeters!BB14-[1]Submeters!BB13)</f>
        <v>#REF!</v>
      </c>
      <c r="BM8" s="22" t="e">
        <f>IF(([1]Submeters!BC14-[1]Submeters!BC13)&lt;0,"0",[1]Submeters!BC14-[1]Submeters!BC13)</f>
        <v>#REF!</v>
      </c>
      <c r="BN8" s="22" t="e">
        <f>IF(([1]Submeters!BD14-[1]Submeters!BD13)&lt;0,"0",[1]Submeters!BD14-[1]Submeters!BD13)</f>
        <v>#REF!</v>
      </c>
      <c r="BO8" s="22" t="e">
        <f>IF(([1]Submeters!BE14-[1]Submeters!BE13)&lt;0,"0",[1]Submeters!BE14-[1]Submeters!BE13)</f>
        <v>#REF!</v>
      </c>
      <c r="BP8" s="22" t="e">
        <f>IF(([1]Submeters!BF14-[1]Submeters!BF13)&lt;0,"0",[1]Submeters!BF14-[1]Submeters!BF13)</f>
        <v>#REF!</v>
      </c>
      <c r="BQ8" s="22" t="e">
        <f>IF(([1]Submeters!BG14-[1]Submeters!BG13)&lt;0,"0",[1]Submeters!BG14-[1]Submeters!BG13)</f>
        <v>#REF!</v>
      </c>
      <c r="BR8" s="22" t="e">
        <f>IF(([1]Submeters!BH14-[1]Submeters!BH13)&lt;0,"0",[1]Submeters!BH14-[1]Submeters!BH13)</f>
        <v>#REF!</v>
      </c>
      <c r="BS8" s="22" t="e">
        <f>IF(([1]Submeters!BI14-[1]Submeters!BI13)&lt;0,"0",[1]Submeters!BI14-[1]Submeters!BI13)</f>
        <v>#REF!</v>
      </c>
      <c r="BT8" s="22" t="e">
        <f>IF(([1]Submeters!BJ14-[1]Submeters!BJ13)&lt;0,"0",[1]Submeters!BJ14-[1]Submeters!BJ13)</f>
        <v>#REF!</v>
      </c>
      <c r="BU8" s="22" t="e">
        <f>IF(([1]Submeters!BK14-[1]Submeters!BK13)&lt;0,"0",[1]Submeters!BK14-[1]Submeters!BK13)</f>
        <v>#REF!</v>
      </c>
      <c r="BV8" s="22" t="e">
        <f>IF(([1]Submeters!BL14-[1]Submeters!BL13)&lt;0,"0",[1]Submeters!BL14-[1]Submeters!BL13)</f>
        <v>#REF!</v>
      </c>
      <c r="BW8" s="22" t="e">
        <f>IF(([1]Submeters!BM14-[1]Submeters!BM13)&lt;0,"0",[1]Submeters!BM14-[1]Submeters!BM13)</f>
        <v>#REF!</v>
      </c>
      <c r="BX8" s="22" t="e">
        <f>IF(([1]Submeters!BN14-[1]Submeters!BN13)&lt;0,"0",[1]Submeters!BN14-[1]Submeters!BN13)</f>
        <v>#REF!</v>
      </c>
      <c r="BY8" s="22" t="e">
        <f>IF(([1]Submeters!BO14-[1]Submeters!BO13)&lt;0,"0",[1]Submeters!BO14-[1]Submeters!BO13)</f>
        <v>#REF!</v>
      </c>
      <c r="BZ8" s="22" t="e">
        <f>IF(([1]Submeters!BP14-[1]Submeters!BP13)&lt;0,"0",[1]Submeters!BP14-[1]Submeters!BP13)</f>
        <v>#REF!</v>
      </c>
      <c r="CA8" s="22" t="e">
        <f>IF(([1]Submeters!BQ14-[1]Submeters!BQ13)&lt;0,"0",[1]Submeters!BQ14-[1]Submeters!BQ13)</f>
        <v>#REF!</v>
      </c>
      <c r="CB8" s="22" t="e">
        <f>IF(([1]Submeters!BR14-[1]Submeters!BR13)&lt;0,"0",[1]Submeters!BR14-[1]Submeters!BR13)</f>
        <v>#REF!</v>
      </c>
      <c r="CC8" s="22" t="e">
        <f>IF(([1]Submeters!BS14-[1]Submeters!BS13)&lt;0,"0",[1]Submeters!BS14-[1]Submeters!BS13)</f>
        <v>#REF!</v>
      </c>
      <c r="CD8" s="22" t="e">
        <f>IF(([1]Submeters!BT14-[1]Submeters!BT13)&lt;0,"0",[1]Submeters!BT14-[1]Submeters!BT13)</f>
        <v>#REF!</v>
      </c>
      <c r="CE8" s="22" t="e">
        <f>IF(([1]Submeters!BU14-[1]Submeters!BU13)&lt;0,"0",[1]Submeters!BU14-[1]Submeters!BU13)</f>
        <v>#REF!</v>
      </c>
      <c r="CF8" s="22" t="e">
        <f>IF(([1]Submeters!BV14-[1]Submeters!BV13)&lt;0,"0",[1]Submeters!BV14-[1]Submeters!BV13)</f>
        <v>#REF!</v>
      </c>
      <c r="CG8" s="22" t="e">
        <f>IF(([1]Submeters!BW14-[1]Submeters!BW13)&lt;0,"0",[1]Submeters!BW14-[1]Submeters!BW13)</f>
        <v>#REF!</v>
      </c>
      <c r="CH8" s="22" t="e">
        <f>IF(([1]Submeters!BX14-[1]Submeters!BX13)&lt;0,"0",[1]Submeters!BX14-[1]Submeters!BX13)</f>
        <v>#REF!</v>
      </c>
      <c r="CI8" s="22" t="e">
        <f>IF(([1]Submeters!BY14-[1]Submeters!BY13)&lt;0,"0",[1]Submeters!BY14-[1]Submeters!BY13)</f>
        <v>#REF!</v>
      </c>
      <c r="CJ8" s="22" t="e">
        <f>IF(([1]Submeters!BZ14-[1]Submeters!BZ13)&lt;0,"0",[1]Submeters!BZ14-[1]Submeters!BZ13)</f>
        <v>#REF!</v>
      </c>
      <c r="CK8" s="22" t="e">
        <f>IF(([1]Submeters!CA14-[1]Submeters!CA13)&lt;0,"0",[1]Submeters!CA14-[1]Submeters!CA13)</f>
        <v>#REF!</v>
      </c>
      <c r="CL8" s="22" t="e">
        <f>IF(([1]Submeters!CB14-[1]Submeters!CB13)&lt;0,"0",[1]Submeters!CB14-[1]Submeters!CB13)</f>
        <v>#REF!</v>
      </c>
      <c r="CM8" s="22" t="e">
        <f>IF(([1]Submeters!CC14-[1]Submeters!CC13)&lt;0,"0",[1]Submeters!CC14-[1]Submeters!CC13)</f>
        <v>#REF!</v>
      </c>
      <c r="CN8" s="22" t="e">
        <f>IF(([1]Submeters!CD14-[1]Submeters!CD13)&lt;0,"0",[1]Submeters!CD14-[1]Submeters!CD13)</f>
        <v>#REF!</v>
      </c>
      <c r="CO8" s="22" t="e">
        <f>IF(([1]Submeters!CE14-[1]Submeters!CE13)&lt;0,"0",[1]Submeters!CE14-[1]Submeters!CE13)</f>
        <v>#REF!</v>
      </c>
    </row>
    <row r="9" spans="1:93" x14ac:dyDescent="0.25">
      <c r="A9" t="s">
        <v>11</v>
      </c>
      <c r="B9" s="10">
        <f t="shared" si="0"/>
        <v>8</v>
      </c>
      <c r="C9" s="10">
        <v>2</v>
      </c>
      <c r="D9" s="10">
        <v>2023</v>
      </c>
      <c r="E9" s="11">
        <f>Hotel!D16</f>
        <v>2447</v>
      </c>
      <c r="F9" s="11">
        <f>Hotel!F16</f>
        <v>2487</v>
      </c>
      <c r="G9" s="11">
        <f>Hotel!H16</f>
        <v>2274</v>
      </c>
      <c r="H9" s="11">
        <f>Hotel!N16</f>
        <v>154</v>
      </c>
      <c r="I9" s="11">
        <f>Hotel!P16</f>
        <v>1819</v>
      </c>
      <c r="J9" s="11">
        <f>Hotel!U16</f>
        <v>172</v>
      </c>
      <c r="K9" s="11">
        <f>Hotel!Y16</f>
        <v>65</v>
      </c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  <c r="AA9" s="22"/>
      <c r="AB9" s="22"/>
      <c r="AC9" s="22"/>
      <c r="AD9" s="22"/>
      <c r="AE9" s="22"/>
      <c r="AF9" s="22"/>
      <c r="AG9" s="22"/>
      <c r="AH9" s="22"/>
      <c r="AI9" s="22"/>
      <c r="AJ9" s="22"/>
      <c r="AK9" s="22"/>
      <c r="AL9" s="22"/>
      <c r="AM9" s="22"/>
      <c r="AN9" s="22"/>
      <c r="AO9" s="22"/>
      <c r="AP9" s="22"/>
      <c r="AQ9" s="22"/>
      <c r="AR9" s="22"/>
      <c r="AS9" s="22"/>
      <c r="AT9" s="22"/>
      <c r="AU9" s="22"/>
      <c r="AV9" s="22"/>
      <c r="AW9" s="22"/>
      <c r="AX9" s="22"/>
      <c r="AY9" s="22"/>
      <c r="AZ9" s="22"/>
      <c r="BA9" s="22"/>
      <c r="BB9" s="22"/>
      <c r="BC9" s="22"/>
      <c r="BD9" s="22"/>
      <c r="BE9" s="22"/>
      <c r="BF9" s="22"/>
      <c r="BG9" s="22"/>
      <c r="BH9" s="22"/>
      <c r="BI9" s="22">
        <f>IF(([1]Submeters!AY15-[1]Submeters!AY14)&lt;0,"0",[1]Submeters!AY15-[1]Submeters!AY14)</f>
        <v>196</v>
      </c>
      <c r="BJ9" s="22" t="e">
        <f>IF(([1]Submeters!AZ15-[1]Submeters!AZ14)&lt;0,"0",[1]Submeters!AZ15-[1]Submeters!AZ14)</f>
        <v>#REF!</v>
      </c>
      <c r="BK9" s="22" t="e">
        <f>IF(([1]Submeters!BA15-[1]Submeters!BA14)&lt;0,"0",[1]Submeters!BA15-[1]Submeters!BA14)</f>
        <v>#REF!</v>
      </c>
      <c r="BL9" s="22" t="e">
        <f>IF(([1]Submeters!BB15-[1]Submeters!BB14)&lt;0,"0",[1]Submeters!BB15-[1]Submeters!BB14)</f>
        <v>#REF!</v>
      </c>
      <c r="BM9" s="22" t="e">
        <f>IF(([1]Submeters!BC15-[1]Submeters!BC14)&lt;0,"0",[1]Submeters!BC15-[1]Submeters!BC14)</f>
        <v>#REF!</v>
      </c>
      <c r="BN9" s="22" t="e">
        <f>IF(([1]Submeters!BD15-[1]Submeters!BD14)&lt;0,"0",[1]Submeters!BD15-[1]Submeters!BD14)</f>
        <v>#REF!</v>
      </c>
      <c r="BO9" s="22" t="e">
        <f>IF(([1]Submeters!BE15-[1]Submeters!BE14)&lt;0,"0",[1]Submeters!BE15-[1]Submeters!BE14)</f>
        <v>#REF!</v>
      </c>
      <c r="BP9" s="22" t="e">
        <f>IF(([1]Submeters!BF15-[1]Submeters!BF14)&lt;0,"0",[1]Submeters!BF15-[1]Submeters!BF14)</f>
        <v>#REF!</v>
      </c>
      <c r="BQ9" s="22" t="e">
        <f>IF(([1]Submeters!BG15-[1]Submeters!BG14)&lt;0,"0",[1]Submeters!BG15-[1]Submeters!BG14)</f>
        <v>#REF!</v>
      </c>
      <c r="BR9" s="22" t="e">
        <f>IF(([1]Submeters!BH15-[1]Submeters!BH14)&lt;0,"0",[1]Submeters!BH15-[1]Submeters!BH14)</f>
        <v>#REF!</v>
      </c>
      <c r="BS9" s="22" t="e">
        <f>IF(([1]Submeters!BI15-[1]Submeters!BI14)&lt;0,"0",[1]Submeters!BI15-[1]Submeters!BI14)</f>
        <v>#REF!</v>
      </c>
      <c r="BT9" s="22" t="e">
        <f>IF(([1]Submeters!BJ15-[1]Submeters!BJ14)&lt;0,"0",[1]Submeters!BJ15-[1]Submeters!BJ14)</f>
        <v>#REF!</v>
      </c>
      <c r="BU9" s="22" t="e">
        <f>IF(([1]Submeters!BK15-[1]Submeters!BK14)&lt;0,"0",[1]Submeters!BK15-[1]Submeters!BK14)</f>
        <v>#REF!</v>
      </c>
      <c r="BV9" s="22" t="e">
        <f>IF(([1]Submeters!BL15-[1]Submeters!BL14)&lt;0,"0",[1]Submeters!BL15-[1]Submeters!BL14)</f>
        <v>#REF!</v>
      </c>
      <c r="BW9" s="22" t="e">
        <f>IF(([1]Submeters!BM15-[1]Submeters!BM14)&lt;0,"0",[1]Submeters!BM15-[1]Submeters!BM14)</f>
        <v>#REF!</v>
      </c>
      <c r="BX9" s="22" t="e">
        <f>IF(([1]Submeters!BN15-[1]Submeters!BN14)&lt;0,"0",[1]Submeters!BN15-[1]Submeters!BN14)</f>
        <v>#REF!</v>
      </c>
      <c r="BY9" s="22" t="e">
        <f>IF(([1]Submeters!BO15-[1]Submeters!BO14)&lt;0,"0",[1]Submeters!BO15-[1]Submeters!BO14)</f>
        <v>#REF!</v>
      </c>
      <c r="BZ9" s="22" t="e">
        <f>IF(([1]Submeters!BP15-[1]Submeters!BP14)&lt;0,"0",[1]Submeters!BP15-[1]Submeters!BP14)</f>
        <v>#REF!</v>
      </c>
      <c r="CA9" s="22" t="e">
        <f>IF(([1]Submeters!BQ15-[1]Submeters!BQ14)&lt;0,"0",[1]Submeters!BQ15-[1]Submeters!BQ14)</f>
        <v>#REF!</v>
      </c>
      <c r="CB9" s="22" t="e">
        <f>IF(([1]Submeters!BR15-[1]Submeters!BR14)&lt;0,"0",[1]Submeters!BR15-[1]Submeters!BR14)</f>
        <v>#REF!</v>
      </c>
      <c r="CC9" s="22" t="e">
        <f>IF(([1]Submeters!BS15-[1]Submeters!BS14)&lt;0,"0",[1]Submeters!BS15-[1]Submeters!BS14)</f>
        <v>#REF!</v>
      </c>
      <c r="CD9" s="22" t="e">
        <f>IF(([1]Submeters!BT15-[1]Submeters!BT14)&lt;0,"0",[1]Submeters!BT15-[1]Submeters!BT14)</f>
        <v>#REF!</v>
      </c>
      <c r="CE9" s="22" t="e">
        <f>IF(([1]Submeters!BU15-[1]Submeters!BU14)&lt;0,"0",[1]Submeters!BU15-[1]Submeters!BU14)</f>
        <v>#REF!</v>
      </c>
      <c r="CF9" s="22" t="e">
        <f>IF(([1]Submeters!BV15-[1]Submeters!BV14)&lt;0,"0",[1]Submeters!BV15-[1]Submeters!BV14)</f>
        <v>#REF!</v>
      </c>
      <c r="CG9" s="22" t="e">
        <f>IF(([1]Submeters!BW15-[1]Submeters!BW14)&lt;0,"0",[1]Submeters!BW15-[1]Submeters!BW14)</f>
        <v>#REF!</v>
      </c>
      <c r="CH9" s="22" t="e">
        <f>IF(([1]Submeters!BX15-[1]Submeters!BX14)&lt;0,"0",[1]Submeters!BX15-[1]Submeters!BX14)</f>
        <v>#REF!</v>
      </c>
      <c r="CI9" s="22" t="e">
        <f>IF(([1]Submeters!BY15-[1]Submeters!BY14)&lt;0,"0",[1]Submeters!BY15-[1]Submeters!BY14)</f>
        <v>#REF!</v>
      </c>
      <c r="CJ9" s="22" t="e">
        <f>IF(([1]Submeters!BZ15-[1]Submeters!BZ14)&lt;0,"0",[1]Submeters!BZ15-[1]Submeters!BZ14)</f>
        <v>#REF!</v>
      </c>
      <c r="CK9" s="22" t="e">
        <f>IF(([1]Submeters!CA15-[1]Submeters!CA14)&lt;0,"0",[1]Submeters!CA15-[1]Submeters!CA14)</f>
        <v>#REF!</v>
      </c>
      <c r="CL9" s="22" t="e">
        <f>IF(([1]Submeters!CB15-[1]Submeters!CB14)&lt;0,"0",[1]Submeters!CB15-[1]Submeters!CB14)</f>
        <v>#REF!</v>
      </c>
      <c r="CM9" s="22" t="e">
        <f>IF(([1]Submeters!CC15-[1]Submeters!CC14)&lt;0,"0",[1]Submeters!CC15-[1]Submeters!CC14)</f>
        <v>#REF!</v>
      </c>
      <c r="CN9" s="22" t="e">
        <f>IF(([1]Submeters!CD15-[1]Submeters!CD14)&lt;0,"0",[1]Submeters!CD15-[1]Submeters!CD14)</f>
        <v>#REF!</v>
      </c>
      <c r="CO9" s="22" t="e">
        <f>IF(([1]Submeters!CE15-[1]Submeters!CE14)&lt;0,"0",[1]Submeters!CE15-[1]Submeters!CE14)</f>
        <v>#REF!</v>
      </c>
    </row>
    <row r="10" spans="1:93" x14ac:dyDescent="0.25">
      <c r="A10" t="s">
        <v>11</v>
      </c>
      <c r="B10" s="10">
        <f t="shared" si="0"/>
        <v>9</v>
      </c>
      <c r="C10" s="10">
        <v>2</v>
      </c>
      <c r="D10" s="10">
        <v>2023</v>
      </c>
      <c r="E10" s="11">
        <f>Hotel!D17</f>
        <v>2744</v>
      </c>
      <c r="F10" s="11">
        <f>Hotel!F17</f>
        <v>2801</v>
      </c>
      <c r="G10" s="11">
        <f>Hotel!H17</f>
        <v>2583</v>
      </c>
      <c r="H10" s="11">
        <f>Hotel!N17</f>
        <v>153</v>
      </c>
      <c r="I10" s="11">
        <f>Hotel!P17</f>
        <v>2367</v>
      </c>
      <c r="J10" s="11">
        <f>Hotel!U17</f>
        <v>128</v>
      </c>
      <c r="K10" s="11">
        <f>Hotel!Y17</f>
        <v>59</v>
      </c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  <c r="AA10" s="22"/>
      <c r="AB10" s="22"/>
      <c r="AC10" s="22"/>
      <c r="AD10" s="22"/>
      <c r="AE10" s="22"/>
      <c r="AF10" s="22"/>
      <c r="AG10" s="22"/>
      <c r="AH10" s="22"/>
      <c r="AI10" s="22"/>
      <c r="AJ10" s="22"/>
      <c r="AK10" s="22"/>
      <c r="AL10" s="22"/>
      <c r="AM10" s="22"/>
      <c r="AN10" s="22"/>
      <c r="AO10" s="22"/>
      <c r="AP10" s="22"/>
      <c r="AQ10" s="22"/>
      <c r="AR10" s="22"/>
      <c r="AS10" s="22"/>
      <c r="AT10" s="22"/>
      <c r="AU10" s="22"/>
      <c r="AV10" s="22"/>
      <c r="AW10" s="22"/>
      <c r="AX10" s="22"/>
      <c r="AY10" s="22"/>
      <c r="AZ10" s="22"/>
      <c r="BA10" s="22"/>
      <c r="BB10" s="22"/>
      <c r="BC10" s="22"/>
      <c r="BD10" s="22"/>
      <c r="BE10" s="22"/>
      <c r="BF10" s="22"/>
      <c r="BG10" s="22"/>
      <c r="BH10" s="22"/>
      <c r="BI10" s="22">
        <f>IF(([1]Submeters!AY16-[1]Submeters!AY15)&lt;0,"0",[1]Submeters!AY16-[1]Submeters!AY15)</f>
        <v>226</v>
      </c>
      <c r="BJ10" s="22" t="e">
        <f>IF(([1]Submeters!AZ16-[1]Submeters!AZ15)&lt;0,"0",[1]Submeters!AZ16-[1]Submeters!AZ15)</f>
        <v>#REF!</v>
      </c>
      <c r="BK10" s="22" t="e">
        <f>IF(([1]Submeters!BA16-[1]Submeters!BA15)&lt;0,"0",[1]Submeters!BA16-[1]Submeters!BA15)</f>
        <v>#REF!</v>
      </c>
      <c r="BL10" s="22" t="e">
        <f>IF(([1]Submeters!BB16-[1]Submeters!BB15)&lt;0,"0",[1]Submeters!BB16-[1]Submeters!BB15)</f>
        <v>#REF!</v>
      </c>
      <c r="BM10" s="22" t="e">
        <f>IF(([1]Submeters!BC16-[1]Submeters!BC15)&lt;0,"0",[1]Submeters!BC16-[1]Submeters!BC15)</f>
        <v>#REF!</v>
      </c>
      <c r="BN10" s="22" t="e">
        <f>IF(([1]Submeters!BD16-[1]Submeters!BD15)&lt;0,"0",[1]Submeters!BD16-[1]Submeters!BD15)</f>
        <v>#REF!</v>
      </c>
      <c r="BO10" s="22" t="e">
        <f>IF(([1]Submeters!BE16-[1]Submeters!BE15)&lt;0,"0",[1]Submeters!BE16-[1]Submeters!BE15)</f>
        <v>#REF!</v>
      </c>
      <c r="BP10" s="22" t="e">
        <f>IF(([1]Submeters!BF16-[1]Submeters!BF15)&lt;0,"0",[1]Submeters!BF16-[1]Submeters!BF15)</f>
        <v>#REF!</v>
      </c>
      <c r="BQ10" s="22" t="e">
        <f>IF(([1]Submeters!BG16-[1]Submeters!BG15)&lt;0,"0",[1]Submeters!BG16-[1]Submeters!BG15)</f>
        <v>#REF!</v>
      </c>
      <c r="BR10" s="22" t="e">
        <f>IF(([1]Submeters!BH16-[1]Submeters!BH15)&lt;0,"0",[1]Submeters!BH16-[1]Submeters!BH15)</f>
        <v>#REF!</v>
      </c>
      <c r="BS10" s="22" t="e">
        <f>IF(([1]Submeters!BI16-[1]Submeters!BI15)&lt;0,"0",[1]Submeters!BI16-[1]Submeters!BI15)</f>
        <v>#REF!</v>
      </c>
      <c r="BT10" s="22" t="e">
        <f>IF(([1]Submeters!BJ16-[1]Submeters!BJ15)&lt;0,"0",[1]Submeters!BJ16-[1]Submeters!BJ15)</f>
        <v>#REF!</v>
      </c>
      <c r="BU10" s="22" t="e">
        <f>IF(([1]Submeters!BK16-[1]Submeters!BK15)&lt;0,"0",[1]Submeters!BK16-[1]Submeters!BK15)</f>
        <v>#REF!</v>
      </c>
      <c r="BV10" s="22" t="e">
        <f>IF(([1]Submeters!BL16-[1]Submeters!BL15)&lt;0,"0",[1]Submeters!BL16-[1]Submeters!BL15)</f>
        <v>#REF!</v>
      </c>
      <c r="BW10" s="22" t="e">
        <f>IF(([1]Submeters!BM16-[1]Submeters!BM15)&lt;0,"0",[1]Submeters!BM16-[1]Submeters!BM15)</f>
        <v>#REF!</v>
      </c>
      <c r="BX10" s="22" t="e">
        <f>IF(([1]Submeters!BN16-[1]Submeters!BN15)&lt;0,"0",[1]Submeters!BN16-[1]Submeters!BN15)</f>
        <v>#REF!</v>
      </c>
      <c r="BY10" s="22" t="e">
        <f>IF(([1]Submeters!BO16-[1]Submeters!BO15)&lt;0,"0",[1]Submeters!BO16-[1]Submeters!BO15)</f>
        <v>#REF!</v>
      </c>
      <c r="BZ10" s="22" t="e">
        <f>IF(([1]Submeters!BP16-[1]Submeters!BP15)&lt;0,"0",[1]Submeters!BP16-[1]Submeters!BP15)</f>
        <v>#REF!</v>
      </c>
      <c r="CA10" s="22" t="e">
        <f>IF(([1]Submeters!BQ16-[1]Submeters!BQ15)&lt;0,"0",[1]Submeters!BQ16-[1]Submeters!BQ15)</f>
        <v>#REF!</v>
      </c>
      <c r="CB10" s="22" t="e">
        <f>IF(([1]Submeters!BR16-[1]Submeters!BR15)&lt;0,"0",[1]Submeters!BR16-[1]Submeters!BR15)</f>
        <v>#REF!</v>
      </c>
      <c r="CC10" s="22" t="e">
        <f>IF(([1]Submeters!BS16-[1]Submeters!BS15)&lt;0,"0",[1]Submeters!BS16-[1]Submeters!BS15)</f>
        <v>#REF!</v>
      </c>
      <c r="CD10" s="22" t="e">
        <f>IF(([1]Submeters!BT16-[1]Submeters!BT15)&lt;0,"0",[1]Submeters!BT16-[1]Submeters!BT15)</f>
        <v>#REF!</v>
      </c>
      <c r="CE10" s="22" t="e">
        <f>IF(([1]Submeters!BU16-[1]Submeters!BU15)&lt;0,"0",[1]Submeters!BU16-[1]Submeters!BU15)</f>
        <v>#REF!</v>
      </c>
      <c r="CF10" s="22" t="e">
        <f>IF(([1]Submeters!BV16-[1]Submeters!BV15)&lt;0,"0",[1]Submeters!BV16-[1]Submeters!BV15)</f>
        <v>#REF!</v>
      </c>
      <c r="CG10" s="22" t="e">
        <f>IF(([1]Submeters!BW16-[1]Submeters!BW15)&lt;0,"0",[1]Submeters!BW16-[1]Submeters!BW15)</f>
        <v>#REF!</v>
      </c>
      <c r="CH10" s="22" t="e">
        <f>IF(([1]Submeters!BX16-[1]Submeters!BX15)&lt;0,"0",[1]Submeters!BX16-[1]Submeters!BX15)</f>
        <v>#REF!</v>
      </c>
      <c r="CI10" s="22" t="e">
        <f>IF(([1]Submeters!BY16-[1]Submeters!BY15)&lt;0,"0",[1]Submeters!BY16-[1]Submeters!BY15)</f>
        <v>#REF!</v>
      </c>
      <c r="CJ10" s="22" t="e">
        <f>IF(([1]Submeters!BZ16-[1]Submeters!BZ15)&lt;0,"0",[1]Submeters!BZ16-[1]Submeters!BZ15)</f>
        <v>#REF!</v>
      </c>
      <c r="CK10" s="22" t="e">
        <f>IF(([1]Submeters!CA16-[1]Submeters!CA15)&lt;0,"0",[1]Submeters!CA16-[1]Submeters!CA15)</f>
        <v>#REF!</v>
      </c>
      <c r="CL10" s="22" t="e">
        <f>IF(([1]Submeters!CB16-[1]Submeters!CB15)&lt;0,"0",[1]Submeters!CB16-[1]Submeters!CB15)</f>
        <v>#REF!</v>
      </c>
      <c r="CM10" s="22" t="e">
        <f>IF(([1]Submeters!CC16-[1]Submeters!CC15)&lt;0,"0",[1]Submeters!CC16-[1]Submeters!CC15)</f>
        <v>#REF!</v>
      </c>
      <c r="CN10" s="22" t="e">
        <f>IF(([1]Submeters!CD16-[1]Submeters!CD15)&lt;0,"0",[1]Submeters!CD16-[1]Submeters!CD15)</f>
        <v>#REF!</v>
      </c>
      <c r="CO10" s="22" t="e">
        <f>IF(([1]Submeters!CE16-[1]Submeters!CE15)&lt;0,"0",[1]Submeters!CE16-[1]Submeters!CE15)</f>
        <v>#REF!</v>
      </c>
    </row>
    <row r="11" spans="1:93" x14ac:dyDescent="0.25">
      <c r="A11" t="s">
        <v>11</v>
      </c>
      <c r="B11" s="10">
        <f t="shared" si="0"/>
        <v>10</v>
      </c>
      <c r="C11" s="10">
        <v>2</v>
      </c>
      <c r="D11" s="10">
        <v>2023</v>
      </c>
      <c r="E11" s="11">
        <f>Hotel!D18</f>
        <v>2561</v>
      </c>
      <c r="F11" s="11">
        <f>Hotel!F18</f>
        <v>2614</v>
      </c>
      <c r="G11" s="11">
        <f>Hotel!H18</f>
        <v>2413</v>
      </c>
      <c r="H11" s="11">
        <f>Hotel!N18</f>
        <v>168</v>
      </c>
      <c r="I11" s="11">
        <f>Hotel!P18</f>
        <v>2055</v>
      </c>
      <c r="J11" s="11">
        <f>Hotel!U18</f>
        <v>146</v>
      </c>
      <c r="K11" s="11">
        <f>Hotel!Y18</f>
        <v>67</v>
      </c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  <c r="AG11" s="22"/>
      <c r="AH11" s="22"/>
      <c r="AI11" s="22"/>
      <c r="AJ11" s="22"/>
      <c r="AK11" s="22"/>
      <c r="AL11" s="22"/>
      <c r="AM11" s="22"/>
      <c r="AN11" s="22"/>
      <c r="AO11" s="22"/>
      <c r="AP11" s="22"/>
      <c r="AQ11" s="22"/>
      <c r="AR11" s="22"/>
      <c r="AS11" s="22"/>
      <c r="AT11" s="22"/>
      <c r="AU11" s="22"/>
      <c r="AV11" s="22"/>
      <c r="AW11" s="22"/>
      <c r="AX11" s="22"/>
      <c r="AY11" s="22"/>
      <c r="AZ11" s="22"/>
      <c r="BA11" s="22"/>
      <c r="BB11" s="22"/>
      <c r="BC11" s="22"/>
      <c r="BD11" s="22"/>
      <c r="BE11" s="22"/>
      <c r="BF11" s="22"/>
      <c r="BG11" s="22"/>
      <c r="BH11" s="22"/>
      <c r="BI11" s="22">
        <f>IF(([1]Submeters!AY17-[1]Submeters!AY16)&lt;0,"0",[1]Submeters!AY17-[1]Submeters!AY16)</f>
        <v>300</v>
      </c>
      <c r="BJ11" s="22" t="e">
        <f>IF(([1]Submeters!AZ17-[1]Submeters!AZ16)&lt;0,"0",[1]Submeters!AZ17-[1]Submeters!AZ16)</f>
        <v>#REF!</v>
      </c>
      <c r="BK11" s="22" t="e">
        <f>IF(([1]Submeters!BA17-[1]Submeters!BA16)&lt;0,"0",[1]Submeters!BA17-[1]Submeters!BA16)</f>
        <v>#REF!</v>
      </c>
      <c r="BL11" s="22" t="e">
        <f>IF(([1]Submeters!BB17-[1]Submeters!BB16)&lt;0,"0",[1]Submeters!BB17-[1]Submeters!BB16)</f>
        <v>#REF!</v>
      </c>
      <c r="BM11" s="22" t="e">
        <f>IF(([1]Submeters!BC17-[1]Submeters!BC16)&lt;0,"0",[1]Submeters!BC17-[1]Submeters!BC16)</f>
        <v>#REF!</v>
      </c>
      <c r="BN11" s="22" t="e">
        <f>IF(([1]Submeters!BD17-[1]Submeters!BD16)&lt;0,"0",[1]Submeters!BD17-[1]Submeters!BD16)</f>
        <v>#REF!</v>
      </c>
      <c r="BO11" s="22" t="e">
        <f>IF(([1]Submeters!BE17-[1]Submeters!BE16)&lt;0,"0",[1]Submeters!BE17-[1]Submeters!BE16)</f>
        <v>#REF!</v>
      </c>
      <c r="BP11" s="22" t="e">
        <f>IF(([1]Submeters!BF17-[1]Submeters!BF16)&lt;0,"0",[1]Submeters!BF17-[1]Submeters!BF16)</f>
        <v>#REF!</v>
      </c>
      <c r="BQ11" s="22" t="e">
        <f>IF(([1]Submeters!BG17-[1]Submeters!BG16)&lt;0,"0",[1]Submeters!BG17-[1]Submeters!BG16)</f>
        <v>#REF!</v>
      </c>
      <c r="BR11" s="22" t="e">
        <f>IF(([1]Submeters!BH17-[1]Submeters!BH16)&lt;0,"0",[1]Submeters!BH17-[1]Submeters!BH16)</f>
        <v>#REF!</v>
      </c>
      <c r="BS11" s="22" t="e">
        <f>IF(([1]Submeters!BI17-[1]Submeters!BI16)&lt;0,"0",[1]Submeters!BI17-[1]Submeters!BI16)</f>
        <v>#REF!</v>
      </c>
      <c r="BT11" s="22" t="e">
        <f>IF(([1]Submeters!BJ17-[1]Submeters!BJ16)&lt;0,"0",[1]Submeters!BJ17-[1]Submeters!BJ16)</f>
        <v>#REF!</v>
      </c>
      <c r="BU11" s="22" t="e">
        <f>IF(([1]Submeters!BK17-[1]Submeters!BK16)&lt;0,"0",[1]Submeters!BK17-[1]Submeters!BK16)</f>
        <v>#REF!</v>
      </c>
      <c r="BV11" s="22" t="e">
        <f>IF(([1]Submeters!BL17-[1]Submeters!BL16)&lt;0,"0",[1]Submeters!BL17-[1]Submeters!BL16)</f>
        <v>#REF!</v>
      </c>
      <c r="BW11" s="22" t="e">
        <f>IF(([1]Submeters!BM17-[1]Submeters!BM16)&lt;0,"0",[1]Submeters!BM17-[1]Submeters!BM16)</f>
        <v>#REF!</v>
      </c>
      <c r="BX11" s="22" t="e">
        <f>IF(([1]Submeters!BN17-[1]Submeters!BN16)&lt;0,"0",[1]Submeters!BN17-[1]Submeters!BN16)</f>
        <v>#REF!</v>
      </c>
      <c r="BY11" s="22" t="e">
        <f>IF(([1]Submeters!BO17-[1]Submeters!BO16)&lt;0,"0",[1]Submeters!BO17-[1]Submeters!BO16)</f>
        <v>#REF!</v>
      </c>
      <c r="BZ11" s="22" t="e">
        <f>IF(([1]Submeters!BP17-[1]Submeters!BP16)&lt;0,"0",[1]Submeters!BP17-[1]Submeters!BP16)</f>
        <v>#REF!</v>
      </c>
      <c r="CA11" s="22" t="e">
        <f>IF(([1]Submeters!BQ17-[1]Submeters!BQ16)&lt;0,"0",[1]Submeters!BQ17-[1]Submeters!BQ16)</f>
        <v>#REF!</v>
      </c>
      <c r="CB11" s="22" t="e">
        <f>IF(([1]Submeters!BR17-[1]Submeters!BR16)&lt;0,"0",[1]Submeters!BR17-[1]Submeters!BR16)</f>
        <v>#REF!</v>
      </c>
      <c r="CC11" s="22" t="e">
        <f>IF(([1]Submeters!BS17-[1]Submeters!BS16)&lt;0,"0",[1]Submeters!BS17-[1]Submeters!BS16)</f>
        <v>#REF!</v>
      </c>
      <c r="CD11" s="22" t="e">
        <f>IF(([1]Submeters!BT17-[1]Submeters!BT16)&lt;0,"0",[1]Submeters!BT17-[1]Submeters!BT16)</f>
        <v>#REF!</v>
      </c>
      <c r="CE11" s="22" t="e">
        <f>IF(([1]Submeters!BU17-[1]Submeters!BU16)&lt;0,"0",[1]Submeters!BU17-[1]Submeters!BU16)</f>
        <v>#REF!</v>
      </c>
      <c r="CF11" s="22" t="e">
        <f>IF(([1]Submeters!BV17-[1]Submeters!BV16)&lt;0,"0",[1]Submeters!BV17-[1]Submeters!BV16)</f>
        <v>#REF!</v>
      </c>
      <c r="CG11" s="22" t="e">
        <f>IF(([1]Submeters!BW17-[1]Submeters!BW16)&lt;0,"0",[1]Submeters!BW17-[1]Submeters!BW16)</f>
        <v>#REF!</v>
      </c>
      <c r="CH11" s="22" t="e">
        <f>IF(([1]Submeters!BX17-[1]Submeters!BX16)&lt;0,"0",[1]Submeters!BX17-[1]Submeters!BX16)</f>
        <v>#REF!</v>
      </c>
      <c r="CI11" s="22" t="e">
        <f>IF(([1]Submeters!BY17-[1]Submeters!BY16)&lt;0,"0",[1]Submeters!BY17-[1]Submeters!BY16)</f>
        <v>#REF!</v>
      </c>
      <c r="CJ11" s="22" t="e">
        <f>IF(([1]Submeters!BZ17-[1]Submeters!BZ16)&lt;0,"0",[1]Submeters!BZ17-[1]Submeters!BZ16)</f>
        <v>#REF!</v>
      </c>
      <c r="CK11" s="22" t="e">
        <f>IF(([1]Submeters!CA17-[1]Submeters!CA16)&lt;0,"0",[1]Submeters!CA17-[1]Submeters!CA16)</f>
        <v>#REF!</v>
      </c>
      <c r="CL11" s="22" t="e">
        <f>IF(([1]Submeters!CB17-[1]Submeters!CB16)&lt;0,"0",[1]Submeters!CB17-[1]Submeters!CB16)</f>
        <v>#REF!</v>
      </c>
      <c r="CM11" s="22" t="e">
        <f>IF(([1]Submeters!CC17-[1]Submeters!CC16)&lt;0,"0",[1]Submeters!CC17-[1]Submeters!CC16)</f>
        <v>#REF!</v>
      </c>
      <c r="CN11" s="22" t="e">
        <f>IF(([1]Submeters!CD17-[1]Submeters!CD16)&lt;0,"0",[1]Submeters!CD17-[1]Submeters!CD16)</f>
        <v>#REF!</v>
      </c>
      <c r="CO11" s="22" t="e">
        <f>IF(([1]Submeters!CE17-[1]Submeters!CE16)&lt;0,"0",[1]Submeters!CE17-[1]Submeters!CE16)</f>
        <v>#REF!</v>
      </c>
    </row>
    <row r="12" spans="1:93" x14ac:dyDescent="0.25">
      <c r="A12" t="s">
        <v>11</v>
      </c>
      <c r="B12" s="10">
        <f t="shared" si="0"/>
        <v>11</v>
      </c>
      <c r="C12" s="10">
        <v>2</v>
      </c>
      <c r="D12" s="10">
        <v>2023</v>
      </c>
      <c r="E12" s="11">
        <f>Hotel!D19</f>
        <v>2757</v>
      </c>
      <c r="F12" s="11">
        <f>Hotel!F19</f>
        <v>2819</v>
      </c>
      <c r="G12" s="11">
        <f>Hotel!H19</f>
        <v>2605</v>
      </c>
      <c r="H12" s="11">
        <f>Hotel!N19</f>
        <v>153</v>
      </c>
      <c r="I12" s="11">
        <f>Hotel!P19</f>
        <v>2400</v>
      </c>
      <c r="J12" s="11">
        <f>Hotel!U19</f>
        <v>181</v>
      </c>
      <c r="K12" s="11">
        <f>Hotel!Y19</f>
        <v>57</v>
      </c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2"/>
      <c r="AS12" s="22"/>
      <c r="AT12" s="22"/>
      <c r="AU12" s="22"/>
      <c r="AV12" s="22"/>
      <c r="AW12" s="22"/>
      <c r="AX12" s="22"/>
      <c r="AY12" s="22"/>
      <c r="AZ12" s="22"/>
      <c r="BA12" s="22"/>
      <c r="BB12" s="22"/>
      <c r="BC12" s="22"/>
      <c r="BD12" s="22"/>
      <c r="BE12" s="22"/>
      <c r="BF12" s="22"/>
      <c r="BG12" s="22"/>
      <c r="BH12" s="22"/>
      <c r="BI12" s="22">
        <f>IF(([1]Submeters!AY18-[1]Submeters!AY17)&lt;0,"0",[1]Submeters!AY18-[1]Submeters!AY17)</f>
        <v>277</v>
      </c>
      <c r="BJ12" s="22" t="e">
        <f>IF(([1]Submeters!AZ18-[1]Submeters!AZ17)&lt;0,"0",[1]Submeters!AZ18-[1]Submeters!AZ17)</f>
        <v>#REF!</v>
      </c>
      <c r="BK12" s="22" t="e">
        <f>IF(([1]Submeters!BA18-[1]Submeters!BA17)&lt;0,"0",[1]Submeters!BA18-[1]Submeters!BA17)</f>
        <v>#REF!</v>
      </c>
      <c r="BL12" s="22" t="e">
        <f>IF(([1]Submeters!BB18-[1]Submeters!BB17)&lt;0,"0",[1]Submeters!BB18-[1]Submeters!BB17)</f>
        <v>#REF!</v>
      </c>
      <c r="BM12" s="22" t="e">
        <f>IF(([1]Submeters!BC18-[1]Submeters!BC17)&lt;0,"0",[1]Submeters!BC18-[1]Submeters!BC17)</f>
        <v>#REF!</v>
      </c>
      <c r="BN12" s="22" t="e">
        <f>IF(([1]Submeters!BD18-[1]Submeters!BD17)&lt;0,"0",[1]Submeters!BD18-[1]Submeters!BD17)</f>
        <v>#REF!</v>
      </c>
      <c r="BO12" s="22" t="e">
        <f>IF(([1]Submeters!BE18-[1]Submeters!BE17)&lt;0,"0",[1]Submeters!BE18-[1]Submeters!BE17)</f>
        <v>#REF!</v>
      </c>
      <c r="BP12" s="22" t="e">
        <f>IF(([1]Submeters!BF18-[1]Submeters!BF17)&lt;0,"0",[1]Submeters!BF18-[1]Submeters!BF17)</f>
        <v>#REF!</v>
      </c>
      <c r="BQ12" s="22" t="e">
        <f>IF(([1]Submeters!BG18-[1]Submeters!BG17)&lt;0,"0",[1]Submeters!BG18-[1]Submeters!BG17)</f>
        <v>#REF!</v>
      </c>
      <c r="BR12" s="22" t="e">
        <f>IF(([1]Submeters!BH18-[1]Submeters!BH17)&lt;0,"0",[1]Submeters!BH18-[1]Submeters!BH17)</f>
        <v>#REF!</v>
      </c>
      <c r="BS12" s="22" t="e">
        <f>IF(([1]Submeters!BI18-[1]Submeters!BI17)&lt;0,"0",[1]Submeters!BI18-[1]Submeters!BI17)</f>
        <v>#REF!</v>
      </c>
      <c r="BT12" s="22" t="e">
        <f>IF(([1]Submeters!BJ18-[1]Submeters!BJ17)&lt;0,"0",[1]Submeters!BJ18-[1]Submeters!BJ17)</f>
        <v>#REF!</v>
      </c>
      <c r="BU12" s="22" t="e">
        <f>IF(([1]Submeters!BK18-[1]Submeters!BK17)&lt;0,"0",[1]Submeters!BK18-[1]Submeters!BK17)</f>
        <v>#REF!</v>
      </c>
      <c r="BV12" s="22" t="e">
        <f>IF(([1]Submeters!BL18-[1]Submeters!BL17)&lt;0,"0",[1]Submeters!BL18-[1]Submeters!BL17)</f>
        <v>#REF!</v>
      </c>
      <c r="BW12" s="22" t="e">
        <f>IF(([1]Submeters!BM18-[1]Submeters!BM17)&lt;0,"0",[1]Submeters!BM18-[1]Submeters!BM17)</f>
        <v>#REF!</v>
      </c>
      <c r="BX12" s="22" t="e">
        <f>IF(([1]Submeters!BN18-[1]Submeters!BN17)&lt;0,"0",[1]Submeters!BN18-[1]Submeters!BN17)</f>
        <v>#REF!</v>
      </c>
      <c r="BY12" s="22" t="e">
        <f>IF(([1]Submeters!BO18-[1]Submeters!BO17)&lt;0,"0",[1]Submeters!BO18-[1]Submeters!BO17)</f>
        <v>#REF!</v>
      </c>
      <c r="BZ12" s="22" t="e">
        <f>IF(([1]Submeters!BP18-[1]Submeters!BP17)&lt;0,"0",[1]Submeters!BP18-[1]Submeters!BP17)</f>
        <v>#REF!</v>
      </c>
      <c r="CA12" s="22" t="e">
        <f>IF(([1]Submeters!BQ18-[1]Submeters!BQ17)&lt;0,"0",[1]Submeters!BQ18-[1]Submeters!BQ17)</f>
        <v>#REF!</v>
      </c>
      <c r="CB12" s="22" t="e">
        <f>IF(([1]Submeters!BR18-[1]Submeters!BR17)&lt;0,"0",[1]Submeters!BR18-[1]Submeters!BR17)</f>
        <v>#REF!</v>
      </c>
      <c r="CC12" s="22" t="e">
        <f>IF(([1]Submeters!BS18-[1]Submeters!BS17)&lt;0,"0",[1]Submeters!BS18-[1]Submeters!BS17)</f>
        <v>#REF!</v>
      </c>
      <c r="CD12" s="22" t="e">
        <f>IF(([1]Submeters!BT18-[1]Submeters!BT17)&lt;0,"0",[1]Submeters!BT18-[1]Submeters!BT17)</f>
        <v>#REF!</v>
      </c>
      <c r="CE12" s="22" t="e">
        <f>IF(([1]Submeters!BU18-[1]Submeters!BU17)&lt;0,"0",[1]Submeters!BU18-[1]Submeters!BU17)</f>
        <v>#REF!</v>
      </c>
      <c r="CF12" s="22" t="e">
        <f>IF(([1]Submeters!BV18-[1]Submeters!BV17)&lt;0,"0",[1]Submeters!BV18-[1]Submeters!BV17)</f>
        <v>#REF!</v>
      </c>
      <c r="CG12" s="22" t="e">
        <f>IF(([1]Submeters!BW18-[1]Submeters!BW17)&lt;0,"0",[1]Submeters!BW18-[1]Submeters!BW17)</f>
        <v>#REF!</v>
      </c>
      <c r="CH12" s="22" t="e">
        <f>IF(([1]Submeters!BX18-[1]Submeters!BX17)&lt;0,"0",[1]Submeters!BX18-[1]Submeters!BX17)</f>
        <v>#REF!</v>
      </c>
      <c r="CI12" s="22" t="e">
        <f>IF(([1]Submeters!BY18-[1]Submeters!BY17)&lt;0,"0",[1]Submeters!BY18-[1]Submeters!BY17)</f>
        <v>#REF!</v>
      </c>
      <c r="CJ12" s="22" t="e">
        <f>IF(([1]Submeters!BZ18-[1]Submeters!BZ17)&lt;0,"0",[1]Submeters!BZ18-[1]Submeters!BZ17)</f>
        <v>#REF!</v>
      </c>
      <c r="CK12" s="22" t="e">
        <f>IF(([1]Submeters!CA18-[1]Submeters!CA17)&lt;0,"0",[1]Submeters!CA18-[1]Submeters!CA17)</f>
        <v>#REF!</v>
      </c>
      <c r="CL12" s="22" t="e">
        <f>IF(([1]Submeters!CB18-[1]Submeters!CB17)&lt;0,"0",[1]Submeters!CB18-[1]Submeters!CB17)</f>
        <v>#REF!</v>
      </c>
      <c r="CM12" s="22" t="e">
        <f>IF(([1]Submeters!CC18-[1]Submeters!CC17)&lt;0,"0",[1]Submeters!CC18-[1]Submeters!CC17)</f>
        <v>#REF!</v>
      </c>
      <c r="CN12" s="22" t="e">
        <f>IF(([1]Submeters!CD18-[1]Submeters!CD17)&lt;0,"0",[1]Submeters!CD18-[1]Submeters!CD17)</f>
        <v>#REF!</v>
      </c>
      <c r="CO12" s="22" t="e">
        <f>IF(([1]Submeters!CE18-[1]Submeters!CE17)&lt;0,"0",[1]Submeters!CE18-[1]Submeters!CE17)</f>
        <v>#REF!</v>
      </c>
    </row>
    <row r="13" spans="1:93" x14ac:dyDescent="0.25">
      <c r="A13" t="s">
        <v>11</v>
      </c>
      <c r="B13" s="10">
        <f t="shared" si="0"/>
        <v>12</v>
      </c>
      <c r="C13" s="10">
        <v>2</v>
      </c>
      <c r="D13" s="10">
        <v>2023</v>
      </c>
      <c r="E13" s="11">
        <f>Hotel!D20</f>
        <v>2440</v>
      </c>
      <c r="F13" s="11">
        <f>Hotel!F20</f>
        <v>2475</v>
      </c>
      <c r="G13" s="11">
        <f>Hotel!H20</f>
        <v>2304</v>
      </c>
      <c r="H13" s="11">
        <f>Hotel!N20</f>
        <v>162</v>
      </c>
      <c r="I13" s="11">
        <f>Hotel!P20</f>
        <v>2031</v>
      </c>
      <c r="J13" s="11">
        <f>Hotel!U20</f>
        <v>181</v>
      </c>
      <c r="K13" s="11">
        <f>Hotel!Y20</f>
        <v>59</v>
      </c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  <c r="AA13" s="22"/>
      <c r="AB13" s="22"/>
      <c r="AC13" s="22"/>
      <c r="AD13" s="22"/>
      <c r="AE13" s="22"/>
      <c r="AF13" s="22"/>
      <c r="AG13" s="22"/>
      <c r="AH13" s="22"/>
      <c r="AI13" s="22"/>
      <c r="AJ13" s="22"/>
      <c r="AK13" s="22"/>
      <c r="AL13" s="22"/>
      <c r="AM13" s="22"/>
      <c r="AN13" s="22"/>
      <c r="AO13" s="22"/>
      <c r="AP13" s="22"/>
      <c r="AQ13" s="22"/>
      <c r="AR13" s="22"/>
      <c r="AS13" s="22"/>
      <c r="AT13" s="22"/>
      <c r="AU13" s="22"/>
      <c r="AV13" s="22"/>
      <c r="AW13" s="22"/>
      <c r="AX13" s="22"/>
      <c r="AY13" s="22"/>
      <c r="AZ13" s="22"/>
      <c r="BA13" s="22"/>
      <c r="BB13" s="22"/>
      <c r="BC13" s="22"/>
      <c r="BD13" s="22"/>
      <c r="BE13" s="22"/>
      <c r="BF13" s="22"/>
      <c r="BG13" s="22"/>
      <c r="BH13" s="22"/>
      <c r="BI13" s="22">
        <f>IF(([1]Submeters!AY19-[1]Submeters!AY18)&lt;0,"0",[1]Submeters!AY19-[1]Submeters!AY18)</f>
        <v>293</v>
      </c>
      <c r="BJ13" s="22" t="e">
        <f>IF(([1]Submeters!AZ19-[1]Submeters!AZ18)&lt;0,"0",[1]Submeters!AZ19-[1]Submeters!AZ18)</f>
        <v>#REF!</v>
      </c>
      <c r="BK13" s="22" t="e">
        <f>IF(([1]Submeters!BA19-[1]Submeters!BA18)&lt;0,"0",[1]Submeters!BA19-[1]Submeters!BA18)</f>
        <v>#REF!</v>
      </c>
      <c r="BL13" s="22" t="e">
        <f>IF(([1]Submeters!BB19-[1]Submeters!BB18)&lt;0,"0",[1]Submeters!BB19-[1]Submeters!BB18)</f>
        <v>#REF!</v>
      </c>
      <c r="BM13" s="22" t="e">
        <f>IF(([1]Submeters!BC19-[1]Submeters!BC18)&lt;0,"0",[1]Submeters!BC19-[1]Submeters!BC18)</f>
        <v>#REF!</v>
      </c>
      <c r="BN13" s="22" t="e">
        <f>IF(([1]Submeters!BD19-[1]Submeters!BD18)&lt;0,"0",[1]Submeters!BD19-[1]Submeters!BD18)</f>
        <v>#REF!</v>
      </c>
      <c r="BO13" s="22" t="e">
        <f>IF(([1]Submeters!BE19-[1]Submeters!BE18)&lt;0,"0",[1]Submeters!BE19-[1]Submeters!BE18)</f>
        <v>#REF!</v>
      </c>
      <c r="BP13" s="22" t="e">
        <f>IF(([1]Submeters!BF19-[1]Submeters!BF18)&lt;0,"0",[1]Submeters!BF19-[1]Submeters!BF18)</f>
        <v>#REF!</v>
      </c>
      <c r="BQ13" s="22" t="e">
        <f>IF(([1]Submeters!BG19-[1]Submeters!BG18)&lt;0,"0",[1]Submeters!BG19-[1]Submeters!BG18)</f>
        <v>#REF!</v>
      </c>
      <c r="BR13" s="22" t="e">
        <f>IF(([1]Submeters!BH19-[1]Submeters!BH18)&lt;0,"0",[1]Submeters!BH19-[1]Submeters!BH18)</f>
        <v>#REF!</v>
      </c>
      <c r="BS13" s="22" t="e">
        <f>IF(([1]Submeters!BI19-[1]Submeters!BI18)&lt;0,"0",[1]Submeters!BI19-[1]Submeters!BI18)</f>
        <v>#REF!</v>
      </c>
      <c r="BT13" s="22" t="e">
        <f>IF(([1]Submeters!BJ19-[1]Submeters!BJ18)&lt;0,"0",[1]Submeters!BJ19-[1]Submeters!BJ18)</f>
        <v>#REF!</v>
      </c>
      <c r="BU13" s="22" t="e">
        <f>IF(([1]Submeters!BK19-[1]Submeters!BK18)&lt;0,"0",[1]Submeters!BK19-[1]Submeters!BK18)</f>
        <v>#REF!</v>
      </c>
      <c r="BV13" s="22" t="e">
        <f>IF(([1]Submeters!BL19-[1]Submeters!BL18)&lt;0,"0",[1]Submeters!BL19-[1]Submeters!BL18)</f>
        <v>#REF!</v>
      </c>
      <c r="BW13" s="22" t="e">
        <f>IF(([1]Submeters!BM19-[1]Submeters!BM18)&lt;0,"0",[1]Submeters!BM19-[1]Submeters!BM18)</f>
        <v>#REF!</v>
      </c>
      <c r="BX13" s="22" t="e">
        <f>IF(([1]Submeters!BN19-[1]Submeters!BN18)&lt;0,"0",[1]Submeters!BN19-[1]Submeters!BN18)</f>
        <v>#REF!</v>
      </c>
      <c r="BY13" s="22" t="e">
        <f>IF(([1]Submeters!BO19-[1]Submeters!BO18)&lt;0,"0",[1]Submeters!BO19-[1]Submeters!BO18)</f>
        <v>#REF!</v>
      </c>
      <c r="BZ13" s="22" t="e">
        <f>IF(([1]Submeters!BP19-[1]Submeters!BP18)&lt;0,"0",[1]Submeters!BP19-[1]Submeters!BP18)</f>
        <v>#REF!</v>
      </c>
      <c r="CA13" s="22" t="e">
        <f>IF(([1]Submeters!BQ19-[1]Submeters!BQ18)&lt;0,"0",[1]Submeters!BQ19-[1]Submeters!BQ18)</f>
        <v>#REF!</v>
      </c>
      <c r="CB13" s="22" t="e">
        <f>IF(([1]Submeters!BR19-[1]Submeters!BR18)&lt;0,"0",[1]Submeters!BR19-[1]Submeters!BR18)</f>
        <v>#REF!</v>
      </c>
      <c r="CC13" s="22" t="e">
        <f>IF(([1]Submeters!BS19-[1]Submeters!BS18)&lt;0,"0",[1]Submeters!BS19-[1]Submeters!BS18)</f>
        <v>#REF!</v>
      </c>
      <c r="CD13" s="22" t="e">
        <f>IF(([1]Submeters!BT19-[1]Submeters!BT18)&lt;0,"0",[1]Submeters!BT19-[1]Submeters!BT18)</f>
        <v>#REF!</v>
      </c>
      <c r="CE13" s="22" t="e">
        <f>IF(([1]Submeters!BU19-[1]Submeters!BU18)&lt;0,"0",[1]Submeters!BU19-[1]Submeters!BU18)</f>
        <v>#REF!</v>
      </c>
      <c r="CF13" s="22" t="e">
        <f>IF(([1]Submeters!BV19-[1]Submeters!BV18)&lt;0,"0",[1]Submeters!BV19-[1]Submeters!BV18)</f>
        <v>#REF!</v>
      </c>
      <c r="CG13" s="22" t="e">
        <f>IF(([1]Submeters!BW19-[1]Submeters!BW18)&lt;0,"0",[1]Submeters!BW19-[1]Submeters!BW18)</f>
        <v>#REF!</v>
      </c>
      <c r="CH13" s="22" t="e">
        <f>IF(([1]Submeters!BX19-[1]Submeters!BX18)&lt;0,"0",[1]Submeters!BX19-[1]Submeters!BX18)</f>
        <v>#REF!</v>
      </c>
      <c r="CI13" s="22" t="e">
        <f>IF(([1]Submeters!BY19-[1]Submeters!BY18)&lt;0,"0",[1]Submeters!BY19-[1]Submeters!BY18)</f>
        <v>#REF!</v>
      </c>
      <c r="CJ13" s="22" t="e">
        <f>IF(([1]Submeters!BZ19-[1]Submeters!BZ18)&lt;0,"0",[1]Submeters!BZ19-[1]Submeters!BZ18)</f>
        <v>#REF!</v>
      </c>
      <c r="CK13" s="22" t="e">
        <f>IF(([1]Submeters!CA19-[1]Submeters!CA18)&lt;0,"0",[1]Submeters!CA19-[1]Submeters!CA18)</f>
        <v>#REF!</v>
      </c>
      <c r="CL13" s="22" t="e">
        <f>IF(([1]Submeters!CB19-[1]Submeters!CB18)&lt;0,"0",[1]Submeters!CB19-[1]Submeters!CB18)</f>
        <v>#REF!</v>
      </c>
      <c r="CM13" s="22" t="e">
        <f>IF(([1]Submeters!CC19-[1]Submeters!CC18)&lt;0,"0",[1]Submeters!CC19-[1]Submeters!CC18)</f>
        <v>#REF!</v>
      </c>
      <c r="CN13" s="22" t="e">
        <f>IF(([1]Submeters!CD19-[1]Submeters!CD18)&lt;0,"0",[1]Submeters!CD19-[1]Submeters!CD18)</f>
        <v>#REF!</v>
      </c>
      <c r="CO13" s="22" t="e">
        <f>IF(([1]Submeters!CE19-[1]Submeters!CE18)&lt;0,"0",[1]Submeters!CE19-[1]Submeters!CE18)</f>
        <v>#REF!</v>
      </c>
    </row>
    <row r="14" spans="1:93" x14ac:dyDescent="0.25">
      <c r="A14" t="s">
        <v>11</v>
      </c>
      <c r="B14" s="10">
        <f t="shared" si="0"/>
        <v>13</v>
      </c>
      <c r="C14" s="10">
        <v>2</v>
      </c>
      <c r="D14" s="10">
        <v>2023</v>
      </c>
      <c r="E14" s="11">
        <f>Hotel!D21</f>
        <v>2447</v>
      </c>
      <c r="F14" s="11">
        <f>Hotel!F21</f>
        <v>2475</v>
      </c>
      <c r="G14" s="11">
        <f>Hotel!H21</f>
        <v>2305</v>
      </c>
      <c r="H14" s="11">
        <f>Hotel!N21</f>
        <v>111</v>
      </c>
      <c r="I14" s="11">
        <f>Hotel!P21</f>
        <v>2152</v>
      </c>
      <c r="J14" s="11">
        <f>Hotel!U21</f>
        <v>193</v>
      </c>
      <c r="K14" s="11">
        <f>Hotel!Y21</f>
        <v>51</v>
      </c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  <c r="AA14" s="22"/>
      <c r="AB14" s="22"/>
      <c r="AC14" s="22"/>
      <c r="AD14" s="22"/>
      <c r="AE14" s="22"/>
      <c r="AF14" s="22"/>
      <c r="AG14" s="22"/>
      <c r="AH14" s="22"/>
      <c r="AI14" s="22"/>
      <c r="AJ14" s="22"/>
      <c r="AK14" s="22"/>
      <c r="AL14" s="22"/>
      <c r="AM14" s="22"/>
      <c r="AN14" s="22"/>
      <c r="AO14" s="22"/>
      <c r="AP14" s="22"/>
      <c r="AQ14" s="22"/>
      <c r="AR14" s="22"/>
      <c r="AS14" s="22"/>
      <c r="AT14" s="22"/>
      <c r="AU14" s="22"/>
      <c r="AV14" s="22"/>
      <c r="AW14" s="22"/>
      <c r="AX14" s="22"/>
      <c r="AY14" s="22"/>
      <c r="AZ14" s="22"/>
      <c r="BA14" s="22"/>
      <c r="BB14" s="22"/>
      <c r="BC14" s="22"/>
      <c r="BD14" s="22"/>
      <c r="BE14" s="22"/>
      <c r="BF14" s="22"/>
      <c r="BG14" s="22"/>
      <c r="BH14" s="22"/>
      <c r="BI14" s="22">
        <f>IF(([1]Submeters!AY20-[1]Submeters!AY19)&lt;0,"0",[1]Submeters!AY20-[1]Submeters!AY19)</f>
        <v>438</v>
      </c>
      <c r="BJ14" s="22" t="e">
        <f>IF(([1]Submeters!AZ20-[1]Submeters!AZ19)&lt;0,"0",[1]Submeters!AZ20-[1]Submeters!AZ19)</f>
        <v>#REF!</v>
      </c>
      <c r="BK14" s="22" t="e">
        <f>IF(([1]Submeters!BA20-[1]Submeters!BA19)&lt;0,"0",[1]Submeters!BA20-[1]Submeters!BA19)</f>
        <v>#REF!</v>
      </c>
      <c r="BL14" s="22" t="e">
        <f>IF(([1]Submeters!BB20-[1]Submeters!BB19)&lt;0,"0",[1]Submeters!BB20-[1]Submeters!BB19)</f>
        <v>#REF!</v>
      </c>
      <c r="BM14" s="22" t="e">
        <f>IF(([1]Submeters!BC20-[1]Submeters!BC19)&lt;0,"0",[1]Submeters!BC20-[1]Submeters!BC19)</f>
        <v>#REF!</v>
      </c>
      <c r="BN14" s="22" t="e">
        <f>IF(([1]Submeters!BD20-[1]Submeters!BD19)&lt;0,"0",[1]Submeters!BD20-[1]Submeters!BD19)</f>
        <v>#REF!</v>
      </c>
      <c r="BO14" s="22" t="e">
        <f>IF(([1]Submeters!BE20-[1]Submeters!BE19)&lt;0,"0",[1]Submeters!BE20-[1]Submeters!BE19)</f>
        <v>#REF!</v>
      </c>
      <c r="BP14" s="22" t="e">
        <f>IF(([1]Submeters!BF20-[1]Submeters!BF19)&lt;0,"0",[1]Submeters!BF20-[1]Submeters!BF19)</f>
        <v>#REF!</v>
      </c>
      <c r="BQ14" s="22" t="e">
        <f>IF(([1]Submeters!BG20-[1]Submeters!BG19)&lt;0,"0",[1]Submeters!BG20-[1]Submeters!BG19)</f>
        <v>#REF!</v>
      </c>
      <c r="BR14" s="22" t="e">
        <f>IF(([1]Submeters!BH20-[1]Submeters!BH19)&lt;0,"0",[1]Submeters!BH20-[1]Submeters!BH19)</f>
        <v>#REF!</v>
      </c>
      <c r="BS14" s="22" t="e">
        <f>IF(([1]Submeters!BI20-[1]Submeters!BI19)&lt;0,"0",[1]Submeters!BI20-[1]Submeters!BI19)</f>
        <v>#REF!</v>
      </c>
      <c r="BT14" s="22" t="e">
        <f>IF(([1]Submeters!BJ20-[1]Submeters!BJ19)&lt;0,"0",[1]Submeters!BJ20-[1]Submeters!BJ19)</f>
        <v>#REF!</v>
      </c>
      <c r="BU14" s="22" t="e">
        <f>IF(([1]Submeters!BK20-[1]Submeters!BK19)&lt;0,"0",[1]Submeters!BK20-[1]Submeters!BK19)</f>
        <v>#REF!</v>
      </c>
      <c r="BV14" s="22" t="e">
        <f>IF(([1]Submeters!BL20-[1]Submeters!BL19)&lt;0,"0",[1]Submeters!BL20-[1]Submeters!BL19)</f>
        <v>#REF!</v>
      </c>
      <c r="BW14" s="22" t="e">
        <f>IF(([1]Submeters!BM20-[1]Submeters!BM19)&lt;0,"0",[1]Submeters!BM20-[1]Submeters!BM19)</f>
        <v>#REF!</v>
      </c>
      <c r="BX14" s="22" t="e">
        <f>IF(([1]Submeters!BN20-[1]Submeters!BN19)&lt;0,"0",[1]Submeters!BN20-[1]Submeters!BN19)</f>
        <v>#REF!</v>
      </c>
      <c r="BY14" s="22" t="e">
        <f>IF(([1]Submeters!BO20-[1]Submeters!BO19)&lt;0,"0",[1]Submeters!BO20-[1]Submeters!BO19)</f>
        <v>#REF!</v>
      </c>
      <c r="BZ14" s="22" t="e">
        <f>IF(([1]Submeters!BP20-[1]Submeters!BP19)&lt;0,"0",[1]Submeters!BP20-[1]Submeters!BP19)</f>
        <v>#REF!</v>
      </c>
      <c r="CA14" s="22" t="e">
        <f>IF(([1]Submeters!BQ20-[1]Submeters!BQ19)&lt;0,"0",[1]Submeters!BQ20-[1]Submeters!BQ19)</f>
        <v>#REF!</v>
      </c>
      <c r="CB14" s="22" t="e">
        <f>IF(([1]Submeters!BR20-[1]Submeters!BR19)&lt;0,"0",[1]Submeters!BR20-[1]Submeters!BR19)</f>
        <v>#REF!</v>
      </c>
      <c r="CC14" s="22" t="e">
        <f>IF(([1]Submeters!BS20-[1]Submeters!BS19)&lt;0,"0",[1]Submeters!BS20-[1]Submeters!BS19)</f>
        <v>#REF!</v>
      </c>
      <c r="CD14" s="22" t="e">
        <f>IF(([1]Submeters!BT20-[1]Submeters!BT19)&lt;0,"0",[1]Submeters!BT20-[1]Submeters!BT19)</f>
        <v>#REF!</v>
      </c>
      <c r="CE14" s="22" t="e">
        <f>IF(([1]Submeters!BU20-[1]Submeters!BU19)&lt;0,"0",[1]Submeters!BU20-[1]Submeters!BU19)</f>
        <v>#REF!</v>
      </c>
      <c r="CF14" s="22" t="e">
        <f>IF(([1]Submeters!BV20-[1]Submeters!BV19)&lt;0,"0",[1]Submeters!BV20-[1]Submeters!BV19)</f>
        <v>#REF!</v>
      </c>
      <c r="CG14" s="22" t="e">
        <f>IF(([1]Submeters!BW20-[1]Submeters!BW19)&lt;0,"0",[1]Submeters!BW20-[1]Submeters!BW19)</f>
        <v>#REF!</v>
      </c>
      <c r="CH14" s="22" t="e">
        <f>IF(([1]Submeters!BX20-[1]Submeters!BX19)&lt;0,"0",[1]Submeters!BX20-[1]Submeters!BX19)</f>
        <v>#REF!</v>
      </c>
      <c r="CI14" s="22" t="e">
        <f>IF(([1]Submeters!BY20-[1]Submeters!BY19)&lt;0,"0",[1]Submeters!BY20-[1]Submeters!BY19)</f>
        <v>#REF!</v>
      </c>
      <c r="CJ14" s="22" t="e">
        <f>IF(([1]Submeters!BZ20-[1]Submeters!BZ19)&lt;0,"0",[1]Submeters!BZ20-[1]Submeters!BZ19)</f>
        <v>#REF!</v>
      </c>
      <c r="CK14" s="22" t="e">
        <f>IF(([1]Submeters!CA20-[1]Submeters!CA19)&lt;0,"0",[1]Submeters!CA20-[1]Submeters!CA19)</f>
        <v>#REF!</v>
      </c>
      <c r="CL14" s="22" t="e">
        <f>IF(([1]Submeters!CB20-[1]Submeters!CB19)&lt;0,"0",[1]Submeters!CB20-[1]Submeters!CB19)</f>
        <v>#REF!</v>
      </c>
      <c r="CM14" s="22" t="e">
        <f>IF(([1]Submeters!CC20-[1]Submeters!CC19)&lt;0,"0",[1]Submeters!CC20-[1]Submeters!CC19)</f>
        <v>#REF!</v>
      </c>
      <c r="CN14" s="22" t="e">
        <f>IF(([1]Submeters!CD20-[1]Submeters!CD19)&lt;0,"0",[1]Submeters!CD20-[1]Submeters!CD19)</f>
        <v>#REF!</v>
      </c>
      <c r="CO14" s="22" t="e">
        <f>IF(([1]Submeters!CE20-[1]Submeters!CE19)&lt;0,"0",[1]Submeters!CE20-[1]Submeters!CE19)</f>
        <v>#REF!</v>
      </c>
    </row>
    <row r="15" spans="1:93" x14ac:dyDescent="0.25">
      <c r="A15" t="s">
        <v>11</v>
      </c>
      <c r="B15" s="10">
        <f t="shared" si="0"/>
        <v>14</v>
      </c>
      <c r="C15" s="10">
        <v>2</v>
      </c>
      <c r="D15" s="10">
        <v>2023</v>
      </c>
      <c r="E15" s="11">
        <f>Hotel!D22</f>
        <v>2379</v>
      </c>
      <c r="F15" s="11">
        <f>Hotel!F22</f>
        <v>2426</v>
      </c>
      <c r="G15" s="11">
        <f>Hotel!H22</f>
        <v>2237</v>
      </c>
      <c r="H15" s="11">
        <f>Hotel!N22</f>
        <v>161</v>
      </c>
      <c r="I15" s="11">
        <f>Hotel!P22</f>
        <v>1783</v>
      </c>
      <c r="J15" s="11">
        <f>Hotel!U22</f>
        <v>137</v>
      </c>
      <c r="K15" s="11">
        <f>Hotel!Y22</f>
        <v>67</v>
      </c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2"/>
      <c r="AS15" s="22"/>
      <c r="AT15" s="22"/>
      <c r="AU15" s="22"/>
      <c r="AV15" s="22"/>
      <c r="AW15" s="22"/>
      <c r="AX15" s="22"/>
      <c r="AY15" s="22"/>
      <c r="AZ15" s="22"/>
      <c r="BA15" s="22"/>
      <c r="BB15" s="22"/>
      <c r="BC15" s="22"/>
      <c r="BD15" s="22"/>
      <c r="BE15" s="22"/>
      <c r="BF15" s="22"/>
      <c r="BG15" s="22"/>
      <c r="BH15" s="22"/>
      <c r="BI15" s="22">
        <f>IF(([1]Submeters!AY21-[1]Submeters!AY20)&lt;0,"0",[1]Submeters!AY21-[1]Submeters!AY20)</f>
        <v>470</v>
      </c>
      <c r="BJ15" s="22" t="e">
        <f>IF(([1]Submeters!AZ21-[1]Submeters!AZ20)&lt;0,"0",[1]Submeters!AZ21-[1]Submeters!AZ20)</f>
        <v>#REF!</v>
      </c>
      <c r="BK15" s="22" t="e">
        <f>IF(([1]Submeters!BA21-[1]Submeters!BA20)&lt;0,"0",[1]Submeters!BA21-[1]Submeters!BA20)</f>
        <v>#REF!</v>
      </c>
      <c r="BL15" s="22" t="e">
        <f>IF(([1]Submeters!BB21-[1]Submeters!BB20)&lt;0,"0",[1]Submeters!BB21-[1]Submeters!BB20)</f>
        <v>#REF!</v>
      </c>
      <c r="BM15" s="22" t="e">
        <f>IF(([1]Submeters!BC21-[1]Submeters!BC20)&lt;0,"0",[1]Submeters!BC21-[1]Submeters!BC20)</f>
        <v>#REF!</v>
      </c>
      <c r="BN15" s="22" t="e">
        <f>IF(([1]Submeters!BD21-[1]Submeters!BD20)&lt;0,"0",[1]Submeters!BD21-[1]Submeters!BD20)</f>
        <v>#REF!</v>
      </c>
      <c r="BO15" s="22" t="e">
        <f>IF(([1]Submeters!BE21-[1]Submeters!BE20)&lt;0,"0",[1]Submeters!BE21-[1]Submeters!BE20)</f>
        <v>#REF!</v>
      </c>
      <c r="BP15" s="22" t="e">
        <f>IF(([1]Submeters!BF21-[1]Submeters!BF20)&lt;0,"0",[1]Submeters!BF21-[1]Submeters!BF20)</f>
        <v>#REF!</v>
      </c>
      <c r="BQ15" s="22" t="e">
        <f>IF(([1]Submeters!BG21-[1]Submeters!BG20)&lt;0,"0",[1]Submeters!BG21-[1]Submeters!BG20)</f>
        <v>#REF!</v>
      </c>
      <c r="BR15" s="22" t="e">
        <f>IF(([1]Submeters!BH21-[1]Submeters!BH20)&lt;0,"0",[1]Submeters!BH21-[1]Submeters!BH20)</f>
        <v>#REF!</v>
      </c>
      <c r="BS15" s="22" t="e">
        <f>IF(([1]Submeters!BI21-[1]Submeters!BI20)&lt;0,"0",[1]Submeters!BI21-[1]Submeters!BI20)</f>
        <v>#REF!</v>
      </c>
      <c r="BT15" s="22" t="e">
        <f>IF(([1]Submeters!BJ21-[1]Submeters!BJ20)&lt;0,"0",[1]Submeters!BJ21-[1]Submeters!BJ20)</f>
        <v>#REF!</v>
      </c>
      <c r="BU15" s="22" t="e">
        <f>IF(([1]Submeters!BK21-[1]Submeters!BK20)&lt;0,"0",[1]Submeters!BK21-[1]Submeters!BK20)</f>
        <v>#REF!</v>
      </c>
      <c r="BV15" s="22" t="e">
        <f>IF(([1]Submeters!BL21-[1]Submeters!BL20)&lt;0,"0",[1]Submeters!BL21-[1]Submeters!BL20)</f>
        <v>#REF!</v>
      </c>
      <c r="BW15" s="22" t="e">
        <f>IF(([1]Submeters!BM21-[1]Submeters!BM20)&lt;0,"0",[1]Submeters!BM21-[1]Submeters!BM20)</f>
        <v>#REF!</v>
      </c>
      <c r="BX15" s="22" t="e">
        <f>IF(([1]Submeters!BN21-[1]Submeters!BN20)&lt;0,"0",[1]Submeters!BN21-[1]Submeters!BN20)</f>
        <v>#REF!</v>
      </c>
      <c r="BY15" s="22" t="e">
        <f>IF(([1]Submeters!BO21-[1]Submeters!BO20)&lt;0,"0",[1]Submeters!BO21-[1]Submeters!BO20)</f>
        <v>#REF!</v>
      </c>
      <c r="BZ15" s="22" t="e">
        <f>IF(([1]Submeters!BP21-[1]Submeters!BP20)&lt;0,"0",[1]Submeters!BP21-[1]Submeters!BP20)</f>
        <v>#REF!</v>
      </c>
      <c r="CA15" s="22" t="e">
        <f>IF(([1]Submeters!BQ21-[1]Submeters!BQ20)&lt;0,"0",[1]Submeters!BQ21-[1]Submeters!BQ20)</f>
        <v>#REF!</v>
      </c>
      <c r="CB15" s="22" t="e">
        <f>IF(([1]Submeters!BR21-[1]Submeters!BR20)&lt;0,"0",[1]Submeters!BR21-[1]Submeters!BR20)</f>
        <v>#REF!</v>
      </c>
      <c r="CC15" s="22" t="e">
        <f>IF(([1]Submeters!BS21-[1]Submeters!BS20)&lt;0,"0",[1]Submeters!BS21-[1]Submeters!BS20)</f>
        <v>#REF!</v>
      </c>
      <c r="CD15" s="22" t="e">
        <f>IF(([1]Submeters!BT21-[1]Submeters!BT20)&lt;0,"0",[1]Submeters!BT21-[1]Submeters!BT20)</f>
        <v>#REF!</v>
      </c>
      <c r="CE15" s="22" t="e">
        <f>IF(([1]Submeters!BU21-[1]Submeters!BU20)&lt;0,"0",[1]Submeters!BU21-[1]Submeters!BU20)</f>
        <v>#REF!</v>
      </c>
      <c r="CF15" s="22" t="e">
        <f>IF(([1]Submeters!BV21-[1]Submeters!BV20)&lt;0,"0",[1]Submeters!BV21-[1]Submeters!BV20)</f>
        <v>#REF!</v>
      </c>
      <c r="CG15" s="22" t="e">
        <f>IF(([1]Submeters!BW21-[1]Submeters!BW20)&lt;0,"0",[1]Submeters!BW21-[1]Submeters!BW20)</f>
        <v>#REF!</v>
      </c>
      <c r="CH15" s="22" t="e">
        <f>IF(([1]Submeters!BX21-[1]Submeters!BX20)&lt;0,"0",[1]Submeters!BX21-[1]Submeters!BX20)</f>
        <v>#REF!</v>
      </c>
      <c r="CI15" s="22" t="e">
        <f>IF(([1]Submeters!BY21-[1]Submeters!BY20)&lt;0,"0",[1]Submeters!BY21-[1]Submeters!BY20)</f>
        <v>#REF!</v>
      </c>
      <c r="CJ15" s="22" t="e">
        <f>IF(([1]Submeters!BZ21-[1]Submeters!BZ20)&lt;0,"0",[1]Submeters!BZ21-[1]Submeters!BZ20)</f>
        <v>#REF!</v>
      </c>
      <c r="CK15" s="22" t="e">
        <f>IF(([1]Submeters!CA21-[1]Submeters!CA20)&lt;0,"0",[1]Submeters!CA21-[1]Submeters!CA20)</f>
        <v>#REF!</v>
      </c>
      <c r="CL15" s="22" t="e">
        <f>IF(([1]Submeters!CB21-[1]Submeters!CB20)&lt;0,"0",[1]Submeters!CB21-[1]Submeters!CB20)</f>
        <v>#REF!</v>
      </c>
      <c r="CM15" s="22" t="e">
        <f>IF(([1]Submeters!CC21-[1]Submeters!CC20)&lt;0,"0",[1]Submeters!CC21-[1]Submeters!CC20)</f>
        <v>#REF!</v>
      </c>
      <c r="CN15" s="22" t="e">
        <f>IF(([1]Submeters!CD21-[1]Submeters!CD20)&lt;0,"0",[1]Submeters!CD21-[1]Submeters!CD20)</f>
        <v>#REF!</v>
      </c>
      <c r="CO15" s="22" t="e">
        <f>IF(([1]Submeters!CE21-[1]Submeters!CE20)&lt;0,"0",[1]Submeters!CE21-[1]Submeters!CE20)</f>
        <v>#REF!</v>
      </c>
    </row>
    <row r="16" spans="1:93" x14ac:dyDescent="0.25">
      <c r="A16" t="s">
        <v>11</v>
      </c>
      <c r="B16" s="10">
        <f t="shared" si="0"/>
        <v>15</v>
      </c>
      <c r="C16" s="10">
        <v>2</v>
      </c>
      <c r="D16" s="10">
        <v>2023</v>
      </c>
      <c r="E16" s="11">
        <f>Hotel!D23</f>
        <v>2336</v>
      </c>
      <c r="F16" s="11">
        <f>Hotel!F23</f>
        <v>2398</v>
      </c>
      <c r="G16" s="11">
        <f>Hotel!H23</f>
        <v>2196</v>
      </c>
      <c r="H16" s="11">
        <f>Hotel!N23</f>
        <v>157</v>
      </c>
      <c r="I16" s="11">
        <f>Hotel!P23</f>
        <v>1527</v>
      </c>
      <c r="J16" s="11">
        <f>Hotel!U23</f>
        <v>141</v>
      </c>
      <c r="K16" s="11">
        <f>Hotel!Y23</f>
        <v>82</v>
      </c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  <c r="AA16" s="22"/>
      <c r="AB16" s="22"/>
      <c r="AC16" s="22"/>
      <c r="AD16" s="22"/>
      <c r="AE16" s="22"/>
      <c r="AF16" s="22"/>
      <c r="AG16" s="22"/>
      <c r="AH16" s="22"/>
      <c r="AI16" s="22"/>
      <c r="AJ16" s="22"/>
      <c r="AK16" s="22"/>
      <c r="AL16" s="22"/>
      <c r="AM16" s="22"/>
      <c r="AN16" s="22"/>
      <c r="AO16" s="22"/>
      <c r="AP16" s="22"/>
      <c r="AQ16" s="22"/>
      <c r="AR16" s="22"/>
      <c r="AS16" s="22"/>
      <c r="AT16" s="22"/>
      <c r="AU16" s="22"/>
      <c r="AV16" s="22"/>
      <c r="AW16" s="22"/>
      <c r="AX16" s="22"/>
      <c r="AY16" s="22"/>
      <c r="AZ16" s="22"/>
      <c r="BA16" s="22"/>
      <c r="BB16" s="22"/>
      <c r="BC16" s="22"/>
      <c r="BD16" s="22"/>
      <c r="BE16" s="22"/>
      <c r="BF16" s="22"/>
      <c r="BG16" s="22"/>
      <c r="BH16" s="22"/>
      <c r="BI16" s="22">
        <f>IF(([1]Submeters!AY22-[1]Submeters!AY21)&lt;0,"0",[1]Submeters!AY22-[1]Submeters!AY21)</f>
        <v>320</v>
      </c>
      <c r="BJ16" s="22" t="e">
        <f>IF(([1]Submeters!AZ22-[1]Submeters!AZ21)&lt;0,"0",[1]Submeters!AZ22-[1]Submeters!AZ21)</f>
        <v>#REF!</v>
      </c>
      <c r="BK16" s="22" t="e">
        <f>IF(([1]Submeters!BA22-[1]Submeters!BA21)&lt;0,"0",[1]Submeters!BA22-[1]Submeters!BA21)</f>
        <v>#REF!</v>
      </c>
      <c r="BL16" s="22" t="e">
        <f>IF(([1]Submeters!BB22-[1]Submeters!BB21)&lt;0,"0",[1]Submeters!BB22-[1]Submeters!BB21)</f>
        <v>#REF!</v>
      </c>
      <c r="BM16" s="22" t="e">
        <f>IF(([1]Submeters!BC22-[1]Submeters!BC21)&lt;0,"0",[1]Submeters!BC22-[1]Submeters!BC21)</f>
        <v>#REF!</v>
      </c>
      <c r="BN16" s="22" t="e">
        <f>IF(([1]Submeters!BD22-[1]Submeters!BD21)&lt;0,"0",[1]Submeters!BD22-[1]Submeters!BD21)</f>
        <v>#REF!</v>
      </c>
      <c r="BO16" s="22" t="e">
        <f>IF(([1]Submeters!BE22-[1]Submeters!BE21)&lt;0,"0",[1]Submeters!BE22-[1]Submeters!BE21)</f>
        <v>#REF!</v>
      </c>
      <c r="BP16" s="22" t="e">
        <f>IF(([1]Submeters!BF22-[1]Submeters!BF21)&lt;0,"0",[1]Submeters!BF22-[1]Submeters!BF21)</f>
        <v>#REF!</v>
      </c>
      <c r="BQ16" s="22" t="e">
        <f>IF(([1]Submeters!BG22-[1]Submeters!BG21)&lt;0,"0",[1]Submeters!BG22-[1]Submeters!BG21)</f>
        <v>#REF!</v>
      </c>
      <c r="BR16" s="22" t="e">
        <f>IF(([1]Submeters!BH22-[1]Submeters!BH21)&lt;0,"0",[1]Submeters!BH22-[1]Submeters!BH21)</f>
        <v>#REF!</v>
      </c>
      <c r="BS16" s="22" t="e">
        <f>IF(([1]Submeters!BI22-[1]Submeters!BI21)&lt;0,"0",[1]Submeters!BI22-[1]Submeters!BI21)</f>
        <v>#REF!</v>
      </c>
      <c r="BT16" s="22" t="e">
        <f>IF(([1]Submeters!BJ22-[1]Submeters!BJ21)&lt;0,"0",[1]Submeters!BJ22-[1]Submeters!BJ21)</f>
        <v>#REF!</v>
      </c>
      <c r="BU16" s="22" t="e">
        <f>IF(([1]Submeters!BK22-[1]Submeters!BK21)&lt;0,"0",[1]Submeters!BK22-[1]Submeters!BK21)</f>
        <v>#REF!</v>
      </c>
      <c r="BV16" s="22" t="e">
        <f>IF(([1]Submeters!BL22-[1]Submeters!BL21)&lt;0,"0",[1]Submeters!BL22-[1]Submeters!BL21)</f>
        <v>#REF!</v>
      </c>
      <c r="BW16" s="22" t="e">
        <f>IF(([1]Submeters!BM22-[1]Submeters!BM21)&lt;0,"0",[1]Submeters!BM22-[1]Submeters!BM21)</f>
        <v>#REF!</v>
      </c>
      <c r="BX16" s="22" t="e">
        <f>IF(([1]Submeters!BN22-[1]Submeters!BN21)&lt;0,"0",[1]Submeters!BN22-[1]Submeters!BN21)</f>
        <v>#REF!</v>
      </c>
      <c r="BY16" s="22" t="e">
        <f>IF(([1]Submeters!BO22-[1]Submeters!BO21)&lt;0,"0",[1]Submeters!BO22-[1]Submeters!BO21)</f>
        <v>#REF!</v>
      </c>
      <c r="BZ16" s="22" t="e">
        <f>IF(([1]Submeters!BP22-[1]Submeters!BP21)&lt;0,"0",[1]Submeters!BP22-[1]Submeters!BP21)</f>
        <v>#REF!</v>
      </c>
      <c r="CA16" s="22" t="e">
        <f>IF(([1]Submeters!BQ22-[1]Submeters!BQ21)&lt;0,"0",[1]Submeters!BQ22-[1]Submeters!BQ21)</f>
        <v>#REF!</v>
      </c>
      <c r="CB16" s="22" t="e">
        <f>IF(([1]Submeters!BR22-[1]Submeters!BR21)&lt;0,"0",[1]Submeters!BR22-[1]Submeters!BR21)</f>
        <v>#REF!</v>
      </c>
      <c r="CC16" s="22" t="e">
        <f>IF(([1]Submeters!BS22-[1]Submeters!BS21)&lt;0,"0",[1]Submeters!BS22-[1]Submeters!BS21)</f>
        <v>#REF!</v>
      </c>
      <c r="CD16" s="22" t="e">
        <f>IF(([1]Submeters!BT22-[1]Submeters!BT21)&lt;0,"0",[1]Submeters!BT22-[1]Submeters!BT21)</f>
        <v>#REF!</v>
      </c>
      <c r="CE16" s="22" t="e">
        <f>IF(([1]Submeters!BU22-[1]Submeters!BU21)&lt;0,"0",[1]Submeters!BU22-[1]Submeters!BU21)</f>
        <v>#REF!</v>
      </c>
      <c r="CF16" s="22" t="e">
        <f>IF(([1]Submeters!BV22-[1]Submeters!BV21)&lt;0,"0",[1]Submeters!BV22-[1]Submeters!BV21)</f>
        <v>#REF!</v>
      </c>
      <c r="CG16" s="22" t="e">
        <f>IF(([1]Submeters!BW22-[1]Submeters!BW21)&lt;0,"0",[1]Submeters!BW22-[1]Submeters!BW21)</f>
        <v>#REF!</v>
      </c>
      <c r="CH16" s="22" t="e">
        <f>IF(([1]Submeters!BX22-[1]Submeters!BX21)&lt;0,"0",[1]Submeters!BX22-[1]Submeters!BX21)</f>
        <v>#REF!</v>
      </c>
      <c r="CI16" s="22" t="e">
        <f>IF(([1]Submeters!BY22-[1]Submeters!BY21)&lt;0,"0",[1]Submeters!BY22-[1]Submeters!BY21)</f>
        <v>#REF!</v>
      </c>
      <c r="CJ16" s="22" t="e">
        <f>IF(([1]Submeters!BZ22-[1]Submeters!BZ21)&lt;0,"0",[1]Submeters!BZ22-[1]Submeters!BZ21)</f>
        <v>#REF!</v>
      </c>
      <c r="CK16" s="22" t="e">
        <f>IF(([1]Submeters!CA22-[1]Submeters!CA21)&lt;0,"0",[1]Submeters!CA22-[1]Submeters!CA21)</f>
        <v>#REF!</v>
      </c>
      <c r="CL16" s="22" t="e">
        <f>IF(([1]Submeters!CB22-[1]Submeters!CB21)&lt;0,"0",[1]Submeters!CB22-[1]Submeters!CB21)</f>
        <v>#REF!</v>
      </c>
      <c r="CM16" s="22" t="e">
        <f>IF(([1]Submeters!CC22-[1]Submeters!CC21)&lt;0,"0",[1]Submeters!CC22-[1]Submeters!CC21)</f>
        <v>#REF!</v>
      </c>
      <c r="CN16" s="22" t="e">
        <f>IF(([1]Submeters!CD22-[1]Submeters!CD21)&lt;0,"0",[1]Submeters!CD22-[1]Submeters!CD21)</f>
        <v>#REF!</v>
      </c>
      <c r="CO16" s="22" t="e">
        <f>IF(([1]Submeters!CE22-[1]Submeters!CE21)&lt;0,"0",[1]Submeters!CE22-[1]Submeters!CE21)</f>
        <v>#REF!</v>
      </c>
    </row>
    <row r="17" spans="1:93" x14ac:dyDescent="0.25">
      <c r="A17" t="s">
        <v>11</v>
      </c>
      <c r="B17" s="10">
        <f t="shared" si="0"/>
        <v>16</v>
      </c>
      <c r="C17" s="10">
        <v>2</v>
      </c>
      <c r="D17" s="10">
        <v>2023</v>
      </c>
      <c r="E17" s="11">
        <f>Hotel!D24</f>
        <v>2458</v>
      </c>
      <c r="F17" s="11">
        <f>Hotel!F24</f>
        <v>2526</v>
      </c>
      <c r="G17" s="11">
        <f>Hotel!H24</f>
        <v>2320</v>
      </c>
      <c r="H17" s="11">
        <f>Hotel!N24</f>
        <v>145</v>
      </c>
      <c r="I17" s="11">
        <f>Hotel!P24</f>
        <v>1619</v>
      </c>
      <c r="J17" s="11">
        <f>Hotel!U24</f>
        <v>169</v>
      </c>
      <c r="K17" s="11">
        <f>Hotel!Y24</f>
        <v>83</v>
      </c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2"/>
      <c r="AS17" s="22"/>
      <c r="AT17" s="22"/>
      <c r="AU17" s="22"/>
      <c r="AV17" s="22"/>
      <c r="AW17" s="22"/>
      <c r="AX17" s="22"/>
      <c r="AY17" s="22"/>
      <c r="AZ17" s="22"/>
      <c r="BA17" s="22"/>
      <c r="BB17" s="22"/>
      <c r="BC17" s="22"/>
      <c r="BD17" s="22"/>
      <c r="BE17" s="22"/>
      <c r="BF17" s="22"/>
      <c r="BG17" s="22"/>
      <c r="BH17" s="22"/>
      <c r="BI17" s="22">
        <f>IF(([1]Submeters!AY23-[1]Submeters!AY22)&lt;0,"0",[1]Submeters!AY23-[1]Submeters!AY22)</f>
        <v>268</v>
      </c>
      <c r="BJ17" s="22" t="e">
        <f>IF(([1]Submeters!AZ23-[1]Submeters!AZ22)&lt;0,"0",[1]Submeters!AZ23-[1]Submeters!AZ22)</f>
        <v>#REF!</v>
      </c>
      <c r="BK17" s="22" t="e">
        <f>IF(([1]Submeters!BA23-[1]Submeters!BA22)&lt;0,"0",[1]Submeters!BA23-[1]Submeters!BA22)</f>
        <v>#REF!</v>
      </c>
      <c r="BL17" s="22" t="e">
        <f>IF(([1]Submeters!BB23-[1]Submeters!BB22)&lt;0,"0",[1]Submeters!BB23-[1]Submeters!BB22)</f>
        <v>#REF!</v>
      </c>
      <c r="BM17" s="22" t="e">
        <f>IF(([1]Submeters!BC23-[1]Submeters!BC22)&lt;0,"0",[1]Submeters!BC23-[1]Submeters!BC22)</f>
        <v>#REF!</v>
      </c>
      <c r="BN17" s="22" t="e">
        <f>IF(([1]Submeters!BD23-[1]Submeters!BD22)&lt;0,"0",[1]Submeters!BD23-[1]Submeters!BD22)</f>
        <v>#REF!</v>
      </c>
      <c r="BO17" s="22" t="e">
        <f>IF(([1]Submeters!BE23-[1]Submeters!BE22)&lt;0,"0",[1]Submeters!BE23-[1]Submeters!BE22)</f>
        <v>#REF!</v>
      </c>
      <c r="BP17" s="22" t="e">
        <f>IF(([1]Submeters!BF23-[1]Submeters!BF22)&lt;0,"0",[1]Submeters!BF23-[1]Submeters!BF22)</f>
        <v>#REF!</v>
      </c>
      <c r="BQ17" s="22" t="e">
        <f>IF(([1]Submeters!BG23-[1]Submeters!BG22)&lt;0,"0",[1]Submeters!BG23-[1]Submeters!BG22)</f>
        <v>#REF!</v>
      </c>
      <c r="BR17" s="22" t="e">
        <f>IF(([1]Submeters!BH23-[1]Submeters!BH22)&lt;0,"0",[1]Submeters!BH23-[1]Submeters!BH22)</f>
        <v>#REF!</v>
      </c>
      <c r="BS17" s="22" t="e">
        <f>IF(([1]Submeters!BI23-[1]Submeters!BI22)&lt;0,"0",[1]Submeters!BI23-[1]Submeters!BI22)</f>
        <v>#REF!</v>
      </c>
      <c r="BT17" s="22" t="e">
        <f>IF(([1]Submeters!BJ23-[1]Submeters!BJ22)&lt;0,"0",[1]Submeters!BJ23-[1]Submeters!BJ22)</f>
        <v>#REF!</v>
      </c>
      <c r="BU17" s="22" t="e">
        <f>IF(([1]Submeters!BK23-[1]Submeters!BK22)&lt;0,"0",[1]Submeters!BK23-[1]Submeters!BK22)</f>
        <v>#REF!</v>
      </c>
      <c r="BV17" s="22" t="e">
        <f>IF(([1]Submeters!BL23-[1]Submeters!BL22)&lt;0,"0",[1]Submeters!BL23-[1]Submeters!BL22)</f>
        <v>#REF!</v>
      </c>
      <c r="BW17" s="22" t="e">
        <f>IF(([1]Submeters!BM23-[1]Submeters!BM22)&lt;0,"0",[1]Submeters!BM23-[1]Submeters!BM22)</f>
        <v>#REF!</v>
      </c>
      <c r="BX17" s="22" t="e">
        <f>IF(([1]Submeters!BN23-[1]Submeters!BN22)&lt;0,"0",[1]Submeters!BN23-[1]Submeters!BN22)</f>
        <v>#REF!</v>
      </c>
      <c r="BY17" s="22" t="e">
        <f>IF(([1]Submeters!BO23-[1]Submeters!BO22)&lt;0,"0",[1]Submeters!BO23-[1]Submeters!BO22)</f>
        <v>#REF!</v>
      </c>
      <c r="BZ17" s="22" t="e">
        <f>IF(([1]Submeters!BP23-[1]Submeters!BP22)&lt;0,"0",[1]Submeters!BP23-[1]Submeters!BP22)</f>
        <v>#REF!</v>
      </c>
      <c r="CA17" s="22" t="e">
        <f>IF(([1]Submeters!BQ23-[1]Submeters!BQ22)&lt;0,"0",[1]Submeters!BQ23-[1]Submeters!BQ22)</f>
        <v>#REF!</v>
      </c>
      <c r="CB17" s="22" t="e">
        <f>IF(([1]Submeters!BR23-[1]Submeters!BR22)&lt;0,"0",[1]Submeters!BR23-[1]Submeters!BR22)</f>
        <v>#REF!</v>
      </c>
      <c r="CC17" s="22" t="e">
        <f>IF(([1]Submeters!BS23-[1]Submeters!BS22)&lt;0,"0",[1]Submeters!BS23-[1]Submeters!BS22)</f>
        <v>#REF!</v>
      </c>
      <c r="CD17" s="22" t="e">
        <f>IF(([1]Submeters!BT23-[1]Submeters!BT22)&lt;0,"0",[1]Submeters!BT23-[1]Submeters!BT22)</f>
        <v>#REF!</v>
      </c>
      <c r="CE17" s="22" t="e">
        <f>IF(([1]Submeters!BU23-[1]Submeters!BU22)&lt;0,"0",[1]Submeters!BU23-[1]Submeters!BU22)</f>
        <v>#REF!</v>
      </c>
      <c r="CF17" s="22" t="e">
        <f>IF(([1]Submeters!BV23-[1]Submeters!BV22)&lt;0,"0",[1]Submeters!BV23-[1]Submeters!BV22)</f>
        <v>#REF!</v>
      </c>
      <c r="CG17" s="22" t="e">
        <f>IF(([1]Submeters!BW23-[1]Submeters!BW22)&lt;0,"0",[1]Submeters!BW23-[1]Submeters!BW22)</f>
        <v>#REF!</v>
      </c>
      <c r="CH17" s="22" t="e">
        <f>IF(([1]Submeters!BX23-[1]Submeters!BX22)&lt;0,"0",[1]Submeters!BX23-[1]Submeters!BX22)</f>
        <v>#REF!</v>
      </c>
      <c r="CI17" s="22" t="e">
        <f>IF(([1]Submeters!BY23-[1]Submeters!BY22)&lt;0,"0",[1]Submeters!BY23-[1]Submeters!BY22)</f>
        <v>#REF!</v>
      </c>
      <c r="CJ17" s="22" t="e">
        <f>IF(([1]Submeters!BZ23-[1]Submeters!BZ22)&lt;0,"0",[1]Submeters!BZ23-[1]Submeters!BZ22)</f>
        <v>#REF!</v>
      </c>
      <c r="CK17" s="22" t="e">
        <f>IF(([1]Submeters!CA23-[1]Submeters!CA22)&lt;0,"0",[1]Submeters!CA23-[1]Submeters!CA22)</f>
        <v>#REF!</v>
      </c>
      <c r="CL17" s="22" t="e">
        <f>IF(([1]Submeters!CB23-[1]Submeters!CB22)&lt;0,"0",[1]Submeters!CB23-[1]Submeters!CB22)</f>
        <v>#REF!</v>
      </c>
      <c r="CM17" s="22" t="e">
        <f>IF(([1]Submeters!CC23-[1]Submeters!CC22)&lt;0,"0",[1]Submeters!CC23-[1]Submeters!CC22)</f>
        <v>#REF!</v>
      </c>
      <c r="CN17" s="22" t="e">
        <f>IF(([1]Submeters!CD23-[1]Submeters!CD22)&lt;0,"0",[1]Submeters!CD23-[1]Submeters!CD22)</f>
        <v>#REF!</v>
      </c>
      <c r="CO17" s="22" t="e">
        <f>IF(([1]Submeters!CE23-[1]Submeters!CE22)&lt;0,"0",[1]Submeters!CE23-[1]Submeters!CE22)</f>
        <v>#REF!</v>
      </c>
    </row>
    <row r="18" spans="1:93" x14ac:dyDescent="0.25">
      <c r="A18" t="s">
        <v>11</v>
      </c>
      <c r="B18" s="10">
        <f t="shared" si="0"/>
        <v>17</v>
      </c>
      <c r="C18" s="10">
        <v>2</v>
      </c>
      <c r="D18" s="10">
        <v>2023</v>
      </c>
      <c r="E18" s="11">
        <f>Hotel!D25</f>
        <v>2405</v>
      </c>
      <c r="F18" s="11">
        <f>Hotel!F25</f>
        <v>2457</v>
      </c>
      <c r="G18" s="11">
        <f>Hotel!H25</f>
        <v>2252</v>
      </c>
      <c r="H18" s="11">
        <f>Hotel!N25</f>
        <v>132</v>
      </c>
      <c r="I18" s="11">
        <f>Hotel!P25</f>
        <v>1804</v>
      </c>
      <c r="J18" s="11">
        <f>Hotel!U25</f>
        <v>169</v>
      </c>
      <c r="K18" s="11">
        <f>Hotel!Y25</f>
        <v>106</v>
      </c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2"/>
      <c r="AS18" s="22"/>
      <c r="AT18" s="22"/>
      <c r="AU18" s="22"/>
      <c r="AV18" s="22"/>
      <c r="AW18" s="22"/>
      <c r="AX18" s="22"/>
      <c r="AY18" s="22"/>
      <c r="AZ18" s="22"/>
      <c r="BA18" s="22"/>
      <c r="BB18" s="22"/>
      <c r="BC18" s="22"/>
      <c r="BD18" s="22"/>
      <c r="BE18" s="22"/>
      <c r="BF18" s="22"/>
      <c r="BG18" s="22"/>
      <c r="BH18" s="22"/>
      <c r="BI18" s="22">
        <f>IF(([1]Submeters!AY24-[1]Submeters!AY23)&lt;0,"0",[1]Submeters!AY24-[1]Submeters!AY23)</f>
        <v>225</v>
      </c>
      <c r="BJ18" s="22" t="e">
        <f>IF(([1]Submeters!AZ24-[1]Submeters!AZ23)&lt;0,"0",[1]Submeters!AZ24-[1]Submeters!AZ23)</f>
        <v>#REF!</v>
      </c>
      <c r="BK18" s="22" t="e">
        <f>IF(([1]Submeters!BA24-[1]Submeters!BA23)&lt;0,"0",[1]Submeters!BA24-[1]Submeters!BA23)</f>
        <v>#REF!</v>
      </c>
      <c r="BL18" s="22" t="e">
        <f>IF(([1]Submeters!BB24-[1]Submeters!BB23)&lt;0,"0",[1]Submeters!BB24-[1]Submeters!BB23)</f>
        <v>#REF!</v>
      </c>
      <c r="BM18" s="22" t="e">
        <f>IF(([1]Submeters!BC24-[1]Submeters!BC23)&lt;0,"0",[1]Submeters!BC24-[1]Submeters!BC23)</f>
        <v>#REF!</v>
      </c>
      <c r="BN18" s="22" t="e">
        <f>IF(([1]Submeters!BD24-[1]Submeters!BD23)&lt;0,"0",[1]Submeters!BD24-[1]Submeters!BD23)</f>
        <v>#REF!</v>
      </c>
      <c r="BO18" s="22" t="e">
        <f>IF(([1]Submeters!BE24-[1]Submeters!BE23)&lt;0,"0",[1]Submeters!BE24-[1]Submeters!BE23)</f>
        <v>#REF!</v>
      </c>
      <c r="BP18" s="22" t="e">
        <f>IF(([1]Submeters!BF24-[1]Submeters!BF23)&lt;0,"0",[1]Submeters!BF24-[1]Submeters!BF23)</f>
        <v>#REF!</v>
      </c>
      <c r="BQ18" s="22" t="e">
        <f>IF(([1]Submeters!BG24-[1]Submeters!BG23)&lt;0,"0",[1]Submeters!BG24-[1]Submeters!BG23)</f>
        <v>#REF!</v>
      </c>
      <c r="BR18" s="22" t="e">
        <f>IF(([1]Submeters!BH24-[1]Submeters!BH23)&lt;0,"0",[1]Submeters!BH24-[1]Submeters!BH23)</f>
        <v>#REF!</v>
      </c>
      <c r="BS18" s="22" t="e">
        <f>IF(([1]Submeters!BI24-[1]Submeters!BI23)&lt;0,"0",[1]Submeters!BI24-[1]Submeters!BI23)</f>
        <v>#REF!</v>
      </c>
      <c r="BT18" s="22" t="e">
        <f>IF(([1]Submeters!BJ24-[1]Submeters!BJ23)&lt;0,"0",[1]Submeters!BJ24-[1]Submeters!BJ23)</f>
        <v>#REF!</v>
      </c>
      <c r="BU18" s="22" t="e">
        <f>IF(([1]Submeters!BK24-[1]Submeters!BK23)&lt;0,"0",[1]Submeters!BK24-[1]Submeters!BK23)</f>
        <v>#REF!</v>
      </c>
      <c r="BV18" s="22" t="e">
        <f>IF(([1]Submeters!BL24-[1]Submeters!BL23)&lt;0,"0",[1]Submeters!BL24-[1]Submeters!BL23)</f>
        <v>#REF!</v>
      </c>
      <c r="BW18" s="22" t="e">
        <f>IF(([1]Submeters!BM24-[1]Submeters!BM23)&lt;0,"0",[1]Submeters!BM24-[1]Submeters!BM23)</f>
        <v>#REF!</v>
      </c>
      <c r="BX18" s="22" t="e">
        <f>IF(([1]Submeters!BN24-[1]Submeters!BN23)&lt;0,"0",[1]Submeters!BN24-[1]Submeters!BN23)</f>
        <v>#REF!</v>
      </c>
      <c r="BY18" s="22" t="e">
        <f>IF(([1]Submeters!BO24-[1]Submeters!BO23)&lt;0,"0",[1]Submeters!BO24-[1]Submeters!BO23)</f>
        <v>#REF!</v>
      </c>
      <c r="BZ18" s="22" t="e">
        <f>IF(([1]Submeters!BP24-[1]Submeters!BP23)&lt;0,"0",[1]Submeters!BP24-[1]Submeters!BP23)</f>
        <v>#REF!</v>
      </c>
      <c r="CA18" s="22" t="e">
        <f>IF(([1]Submeters!BQ24-[1]Submeters!BQ23)&lt;0,"0",[1]Submeters!BQ24-[1]Submeters!BQ23)</f>
        <v>#REF!</v>
      </c>
      <c r="CB18" s="22" t="e">
        <f>IF(([1]Submeters!BR24-[1]Submeters!BR23)&lt;0,"0",[1]Submeters!BR24-[1]Submeters!BR23)</f>
        <v>#REF!</v>
      </c>
      <c r="CC18" s="22" t="e">
        <f>IF(([1]Submeters!BS24-[1]Submeters!BS23)&lt;0,"0",[1]Submeters!BS24-[1]Submeters!BS23)</f>
        <v>#REF!</v>
      </c>
      <c r="CD18" s="22" t="e">
        <f>IF(([1]Submeters!BT24-[1]Submeters!BT23)&lt;0,"0",[1]Submeters!BT24-[1]Submeters!BT23)</f>
        <v>#REF!</v>
      </c>
      <c r="CE18" s="22" t="e">
        <f>IF(([1]Submeters!BU24-[1]Submeters!BU23)&lt;0,"0",[1]Submeters!BU24-[1]Submeters!BU23)</f>
        <v>#REF!</v>
      </c>
      <c r="CF18" s="22" t="e">
        <f>IF(([1]Submeters!BV24-[1]Submeters!BV23)&lt;0,"0",[1]Submeters!BV24-[1]Submeters!BV23)</f>
        <v>#REF!</v>
      </c>
      <c r="CG18" s="22" t="e">
        <f>IF(([1]Submeters!BW24-[1]Submeters!BW23)&lt;0,"0",[1]Submeters!BW24-[1]Submeters!BW23)</f>
        <v>#REF!</v>
      </c>
      <c r="CH18" s="22" t="e">
        <f>IF(([1]Submeters!BX24-[1]Submeters!BX23)&lt;0,"0",[1]Submeters!BX24-[1]Submeters!BX23)</f>
        <v>#REF!</v>
      </c>
      <c r="CI18" s="22" t="e">
        <f>IF(([1]Submeters!BY24-[1]Submeters!BY23)&lt;0,"0",[1]Submeters!BY24-[1]Submeters!BY23)</f>
        <v>#REF!</v>
      </c>
      <c r="CJ18" s="22" t="e">
        <f>IF(([1]Submeters!BZ24-[1]Submeters!BZ23)&lt;0,"0",[1]Submeters!BZ24-[1]Submeters!BZ23)</f>
        <v>#REF!</v>
      </c>
      <c r="CK18" s="22" t="e">
        <f>IF(([1]Submeters!CA24-[1]Submeters!CA23)&lt;0,"0",[1]Submeters!CA24-[1]Submeters!CA23)</f>
        <v>#REF!</v>
      </c>
      <c r="CL18" s="22" t="e">
        <f>IF(([1]Submeters!CB24-[1]Submeters!CB23)&lt;0,"0",[1]Submeters!CB24-[1]Submeters!CB23)</f>
        <v>#REF!</v>
      </c>
      <c r="CM18" s="22" t="e">
        <f>IF(([1]Submeters!CC24-[1]Submeters!CC23)&lt;0,"0",[1]Submeters!CC24-[1]Submeters!CC23)</f>
        <v>#REF!</v>
      </c>
      <c r="CN18" s="22" t="e">
        <f>IF(([1]Submeters!CD24-[1]Submeters!CD23)&lt;0,"0",[1]Submeters!CD24-[1]Submeters!CD23)</f>
        <v>#REF!</v>
      </c>
      <c r="CO18" s="22" t="e">
        <f>IF(([1]Submeters!CE24-[1]Submeters!CE23)&lt;0,"0",[1]Submeters!CE24-[1]Submeters!CE23)</f>
        <v>#REF!</v>
      </c>
    </row>
    <row r="19" spans="1:93" x14ac:dyDescent="0.25">
      <c r="A19" t="s">
        <v>11</v>
      </c>
      <c r="B19" s="10">
        <f t="shared" si="0"/>
        <v>18</v>
      </c>
      <c r="C19" s="10">
        <v>2</v>
      </c>
      <c r="D19" s="10">
        <v>2023</v>
      </c>
      <c r="E19" s="11">
        <f>Hotel!D26</f>
        <v>2327</v>
      </c>
      <c r="F19" s="11">
        <f>Hotel!F26</f>
        <v>2369</v>
      </c>
      <c r="G19" s="11">
        <f>Hotel!H26</f>
        <v>2173</v>
      </c>
      <c r="H19" s="11">
        <f>Hotel!N26</f>
        <v>154</v>
      </c>
      <c r="I19" s="11">
        <f>Hotel!P26</f>
        <v>1639</v>
      </c>
      <c r="J19" s="11">
        <f>Hotel!U26</f>
        <v>240</v>
      </c>
      <c r="K19" s="11">
        <f>Hotel!Y26</f>
        <v>102</v>
      </c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2"/>
      <c r="AB19" s="22"/>
      <c r="AC19" s="22"/>
      <c r="AD19" s="22"/>
      <c r="AE19" s="22"/>
      <c r="AF19" s="22"/>
      <c r="AG19" s="22"/>
      <c r="AH19" s="22"/>
      <c r="AI19" s="22"/>
      <c r="AJ19" s="22"/>
      <c r="AK19" s="22"/>
      <c r="AL19" s="22"/>
      <c r="AM19" s="22"/>
      <c r="AN19" s="22"/>
      <c r="AO19" s="22"/>
      <c r="AP19" s="22"/>
      <c r="AQ19" s="22"/>
      <c r="AR19" s="22"/>
      <c r="AS19" s="22"/>
      <c r="AT19" s="22"/>
      <c r="AU19" s="22"/>
      <c r="AV19" s="22"/>
      <c r="AW19" s="22"/>
      <c r="AX19" s="22"/>
      <c r="AY19" s="22"/>
      <c r="AZ19" s="22"/>
      <c r="BA19" s="22"/>
      <c r="BB19" s="22"/>
      <c r="BC19" s="22"/>
      <c r="BD19" s="22"/>
      <c r="BE19" s="22"/>
      <c r="BF19" s="22"/>
      <c r="BG19" s="22"/>
      <c r="BH19" s="22"/>
      <c r="BI19" s="22">
        <f>IF(([1]Submeters!AY25-[1]Submeters!AY24)&lt;0,"0",[1]Submeters!AY25-[1]Submeters!AY24)</f>
        <v>320</v>
      </c>
      <c r="BJ19" s="22" t="e">
        <f>IF(([1]Submeters!AZ25-[1]Submeters!AZ24)&lt;0,"0",[1]Submeters!AZ25-[1]Submeters!AZ24)</f>
        <v>#REF!</v>
      </c>
      <c r="BK19" s="22" t="e">
        <f>IF(([1]Submeters!BA25-[1]Submeters!BA24)&lt;0,"0",[1]Submeters!BA25-[1]Submeters!BA24)</f>
        <v>#REF!</v>
      </c>
      <c r="BL19" s="22" t="e">
        <f>IF(([1]Submeters!BB25-[1]Submeters!BB24)&lt;0,"0",[1]Submeters!BB25-[1]Submeters!BB24)</f>
        <v>#REF!</v>
      </c>
      <c r="BM19" s="22" t="e">
        <f>IF(([1]Submeters!BC25-[1]Submeters!BC24)&lt;0,"0",[1]Submeters!BC25-[1]Submeters!BC24)</f>
        <v>#REF!</v>
      </c>
      <c r="BN19" s="22" t="e">
        <f>IF(([1]Submeters!BD25-[1]Submeters!BD24)&lt;0,"0",[1]Submeters!BD25-[1]Submeters!BD24)</f>
        <v>#REF!</v>
      </c>
      <c r="BO19" s="22" t="e">
        <f>IF(([1]Submeters!BE25-[1]Submeters!BE24)&lt;0,"0",[1]Submeters!BE25-[1]Submeters!BE24)</f>
        <v>#REF!</v>
      </c>
      <c r="BP19" s="22" t="e">
        <f>IF(([1]Submeters!BF25-[1]Submeters!BF24)&lt;0,"0",[1]Submeters!BF25-[1]Submeters!BF24)</f>
        <v>#REF!</v>
      </c>
      <c r="BQ19" s="22" t="e">
        <f>IF(([1]Submeters!BG25-[1]Submeters!BG24)&lt;0,"0",[1]Submeters!BG25-[1]Submeters!BG24)</f>
        <v>#REF!</v>
      </c>
      <c r="BR19" s="22" t="e">
        <f>IF(([1]Submeters!BH25-[1]Submeters!BH24)&lt;0,"0",[1]Submeters!BH25-[1]Submeters!BH24)</f>
        <v>#REF!</v>
      </c>
      <c r="BS19" s="22" t="e">
        <f>IF(([1]Submeters!BI25-[1]Submeters!BI24)&lt;0,"0",[1]Submeters!BI25-[1]Submeters!BI24)</f>
        <v>#REF!</v>
      </c>
      <c r="BT19" s="22" t="e">
        <f>IF(([1]Submeters!BJ25-[1]Submeters!BJ24)&lt;0,"0",[1]Submeters!BJ25-[1]Submeters!BJ24)</f>
        <v>#REF!</v>
      </c>
      <c r="BU19" s="22" t="e">
        <f>IF(([1]Submeters!BK25-[1]Submeters!BK24)&lt;0,"0",[1]Submeters!BK25-[1]Submeters!BK24)</f>
        <v>#REF!</v>
      </c>
      <c r="BV19" s="22" t="e">
        <f>IF(([1]Submeters!BL25-[1]Submeters!BL24)&lt;0,"0",[1]Submeters!BL25-[1]Submeters!BL24)</f>
        <v>#REF!</v>
      </c>
      <c r="BW19" s="22" t="e">
        <f>IF(([1]Submeters!BM25-[1]Submeters!BM24)&lt;0,"0",[1]Submeters!BM25-[1]Submeters!BM24)</f>
        <v>#REF!</v>
      </c>
      <c r="BX19" s="22" t="e">
        <f>IF(([1]Submeters!BN25-[1]Submeters!BN24)&lt;0,"0",[1]Submeters!BN25-[1]Submeters!BN24)</f>
        <v>#REF!</v>
      </c>
      <c r="BY19" s="22" t="e">
        <f>IF(([1]Submeters!BO25-[1]Submeters!BO24)&lt;0,"0",[1]Submeters!BO25-[1]Submeters!BO24)</f>
        <v>#REF!</v>
      </c>
      <c r="BZ19" s="22" t="e">
        <f>IF(([1]Submeters!BP25-[1]Submeters!BP24)&lt;0,"0",[1]Submeters!BP25-[1]Submeters!BP24)</f>
        <v>#REF!</v>
      </c>
      <c r="CA19" s="22" t="e">
        <f>IF(([1]Submeters!BQ25-[1]Submeters!BQ24)&lt;0,"0",[1]Submeters!BQ25-[1]Submeters!BQ24)</f>
        <v>#REF!</v>
      </c>
      <c r="CB19" s="22" t="e">
        <f>IF(([1]Submeters!BR25-[1]Submeters!BR24)&lt;0,"0",[1]Submeters!BR25-[1]Submeters!BR24)</f>
        <v>#REF!</v>
      </c>
      <c r="CC19" s="22" t="e">
        <f>IF(([1]Submeters!BS25-[1]Submeters!BS24)&lt;0,"0",[1]Submeters!BS25-[1]Submeters!BS24)</f>
        <v>#REF!</v>
      </c>
      <c r="CD19" s="22" t="e">
        <f>IF(([1]Submeters!BT25-[1]Submeters!BT24)&lt;0,"0",[1]Submeters!BT25-[1]Submeters!BT24)</f>
        <v>#REF!</v>
      </c>
      <c r="CE19" s="22" t="e">
        <f>IF(([1]Submeters!BU25-[1]Submeters!BU24)&lt;0,"0",[1]Submeters!BU25-[1]Submeters!BU24)</f>
        <v>#REF!</v>
      </c>
      <c r="CF19" s="22" t="e">
        <f>IF(([1]Submeters!BV25-[1]Submeters!BV24)&lt;0,"0",[1]Submeters!BV25-[1]Submeters!BV24)</f>
        <v>#REF!</v>
      </c>
      <c r="CG19" s="22" t="e">
        <f>IF(([1]Submeters!BW25-[1]Submeters!BW24)&lt;0,"0",[1]Submeters!BW25-[1]Submeters!BW24)</f>
        <v>#REF!</v>
      </c>
      <c r="CH19" s="22" t="e">
        <f>IF(([1]Submeters!BX25-[1]Submeters!BX24)&lt;0,"0",[1]Submeters!BX25-[1]Submeters!BX24)</f>
        <v>#REF!</v>
      </c>
      <c r="CI19" s="22" t="e">
        <f>IF(([1]Submeters!BY25-[1]Submeters!BY24)&lt;0,"0",[1]Submeters!BY25-[1]Submeters!BY24)</f>
        <v>#REF!</v>
      </c>
      <c r="CJ19" s="22" t="e">
        <f>IF(([1]Submeters!BZ25-[1]Submeters!BZ24)&lt;0,"0",[1]Submeters!BZ25-[1]Submeters!BZ24)</f>
        <v>#REF!</v>
      </c>
      <c r="CK19" s="22" t="e">
        <f>IF(([1]Submeters!CA25-[1]Submeters!CA24)&lt;0,"0",[1]Submeters!CA25-[1]Submeters!CA24)</f>
        <v>#REF!</v>
      </c>
      <c r="CL19" s="22" t="e">
        <f>IF(([1]Submeters!CB25-[1]Submeters!CB24)&lt;0,"0",[1]Submeters!CB25-[1]Submeters!CB24)</f>
        <v>#REF!</v>
      </c>
      <c r="CM19" s="22" t="e">
        <f>IF(([1]Submeters!CC25-[1]Submeters!CC24)&lt;0,"0",[1]Submeters!CC25-[1]Submeters!CC24)</f>
        <v>#REF!</v>
      </c>
      <c r="CN19" s="22" t="e">
        <f>IF(([1]Submeters!CD25-[1]Submeters!CD24)&lt;0,"0",[1]Submeters!CD25-[1]Submeters!CD24)</f>
        <v>#REF!</v>
      </c>
      <c r="CO19" s="22" t="e">
        <f>IF(([1]Submeters!CE25-[1]Submeters!CE24)&lt;0,"0",[1]Submeters!CE25-[1]Submeters!CE24)</f>
        <v>#REF!</v>
      </c>
    </row>
    <row r="20" spans="1:93" x14ac:dyDescent="0.25">
      <c r="A20" t="s">
        <v>11</v>
      </c>
      <c r="B20" s="10">
        <f t="shared" si="0"/>
        <v>19</v>
      </c>
      <c r="C20" s="10">
        <v>2</v>
      </c>
      <c r="D20" s="10">
        <v>2023</v>
      </c>
      <c r="E20" s="11">
        <f>Hotel!D27</f>
        <v>2454</v>
      </c>
      <c r="F20" s="11">
        <f>Hotel!F27</f>
        <v>2486</v>
      </c>
      <c r="G20" s="11">
        <f>Hotel!H27</f>
        <v>2291</v>
      </c>
      <c r="H20" s="11">
        <f>Hotel!N27</f>
        <v>148</v>
      </c>
      <c r="I20" s="11">
        <f>Hotel!P27</f>
        <v>1732</v>
      </c>
      <c r="J20" s="11">
        <f>Hotel!U27</f>
        <v>161</v>
      </c>
      <c r="K20" s="11">
        <f>Hotel!Y27</f>
        <v>62</v>
      </c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  <c r="AA20" s="22"/>
      <c r="AB20" s="22"/>
      <c r="AC20" s="22"/>
      <c r="AD20" s="22"/>
      <c r="AE20" s="22"/>
      <c r="AF20" s="22"/>
      <c r="AG20" s="22"/>
      <c r="AH20" s="22"/>
      <c r="AI20" s="22"/>
      <c r="AJ20" s="22"/>
      <c r="AK20" s="22"/>
      <c r="AL20" s="22"/>
      <c r="AM20" s="22"/>
      <c r="AN20" s="22"/>
      <c r="AO20" s="22"/>
      <c r="AP20" s="22"/>
      <c r="AQ20" s="22"/>
      <c r="AR20" s="22"/>
      <c r="AS20" s="22"/>
      <c r="AT20" s="22"/>
      <c r="AU20" s="22"/>
      <c r="AV20" s="22"/>
      <c r="AW20" s="22"/>
      <c r="AX20" s="22"/>
      <c r="AY20" s="22"/>
      <c r="AZ20" s="22"/>
      <c r="BA20" s="22"/>
      <c r="BB20" s="22"/>
      <c r="BC20" s="22"/>
      <c r="BD20" s="22"/>
      <c r="BE20" s="22"/>
      <c r="BF20" s="22"/>
      <c r="BG20" s="22"/>
      <c r="BH20" s="22"/>
      <c r="BI20" s="22">
        <f>IF(([1]Submeters!AY26-[1]Submeters!AY25)&lt;0,"0",[1]Submeters!AY26-[1]Submeters!AY25)</f>
        <v>318</v>
      </c>
      <c r="BJ20" s="22" t="e">
        <f>IF(([1]Submeters!AZ26-[1]Submeters!AZ25)&lt;0,"0",[1]Submeters!AZ26-[1]Submeters!AZ25)</f>
        <v>#REF!</v>
      </c>
      <c r="BK20" s="22" t="e">
        <f>IF(([1]Submeters!BA26-[1]Submeters!BA25)&lt;0,"0",[1]Submeters!BA26-[1]Submeters!BA25)</f>
        <v>#REF!</v>
      </c>
      <c r="BL20" s="22" t="e">
        <f>IF(([1]Submeters!BB26-[1]Submeters!BB25)&lt;0,"0",[1]Submeters!BB26-[1]Submeters!BB25)</f>
        <v>#REF!</v>
      </c>
      <c r="BM20" s="22" t="e">
        <f>IF(([1]Submeters!BC26-[1]Submeters!BC25)&lt;0,"0",[1]Submeters!BC26-[1]Submeters!BC25)</f>
        <v>#REF!</v>
      </c>
      <c r="BN20" s="22" t="e">
        <f>IF(([1]Submeters!BD26-[1]Submeters!BD25)&lt;0,"0",[1]Submeters!BD26-[1]Submeters!BD25)</f>
        <v>#REF!</v>
      </c>
      <c r="BO20" s="22" t="e">
        <f>IF(([1]Submeters!BE26-[1]Submeters!BE25)&lt;0,"0",[1]Submeters!BE26-[1]Submeters!BE25)</f>
        <v>#REF!</v>
      </c>
      <c r="BP20" s="22" t="e">
        <f>IF(([1]Submeters!BF26-[1]Submeters!BF25)&lt;0,"0",[1]Submeters!BF26-[1]Submeters!BF25)</f>
        <v>#REF!</v>
      </c>
      <c r="BQ20" s="22" t="e">
        <f>IF(([1]Submeters!BG26-[1]Submeters!BG25)&lt;0,"0",[1]Submeters!BG26-[1]Submeters!BG25)</f>
        <v>#REF!</v>
      </c>
      <c r="BR20" s="22" t="e">
        <f>IF(([1]Submeters!BH26-[1]Submeters!BH25)&lt;0,"0",[1]Submeters!BH26-[1]Submeters!BH25)</f>
        <v>#REF!</v>
      </c>
      <c r="BS20" s="22" t="e">
        <f>IF(([1]Submeters!BI26-[1]Submeters!BI25)&lt;0,"0",[1]Submeters!BI26-[1]Submeters!BI25)</f>
        <v>#REF!</v>
      </c>
      <c r="BT20" s="22" t="e">
        <f>IF(([1]Submeters!BJ26-[1]Submeters!BJ25)&lt;0,"0",[1]Submeters!BJ26-[1]Submeters!BJ25)</f>
        <v>#REF!</v>
      </c>
      <c r="BU20" s="22" t="e">
        <f>IF(([1]Submeters!BK26-[1]Submeters!BK25)&lt;0,"0",[1]Submeters!BK26-[1]Submeters!BK25)</f>
        <v>#REF!</v>
      </c>
      <c r="BV20" s="22" t="e">
        <f>IF(([1]Submeters!BL26-[1]Submeters!BL25)&lt;0,"0",[1]Submeters!BL26-[1]Submeters!BL25)</f>
        <v>#REF!</v>
      </c>
      <c r="BW20" s="22" t="e">
        <f>IF(([1]Submeters!BM26-[1]Submeters!BM25)&lt;0,"0",[1]Submeters!BM26-[1]Submeters!BM25)</f>
        <v>#REF!</v>
      </c>
      <c r="BX20" s="22" t="e">
        <f>IF(([1]Submeters!BN26-[1]Submeters!BN25)&lt;0,"0",[1]Submeters!BN26-[1]Submeters!BN25)</f>
        <v>#REF!</v>
      </c>
      <c r="BY20" s="22" t="e">
        <f>IF(([1]Submeters!BO26-[1]Submeters!BO25)&lt;0,"0",[1]Submeters!BO26-[1]Submeters!BO25)</f>
        <v>#REF!</v>
      </c>
      <c r="BZ20" s="22" t="e">
        <f>IF(([1]Submeters!BP26-[1]Submeters!BP25)&lt;0,"0",[1]Submeters!BP26-[1]Submeters!BP25)</f>
        <v>#REF!</v>
      </c>
      <c r="CA20" s="22" t="e">
        <f>IF(([1]Submeters!BQ26-[1]Submeters!BQ25)&lt;0,"0",[1]Submeters!BQ26-[1]Submeters!BQ25)</f>
        <v>#REF!</v>
      </c>
      <c r="CB20" s="22" t="e">
        <f>IF(([1]Submeters!BR26-[1]Submeters!BR25)&lt;0,"0",[1]Submeters!BR26-[1]Submeters!BR25)</f>
        <v>#REF!</v>
      </c>
      <c r="CC20" s="22" t="e">
        <f>IF(([1]Submeters!BS26-[1]Submeters!BS25)&lt;0,"0",[1]Submeters!BS26-[1]Submeters!BS25)</f>
        <v>#REF!</v>
      </c>
      <c r="CD20" s="22" t="e">
        <f>IF(([1]Submeters!BT26-[1]Submeters!BT25)&lt;0,"0",[1]Submeters!BT26-[1]Submeters!BT25)</f>
        <v>#REF!</v>
      </c>
      <c r="CE20" s="22" t="e">
        <f>IF(([1]Submeters!BU26-[1]Submeters!BU25)&lt;0,"0",[1]Submeters!BU26-[1]Submeters!BU25)</f>
        <v>#REF!</v>
      </c>
      <c r="CF20" s="22" t="e">
        <f>IF(([1]Submeters!BV26-[1]Submeters!BV25)&lt;0,"0",[1]Submeters!BV26-[1]Submeters!BV25)</f>
        <v>#REF!</v>
      </c>
      <c r="CG20" s="22" t="e">
        <f>IF(([1]Submeters!BW26-[1]Submeters!BW25)&lt;0,"0",[1]Submeters!BW26-[1]Submeters!BW25)</f>
        <v>#REF!</v>
      </c>
      <c r="CH20" s="22" t="e">
        <f>IF(([1]Submeters!BX26-[1]Submeters!BX25)&lt;0,"0",[1]Submeters!BX26-[1]Submeters!BX25)</f>
        <v>#REF!</v>
      </c>
      <c r="CI20" s="22" t="e">
        <f>IF(([1]Submeters!BY26-[1]Submeters!BY25)&lt;0,"0",[1]Submeters!BY26-[1]Submeters!BY25)</f>
        <v>#REF!</v>
      </c>
      <c r="CJ20" s="22" t="e">
        <f>IF(([1]Submeters!BZ26-[1]Submeters!BZ25)&lt;0,"0",[1]Submeters!BZ26-[1]Submeters!BZ25)</f>
        <v>#REF!</v>
      </c>
      <c r="CK20" s="22" t="e">
        <f>IF(([1]Submeters!CA26-[1]Submeters!CA25)&lt;0,"0",[1]Submeters!CA26-[1]Submeters!CA25)</f>
        <v>#REF!</v>
      </c>
      <c r="CL20" s="22" t="e">
        <f>IF(([1]Submeters!CB26-[1]Submeters!CB25)&lt;0,"0",[1]Submeters!CB26-[1]Submeters!CB25)</f>
        <v>#REF!</v>
      </c>
      <c r="CM20" s="22" t="e">
        <f>IF(([1]Submeters!CC26-[1]Submeters!CC25)&lt;0,"0",[1]Submeters!CC26-[1]Submeters!CC25)</f>
        <v>#REF!</v>
      </c>
      <c r="CN20" s="22" t="e">
        <f>IF(([1]Submeters!CD26-[1]Submeters!CD25)&lt;0,"0",[1]Submeters!CD26-[1]Submeters!CD25)</f>
        <v>#REF!</v>
      </c>
      <c r="CO20" s="22" t="e">
        <f>IF(([1]Submeters!CE26-[1]Submeters!CE25)&lt;0,"0",[1]Submeters!CE26-[1]Submeters!CE25)</f>
        <v>#REF!</v>
      </c>
    </row>
    <row r="21" spans="1:93" x14ac:dyDescent="0.25">
      <c r="A21" t="s">
        <v>11</v>
      </c>
      <c r="B21" s="10">
        <f t="shared" si="0"/>
        <v>20</v>
      </c>
      <c r="C21" s="10">
        <v>2</v>
      </c>
      <c r="D21" s="10">
        <v>2023</v>
      </c>
      <c r="E21" s="11">
        <f>Hotel!D28</f>
        <v>2569</v>
      </c>
      <c r="F21" s="11">
        <f>Hotel!F28</f>
        <v>2601</v>
      </c>
      <c r="G21" s="11">
        <f>Hotel!H28</f>
        <v>2416</v>
      </c>
      <c r="H21" s="11">
        <f>Hotel!N28</f>
        <v>140</v>
      </c>
      <c r="I21" s="11">
        <f>Hotel!P28</f>
        <v>1776</v>
      </c>
      <c r="J21" s="11">
        <f>Hotel!U28</f>
        <v>202</v>
      </c>
      <c r="K21" s="11">
        <f>Hotel!Y28</f>
        <v>58</v>
      </c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2"/>
      <c r="AS21" s="22"/>
      <c r="AT21" s="22"/>
      <c r="AU21" s="22"/>
      <c r="AV21" s="22"/>
      <c r="AW21" s="22"/>
      <c r="AX21" s="22"/>
      <c r="AY21" s="22"/>
      <c r="AZ21" s="22"/>
      <c r="BA21" s="22"/>
      <c r="BB21" s="22"/>
      <c r="BC21" s="22"/>
      <c r="BD21" s="22"/>
      <c r="BE21" s="22"/>
      <c r="BF21" s="22"/>
      <c r="BG21" s="22"/>
      <c r="BH21" s="22"/>
      <c r="BI21" s="22" t="e">
        <f>IF(([1]Submeters!AY27-[1]Submeters!AY26)&lt;0,"0",[1]Submeters!AY27-[1]Submeters!AY26)</f>
        <v>#REF!</v>
      </c>
      <c r="BJ21" s="22" t="e">
        <f>IF(([1]Submeters!AZ27-[1]Submeters!AZ26)&lt;0,"0",[1]Submeters!AZ27-[1]Submeters!AZ26)</f>
        <v>#REF!</v>
      </c>
      <c r="BK21" s="22" t="e">
        <f>IF(([1]Submeters!BA27-[1]Submeters!BA26)&lt;0,"0",[1]Submeters!BA27-[1]Submeters!BA26)</f>
        <v>#REF!</v>
      </c>
      <c r="BL21" s="22" t="e">
        <f>IF(([1]Submeters!BB27-[1]Submeters!BB26)&lt;0,"0",[1]Submeters!BB27-[1]Submeters!BB26)</f>
        <v>#REF!</v>
      </c>
      <c r="BM21" s="22" t="e">
        <f>IF(([1]Submeters!BC27-[1]Submeters!BC26)&lt;0,"0",[1]Submeters!BC27-[1]Submeters!BC26)</f>
        <v>#REF!</v>
      </c>
      <c r="BN21" s="22" t="e">
        <f>IF(([1]Submeters!BD27-[1]Submeters!BD26)&lt;0,"0",[1]Submeters!BD27-[1]Submeters!BD26)</f>
        <v>#REF!</v>
      </c>
      <c r="BO21" s="22" t="e">
        <f>IF(([1]Submeters!BE27-[1]Submeters!BE26)&lt;0,"0",[1]Submeters!BE27-[1]Submeters!BE26)</f>
        <v>#REF!</v>
      </c>
      <c r="BP21" s="22" t="e">
        <f>IF(([1]Submeters!BF27-[1]Submeters!BF26)&lt;0,"0",[1]Submeters!BF27-[1]Submeters!BF26)</f>
        <v>#REF!</v>
      </c>
      <c r="BQ21" s="22" t="e">
        <f>IF(([1]Submeters!BG27-[1]Submeters!BG26)&lt;0,"0",[1]Submeters!BG27-[1]Submeters!BG26)</f>
        <v>#REF!</v>
      </c>
      <c r="BR21" s="22" t="e">
        <f>IF(([1]Submeters!BH27-[1]Submeters!BH26)&lt;0,"0",[1]Submeters!BH27-[1]Submeters!BH26)</f>
        <v>#REF!</v>
      </c>
      <c r="BS21" s="22" t="e">
        <f>IF(([1]Submeters!BI27-[1]Submeters!BI26)&lt;0,"0",[1]Submeters!BI27-[1]Submeters!BI26)</f>
        <v>#REF!</v>
      </c>
      <c r="BT21" s="22" t="e">
        <f>IF(([1]Submeters!BJ27-[1]Submeters!BJ26)&lt;0,"0",[1]Submeters!BJ27-[1]Submeters!BJ26)</f>
        <v>#REF!</v>
      </c>
      <c r="BU21" s="22" t="e">
        <f>IF(([1]Submeters!BK27-[1]Submeters!BK26)&lt;0,"0",[1]Submeters!BK27-[1]Submeters!BK26)</f>
        <v>#REF!</v>
      </c>
      <c r="BV21" s="22" t="e">
        <f>IF(([1]Submeters!BL27-[1]Submeters!BL26)&lt;0,"0",[1]Submeters!BL27-[1]Submeters!BL26)</f>
        <v>#REF!</v>
      </c>
      <c r="BW21" s="22" t="e">
        <f>IF(([1]Submeters!BM27-[1]Submeters!BM26)&lt;0,"0",[1]Submeters!BM27-[1]Submeters!BM26)</f>
        <v>#REF!</v>
      </c>
      <c r="BX21" s="22" t="e">
        <f>IF(([1]Submeters!BN27-[1]Submeters!BN26)&lt;0,"0",[1]Submeters!BN27-[1]Submeters!BN26)</f>
        <v>#REF!</v>
      </c>
      <c r="BY21" s="22" t="e">
        <f>IF(([1]Submeters!BO27-[1]Submeters!BO26)&lt;0,"0",[1]Submeters!BO27-[1]Submeters!BO26)</f>
        <v>#REF!</v>
      </c>
      <c r="BZ21" s="22" t="e">
        <f>IF(([1]Submeters!BP27-[1]Submeters!BP26)&lt;0,"0",[1]Submeters!BP27-[1]Submeters!BP26)</f>
        <v>#REF!</v>
      </c>
      <c r="CA21" s="22" t="e">
        <f>IF(([1]Submeters!BQ27-[1]Submeters!BQ26)&lt;0,"0",[1]Submeters!BQ27-[1]Submeters!BQ26)</f>
        <v>#REF!</v>
      </c>
      <c r="CB21" s="22" t="e">
        <f>IF(([1]Submeters!BR27-[1]Submeters!BR26)&lt;0,"0",[1]Submeters!BR27-[1]Submeters!BR26)</f>
        <v>#REF!</v>
      </c>
      <c r="CC21" s="22" t="e">
        <f>IF(([1]Submeters!BS27-[1]Submeters!BS26)&lt;0,"0",[1]Submeters!BS27-[1]Submeters!BS26)</f>
        <v>#REF!</v>
      </c>
      <c r="CD21" s="22" t="e">
        <f>IF(([1]Submeters!BT27-[1]Submeters!BT26)&lt;0,"0",[1]Submeters!BT27-[1]Submeters!BT26)</f>
        <v>#REF!</v>
      </c>
      <c r="CE21" s="22" t="e">
        <f>IF(([1]Submeters!BU27-[1]Submeters!BU26)&lt;0,"0",[1]Submeters!BU27-[1]Submeters!BU26)</f>
        <v>#REF!</v>
      </c>
      <c r="CF21" s="22" t="e">
        <f>IF(([1]Submeters!BV27-[1]Submeters!BV26)&lt;0,"0",[1]Submeters!BV27-[1]Submeters!BV26)</f>
        <v>#REF!</v>
      </c>
      <c r="CG21" s="22" t="e">
        <f>IF(([1]Submeters!BW27-[1]Submeters!BW26)&lt;0,"0",[1]Submeters!BW27-[1]Submeters!BW26)</f>
        <v>#REF!</v>
      </c>
      <c r="CH21" s="22" t="e">
        <f>IF(([1]Submeters!BX27-[1]Submeters!BX26)&lt;0,"0",[1]Submeters!BX27-[1]Submeters!BX26)</f>
        <v>#REF!</v>
      </c>
      <c r="CI21" s="22" t="e">
        <f>IF(([1]Submeters!BY27-[1]Submeters!BY26)&lt;0,"0",[1]Submeters!BY27-[1]Submeters!BY26)</f>
        <v>#REF!</v>
      </c>
      <c r="CJ21" s="22" t="e">
        <f>IF(([1]Submeters!BZ27-[1]Submeters!BZ26)&lt;0,"0",[1]Submeters!BZ27-[1]Submeters!BZ26)</f>
        <v>#REF!</v>
      </c>
      <c r="CK21" s="22" t="e">
        <f>IF(([1]Submeters!CA27-[1]Submeters!CA26)&lt;0,"0",[1]Submeters!CA27-[1]Submeters!CA26)</f>
        <v>#REF!</v>
      </c>
      <c r="CL21" s="22" t="e">
        <f>IF(([1]Submeters!CB27-[1]Submeters!CB26)&lt;0,"0",[1]Submeters!CB27-[1]Submeters!CB26)</f>
        <v>#REF!</v>
      </c>
      <c r="CM21" s="22" t="e">
        <f>IF(([1]Submeters!CC27-[1]Submeters!CC26)&lt;0,"0",[1]Submeters!CC27-[1]Submeters!CC26)</f>
        <v>#REF!</v>
      </c>
      <c r="CN21" s="22" t="e">
        <f>IF(([1]Submeters!CD27-[1]Submeters!CD26)&lt;0,"0",[1]Submeters!CD27-[1]Submeters!CD26)</f>
        <v>#REF!</v>
      </c>
      <c r="CO21" s="22" t="e">
        <f>IF(([1]Submeters!CE27-[1]Submeters!CE26)&lt;0,"0",[1]Submeters!CE27-[1]Submeters!CE26)</f>
        <v>#REF!</v>
      </c>
    </row>
    <row r="22" spans="1:93" x14ac:dyDescent="0.25">
      <c r="A22" t="s">
        <v>11</v>
      </c>
      <c r="B22" s="10">
        <f t="shared" si="0"/>
        <v>21</v>
      </c>
      <c r="C22" s="10">
        <v>2</v>
      </c>
      <c r="D22" s="10">
        <v>2023</v>
      </c>
      <c r="E22" s="11">
        <f>Hotel!D29</f>
        <v>2714</v>
      </c>
      <c r="F22" s="11">
        <f>Hotel!F29</f>
        <v>2775</v>
      </c>
      <c r="G22" s="11">
        <f>Hotel!H29</f>
        <v>2555</v>
      </c>
      <c r="H22" s="11">
        <f>Hotel!N29</f>
        <v>151</v>
      </c>
      <c r="I22" s="11">
        <f>Hotel!P29</f>
        <v>1817</v>
      </c>
      <c r="J22" s="11">
        <f>Hotel!U29</f>
        <v>198</v>
      </c>
      <c r="K22" s="11">
        <f>Hotel!Y29</f>
        <v>81</v>
      </c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2"/>
      <c r="AB22" s="22"/>
      <c r="AC22" s="22"/>
      <c r="AD22" s="22"/>
      <c r="AE22" s="22"/>
      <c r="AF22" s="22"/>
      <c r="AG22" s="22"/>
      <c r="AH22" s="22"/>
      <c r="AI22" s="22"/>
      <c r="AJ22" s="22"/>
      <c r="AK22" s="22"/>
      <c r="AL22" s="22"/>
      <c r="AM22" s="22"/>
      <c r="AN22" s="22"/>
      <c r="AO22" s="22"/>
      <c r="AP22" s="22"/>
      <c r="AQ22" s="22"/>
      <c r="AR22" s="22"/>
      <c r="AS22" s="22"/>
      <c r="AT22" s="22"/>
      <c r="AU22" s="22"/>
      <c r="AV22" s="22"/>
      <c r="AW22" s="22"/>
      <c r="AX22" s="22"/>
      <c r="AY22" s="22"/>
      <c r="AZ22" s="22"/>
      <c r="BA22" s="22"/>
      <c r="BB22" s="22"/>
      <c r="BC22" s="22"/>
      <c r="BD22" s="22"/>
      <c r="BE22" s="22"/>
      <c r="BF22" s="22"/>
      <c r="BG22" s="22"/>
      <c r="BH22" s="22"/>
      <c r="BI22" s="22" t="e">
        <f>IF(([1]Submeters!AY28-[1]Submeters!AY27)&lt;0,"0",[1]Submeters!AY28-[1]Submeters!AY27)</f>
        <v>#REF!</v>
      </c>
      <c r="BJ22" s="22" t="e">
        <f>IF(([1]Submeters!AZ28-[1]Submeters!AZ27)&lt;0,"0",[1]Submeters!AZ28-[1]Submeters!AZ27)</f>
        <v>#REF!</v>
      </c>
      <c r="BK22" s="22" t="e">
        <f>IF(([1]Submeters!BA28-[1]Submeters!BA27)&lt;0,"0",[1]Submeters!BA28-[1]Submeters!BA27)</f>
        <v>#REF!</v>
      </c>
      <c r="BL22" s="22" t="e">
        <f>IF(([1]Submeters!BB28-[1]Submeters!BB27)&lt;0,"0",[1]Submeters!BB28-[1]Submeters!BB27)</f>
        <v>#REF!</v>
      </c>
      <c r="BM22" s="22" t="e">
        <f>IF(([1]Submeters!BC28-[1]Submeters!BC27)&lt;0,"0",[1]Submeters!BC28-[1]Submeters!BC27)</f>
        <v>#REF!</v>
      </c>
      <c r="BN22" s="22" t="e">
        <f>IF(([1]Submeters!BD28-[1]Submeters!BD27)&lt;0,"0",[1]Submeters!BD28-[1]Submeters!BD27)</f>
        <v>#REF!</v>
      </c>
      <c r="BO22" s="22" t="e">
        <f>IF(([1]Submeters!BE28-[1]Submeters!BE27)&lt;0,"0",[1]Submeters!BE28-[1]Submeters!BE27)</f>
        <v>#REF!</v>
      </c>
      <c r="BP22" s="22" t="e">
        <f>IF(([1]Submeters!BF28-[1]Submeters!BF27)&lt;0,"0",[1]Submeters!BF28-[1]Submeters!BF27)</f>
        <v>#REF!</v>
      </c>
      <c r="BQ22" s="22" t="e">
        <f>IF(([1]Submeters!BG28-[1]Submeters!BG27)&lt;0,"0",[1]Submeters!BG28-[1]Submeters!BG27)</f>
        <v>#REF!</v>
      </c>
      <c r="BR22" s="22" t="e">
        <f>IF(([1]Submeters!BH28-[1]Submeters!BH27)&lt;0,"0",[1]Submeters!BH28-[1]Submeters!BH27)</f>
        <v>#REF!</v>
      </c>
      <c r="BS22" s="22" t="e">
        <f>IF(([1]Submeters!BI28-[1]Submeters!BI27)&lt;0,"0",[1]Submeters!BI28-[1]Submeters!BI27)</f>
        <v>#REF!</v>
      </c>
      <c r="BT22" s="22" t="e">
        <f>IF(([1]Submeters!BJ28-[1]Submeters!BJ27)&lt;0,"0",[1]Submeters!BJ28-[1]Submeters!BJ27)</f>
        <v>#REF!</v>
      </c>
      <c r="BU22" s="22" t="e">
        <f>IF(([1]Submeters!BK28-[1]Submeters!BK27)&lt;0,"0",[1]Submeters!BK28-[1]Submeters!BK27)</f>
        <v>#REF!</v>
      </c>
      <c r="BV22" s="22" t="e">
        <f>IF(([1]Submeters!BL28-[1]Submeters!BL27)&lt;0,"0",[1]Submeters!BL28-[1]Submeters!BL27)</f>
        <v>#REF!</v>
      </c>
      <c r="BW22" s="22" t="e">
        <f>IF(([1]Submeters!BM28-[1]Submeters!BM27)&lt;0,"0",[1]Submeters!BM28-[1]Submeters!BM27)</f>
        <v>#REF!</v>
      </c>
      <c r="BX22" s="22" t="e">
        <f>IF(([1]Submeters!BN28-[1]Submeters!BN27)&lt;0,"0",[1]Submeters!BN28-[1]Submeters!BN27)</f>
        <v>#REF!</v>
      </c>
      <c r="BY22" s="22" t="e">
        <f>IF(([1]Submeters!BO28-[1]Submeters!BO27)&lt;0,"0",[1]Submeters!BO28-[1]Submeters!BO27)</f>
        <v>#REF!</v>
      </c>
      <c r="BZ22" s="22" t="e">
        <f>IF(([1]Submeters!BP28-[1]Submeters!BP27)&lt;0,"0",[1]Submeters!BP28-[1]Submeters!BP27)</f>
        <v>#REF!</v>
      </c>
      <c r="CA22" s="22" t="e">
        <f>IF(([1]Submeters!BQ28-[1]Submeters!BQ27)&lt;0,"0",[1]Submeters!BQ28-[1]Submeters!BQ27)</f>
        <v>#REF!</v>
      </c>
      <c r="CB22" s="22" t="e">
        <f>IF(([1]Submeters!BR28-[1]Submeters!BR27)&lt;0,"0",[1]Submeters!BR28-[1]Submeters!BR27)</f>
        <v>#REF!</v>
      </c>
      <c r="CC22" s="22" t="e">
        <f>IF(([1]Submeters!BS28-[1]Submeters!BS27)&lt;0,"0",[1]Submeters!BS28-[1]Submeters!BS27)</f>
        <v>#REF!</v>
      </c>
      <c r="CD22" s="22" t="e">
        <f>IF(([1]Submeters!BT28-[1]Submeters!BT27)&lt;0,"0",[1]Submeters!BT28-[1]Submeters!BT27)</f>
        <v>#REF!</v>
      </c>
      <c r="CE22" s="22" t="e">
        <f>IF(([1]Submeters!BU28-[1]Submeters!BU27)&lt;0,"0",[1]Submeters!BU28-[1]Submeters!BU27)</f>
        <v>#REF!</v>
      </c>
      <c r="CF22" s="22" t="e">
        <f>IF(([1]Submeters!BV28-[1]Submeters!BV27)&lt;0,"0",[1]Submeters!BV28-[1]Submeters!BV27)</f>
        <v>#REF!</v>
      </c>
      <c r="CG22" s="22" t="e">
        <f>IF(([1]Submeters!BW28-[1]Submeters!BW27)&lt;0,"0",[1]Submeters!BW28-[1]Submeters!BW27)</f>
        <v>#REF!</v>
      </c>
      <c r="CH22" s="22" t="e">
        <f>IF(([1]Submeters!BX28-[1]Submeters!BX27)&lt;0,"0",[1]Submeters!BX28-[1]Submeters!BX27)</f>
        <v>#REF!</v>
      </c>
      <c r="CI22" s="22" t="e">
        <f>IF(([1]Submeters!BY28-[1]Submeters!BY27)&lt;0,"0",[1]Submeters!BY28-[1]Submeters!BY27)</f>
        <v>#REF!</v>
      </c>
      <c r="CJ22" s="22" t="e">
        <f>IF(([1]Submeters!BZ28-[1]Submeters!BZ27)&lt;0,"0",[1]Submeters!BZ28-[1]Submeters!BZ27)</f>
        <v>#REF!</v>
      </c>
      <c r="CK22" s="22" t="e">
        <f>IF(([1]Submeters!CA28-[1]Submeters!CA27)&lt;0,"0",[1]Submeters!CA28-[1]Submeters!CA27)</f>
        <v>#REF!</v>
      </c>
      <c r="CL22" s="22" t="e">
        <f>IF(([1]Submeters!CB28-[1]Submeters!CB27)&lt;0,"0",[1]Submeters!CB28-[1]Submeters!CB27)</f>
        <v>#REF!</v>
      </c>
      <c r="CM22" s="22" t="e">
        <f>IF(([1]Submeters!CC28-[1]Submeters!CC27)&lt;0,"0",[1]Submeters!CC28-[1]Submeters!CC27)</f>
        <v>#REF!</v>
      </c>
      <c r="CN22" s="22" t="e">
        <f>IF(([1]Submeters!CD28-[1]Submeters!CD27)&lt;0,"0",[1]Submeters!CD28-[1]Submeters!CD27)</f>
        <v>#REF!</v>
      </c>
      <c r="CO22" s="22" t="e">
        <f>IF(([1]Submeters!CE28-[1]Submeters!CE27)&lt;0,"0",[1]Submeters!CE28-[1]Submeters!CE27)</f>
        <v>#REF!</v>
      </c>
    </row>
    <row r="23" spans="1:93" x14ac:dyDescent="0.25">
      <c r="A23" t="s">
        <v>11</v>
      </c>
      <c r="B23" s="10">
        <f t="shared" si="0"/>
        <v>22</v>
      </c>
      <c r="C23" s="10">
        <v>2</v>
      </c>
      <c r="D23" s="10">
        <v>2023</v>
      </c>
      <c r="E23" s="11">
        <f>Hotel!D30</f>
        <v>2629</v>
      </c>
      <c r="F23" s="11">
        <f>Hotel!F30</f>
        <v>2658</v>
      </c>
      <c r="G23" s="11">
        <f>Hotel!H30</f>
        <v>2473</v>
      </c>
      <c r="H23" s="11">
        <f>Hotel!N30</f>
        <v>121</v>
      </c>
      <c r="I23" s="11">
        <f>Hotel!P30</f>
        <v>1742</v>
      </c>
      <c r="J23" s="11">
        <f>Hotel!U30</f>
        <v>220</v>
      </c>
      <c r="K23" s="11">
        <f>Hotel!Y30</f>
        <v>114</v>
      </c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  <c r="AA23" s="22"/>
      <c r="AB23" s="22"/>
      <c r="AC23" s="22"/>
      <c r="AD23" s="22"/>
      <c r="AE23" s="22"/>
      <c r="AF23" s="22"/>
      <c r="AG23" s="22"/>
      <c r="AH23" s="22"/>
      <c r="AI23" s="22"/>
      <c r="AJ23" s="22"/>
      <c r="AK23" s="22"/>
      <c r="AL23" s="22"/>
      <c r="AM23" s="22"/>
      <c r="AN23" s="22"/>
      <c r="AO23" s="22"/>
      <c r="AP23" s="22"/>
      <c r="AQ23" s="22"/>
      <c r="AR23" s="22"/>
      <c r="AS23" s="22"/>
      <c r="AT23" s="22"/>
      <c r="AU23" s="22"/>
      <c r="AV23" s="22"/>
      <c r="AW23" s="22"/>
      <c r="AX23" s="22"/>
      <c r="AY23" s="22"/>
      <c r="AZ23" s="22"/>
      <c r="BA23" s="22"/>
      <c r="BB23" s="22"/>
      <c r="BC23" s="22"/>
      <c r="BD23" s="22"/>
      <c r="BE23" s="22"/>
      <c r="BF23" s="22"/>
      <c r="BG23" s="22"/>
      <c r="BH23" s="22"/>
      <c r="BI23" s="22" t="e">
        <f>IF(([1]Submeters!AY29-[1]Submeters!AY28)&lt;0,"0",[1]Submeters!AY29-[1]Submeters!AY28)</f>
        <v>#REF!</v>
      </c>
      <c r="BJ23" s="22" t="e">
        <f>IF(([1]Submeters!AZ29-[1]Submeters!AZ28)&lt;0,"0",[1]Submeters!AZ29-[1]Submeters!AZ28)</f>
        <v>#REF!</v>
      </c>
      <c r="BK23" s="22" t="e">
        <f>IF(([1]Submeters!BA29-[1]Submeters!BA28)&lt;0,"0",[1]Submeters!BA29-[1]Submeters!BA28)</f>
        <v>#REF!</v>
      </c>
      <c r="BL23" s="22" t="e">
        <f>IF(([1]Submeters!BB29-[1]Submeters!BB28)&lt;0,"0",[1]Submeters!BB29-[1]Submeters!BB28)</f>
        <v>#REF!</v>
      </c>
      <c r="BM23" s="22" t="e">
        <f>IF(([1]Submeters!BC29-[1]Submeters!BC28)&lt;0,"0",[1]Submeters!BC29-[1]Submeters!BC28)</f>
        <v>#REF!</v>
      </c>
      <c r="BN23" s="22" t="e">
        <f>IF(([1]Submeters!BD29-[1]Submeters!BD28)&lt;0,"0",[1]Submeters!BD29-[1]Submeters!BD28)</f>
        <v>#REF!</v>
      </c>
      <c r="BO23" s="22" t="e">
        <f>IF(([1]Submeters!BE29-[1]Submeters!BE28)&lt;0,"0",[1]Submeters!BE29-[1]Submeters!BE28)</f>
        <v>#REF!</v>
      </c>
      <c r="BP23" s="22" t="e">
        <f>IF(([1]Submeters!BF29-[1]Submeters!BF28)&lt;0,"0",[1]Submeters!BF29-[1]Submeters!BF28)</f>
        <v>#REF!</v>
      </c>
      <c r="BQ23" s="22" t="e">
        <f>IF(([1]Submeters!BG29-[1]Submeters!BG28)&lt;0,"0",[1]Submeters!BG29-[1]Submeters!BG28)</f>
        <v>#REF!</v>
      </c>
      <c r="BR23" s="22" t="e">
        <f>IF(([1]Submeters!BH29-[1]Submeters!BH28)&lt;0,"0",[1]Submeters!BH29-[1]Submeters!BH28)</f>
        <v>#REF!</v>
      </c>
      <c r="BS23" s="22" t="e">
        <f>IF(([1]Submeters!BI29-[1]Submeters!BI28)&lt;0,"0",[1]Submeters!BI29-[1]Submeters!BI28)</f>
        <v>#REF!</v>
      </c>
      <c r="BT23" s="22" t="e">
        <f>IF(([1]Submeters!BJ29-[1]Submeters!BJ28)&lt;0,"0",[1]Submeters!BJ29-[1]Submeters!BJ28)</f>
        <v>#REF!</v>
      </c>
      <c r="BU23" s="22" t="e">
        <f>IF(([1]Submeters!BK29-[1]Submeters!BK28)&lt;0,"0",[1]Submeters!BK29-[1]Submeters!BK28)</f>
        <v>#REF!</v>
      </c>
      <c r="BV23" s="22" t="e">
        <f>IF(([1]Submeters!BL29-[1]Submeters!BL28)&lt;0,"0",[1]Submeters!BL29-[1]Submeters!BL28)</f>
        <v>#REF!</v>
      </c>
      <c r="BW23" s="22" t="e">
        <f>IF(([1]Submeters!BM29-[1]Submeters!BM28)&lt;0,"0",[1]Submeters!BM29-[1]Submeters!BM28)</f>
        <v>#REF!</v>
      </c>
      <c r="BX23" s="22" t="e">
        <f>IF(([1]Submeters!BN29-[1]Submeters!BN28)&lt;0,"0",[1]Submeters!BN29-[1]Submeters!BN28)</f>
        <v>#REF!</v>
      </c>
      <c r="BY23" s="22" t="e">
        <f>IF(([1]Submeters!BO29-[1]Submeters!BO28)&lt;0,"0",[1]Submeters!BO29-[1]Submeters!BO28)</f>
        <v>#REF!</v>
      </c>
      <c r="BZ23" s="22" t="e">
        <f>IF(([1]Submeters!BP29-[1]Submeters!BP28)&lt;0,"0",[1]Submeters!BP29-[1]Submeters!BP28)</f>
        <v>#REF!</v>
      </c>
      <c r="CA23" s="22" t="e">
        <f>IF(([1]Submeters!BQ29-[1]Submeters!BQ28)&lt;0,"0",[1]Submeters!BQ29-[1]Submeters!BQ28)</f>
        <v>#REF!</v>
      </c>
      <c r="CB23" s="22" t="e">
        <f>IF(([1]Submeters!BR29-[1]Submeters!BR28)&lt;0,"0",[1]Submeters!BR29-[1]Submeters!BR28)</f>
        <v>#REF!</v>
      </c>
      <c r="CC23" s="22" t="e">
        <f>IF(([1]Submeters!BS29-[1]Submeters!BS28)&lt;0,"0",[1]Submeters!BS29-[1]Submeters!BS28)</f>
        <v>#REF!</v>
      </c>
      <c r="CD23" s="22" t="e">
        <f>IF(([1]Submeters!BT29-[1]Submeters!BT28)&lt;0,"0",[1]Submeters!BT29-[1]Submeters!BT28)</f>
        <v>#REF!</v>
      </c>
      <c r="CE23" s="22" t="e">
        <f>IF(([1]Submeters!BU29-[1]Submeters!BU28)&lt;0,"0",[1]Submeters!BU29-[1]Submeters!BU28)</f>
        <v>#REF!</v>
      </c>
      <c r="CF23" s="22" t="e">
        <f>IF(([1]Submeters!BV29-[1]Submeters!BV28)&lt;0,"0",[1]Submeters!BV29-[1]Submeters!BV28)</f>
        <v>#REF!</v>
      </c>
      <c r="CG23" s="22" t="e">
        <f>IF(([1]Submeters!BW29-[1]Submeters!BW28)&lt;0,"0",[1]Submeters!BW29-[1]Submeters!BW28)</f>
        <v>#REF!</v>
      </c>
      <c r="CH23" s="22" t="e">
        <f>IF(([1]Submeters!BX29-[1]Submeters!BX28)&lt;0,"0",[1]Submeters!BX29-[1]Submeters!BX28)</f>
        <v>#REF!</v>
      </c>
      <c r="CI23" s="22" t="e">
        <f>IF(([1]Submeters!BY29-[1]Submeters!BY28)&lt;0,"0",[1]Submeters!BY29-[1]Submeters!BY28)</f>
        <v>#REF!</v>
      </c>
      <c r="CJ23" s="22" t="e">
        <f>IF(([1]Submeters!BZ29-[1]Submeters!BZ28)&lt;0,"0",[1]Submeters!BZ29-[1]Submeters!BZ28)</f>
        <v>#REF!</v>
      </c>
      <c r="CK23" s="22" t="e">
        <f>IF(([1]Submeters!CA29-[1]Submeters!CA28)&lt;0,"0",[1]Submeters!CA29-[1]Submeters!CA28)</f>
        <v>#REF!</v>
      </c>
      <c r="CL23" s="22" t="e">
        <f>IF(([1]Submeters!CB29-[1]Submeters!CB28)&lt;0,"0",[1]Submeters!CB29-[1]Submeters!CB28)</f>
        <v>#REF!</v>
      </c>
      <c r="CM23" s="22" t="e">
        <f>IF(([1]Submeters!CC29-[1]Submeters!CC28)&lt;0,"0",[1]Submeters!CC29-[1]Submeters!CC28)</f>
        <v>#REF!</v>
      </c>
      <c r="CN23" s="22" t="e">
        <f>IF(([1]Submeters!CD29-[1]Submeters!CD28)&lt;0,"0",[1]Submeters!CD29-[1]Submeters!CD28)</f>
        <v>#REF!</v>
      </c>
      <c r="CO23" s="22" t="e">
        <f>IF(([1]Submeters!CE29-[1]Submeters!CE28)&lt;0,"0",[1]Submeters!CE29-[1]Submeters!CE28)</f>
        <v>#REF!</v>
      </c>
    </row>
    <row r="24" spans="1:93" x14ac:dyDescent="0.25">
      <c r="A24" t="s">
        <v>11</v>
      </c>
      <c r="B24" s="10">
        <f t="shared" si="0"/>
        <v>23</v>
      </c>
      <c r="C24" s="10">
        <v>2</v>
      </c>
      <c r="D24" s="10">
        <v>2023</v>
      </c>
      <c r="E24" s="11">
        <f>Hotel!D31</f>
        <v>3025</v>
      </c>
      <c r="F24" s="11">
        <f>Hotel!F31</f>
        <v>3027</v>
      </c>
      <c r="G24" s="11">
        <f>Hotel!H31</f>
        <v>2844</v>
      </c>
      <c r="H24" s="11">
        <f>Hotel!N31</f>
        <v>142</v>
      </c>
      <c r="I24" s="11">
        <f>Hotel!P31</f>
        <v>1879</v>
      </c>
      <c r="J24" s="11">
        <f>Hotel!U31</f>
        <v>167</v>
      </c>
      <c r="K24" s="11">
        <f>Hotel!Y31</f>
        <v>149</v>
      </c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  <c r="AA24" s="22"/>
      <c r="AB24" s="22"/>
      <c r="AC24" s="22"/>
      <c r="AD24" s="22"/>
      <c r="AE24" s="22"/>
      <c r="AF24" s="22"/>
      <c r="AG24" s="22"/>
      <c r="AH24" s="22"/>
      <c r="AI24" s="22"/>
      <c r="AJ24" s="22"/>
      <c r="AK24" s="22"/>
      <c r="AL24" s="22"/>
      <c r="AM24" s="22"/>
      <c r="AN24" s="22"/>
      <c r="AO24" s="22"/>
      <c r="AP24" s="22"/>
      <c r="AQ24" s="22"/>
      <c r="AR24" s="22"/>
      <c r="AS24" s="22"/>
      <c r="AT24" s="22"/>
      <c r="AU24" s="22"/>
      <c r="AV24" s="22"/>
      <c r="AW24" s="22"/>
      <c r="AX24" s="22"/>
      <c r="AY24" s="22"/>
      <c r="AZ24" s="22"/>
      <c r="BA24" s="22"/>
      <c r="BB24" s="22"/>
      <c r="BC24" s="22"/>
      <c r="BD24" s="22"/>
      <c r="BE24" s="22"/>
      <c r="BF24" s="22"/>
      <c r="BG24" s="22"/>
      <c r="BH24" s="22"/>
      <c r="BI24" s="22" t="e">
        <f>IF(([1]Submeters!AY30-[1]Submeters!AY29)&lt;0,"0",[1]Submeters!AY30-[1]Submeters!AY29)</f>
        <v>#REF!</v>
      </c>
      <c r="BJ24" s="22" t="e">
        <f>IF(([1]Submeters!AZ30-[1]Submeters!AZ29)&lt;0,"0",[1]Submeters!AZ30-[1]Submeters!AZ29)</f>
        <v>#REF!</v>
      </c>
      <c r="BK24" s="22" t="e">
        <f>IF(([1]Submeters!BA30-[1]Submeters!BA29)&lt;0,"0",[1]Submeters!BA30-[1]Submeters!BA29)</f>
        <v>#REF!</v>
      </c>
      <c r="BL24" s="22" t="e">
        <f>IF(([1]Submeters!BB30-[1]Submeters!BB29)&lt;0,"0",[1]Submeters!BB30-[1]Submeters!BB29)</f>
        <v>#REF!</v>
      </c>
      <c r="BM24" s="22" t="e">
        <f>IF(([1]Submeters!BC30-[1]Submeters!BC29)&lt;0,"0",[1]Submeters!BC30-[1]Submeters!BC29)</f>
        <v>#REF!</v>
      </c>
      <c r="BN24" s="22" t="e">
        <f>IF(([1]Submeters!BD30-[1]Submeters!BD29)&lt;0,"0",[1]Submeters!BD30-[1]Submeters!BD29)</f>
        <v>#REF!</v>
      </c>
      <c r="BO24" s="22" t="e">
        <f>IF(([1]Submeters!BE30-[1]Submeters!BE29)&lt;0,"0",[1]Submeters!BE30-[1]Submeters!BE29)</f>
        <v>#REF!</v>
      </c>
      <c r="BP24" s="22" t="e">
        <f>IF(([1]Submeters!BF30-[1]Submeters!BF29)&lt;0,"0",[1]Submeters!BF30-[1]Submeters!BF29)</f>
        <v>#REF!</v>
      </c>
      <c r="BQ24" s="22" t="e">
        <f>IF(([1]Submeters!BG30-[1]Submeters!BG29)&lt;0,"0",[1]Submeters!BG30-[1]Submeters!BG29)</f>
        <v>#REF!</v>
      </c>
      <c r="BR24" s="22" t="e">
        <f>IF(([1]Submeters!BH30-[1]Submeters!BH29)&lt;0,"0",[1]Submeters!BH30-[1]Submeters!BH29)</f>
        <v>#REF!</v>
      </c>
      <c r="BS24" s="22" t="e">
        <f>IF(([1]Submeters!BI30-[1]Submeters!BI29)&lt;0,"0",[1]Submeters!BI30-[1]Submeters!BI29)</f>
        <v>#REF!</v>
      </c>
      <c r="BT24" s="22" t="e">
        <f>IF(([1]Submeters!BJ30-[1]Submeters!BJ29)&lt;0,"0",[1]Submeters!BJ30-[1]Submeters!BJ29)</f>
        <v>#REF!</v>
      </c>
      <c r="BU24" s="22" t="e">
        <f>IF(([1]Submeters!BK30-[1]Submeters!BK29)&lt;0,"0",[1]Submeters!BK30-[1]Submeters!BK29)</f>
        <v>#REF!</v>
      </c>
      <c r="BV24" s="22" t="e">
        <f>IF(([1]Submeters!BL30-[1]Submeters!BL29)&lt;0,"0",[1]Submeters!BL30-[1]Submeters!BL29)</f>
        <v>#REF!</v>
      </c>
      <c r="BW24" s="22" t="e">
        <f>IF(([1]Submeters!BM30-[1]Submeters!BM29)&lt;0,"0",[1]Submeters!BM30-[1]Submeters!BM29)</f>
        <v>#REF!</v>
      </c>
      <c r="BX24" s="22" t="e">
        <f>IF(([1]Submeters!BN30-[1]Submeters!BN29)&lt;0,"0",[1]Submeters!BN30-[1]Submeters!BN29)</f>
        <v>#REF!</v>
      </c>
      <c r="BY24" s="22" t="e">
        <f>IF(([1]Submeters!BO30-[1]Submeters!BO29)&lt;0,"0",[1]Submeters!BO30-[1]Submeters!BO29)</f>
        <v>#REF!</v>
      </c>
      <c r="BZ24" s="22" t="e">
        <f>IF(([1]Submeters!BP30-[1]Submeters!BP29)&lt;0,"0",[1]Submeters!BP30-[1]Submeters!BP29)</f>
        <v>#REF!</v>
      </c>
      <c r="CA24" s="22" t="e">
        <f>IF(([1]Submeters!BQ30-[1]Submeters!BQ29)&lt;0,"0",[1]Submeters!BQ30-[1]Submeters!BQ29)</f>
        <v>#REF!</v>
      </c>
      <c r="CB24" s="22" t="e">
        <f>IF(([1]Submeters!BR30-[1]Submeters!BR29)&lt;0,"0",[1]Submeters!BR30-[1]Submeters!BR29)</f>
        <v>#REF!</v>
      </c>
      <c r="CC24" s="22" t="e">
        <f>IF(([1]Submeters!BS30-[1]Submeters!BS29)&lt;0,"0",[1]Submeters!BS30-[1]Submeters!BS29)</f>
        <v>#REF!</v>
      </c>
      <c r="CD24" s="22" t="e">
        <f>IF(([1]Submeters!BT30-[1]Submeters!BT29)&lt;0,"0",[1]Submeters!BT30-[1]Submeters!BT29)</f>
        <v>#REF!</v>
      </c>
      <c r="CE24" s="22" t="e">
        <f>IF(([1]Submeters!BU30-[1]Submeters!BU29)&lt;0,"0",[1]Submeters!BU30-[1]Submeters!BU29)</f>
        <v>#REF!</v>
      </c>
      <c r="CF24" s="22" t="e">
        <f>IF(([1]Submeters!BV30-[1]Submeters!BV29)&lt;0,"0",[1]Submeters!BV30-[1]Submeters!BV29)</f>
        <v>#REF!</v>
      </c>
      <c r="CG24" s="22" t="e">
        <f>IF(([1]Submeters!BW30-[1]Submeters!BW29)&lt;0,"0",[1]Submeters!BW30-[1]Submeters!BW29)</f>
        <v>#REF!</v>
      </c>
      <c r="CH24" s="22" t="e">
        <f>IF(([1]Submeters!BX30-[1]Submeters!BX29)&lt;0,"0",[1]Submeters!BX30-[1]Submeters!BX29)</f>
        <v>#REF!</v>
      </c>
      <c r="CI24" s="22" t="e">
        <f>IF(([1]Submeters!BY30-[1]Submeters!BY29)&lt;0,"0",[1]Submeters!BY30-[1]Submeters!BY29)</f>
        <v>#REF!</v>
      </c>
      <c r="CJ24" s="22" t="e">
        <f>IF(([1]Submeters!BZ30-[1]Submeters!BZ29)&lt;0,"0",[1]Submeters!BZ30-[1]Submeters!BZ29)</f>
        <v>#REF!</v>
      </c>
      <c r="CK24" s="22" t="e">
        <f>IF(([1]Submeters!CA30-[1]Submeters!CA29)&lt;0,"0",[1]Submeters!CA30-[1]Submeters!CA29)</f>
        <v>#REF!</v>
      </c>
      <c r="CL24" s="22" t="e">
        <f>IF(([1]Submeters!CB30-[1]Submeters!CB29)&lt;0,"0",[1]Submeters!CB30-[1]Submeters!CB29)</f>
        <v>#REF!</v>
      </c>
      <c r="CM24" s="22" t="e">
        <f>IF(([1]Submeters!CC30-[1]Submeters!CC29)&lt;0,"0",[1]Submeters!CC30-[1]Submeters!CC29)</f>
        <v>#REF!</v>
      </c>
      <c r="CN24" s="22" t="e">
        <f>IF(([1]Submeters!CD30-[1]Submeters!CD29)&lt;0,"0",[1]Submeters!CD30-[1]Submeters!CD29)</f>
        <v>#REF!</v>
      </c>
      <c r="CO24" s="22" t="e">
        <f>IF(([1]Submeters!CE30-[1]Submeters!CE29)&lt;0,"0",[1]Submeters!CE30-[1]Submeters!CE29)</f>
        <v>#REF!</v>
      </c>
    </row>
    <row r="25" spans="1:93" x14ac:dyDescent="0.25">
      <c r="A25" t="s">
        <v>11</v>
      </c>
      <c r="B25" s="10">
        <f t="shared" si="0"/>
        <v>24</v>
      </c>
      <c r="C25" s="10">
        <v>2</v>
      </c>
      <c r="D25" s="10">
        <v>2023</v>
      </c>
      <c r="E25" s="11">
        <f>Hotel!D32</f>
        <v>2756</v>
      </c>
      <c r="F25" s="11">
        <f>Hotel!F32</f>
        <v>2795</v>
      </c>
      <c r="G25" s="11">
        <f>Hotel!H32</f>
        <v>2581</v>
      </c>
      <c r="H25" s="11">
        <f>Hotel!N32</f>
        <v>140</v>
      </c>
      <c r="I25" s="11">
        <f>Hotel!P32</f>
        <v>1756</v>
      </c>
      <c r="J25" s="11">
        <f>Hotel!U32</f>
        <v>211</v>
      </c>
      <c r="K25" s="11">
        <f>Hotel!Y32</f>
        <v>132</v>
      </c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22"/>
      <c r="AC25" s="22"/>
      <c r="AD25" s="22"/>
      <c r="AE25" s="22"/>
      <c r="AF25" s="22"/>
      <c r="AG25" s="22"/>
      <c r="AH25" s="22"/>
      <c r="AI25" s="22"/>
      <c r="AJ25" s="22"/>
      <c r="AK25" s="22"/>
      <c r="AL25" s="22"/>
      <c r="AM25" s="22"/>
      <c r="AN25" s="22"/>
      <c r="AO25" s="22"/>
      <c r="AP25" s="22"/>
      <c r="AQ25" s="22"/>
      <c r="AR25" s="22"/>
      <c r="AS25" s="22"/>
      <c r="AT25" s="22"/>
      <c r="AU25" s="22"/>
      <c r="AV25" s="22"/>
      <c r="AW25" s="22"/>
      <c r="AX25" s="22"/>
      <c r="AY25" s="22"/>
      <c r="AZ25" s="22"/>
      <c r="BA25" s="22"/>
      <c r="BB25" s="22"/>
      <c r="BC25" s="22"/>
      <c r="BD25" s="22"/>
      <c r="BE25" s="22"/>
      <c r="BF25" s="22"/>
      <c r="BG25" s="22"/>
      <c r="BH25" s="22"/>
      <c r="BI25" s="22" t="e">
        <f>IF(([1]Submeters!AY31-[1]Submeters!AY30)&lt;0,"0",[1]Submeters!AY31-[1]Submeters!AY30)</f>
        <v>#REF!</v>
      </c>
      <c r="BJ25" s="22" t="e">
        <f>IF(([1]Submeters!AZ31-[1]Submeters!AZ30)&lt;0,"0",[1]Submeters!AZ31-[1]Submeters!AZ30)</f>
        <v>#REF!</v>
      </c>
      <c r="BK25" s="22" t="e">
        <f>IF(([1]Submeters!BA31-[1]Submeters!BA30)&lt;0,"0",[1]Submeters!BA31-[1]Submeters!BA30)</f>
        <v>#REF!</v>
      </c>
      <c r="BL25" s="22" t="e">
        <f>IF(([1]Submeters!BB31-[1]Submeters!BB30)&lt;0,"0",[1]Submeters!BB31-[1]Submeters!BB30)</f>
        <v>#REF!</v>
      </c>
      <c r="BM25" s="22" t="e">
        <f>IF(([1]Submeters!BC31-[1]Submeters!BC30)&lt;0,"0",[1]Submeters!BC31-[1]Submeters!BC30)</f>
        <v>#REF!</v>
      </c>
      <c r="BN25" s="22" t="e">
        <f>IF(([1]Submeters!BD31-[1]Submeters!BD30)&lt;0,"0",[1]Submeters!BD31-[1]Submeters!BD30)</f>
        <v>#REF!</v>
      </c>
      <c r="BO25" s="22" t="e">
        <f>IF(([1]Submeters!BE31-[1]Submeters!BE30)&lt;0,"0",[1]Submeters!BE31-[1]Submeters!BE30)</f>
        <v>#REF!</v>
      </c>
      <c r="BP25" s="22" t="e">
        <f>IF(([1]Submeters!BF31-[1]Submeters!BF30)&lt;0,"0",[1]Submeters!BF31-[1]Submeters!BF30)</f>
        <v>#REF!</v>
      </c>
      <c r="BQ25" s="22" t="e">
        <f>IF(([1]Submeters!BG31-[1]Submeters!BG30)&lt;0,"0",[1]Submeters!BG31-[1]Submeters!BG30)</f>
        <v>#REF!</v>
      </c>
      <c r="BR25" s="22" t="e">
        <f>IF(([1]Submeters!BH31-[1]Submeters!BH30)&lt;0,"0",[1]Submeters!BH31-[1]Submeters!BH30)</f>
        <v>#REF!</v>
      </c>
      <c r="BS25" s="22" t="e">
        <f>IF(([1]Submeters!BI31-[1]Submeters!BI30)&lt;0,"0",[1]Submeters!BI31-[1]Submeters!BI30)</f>
        <v>#REF!</v>
      </c>
      <c r="BT25" s="22" t="e">
        <f>IF(([1]Submeters!BJ31-[1]Submeters!BJ30)&lt;0,"0",[1]Submeters!BJ31-[1]Submeters!BJ30)</f>
        <v>#REF!</v>
      </c>
      <c r="BU25" s="22" t="e">
        <f>IF(([1]Submeters!BK31-[1]Submeters!BK30)&lt;0,"0",[1]Submeters!BK31-[1]Submeters!BK30)</f>
        <v>#REF!</v>
      </c>
      <c r="BV25" s="22" t="e">
        <f>IF(([1]Submeters!BL31-[1]Submeters!BL30)&lt;0,"0",[1]Submeters!BL31-[1]Submeters!BL30)</f>
        <v>#REF!</v>
      </c>
      <c r="BW25" s="22" t="e">
        <f>IF(([1]Submeters!BM31-[1]Submeters!BM30)&lt;0,"0",[1]Submeters!BM31-[1]Submeters!BM30)</f>
        <v>#REF!</v>
      </c>
      <c r="BX25" s="22" t="e">
        <f>IF(([1]Submeters!BN31-[1]Submeters!BN30)&lt;0,"0",[1]Submeters!BN31-[1]Submeters!BN30)</f>
        <v>#REF!</v>
      </c>
      <c r="BY25" s="22" t="e">
        <f>IF(([1]Submeters!BO31-[1]Submeters!BO30)&lt;0,"0",[1]Submeters!BO31-[1]Submeters!BO30)</f>
        <v>#REF!</v>
      </c>
      <c r="BZ25" s="22" t="e">
        <f>IF(([1]Submeters!BP31-[1]Submeters!BP30)&lt;0,"0",[1]Submeters!BP31-[1]Submeters!BP30)</f>
        <v>#REF!</v>
      </c>
      <c r="CA25" s="22" t="e">
        <f>IF(([1]Submeters!BQ31-[1]Submeters!BQ30)&lt;0,"0",[1]Submeters!BQ31-[1]Submeters!BQ30)</f>
        <v>#REF!</v>
      </c>
      <c r="CB25" s="22" t="e">
        <f>IF(([1]Submeters!BR31-[1]Submeters!BR30)&lt;0,"0",[1]Submeters!BR31-[1]Submeters!BR30)</f>
        <v>#REF!</v>
      </c>
      <c r="CC25" s="22" t="e">
        <f>IF(([1]Submeters!BS31-[1]Submeters!BS30)&lt;0,"0",[1]Submeters!BS31-[1]Submeters!BS30)</f>
        <v>#REF!</v>
      </c>
      <c r="CD25" s="22" t="e">
        <f>IF(([1]Submeters!BT31-[1]Submeters!BT30)&lt;0,"0",[1]Submeters!BT31-[1]Submeters!BT30)</f>
        <v>#REF!</v>
      </c>
      <c r="CE25" s="22" t="e">
        <f>IF(([1]Submeters!BU31-[1]Submeters!BU30)&lt;0,"0",[1]Submeters!BU31-[1]Submeters!BU30)</f>
        <v>#REF!</v>
      </c>
      <c r="CF25" s="22" t="e">
        <f>IF(([1]Submeters!BV31-[1]Submeters!BV30)&lt;0,"0",[1]Submeters!BV31-[1]Submeters!BV30)</f>
        <v>#REF!</v>
      </c>
      <c r="CG25" s="22" t="e">
        <f>IF(([1]Submeters!BW31-[1]Submeters!BW30)&lt;0,"0",[1]Submeters!BW31-[1]Submeters!BW30)</f>
        <v>#REF!</v>
      </c>
      <c r="CH25" s="22" t="e">
        <f>IF(([1]Submeters!BX31-[1]Submeters!BX30)&lt;0,"0",[1]Submeters!BX31-[1]Submeters!BX30)</f>
        <v>#REF!</v>
      </c>
      <c r="CI25" s="22" t="e">
        <f>IF(([1]Submeters!BY31-[1]Submeters!BY30)&lt;0,"0",[1]Submeters!BY31-[1]Submeters!BY30)</f>
        <v>#REF!</v>
      </c>
      <c r="CJ25" s="22" t="e">
        <f>IF(([1]Submeters!BZ31-[1]Submeters!BZ30)&lt;0,"0",[1]Submeters!BZ31-[1]Submeters!BZ30)</f>
        <v>#REF!</v>
      </c>
      <c r="CK25" s="22" t="e">
        <f>IF(([1]Submeters!CA31-[1]Submeters!CA30)&lt;0,"0",[1]Submeters!CA31-[1]Submeters!CA30)</f>
        <v>#REF!</v>
      </c>
      <c r="CL25" s="22" t="e">
        <f>IF(([1]Submeters!CB31-[1]Submeters!CB30)&lt;0,"0",[1]Submeters!CB31-[1]Submeters!CB30)</f>
        <v>#REF!</v>
      </c>
      <c r="CM25" s="22" t="e">
        <f>IF(([1]Submeters!CC31-[1]Submeters!CC30)&lt;0,"0",[1]Submeters!CC31-[1]Submeters!CC30)</f>
        <v>#REF!</v>
      </c>
      <c r="CN25" s="22" t="e">
        <f>IF(([1]Submeters!CD31-[1]Submeters!CD30)&lt;0,"0",[1]Submeters!CD31-[1]Submeters!CD30)</f>
        <v>#REF!</v>
      </c>
      <c r="CO25" s="22" t="e">
        <f>IF(([1]Submeters!CE31-[1]Submeters!CE30)&lt;0,"0",[1]Submeters!CE31-[1]Submeters!CE30)</f>
        <v>#REF!</v>
      </c>
    </row>
    <row r="26" spans="1:93" x14ac:dyDescent="0.25">
      <c r="A26" t="s">
        <v>11</v>
      </c>
      <c r="B26" s="10">
        <f>B25+1</f>
        <v>25</v>
      </c>
      <c r="C26" s="10">
        <v>2</v>
      </c>
      <c r="D26" s="10">
        <v>2023</v>
      </c>
      <c r="E26" s="11">
        <f>Hotel!D33</f>
        <v>3009</v>
      </c>
      <c r="F26" s="11">
        <f>Hotel!F33</f>
        <v>3029</v>
      </c>
      <c r="G26" s="11">
        <f>Hotel!H33</f>
        <v>2819</v>
      </c>
      <c r="H26" s="11">
        <f>Hotel!N33</f>
        <v>127</v>
      </c>
      <c r="I26" s="11">
        <f>Hotel!P33</f>
        <v>1539</v>
      </c>
      <c r="J26" s="11">
        <f>Hotel!U33</f>
        <v>216</v>
      </c>
      <c r="K26" s="11">
        <f>Hotel!Y33</f>
        <v>80</v>
      </c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22"/>
      <c r="AB26" s="22"/>
      <c r="AC26" s="22"/>
      <c r="AD26" s="22"/>
      <c r="AE26" s="22"/>
      <c r="AF26" s="22"/>
      <c r="AG26" s="22"/>
      <c r="AH26" s="22"/>
      <c r="AI26" s="22"/>
      <c r="AJ26" s="22"/>
      <c r="AK26" s="22"/>
      <c r="AL26" s="22"/>
      <c r="AM26" s="22"/>
      <c r="AN26" s="22"/>
      <c r="AO26" s="22"/>
      <c r="AP26" s="22"/>
      <c r="AQ26" s="22"/>
      <c r="AR26" s="22"/>
      <c r="AS26" s="22"/>
      <c r="AT26" s="22"/>
      <c r="AU26" s="22"/>
      <c r="AV26" s="22"/>
      <c r="AW26" s="22"/>
      <c r="AX26" s="22"/>
      <c r="AY26" s="22"/>
      <c r="AZ26" s="22"/>
      <c r="BA26" s="22"/>
      <c r="BB26" s="22"/>
      <c r="BC26" s="22"/>
      <c r="BD26" s="22"/>
      <c r="BE26" s="22"/>
      <c r="BF26" s="22"/>
      <c r="BG26" s="22"/>
      <c r="BH26" s="22"/>
      <c r="BI26" s="22" t="e">
        <f>IF(([1]Submeters!AY32-[1]Submeters!AY31)&lt;0,"0",[1]Submeters!AY32-[1]Submeters!AY31)</f>
        <v>#REF!</v>
      </c>
      <c r="BJ26" s="22" t="e">
        <f>IF(([1]Submeters!AZ32-[1]Submeters!AZ31)&lt;0,"0",[1]Submeters!AZ32-[1]Submeters!AZ31)</f>
        <v>#REF!</v>
      </c>
      <c r="BK26" s="22" t="e">
        <f>IF(([1]Submeters!BA32-[1]Submeters!BA31)&lt;0,"0",[1]Submeters!BA32-[1]Submeters!BA31)</f>
        <v>#REF!</v>
      </c>
      <c r="BL26" s="22" t="e">
        <f>IF(([1]Submeters!BB32-[1]Submeters!BB31)&lt;0,"0",[1]Submeters!BB32-[1]Submeters!BB31)</f>
        <v>#REF!</v>
      </c>
      <c r="BM26" s="22" t="e">
        <f>IF(([1]Submeters!BC32-[1]Submeters!BC31)&lt;0,"0",[1]Submeters!BC32-[1]Submeters!BC31)</f>
        <v>#REF!</v>
      </c>
      <c r="BN26" s="22" t="e">
        <f>IF(([1]Submeters!BD32-[1]Submeters!BD31)&lt;0,"0",[1]Submeters!BD32-[1]Submeters!BD31)</f>
        <v>#REF!</v>
      </c>
      <c r="BO26" s="22" t="e">
        <f>IF(([1]Submeters!BE32-[1]Submeters!BE31)&lt;0,"0",[1]Submeters!BE32-[1]Submeters!BE31)</f>
        <v>#REF!</v>
      </c>
      <c r="BP26" s="22" t="e">
        <f>IF(([1]Submeters!BF32-[1]Submeters!BF31)&lt;0,"0",[1]Submeters!BF32-[1]Submeters!BF31)</f>
        <v>#REF!</v>
      </c>
      <c r="BQ26" s="22" t="e">
        <f>IF(([1]Submeters!BG32-[1]Submeters!BG31)&lt;0,"0",[1]Submeters!BG32-[1]Submeters!BG31)</f>
        <v>#REF!</v>
      </c>
      <c r="BR26" s="22" t="e">
        <f>IF(([1]Submeters!BH32-[1]Submeters!BH31)&lt;0,"0",[1]Submeters!BH32-[1]Submeters!BH31)</f>
        <v>#REF!</v>
      </c>
      <c r="BS26" s="22" t="e">
        <f>IF(([1]Submeters!BI32-[1]Submeters!BI31)&lt;0,"0",[1]Submeters!BI32-[1]Submeters!BI31)</f>
        <v>#REF!</v>
      </c>
      <c r="BT26" s="22" t="e">
        <f>IF(([1]Submeters!BJ32-[1]Submeters!BJ31)&lt;0,"0",[1]Submeters!BJ32-[1]Submeters!BJ31)</f>
        <v>#REF!</v>
      </c>
      <c r="BU26" s="22" t="e">
        <f>IF(([1]Submeters!BK32-[1]Submeters!BK31)&lt;0,"0",[1]Submeters!BK32-[1]Submeters!BK31)</f>
        <v>#REF!</v>
      </c>
      <c r="BV26" s="22" t="e">
        <f>IF(([1]Submeters!BL32-[1]Submeters!BL31)&lt;0,"0",[1]Submeters!BL32-[1]Submeters!BL31)</f>
        <v>#REF!</v>
      </c>
      <c r="BW26" s="22" t="e">
        <f>IF(([1]Submeters!BM32-[1]Submeters!BM31)&lt;0,"0",[1]Submeters!BM32-[1]Submeters!BM31)</f>
        <v>#REF!</v>
      </c>
      <c r="BX26" s="22" t="e">
        <f>IF(([1]Submeters!BN32-[1]Submeters!BN31)&lt;0,"0",[1]Submeters!BN32-[1]Submeters!BN31)</f>
        <v>#REF!</v>
      </c>
      <c r="BY26" s="22" t="e">
        <f>IF(([1]Submeters!BO32-[1]Submeters!BO31)&lt;0,"0",[1]Submeters!BO32-[1]Submeters!BO31)</f>
        <v>#REF!</v>
      </c>
      <c r="BZ26" s="22" t="e">
        <f>IF(([1]Submeters!BP32-[1]Submeters!BP31)&lt;0,"0",[1]Submeters!BP32-[1]Submeters!BP31)</f>
        <v>#REF!</v>
      </c>
      <c r="CA26" s="22" t="e">
        <f>IF(([1]Submeters!BQ32-[1]Submeters!BQ31)&lt;0,"0",[1]Submeters!BQ32-[1]Submeters!BQ31)</f>
        <v>#REF!</v>
      </c>
      <c r="CB26" s="22" t="e">
        <f>IF(([1]Submeters!BR32-[1]Submeters!BR31)&lt;0,"0",[1]Submeters!BR32-[1]Submeters!BR31)</f>
        <v>#REF!</v>
      </c>
      <c r="CC26" s="22" t="e">
        <f>IF(([1]Submeters!BS32-[1]Submeters!BS31)&lt;0,"0",[1]Submeters!BS32-[1]Submeters!BS31)</f>
        <v>#REF!</v>
      </c>
      <c r="CD26" s="22" t="e">
        <f>IF(([1]Submeters!BT32-[1]Submeters!BT31)&lt;0,"0",[1]Submeters!BT32-[1]Submeters!BT31)</f>
        <v>#REF!</v>
      </c>
      <c r="CE26" s="22" t="e">
        <f>IF(([1]Submeters!BU32-[1]Submeters!BU31)&lt;0,"0",[1]Submeters!BU32-[1]Submeters!BU31)</f>
        <v>#REF!</v>
      </c>
      <c r="CF26" s="22" t="e">
        <f>IF(([1]Submeters!BV32-[1]Submeters!BV31)&lt;0,"0",[1]Submeters!BV32-[1]Submeters!BV31)</f>
        <v>#REF!</v>
      </c>
      <c r="CG26" s="22" t="e">
        <f>IF(([1]Submeters!BW32-[1]Submeters!BW31)&lt;0,"0",[1]Submeters!BW32-[1]Submeters!BW31)</f>
        <v>#REF!</v>
      </c>
      <c r="CH26" s="22" t="e">
        <f>IF(([1]Submeters!BX32-[1]Submeters!BX31)&lt;0,"0",[1]Submeters!BX32-[1]Submeters!BX31)</f>
        <v>#REF!</v>
      </c>
      <c r="CI26" s="22" t="e">
        <f>IF(([1]Submeters!BY32-[1]Submeters!BY31)&lt;0,"0",[1]Submeters!BY32-[1]Submeters!BY31)</f>
        <v>#REF!</v>
      </c>
      <c r="CJ26" s="22" t="e">
        <f>IF(([1]Submeters!BZ32-[1]Submeters!BZ31)&lt;0,"0",[1]Submeters!BZ32-[1]Submeters!BZ31)</f>
        <v>#REF!</v>
      </c>
      <c r="CK26" s="22" t="e">
        <f>IF(([1]Submeters!CA32-[1]Submeters!CA31)&lt;0,"0",[1]Submeters!CA32-[1]Submeters!CA31)</f>
        <v>#REF!</v>
      </c>
      <c r="CL26" s="22" t="e">
        <f>IF(([1]Submeters!CB32-[1]Submeters!CB31)&lt;0,"0",[1]Submeters!CB32-[1]Submeters!CB31)</f>
        <v>#REF!</v>
      </c>
      <c r="CM26" s="22" t="e">
        <f>IF(([1]Submeters!CC32-[1]Submeters!CC31)&lt;0,"0",[1]Submeters!CC32-[1]Submeters!CC31)</f>
        <v>#REF!</v>
      </c>
      <c r="CN26" s="22" t="e">
        <f>IF(([1]Submeters!CD32-[1]Submeters!CD31)&lt;0,"0",[1]Submeters!CD32-[1]Submeters!CD31)</f>
        <v>#REF!</v>
      </c>
      <c r="CO26" s="22" t="e">
        <f>IF(([1]Submeters!CE32-[1]Submeters!CE31)&lt;0,"0",[1]Submeters!CE32-[1]Submeters!CE31)</f>
        <v>#REF!</v>
      </c>
    </row>
    <row r="27" spans="1:93" x14ac:dyDescent="0.25">
      <c r="A27" t="s">
        <v>11</v>
      </c>
      <c r="B27" s="10">
        <f t="shared" si="0"/>
        <v>26</v>
      </c>
      <c r="C27" s="10">
        <v>2</v>
      </c>
      <c r="D27" s="10">
        <v>2023</v>
      </c>
      <c r="E27" s="11">
        <f>Hotel!D34</f>
        <v>3140</v>
      </c>
      <c r="F27" s="11">
        <f>Hotel!F34</f>
        <v>3156</v>
      </c>
      <c r="G27" s="11">
        <f>Hotel!H34</f>
        <v>2967</v>
      </c>
      <c r="H27" s="11">
        <f>Hotel!N34</f>
        <v>142</v>
      </c>
      <c r="I27" s="11">
        <f>Hotel!P34</f>
        <v>1804</v>
      </c>
      <c r="J27" s="11">
        <f>Hotel!U34</f>
        <v>181</v>
      </c>
      <c r="K27" s="11">
        <f>Hotel!Y34</f>
        <v>115</v>
      </c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22"/>
      <c r="AB27" s="22"/>
      <c r="AC27" s="22"/>
      <c r="AD27" s="22"/>
      <c r="AE27" s="22"/>
      <c r="AF27" s="22"/>
      <c r="AG27" s="22"/>
      <c r="AH27" s="22"/>
      <c r="AI27" s="22"/>
      <c r="AJ27" s="22"/>
      <c r="AK27" s="22"/>
      <c r="AL27" s="22"/>
      <c r="AM27" s="22"/>
      <c r="AN27" s="22"/>
      <c r="AO27" s="22"/>
      <c r="AP27" s="22"/>
      <c r="AQ27" s="22"/>
      <c r="AR27" s="22"/>
      <c r="AS27" s="22"/>
      <c r="AT27" s="22"/>
      <c r="AU27" s="22"/>
      <c r="AV27" s="22"/>
      <c r="AW27" s="22"/>
      <c r="AX27" s="22"/>
      <c r="AY27" s="22"/>
      <c r="AZ27" s="22"/>
      <c r="BA27" s="22"/>
      <c r="BB27" s="22"/>
      <c r="BC27" s="22"/>
      <c r="BD27" s="22"/>
      <c r="BE27" s="22"/>
      <c r="BF27" s="22"/>
      <c r="BG27" s="22"/>
      <c r="BH27" s="22"/>
      <c r="BI27" s="22" t="e">
        <f>IF(([1]Submeters!AY33-[1]Submeters!AY32)&lt;0,"0",[1]Submeters!AY33-[1]Submeters!AY32)</f>
        <v>#REF!</v>
      </c>
      <c r="BJ27" s="22" t="e">
        <f>IF(([1]Submeters!AZ33-[1]Submeters!AZ32)&lt;0,"0",[1]Submeters!AZ33-[1]Submeters!AZ32)</f>
        <v>#REF!</v>
      </c>
      <c r="BK27" s="22" t="e">
        <f>IF(([1]Submeters!BA33-[1]Submeters!BA32)&lt;0,"0",[1]Submeters!BA33-[1]Submeters!BA32)</f>
        <v>#REF!</v>
      </c>
      <c r="BL27" s="22" t="e">
        <f>IF(([1]Submeters!BB33-[1]Submeters!BB32)&lt;0,"0",[1]Submeters!BB33-[1]Submeters!BB32)</f>
        <v>#REF!</v>
      </c>
      <c r="BM27" s="22" t="e">
        <f>IF(([1]Submeters!BC33-[1]Submeters!BC32)&lt;0,"0",[1]Submeters!BC33-[1]Submeters!BC32)</f>
        <v>#REF!</v>
      </c>
      <c r="BN27" s="22" t="e">
        <f>IF(([1]Submeters!BD33-[1]Submeters!BD32)&lt;0,"0",[1]Submeters!BD33-[1]Submeters!BD32)</f>
        <v>#REF!</v>
      </c>
      <c r="BO27" s="22" t="e">
        <f>IF(([1]Submeters!BE33-[1]Submeters!BE32)&lt;0,"0",[1]Submeters!BE33-[1]Submeters!BE32)</f>
        <v>#REF!</v>
      </c>
      <c r="BP27" s="22" t="e">
        <f>IF(([1]Submeters!BF33-[1]Submeters!BF32)&lt;0,"0",[1]Submeters!BF33-[1]Submeters!BF32)</f>
        <v>#REF!</v>
      </c>
      <c r="BQ27" s="22" t="e">
        <f>IF(([1]Submeters!BG33-[1]Submeters!BG32)&lt;0,"0",[1]Submeters!BG33-[1]Submeters!BG32)</f>
        <v>#REF!</v>
      </c>
      <c r="BR27" s="22" t="e">
        <f>IF(([1]Submeters!BH33-[1]Submeters!BH32)&lt;0,"0",[1]Submeters!BH33-[1]Submeters!BH32)</f>
        <v>#REF!</v>
      </c>
      <c r="BS27" s="22" t="e">
        <f>IF(([1]Submeters!BI33-[1]Submeters!BI32)&lt;0,"0",[1]Submeters!BI33-[1]Submeters!BI32)</f>
        <v>#REF!</v>
      </c>
      <c r="BT27" s="22" t="e">
        <f>IF(([1]Submeters!BJ33-[1]Submeters!BJ32)&lt;0,"0",[1]Submeters!BJ33-[1]Submeters!BJ32)</f>
        <v>#REF!</v>
      </c>
      <c r="BU27" s="22" t="e">
        <f>IF(([1]Submeters!BK33-[1]Submeters!BK32)&lt;0,"0",[1]Submeters!BK33-[1]Submeters!BK32)</f>
        <v>#REF!</v>
      </c>
      <c r="BV27" s="22" t="e">
        <f>IF(([1]Submeters!BL33-[1]Submeters!BL32)&lt;0,"0",[1]Submeters!BL33-[1]Submeters!BL32)</f>
        <v>#REF!</v>
      </c>
      <c r="BW27" s="22" t="e">
        <f>IF(([1]Submeters!BM33-[1]Submeters!BM32)&lt;0,"0",[1]Submeters!BM33-[1]Submeters!BM32)</f>
        <v>#REF!</v>
      </c>
      <c r="BX27" s="22" t="e">
        <f>IF(([1]Submeters!BN33-[1]Submeters!BN32)&lt;0,"0",[1]Submeters!BN33-[1]Submeters!BN32)</f>
        <v>#REF!</v>
      </c>
      <c r="BY27" s="22" t="e">
        <f>IF(([1]Submeters!BO33-[1]Submeters!BO32)&lt;0,"0",[1]Submeters!BO33-[1]Submeters!BO32)</f>
        <v>#REF!</v>
      </c>
      <c r="BZ27" s="22" t="e">
        <f>IF(([1]Submeters!BP33-[1]Submeters!BP32)&lt;0,"0",[1]Submeters!BP33-[1]Submeters!BP32)</f>
        <v>#REF!</v>
      </c>
      <c r="CA27" s="22" t="e">
        <f>IF(([1]Submeters!BQ33-[1]Submeters!BQ32)&lt;0,"0",[1]Submeters!BQ33-[1]Submeters!BQ32)</f>
        <v>#REF!</v>
      </c>
      <c r="CB27" s="22" t="e">
        <f>IF(([1]Submeters!BR33-[1]Submeters!BR32)&lt;0,"0",[1]Submeters!BR33-[1]Submeters!BR32)</f>
        <v>#REF!</v>
      </c>
      <c r="CC27" s="22" t="e">
        <f>IF(([1]Submeters!BS33-[1]Submeters!BS32)&lt;0,"0",[1]Submeters!BS33-[1]Submeters!BS32)</f>
        <v>#REF!</v>
      </c>
      <c r="CD27" s="22" t="e">
        <f>IF(([1]Submeters!BT33-[1]Submeters!BT32)&lt;0,"0",[1]Submeters!BT33-[1]Submeters!BT32)</f>
        <v>#REF!</v>
      </c>
      <c r="CE27" s="22" t="e">
        <f>IF(([1]Submeters!BU33-[1]Submeters!BU32)&lt;0,"0",[1]Submeters!BU33-[1]Submeters!BU32)</f>
        <v>#REF!</v>
      </c>
      <c r="CF27" s="22" t="e">
        <f>IF(([1]Submeters!BV33-[1]Submeters!BV32)&lt;0,"0",[1]Submeters!BV33-[1]Submeters!BV32)</f>
        <v>#REF!</v>
      </c>
      <c r="CG27" s="22" t="e">
        <f>IF(([1]Submeters!BW33-[1]Submeters!BW32)&lt;0,"0",[1]Submeters!BW33-[1]Submeters!BW32)</f>
        <v>#REF!</v>
      </c>
      <c r="CH27" s="22" t="e">
        <f>IF(([1]Submeters!BX33-[1]Submeters!BX32)&lt;0,"0",[1]Submeters!BX33-[1]Submeters!BX32)</f>
        <v>#REF!</v>
      </c>
      <c r="CI27" s="22" t="e">
        <f>IF(([1]Submeters!BY33-[1]Submeters!BY32)&lt;0,"0",[1]Submeters!BY33-[1]Submeters!BY32)</f>
        <v>#REF!</v>
      </c>
      <c r="CJ27" s="22" t="e">
        <f>IF(([1]Submeters!BZ33-[1]Submeters!BZ32)&lt;0,"0",[1]Submeters!BZ33-[1]Submeters!BZ32)</f>
        <v>#REF!</v>
      </c>
      <c r="CK27" s="22" t="e">
        <f>IF(([1]Submeters!CA33-[1]Submeters!CA32)&lt;0,"0",[1]Submeters!CA33-[1]Submeters!CA32)</f>
        <v>#REF!</v>
      </c>
      <c r="CL27" s="22" t="e">
        <f>IF(([1]Submeters!CB33-[1]Submeters!CB32)&lt;0,"0",[1]Submeters!CB33-[1]Submeters!CB32)</f>
        <v>#REF!</v>
      </c>
      <c r="CM27" s="22" t="e">
        <f>IF(([1]Submeters!CC33-[1]Submeters!CC32)&lt;0,"0",[1]Submeters!CC33-[1]Submeters!CC32)</f>
        <v>#REF!</v>
      </c>
      <c r="CN27" s="22" t="e">
        <f>IF(([1]Submeters!CD33-[1]Submeters!CD32)&lt;0,"0",[1]Submeters!CD33-[1]Submeters!CD32)</f>
        <v>#REF!</v>
      </c>
      <c r="CO27" s="22" t="e">
        <f>IF(([1]Submeters!CE33-[1]Submeters!CE32)&lt;0,"0",[1]Submeters!CE33-[1]Submeters!CE32)</f>
        <v>#REF!</v>
      </c>
    </row>
    <row r="28" spans="1:93" x14ac:dyDescent="0.25">
      <c r="A28" t="s">
        <v>11</v>
      </c>
      <c r="B28" s="10">
        <f t="shared" si="0"/>
        <v>27</v>
      </c>
      <c r="C28" s="10">
        <v>2</v>
      </c>
      <c r="D28" s="10">
        <v>2023</v>
      </c>
      <c r="E28" s="11">
        <f>Hotel!D35</f>
        <v>3115</v>
      </c>
      <c r="F28" s="11">
        <f>Hotel!F35</f>
        <v>3098</v>
      </c>
      <c r="G28" s="11">
        <f>Hotel!H35</f>
        <v>2907</v>
      </c>
      <c r="H28" s="11">
        <f>Hotel!N35</f>
        <v>123</v>
      </c>
      <c r="I28" s="11">
        <f>Hotel!P35</f>
        <v>1916</v>
      </c>
      <c r="J28" s="11">
        <f>Hotel!U35</f>
        <v>233</v>
      </c>
      <c r="K28" s="11">
        <f>Hotel!Y35</f>
        <v>105</v>
      </c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22"/>
      <c r="AB28" s="22"/>
      <c r="AC28" s="22"/>
      <c r="AD28" s="22"/>
      <c r="AE28" s="22"/>
      <c r="AF28" s="22"/>
      <c r="AG28" s="22"/>
      <c r="AH28" s="22"/>
      <c r="AI28" s="22"/>
      <c r="AJ28" s="22"/>
      <c r="AK28" s="22"/>
      <c r="AL28" s="22"/>
      <c r="AM28" s="22"/>
      <c r="AN28" s="22"/>
      <c r="AO28" s="22"/>
      <c r="AP28" s="22"/>
      <c r="AQ28" s="22"/>
      <c r="AR28" s="22"/>
      <c r="AS28" s="22"/>
      <c r="AT28" s="22"/>
      <c r="AU28" s="22"/>
      <c r="AV28" s="22"/>
      <c r="AW28" s="22"/>
      <c r="AX28" s="22"/>
      <c r="AY28" s="22"/>
      <c r="AZ28" s="22"/>
      <c r="BA28" s="22"/>
      <c r="BB28" s="22"/>
      <c r="BC28" s="22"/>
      <c r="BD28" s="22"/>
      <c r="BE28" s="22"/>
      <c r="BF28" s="22"/>
      <c r="BG28" s="22"/>
      <c r="BH28" s="22"/>
      <c r="BI28" s="22">
        <f>IF(([1]Submeters!AY34-[1]Submeters!AY33)&lt;0,"0",[1]Submeters!AY34-[1]Submeters!AY33)</f>
        <v>309</v>
      </c>
      <c r="BJ28" s="22" t="e">
        <f>IF(([1]Submeters!AZ34-[1]Submeters!AZ33)&lt;0,"0",[1]Submeters!AZ34-[1]Submeters!AZ33)</f>
        <v>#REF!</v>
      </c>
      <c r="BK28" s="22" t="e">
        <f>IF(([1]Submeters!BA34-[1]Submeters!BA33)&lt;0,"0",[1]Submeters!BA34-[1]Submeters!BA33)</f>
        <v>#REF!</v>
      </c>
      <c r="BL28" s="22" t="e">
        <f>IF(([1]Submeters!BB34-[1]Submeters!BB33)&lt;0,"0",[1]Submeters!BB34-[1]Submeters!BB33)</f>
        <v>#REF!</v>
      </c>
      <c r="BM28" s="22" t="e">
        <f>IF(([1]Submeters!BC34-[1]Submeters!BC33)&lt;0,"0",[1]Submeters!BC34-[1]Submeters!BC33)</f>
        <v>#REF!</v>
      </c>
      <c r="BN28" s="22" t="e">
        <f>IF(([1]Submeters!BD34-[1]Submeters!BD33)&lt;0,"0",[1]Submeters!BD34-[1]Submeters!BD33)</f>
        <v>#REF!</v>
      </c>
      <c r="BO28" s="22" t="e">
        <f>IF(([1]Submeters!BE34-[1]Submeters!BE33)&lt;0,"0",[1]Submeters!BE34-[1]Submeters!BE33)</f>
        <v>#REF!</v>
      </c>
      <c r="BP28" s="22" t="e">
        <f>IF(([1]Submeters!BF34-[1]Submeters!BF33)&lt;0,"0",[1]Submeters!BF34-[1]Submeters!BF33)</f>
        <v>#REF!</v>
      </c>
      <c r="BQ28" s="22" t="e">
        <f>IF(([1]Submeters!BG34-[1]Submeters!BG33)&lt;0,"0",[1]Submeters!BG34-[1]Submeters!BG33)</f>
        <v>#REF!</v>
      </c>
      <c r="BR28" s="22" t="e">
        <f>IF(([1]Submeters!BH34-[1]Submeters!BH33)&lt;0,"0",[1]Submeters!BH34-[1]Submeters!BH33)</f>
        <v>#REF!</v>
      </c>
      <c r="BS28" s="22" t="e">
        <f>IF(([1]Submeters!BI34-[1]Submeters!BI33)&lt;0,"0",[1]Submeters!BI34-[1]Submeters!BI33)</f>
        <v>#REF!</v>
      </c>
      <c r="BT28" s="22" t="e">
        <f>IF(([1]Submeters!BJ34-[1]Submeters!BJ33)&lt;0,"0",[1]Submeters!BJ34-[1]Submeters!BJ33)</f>
        <v>#REF!</v>
      </c>
      <c r="BU28" s="22" t="e">
        <f>IF(([1]Submeters!BK34-[1]Submeters!BK33)&lt;0,"0",[1]Submeters!BK34-[1]Submeters!BK33)</f>
        <v>#REF!</v>
      </c>
      <c r="BV28" s="22" t="e">
        <f>IF(([1]Submeters!BL34-[1]Submeters!BL33)&lt;0,"0",[1]Submeters!BL34-[1]Submeters!BL33)</f>
        <v>#REF!</v>
      </c>
      <c r="BW28" s="22" t="e">
        <f>IF(([1]Submeters!BM34-[1]Submeters!BM33)&lt;0,"0",[1]Submeters!BM34-[1]Submeters!BM33)</f>
        <v>#REF!</v>
      </c>
      <c r="BX28" s="22" t="e">
        <f>IF(([1]Submeters!BN34-[1]Submeters!BN33)&lt;0,"0",[1]Submeters!BN34-[1]Submeters!BN33)</f>
        <v>#REF!</v>
      </c>
      <c r="BY28" s="22" t="e">
        <f>IF(([1]Submeters!BO34-[1]Submeters!BO33)&lt;0,"0",[1]Submeters!BO34-[1]Submeters!BO33)</f>
        <v>#REF!</v>
      </c>
      <c r="BZ28" s="22" t="e">
        <f>IF(([1]Submeters!BP34-[1]Submeters!BP33)&lt;0,"0",[1]Submeters!BP34-[1]Submeters!BP33)</f>
        <v>#REF!</v>
      </c>
      <c r="CA28" s="22" t="e">
        <f>IF(([1]Submeters!BQ34-[1]Submeters!BQ33)&lt;0,"0",[1]Submeters!BQ34-[1]Submeters!BQ33)</f>
        <v>#REF!</v>
      </c>
      <c r="CB28" s="22" t="e">
        <f>IF(([1]Submeters!BR34-[1]Submeters!BR33)&lt;0,"0",[1]Submeters!BR34-[1]Submeters!BR33)</f>
        <v>#REF!</v>
      </c>
      <c r="CC28" s="22" t="e">
        <f>IF(([1]Submeters!BS34-[1]Submeters!BS33)&lt;0,"0",[1]Submeters!BS34-[1]Submeters!BS33)</f>
        <v>#REF!</v>
      </c>
      <c r="CD28" s="22" t="e">
        <f>IF(([1]Submeters!BT34-[1]Submeters!BT33)&lt;0,"0",[1]Submeters!BT34-[1]Submeters!BT33)</f>
        <v>#REF!</v>
      </c>
      <c r="CE28" s="22" t="e">
        <f>IF(([1]Submeters!BU34-[1]Submeters!BU33)&lt;0,"0",[1]Submeters!BU34-[1]Submeters!BU33)</f>
        <v>#REF!</v>
      </c>
      <c r="CF28" s="22" t="e">
        <f>IF(([1]Submeters!BV34-[1]Submeters!BV33)&lt;0,"0",[1]Submeters!BV34-[1]Submeters!BV33)</f>
        <v>#REF!</v>
      </c>
      <c r="CG28" s="22" t="e">
        <f>IF(([1]Submeters!BW34-[1]Submeters!BW33)&lt;0,"0",[1]Submeters!BW34-[1]Submeters!BW33)</f>
        <v>#REF!</v>
      </c>
      <c r="CH28" s="22" t="e">
        <f>IF(([1]Submeters!BX34-[1]Submeters!BX33)&lt;0,"0",[1]Submeters!BX34-[1]Submeters!BX33)</f>
        <v>#REF!</v>
      </c>
      <c r="CI28" s="22" t="e">
        <f>IF(([1]Submeters!BY34-[1]Submeters!BY33)&lt;0,"0",[1]Submeters!BY34-[1]Submeters!BY33)</f>
        <v>#REF!</v>
      </c>
      <c r="CJ28" s="22" t="e">
        <f>IF(([1]Submeters!BZ34-[1]Submeters!BZ33)&lt;0,"0",[1]Submeters!BZ34-[1]Submeters!BZ33)</f>
        <v>#REF!</v>
      </c>
      <c r="CK28" s="22" t="e">
        <f>IF(([1]Submeters!CA34-[1]Submeters!CA33)&lt;0,"0",[1]Submeters!CA34-[1]Submeters!CA33)</f>
        <v>#REF!</v>
      </c>
      <c r="CL28" s="22" t="e">
        <f>IF(([1]Submeters!CB34-[1]Submeters!CB33)&lt;0,"0",[1]Submeters!CB34-[1]Submeters!CB33)</f>
        <v>#REF!</v>
      </c>
      <c r="CM28" s="22" t="e">
        <f>IF(([1]Submeters!CC34-[1]Submeters!CC33)&lt;0,"0",[1]Submeters!CC34-[1]Submeters!CC33)</f>
        <v>#REF!</v>
      </c>
      <c r="CN28" s="22" t="e">
        <f>IF(([1]Submeters!CD34-[1]Submeters!CD33)&lt;0,"0",[1]Submeters!CD34-[1]Submeters!CD33)</f>
        <v>#REF!</v>
      </c>
      <c r="CO28" s="22" t="e">
        <f>IF(([1]Submeters!CE34-[1]Submeters!CE33)&lt;0,"0",[1]Submeters!CE34-[1]Submeters!CE33)</f>
        <v>#REF!</v>
      </c>
    </row>
    <row r="29" spans="1:93" x14ac:dyDescent="0.25">
      <c r="A29" t="s">
        <v>11</v>
      </c>
      <c r="B29" s="10">
        <f t="shared" si="0"/>
        <v>28</v>
      </c>
      <c r="C29" s="10">
        <v>2</v>
      </c>
      <c r="D29" s="10">
        <v>2023</v>
      </c>
      <c r="E29" s="11">
        <f>Hotel!D36</f>
        <v>3236</v>
      </c>
      <c r="F29" s="11">
        <f>Hotel!F36</f>
        <v>3252</v>
      </c>
      <c r="G29" s="11">
        <f>Hotel!H36</f>
        <v>3040</v>
      </c>
      <c r="H29" s="11">
        <f>Hotel!N36</f>
        <v>127</v>
      </c>
      <c r="I29" s="11">
        <f>Hotel!P36</f>
        <v>1689</v>
      </c>
      <c r="J29" s="11">
        <f>Hotel!U36</f>
        <v>222</v>
      </c>
      <c r="K29" s="11">
        <f>Hotel!Y36</f>
        <v>106</v>
      </c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22"/>
      <c r="AB29" s="22"/>
      <c r="AC29" s="22"/>
      <c r="AD29" s="22"/>
      <c r="AE29" s="22"/>
      <c r="AF29" s="22"/>
      <c r="AG29" s="22"/>
      <c r="AH29" s="22"/>
      <c r="AI29" s="22"/>
      <c r="AJ29" s="22"/>
      <c r="AK29" s="22"/>
      <c r="AL29" s="22"/>
      <c r="AM29" s="22"/>
      <c r="AN29" s="22"/>
      <c r="AO29" s="22"/>
      <c r="AP29" s="22"/>
      <c r="AQ29" s="22"/>
      <c r="AR29" s="22"/>
      <c r="AS29" s="22"/>
      <c r="AT29" s="22"/>
      <c r="AU29" s="22"/>
      <c r="AV29" s="22"/>
      <c r="AW29" s="22"/>
      <c r="AX29" s="22"/>
      <c r="AY29" s="22"/>
      <c r="AZ29" s="22"/>
      <c r="BA29" s="22"/>
      <c r="BB29" s="22"/>
      <c r="BC29" s="22"/>
      <c r="BD29" s="22"/>
      <c r="BE29" s="22"/>
      <c r="BF29" s="22"/>
      <c r="BG29" s="22"/>
      <c r="BH29" s="22"/>
      <c r="BI29" s="22">
        <f>IF(([1]Submeters!AY35-[1]Submeters!AY34)&lt;0,"0",[1]Submeters!AY35-[1]Submeters!AY34)</f>
        <v>301</v>
      </c>
      <c r="BJ29" s="22" t="e">
        <f>IF(([1]Submeters!AZ35-[1]Submeters!AZ34)&lt;0,"0",[1]Submeters!AZ35-[1]Submeters!AZ34)</f>
        <v>#REF!</v>
      </c>
      <c r="BK29" s="22" t="e">
        <f>IF(([1]Submeters!BA35-[1]Submeters!BA34)&lt;0,"0",[1]Submeters!BA35-[1]Submeters!BA34)</f>
        <v>#REF!</v>
      </c>
      <c r="BL29" s="22" t="e">
        <f>IF(([1]Submeters!BB35-[1]Submeters!BB34)&lt;0,"0",[1]Submeters!BB35-[1]Submeters!BB34)</f>
        <v>#REF!</v>
      </c>
      <c r="BM29" s="22" t="e">
        <f>IF(([1]Submeters!BC35-[1]Submeters!BC34)&lt;0,"0",[1]Submeters!BC35-[1]Submeters!BC34)</f>
        <v>#REF!</v>
      </c>
      <c r="BN29" s="22" t="e">
        <f>IF(([1]Submeters!BD35-[1]Submeters!BD34)&lt;0,"0",[1]Submeters!BD35-[1]Submeters!BD34)</f>
        <v>#REF!</v>
      </c>
      <c r="BO29" s="22" t="e">
        <f>IF(([1]Submeters!BE35-[1]Submeters!BE34)&lt;0,"0",[1]Submeters!BE35-[1]Submeters!BE34)</f>
        <v>#REF!</v>
      </c>
      <c r="BP29" s="22" t="e">
        <f>IF(([1]Submeters!BF35-[1]Submeters!BF34)&lt;0,"0",[1]Submeters!BF35-[1]Submeters!BF34)</f>
        <v>#REF!</v>
      </c>
      <c r="BQ29" s="22" t="e">
        <f>IF(([1]Submeters!BG35-[1]Submeters!BG34)&lt;0,"0",[1]Submeters!BG35-[1]Submeters!BG34)</f>
        <v>#REF!</v>
      </c>
      <c r="BR29" s="22" t="e">
        <f>IF(([1]Submeters!BH35-[1]Submeters!BH34)&lt;0,"0",[1]Submeters!BH35-[1]Submeters!BH34)</f>
        <v>#REF!</v>
      </c>
      <c r="BS29" s="22" t="e">
        <f>IF(([1]Submeters!BI35-[1]Submeters!BI34)&lt;0,"0",[1]Submeters!BI35-[1]Submeters!BI34)</f>
        <v>#REF!</v>
      </c>
      <c r="BT29" s="22" t="e">
        <f>IF(([1]Submeters!BJ35-[1]Submeters!BJ34)&lt;0,"0",[1]Submeters!BJ35-[1]Submeters!BJ34)</f>
        <v>#REF!</v>
      </c>
      <c r="BU29" s="22" t="e">
        <f>IF(([1]Submeters!BK35-[1]Submeters!BK34)&lt;0,"0",[1]Submeters!BK35-[1]Submeters!BK34)</f>
        <v>#REF!</v>
      </c>
      <c r="BV29" s="22" t="e">
        <f>IF(([1]Submeters!BL35-[1]Submeters!BL34)&lt;0,"0",[1]Submeters!BL35-[1]Submeters!BL34)</f>
        <v>#REF!</v>
      </c>
      <c r="BW29" s="22" t="e">
        <f>IF(([1]Submeters!BM35-[1]Submeters!BM34)&lt;0,"0",[1]Submeters!BM35-[1]Submeters!BM34)</f>
        <v>#REF!</v>
      </c>
      <c r="BX29" s="22" t="e">
        <f>IF(([1]Submeters!BN35-[1]Submeters!BN34)&lt;0,"0",[1]Submeters!BN35-[1]Submeters!BN34)</f>
        <v>#REF!</v>
      </c>
      <c r="BY29" s="22" t="e">
        <f>IF(([1]Submeters!BO35-[1]Submeters!BO34)&lt;0,"0",[1]Submeters!BO35-[1]Submeters!BO34)</f>
        <v>#REF!</v>
      </c>
      <c r="BZ29" s="22" t="e">
        <f>IF(([1]Submeters!BP35-[1]Submeters!BP34)&lt;0,"0",[1]Submeters!BP35-[1]Submeters!BP34)</f>
        <v>#REF!</v>
      </c>
      <c r="CA29" s="22" t="e">
        <f>IF(([1]Submeters!BQ35-[1]Submeters!BQ34)&lt;0,"0",[1]Submeters!BQ35-[1]Submeters!BQ34)</f>
        <v>#REF!</v>
      </c>
      <c r="CB29" s="22" t="e">
        <f>IF(([1]Submeters!BR35-[1]Submeters!BR34)&lt;0,"0",[1]Submeters!BR35-[1]Submeters!BR34)</f>
        <v>#REF!</v>
      </c>
      <c r="CC29" s="22" t="e">
        <f>IF(([1]Submeters!BS35-[1]Submeters!BS34)&lt;0,"0",[1]Submeters!BS35-[1]Submeters!BS34)</f>
        <v>#REF!</v>
      </c>
      <c r="CD29" s="22" t="e">
        <f>IF(([1]Submeters!BT35-[1]Submeters!BT34)&lt;0,"0",[1]Submeters!BT35-[1]Submeters!BT34)</f>
        <v>#REF!</v>
      </c>
      <c r="CE29" s="22" t="e">
        <f>IF(([1]Submeters!BU35-[1]Submeters!BU34)&lt;0,"0",[1]Submeters!BU35-[1]Submeters!BU34)</f>
        <v>#REF!</v>
      </c>
      <c r="CF29" s="22" t="e">
        <f>IF(([1]Submeters!BV35-[1]Submeters!BV34)&lt;0,"0",[1]Submeters!BV35-[1]Submeters!BV34)</f>
        <v>#REF!</v>
      </c>
      <c r="CG29" s="22" t="e">
        <f>IF(([1]Submeters!BW35-[1]Submeters!BW34)&lt;0,"0",[1]Submeters!BW35-[1]Submeters!BW34)</f>
        <v>#REF!</v>
      </c>
      <c r="CH29" s="22" t="e">
        <f>IF(([1]Submeters!BX35-[1]Submeters!BX34)&lt;0,"0",[1]Submeters!BX35-[1]Submeters!BX34)</f>
        <v>#REF!</v>
      </c>
      <c r="CI29" s="22" t="e">
        <f>IF(([1]Submeters!BY35-[1]Submeters!BY34)&lt;0,"0",[1]Submeters!BY35-[1]Submeters!BY34)</f>
        <v>#REF!</v>
      </c>
      <c r="CJ29" s="22" t="e">
        <f>IF(([1]Submeters!BZ35-[1]Submeters!BZ34)&lt;0,"0",[1]Submeters!BZ35-[1]Submeters!BZ34)</f>
        <v>#REF!</v>
      </c>
      <c r="CK29" s="22" t="e">
        <f>IF(([1]Submeters!CA35-[1]Submeters!CA34)&lt;0,"0",[1]Submeters!CA35-[1]Submeters!CA34)</f>
        <v>#REF!</v>
      </c>
      <c r="CL29" s="22" t="e">
        <f>IF(([1]Submeters!CB35-[1]Submeters!CB34)&lt;0,"0",[1]Submeters!CB35-[1]Submeters!CB34)</f>
        <v>#REF!</v>
      </c>
      <c r="CM29" s="22" t="e">
        <f>IF(([1]Submeters!CC35-[1]Submeters!CC34)&lt;0,"0",[1]Submeters!CC35-[1]Submeters!CC34)</f>
        <v>#REF!</v>
      </c>
      <c r="CN29" s="22" t="e">
        <f>IF(([1]Submeters!CD35-[1]Submeters!CD34)&lt;0,"0",[1]Submeters!CD35-[1]Submeters!CD34)</f>
        <v>#REF!</v>
      </c>
      <c r="CO29" s="22" t="e">
        <f>IF(([1]Submeters!CE35-[1]Submeters!CE34)&lt;0,"0",[1]Submeters!CE35-[1]Submeters!CE34)</f>
        <v>#REF!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37"/>
  <sheetViews>
    <sheetView topLeftCell="A4" zoomScale="91" zoomScaleNormal="91" workbookViewId="0">
      <selection activeCell="V40" sqref="V40"/>
    </sheetView>
  </sheetViews>
  <sheetFormatPr defaultRowHeight="15" x14ac:dyDescent="0.25"/>
  <cols>
    <col min="4" max="4" width="9.28515625" bestFit="1" customWidth="1"/>
    <col min="11" max="11" width="13.42578125" customWidth="1"/>
    <col min="12" max="12" width="9.140625" hidden="1" customWidth="1"/>
    <col min="18" max="18" width="11.7109375" customWidth="1"/>
    <col min="19" max="19" width="5.140625" hidden="1" customWidth="1"/>
    <col min="21" max="21" width="10.5703125" customWidth="1"/>
    <col min="22" max="22" width="9.140625" customWidth="1"/>
    <col min="23" max="23" width="0.140625" customWidth="1"/>
    <col min="25" max="25" width="13.140625" customWidth="1"/>
    <col min="260" max="260" width="9.28515625" bestFit="1" customWidth="1"/>
    <col min="267" max="267" width="9.140625" customWidth="1"/>
    <col min="268" max="268" width="0" hidden="1" customWidth="1"/>
    <col min="274" max="274" width="11.7109375" customWidth="1"/>
    <col min="275" max="275" width="0" hidden="1" customWidth="1"/>
    <col min="278" max="278" width="9.140625" customWidth="1"/>
    <col min="279" max="279" width="0.140625" customWidth="1"/>
    <col min="281" max="281" width="13.140625" customWidth="1"/>
    <col min="516" max="516" width="9.28515625" bestFit="1" customWidth="1"/>
    <col min="523" max="523" width="9.140625" customWidth="1"/>
    <col min="524" max="524" width="0" hidden="1" customWidth="1"/>
    <col min="530" max="530" width="11.7109375" customWidth="1"/>
    <col min="531" max="531" width="0" hidden="1" customWidth="1"/>
    <col min="534" max="534" width="9.140625" customWidth="1"/>
    <col min="535" max="535" width="0.140625" customWidth="1"/>
    <col min="537" max="537" width="13.140625" customWidth="1"/>
    <col min="772" max="772" width="9.28515625" bestFit="1" customWidth="1"/>
    <col min="779" max="779" width="9.140625" customWidth="1"/>
    <col min="780" max="780" width="0" hidden="1" customWidth="1"/>
    <col min="786" max="786" width="11.7109375" customWidth="1"/>
    <col min="787" max="787" width="0" hidden="1" customWidth="1"/>
    <col min="790" max="790" width="9.140625" customWidth="1"/>
    <col min="791" max="791" width="0.140625" customWidth="1"/>
    <col min="793" max="793" width="13.140625" customWidth="1"/>
    <col min="1028" max="1028" width="9.28515625" bestFit="1" customWidth="1"/>
    <col min="1035" max="1035" width="9.140625" customWidth="1"/>
    <col min="1036" max="1036" width="0" hidden="1" customWidth="1"/>
    <col min="1042" max="1042" width="11.7109375" customWidth="1"/>
    <col min="1043" max="1043" width="0" hidden="1" customWidth="1"/>
    <col min="1046" max="1046" width="9.140625" customWidth="1"/>
    <col min="1047" max="1047" width="0.140625" customWidth="1"/>
    <col min="1049" max="1049" width="13.140625" customWidth="1"/>
    <col min="1284" max="1284" width="9.28515625" bestFit="1" customWidth="1"/>
    <col min="1291" max="1291" width="9.140625" customWidth="1"/>
    <col min="1292" max="1292" width="0" hidden="1" customWidth="1"/>
    <col min="1298" max="1298" width="11.7109375" customWidth="1"/>
    <col min="1299" max="1299" width="0" hidden="1" customWidth="1"/>
    <col min="1302" max="1302" width="9.140625" customWidth="1"/>
    <col min="1303" max="1303" width="0.140625" customWidth="1"/>
    <col min="1305" max="1305" width="13.140625" customWidth="1"/>
    <col min="1540" max="1540" width="9.28515625" bestFit="1" customWidth="1"/>
    <col min="1547" max="1547" width="9.140625" customWidth="1"/>
    <col min="1548" max="1548" width="0" hidden="1" customWidth="1"/>
    <col min="1554" max="1554" width="11.7109375" customWidth="1"/>
    <col min="1555" max="1555" width="0" hidden="1" customWidth="1"/>
    <col min="1558" max="1558" width="9.140625" customWidth="1"/>
    <col min="1559" max="1559" width="0.140625" customWidth="1"/>
    <col min="1561" max="1561" width="13.140625" customWidth="1"/>
    <col min="1796" max="1796" width="9.28515625" bestFit="1" customWidth="1"/>
    <col min="1803" max="1803" width="9.140625" customWidth="1"/>
    <col min="1804" max="1804" width="0" hidden="1" customWidth="1"/>
    <col min="1810" max="1810" width="11.7109375" customWidth="1"/>
    <col min="1811" max="1811" width="0" hidden="1" customWidth="1"/>
    <col min="1814" max="1814" width="9.140625" customWidth="1"/>
    <col min="1815" max="1815" width="0.140625" customWidth="1"/>
    <col min="1817" max="1817" width="13.140625" customWidth="1"/>
    <col min="2052" max="2052" width="9.28515625" bestFit="1" customWidth="1"/>
    <col min="2059" max="2059" width="9.140625" customWidth="1"/>
    <col min="2060" max="2060" width="0" hidden="1" customWidth="1"/>
    <col min="2066" max="2066" width="11.7109375" customWidth="1"/>
    <col min="2067" max="2067" width="0" hidden="1" customWidth="1"/>
    <col min="2070" max="2070" width="9.140625" customWidth="1"/>
    <col min="2071" max="2071" width="0.140625" customWidth="1"/>
    <col min="2073" max="2073" width="13.140625" customWidth="1"/>
    <col min="2308" max="2308" width="9.28515625" bestFit="1" customWidth="1"/>
    <col min="2315" max="2315" width="9.140625" customWidth="1"/>
    <col min="2316" max="2316" width="0" hidden="1" customWidth="1"/>
    <col min="2322" max="2322" width="11.7109375" customWidth="1"/>
    <col min="2323" max="2323" width="0" hidden="1" customWidth="1"/>
    <col min="2326" max="2326" width="9.140625" customWidth="1"/>
    <col min="2327" max="2327" width="0.140625" customWidth="1"/>
    <col min="2329" max="2329" width="13.140625" customWidth="1"/>
    <col min="2564" max="2564" width="9.28515625" bestFit="1" customWidth="1"/>
    <col min="2571" max="2571" width="9.140625" customWidth="1"/>
    <col min="2572" max="2572" width="0" hidden="1" customWidth="1"/>
    <col min="2578" max="2578" width="11.7109375" customWidth="1"/>
    <col min="2579" max="2579" width="0" hidden="1" customWidth="1"/>
    <col min="2582" max="2582" width="9.140625" customWidth="1"/>
    <col min="2583" max="2583" width="0.140625" customWidth="1"/>
    <col min="2585" max="2585" width="13.140625" customWidth="1"/>
    <col min="2820" max="2820" width="9.28515625" bestFit="1" customWidth="1"/>
    <col min="2827" max="2827" width="9.140625" customWidth="1"/>
    <col min="2828" max="2828" width="0" hidden="1" customWidth="1"/>
    <col min="2834" max="2834" width="11.7109375" customWidth="1"/>
    <col min="2835" max="2835" width="0" hidden="1" customWidth="1"/>
    <col min="2838" max="2838" width="9.140625" customWidth="1"/>
    <col min="2839" max="2839" width="0.140625" customWidth="1"/>
    <col min="2841" max="2841" width="13.140625" customWidth="1"/>
    <col min="3076" max="3076" width="9.28515625" bestFit="1" customWidth="1"/>
    <col min="3083" max="3083" width="9.140625" customWidth="1"/>
    <col min="3084" max="3084" width="0" hidden="1" customWidth="1"/>
    <col min="3090" max="3090" width="11.7109375" customWidth="1"/>
    <col min="3091" max="3091" width="0" hidden="1" customWidth="1"/>
    <col min="3094" max="3094" width="9.140625" customWidth="1"/>
    <col min="3095" max="3095" width="0.140625" customWidth="1"/>
    <col min="3097" max="3097" width="13.140625" customWidth="1"/>
    <col min="3332" max="3332" width="9.28515625" bestFit="1" customWidth="1"/>
    <col min="3339" max="3339" width="9.140625" customWidth="1"/>
    <col min="3340" max="3340" width="0" hidden="1" customWidth="1"/>
    <col min="3346" max="3346" width="11.7109375" customWidth="1"/>
    <col min="3347" max="3347" width="0" hidden="1" customWidth="1"/>
    <col min="3350" max="3350" width="9.140625" customWidth="1"/>
    <col min="3351" max="3351" width="0.140625" customWidth="1"/>
    <col min="3353" max="3353" width="13.140625" customWidth="1"/>
    <col min="3588" max="3588" width="9.28515625" bestFit="1" customWidth="1"/>
    <col min="3595" max="3595" width="9.140625" customWidth="1"/>
    <col min="3596" max="3596" width="0" hidden="1" customWidth="1"/>
    <col min="3602" max="3602" width="11.7109375" customWidth="1"/>
    <col min="3603" max="3603" width="0" hidden="1" customWidth="1"/>
    <col min="3606" max="3606" width="9.140625" customWidth="1"/>
    <col min="3607" max="3607" width="0.140625" customWidth="1"/>
    <col min="3609" max="3609" width="13.140625" customWidth="1"/>
    <col min="3844" max="3844" width="9.28515625" bestFit="1" customWidth="1"/>
    <col min="3851" max="3851" width="9.140625" customWidth="1"/>
    <col min="3852" max="3852" width="0" hidden="1" customWidth="1"/>
    <col min="3858" max="3858" width="11.7109375" customWidth="1"/>
    <col min="3859" max="3859" width="0" hidden="1" customWidth="1"/>
    <col min="3862" max="3862" width="9.140625" customWidth="1"/>
    <col min="3863" max="3863" width="0.140625" customWidth="1"/>
    <col min="3865" max="3865" width="13.140625" customWidth="1"/>
    <col min="4100" max="4100" width="9.28515625" bestFit="1" customWidth="1"/>
    <col min="4107" max="4107" width="9.140625" customWidth="1"/>
    <col min="4108" max="4108" width="0" hidden="1" customWidth="1"/>
    <col min="4114" max="4114" width="11.7109375" customWidth="1"/>
    <col min="4115" max="4115" width="0" hidden="1" customWidth="1"/>
    <col min="4118" max="4118" width="9.140625" customWidth="1"/>
    <col min="4119" max="4119" width="0.140625" customWidth="1"/>
    <col min="4121" max="4121" width="13.140625" customWidth="1"/>
    <col min="4356" max="4356" width="9.28515625" bestFit="1" customWidth="1"/>
    <col min="4363" max="4363" width="9.140625" customWidth="1"/>
    <col min="4364" max="4364" width="0" hidden="1" customWidth="1"/>
    <col min="4370" max="4370" width="11.7109375" customWidth="1"/>
    <col min="4371" max="4371" width="0" hidden="1" customWidth="1"/>
    <col min="4374" max="4374" width="9.140625" customWidth="1"/>
    <col min="4375" max="4375" width="0.140625" customWidth="1"/>
    <col min="4377" max="4377" width="13.140625" customWidth="1"/>
    <col min="4612" max="4612" width="9.28515625" bestFit="1" customWidth="1"/>
    <col min="4619" max="4619" width="9.140625" customWidth="1"/>
    <col min="4620" max="4620" width="0" hidden="1" customWidth="1"/>
    <col min="4626" max="4626" width="11.7109375" customWidth="1"/>
    <col min="4627" max="4627" width="0" hidden="1" customWidth="1"/>
    <col min="4630" max="4630" width="9.140625" customWidth="1"/>
    <col min="4631" max="4631" width="0.140625" customWidth="1"/>
    <col min="4633" max="4633" width="13.140625" customWidth="1"/>
    <col min="4868" max="4868" width="9.28515625" bestFit="1" customWidth="1"/>
    <col min="4875" max="4875" width="9.140625" customWidth="1"/>
    <col min="4876" max="4876" width="0" hidden="1" customWidth="1"/>
    <col min="4882" max="4882" width="11.7109375" customWidth="1"/>
    <col min="4883" max="4883" width="0" hidden="1" customWidth="1"/>
    <col min="4886" max="4886" width="9.140625" customWidth="1"/>
    <col min="4887" max="4887" width="0.140625" customWidth="1"/>
    <col min="4889" max="4889" width="13.140625" customWidth="1"/>
    <col min="5124" max="5124" width="9.28515625" bestFit="1" customWidth="1"/>
    <col min="5131" max="5131" width="9.140625" customWidth="1"/>
    <col min="5132" max="5132" width="0" hidden="1" customWidth="1"/>
    <col min="5138" max="5138" width="11.7109375" customWidth="1"/>
    <col min="5139" max="5139" width="0" hidden="1" customWidth="1"/>
    <col min="5142" max="5142" width="9.140625" customWidth="1"/>
    <col min="5143" max="5143" width="0.140625" customWidth="1"/>
    <col min="5145" max="5145" width="13.140625" customWidth="1"/>
    <col min="5380" max="5380" width="9.28515625" bestFit="1" customWidth="1"/>
    <col min="5387" max="5387" width="9.140625" customWidth="1"/>
    <col min="5388" max="5388" width="0" hidden="1" customWidth="1"/>
    <col min="5394" max="5394" width="11.7109375" customWidth="1"/>
    <col min="5395" max="5395" width="0" hidden="1" customWidth="1"/>
    <col min="5398" max="5398" width="9.140625" customWidth="1"/>
    <col min="5399" max="5399" width="0.140625" customWidth="1"/>
    <col min="5401" max="5401" width="13.140625" customWidth="1"/>
    <col min="5636" max="5636" width="9.28515625" bestFit="1" customWidth="1"/>
    <col min="5643" max="5643" width="9.140625" customWidth="1"/>
    <col min="5644" max="5644" width="0" hidden="1" customWidth="1"/>
    <col min="5650" max="5650" width="11.7109375" customWidth="1"/>
    <col min="5651" max="5651" width="0" hidden="1" customWidth="1"/>
    <col min="5654" max="5654" width="9.140625" customWidth="1"/>
    <col min="5655" max="5655" width="0.140625" customWidth="1"/>
    <col min="5657" max="5657" width="13.140625" customWidth="1"/>
    <col min="5892" max="5892" width="9.28515625" bestFit="1" customWidth="1"/>
    <col min="5899" max="5899" width="9.140625" customWidth="1"/>
    <col min="5900" max="5900" width="0" hidden="1" customWidth="1"/>
    <col min="5906" max="5906" width="11.7109375" customWidth="1"/>
    <col min="5907" max="5907" width="0" hidden="1" customWidth="1"/>
    <col min="5910" max="5910" width="9.140625" customWidth="1"/>
    <col min="5911" max="5911" width="0.140625" customWidth="1"/>
    <col min="5913" max="5913" width="13.140625" customWidth="1"/>
    <col min="6148" max="6148" width="9.28515625" bestFit="1" customWidth="1"/>
    <col min="6155" max="6155" width="9.140625" customWidth="1"/>
    <col min="6156" max="6156" width="0" hidden="1" customWidth="1"/>
    <col min="6162" max="6162" width="11.7109375" customWidth="1"/>
    <col min="6163" max="6163" width="0" hidden="1" customWidth="1"/>
    <col min="6166" max="6166" width="9.140625" customWidth="1"/>
    <col min="6167" max="6167" width="0.140625" customWidth="1"/>
    <col min="6169" max="6169" width="13.140625" customWidth="1"/>
    <col min="6404" max="6404" width="9.28515625" bestFit="1" customWidth="1"/>
    <col min="6411" max="6411" width="9.140625" customWidth="1"/>
    <col min="6412" max="6412" width="0" hidden="1" customWidth="1"/>
    <col min="6418" max="6418" width="11.7109375" customWidth="1"/>
    <col min="6419" max="6419" width="0" hidden="1" customWidth="1"/>
    <col min="6422" max="6422" width="9.140625" customWidth="1"/>
    <col min="6423" max="6423" width="0.140625" customWidth="1"/>
    <col min="6425" max="6425" width="13.140625" customWidth="1"/>
    <col min="6660" max="6660" width="9.28515625" bestFit="1" customWidth="1"/>
    <col min="6667" max="6667" width="9.140625" customWidth="1"/>
    <col min="6668" max="6668" width="0" hidden="1" customWidth="1"/>
    <col min="6674" max="6674" width="11.7109375" customWidth="1"/>
    <col min="6675" max="6675" width="0" hidden="1" customWidth="1"/>
    <col min="6678" max="6678" width="9.140625" customWidth="1"/>
    <col min="6679" max="6679" width="0.140625" customWidth="1"/>
    <col min="6681" max="6681" width="13.140625" customWidth="1"/>
    <col min="6916" max="6916" width="9.28515625" bestFit="1" customWidth="1"/>
    <col min="6923" max="6923" width="9.140625" customWidth="1"/>
    <col min="6924" max="6924" width="0" hidden="1" customWidth="1"/>
    <col min="6930" max="6930" width="11.7109375" customWidth="1"/>
    <col min="6931" max="6931" width="0" hidden="1" customWidth="1"/>
    <col min="6934" max="6934" width="9.140625" customWidth="1"/>
    <col min="6935" max="6935" width="0.140625" customWidth="1"/>
    <col min="6937" max="6937" width="13.140625" customWidth="1"/>
    <col min="7172" max="7172" width="9.28515625" bestFit="1" customWidth="1"/>
    <col min="7179" max="7179" width="9.140625" customWidth="1"/>
    <col min="7180" max="7180" width="0" hidden="1" customWidth="1"/>
    <col min="7186" max="7186" width="11.7109375" customWidth="1"/>
    <col min="7187" max="7187" width="0" hidden="1" customWidth="1"/>
    <col min="7190" max="7190" width="9.140625" customWidth="1"/>
    <col min="7191" max="7191" width="0.140625" customWidth="1"/>
    <col min="7193" max="7193" width="13.140625" customWidth="1"/>
    <col min="7428" max="7428" width="9.28515625" bestFit="1" customWidth="1"/>
    <col min="7435" max="7435" width="9.140625" customWidth="1"/>
    <col min="7436" max="7436" width="0" hidden="1" customWidth="1"/>
    <col min="7442" max="7442" width="11.7109375" customWidth="1"/>
    <col min="7443" max="7443" width="0" hidden="1" customWidth="1"/>
    <col min="7446" max="7446" width="9.140625" customWidth="1"/>
    <col min="7447" max="7447" width="0.140625" customWidth="1"/>
    <col min="7449" max="7449" width="13.140625" customWidth="1"/>
    <col min="7684" max="7684" width="9.28515625" bestFit="1" customWidth="1"/>
    <col min="7691" max="7691" width="9.140625" customWidth="1"/>
    <col min="7692" max="7692" width="0" hidden="1" customWidth="1"/>
    <col min="7698" max="7698" width="11.7109375" customWidth="1"/>
    <col min="7699" max="7699" width="0" hidden="1" customWidth="1"/>
    <col min="7702" max="7702" width="9.140625" customWidth="1"/>
    <col min="7703" max="7703" width="0.140625" customWidth="1"/>
    <col min="7705" max="7705" width="13.140625" customWidth="1"/>
    <col min="7940" max="7940" width="9.28515625" bestFit="1" customWidth="1"/>
    <col min="7947" max="7947" width="9.140625" customWidth="1"/>
    <col min="7948" max="7948" width="0" hidden="1" customWidth="1"/>
    <col min="7954" max="7954" width="11.7109375" customWidth="1"/>
    <col min="7955" max="7955" width="0" hidden="1" customWidth="1"/>
    <col min="7958" max="7958" width="9.140625" customWidth="1"/>
    <col min="7959" max="7959" width="0.140625" customWidth="1"/>
    <col min="7961" max="7961" width="13.140625" customWidth="1"/>
    <col min="8196" max="8196" width="9.28515625" bestFit="1" customWidth="1"/>
    <col min="8203" max="8203" width="9.140625" customWidth="1"/>
    <col min="8204" max="8204" width="0" hidden="1" customWidth="1"/>
    <col min="8210" max="8210" width="11.7109375" customWidth="1"/>
    <col min="8211" max="8211" width="0" hidden="1" customWidth="1"/>
    <col min="8214" max="8214" width="9.140625" customWidth="1"/>
    <col min="8215" max="8215" width="0.140625" customWidth="1"/>
    <col min="8217" max="8217" width="13.140625" customWidth="1"/>
    <col min="8452" max="8452" width="9.28515625" bestFit="1" customWidth="1"/>
    <col min="8459" max="8459" width="9.140625" customWidth="1"/>
    <col min="8460" max="8460" width="0" hidden="1" customWidth="1"/>
    <col min="8466" max="8466" width="11.7109375" customWidth="1"/>
    <col min="8467" max="8467" width="0" hidden="1" customWidth="1"/>
    <col min="8470" max="8470" width="9.140625" customWidth="1"/>
    <col min="8471" max="8471" width="0.140625" customWidth="1"/>
    <col min="8473" max="8473" width="13.140625" customWidth="1"/>
    <col min="8708" max="8708" width="9.28515625" bestFit="1" customWidth="1"/>
    <col min="8715" max="8715" width="9.140625" customWidth="1"/>
    <col min="8716" max="8716" width="0" hidden="1" customWidth="1"/>
    <col min="8722" max="8722" width="11.7109375" customWidth="1"/>
    <col min="8723" max="8723" width="0" hidden="1" customWidth="1"/>
    <col min="8726" max="8726" width="9.140625" customWidth="1"/>
    <col min="8727" max="8727" width="0.140625" customWidth="1"/>
    <col min="8729" max="8729" width="13.140625" customWidth="1"/>
    <col min="8964" max="8964" width="9.28515625" bestFit="1" customWidth="1"/>
    <col min="8971" max="8971" width="9.140625" customWidth="1"/>
    <col min="8972" max="8972" width="0" hidden="1" customWidth="1"/>
    <col min="8978" max="8978" width="11.7109375" customWidth="1"/>
    <col min="8979" max="8979" width="0" hidden="1" customWidth="1"/>
    <col min="8982" max="8982" width="9.140625" customWidth="1"/>
    <col min="8983" max="8983" width="0.140625" customWidth="1"/>
    <col min="8985" max="8985" width="13.140625" customWidth="1"/>
    <col min="9220" max="9220" width="9.28515625" bestFit="1" customWidth="1"/>
    <col min="9227" max="9227" width="9.140625" customWidth="1"/>
    <col min="9228" max="9228" width="0" hidden="1" customWidth="1"/>
    <col min="9234" max="9234" width="11.7109375" customWidth="1"/>
    <col min="9235" max="9235" width="0" hidden="1" customWidth="1"/>
    <col min="9238" max="9238" width="9.140625" customWidth="1"/>
    <col min="9239" max="9239" width="0.140625" customWidth="1"/>
    <col min="9241" max="9241" width="13.140625" customWidth="1"/>
    <col min="9476" max="9476" width="9.28515625" bestFit="1" customWidth="1"/>
    <col min="9483" max="9483" width="9.140625" customWidth="1"/>
    <col min="9484" max="9484" width="0" hidden="1" customWidth="1"/>
    <col min="9490" max="9490" width="11.7109375" customWidth="1"/>
    <col min="9491" max="9491" width="0" hidden="1" customWidth="1"/>
    <col min="9494" max="9494" width="9.140625" customWidth="1"/>
    <col min="9495" max="9495" width="0.140625" customWidth="1"/>
    <col min="9497" max="9497" width="13.140625" customWidth="1"/>
    <col min="9732" max="9732" width="9.28515625" bestFit="1" customWidth="1"/>
    <col min="9739" max="9739" width="9.140625" customWidth="1"/>
    <col min="9740" max="9740" width="0" hidden="1" customWidth="1"/>
    <col min="9746" max="9746" width="11.7109375" customWidth="1"/>
    <col min="9747" max="9747" width="0" hidden="1" customWidth="1"/>
    <col min="9750" max="9750" width="9.140625" customWidth="1"/>
    <col min="9751" max="9751" width="0.140625" customWidth="1"/>
    <col min="9753" max="9753" width="13.140625" customWidth="1"/>
    <col min="9988" max="9988" width="9.28515625" bestFit="1" customWidth="1"/>
    <col min="9995" max="9995" width="9.140625" customWidth="1"/>
    <col min="9996" max="9996" width="0" hidden="1" customWidth="1"/>
    <col min="10002" max="10002" width="11.7109375" customWidth="1"/>
    <col min="10003" max="10003" width="0" hidden="1" customWidth="1"/>
    <col min="10006" max="10006" width="9.140625" customWidth="1"/>
    <col min="10007" max="10007" width="0.140625" customWidth="1"/>
    <col min="10009" max="10009" width="13.140625" customWidth="1"/>
    <col min="10244" max="10244" width="9.28515625" bestFit="1" customWidth="1"/>
    <col min="10251" max="10251" width="9.140625" customWidth="1"/>
    <col min="10252" max="10252" width="0" hidden="1" customWidth="1"/>
    <col min="10258" max="10258" width="11.7109375" customWidth="1"/>
    <col min="10259" max="10259" width="0" hidden="1" customWidth="1"/>
    <col min="10262" max="10262" width="9.140625" customWidth="1"/>
    <col min="10263" max="10263" width="0.140625" customWidth="1"/>
    <col min="10265" max="10265" width="13.140625" customWidth="1"/>
    <col min="10500" max="10500" width="9.28515625" bestFit="1" customWidth="1"/>
    <col min="10507" max="10507" width="9.140625" customWidth="1"/>
    <col min="10508" max="10508" width="0" hidden="1" customWidth="1"/>
    <col min="10514" max="10514" width="11.7109375" customWidth="1"/>
    <col min="10515" max="10515" width="0" hidden="1" customWidth="1"/>
    <col min="10518" max="10518" width="9.140625" customWidth="1"/>
    <col min="10519" max="10519" width="0.140625" customWidth="1"/>
    <col min="10521" max="10521" width="13.140625" customWidth="1"/>
    <col min="10756" max="10756" width="9.28515625" bestFit="1" customWidth="1"/>
    <col min="10763" max="10763" width="9.140625" customWidth="1"/>
    <col min="10764" max="10764" width="0" hidden="1" customWidth="1"/>
    <col min="10770" max="10770" width="11.7109375" customWidth="1"/>
    <col min="10771" max="10771" width="0" hidden="1" customWidth="1"/>
    <col min="10774" max="10774" width="9.140625" customWidth="1"/>
    <col min="10775" max="10775" width="0.140625" customWidth="1"/>
    <col min="10777" max="10777" width="13.140625" customWidth="1"/>
    <col min="11012" max="11012" width="9.28515625" bestFit="1" customWidth="1"/>
    <col min="11019" max="11019" width="9.140625" customWidth="1"/>
    <col min="11020" max="11020" width="0" hidden="1" customWidth="1"/>
    <col min="11026" max="11026" width="11.7109375" customWidth="1"/>
    <col min="11027" max="11027" width="0" hidden="1" customWidth="1"/>
    <col min="11030" max="11030" width="9.140625" customWidth="1"/>
    <col min="11031" max="11031" width="0.140625" customWidth="1"/>
    <col min="11033" max="11033" width="13.140625" customWidth="1"/>
    <col min="11268" max="11268" width="9.28515625" bestFit="1" customWidth="1"/>
    <col min="11275" max="11275" width="9.140625" customWidth="1"/>
    <col min="11276" max="11276" width="0" hidden="1" customWidth="1"/>
    <col min="11282" max="11282" width="11.7109375" customWidth="1"/>
    <col min="11283" max="11283" width="0" hidden="1" customWidth="1"/>
    <col min="11286" max="11286" width="9.140625" customWidth="1"/>
    <col min="11287" max="11287" width="0.140625" customWidth="1"/>
    <col min="11289" max="11289" width="13.140625" customWidth="1"/>
    <col min="11524" max="11524" width="9.28515625" bestFit="1" customWidth="1"/>
    <col min="11531" max="11531" width="9.140625" customWidth="1"/>
    <col min="11532" max="11532" width="0" hidden="1" customWidth="1"/>
    <col min="11538" max="11538" width="11.7109375" customWidth="1"/>
    <col min="11539" max="11539" width="0" hidden="1" customWidth="1"/>
    <col min="11542" max="11542" width="9.140625" customWidth="1"/>
    <col min="11543" max="11543" width="0.140625" customWidth="1"/>
    <col min="11545" max="11545" width="13.140625" customWidth="1"/>
    <col min="11780" max="11780" width="9.28515625" bestFit="1" customWidth="1"/>
    <col min="11787" max="11787" width="9.140625" customWidth="1"/>
    <col min="11788" max="11788" width="0" hidden="1" customWidth="1"/>
    <col min="11794" max="11794" width="11.7109375" customWidth="1"/>
    <col min="11795" max="11795" width="0" hidden="1" customWidth="1"/>
    <col min="11798" max="11798" width="9.140625" customWidth="1"/>
    <col min="11799" max="11799" width="0.140625" customWidth="1"/>
    <col min="11801" max="11801" width="13.140625" customWidth="1"/>
    <col min="12036" max="12036" width="9.28515625" bestFit="1" customWidth="1"/>
    <col min="12043" max="12043" width="9.140625" customWidth="1"/>
    <col min="12044" max="12044" width="0" hidden="1" customWidth="1"/>
    <col min="12050" max="12050" width="11.7109375" customWidth="1"/>
    <col min="12051" max="12051" width="0" hidden="1" customWidth="1"/>
    <col min="12054" max="12054" width="9.140625" customWidth="1"/>
    <col min="12055" max="12055" width="0.140625" customWidth="1"/>
    <col min="12057" max="12057" width="13.140625" customWidth="1"/>
    <col min="12292" max="12292" width="9.28515625" bestFit="1" customWidth="1"/>
    <col min="12299" max="12299" width="9.140625" customWidth="1"/>
    <col min="12300" max="12300" width="0" hidden="1" customWidth="1"/>
    <col min="12306" max="12306" width="11.7109375" customWidth="1"/>
    <col min="12307" max="12307" width="0" hidden="1" customWidth="1"/>
    <col min="12310" max="12310" width="9.140625" customWidth="1"/>
    <col min="12311" max="12311" width="0.140625" customWidth="1"/>
    <col min="12313" max="12313" width="13.140625" customWidth="1"/>
    <col min="12548" max="12548" width="9.28515625" bestFit="1" customWidth="1"/>
    <col min="12555" max="12555" width="9.140625" customWidth="1"/>
    <col min="12556" max="12556" width="0" hidden="1" customWidth="1"/>
    <col min="12562" max="12562" width="11.7109375" customWidth="1"/>
    <col min="12563" max="12563" width="0" hidden="1" customWidth="1"/>
    <col min="12566" max="12566" width="9.140625" customWidth="1"/>
    <col min="12567" max="12567" width="0.140625" customWidth="1"/>
    <col min="12569" max="12569" width="13.140625" customWidth="1"/>
    <col min="12804" max="12804" width="9.28515625" bestFit="1" customWidth="1"/>
    <col min="12811" max="12811" width="9.140625" customWidth="1"/>
    <col min="12812" max="12812" width="0" hidden="1" customWidth="1"/>
    <col min="12818" max="12818" width="11.7109375" customWidth="1"/>
    <col min="12819" max="12819" width="0" hidden="1" customWidth="1"/>
    <col min="12822" max="12822" width="9.140625" customWidth="1"/>
    <col min="12823" max="12823" width="0.140625" customWidth="1"/>
    <col min="12825" max="12825" width="13.140625" customWidth="1"/>
    <col min="13060" max="13060" width="9.28515625" bestFit="1" customWidth="1"/>
    <col min="13067" max="13067" width="9.140625" customWidth="1"/>
    <col min="13068" max="13068" width="0" hidden="1" customWidth="1"/>
    <col min="13074" max="13074" width="11.7109375" customWidth="1"/>
    <col min="13075" max="13075" width="0" hidden="1" customWidth="1"/>
    <col min="13078" max="13078" width="9.140625" customWidth="1"/>
    <col min="13079" max="13079" width="0.140625" customWidth="1"/>
    <col min="13081" max="13081" width="13.140625" customWidth="1"/>
    <col min="13316" max="13316" width="9.28515625" bestFit="1" customWidth="1"/>
    <col min="13323" max="13323" width="9.140625" customWidth="1"/>
    <col min="13324" max="13324" width="0" hidden="1" customWidth="1"/>
    <col min="13330" max="13330" width="11.7109375" customWidth="1"/>
    <col min="13331" max="13331" width="0" hidden="1" customWidth="1"/>
    <col min="13334" max="13334" width="9.140625" customWidth="1"/>
    <col min="13335" max="13335" width="0.140625" customWidth="1"/>
    <col min="13337" max="13337" width="13.140625" customWidth="1"/>
    <col min="13572" max="13572" width="9.28515625" bestFit="1" customWidth="1"/>
    <col min="13579" max="13579" width="9.140625" customWidth="1"/>
    <col min="13580" max="13580" width="0" hidden="1" customWidth="1"/>
    <col min="13586" max="13586" width="11.7109375" customWidth="1"/>
    <col min="13587" max="13587" width="0" hidden="1" customWidth="1"/>
    <col min="13590" max="13590" width="9.140625" customWidth="1"/>
    <col min="13591" max="13591" width="0.140625" customWidth="1"/>
    <col min="13593" max="13593" width="13.140625" customWidth="1"/>
    <col min="13828" max="13828" width="9.28515625" bestFit="1" customWidth="1"/>
    <col min="13835" max="13835" width="9.140625" customWidth="1"/>
    <col min="13836" max="13836" width="0" hidden="1" customWidth="1"/>
    <col min="13842" max="13842" width="11.7109375" customWidth="1"/>
    <col min="13843" max="13843" width="0" hidden="1" customWidth="1"/>
    <col min="13846" max="13846" width="9.140625" customWidth="1"/>
    <col min="13847" max="13847" width="0.140625" customWidth="1"/>
    <col min="13849" max="13849" width="13.140625" customWidth="1"/>
    <col min="14084" max="14084" width="9.28515625" bestFit="1" customWidth="1"/>
    <col min="14091" max="14091" width="9.140625" customWidth="1"/>
    <col min="14092" max="14092" width="0" hidden="1" customWidth="1"/>
    <col min="14098" max="14098" width="11.7109375" customWidth="1"/>
    <col min="14099" max="14099" width="0" hidden="1" customWidth="1"/>
    <col min="14102" max="14102" width="9.140625" customWidth="1"/>
    <col min="14103" max="14103" width="0.140625" customWidth="1"/>
    <col min="14105" max="14105" width="13.140625" customWidth="1"/>
    <col min="14340" max="14340" width="9.28515625" bestFit="1" customWidth="1"/>
    <col min="14347" max="14347" width="9.140625" customWidth="1"/>
    <col min="14348" max="14348" width="0" hidden="1" customWidth="1"/>
    <col min="14354" max="14354" width="11.7109375" customWidth="1"/>
    <col min="14355" max="14355" width="0" hidden="1" customWidth="1"/>
    <col min="14358" max="14358" width="9.140625" customWidth="1"/>
    <col min="14359" max="14359" width="0.140625" customWidth="1"/>
    <col min="14361" max="14361" width="13.140625" customWidth="1"/>
    <col min="14596" max="14596" width="9.28515625" bestFit="1" customWidth="1"/>
    <col min="14603" max="14603" width="9.140625" customWidth="1"/>
    <col min="14604" max="14604" width="0" hidden="1" customWidth="1"/>
    <col min="14610" max="14610" width="11.7109375" customWidth="1"/>
    <col min="14611" max="14611" width="0" hidden="1" customWidth="1"/>
    <col min="14614" max="14614" width="9.140625" customWidth="1"/>
    <col min="14615" max="14615" width="0.140625" customWidth="1"/>
    <col min="14617" max="14617" width="13.140625" customWidth="1"/>
    <col min="14852" max="14852" width="9.28515625" bestFit="1" customWidth="1"/>
    <col min="14859" max="14859" width="9.140625" customWidth="1"/>
    <col min="14860" max="14860" width="0" hidden="1" customWidth="1"/>
    <col min="14866" max="14866" width="11.7109375" customWidth="1"/>
    <col min="14867" max="14867" width="0" hidden="1" customWidth="1"/>
    <col min="14870" max="14870" width="9.140625" customWidth="1"/>
    <col min="14871" max="14871" width="0.140625" customWidth="1"/>
    <col min="14873" max="14873" width="13.140625" customWidth="1"/>
    <col min="15108" max="15108" width="9.28515625" bestFit="1" customWidth="1"/>
    <col min="15115" max="15115" width="9.140625" customWidth="1"/>
    <col min="15116" max="15116" width="0" hidden="1" customWidth="1"/>
    <col min="15122" max="15122" width="11.7109375" customWidth="1"/>
    <col min="15123" max="15123" width="0" hidden="1" customWidth="1"/>
    <col min="15126" max="15126" width="9.140625" customWidth="1"/>
    <col min="15127" max="15127" width="0.140625" customWidth="1"/>
    <col min="15129" max="15129" width="13.140625" customWidth="1"/>
    <col min="15364" max="15364" width="9.28515625" bestFit="1" customWidth="1"/>
    <col min="15371" max="15371" width="9.140625" customWidth="1"/>
    <col min="15372" max="15372" width="0" hidden="1" customWidth="1"/>
    <col min="15378" max="15378" width="11.7109375" customWidth="1"/>
    <col min="15379" max="15379" width="0" hidden="1" customWidth="1"/>
    <col min="15382" max="15382" width="9.140625" customWidth="1"/>
    <col min="15383" max="15383" width="0.140625" customWidth="1"/>
    <col min="15385" max="15385" width="13.140625" customWidth="1"/>
    <col min="15620" max="15620" width="9.28515625" bestFit="1" customWidth="1"/>
    <col min="15627" max="15627" width="9.140625" customWidth="1"/>
    <col min="15628" max="15628" width="0" hidden="1" customWidth="1"/>
    <col min="15634" max="15634" width="11.7109375" customWidth="1"/>
    <col min="15635" max="15635" width="0" hidden="1" customWidth="1"/>
    <col min="15638" max="15638" width="9.140625" customWidth="1"/>
    <col min="15639" max="15639" width="0.140625" customWidth="1"/>
    <col min="15641" max="15641" width="13.140625" customWidth="1"/>
    <col min="15876" max="15876" width="9.28515625" bestFit="1" customWidth="1"/>
    <col min="15883" max="15883" width="9.140625" customWidth="1"/>
    <col min="15884" max="15884" width="0" hidden="1" customWidth="1"/>
    <col min="15890" max="15890" width="11.7109375" customWidth="1"/>
    <col min="15891" max="15891" width="0" hidden="1" customWidth="1"/>
    <col min="15894" max="15894" width="9.140625" customWidth="1"/>
    <col min="15895" max="15895" width="0.140625" customWidth="1"/>
    <col min="15897" max="15897" width="13.140625" customWidth="1"/>
    <col min="16132" max="16132" width="9.28515625" bestFit="1" customWidth="1"/>
    <col min="16139" max="16139" width="9.140625" customWidth="1"/>
    <col min="16140" max="16140" width="0" hidden="1" customWidth="1"/>
    <col min="16146" max="16146" width="11.7109375" customWidth="1"/>
    <col min="16147" max="16147" width="0" hidden="1" customWidth="1"/>
    <col min="16150" max="16150" width="9.140625" customWidth="1"/>
    <col min="16151" max="16151" width="0.140625" customWidth="1"/>
    <col min="16153" max="16153" width="13.140625" customWidth="1"/>
  </cols>
  <sheetData>
    <row r="1" spans="1:27" x14ac:dyDescent="0.25">
      <c r="A1" s="10"/>
      <c r="B1" s="116"/>
      <c r="C1" s="116"/>
      <c r="D1" s="116"/>
      <c r="E1" s="116"/>
      <c r="F1" s="117" t="s">
        <v>95</v>
      </c>
      <c r="G1" s="118"/>
      <c r="H1" s="118"/>
      <c r="I1" s="118"/>
      <c r="J1" s="118"/>
      <c r="K1" s="118"/>
      <c r="L1" s="118"/>
      <c r="M1" s="118"/>
      <c r="N1" s="118"/>
      <c r="O1" s="118"/>
      <c r="P1" s="118"/>
      <c r="Q1" s="118"/>
      <c r="R1" s="118"/>
      <c r="S1" s="118"/>
      <c r="T1" s="118"/>
      <c r="U1" s="118"/>
      <c r="V1" s="119"/>
      <c r="W1" s="117" t="s">
        <v>122</v>
      </c>
      <c r="X1" s="118"/>
      <c r="Y1" s="118"/>
      <c r="Z1" s="119"/>
    </row>
    <row r="2" spans="1:27" x14ac:dyDescent="0.25">
      <c r="A2" s="10"/>
      <c r="B2" s="116"/>
      <c r="C2" s="116"/>
      <c r="D2" s="116"/>
      <c r="E2" s="116"/>
      <c r="F2" s="120"/>
      <c r="G2" s="121"/>
      <c r="H2" s="121"/>
      <c r="I2" s="121"/>
      <c r="J2" s="121"/>
      <c r="K2" s="121"/>
      <c r="L2" s="121"/>
      <c r="M2" s="121"/>
      <c r="N2" s="121"/>
      <c r="O2" s="121"/>
      <c r="P2" s="121"/>
      <c r="Q2" s="121"/>
      <c r="R2" s="121"/>
      <c r="S2" s="121"/>
      <c r="T2" s="121"/>
      <c r="U2" s="121"/>
      <c r="V2" s="122"/>
      <c r="W2" s="120"/>
      <c r="X2" s="121"/>
      <c r="Y2" s="121"/>
      <c r="Z2" s="122"/>
    </row>
    <row r="3" spans="1:27" x14ac:dyDescent="0.25">
      <c r="A3" s="10"/>
      <c r="B3" s="116"/>
      <c r="C3" s="116"/>
      <c r="D3" s="116"/>
      <c r="E3" s="116"/>
      <c r="F3" s="120"/>
      <c r="G3" s="121"/>
      <c r="H3" s="121"/>
      <c r="I3" s="121"/>
      <c r="J3" s="121"/>
      <c r="K3" s="121"/>
      <c r="L3" s="121"/>
      <c r="M3" s="121"/>
      <c r="N3" s="121"/>
      <c r="O3" s="121"/>
      <c r="P3" s="121"/>
      <c r="Q3" s="121"/>
      <c r="R3" s="121"/>
      <c r="S3" s="121"/>
      <c r="T3" s="121"/>
      <c r="U3" s="121"/>
      <c r="V3" s="122"/>
      <c r="W3" s="120">
        <v>2023</v>
      </c>
      <c r="X3" s="121"/>
      <c r="Y3" s="121"/>
      <c r="Z3" s="122"/>
    </row>
    <row r="4" spans="1:27" x14ac:dyDescent="0.25">
      <c r="A4" s="10"/>
      <c r="B4" s="116"/>
      <c r="C4" s="116"/>
      <c r="D4" s="116"/>
      <c r="E4" s="116"/>
      <c r="F4" s="123"/>
      <c r="G4" s="124"/>
      <c r="H4" s="124"/>
      <c r="I4" s="124"/>
      <c r="J4" s="124"/>
      <c r="K4" s="124"/>
      <c r="L4" s="124"/>
      <c r="M4" s="124"/>
      <c r="N4" s="124"/>
      <c r="O4" s="124"/>
      <c r="P4" s="124"/>
      <c r="Q4" s="124"/>
      <c r="R4" s="124"/>
      <c r="S4" s="124"/>
      <c r="T4" s="124"/>
      <c r="U4" s="124"/>
      <c r="V4" s="125"/>
      <c r="W4" s="123"/>
      <c r="X4" s="124"/>
      <c r="Y4" s="124"/>
      <c r="Z4" s="125"/>
    </row>
    <row r="5" spans="1:27" x14ac:dyDescent="0.25">
      <c r="A5" s="10"/>
      <c r="B5" s="10"/>
      <c r="C5" s="23"/>
      <c r="E5" s="23"/>
      <c r="G5" s="23"/>
      <c r="M5" s="23"/>
      <c r="O5" s="23"/>
      <c r="P5" s="24"/>
      <c r="Q5" s="24"/>
      <c r="R5" s="24"/>
      <c r="T5" s="23"/>
    </row>
    <row r="6" spans="1:27" x14ac:dyDescent="0.25">
      <c r="A6" s="25" t="s">
        <v>96</v>
      </c>
      <c r="B6" s="26">
        <f>B5+1</f>
        <v>1</v>
      </c>
      <c r="C6" s="28">
        <v>7770616</v>
      </c>
      <c r="D6" s="27"/>
      <c r="E6" s="28">
        <v>7705693</v>
      </c>
      <c r="F6" s="29"/>
      <c r="G6" s="111">
        <v>7291130</v>
      </c>
      <c r="H6" s="30">
        <f>G6-G5</f>
        <v>7291130</v>
      </c>
      <c r="I6" s="31"/>
      <c r="J6" s="32">
        <f>D6+F6+H6</f>
        <v>7291130</v>
      </c>
      <c r="K6" s="32" t="e">
        <f>D6*0.152+F6*0.238+H6*0.115+#REF!*0.218</f>
        <v>#REF!</v>
      </c>
      <c r="L6" s="33"/>
      <c r="M6" s="34">
        <v>223178</v>
      </c>
      <c r="N6" s="30" t="e">
        <f>M6-#REF!</f>
        <v>#REF!</v>
      </c>
      <c r="O6" s="35">
        <v>3078132</v>
      </c>
      <c r="P6" s="32" t="e">
        <f>O6-#REF!</f>
        <v>#REF!</v>
      </c>
      <c r="Q6" s="32" t="e">
        <f>N6+P6</f>
        <v>#REF!</v>
      </c>
      <c r="R6" s="30" t="e">
        <f>Q6*1.2285*10.033*0.0371</f>
        <v>#REF!</v>
      </c>
      <c r="S6" s="33"/>
      <c r="T6" s="36">
        <v>448974</v>
      </c>
      <c r="U6" s="37" t="e">
        <f>T6-#REF!</f>
        <v>#REF!</v>
      </c>
      <c r="V6" s="37" t="e">
        <f>U6*(1.025+1.028)</f>
        <v>#REF!</v>
      </c>
      <c r="W6" s="33"/>
      <c r="X6" s="30" t="e">
        <f>K6+R6+V6</f>
        <v>#REF!</v>
      </c>
      <c r="Y6" s="26">
        <v>100</v>
      </c>
      <c r="Z6" s="30" t="e">
        <f>X6/Y6</f>
        <v>#REF!</v>
      </c>
      <c r="AA6" s="38"/>
    </row>
    <row r="7" spans="1:27" x14ac:dyDescent="0.25">
      <c r="A7" s="10"/>
      <c r="B7" s="39"/>
      <c r="C7" s="126" t="s">
        <v>97</v>
      </c>
      <c r="D7" s="127"/>
      <c r="E7" s="127"/>
      <c r="F7" s="127"/>
      <c r="G7" s="127"/>
      <c r="H7" s="127"/>
      <c r="I7" s="127"/>
      <c r="J7" s="127"/>
      <c r="K7" s="128"/>
      <c r="L7" s="40"/>
      <c r="M7" s="126" t="s">
        <v>98</v>
      </c>
      <c r="N7" s="127"/>
      <c r="O7" s="127"/>
      <c r="P7" s="127"/>
      <c r="Q7" s="127"/>
      <c r="R7" s="128"/>
      <c r="S7" s="40"/>
      <c r="T7" s="129" t="s">
        <v>99</v>
      </c>
      <c r="U7" s="129"/>
      <c r="V7" s="130"/>
      <c r="W7" s="40"/>
      <c r="X7" s="41" t="s">
        <v>100</v>
      </c>
      <c r="Y7" s="42" t="s">
        <v>101</v>
      </c>
      <c r="Z7" s="43" t="s">
        <v>100</v>
      </c>
    </row>
    <row r="8" spans="1:27" x14ac:dyDescent="0.25">
      <c r="A8" s="10"/>
      <c r="B8" s="39"/>
      <c r="C8" s="44" t="s">
        <v>102</v>
      </c>
      <c r="D8" s="45" t="s">
        <v>103</v>
      </c>
      <c r="E8" s="44" t="s">
        <v>104</v>
      </c>
      <c r="F8" s="45" t="s">
        <v>103</v>
      </c>
      <c r="G8" s="44" t="s">
        <v>105</v>
      </c>
      <c r="H8" s="45" t="s">
        <v>103</v>
      </c>
      <c r="I8" s="44" t="s">
        <v>106</v>
      </c>
      <c r="J8" s="46" t="s">
        <v>107</v>
      </c>
      <c r="K8" s="47" t="s">
        <v>108</v>
      </c>
      <c r="L8" s="48"/>
      <c r="M8" s="49" t="s">
        <v>109</v>
      </c>
      <c r="N8" s="46" t="s">
        <v>103</v>
      </c>
      <c r="O8" s="50" t="s">
        <v>110</v>
      </c>
      <c r="P8" s="51" t="s">
        <v>103</v>
      </c>
      <c r="Q8" s="52" t="s">
        <v>111</v>
      </c>
      <c r="R8" s="51" t="s">
        <v>108</v>
      </c>
      <c r="S8" s="48"/>
      <c r="T8" s="44" t="s">
        <v>112</v>
      </c>
      <c r="U8" s="46" t="s">
        <v>103</v>
      </c>
      <c r="V8" s="53" t="s">
        <v>108</v>
      </c>
      <c r="W8" s="54"/>
      <c r="X8" s="55" t="s">
        <v>113</v>
      </c>
      <c r="Y8" s="56" t="s">
        <v>114</v>
      </c>
      <c r="Z8" s="57" t="s">
        <v>115</v>
      </c>
    </row>
    <row r="9" spans="1:27" x14ac:dyDescent="0.25">
      <c r="A9" s="10" t="s">
        <v>116</v>
      </c>
      <c r="B9" s="58">
        <v>1</v>
      </c>
      <c r="C9" s="114">
        <v>7773112</v>
      </c>
      <c r="D9" s="60">
        <f>IF((C9-C6&lt;0), "0",C9-C6)</f>
        <v>2496</v>
      </c>
      <c r="E9" s="114">
        <v>7708226</v>
      </c>
      <c r="F9" s="60">
        <f>IF((E9-E6&lt;0), "0",E9-E6)</f>
        <v>2533</v>
      </c>
      <c r="G9" s="59">
        <v>7293447</v>
      </c>
      <c r="H9" s="60">
        <f>IF((G9-G6&lt;0), "0",G9-G6)</f>
        <v>2317</v>
      </c>
      <c r="I9" s="59">
        <f>H9+F9+D9</f>
        <v>7346</v>
      </c>
      <c r="J9" s="61">
        <v>0.99</v>
      </c>
      <c r="K9" s="62">
        <f>I9*0.291</f>
        <v>2137.6859999999997</v>
      </c>
      <c r="L9" s="63"/>
      <c r="M9" s="59">
        <v>223339</v>
      </c>
      <c r="N9" s="60">
        <f>IF((M9-M6&lt;0), "0",M9-M6)</f>
        <v>161</v>
      </c>
      <c r="O9" s="59">
        <v>3080699</v>
      </c>
      <c r="P9" s="60">
        <f>IF((O9-O6&lt;0), "0",O9-O6)</f>
        <v>2567</v>
      </c>
      <c r="Q9" s="64">
        <f t="shared" ref="Q9:Q36" si="0">N9+P9</f>
        <v>2728</v>
      </c>
      <c r="R9" s="65">
        <f>(P9+N9*1.2285)*0.056*10.127</f>
        <v>1567.9447358120001</v>
      </c>
      <c r="S9" s="66"/>
      <c r="T9" s="115">
        <v>449250</v>
      </c>
      <c r="U9" s="60">
        <f>IF((T9-T6&lt;0), "0",T9-T6)</f>
        <v>276</v>
      </c>
      <c r="V9" s="67">
        <f>U9*(1.99+2.002)</f>
        <v>1101.7919999999999</v>
      </c>
      <c r="W9" s="68"/>
      <c r="X9" s="69">
        <f t="shared" ref="X9:X36" si="1">K9+R9+V9</f>
        <v>4807.4227358119997</v>
      </c>
      <c r="Y9" s="70">
        <v>62</v>
      </c>
      <c r="Z9" s="71">
        <f>X9/Y9</f>
        <v>77.539076384064515</v>
      </c>
    </row>
    <row r="10" spans="1:27" x14ac:dyDescent="0.25">
      <c r="A10" s="10" t="s">
        <v>117</v>
      </c>
      <c r="B10" s="58">
        <f>B9+1</f>
        <v>2</v>
      </c>
      <c r="C10" s="114">
        <v>7775645</v>
      </c>
      <c r="D10" s="60">
        <f t="shared" ref="D10:D36" si="2">IF((C10-C9&lt;0), "0",C10-C9)</f>
        <v>2533</v>
      </c>
      <c r="E10" s="114">
        <v>7710817</v>
      </c>
      <c r="F10" s="60">
        <f>IF((E10-E9&lt;0), "0",E10-E9)</f>
        <v>2591</v>
      </c>
      <c r="G10" s="59">
        <v>7295807</v>
      </c>
      <c r="H10" s="60">
        <f t="shared" ref="H10:H36" si="3">IF((G10-G9&lt;0), "0",G10-G9)</f>
        <v>2360</v>
      </c>
      <c r="I10" s="59">
        <f t="shared" ref="I10:I36" si="4">H10+F10+D10</f>
        <v>7484</v>
      </c>
      <c r="J10" s="61">
        <v>0.99</v>
      </c>
      <c r="K10" s="62">
        <f t="shared" ref="K10:K36" si="5">I10*0.291</f>
        <v>2177.8440000000001</v>
      </c>
      <c r="L10" s="63"/>
      <c r="M10" s="59">
        <v>223528</v>
      </c>
      <c r="N10" s="60">
        <f>IF((M10-M9&lt;0), "0",M10-M9)</f>
        <v>189</v>
      </c>
      <c r="O10" s="59">
        <v>3083123</v>
      </c>
      <c r="P10" s="60">
        <f>IF((O10-O9&lt;0), "0",O10-O9)</f>
        <v>2424</v>
      </c>
      <c r="Q10" s="64">
        <f t="shared" si="0"/>
        <v>2613</v>
      </c>
      <c r="R10" s="65">
        <f t="shared" ref="R10:R36" si="6">(P10+N10*1.2285)*0.056*10.127</f>
        <v>1506.3552383880001</v>
      </c>
      <c r="S10" s="66"/>
      <c r="T10" s="115">
        <v>449369</v>
      </c>
      <c r="U10" s="60">
        <f>IF((T10-T9&lt;0), "0",T10-T9)</f>
        <v>119</v>
      </c>
      <c r="V10" s="67">
        <f t="shared" ref="V10:V36" si="7">U10*(1.99+2.002)</f>
        <v>475.048</v>
      </c>
      <c r="W10" s="68"/>
      <c r="X10" s="73">
        <f t="shared" si="1"/>
        <v>4159.2472383880004</v>
      </c>
      <c r="Y10" s="74">
        <v>67</v>
      </c>
      <c r="Z10" s="75">
        <f t="shared" ref="Z10:Z36" si="8">X10/Y10</f>
        <v>62.07831699086568</v>
      </c>
    </row>
    <row r="11" spans="1:27" x14ac:dyDescent="0.25">
      <c r="A11" s="10" t="s">
        <v>118</v>
      </c>
      <c r="B11" s="58">
        <f t="shared" ref="B11:B36" si="9">B10+1</f>
        <v>3</v>
      </c>
      <c r="C11" s="114">
        <v>7778184</v>
      </c>
      <c r="D11" s="60">
        <f t="shared" si="2"/>
        <v>2539</v>
      </c>
      <c r="E11" s="114">
        <v>7713416</v>
      </c>
      <c r="F11" s="60">
        <f t="shared" ref="F11:F36" si="10">IF((E11-E10&lt;0), "0",E11-E10)</f>
        <v>2599</v>
      </c>
      <c r="G11" s="59">
        <v>7298201</v>
      </c>
      <c r="H11" s="60">
        <f t="shared" si="3"/>
        <v>2394</v>
      </c>
      <c r="I11" s="59">
        <f t="shared" si="4"/>
        <v>7532</v>
      </c>
      <c r="J11" s="61">
        <v>0.99</v>
      </c>
      <c r="K11" s="62">
        <f t="shared" si="5"/>
        <v>2191.8119999999999</v>
      </c>
      <c r="L11" s="63"/>
      <c r="M11" s="59">
        <v>223719</v>
      </c>
      <c r="N11" s="60">
        <f t="shared" ref="N11:N36" si="11">IF((M11-M10&lt;0), "0",M11-M10)</f>
        <v>191</v>
      </c>
      <c r="O11" s="59">
        <v>3085536</v>
      </c>
      <c r="P11" s="60">
        <f t="shared" ref="P11:P36" si="12">IF((O11-O10&lt;0), "0",O11-O10)</f>
        <v>2413</v>
      </c>
      <c r="Q11" s="64">
        <f t="shared" si="0"/>
        <v>2604</v>
      </c>
      <c r="R11" s="65">
        <f t="shared" si="6"/>
        <v>1501.5104005720004</v>
      </c>
      <c r="S11" s="66"/>
      <c r="T11" s="115">
        <v>449550</v>
      </c>
      <c r="U11" s="60">
        <f t="shared" ref="U11:U36" si="13">IF((T11-T10&lt;0), "0",T11-T10)</f>
        <v>181</v>
      </c>
      <c r="V11" s="67">
        <f t="shared" si="7"/>
        <v>722.55200000000002</v>
      </c>
      <c r="W11" s="68"/>
      <c r="X11" s="73">
        <f t="shared" si="1"/>
        <v>4415.874400572</v>
      </c>
      <c r="Y11" s="74">
        <v>63</v>
      </c>
      <c r="Z11" s="75">
        <f t="shared" si="8"/>
        <v>70.093244453523809</v>
      </c>
    </row>
    <row r="12" spans="1:27" x14ac:dyDescent="0.25">
      <c r="A12" s="10" t="s">
        <v>96</v>
      </c>
      <c r="B12" s="58">
        <f t="shared" si="9"/>
        <v>4</v>
      </c>
      <c r="C12" s="114">
        <v>7780909</v>
      </c>
      <c r="D12" s="60">
        <f t="shared" si="2"/>
        <v>2725</v>
      </c>
      <c r="E12" s="114">
        <v>7716163</v>
      </c>
      <c r="F12" s="60">
        <f t="shared" si="10"/>
        <v>2747</v>
      </c>
      <c r="G12" s="59">
        <v>7300734</v>
      </c>
      <c r="H12" s="60">
        <f t="shared" si="3"/>
        <v>2533</v>
      </c>
      <c r="I12" s="59">
        <f t="shared" si="4"/>
        <v>8005</v>
      </c>
      <c r="J12" s="61">
        <v>0.99</v>
      </c>
      <c r="K12" s="62">
        <f t="shared" si="5"/>
        <v>2329.4549999999999</v>
      </c>
      <c r="L12" s="63"/>
      <c r="M12" s="59">
        <v>223885</v>
      </c>
      <c r="N12" s="60">
        <f t="shared" si="11"/>
        <v>166</v>
      </c>
      <c r="O12" s="59">
        <v>3087787</v>
      </c>
      <c r="P12" s="60">
        <f t="shared" si="12"/>
        <v>2251</v>
      </c>
      <c r="Q12" s="64">
        <f t="shared" si="0"/>
        <v>2417</v>
      </c>
      <c r="R12" s="65">
        <f t="shared" si="6"/>
        <v>1392.2208292719999</v>
      </c>
      <c r="S12" s="66"/>
      <c r="T12" s="115">
        <v>449725</v>
      </c>
      <c r="U12" s="60">
        <f t="shared" si="13"/>
        <v>175</v>
      </c>
      <c r="V12" s="67">
        <f t="shared" si="7"/>
        <v>698.6</v>
      </c>
      <c r="W12" s="68"/>
      <c r="X12" s="73">
        <f t="shared" si="1"/>
        <v>4420.275829272</v>
      </c>
      <c r="Y12" s="74">
        <v>48</v>
      </c>
      <c r="Z12" s="75">
        <f t="shared" si="8"/>
        <v>92.0890797765</v>
      </c>
    </row>
    <row r="13" spans="1:27" x14ac:dyDescent="0.25">
      <c r="A13" s="10" t="s">
        <v>119</v>
      </c>
      <c r="B13" s="58">
        <f t="shared" si="9"/>
        <v>5</v>
      </c>
      <c r="C13" s="114">
        <v>7783528</v>
      </c>
      <c r="D13" s="60">
        <f t="shared" si="2"/>
        <v>2619</v>
      </c>
      <c r="E13" s="114">
        <v>7718822</v>
      </c>
      <c r="F13" s="60">
        <f t="shared" si="10"/>
        <v>2659</v>
      </c>
      <c r="G13" s="59">
        <v>7303177</v>
      </c>
      <c r="H13" s="60">
        <f t="shared" si="3"/>
        <v>2443</v>
      </c>
      <c r="I13" s="59">
        <f t="shared" si="4"/>
        <v>7721</v>
      </c>
      <c r="J13" s="61">
        <v>0.99</v>
      </c>
      <c r="K13" s="62">
        <f t="shared" si="5"/>
        <v>2246.8109999999997</v>
      </c>
      <c r="L13" s="63"/>
      <c r="M13" s="59">
        <v>224042</v>
      </c>
      <c r="N13" s="60">
        <f t="shared" si="11"/>
        <v>157</v>
      </c>
      <c r="O13" s="59">
        <v>3089971</v>
      </c>
      <c r="P13" s="60">
        <f t="shared" si="12"/>
        <v>2184</v>
      </c>
      <c r="Q13" s="64">
        <f t="shared" si="0"/>
        <v>2341</v>
      </c>
      <c r="R13" s="65">
        <f t="shared" si="6"/>
        <v>1347.954051444</v>
      </c>
      <c r="S13" s="66"/>
      <c r="T13" s="115">
        <v>449906</v>
      </c>
      <c r="U13" s="60">
        <f t="shared" si="13"/>
        <v>181</v>
      </c>
      <c r="V13" s="67">
        <f t="shared" si="7"/>
        <v>722.55200000000002</v>
      </c>
      <c r="W13" s="68"/>
      <c r="X13" s="73">
        <f t="shared" si="1"/>
        <v>4317.3170514439998</v>
      </c>
      <c r="Y13" s="74">
        <v>42</v>
      </c>
      <c r="Z13" s="75">
        <f t="shared" si="8"/>
        <v>102.79326312961905</v>
      </c>
    </row>
    <row r="14" spans="1:27" x14ac:dyDescent="0.25">
      <c r="A14" s="10" t="s">
        <v>120</v>
      </c>
      <c r="B14" s="58">
        <f t="shared" si="9"/>
        <v>6</v>
      </c>
      <c r="C14" s="114">
        <v>7786203</v>
      </c>
      <c r="D14" s="60">
        <f t="shared" si="2"/>
        <v>2675</v>
      </c>
      <c r="E14" s="114">
        <v>7721525</v>
      </c>
      <c r="F14" s="60">
        <f t="shared" si="10"/>
        <v>2703</v>
      </c>
      <c r="G14" s="59">
        <v>7305716</v>
      </c>
      <c r="H14" s="60">
        <f t="shared" si="3"/>
        <v>2539</v>
      </c>
      <c r="I14" s="59">
        <f t="shared" si="4"/>
        <v>7917</v>
      </c>
      <c r="J14" s="61">
        <v>0.99</v>
      </c>
      <c r="K14" s="62">
        <f t="shared" si="5"/>
        <v>2303.8469999999998</v>
      </c>
      <c r="L14" s="63"/>
      <c r="M14" s="59">
        <v>224136</v>
      </c>
      <c r="N14" s="60">
        <f t="shared" si="11"/>
        <v>94</v>
      </c>
      <c r="O14" s="59">
        <v>3092117</v>
      </c>
      <c r="P14" s="60">
        <f t="shared" si="12"/>
        <v>2146</v>
      </c>
      <c r="Q14" s="64">
        <f t="shared" si="0"/>
        <v>2240</v>
      </c>
      <c r="R14" s="65">
        <f t="shared" si="6"/>
        <v>1282.511878648</v>
      </c>
      <c r="S14" s="66"/>
      <c r="T14" s="115">
        <v>450035</v>
      </c>
      <c r="U14" s="60">
        <f t="shared" si="13"/>
        <v>129</v>
      </c>
      <c r="V14" s="67">
        <f t="shared" si="7"/>
        <v>514.96799999999996</v>
      </c>
      <c r="W14" s="68"/>
      <c r="X14" s="73">
        <f t="shared" si="1"/>
        <v>4101.3268786479994</v>
      </c>
      <c r="Y14" s="74">
        <v>44</v>
      </c>
      <c r="Z14" s="75">
        <f t="shared" si="8"/>
        <v>93.21197451472726</v>
      </c>
    </row>
    <row r="15" spans="1:27" x14ac:dyDescent="0.25">
      <c r="A15" s="10" t="s">
        <v>121</v>
      </c>
      <c r="B15" s="58">
        <f t="shared" si="9"/>
        <v>7</v>
      </c>
      <c r="C15" s="114">
        <v>7788686</v>
      </c>
      <c r="D15" s="60">
        <f t="shared" si="2"/>
        <v>2483</v>
      </c>
      <c r="E15" s="114">
        <v>7724061</v>
      </c>
      <c r="F15" s="60">
        <f t="shared" si="10"/>
        <v>2536</v>
      </c>
      <c r="G15" s="59">
        <v>7308049</v>
      </c>
      <c r="H15" s="60">
        <f t="shared" si="3"/>
        <v>2333</v>
      </c>
      <c r="I15" s="59">
        <f t="shared" si="4"/>
        <v>7352</v>
      </c>
      <c r="J15" s="61">
        <v>0.99</v>
      </c>
      <c r="K15" s="62">
        <f t="shared" si="5"/>
        <v>2139.4319999999998</v>
      </c>
      <c r="L15" s="63"/>
      <c r="M15" s="59">
        <v>224285</v>
      </c>
      <c r="N15" s="60">
        <f t="shared" si="11"/>
        <v>149</v>
      </c>
      <c r="O15" s="59">
        <v>3093934</v>
      </c>
      <c r="P15" s="60">
        <f t="shared" si="12"/>
        <v>1817</v>
      </c>
      <c r="Q15" s="64">
        <f t="shared" si="0"/>
        <v>1966</v>
      </c>
      <c r="R15" s="65">
        <f t="shared" si="6"/>
        <v>1134.250370708</v>
      </c>
      <c r="S15" s="66"/>
      <c r="T15" s="115">
        <v>450128</v>
      </c>
      <c r="U15" s="60">
        <f t="shared" si="13"/>
        <v>93</v>
      </c>
      <c r="V15" s="67">
        <f t="shared" si="7"/>
        <v>371.25599999999997</v>
      </c>
      <c r="W15" s="68"/>
      <c r="X15" s="73">
        <f t="shared" si="1"/>
        <v>3644.9383707079996</v>
      </c>
      <c r="Y15" s="74">
        <v>55</v>
      </c>
      <c r="Z15" s="75">
        <f t="shared" si="8"/>
        <v>66.271606740145444</v>
      </c>
    </row>
    <row r="16" spans="1:27" x14ac:dyDescent="0.25">
      <c r="A16" s="10" t="s">
        <v>116</v>
      </c>
      <c r="B16" s="58">
        <f t="shared" si="9"/>
        <v>8</v>
      </c>
      <c r="C16" s="114">
        <v>7791133</v>
      </c>
      <c r="D16" s="60">
        <f t="shared" si="2"/>
        <v>2447</v>
      </c>
      <c r="E16" s="114">
        <v>7726548</v>
      </c>
      <c r="F16" s="60">
        <f t="shared" si="10"/>
        <v>2487</v>
      </c>
      <c r="G16" s="59">
        <v>7310323</v>
      </c>
      <c r="H16" s="60">
        <f t="shared" si="3"/>
        <v>2274</v>
      </c>
      <c r="I16" s="59">
        <f t="shared" si="4"/>
        <v>7208</v>
      </c>
      <c r="J16" s="61">
        <v>0.99</v>
      </c>
      <c r="K16" s="62">
        <f t="shared" si="5"/>
        <v>2097.5279999999998</v>
      </c>
      <c r="L16" s="63"/>
      <c r="M16" s="59">
        <v>224439</v>
      </c>
      <c r="N16" s="60">
        <f t="shared" si="11"/>
        <v>154</v>
      </c>
      <c r="O16" s="59">
        <v>3095753</v>
      </c>
      <c r="P16" s="60">
        <f t="shared" si="12"/>
        <v>1819</v>
      </c>
      <c r="Q16" s="64">
        <f t="shared" si="0"/>
        <v>1973</v>
      </c>
      <c r="R16" s="65">
        <f t="shared" si="6"/>
        <v>1138.868080168</v>
      </c>
      <c r="S16" s="66"/>
      <c r="T16" s="115">
        <v>450300</v>
      </c>
      <c r="U16" s="60">
        <f t="shared" si="13"/>
        <v>172</v>
      </c>
      <c r="V16" s="67">
        <f t="shared" si="7"/>
        <v>686.62400000000002</v>
      </c>
      <c r="W16" s="68"/>
      <c r="X16" s="73">
        <f t="shared" si="1"/>
        <v>3923.0200801679994</v>
      </c>
      <c r="Y16" s="74">
        <v>65</v>
      </c>
      <c r="Z16" s="75">
        <f t="shared" si="8"/>
        <v>60.354155079507684</v>
      </c>
    </row>
    <row r="17" spans="1:26" x14ac:dyDescent="0.25">
      <c r="A17" s="10" t="s">
        <v>117</v>
      </c>
      <c r="B17" s="58">
        <v>9</v>
      </c>
      <c r="C17" s="114">
        <v>7793877</v>
      </c>
      <c r="D17" s="60">
        <f t="shared" si="2"/>
        <v>2744</v>
      </c>
      <c r="E17" s="114">
        <v>7729349</v>
      </c>
      <c r="F17" s="60">
        <f t="shared" si="10"/>
        <v>2801</v>
      </c>
      <c r="G17" s="59">
        <v>7312906</v>
      </c>
      <c r="H17" s="60">
        <f t="shared" si="3"/>
        <v>2583</v>
      </c>
      <c r="I17" s="59">
        <f t="shared" si="4"/>
        <v>8128</v>
      </c>
      <c r="J17" s="61">
        <v>0.99</v>
      </c>
      <c r="K17" s="62">
        <f t="shared" si="5"/>
        <v>2365.248</v>
      </c>
      <c r="L17" s="63"/>
      <c r="M17" s="59">
        <v>224592</v>
      </c>
      <c r="N17" s="60">
        <f t="shared" si="11"/>
        <v>153</v>
      </c>
      <c r="O17" s="59">
        <v>3098120</v>
      </c>
      <c r="P17" s="60">
        <f t="shared" si="12"/>
        <v>2367</v>
      </c>
      <c r="Q17" s="64">
        <f t="shared" si="0"/>
        <v>2520</v>
      </c>
      <c r="R17" s="65">
        <f t="shared" si="6"/>
        <v>1448.948759076</v>
      </c>
      <c r="S17" s="66"/>
      <c r="T17" s="115">
        <v>450428</v>
      </c>
      <c r="U17" s="60">
        <f t="shared" si="13"/>
        <v>128</v>
      </c>
      <c r="V17" s="67">
        <f t="shared" si="7"/>
        <v>510.976</v>
      </c>
      <c r="W17" s="68"/>
      <c r="X17" s="73">
        <f t="shared" si="1"/>
        <v>4325.1727590760001</v>
      </c>
      <c r="Y17" s="74">
        <v>59</v>
      </c>
      <c r="Z17" s="75">
        <f t="shared" si="8"/>
        <v>73.30801286569492</v>
      </c>
    </row>
    <row r="18" spans="1:26" x14ac:dyDescent="0.25">
      <c r="A18" s="10" t="s">
        <v>118</v>
      </c>
      <c r="B18" s="76">
        <f t="shared" si="9"/>
        <v>10</v>
      </c>
      <c r="C18" s="114">
        <v>7796438</v>
      </c>
      <c r="D18" s="60">
        <f t="shared" si="2"/>
        <v>2561</v>
      </c>
      <c r="E18" s="114">
        <v>7731963</v>
      </c>
      <c r="F18" s="60">
        <f t="shared" si="10"/>
        <v>2614</v>
      </c>
      <c r="G18" s="59">
        <v>7315319</v>
      </c>
      <c r="H18" s="60">
        <f t="shared" si="3"/>
        <v>2413</v>
      </c>
      <c r="I18" s="59">
        <f t="shared" si="4"/>
        <v>7588</v>
      </c>
      <c r="J18" s="61">
        <v>0.99</v>
      </c>
      <c r="K18" s="62">
        <f t="shared" si="5"/>
        <v>2208.1079999999997</v>
      </c>
      <c r="L18" s="77"/>
      <c r="M18" s="59">
        <v>224760</v>
      </c>
      <c r="N18" s="60">
        <f t="shared" si="11"/>
        <v>168</v>
      </c>
      <c r="O18" s="59">
        <v>3100175</v>
      </c>
      <c r="P18" s="60">
        <f t="shared" si="12"/>
        <v>2055</v>
      </c>
      <c r="Q18" s="64">
        <f t="shared" si="0"/>
        <v>2223</v>
      </c>
      <c r="R18" s="65">
        <f t="shared" si="6"/>
        <v>1282.4602714560001</v>
      </c>
      <c r="S18" s="78"/>
      <c r="T18" s="115">
        <v>450574</v>
      </c>
      <c r="U18" s="60">
        <f t="shared" si="13"/>
        <v>146</v>
      </c>
      <c r="V18" s="67">
        <f t="shared" si="7"/>
        <v>582.83199999999999</v>
      </c>
      <c r="W18" s="68"/>
      <c r="X18" s="73">
        <f t="shared" si="1"/>
        <v>4073.4002714559997</v>
      </c>
      <c r="Y18" s="74">
        <v>67</v>
      </c>
      <c r="Z18" s="79">
        <f t="shared" si="8"/>
        <v>60.797018976955222</v>
      </c>
    </row>
    <row r="19" spans="1:26" x14ac:dyDescent="0.25">
      <c r="A19" s="10" t="s">
        <v>96</v>
      </c>
      <c r="B19" s="80">
        <f t="shared" si="9"/>
        <v>11</v>
      </c>
      <c r="C19" s="114">
        <v>7799195</v>
      </c>
      <c r="D19" s="60">
        <f t="shared" si="2"/>
        <v>2757</v>
      </c>
      <c r="E19" s="114">
        <v>7734782</v>
      </c>
      <c r="F19" s="60">
        <f t="shared" si="10"/>
        <v>2819</v>
      </c>
      <c r="G19" s="59">
        <v>7317924</v>
      </c>
      <c r="H19" s="60">
        <f t="shared" si="3"/>
        <v>2605</v>
      </c>
      <c r="I19" s="59">
        <f t="shared" si="4"/>
        <v>8181</v>
      </c>
      <c r="J19" s="61">
        <v>0.99</v>
      </c>
      <c r="K19" s="62">
        <f t="shared" si="5"/>
        <v>2380.6709999999998</v>
      </c>
      <c r="L19" s="63"/>
      <c r="M19" s="59">
        <v>224913</v>
      </c>
      <c r="N19" s="60">
        <f t="shared" si="11"/>
        <v>153</v>
      </c>
      <c r="O19" s="59">
        <v>3102575</v>
      </c>
      <c r="P19" s="60">
        <f t="shared" si="12"/>
        <v>2400</v>
      </c>
      <c r="Q19" s="64">
        <f t="shared" si="0"/>
        <v>2553</v>
      </c>
      <c r="R19" s="65">
        <f t="shared" si="6"/>
        <v>1467.6634550760002</v>
      </c>
      <c r="S19" s="66"/>
      <c r="T19" s="115">
        <v>450755</v>
      </c>
      <c r="U19" s="60">
        <f t="shared" si="13"/>
        <v>181</v>
      </c>
      <c r="V19" s="67">
        <f t="shared" si="7"/>
        <v>722.55200000000002</v>
      </c>
      <c r="W19" s="68"/>
      <c r="X19" s="73">
        <f t="shared" si="1"/>
        <v>4570.8864550759999</v>
      </c>
      <c r="Y19" s="74">
        <v>57</v>
      </c>
      <c r="Z19" s="71">
        <f t="shared" si="8"/>
        <v>80.19099043992982</v>
      </c>
    </row>
    <row r="20" spans="1:26" x14ac:dyDescent="0.25">
      <c r="A20" s="10" t="s">
        <v>119</v>
      </c>
      <c r="B20" s="58">
        <f t="shared" si="9"/>
        <v>12</v>
      </c>
      <c r="C20" s="114">
        <v>7801635</v>
      </c>
      <c r="D20" s="60">
        <f t="shared" si="2"/>
        <v>2440</v>
      </c>
      <c r="E20" s="114">
        <v>7737257</v>
      </c>
      <c r="F20" s="60">
        <f t="shared" si="10"/>
        <v>2475</v>
      </c>
      <c r="G20" s="59">
        <v>7320228</v>
      </c>
      <c r="H20" s="60">
        <f t="shared" si="3"/>
        <v>2304</v>
      </c>
      <c r="I20" s="59">
        <f t="shared" si="4"/>
        <v>7219</v>
      </c>
      <c r="J20" s="61">
        <v>0.99</v>
      </c>
      <c r="K20" s="62">
        <f t="shared" si="5"/>
        <v>2100.7289999999998</v>
      </c>
      <c r="L20" s="63"/>
      <c r="M20" s="59">
        <v>225075</v>
      </c>
      <c r="N20" s="60">
        <f t="shared" si="11"/>
        <v>162</v>
      </c>
      <c r="O20" s="59">
        <v>3104606</v>
      </c>
      <c r="P20" s="60">
        <f t="shared" si="12"/>
        <v>2031</v>
      </c>
      <c r="Q20" s="64">
        <f t="shared" si="0"/>
        <v>2193</v>
      </c>
      <c r="R20" s="65">
        <f t="shared" si="6"/>
        <v>1264.669400904</v>
      </c>
      <c r="S20" s="66"/>
      <c r="T20" s="115">
        <v>450936</v>
      </c>
      <c r="U20" s="60">
        <f t="shared" si="13"/>
        <v>181</v>
      </c>
      <c r="V20" s="67">
        <f t="shared" si="7"/>
        <v>722.55200000000002</v>
      </c>
      <c r="W20" s="68"/>
      <c r="X20" s="73">
        <f t="shared" si="1"/>
        <v>4087.9504009039997</v>
      </c>
      <c r="Y20" s="74">
        <v>59</v>
      </c>
      <c r="Z20" s="75">
        <f t="shared" si="8"/>
        <v>69.287294930576266</v>
      </c>
    </row>
    <row r="21" spans="1:26" x14ac:dyDescent="0.25">
      <c r="A21" s="10" t="s">
        <v>120</v>
      </c>
      <c r="B21" s="58">
        <f t="shared" si="9"/>
        <v>13</v>
      </c>
      <c r="C21" s="114">
        <v>7804082</v>
      </c>
      <c r="D21" s="60">
        <f t="shared" si="2"/>
        <v>2447</v>
      </c>
      <c r="E21" s="114">
        <v>7739732</v>
      </c>
      <c r="F21" s="60">
        <f t="shared" si="10"/>
        <v>2475</v>
      </c>
      <c r="G21" s="59">
        <v>7322533</v>
      </c>
      <c r="H21" s="60">
        <f t="shared" si="3"/>
        <v>2305</v>
      </c>
      <c r="I21" s="59">
        <f t="shared" si="4"/>
        <v>7227</v>
      </c>
      <c r="J21" s="61">
        <v>0.99</v>
      </c>
      <c r="K21" s="62">
        <f t="shared" si="5"/>
        <v>2103.0569999999998</v>
      </c>
      <c r="L21" s="63"/>
      <c r="M21" s="59">
        <v>225186</v>
      </c>
      <c r="N21" s="60">
        <f t="shared" si="11"/>
        <v>111</v>
      </c>
      <c r="O21" s="59">
        <v>3106758</v>
      </c>
      <c r="P21" s="60">
        <f t="shared" si="12"/>
        <v>2152</v>
      </c>
      <c r="Q21" s="64">
        <f t="shared" si="0"/>
        <v>2263</v>
      </c>
      <c r="R21" s="65">
        <f t="shared" si="6"/>
        <v>1297.7584012120001</v>
      </c>
      <c r="S21" s="66"/>
      <c r="T21" s="115">
        <v>451129</v>
      </c>
      <c r="U21" s="60">
        <f t="shared" si="13"/>
        <v>193</v>
      </c>
      <c r="V21" s="67">
        <f t="shared" si="7"/>
        <v>770.45600000000002</v>
      </c>
      <c r="W21" s="68"/>
      <c r="X21" s="73">
        <f t="shared" si="1"/>
        <v>4171.2714012119995</v>
      </c>
      <c r="Y21" s="74">
        <v>51</v>
      </c>
      <c r="Z21" s="75">
        <f t="shared" si="8"/>
        <v>81.789635317882343</v>
      </c>
    </row>
    <row r="22" spans="1:26" x14ac:dyDescent="0.25">
      <c r="A22" s="10" t="s">
        <v>121</v>
      </c>
      <c r="B22" s="58">
        <f t="shared" si="9"/>
        <v>14</v>
      </c>
      <c r="C22" s="114">
        <v>7806461</v>
      </c>
      <c r="D22" s="60">
        <f t="shared" si="2"/>
        <v>2379</v>
      </c>
      <c r="E22" s="114">
        <v>7742158</v>
      </c>
      <c r="F22" s="60">
        <f t="shared" si="10"/>
        <v>2426</v>
      </c>
      <c r="G22" s="59">
        <v>7324770</v>
      </c>
      <c r="H22" s="60">
        <f t="shared" si="3"/>
        <v>2237</v>
      </c>
      <c r="I22" s="59">
        <f t="shared" si="4"/>
        <v>7042</v>
      </c>
      <c r="J22" s="61">
        <v>0.99</v>
      </c>
      <c r="K22" s="62">
        <f t="shared" si="5"/>
        <v>2049.2219999999998</v>
      </c>
      <c r="L22" s="63"/>
      <c r="M22" s="59">
        <v>225347</v>
      </c>
      <c r="N22" s="60">
        <f t="shared" si="11"/>
        <v>161</v>
      </c>
      <c r="O22" s="59">
        <v>3108541</v>
      </c>
      <c r="P22" s="60">
        <f t="shared" si="12"/>
        <v>1783</v>
      </c>
      <c r="Q22" s="64">
        <f t="shared" si="0"/>
        <v>1944</v>
      </c>
      <c r="R22" s="65">
        <f t="shared" si="6"/>
        <v>1123.3289278120001</v>
      </c>
      <c r="S22" s="66"/>
      <c r="T22" s="115">
        <v>451266</v>
      </c>
      <c r="U22" s="60">
        <f t="shared" si="13"/>
        <v>137</v>
      </c>
      <c r="V22" s="67">
        <f t="shared" si="7"/>
        <v>546.904</v>
      </c>
      <c r="W22" s="68"/>
      <c r="X22" s="73">
        <f t="shared" si="1"/>
        <v>3719.4549278119998</v>
      </c>
      <c r="Y22" s="74">
        <v>67</v>
      </c>
      <c r="Z22" s="75">
        <f t="shared" si="8"/>
        <v>55.514252653910447</v>
      </c>
    </row>
    <row r="23" spans="1:26" x14ac:dyDescent="0.25">
      <c r="A23" s="10" t="s">
        <v>116</v>
      </c>
      <c r="B23" s="58">
        <f t="shared" si="9"/>
        <v>15</v>
      </c>
      <c r="C23" s="114">
        <v>7808797</v>
      </c>
      <c r="D23" s="60">
        <f t="shared" si="2"/>
        <v>2336</v>
      </c>
      <c r="E23" s="114">
        <v>7744556</v>
      </c>
      <c r="F23" s="60">
        <f t="shared" si="10"/>
        <v>2398</v>
      </c>
      <c r="G23" s="59">
        <v>7326966</v>
      </c>
      <c r="H23" s="60">
        <f t="shared" si="3"/>
        <v>2196</v>
      </c>
      <c r="I23" s="59">
        <f t="shared" si="4"/>
        <v>6930</v>
      </c>
      <c r="J23" s="61">
        <v>0.99</v>
      </c>
      <c r="K23" s="62">
        <f t="shared" si="5"/>
        <v>2016.6299999999999</v>
      </c>
      <c r="L23" s="63"/>
      <c r="M23" s="59">
        <v>225504</v>
      </c>
      <c r="N23" s="60">
        <f t="shared" si="11"/>
        <v>157</v>
      </c>
      <c r="O23" s="59">
        <v>3110068</v>
      </c>
      <c r="P23" s="60">
        <f t="shared" si="12"/>
        <v>1527</v>
      </c>
      <c r="Q23" s="64">
        <f t="shared" si="0"/>
        <v>1684</v>
      </c>
      <c r="R23" s="65">
        <f t="shared" si="6"/>
        <v>975.36146744400014</v>
      </c>
      <c r="S23" s="66"/>
      <c r="T23" s="115">
        <v>451407</v>
      </c>
      <c r="U23" s="60">
        <f t="shared" si="13"/>
        <v>141</v>
      </c>
      <c r="V23" s="67">
        <f t="shared" si="7"/>
        <v>562.87199999999996</v>
      </c>
      <c r="W23" s="68"/>
      <c r="X23" s="73">
        <f t="shared" si="1"/>
        <v>3554.863467444</v>
      </c>
      <c r="Y23" s="74">
        <v>82</v>
      </c>
      <c r="Z23" s="75">
        <f t="shared" si="8"/>
        <v>43.351993505414633</v>
      </c>
    </row>
    <row r="24" spans="1:26" x14ac:dyDescent="0.25">
      <c r="A24" s="10" t="s">
        <v>117</v>
      </c>
      <c r="B24" s="58">
        <f t="shared" si="9"/>
        <v>16</v>
      </c>
      <c r="C24" s="114">
        <v>7811255</v>
      </c>
      <c r="D24" s="60">
        <f t="shared" si="2"/>
        <v>2458</v>
      </c>
      <c r="E24" s="114">
        <v>7747082</v>
      </c>
      <c r="F24" s="60">
        <f t="shared" si="10"/>
        <v>2526</v>
      </c>
      <c r="G24" s="59">
        <v>7329286</v>
      </c>
      <c r="H24" s="60">
        <f t="shared" si="3"/>
        <v>2320</v>
      </c>
      <c r="I24" s="59">
        <f t="shared" si="4"/>
        <v>7304</v>
      </c>
      <c r="J24" s="61">
        <v>0.99</v>
      </c>
      <c r="K24" s="62">
        <f t="shared" si="5"/>
        <v>2125.4639999999999</v>
      </c>
      <c r="L24" s="63"/>
      <c r="M24" s="59">
        <v>225649</v>
      </c>
      <c r="N24" s="60">
        <f t="shared" si="11"/>
        <v>145</v>
      </c>
      <c r="O24" s="59">
        <v>3111687</v>
      </c>
      <c r="P24" s="60">
        <f t="shared" si="12"/>
        <v>1619</v>
      </c>
      <c r="Q24" s="64">
        <f t="shared" si="0"/>
        <v>1764</v>
      </c>
      <c r="R24" s="65">
        <f t="shared" si="6"/>
        <v>1019.1754063400001</v>
      </c>
      <c r="S24" s="66"/>
      <c r="T24" s="115">
        <v>451576</v>
      </c>
      <c r="U24" s="60">
        <f t="shared" si="13"/>
        <v>169</v>
      </c>
      <c r="V24" s="67">
        <f t="shared" si="7"/>
        <v>674.64800000000002</v>
      </c>
      <c r="W24" s="68"/>
      <c r="X24" s="73">
        <f t="shared" si="1"/>
        <v>3819.2874063400004</v>
      </c>
      <c r="Y24" s="74">
        <v>83</v>
      </c>
      <c r="Z24" s="75">
        <f t="shared" si="8"/>
        <v>46.015510919759038</v>
      </c>
    </row>
    <row r="25" spans="1:26" x14ac:dyDescent="0.25">
      <c r="A25" s="10" t="s">
        <v>118</v>
      </c>
      <c r="B25" s="58">
        <f t="shared" si="9"/>
        <v>17</v>
      </c>
      <c r="C25" s="114">
        <v>7813660</v>
      </c>
      <c r="D25" s="60">
        <f t="shared" si="2"/>
        <v>2405</v>
      </c>
      <c r="E25" s="114">
        <v>7749539</v>
      </c>
      <c r="F25" s="60">
        <f t="shared" si="10"/>
        <v>2457</v>
      </c>
      <c r="G25" s="59">
        <v>7331538</v>
      </c>
      <c r="H25" s="60">
        <f t="shared" si="3"/>
        <v>2252</v>
      </c>
      <c r="I25" s="59">
        <f t="shared" si="4"/>
        <v>7114</v>
      </c>
      <c r="J25" s="61">
        <v>0.99</v>
      </c>
      <c r="K25" s="62">
        <f t="shared" si="5"/>
        <v>2070.174</v>
      </c>
      <c r="L25" s="63"/>
      <c r="M25" s="59">
        <v>225781</v>
      </c>
      <c r="N25" s="60">
        <f t="shared" si="11"/>
        <v>132</v>
      </c>
      <c r="O25" s="59">
        <v>3113491</v>
      </c>
      <c r="P25" s="60">
        <f t="shared" si="12"/>
        <v>1804</v>
      </c>
      <c r="Q25" s="64">
        <f t="shared" si="0"/>
        <v>1936</v>
      </c>
      <c r="R25" s="65">
        <f t="shared" si="6"/>
        <v>1115.0340641440002</v>
      </c>
      <c r="S25" s="66"/>
      <c r="T25" s="115">
        <v>451745</v>
      </c>
      <c r="U25" s="60">
        <f t="shared" si="13"/>
        <v>169</v>
      </c>
      <c r="V25" s="67">
        <f t="shared" si="7"/>
        <v>674.64800000000002</v>
      </c>
      <c r="W25" s="68"/>
      <c r="X25" s="73">
        <f t="shared" si="1"/>
        <v>3859.8560641440004</v>
      </c>
      <c r="Y25" s="74">
        <v>106</v>
      </c>
      <c r="Z25" s="75">
        <f t="shared" si="8"/>
        <v>36.41373645418868</v>
      </c>
    </row>
    <row r="26" spans="1:26" x14ac:dyDescent="0.25">
      <c r="A26" s="10" t="s">
        <v>96</v>
      </c>
      <c r="B26" s="58">
        <f t="shared" si="9"/>
        <v>18</v>
      </c>
      <c r="C26" s="114">
        <v>7815987</v>
      </c>
      <c r="D26" s="60">
        <f t="shared" si="2"/>
        <v>2327</v>
      </c>
      <c r="E26" s="114">
        <v>7751908</v>
      </c>
      <c r="F26" s="60">
        <f t="shared" si="10"/>
        <v>2369</v>
      </c>
      <c r="G26" s="59">
        <v>7333711</v>
      </c>
      <c r="H26" s="60">
        <f t="shared" si="3"/>
        <v>2173</v>
      </c>
      <c r="I26" s="59">
        <f t="shared" si="4"/>
        <v>6869</v>
      </c>
      <c r="J26" s="61">
        <v>0.99</v>
      </c>
      <c r="K26" s="62">
        <f t="shared" si="5"/>
        <v>1998.8789999999999</v>
      </c>
      <c r="L26" s="63"/>
      <c r="M26" s="59">
        <v>225935</v>
      </c>
      <c r="N26" s="60">
        <f t="shared" si="11"/>
        <v>154</v>
      </c>
      <c r="O26" s="59">
        <v>3115130</v>
      </c>
      <c r="P26" s="60">
        <f t="shared" si="12"/>
        <v>1639</v>
      </c>
      <c r="Q26" s="64">
        <f t="shared" si="0"/>
        <v>1793</v>
      </c>
      <c r="R26" s="65">
        <f t="shared" si="6"/>
        <v>1036.787920168</v>
      </c>
      <c r="S26" s="66"/>
      <c r="T26" s="115">
        <v>451985</v>
      </c>
      <c r="U26" s="60">
        <f t="shared" si="13"/>
        <v>240</v>
      </c>
      <c r="V26" s="67">
        <f t="shared" si="7"/>
        <v>958.08</v>
      </c>
      <c r="W26" s="68"/>
      <c r="X26" s="73">
        <f t="shared" si="1"/>
        <v>3993.7469201679996</v>
      </c>
      <c r="Y26" s="74">
        <v>102</v>
      </c>
      <c r="Z26" s="75">
        <f t="shared" si="8"/>
        <v>39.154381570274509</v>
      </c>
    </row>
    <row r="27" spans="1:26" x14ac:dyDescent="0.25">
      <c r="A27" s="10" t="s">
        <v>119</v>
      </c>
      <c r="B27" s="58">
        <f t="shared" si="9"/>
        <v>19</v>
      </c>
      <c r="C27" s="114">
        <v>7818441</v>
      </c>
      <c r="D27" s="60">
        <f t="shared" si="2"/>
        <v>2454</v>
      </c>
      <c r="E27" s="114">
        <v>7754394</v>
      </c>
      <c r="F27" s="60">
        <f t="shared" si="10"/>
        <v>2486</v>
      </c>
      <c r="G27" s="59">
        <v>7336002</v>
      </c>
      <c r="H27" s="60">
        <f t="shared" si="3"/>
        <v>2291</v>
      </c>
      <c r="I27" s="59">
        <f t="shared" si="4"/>
        <v>7231</v>
      </c>
      <c r="J27" s="61">
        <v>0.99</v>
      </c>
      <c r="K27" s="62">
        <f t="shared" si="5"/>
        <v>2104.221</v>
      </c>
      <c r="L27" s="81"/>
      <c r="M27" s="59">
        <v>226083</v>
      </c>
      <c r="N27" s="60">
        <f t="shared" si="11"/>
        <v>148</v>
      </c>
      <c r="O27" s="59">
        <v>3116862</v>
      </c>
      <c r="P27" s="60">
        <f t="shared" si="12"/>
        <v>1732</v>
      </c>
      <c r="Q27" s="64">
        <f t="shared" si="0"/>
        <v>1880</v>
      </c>
      <c r="R27" s="65">
        <f t="shared" si="6"/>
        <v>1085.3491536160002</v>
      </c>
      <c r="S27" s="66"/>
      <c r="T27" s="115">
        <v>452146</v>
      </c>
      <c r="U27" s="60">
        <f t="shared" si="13"/>
        <v>161</v>
      </c>
      <c r="V27" s="67">
        <f t="shared" si="7"/>
        <v>642.71199999999999</v>
      </c>
      <c r="W27" s="68"/>
      <c r="X27" s="73">
        <f t="shared" si="1"/>
        <v>3832.2821536160004</v>
      </c>
      <c r="Y27" s="74">
        <v>62</v>
      </c>
      <c r="Z27" s="75">
        <f t="shared" si="8"/>
        <v>61.811002477677427</v>
      </c>
    </row>
    <row r="28" spans="1:26" x14ac:dyDescent="0.25">
      <c r="A28" s="10" t="s">
        <v>120</v>
      </c>
      <c r="B28" s="76">
        <f t="shared" si="9"/>
        <v>20</v>
      </c>
      <c r="C28" s="114">
        <v>7821010</v>
      </c>
      <c r="D28" s="60">
        <f t="shared" si="2"/>
        <v>2569</v>
      </c>
      <c r="E28" s="114">
        <v>7756995</v>
      </c>
      <c r="F28" s="60">
        <f t="shared" si="10"/>
        <v>2601</v>
      </c>
      <c r="G28" s="59">
        <v>7338418</v>
      </c>
      <c r="H28" s="60">
        <f t="shared" si="3"/>
        <v>2416</v>
      </c>
      <c r="I28" s="59">
        <f t="shared" si="4"/>
        <v>7586</v>
      </c>
      <c r="J28" s="61">
        <v>0.99</v>
      </c>
      <c r="K28" s="62">
        <f t="shared" si="5"/>
        <v>2207.5259999999998</v>
      </c>
      <c r="L28" s="82"/>
      <c r="M28" s="59">
        <v>226223</v>
      </c>
      <c r="N28" s="60">
        <f t="shared" si="11"/>
        <v>140</v>
      </c>
      <c r="O28" s="59">
        <v>3118638</v>
      </c>
      <c r="P28" s="60">
        <f t="shared" si="12"/>
        <v>1776</v>
      </c>
      <c r="Q28" s="64">
        <f t="shared" si="0"/>
        <v>1916</v>
      </c>
      <c r="R28" s="65">
        <f t="shared" si="6"/>
        <v>1104.7285048800002</v>
      </c>
      <c r="S28" s="72"/>
      <c r="T28" s="115">
        <v>452348</v>
      </c>
      <c r="U28" s="60">
        <f t="shared" si="13"/>
        <v>202</v>
      </c>
      <c r="V28" s="67">
        <f t="shared" si="7"/>
        <v>806.38400000000001</v>
      </c>
      <c r="W28" s="68"/>
      <c r="X28" s="83">
        <f t="shared" si="1"/>
        <v>4118.6385048800003</v>
      </c>
      <c r="Y28" s="74">
        <v>58</v>
      </c>
      <c r="Z28" s="79">
        <f t="shared" si="8"/>
        <v>71.011008704827589</v>
      </c>
    </row>
    <row r="29" spans="1:26" x14ac:dyDescent="0.25">
      <c r="A29" s="10" t="s">
        <v>121</v>
      </c>
      <c r="B29" s="80">
        <f t="shared" si="9"/>
        <v>21</v>
      </c>
      <c r="C29" s="114">
        <v>7823724</v>
      </c>
      <c r="D29" s="60">
        <f t="shared" si="2"/>
        <v>2714</v>
      </c>
      <c r="E29" s="114">
        <v>7759770</v>
      </c>
      <c r="F29" s="60">
        <f t="shared" si="10"/>
        <v>2775</v>
      </c>
      <c r="G29" s="59">
        <v>7340973</v>
      </c>
      <c r="H29" s="60">
        <f t="shared" si="3"/>
        <v>2555</v>
      </c>
      <c r="I29" s="59">
        <f t="shared" si="4"/>
        <v>8044</v>
      </c>
      <c r="J29" s="61">
        <v>0.99</v>
      </c>
      <c r="K29" s="62">
        <f t="shared" si="5"/>
        <v>2340.8039999999996</v>
      </c>
      <c r="L29" s="63"/>
      <c r="M29" s="59">
        <v>226374</v>
      </c>
      <c r="N29" s="60">
        <f t="shared" si="11"/>
        <v>151</v>
      </c>
      <c r="O29" s="59">
        <v>3120455</v>
      </c>
      <c r="P29" s="60">
        <f t="shared" si="12"/>
        <v>1817</v>
      </c>
      <c r="Q29" s="64">
        <f t="shared" si="0"/>
        <v>1968</v>
      </c>
      <c r="R29" s="65">
        <f t="shared" si="6"/>
        <v>1135.643764892</v>
      </c>
      <c r="S29" s="66"/>
      <c r="T29" s="115">
        <v>452546</v>
      </c>
      <c r="U29" s="60">
        <f t="shared" si="13"/>
        <v>198</v>
      </c>
      <c r="V29" s="67">
        <f t="shared" si="7"/>
        <v>790.41600000000005</v>
      </c>
      <c r="W29" s="68"/>
      <c r="X29" s="69">
        <f t="shared" si="1"/>
        <v>4266.8637648919994</v>
      </c>
      <c r="Y29" s="74">
        <v>81</v>
      </c>
      <c r="Z29" s="71">
        <f t="shared" si="8"/>
        <v>52.677330430765423</v>
      </c>
    </row>
    <row r="30" spans="1:26" x14ac:dyDescent="0.25">
      <c r="A30" s="10" t="s">
        <v>116</v>
      </c>
      <c r="B30" s="58">
        <f t="shared" si="9"/>
        <v>22</v>
      </c>
      <c r="C30" s="114">
        <v>7826353</v>
      </c>
      <c r="D30" s="60">
        <f t="shared" si="2"/>
        <v>2629</v>
      </c>
      <c r="E30" s="114">
        <v>7762428</v>
      </c>
      <c r="F30" s="60">
        <f t="shared" si="10"/>
        <v>2658</v>
      </c>
      <c r="G30" s="59">
        <v>7343446</v>
      </c>
      <c r="H30" s="60">
        <f t="shared" si="3"/>
        <v>2473</v>
      </c>
      <c r="I30" s="59">
        <f t="shared" si="4"/>
        <v>7760</v>
      </c>
      <c r="J30" s="61">
        <v>0.99</v>
      </c>
      <c r="K30" s="62">
        <f t="shared" si="5"/>
        <v>2258.16</v>
      </c>
      <c r="L30" s="63"/>
      <c r="M30" s="59">
        <v>226495</v>
      </c>
      <c r="N30" s="60">
        <f t="shared" si="11"/>
        <v>121</v>
      </c>
      <c r="O30" s="59">
        <v>3122197</v>
      </c>
      <c r="P30" s="60">
        <f t="shared" si="12"/>
        <v>1742</v>
      </c>
      <c r="Q30" s="64">
        <f t="shared" si="0"/>
        <v>1863</v>
      </c>
      <c r="R30" s="65">
        <f t="shared" si="6"/>
        <v>1072.209452132</v>
      </c>
      <c r="S30" s="66"/>
      <c r="T30" s="115">
        <v>452766</v>
      </c>
      <c r="U30" s="60">
        <f t="shared" si="13"/>
        <v>220</v>
      </c>
      <c r="V30" s="67">
        <f t="shared" si="7"/>
        <v>878.24</v>
      </c>
      <c r="W30" s="68"/>
      <c r="X30" s="73">
        <f t="shared" si="1"/>
        <v>4208.6094521320001</v>
      </c>
      <c r="Y30" s="74">
        <v>114</v>
      </c>
      <c r="Z30" s="75">
        <f t="shared" si="8"/>
        <v>36.917626773087719</v>
      </c>
    </row>
    <row r="31" spans="1:26" x14ac:dyDescent="0.25">
      <c r="A31" s="10" t="s">
        <v>117</v>
      </c>
      <c r="B31" s="58">
        <f t="shared" si="9"/>
        <v>23</v>
      </c>
      <c r="C31" s="114">
        <v>7829378</v>
      </c>
      <c r="D31" s="60">
        <f t="shared" si="2"/>
        <v>3025</v>
      </c>
      <c r="E31" s="114">
        <v>7765455</v>
      </c>
      <c r="F31" s="60">
        <f t="shared" si="10"/>
        <v>3027</v>
      </c>
      <c r="G31" s="59">
        <v>7346290</v>
      </c>
      <c r="H31" s="60">
        <f t="shared" si="3"/>
        <v>2844</v>
      </c>
      <c r="I31" s="59">
        <f t="shared" si="4"/>
        <v>8896</v>
      </c>
      <c r="J31" s="61">
        <v>0.99</v>
      </c>
      <c r="K31" s="62">
        <f t="shared" si="5"/>
        <v>2588.7359999999999</v>
      </c>
      <c r="L31" s="63"/>
      <c r="M31" s="59">
        <v>226637</v>
      </c>
      <c r="N31" s="60">
        <f t="shared" si="11"/>
        <v>142</v>
      </c>
      <c r="O31" s="59">
        <v>3124076</v>
      </c>
      <c r="P31" s="60">
        <f t="shared" si="12"/>
        <v>1879</v>
      </c>
      <c r="Q31" s="64">
        <f t="shared" si="0"/>
        <v>2021</v>
      </c>
      <c r="R31" s="65">
        <f t="shared" si="6"/>
        <v>1164.5344350640003</v>
      </c>
      <c r="S31" s="66"/>
      <c r="T31" s="115">
        <v>452933</v>
      </c>
      <c r="U31" s="60">
        <f t="shared" si="13"/>
        <v>167</v>
      </c>
      <c r="V31" s="67">
        <f t="shared" si="7"/>
        <v>666.66399999999999</v>
      </c>
      <c r="W31" s="68"/>
      <c r="X31" s="73">
        <f t="shared" si="1"/>
        <v>4419.9344350640004</v>
      </c>
      <c r="Y31" s="74">
        <v>149</v>
      </c>
      <c r="Z31" s="75">
        <f t="shared" si="8"/>
        <v>29.663989497073828</v>
      </c>
    </row>
    <row r="32" spans="1:26" x14ac:dyDescent="0.25">
      <c r="A32" s="10" t="s">
        <v>118</v>
      </c>
      <c r="B32" s="58">
        <f t="shared" si="9"/>
        <v>24</v>
      </c>
      <c r="C32" s="114">
        <v>7832134</v>
      </c>
      <c r="D32" s="60">
        <f t="shared" si="2"/>
        <v>2756</v>
      </c>
      <c r="E32" s="114">
        <v>7768250</v>
      </c>
      <c r="F32" s="60">
        <f t="shared" si="10"/>
        <v>2795</v>
      </c>
      <c r="G32" s="59">
        <v>7348871</v>
      </c>
      <c r="H32" s="60">
        <f t="shared" si="3"/>
        <v>2581</v>
      </c>
      <c r="I32" s="59">
        <f t="shared" si="4"/>
        <v>8132</v>
      </c>
      <c r="J32" s="61">
        <v>0.99</v>
      </c>
      <c r="K32" s="62">
        <f t="shared" si="5"/>
        <v>2366.4119999999998</v>
      </c>
      <c r="L32" s="63"/>
      <c r="M32" s="59">
        <v>226777</v>
      </c>
      <c r="N32" s="60">
        <f t="shared" si="11"/>
        <v>140</v>
      </c>
      <c r="O32" s="59">
        <v>3125832</v>
      </c>
      <c r="P32" s="60">
        <f t="shared" si="12"/>
        <v>1756</v>
      </c>
      <c r="Q32" s="64">
        <f t="shared" si="0"/>
        <v>1896</v>
      </c>
      <c r="R32" s="65">
        <f t="shared" si="6"/>
        <v>1093.38626488</v>
      </c>
      <c r="S32" s="66"/>
      <c r="T32" s="115">
        <v>453144</v>
      </c>
      <c r="U32" s="60">
        <f t="shared" si="13"/>
        <v>211</v>
      </c>
      <c r="V32" s="67">
        <f t="shared" si="7"/>
        <v>842.31200000000001</v>
      </c>
      <c r="W32" s="68"/>
      <c r="X32" s="73">
        <f t="shared" si="1"/>
        <v>4302.1102648799997</v>
      </c>
      <c r="Y32" s="74">
        <v>132</v>
      </c>
      <c r="Z32" s="75">
        <f t="shared" si="8"/>
        <v>32.591744430909088</v>
      </c>
    </row>
    <row r="33" spans="1:26" x14ac:dyDescent="0.25">
      <c r="A33" s="10" t="s">
        <v>96</v>
      </c>
      <c r="B33" s="58">
        <f t="shared" si="9"/>
        <v>25</v>
      </c>
      <c r="C33" s="114">
        <v>7835143</v>
      </c>
      <c r="D33" s="60">
        <f t="shared" si="2"/>
        <v>3009</v>
      </c>
      <c r="E33" s="114">
        <v>7771279</v>
      </c>
      <c r="F33" s="60">
        <f t="shared" si="10"/>
        <v>3029</v>
      </c>
      <c r="G33" s="59">
        <v>7351690</v>
      </c>
      <c r="H33" s="60">
        <f t="shared" si="3"/>
        <v>2819</v>
      </c>
      <c r="I33" s="59">
        <f t="shared" si="4"/>
        <v>8857</v>
      </c>
      <c r="J33" s="61">
        <v>0.99</v>
      </c>
      <c r="K33" s="62">
        <f t="shared" si="5"/>
        <v>2577.3869999999997</v>
      </c>
      <c r="L33" s="63"/>
      <c r="M33" s="59">
        <v>226904</v>
      </c>
      <c r="N33" s="60">
        <f t="shared" si="11"/>
        <v>127</v>
      </c>
      <c r="O33" s="59">
        <v>3127371</v>
      </c>
      <c r="P33" s="60">
        <f t="shared" si="12"/>
        <v>1539</v>
      </c>
      <c r="Q33" s="64">
        <f t="shared" si="0"/>
        <v>1666</v>
      </c>
      <c r="R33" s="65">
        <f t="shared" si="6"/>
        <v>961.26589868400004</v>
      </c>
      <c r="S33" s="66"/>
      <c r="T33" s="115">
        <v>453360</v>
      </c>
      <c r="U33" s="60">
        <f t="shared" si="13"/>
        <v>216</v>
      </c>
      <c r="V33" s="67">
        <f t="shared" si="7"/>
        <v>862.27200000000005</v>
      </c>
      <c r="W33" s="68"/>
      <c r="X33" s="73">
        <f t="shared" si="1"/>
        <v>4400.9248986840003</v>
      </c>
      <c r="Y33" s="74">
        <v>80</v>
      </c>
      <c r="Z33" s="75">
        <f t="shared" si="8"/>
        <v>55.011561233550005</v>
      </c>
    </row>
    <row r="34" spans="1:26" x14ac:dyDescent="0.25">
      <c r="A34" s="10" t="s">
        <v>119</v>
      </c>
      <c r="B34" s="58">
        <f t="shared" si="9"/>
        <v>26</v>
      </c>
      <c r="C34" s="114">
        <v>7838283</v>
      </c>
      <c r="D34" s="60">
        <f t="shared" si="2"/>
        <v>3140</v>
      </c>
      <c r="E34" s="114">
        <v>7774435</v>
      </c>
      <c r="F34" s="60">
        <f t="shared" si="10"/>
        <v>3156</v>
      </c>
      <c r="G34" s="59">
        <v>7354657</v>
      </c>
      <c r="H34" s="60">
        <f t="shared" si="3"/>
        <v>2967</v>
      </c>
      <c r="I34" s="59">
        <f t="shared" si="4"/>
        <v>9263</v>
      </c>
      <c r="J34" s="61">
        <v>0.99</v>
      </c>
      <c r="K34" s="62">
        <f t="shared" si="5"/>
        <v>2695.5329999999999</v>
      </c>
      <c r="L34" s="63"/>
      <c r="M34" s="59">
        <v>227046</v>
      </c>
      <c r="N34" s="60">
        <f t="shared" si="11"/>
        <v>142</v>
      </c>
      <c r="O34" s="59">
        <v>3129175</v>
      </c>
      <c r="P34" s="60">
        <f t="shared" si="12"/>
        <v>1804</v>
      </c>
      <c r="Q34" s="64">
        <f t="shared" si="0"/>
        <v>1946</v>
      </c>
      <c r="R34" s="65">
        <f t="shared" si="6"/>
        <v>1122.0010350640002</v>
      </c>
      <c r="S34" s="66"/>
      <c r="T34" s="115">
        <v>453541</v>
      </c>
      <c r="U34" s="60">
        <f t="shared" si="13"/>
        <v>181</v>
      </c>
      <c r="V34" s="67">
        <f t="shared" si="7"/>
        <v>722.55200000000002</v>
      </c>
      <c r="W34" s="68"/>
      <c r="X34" s="73">
        <f t="shared" si="1"/>
        <v>4540.0860350639996</v>
      </c>
      <c r="Y34" s="74">
        <v>115</v>
      </c>
      <c r="Z34" s="75">
        <f t="shared" si="8"/>
        <v>39.479009000556516</v>
      </c>
    </row>
    <row r="35" spans="1:26" x14ac:dyDescent="0.25">
      <c r="A35" s="10" t="s">
        <v>120</v>
      </c>
      <c r="B35" s="58">
        <f t="shared" si="9"/>
        <v>27</v>
      </c>
      <c r="C35" s="114">
        <v>7841398</v>
      </c>
      <c r="D35" s="60">
        <f t="shared" si="2"/>
        <v>3115</v>
      </c>
      <c r="E35" s="114">
        <v>7777533</v>
      </c>
      <c r="F35" s="60">
        <f t="shared" si="10"/>
        <v>3098</v>
      </c>
      <c r="G35" s="59">
        <v>7357564</v>
      </c>
      <c r="H35" s="60">
        <f t="shared" si="3"/>
        <v>2907</v>
      </c>
      <c r="I35" s="59">
        <f t="shared" si="4"/>
        <v>9120</v>
      </c>
      <c r="J35" s="61">
        <v>0.99</v>
      </c>
      <c r="K35" s="62">
        <f t="shared" si="5"/>
        <v>2653.9199999999996</v>
      </c>
      <c r="L35" s="63"/>
      <c r="M35" s="59">
        <v>227169</v>
      </c>
      <c r="N35" s="60">
        <f t="shared" si="11"/>
        <v>123</v>
      </c>
      <c r="O35" s="59">
        <v>3131091</v>
      </c>
      <c r="P35" s="60">
        <f t="shared" si="12"/>
        <v>1916</v>
      </c>
      <c r="Q35" s="64">
        <f t="shared" si="0"/>
        <v>2039</v>
      </c>
      <c r="R35" s="65">
        <f t="shared" si="6"/>
        <v>1172.2803343160003</v>
      </c>
      <c r="S35" s="66"/>
      <c r="T35" s="115">
        <v>453774</v>
      </c>
      <c r="U35" s="60">
        <f t="shared" si="13"/>
        <v>233</v>
      </c>
      <c r="V35" s="67">
        <f t="shared" si="7"/>
        <v>930.13599999999997</v>
      </c>
      <c r="W35" s="68"/>
      <c r="X35" s="73">
        <f t="shared" si="1"/>
        <v>4756.3363343159999</v>
      </c>
      <c r="Y35" s="74">
        <v>105</v>
      </c>
      <c r="Z35" s="75">
        <f t="shared" si="8"/>
        <v>45.298441279199999</v>
      </c>
    </row>
    <row r="36" spans="1:26" x14ac:dyDescent="0.25">
      <c r="A36" s="10" t="s">
        <v>121</v>
      </c>
      <c r="B36" s="58">
        <f t="shared" si="9"/>
        <v>28</v>
      </c>
      <c r="C36" s="114">
        <v>7844634</v>
      </c>
      <c r="D36" s="60">
        <f t="shared" si="2"/>
        <v>3236</v>
      </c>
      <c r="E36" s="114">
        <v>7780785</v>
      </c>
      <c r="F36" s="60">
        <f t="shared" si="10"/>
        <v>3252</v>
      </c>
      <c r="G36" s="59">
        <v>7360604</v>
      </c>
      <c r="H36" s="60">
        <f t="shared" si="3"/>
        <v>3040</v>
      </c>
      <c r="I36" s="59">
        <f t="shared" si="4"/>
        <v>9528</v>
      </c>
      <c r="J36" s="61">
        <v>0.99</v>
      </c>
      <c r="K36" s="62">
        <f t="shared" si="5"/>
        <v>2772.6479999999997</v>
      </c>
      <c r="L36" s="63"/>
      <c r="M36" s="59">
        <v>227296</v>
      </c>
      <c r="N36" s="60">
        <f t="shared" si="11"/>
        <v>127</v>
      </c>
      <c r="O36" s="59">
        <v>3132780</v>
      </c>
      <c r="P36" s="60">
        <f t="shared" si="12"/>
        <v>1689</v>
      </c>
      <c r="Q36" s="64">
        <f t="shared" si="0"/>
        <v>1816</v>
      </c>
      <c r="R36" s="65">
        <f t="shared" si="6"/>
        <v>1046.332698684</v>
      </c>
      <c r="S36" s="66"/>
      <c r="T36" s="115">
        <v>453996</v>
      </c>
      <c r="U36" s="60">
        <f t="shared" si="13"/>
        <v>222</v>
      </c>
      <c r="V36" s="67">
        <f t="shared" si="7"/>
        <v>886.22400000000005</v>
      </c>
      <c r="W36" s="68"/>
      <c r="X36" s="73">
        <f t="shared" si="1"/>
        <v>4705.2046986839996</v>
      </c>
      <c r="Y36" s="74">
        <v>106</v>
      </c>
      <c r="Z36" s="75">
        <f t="shared" si="8"/>
        <v>44.388723572490562</v>
      </c>
    </row>
    <row r="37" spans="1:26" x14ac:dyDescent="0.25">
      <c r="A37" s="10"/>
      <c r="B37" s="84"/>
      <c r="C37" s="85">
        <f>SUMIF(D9:D36,"&gt;0")</f>
        <v>74018</v>
      </c>
      <c r="D37" s="86"/>
      <c r="E37" s="131">
        <f>SUMIF(F9:F36,"&gt;0")</f>
        <v>75092</v>
      </c>
      <c r="F37" s="132"/>
      <c r="G37" s="133">
        <f>SUMIF(H9:H36,"&gt;0")</f>
        <v>69474</v>
      </c>
      <c r="H37" s="132"/>
      <c r="I37" s="87">
        <f>SUMIF(I9:I36,"&gt;0")</f>
        <v>218584</v>
      </c>
      <c r="J37" s="88"/>
      <c r="K37" s="89">
        <f>SUMIF(K9:K36,"&gt;0")</f>
        <v>63607.943999999989</v>
      </c>
      <c r="L37" s="87"/>
      <c r="M37" s="133">
        <f>SUMIF(N9:N36,"&gt;0")</f>
        <v>4118</v>
      </c>
      <c r="N37" s="132"/>
      <c r="O37" s="133">
        <f>SUMIF(P9:P36,"&gt;0")</f>
        <v>54648</v>
      </c>
      <c r="P37" s="132"/>
      <c r="Q37" s="88">
        <f>SUMIF(Q9:Q36,"&gt;0")</f>
        <v>58766</v>
      </c>
      <c r="R37" s="89">
        <f>SUMIF(R9:R36,"&gt;0")</f>
        <v>33860.535200856</v>
      </c>
      <c r="S37" s="90"/>
      <c r="T37" s="134">
        <f>SUMIF(U9:U36,"&gt;0")</f>
        <v>5022</v>
      </c>
      <c r="U37" s="135"/>
      <c r="V37" s="91">
        <f>SUMIF(V9:V36,"&gt;0")</f>
        <v>20047.823999999993</v>
      </c>
      <c r="W37" s="92"/>
      <c r="X37" s="93">
        <f>SUMIF(X9:X36,"&gt;0")</f>
        <v>117516.303200856</v>
      </c>
      <c r="Y37" s="94">
        <f>SUM(Y9:Y36)</f>
        <v>2181</v>
      </c>
      <c r="Z37" s="95">
        <f>(SUMIF(Z9:Z36,"&gt;0")/31)</f>
        <v>54.164644583989599</v>
      </c>
    </row>
  </sheetData>
  <mergeCells count="12">
    <mergeCell ref="E37:F37"/>
    <mergeCell ref="G37:H37"/>
    <mergeCell ref="M37:N37"/>
    <mergeCell ref="O37:P37"/>
    <mergeCell ref="T37:U37"/>
    <mergeCell ref="B1:E4"/>
    <mergeCell ref="F1:V4"/>
    <mergeCell ref="W1:Z2"/>
    <mergeCell ref="W3:Z4"/>
    <mergeCell ref="C7:K7"/>
    <mergeCell ref="M7:R7"/>
    <mergeCell ref="T7:V7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6:CE49"/>
  <sheetViews>
    <sheetView zoomScale="68" zoomScaleNormal="68" workbookViewId="0">
      <selection activeCell="K35" sqref="K35"/>
    </sheetView>
  </sheetViews>
  <sheetFormatPr defaultRowHeight="15" x14ac:dyDescent="0.25"/>
  <cols>
    <col min="33" max="33" width="12.28515625" customWidth="1"/>
    <col min="34" max="34" width="12.140625" customWidth="1"/>
  </cols>
  <sheetData>
    <row r="6" spans="1:83" ht="15.75" thickBot="1" x14ac:dyDescent="0.3">
      <c r="B6" s="96">
        <v>49433</v>
      </c>
      <c r="C6" s="97">
        <v>79236</v>
      </c>
      <c r="D6" s="98">
        <v>15207</v>
      </c>
      <c r="E6" s="98">
        <v>13719</v>
      </c>
      <c r="F6" s="98">
        <v>189420</v>
      </c>
      <c r="G6" s="98">
        <v>3495</v>
      </c>
      <c r="H6" s="97">
        <v>1485</v>
      </c>
      <c r="I6" s="98">
        <v>380288</v>
      </c>
      <c r="J6" s="98">
        <v>68377</v>
      </c>
      <c r="K6" s="98">
        <v>7921</v>
      </c>
      <c r="L6" s="98">
        <v>29890</v>
      </c>
      <c r="M6" s="98">
        <v>52115</v>
      </c>
      <c r="N6" s="98">
        <v>38542</v>
      </c>
      <c r="O6" s="98">
        <v>181658</v>
      </c>
      <c r="P6" s="98">
        <v>375920</v>
      </c>
      <c r="Q6" s="98">
        <v>2808</v>
      </c>
      <c r="R6" s="98">
        <v>18050</v>
      </c>
      <c r="S6" s="98">
        <v>25503</v>
      </c>
      <c r="T6" s="98">
        <v>278413</v>
      </c>
      <c r="U6" s="98">
        <v>375407</v>
      </c>
      <c r="V6" s="98">
        <v>40159</v>
      </c>
      <c r="W6" s="98">
        <v>5416</v>
      </c>
      <c r="X6" s="98">
        <v>13927</v>
      </c>
      <c r="Y6" s="98">
        <v>86195</v>
      </c>
      <c r="Z6" s="97">
        <v>540</v>
      </c>
      <c r="AA6" s="98">
        <v>170186</v>
      </c>
      <c r="AB6" s="98">
        <v>7562</v>
      </c>
      <c r="AC6" s="98">
        <v>1974</v>
      </c>
      <c r="AD6" s="98">
        <v>17975</v>
      </c>
      <c r="AE6" s="98">
        <v>76508</v>
      </c>
      <c r="AF6" s="98">
        <v>205359</v>
      </c>
      <c r="AG6" s="98">
        <v>1125790</v>
      </c>
      <c r="AH6" s="98">
        <v>11123</v>
      </c>
      <c r="AI6" s="98">
        <v>483379</v>
      </c>
      <c r="AJ6" s="98">
        <v>637743</v>
      </c>
      <c r="AK6" s="98">
        <v>9334</v>
      </c>
      <c r="AL6" s="99">
        <v>29315</v>
      </c>
      <c r="AM6" s="98">
        <v>28542</v>
      </c>
      <c r="AN6" s="98">
        <v>596531</v>
      </c>
      <c r="AO6" s="98">
        <v>5246</v>
      </c>
      <c r="AP6" s="97">
        <v>0</v>
      </c>
      <c r="AQ6" s="98">
        <v>109712</v>
      </c>
      <c r="AR6" s="98">
        <v>217210</v>
      </c>
      <c r="AS6" s="98">
        <v>63112</v>
      </c>
      <c r="AT6" s="98">
        <v>560</v>
      </c>
      <c r="AU6" s="98">
        <v>107079</v>
      </c>
      <c r="AV6" s="98">
        <v>44534</v>
      </c>
      <c r="AW6" s="98">
        <v>38275</v>
      </c>
      <c r="AX6" s="98">
        <v>175158</v>
      </c>
      <c r="AY6" s="100">
        <v>481902</v>
      </c>
    </row>
    <row r="7" spans="1:83" ht="90" x14ac:dyDescent="0.25">
      <c r="A7" s="22" t="s">
        <v>1</v>
      </c>
      <c r="B7" s="16" t="s">
        <v>18</v>
      </c>
      <c r="C7" s="17" t="s">
        <v>19</v>
      </c>
      <c r="D7" s="17" t="s">
        <v>20</v>
      </c>
      <c r="E7" s="17" t="s">
        <v>21</v>
      </c>
      <c r="F7" s="17" t="s">
        <v>22</v>
      </c>
      <c r="G7" s="17" t="s">
        <v>23</v>
      </c>
      <c r="H7" s="17" t="s">
        <v>24</v>
      </c>
      <c r="I7" s="17" t="s">
        <v>25</v>
      </c>
      <c r="J7" s="17" t="s">
        <v>26</v>
      </c>
      <c r="K7" s="17" t="s">
        <v>27</v>
      </c>
      <c r="L7" s="17" t="s">
        <v>28</v>
      </c>
      <c r="M7" s="17" t="s">
        <v>29</v>
      </c>
      <c r="N7" s="17" t="s">
        <v>30</v>
      </c>
      <c r="O7" s="17" t="s">
        <v>31</v>
      </c>
      <c r="P7" s="17" t="s">
        <v>32</v>
      </c>
      <c r="Q7" s="17" t="s">
        <v>33</v>
      </c>
      <c r="R7" s="17" t="s">
        <v>34</v>
      </c>
      <c r="S7" s="17" t="s">
        <v>35</v>
      </c>
      <c r="T7" s="17" t="s">
        <v>36</v>
      </c>
      <c r="U7" s="17" t="s">
        <v>37</v>
      </c>
      <c r="V7" s="17" t="s">
        <v>38</v>
      </c>
      <c r="W7" s="17" t="s">
        <v>25</v>
      </c>
      <c r="X7" s="17" t="s">
        <v>39</v>
      </c>
      <c r="Y7" s="17" t="s">
        <v>40</v>
      </c>
      <c r="Z7" s="17" t="s">
        <v>41</v>
      </c>
      <c r="AA7" s="17" t="s">
        <v>42</v>
      </c>
      <c r="AB7" s="17" t="s">
        <v>43</v>
      </c>
      <c r="AC7" s="17" t="s">
        <v>44</v>
      </c>
      <c r="AD7" s="17" t="s">
        <v>45</v>
      </c>
      <c r="AE7" s="17" t="s">
        <v>46</v>
      </c>
      <c r="AF7" s="17" t="s">
        <v>47</v>
      </c>
      <c r="AG7" s="17" t="s">
        <v>48</v>
      </c>
      <c r="AH7" s="17" t="s">
        <v>49</v>
      </c>
      <c r="AI7" s="17" t="s">
        <v>50</v>
      </c>
      <c r="AJ7" s="17" t="s">
        <v>51</v>
      </c>
      <c r="AK7" s="17" t="s">
        <v>52</v>
      </c>
      <c r="AL7" s="18" t="s">
        <v>53</v>
      </c>
      <c r="AM7" s="17" t="s">
        <v>54</v>
      </c>
      <c r="AN7" s="17" t="s">
        <v>55</v>
      </c>
      <c r="AO7" s="17" t="s">
        <v>56</v>
      </c>
      <c r="AP7" s="17" t="s">
        <v>57</v>
      </c>
      <c r="AQ7" s="17" t="s">
        <v>24</v>
      </c>
      <c r="AR7" s="17" t="s">
        <v>25</v>
      </c>
      <c r="AS7" s="17" t="s">
        <v>58</v>
      </c>
      <c r="AT7" s="17" t="s">
        <v>25</v>
      </c>
      <c r="AU7" s="17" t="s">
        <v>59</v>
      </c>
      <c r="AV7" s="17" t="s">
        <v>60</v>
      </c>
      <c r="AW7" s="17" t="s">
        <v>61</v>
      </c>
      <c r="AX7" s="17" t="s">
        <v>62</v>
      </c>
      <c r="AY7" s="19" t="s">
        <v>26</v>
      </c>
      <c r="AZ7" s="101" t="s">
        <v>63</v>
      </c>
      <c r="BA7" s="101" t="s">
        <v>64</v>
      </c>
      <c r="BB7" s="101" t="s">
        <v>65</v>
      </c>
      <c r="BC7" s="101" t="s">
        <v>66</v>
      </c>
      <c r="BD7" s="101" t="s">
        <v>67</v>
      </c>
      <c r="BE7" s="101" t="s">
        <v>68</v>
      </c>
      <c r="BF7" s="101" t="s">
        <v>69</v>
      </c>
      <c r="BG7" s="101" t="s">
        <v>70</v>
      </c>
      <c r="BH7" s="101" t="s">
        <v>71</v>
      </c>
      <c r="BI7" s="101" t="s">
        <v>72</v>
      </c>
      <c r="BJ7" s="101" t="s">
        <v>73</v>
      </c>
      <c r="BK7" s="101" t="s">
        <v>74</v>
      </c>
      <c r="BL7" s="101" t="s">
        <v>75</v>
      </c>
      <c r="BM7" s="101" t="s">
        <v>76</v>
      </c>
      <c r="BN7" s="101" t="s">
        <v>77</v>
      </c>
      <c r="BO7" s="101" t="s">
        <v>78</v>
      </c>
      <c r="BP7" s="101" t="s">
        <v>79</v>
      </c>
      <c r="BQ7" s="101" t="s">
        <v>80</v>
      </c>
      <c r="BR7" s="101" t="s">
        <v>81</v>
      </c>
      <c r="BS7" s="102" t="s">
        <v>82</v>
      </c>
      <c r="BT7" s="102" t="s">
        <v>83</v>
      </c>
      <c r="BU7" s="102" t="s">
        <v>84</v>
      </c>
      <c r="BV7" s="102" t="s">
        <v>85</v>
      </c>
      <c r="BW7" s="102" t="s">
        <v>86</v>
      </c>
      <c r="BX7" s="102" t="s">
        <v>87</v>
      </c>
      <c r="BY7" s="102" t="s">
        <v>88</v>
      </c>
      <c r="BZ7" s="102" t="s">
        <v>89</v>
      </c>
      <c r="CA7" s="102" t="s">
        <v>90</v>
      </c>
      <c r="CB7" s="102" t="s">
        <v>91</v>
      </c>
      <c r="CC7" s="102" t="s">
        <v>92</v>
      </c>
      <c r="CD7" s="102" t="s">
        <v>93</v>
      </c>
      <c r="CE7" s="102" t="s">
        <v>94</v>
      </c>
    </row>
    <row r="8" spans="1:83" ht="15.75" thickBot="1" x14ac:dyDescent="0.3">
      <c r="A8">
        <v>1</v>
      </c>
      <c r="B8" s="103"/>
      <c r="C8" s="104"/>
      <c r="D8" s="104"/>
      <c r="E8" s="104"/>
      <c r="F8" s="104"/>
      <c r="G8" s="104"/>
      <c r="H8" s="104"/>
      <c r="I8" s="104"/>
      <c r="J8" s="104"/>
      <c r="K8" s="104"/>
      <c r="L8" s="104"/>
      <c r="M8" s="104"/>
      <c r="N8" s="104"/>
      <c r="O8" s="104"/>
      <c r="P8" s="104"/>
      <c r="Q8" s="104"/>
      <c r="R8" s="104"/>
      <c r="S8" s="104"/>
      <c r="T8" s="104"/>
      <c r="U8" s="104"/>
      <c r="V8" s="104"/>
      <c r="W8" s="104"/>
      <c r="X8" s="104"/>
      <c r="Y8" s="104"/>
      <c r="Z8" s="104"/>
      <c r="AA8" s="104"/>
      <c r="AB8" s="104"/>
      <c r="AC8" s="104"/>
      <c r="AD8" s="104"/>
      <c r="AE8" s="104"/>
      <c r="AF8" s="104"/>
      <c r="AG8" s="104"/>
      <c r="AH8" s="104"/>
      <c r="AI8" s="104"/>
      <c r="AJ8" s="104"/>
      <c r="AK8" s="104"/>
      <c r="AL8" s="105"/>
      <c r="AM8" s="104"/>
      <c r="AN8" s="104"/>
      <c r="AO8" s="104"/>
      <c r="AP8" s="104"/>
      <c r="AQ8" s="104"/>
      <c r="AR8" s="104"/>
      <c r="AS8" s="104"/>
      <c r="AT8" s="104"/>
      <c r="AU8" s="104"/>
      <c r="AV8" s="104"/>
      <c r="AW8" s="104"/>
      <c r="AX8" s="104"/>
      <c r="AY8" s="113"/>
      <c r="AZ8" s="106"/>
      <c r="BA8" s="106"/>
      <c r="BB8" s="106"/>
      <c r="BC8" s="106"/>
      <c r="BD8" s="106"/>
      <c r="BE8" s="106"/>
      <c r="BF8" s="106"/>
      <c r="BG8" s="106"/>
      <c r="BH8" s="106"/>
      <c r="BI8" s="106"/>
      <c r="BJ8" s="106"/>
      <c r="BK8" s="106"/>
      <c r="BL8" s="106"/>
      <c r="BM8" s="106"/>
      <c r="BN8" s="106"/>
      <c r="BO8" s="106"/>
      <c r="BP8" s="106"/>
      <c r="BQ8" s="106"/>
      <c r="BR8" s="106"/>
      <c r="BS8" s="106"/>
      <c r="BT8" s="106"/>
      <c r="BU8" s="106"/>
      <c r="BV8" s="106"/>
      <c r="BW8" s="106"/>
      <c r="BX8" s="106"/>
      <c r="BY8" s="106"/>
      <c r="BZ8" s="106"/>
      <c r="CA8" s="106"/>
      <c r="CB8" s="106"/>
      <c r="CC8" s="106"/>
      <c r="CD8" s="106"/>
      <c r="CE8" s="106"/>
    </row>
    <row r="9" spans="1:83" x14ac:dyDescent="0.25">
      <c r="A9">
        <v>2</v>
      </c>
      <c r="B9" s="97"/>
      <c r="C9" s="97"/>
      <c r="D9" s="97"/>
      <c r="E9" s="97"/>
      <c r="F9" s="97"/>
      <c r="G9" s="97"/>
      <c r="H9" s="97"/>
      <c r="I9" s="97"/>
      <c r="J9" s="97"/>
      <c r="K9" s="97"/>
      <c r="L9" s="97"/>
      <c r="M9" s="97"/>
      <c r="N9" s="97"/>
      <c r="O9" s="97"/>
      <c r="P9" s="97"/>
      <c r="Q9" s="97"/>
      <c r="R9" s="97"/>
      <c r="S9" s="97"/>
      <c r="T9" s="97"/>
      <c r="U9" s="97"/>
      <c r="V9" s="97"/>
      <c r="W9" s="97"/>
      <c r="X9" s="97"/>
      <c r="Y9" s="97"/>
      <c r="Z9" s="97"/>
      <c r="AA9" s="97"/>
      <c r="AB9" s="97"/>
      <c r="AC9" s="97"/>
      <c r="AD9" s="97"/>
      <c r="AE9" s="97"/>
      <c r="AF9" s="97"/>
      <c r="AG9" s="97"/>
      <c r="AH9" s="97"/>
      <c r="AI9" s="97"/>
      <c r="AJ9" s="97"/>
      <c r="AK9" s="97"/>
      <c r="AL9" s="107"/>
      <c r="AM9" s="97"/>
      <c r="AN9" s="97"/>
      <c r="AO9" s="97"/>
      <c r="AP9" s="97"/>
      <c r="AQ9" s="97"/>
      <c r="AR9" s="97"/>
      <c r="AS9" s="97"/>
      <c r="AT9" s="97"/>
      <c r="AU9" s="97"/>
      <c r="AV9" s="97"/>
      <c r="AW9" s="97"/>
      <c r="AX9" s="97"/>
      <c r="AY9" s="97"/>
      <c r="AZ9" s="106"/>
      <c r="BA9" s="106"/>
      <c r="BB9" s="106"/>
      <c r="BC9" s="106"/>
      <c r="BD9" s="106"/>
      <c r="BE9" s="106"/>
      <c r="BF9" s="106"/>
      <c r="BG9" s="106"/>
      <c r="BH9" s="106"/>
      <c r="BI9" s="106"/>
      <c r="BJ9" s="106"/>
      <c r="BK9" s="106"/>
      <c r="BL9" s="106"/>
      <c r="BM9" s="106"/>
      <c r="BN9" s="106"/>
      <c r="BO9" s="106"/>
      <c r="BP9" s="106"/>
      <c r="BQ9" s="106"/>
      <c r="BR9" s="106"/>
      <c r="BS9" s="106"/>
      <c r="BT9" s="106"/>
      <c r="BU9" s="106"/>
      <c r="BV9" s="106"/>
      <c r="BW9" s="106"/>
      <c r="BX9" s="106"/>
      <c r="BY9" s="106"/>
      <c r="BZ9" s="106"/>
      <c r="CA9" s="106"/>
      <c r="CB9" s="106"/>
      <c r="CC9" s="106"/>
      <c r="CD9" s="106"/>
      <c r="CE9" s="106"/>
    </row>
    <row r="10" spans="1:83" x14ac:dyDescent="0.25">
      <c r="A10">
        <v>3</v>
      </c>
      <c r="B10" s="97"/>
      <c r="C10" s="97"/>
      <c r="D10" s="97"/>
      <c r="E10" s="97"/>
      <c r="F10" s="97"/>
      <c r="G10" s="97"/>
      <c r="H10" s="97"/>
      <c r="I10" s="97"/>
      <c r="J10" s="97"/>
      <c r="K10" s="97"/>
      <c r="L10" s="97"/>
      <c r="M10" s="97"/>
      <c r="N10" s="97"/>
      <c r="O10" s="97"/>
      <c r="P10" s="97"/>
      <c r="Q10" s="97"/>
      <c r="R10" s="97"/>
      <c r="S10" s="97"/>
      <c r="T10" s="97"/>
      <c r="U10" s="97"/>
      <c r="V10" s="97"/>
      <c r="W10" s="97"/>
      <c r="X10" s="97"/>
      <c r="Y10" s="97"/>
      <c r="Z10" s="97"/>
      <c r="AA10" s="97"/>
      <c r="AB10" s="97"/>
      <c r="AC10" s="97"/>
      <c r="AD10" s="97"/>
      <c r="AE10" s="97"/>
      <c r="AF10" s="97"/>
      <c r="AG10" s="97"/>
      <c r="AH10" s="97"/>
      <c r="AI10" s="97"/>
      <c r="AJ10" s="97"/>
      <c r="AK10" s="97"/>
      <c r="AL10" s="107"/>
      <c r="AM10" s="97"/>
      <c r="AN10" s="97"/>
      <c r="AO10" s="97"/>
      <c r="AP10" s="97"/>
      <c r="AQ10" s="97"/>
      <c r="AR10" s="97"/>
      <c r="AS10" s="97"/>
      <c r="AT10" s="97"/>
      <c r="AU10" s="97"/>
      <c r="AV10" s="97"/>
      <c r="AW10" s="97"/>
      <c r="AX10" s="97"/>
      <c r="AY10" s="97"/>
      <c r="AZ10" s="106"/>
      <c r="BA10" s="106"/>
      <c r="BB10" s="106"/>
      <c r="BC10" s="106"/>
      <c r="BD10" s="106"/>
      <c r="BE10" s="106"/>
      <c r="BF10" s="106"/>
      <c r="BG10" s="106"/>
      <c r="BH10" s="106"/>
      <c r="BI10" s="106"/>
      <c r="BJ10" s="106"/>
      <c r="BK10" s="106"/>
      <c r="BL10" s="106"/>
      <c r="BM10" s="106"/>
      <c r="BN10" s="106"/>
      <c r="BO10" s="106"/>
      <c r="BP10" s="106"/>
      <c r="BQ10" s="106"/>
      <c r="BR10" s="106"/>
      <c r="BS10" s="106"/>
      <c r="BT10" s="106"/>
      <c r="BU10" s="106"/>
      <c r="BV10" s="106"/>
      <c r="BW10" s="106"/>
      <c r="BX10" s="106"/>
      <c r="BY10" s="106"/>
      <c r="BZ10" s="106"/>
      <c r="CA10" s="106"/>
      <c r="CB10" s="106"/>
      <c r="CC10" s="106"/>
      <c r="CD10" s="106"/>
      <c r="CE10" s="106"/>
    </row>
    <row r="11" spans="1:83" x14ac:dyDescent="0.25">
      <c r="A11">
        <v>4</v>
      </c>
      <c r="B11" s="97"/>
      <c r="C11" s="97"/>
      <c r="D11" s="97"/>
      <c r="E11" s="97"/>
      <c r="F11" s="97"/>
      <c r="G11" s="97"/>
      <c r="H11" s="97"/>
      <c r="I11" s="97"/>
      <c r="J11" s="97"/>
      <c r="K11" s="97"/>
      <c r="L11" s="97"/>
      <c r="M11" s="97"/>
      <c r="N11" s="97"/>
      <c r="O11" s="97"/>
      <c r="P11" s="97"/>
      <c r="Q11" s="97"/>
      <c r="R11" s="97"/>
      <c r="S11" s="97"/>
      <c r="T11" s="97"/>
      <c r="U11" s="97"/>
      <c r="V11" s="97"/>
      <c r="W11" s="97"/>
      <c r="X11" s="97"/>
      <c r="Y11" s="97"/>
      <c r="Z11" s="97"/>
      <c r="AA11" s="97"/>
      <c r="AB11" s="97"/>
      <c r="AC11" s="97"/>
      <c r="AD11" s="97"/>
      <c r="AE11" s="97"/>
      <c r="AF11" s="97"/>
      <c r="AG11" s="97"/>
      <c r="AH11" s="97"/>
      <c r="AI11" s="112"/>
      <c r="AJ11" s="97"/>
      <c r="AK11" s="97"/>
      <c r="AL11" s="97"/>
      <c r="AM11" s="112"/>
      <c r="AN11" s="107"/>
      <c r="AO11" s="97"/>
      <c r="AP11" s="97"/>
      <c r="AQ11" s="97"/>
      <c r="AR11" s="97"/>
      <c r="AS11" s="112"/>
      <c r="AT11" s="97"/>
      <c r="AU11" s="97"/>
      <c r="AV11" s="97"/>
      <c r="AW11" s="97"/>
      <c r="AX11" s="97"/>
      <c r="AY11" s="97"/>
      <c r="AZ11" s="106"/>
      <c r="BA11" s="106"/>
      <c r="BB11" s="106"/>
      <c r="BC11" s="106"/>
      <c r="BD11" s="106"/>
      <c r="BE11" s="106"/>
      <c r="BF11" s="106"/>
      <c r="BG11" s="106"/>
      <c r="BH11" s="106"/>
      <c r="BI11" s="106"/>
      <c r="BJ11" s="106"/>
      <c r="BK11" s="106"/>
      <c r="BL11" s="106"/>
      <c r="BM11" s="106"/>
      <c r="BN11" s="106"/>
      <c r="BO11" s="106"/>
      <c r="BP11" s="106"/>
      <c r="BQ11" s="106"/>
      <c r="BR11" s="106"/>
      <c r="BS11" s="106"/>
      <c r="BT11" s="106"/>
      <c r="BU11" s="106"/>
      <c r="BV11" s="106"/>
      <c r="BW11" s="106"/>
      <c r="BX11" s="106"/>
      <c r="BY11" s="106"/>
      <c r="BZ11" s="106"/>
      <c r="CA11" s="106"/>
      <c r="CB11" s="106"/>
      <c r="CC11" s="106"/>
      <c r="CD11" s="106"/>
      <c r="CE11" s="106"/>
    </row>
    <row r="12" spans="1:83" x14ac:dyDescent="0.25">
      <c r="A12">
        <v>5</v>
      </c>
      <c r="B12" s="97"/>
      <c r="C12" s="97"/>
      <c r="D12" s="97"/>
      <c r="E12" s="97"/>
      <c r="F12" s="97"/>
      <c r="G12" s="97"/>
      <c r="H12" s="97"/>
      <c r="I12" s="97"/>
      <c r="J12" s="97"/>
      <c r="K12" s="97"/>
      <c r="L12" s="97"/>
      <c r="M12" s="97"/>
      <c r="N12" s="97"/>
      <c r="O12" s="97"/>
      <c r="P12" s="97"/>
      <c r="Q12" s="97"/>
      <c r="R12" s="112"/>
      <c r="S12" s="97"/>
      <c r="T12" s="97"/>
      <c r="U12" s="97"/>
      <c r="V12" s="97"/>
      <c r="W12" s="97"/>
      <c r="X12" s="97"/>
      <c r="Y12" s="97"/>
      <c r="Z12" s="97"/>
      <c r="AA12" s="97"/>
      <c r="AB12" s="97"/>
      <c r="AC12" s="97"/>
      <c r="AD12" s="97"/>
      <c r="AE12" s="97"/>
      <c r="AF12" s="97"/>
      <c r="AG12" s="97"/>
      <c r="AH12" s="97"/>
      <c r="AI12" s="97"/>
      <c r="AJ12" s="97"/>
      <c r="AK12" s="97"/>
      <c r="AL12" s="97"/>
      <c r="AM12" s="97"/>
      <c r="AN12" s="97"/>
      <c r="AO12" s="97"/>
      <c r="AP12" s="97"/>
      <c r="AQ12" s="97"/>
      <c r="AR12" s="97"/>
      <c r="AS12" s="97"/>
      <c r="AT12" s="97"/>
      <c r="AU12" s="97"/>
      <c r="AV12" s="97"/>
      <c r="AW12" s="97"/>
      <c r="AX12" s="97"/>
      <c r="AY12" s="97"/>
      <c r="AZ12" s="106"/>
      <c r="BA12" s="106"/>
      <c r="BB12" s="106"/>
      <c r="BC12" s="106"/>
      <c r="BD12" s="106"/>
      <c r="BE12" s="106"/>
      <c r="BF12" s="106"/>
      <c r="BG12" s="106"/>
      <c r="BH12" s="106"/>
      <c r="BI12" s="106"/>
      <c r="BJ12" s="106"/>
      <c r="BK12" s="106"/>
      <c r="BL12" s="106"/>
      <c r="BM12" s="106"/>
      <c r="BN12" s="106"/>
      <c r="BO12" s="106"/>
      <c r="BP12" s="106"/>
      <c r="BQ12" s="106"/>
      <c r="BR12" s="106"/>
      <c r="BS12" s="106"/>
      <c r="BT12" s="106"/>
      <c r="BU12" s="106"/>
      <c r="BV12" s="106"/>
      <c r="BW12" s="106"/>
      <c r="BX12" s="106"/>
      <c r="BY12" s="106"/>
      <c r="BZ12" s="106"/>
      <c r="CA12" s="106"/>
      <c r="CB12" s="106"/>
      <c r="CC12" s="106"/>
      <c r="CD12" s="106"/>
      <c r="CE12" s="106"/>
    </row>
    <row r="13" spans="1:83" x14ac:dyDescent="0.25">
      <c r="A13">
        <v>6</v>
      </c>
      <c r="B13" s="97"/>
      <c r="C13" s="97"/>
      <c r="D13" s="97"/>
      <c r="E13" s="97"/>
      <c r="F13" s="97"/>
      <c r="G13" s="97"/>
      <c r="H13" s="97"/>
      <c r="I13" s="97"/>
      <c r="J13" s="97"/>
      <c r="K13" s="97"/>
      <c r="L13" s="97"/>
      <c r="M13" s="97"/>
      <c r="N13" s="97"/>
      <c r="O13" s="97"/>
      <c r="P13" s="97"/>
      <c r="Q13" s="97"/>
      <c r="R13" s="97"/>
      <c r="S13" s="97"/>
      <c r="T13" s="97"/>
      <c r="U13" s="97"/>
      <c r="V13" s="97"/>
      <c r="W13" s="97"/>
      <c r="X13" s="97"/>
      <c r="Y13" s="97"/>
      <c r="Z13" s="97"/>
      <c r="AA13" s="97"/>
      <c r="AB13" s="97"/>
      <c r="AC13" s="97"/>
      <c r="AD13" s="97"/>
      <c r="AE13" s="97"/>
      <c r="AF13" s="97"/>
      <c r="AG13" s="97"/>
      <c r="AH13" s="97"/>
      <c r="AI13" s="97"/>
      <c r="AJ13" s="97"/>
      <c r="AK13" s="97"/>
      <c r="AL13" s="107"/>
      <c r="AM13" s="97"/>
      <c r="AN13" s="97"/>
      <c r="AO13" s="97"/>
      <c r="AP13" s="97"/>
      <c r="AQ13" s="97"/>
      <c r="AR13" s="97"/>
      <c r="AS13" s="97"/>
      <c r="AT13" s="97"/>
      <c r="AU13" s="97"/>
      <c r="AV13" s="97"/>
      <c r="AW13" s="97"/>
      <c r="AX13" s="97"/>
      <c r="AY13" s="97"/>
      <c r="AZ13" s="106"/>
      <c r="BA13" s="106"/>
      <c r="BB13" s="106"/>
      <c r="BC13" s="106"/>
      <c r="BD13" s="106"/>
      <c r="BE13" s="106"/>
      <c r="BF13" s="106"/>
      <c r="BG13" s="106"/>
      <c r="BH13" s="106"/>
      <c r="BI13" s="106"/>
      <c r="BJ13" s="106"/>
      <c r="BK13" s="106"/>
      <c r="BL13" s="106"/>
      <c r="BM13" s="106"/>
      <c r="BN13" s="106"/>
      <c r="BO13" s="106"/>
      <c r="BP13" s="106"/>
      <c r="BQ13" s="106"/>
      <c r="BR13" s="106"/>
      <c r="BS13" s="106"/>
      <c r="BT13" s="106"/>
      <c r="BU13" s="106"/>
      <c r="BV13" s="106"/>
      <c r="BW13" s="106"/>
      <c r="BX13" s="106"/>
      <c r="BY13" s="106"/>
      <c r="BZ13" s="106"/>
      <c r="CA13" s="106"/>
      <c r="CB13" s="106"/>
      <c r="CC13" s="106"/>
      <c r="CD13" s="106"/>
      <c r="CE13" s="106"/>
    </row>
    <row r="14" spans="1:83" x14ac:dyDescent="0.25">
      <c r="A14">
        <v>7</v>
      </c>
      <c r="B14" s="97"/>
      <c r="C14" s="97"/>
      <c r="D14" s="97"/>
      <c r="E14" s="97"/>
      <c r="F14" s="97"/>
      <c r="G14" s="97"/>
      <c r="H14" s="97"/>
      <c r="I14" s="97"/>
      <c r="J14" s="97"/>
      <c r="K14" s="97"/>
      <c r="L14" s="97"/>
      <c r="M14" s="97"/>
      <c r="N14" s="97"/>
      <c r="O14" s="97"/>
      <c r="P14" s="97"/>
      <c r="Q14" s="97"/>
      <c r="R14" s="97"/>
      <c r="S14" s="97"/>
      <c r="T14" s="97"/>
      <c r="U14" s="97"/>
      <c r="V14" s="97"/>
      <c r="W14" s="97"/>
      <c r="X14" s="97"/>
      <c r="Y14" s="97"/>
      <c r="Z14" s="97"/>
      <c r="AA14" s="97"/>
      <c r="AB14" s="97"/>
      <c r="AC14" s="97"/>
      <c r="AD14" s="97"/>
      <c r="AE14" s="97"/>
      <c r="AF14" s="97"/>
      <c r="AG14" s="97"/>
      <c r="AH14" s="97"/>
      <c r="AI14" s="97"/>
      <c r="AJ14" s="97"/>
      <c r="AK14" s="97"/>
      <c r="AL14" s="107"/>
      <c r="AM14" s="97"/>
      <c r="AN14" s="97"/>
      <c r="AO14" s="97"/>
      <c r="AP14" s="97"/>
      <c r="AQ14" s="97"/>
      <c r="AR14" s="97"/>
      <c r="AS14" s="97"/>
      <c r="AT14" s="97"/>
      <c r="AU14" s="97"/>
      <c r="AV14" s="97"/>
      <c r="AW14" s="97"/>
      <c r="AX14" s="97"/>
      <c r="AY14" s="97"/>
      <c r="AZ14" s="106"/>
      <c r="BA14" s="106"/>
      <c r="BB14" s="106"/>
      <c r="BC14" s="106"/>
      <c r="BD14" s="106"/>
      <c r="BE14" s="106"/>
      <c r="BF14" s="106"/>
      <c r="BG14" s="106"/>
      <c r="BH14" s="106"/>
      <c r="BI14" s="106"/>
      <c r="BJ14" s="106"/>
      <c r="BK14" s="106"/>
      <c r="BL14" s="106"/>
      <c r="BM14" s="106"/>
      <c r="BN14" s="106"/>
      <c r="BO14" s="106"/>
      <c r="BP14" s="106"/>
      <c r="BQ14" s="106"/>
      <c r="BR14" s="106"/>
      <c r="BS14" s="106"/>
      <c r="BT14" s="106"/>
      <c r="BU14" s="106"/>
      <c r="BV14" s="106"/>
      <c r="BW14" s="106"/>
      <c r="BX14" s="106"/>
      <c r="BY14" s="106"/>
      <c r="BZ14" s="106"/>
      <c r="CA14" s="106"/>
      <c r="CB14" s="106"/>
      <c r="CC14" s="106"/>
      <c r="CD14" s="106"/>
      <c r="CE14" s="106"/>
    </row>
    <row r="15" spans="1:83" x14ac:dyDescent="0.25">
      <c r="A15">
        <v>8</v>
      </c>
      <c r="B15" s="97"/>
      <c r="C15" s="97"/>
      <c r="D15" s="97"/>
      <c r="E15" s="97"/>
      <c r="F15" s="97"/>
      <c r="G15" s="97"/>
      <c r="H15" s="97"/>
      <c r="I15" s="97"/>
      <c r="J15" s="97"/>
      <c r="K15" s="97"/>
      <c r="L15" s="97"/>
      <c r="M15" s="97"/>
      <c r="N15" s="97"/>
      <c r="O15" s="97"/>
      <c r="P15" s="97"/>
      <c r="Q15" s="97"/>
      <c r="R15" s="97"/>
      <c r="S15" s="97"/>
      <c r="T15" s="97"/>
      <c r="U15" s="97"/>
      <c r="V15" s="97"/>
      <c r="W15" s="97"/>
      <c r="X15" s="97"/>
      <c r="Y15" s="97"/>
      <c r="Z15" s="97"/>
      <c r="AA15" s="97"/>
      <c r="AB15" s="97"/>
      <c r="AC15" s="97"/>
      <c r="AD15" s="97"/>
      <c r="AE15" s="97"/>
      <c r="AF15" s="97"/>
      <c r="AG15" s="97"/>
      <c r="AH15" s="97"/>
      <c r="AI15" s="97"/>
      <c r="AJ15" s="97"/>
      <c r="AK15" s="97"/>
      <c r="AL15" s="107"/>
      <c r="AM15" s="97"/>
      <c r="AN15" s="97"/>
      <c r="AO15" s="97"/>
      <c r="AP15" s="97"/>
      <c r="AQ15" s="97"/>
      <c r="AR15" s="97"/>
      <c r="AS15" s="97"/>
      <c r="AT15" s="97"/>
      <c r="AU15" s="97"/>
      <c r="AV15" s="97"/>
      <c r="AW15" s="97"/>
      <c r="AX15" s="97"/>
      <c r="AY15" s="97"/>
      <c r="AZ15" s="106"/>
      <c r="BA15" s="106"/>
      <c r="BB15" s="106"/>
      <c r="BC15" s="106"/>
      <c r="BD15" s="106"/>
      <c r="BE15" s="106"/>
      <c r="BF15" s="106"/>
      <c r="BG15" s="106"/>
      <c r="BH15" s="106"/>
      <c r="BI15" s="106"/>
      <c r="BJ15" s="106"/>
      <c r="BK15" s="106"/>
      <c r="BL15" s="106"/>
      <c r="BM15" s="106"/>
      <c r="BN15" s="106"/>
      <c r="BO15" s="106"/>
      <c r="BP15" s="106"/>
      <c r="BQ15" s="106"/>
      <c r="BR15" s="106"/>
      <c r="BS15" s="106"/>
      <c r="BT15" s="106"/>
      <c r="BU15" s="106"/>
      <c r="BV15" s="106"/>
      <c r="BW15" s="106"/>
      <c r="BX15" s="106"/>
      <c r="BY15" s="106"/>
      <c r="BZ15" s="106"/>
      <c r="CA15" s="106"/>
      <c r="CB15" s="106"/>
      <c r="CC15" s="106"/>
      <c r="CD15" s="106"/>
      <c r="CE15" s="106"/>
    </row>
    <row r="16" spans="1:83" x14ac:dyDescent="0.25">
      <c r="A16">
        <v>9</v>
      </c>
      <c r="B16" s="97"/>
      <c r="C16" s="97"/>
      <c r="D16" s="97"/>
      <c r="E16" s="97"/>
      <c r="F16" s="97"/>
      <c r="G16" s="97"/>
      <c r="H16" s="97"/>
      <c r="I16" s="97"/>
      <c r="J16" s="97"/>
      <c r="K16" s="97"/>
      <c r="L16" s="97"/>
      <c r="M16" s="97"/>
      <c r="N16" s="97"/>
      <c r="O16" s="97"/>
      <c r="P16" s="97"/>
      <c r="Q16" s="97"/>
      <c r="R16" s="97"/>
      <c r="S16" s="97"/>
      <c r="T16" s="97"/>
      <c r="U16" s="97"/>
      <c r="V16" s="97"/>
      <c r="W16" s="97"/>
      <c r="X16" s="97"/>
      <c r="Y16" s="97"/>
      <c r="Z16" s="97"/>
      <c r="AA16" s="97"/>
      <c r="AB16" s="97"/>
      <c r="AC16" s="97"/>
      <c r="AD16" s="97"/>
      <c r="AE16" s="97"/>
      <c r="AF16" s="97"/>
      <c r="AG16" s="97"/>
      <c r="AH16" s="97"/>
      <c r="AI16" s="97"/>
      <c r="AJ16" s="97"/>
      <c r="AK16" s="97"/>
      <c r="AL16" s="107"/>
      <c r="AM16" s="97"/>
      <c r="AN16" s="97"/>
      <c r="AO16" s="97"/>
      <c r="AP16" s="97"/>
      <c r="AQ16" s="97"/>
      <c r="AR16" s="97"/>
      <c r="AS16" s="97"/>
      <c r="AT16" s="97"/>
      <c r="AU16" s="97"/>
      <c r="AV16" s="97"/>
      <c r="AW16" s="97"/>
      <c r="AX16" s="97"/>
      <c r="AY16" s="97"/>
      <c r="AZ16" s="106"/>
      <c r="BA16" s="106"/>
      <c r="BB16" s="106"/>
      <c r="BC16" s="106"/>
      <c r="BD16" s="106"/>
      <c r="BE16" s="106"/>
      <c r="BF16" s="106"/>
      <c r="BG16" s="106"/>
      <c r="BH16" s="106"/>
      <c r="BI16" s="106"/>
      <c r="BJ16" s="106"/>
      <c r="BK16" s="106"/>
      <c r="BL16" s="106"/>
      <c r="BM16" s="106"/>
      <c r="BN16" s="106"/>
      <c r="BO16" s="106"/>
      <c r="BP16" s="106"/>
      <c r="BQ16" s="106"/>
      <c r="BR16" s="106"/>
      <c r="BS16" s="106"/>
      <c r="BT16" s="106"/>
      <c r="BU16" s="106"/>
      <c r="BV16" s="106"/>
      <c r="BW16" s="106"/>
      <c r="BX16" s="106"/>
      <c r="BY16" s="106"/>
      <c r="BZ16" s="106"/>
      <c r="CA16" s="106"/>
      <c r="CB16" s="106"/>
      <c r="CC16" s="106"/>
      <c r="CD16" s="106"/>
      <c r="CE16" s="106"/>
    </row>
    <row r="17" spans="1:83" x14ac:dyDescent="0.25">
      <c r="A17">
        <v>10</v>
      </c>
      <c r="B17" s="97"/>
      <c r="C17" s="97"/>
      <c r="D17" s="97"/>
      <c r="E17" s="97"/>
      <c r="F17" s="97"/>
      <c r="G17" s="97"/>
      <c r="H17" s="97"/>
      <c r="I17" s="97"/>
      <c r="J17" s="97"/>
      <c r="K17" s="97"/>
      <c r="L17" s="97"/>
      <c r="M17" s="97"/>
      <c r="N17" s="97"/>
      <c r="O17" s="97"/>
      <c r="P17" s="97"/>
      <c r="Q17" s="97"/>
      <c r="R17" s="97"/>
      <c r="S17" s="97"/>
      <c r="T17" s="97"/>
      <c r="U17" s="97"/>
      <c r="V17" s="97"/>
      <c r="W17" s="97"/>
      <c r="X17" s="97"/>
      <c r="Y17" s="97"/>
      <c r="Z17" s="97"/>
      <c r="AA17" s="97"/>
      <c r="AB17" s="97"/>
      <c r="AC17" s="97"/>
      <c r="AD17" s="97"/>
      <c r="AE17" s="97"/>
      <c r="AF17" s="97"/>
      <c r="AG17" s="97"/>
      <c r="AH17" s="97"/>
      <c r="AI17" s="97"/>
      <c r="AJ17" s="97"/>
      <c r="AK17" s="97"/>
      <c r="AL17" s="107"/>
      <c r="AM17" s="97"/>
      <c r="AN17" s="97"/>
      <c r="AO17" s="97"/>
      <c r="AP17" s="97"/>
      <c r="AQ17" s="97"/>
      <c r="AR17" s="97"/>
      <c r="AS17" s="97"/>
      <c r="AT17" s="97"/>
      <c r="AU17" s="97"/>
      <c r="AV17" s="97"/>
      <c r="AW17" s="97"/>
      <c r="AX17" s="97"/>
      <c r="AY17" s="97"/>
      <c r="AZ17" s="106"/>
      <c r="BA17" s="106"/>
      <c r="BB17" s="106"/>
      <c r="BC17" s="106"/>
      <c r="BD17" s="106"/>
      <c r="BE17" s="106"/>
      <c r="BF17" s="106"/>
      <c r="BG17" s="106"/>
      <c r="BH17" s="106"/>
      <c r="BI17" s="106"/>
      <c r="BJ17" s="106"/>
      <c r="BK17" s="106"/>
      <c r="BL17" s="106"/>
      <c r="BM17" s="106"/>
      <c r="BN17" s="106"/>
      <c r="BO17" s="106"/>
      <c r="BP17" s="106"/>
      <c r="BQ17" s="106"/>
      <c r="BR17" s="106"/>
      <c r="BS17" s="106"/>
      <c r="BT17" s="106"/>
      <c r="BU17" s="106"/>
      <c r="BV17" s="106"/>
      <c r="BW17" s="106"/>
      <c r="BX17" s="106"/>
      <c r="BY17" s="106"/>
      <c r="BZ17" s="106"/>
      <c r="CA17" s="106"/>
      <c r="CB17" s="106"/>
      <c r="CC17" s="106"/>
      <c r="CD17" s="106"/>
      <c r="CE17" s="106"/>
    </row>
    <row r="18" spans="1:83" x14ac:dyDescent="0.25">
      <c r="A18">
        <v>11</v>
      </c>
      <c r="B18" s="97"/>
      <c r="C18" s="97"/>
      <c r="D18" s="97"/>
      <c r="E18" s="97"/>
      <c r="F18" s="97"/>
      <c r="G18" s="97"/>
      <c r="H18" s="97"/>
      <c r="I18" s="97"/>
      <c r="J18" s="112"/>
      <c r="K18" s="97"/>
      <c r="L18" s="97"/>
      <c r="M18" s="97"/>
      <c r="N18" s="97"/>
      <c r="O18" s="97"/>
      <c r="P18" s="97"/>
      <c r="Q18" s="97"/>
      <c r="R18" s="97"/>
      <c r="S18" s="97"/>
      <c r="T18" s="97"/>
      <c r="U18" s="97"/>
      <c r="V18" s="97"/>
      <c r="W18" s="112"/>
      <c r="X18" s="97"/>
      <c r="Y18" s="97"/>
      <c r="Z18" s="97"/>
      <c r="AA18" s="97"/>
      <c r="AB18" s="97"/>
      <c r="AC18" s="97"/>
      <c r="AD18" s="97"/>
      <c r="AE18" s="97"/>
      <c r="AF18" s="97"/>
      <c r="AG18" s="97"/>
      <c r="AH18" s="97"/>
      <c r="AI18" s="97"/>
      <c r="AJ18" s="97"/>
      <c r="AK18" s="97"/>
      <c r="AL18" s="107"/>
      <c r="AM18" s="97"/>
      <c r="AN18" s="97"/>
      <c r="AO18" s="97"/>
      <c r="AP18" s="97"/>
      <c r="AQ18" s="97"/>
      <c r="AR18" s="97"/>
      <c r="AS18" s="97"/>
      <c r="AT18" s="97"/>
      <c r="AU18" s="97"/>
      <c r="AV18" s="97"/>
      <c r="AW18" s="97"/>
      <c r="AX18" s="97"/>
      <c r="AY18" s="97"/>
      <c r="AZ18" s="106"/>
      <c r="BA18" s="106"/>
      <c r="BB18" s="106"/>
      <c r="BC18" s="106"/>
      <c r="BD18" s="106"/>
      <c r="BE18" s="106"/>
      <c r="BF18" s="106"/>
      <c r="BG18" s="106"/>
      <c r="BH18" s="106"/>
      <c r="BI18" s="106"/>
      <c r="BJ18" s="106"/>
      <c r="BK18" s="106"/>
      <c r="BL18" s="106"/>
      <c r="BM18" s="106"/>
      <c r="BN18" s="106"/>
      <c r="BO18" s="106"/>
      <c r="BP18" s="106"/>
      <c r="BQ18" s="106"/>
      <c r="BR18" s="106"/>
      <c r="BS18" s="106"/>
      <c r="BT18" s="106"/>
      <c r="BU18" s="106"/>
      <c r="BV18" s="106"/>
      <c r="BW18" s="106"/>
      <c r="BX18" s="106"/>
      <c r="BY18" s="106"/>
      <c r="BZ18" s="106"/>
      <c r="CA18" s="106"/>
      <c r="CB18" s="106"/>
      <c r="CC18" s="106"/>
      <c r="CD18" s="106"/>
      <c r="CE18" s="106"/>
    </row>
    <row r="19" spans="1:83" x14ac:dyDescent="0.25">
      <c r="A19">
        <v>12</v>
      </c>
      <c r="B19" s="97"/>
      <c r="C19" s="97"/>
      <c r="D19" s="97"/>
      <c r="E19" s="97"/>
      <c r="F19" s="97"/>
      <c r="G19" s="97"/>
      <c r="H19" s="97"/>
      <c r="I19" s="97"/>
      <c r="J19" s="97"/>
      <c r="K19" s="97"/>
      <c r="L19" s="97"/>
      <c r="M19" s="97"/>
      <c r="N19" s="97"/>
      <c r="O19" s="97"/>
      <c r="P19" s="97"/>
      <c r="Q19" s="97"/>
      <c r="R19" s="97"/>
      <c r="S19" s="97"/>
      <c r="T19" s="97"/>
      <c r="U19" s="97"/>
      <c r="V19" s="97"/>
      <c r="W19" s="97"/>
      <c r="X19" s="97"/>
      <c r="Y19" s="97"/>
      <c r="Z19" s="97"/>
      <c r="AA19" s="97"/>
      <c r="AB19" s="97"/>
      <c r="AC19" s="97"/>
      <c r="AD19" s="97"/>
      <c r="AE19" s="97"/>
      <c r="AF19" s="97"/>
      <c r="AG19" s="97"/>
      <c r="AH19" s="97"/>
      <c r="AI19" s="97"/>
      <c r="AJ19" s="97"/>
      <c r="AK19" s="97"/>
      <c r="AL19" s="107"/>
      <c r="AM19" s="97"/>
      <c r="AN19" s="97"/>
      <c r="AO19" s="97"/>
      <c r="AP19" s="97"/>
      <c r="AQ19" s="97"/>
      <c r="AR19" s="97"/>
      <c r="AS19" s="97"/>
      <c r="AT19" s="97"/>
      <c r="AU19" s="97"/>
      <c r="AV19" s="97"/>
      <c r="AW19" s="97"/>
      <c r="AX19" s="97"/>
      <c r="AY19" s="97"/>
      <c r="AZ19" s="106"/>
      <c r="BA19" s="106"/>
      <c r="BB19" s="106"/>
      <c r="BC19" s="106"/>
      <c r="BD19" s="106"/>
      <c r="BE19" s="106"/>
      <c r="BF19" s="106"/>
      <c r="BG19" s="106"/>
      <c r="BH19" s="106"/>
      <c r="BI19" s="106"/>
      <c r="BJ19" s="106"/>
      <c r="BK19" s="106"/>
      <c r="BL19" s="106"/>
      <c r="BM19" s="106"/>
      <c r="BN19" s="106"/>
      <c r="BO19" s="106"/>
      <c r="BP19" s="106"/>
      <c r="BQ19" s="106"/>
      <c r="BR19" s="106"/>
      <c r="BS19" s="106"/>
      <c r="BT19" s="106"/>
      <c r="BU19" s="106"/>
      <c r="BV19" s="106"/>
      <c r="BW19" s="106"/>
      <c r="BX19" s="106"/>
      <c r="BY19" s="106"/>
      <c r="BZ19" s="106"/>
      <c r="CA19" s="106"/>
      <c r="CB19" s="106"/>
      <c r="CC19" s="106"/>
      <c r="CD19" s="106"/>
      <c r="CE19" s="106"/>
    </row>
    <row r="20" spans="1:83" x14ac:dyDescent="0.25">
      <c r="A20">
        <v>13</v>
      </c>
      <c r="B20" s="97"/>
      <c r="C20" s="97"/>
      <c r="D20" s="97"/>
      <c r="E20" s="97"/>
      <c r="F20" s="97"/>
      <c r="G20" s="97"/>
      <c r="H20" s="97"/>
      <c r="I20" s="97"/>
      <c r="J20" s="97"/>
      <c r="K20" s="97"/>
      <c r="L20" s="97"/>
      <c r="M20" s="97"/>
      <c r="N20" s="97"/>
      <c r="O20" s="97"/>
      <c r="P20" s="97"/>
      <c r="Q20" s="97"/>
      <c r="R20" s="97"/>
      <c r="S20" s="97"/>
      <c r="T20" s="97"/>
      <c r="U20" s="97"/>
      <c r="V20" s="97"/>
      <c r="W20" s="97"/>
      <c r="X20" s="97"/>
      <c r="Y20" s="97"/>
      <c r="Z20" s="97"/>
      <c r="AA20" s="97"/>
      <c r="AB20" s="97"/>
      <c r="AC20" s="97"/>
      <c r="AD20" s="97"/>
      <c r="AE20" s="97"/>
      <c r="AF20" s="97"/>
      <c r="AG20" s="97"/>
      <c r="AH20" s="97"/>
      <c r="AI20" s="97"/>
      <c r="AJ20" s="97"/>
      <c r="AK20" s="97"/>
      <c r="AL20" s="107"/>
      <c r="AM20" s="97"/>
      <c r="AN20" s="97"/>
      <c r="AO20" s="97"/>
      <c r="AP20" s="97"/>
      <c r="AQ20" s="97"/>
      <c r="AR20" s="97"/>
      <c r="AS20" s="97"/>
      <c r="AT20" s="97"/>
      <c r="AU20" s="97"/>
      <c r="AV20" s="97"/>
      <c r="AW20" s="97"/>
      <c r="AX20" s="97"/>
      <c r="AY20" s="97"/>
      <c r="AZ20" s="106"/>
      <c r="BA20" s="106"/>
      <c r="BB20" s="106"/>
      <c r="BC20" s="106"/>
      <c r="BD20" s="106"/>
      <c r="BE20" s="106"/>
      <c r="BF20" s="106"/>
      <c r="BG20" s="106"/>
      <c r="BH20" s="106"/>
      <c r="BI20" s="106"/>
      <c r="BJ20" s="106"/>
      <c r="BK20" s="106"/>
      <c r="BL20" s="106"/>
      <c r="BM20" s="106"/>
      <c r="BN20" s="106"/>
      <c r="BO20" s="106"/>
      <c r="BP20" s="106"/>
      <c r="BQ20" s="106"/>
      <c r="BR20" s="106"/>
      <c r="BS20" s="106"/>
      <c r="BT20" s="106"/>
      <c r="BU20" s="106"/>
      <c r="BV20" s="106"/>
      <c r="BW20" s="106"/>
      <c r="BX20" s="106"/>
      <c r="BY20" s="106"/>
      <c r="BZ20" s="106"/>
      <c r="CA20" s="106"/>
      <c r="CB20" s="106"/>
      <c r="CC20" s="106"/>
      <c r="CD20" s="106"/>
      <c r="CE20" s="106"/>
    </row>
    <row r="21" spans="1:83" x14ac:dyDescent="0.25">
      <c r="A21">
        <v>14</v>
      </c>
      <c r="B21" s="97"/>
      <c r="C21" s="97"/>
      <c r="D21" s="97"/>
      <c r="E21" s="97"/>
      <c r="F21" s="97"/>
      <c r="G21" s="97"/>
      <c r="H21" s="97"/>
      <c r="I21" s="97"/>
      <c r="J21" s="97"/>
      <c r="K21" s="97"/>
      <c r="L21" s="97"/>
      <c r="M21" s="97"/>
      <c r="N21" s="97"/>
      <c r="O21" s="97"/>
      <c r="P21" s="97"/>
      <c r="Q21" s="97"/>
      <c r="R21" s="97"/>
      <c r="S21" s="97"/>
      <c r="T21" s="97"/>
      <c r="U21" s="97"/>
      <c r="V21" s="97"/>
      <c r="W21" s="97"/>
      <c r="X21" s="97"/>
      <c r="Y21" s="97"/>
      <c r="Z21" s="97"/>
      <c r="AA21" s="97"/>
      <c r="AB21" s="97"/>
      <c r="AC21" s="97"/>
      <c r="AD21" s="97"/>
      <c r="AE21" s="97"/>
      <c r="AF21" s="97"/>
      <c r="AG21" s="97"/>
      <c r="AH21" s="97"/>
      <c r="AI21" s="97"/>
      <c r="AJ21" s="97"/>
      <c r="AK21" s="97"/>
      <c r="AL21" s="107"/>
      <c r="AM21" s="97"/>
      <c r="AN21" s="97"/>
      <c r="AO21" s="97"/>
      <c r="AP21" s="97"/>
      <c r="AQ21" s="97"/>
      <c r="AR21" s="97"/>
      <c r="AS21" s="97"/>
      <c r="AT21" s="97"/>
      <c r="AU21" s="97"/>
      <c r="AV21" s="97"/>
      <c r="AW21" s="97"/>
      <c r="AX21" s="97"/>
      <c r="AY21" s="97"/>
      <c r="AZ21" s="106"/>
      <c r="BA21" s="106"/>
      <c r="BB21" s="106"/>
      <c r="BC21" s="106"/>
      <c r="BD21" s="106"/>
      <c r="BE21" s="106"/>
      <c r="BF21" s="106"/>
      <c r="BG21" s="106"/>
      <c r="BH21" s="106"/>
      <c r="BI21" s="106"/>
      <c r="BJ21" s="106"/>
      <c r="BK21" s="106"/>
      <c r="BL21" s="106"/>
      <c r="BM21" s="106"/>
      <c r="BN21" s="106"/>
      <c r="BO21" s="106"/>
      <c r="BP21" s="106"/>
      <c r="BQ21" s="106"/>
      <c r="BR21" s="106"/>
      <c r="BS21" s="106"/>
      <c r="BT21" s="106"/>
      <c r="BU21" s="106"/>
      <c r="BV21" s="106"/>
      <c r="BW21" s="106"/>
      <c r="BX21" s="106"/>
      <c r="BY21" s="106"/>
      <c r="BZ21" s="106"/>
      <c r="CA21" s="106"/>
      <c r="CB21" s="106"/>
      <c r="CC21" s="106"/>
      <c r="CD21" s="106"/>
      <c r="CE21" s="106"/>
    </row>
    <row r="22" spans="1:83" x14ac:dyDescent="0.25">
      <c r="A22">
        <v>15</v>
      </c>
      <c r="B22" s="97"/>
      <c r="C22" s="97"/>
      <c r="D22" s="97"/>
      <c r="E22" s="97"/>
      <c r="F22" s="97"/>
      <c r="G22" s="97"/>
      <c r="H22" s="97"/>
      <c r="I22" s="97"/>
      <c r="J22" s="97"/>
      <c r="K22" s="97"/>
      <c r="L22" s="97"/>
      <c r="M22" s="97"/>
      <c r="N22" s="97"/>
      <c r="O22" s="97"/>
      <c r="P22" s="97"/>
      <c r="Q22" s="97"/>
      <c r="R22" s="97"/>
      <c r="S22" s="97"/>
      <c r="T22" s="97"/>
      <c r="U22" s="97"/>
      <c r="V22" s="97"/>
      <c r="W22" s="97"/>
      <c r="X22" s="97"/>
      <c r="Y22" s="97"/>
      <c r="Z22" s="97"/>
      <c r="AA22" s="97"/>
      <c r="AB22" s="97"/>
      <c r="AC22" s="97"/>
      <c r="AD22" s="97"/>
      <c r="AE22" s="97"/>
      <c r="AF22" s="97"/>
      <c r="AG22" s="97"/>
      <c r="AH22" s="97"/>
      <c r="AI22" s="97"/>
      <c r="AJ22" s="97"/>
      <c r="AK22" s="97"/>
      <c r="AL22" s="107"/>
      <c r="AM22" s="97"/>
      <c r="AN22" s="97"/>
      <c r="AO22" s="97"/>
      <c r="AP22" s="97"/>
      <c r="AQ22" s="97"/>
      <c r="AR22" s="97"/>
      <c r="AS22" s="97"/>
      <c r="AT22" s="97"/>
      <c r="AU22" s="97"/>
      <c r="AV22" s="97"/>
      <c r="AW22" s="97"/>
      <c r="AX22" s="97"/>
      <c r="AY22" s="97"/>
      <c r="AZ22" s="106"/>
      <c r="BA22" s="106"/>
      <c r="BB22" s="106"/>
      <c r="BC22" s="106"/>
      <c r="BD22" s="106"/>
      <c r="BE22" s="106"/>
      <c r="BF22" s="106"/>
      <c r="BG22" s="106"/>
      <c r="BH22" s="106"/>
      <c r="BI22" s="106"/>
      <c r="BJ22" s="106"/>
      <c r="BK22" s="106"/>
      <c r="BL22" s="106"/>
      <c r="BM22" s="106"/>
      <c r="BN22" s="106"/>
      <c r="BO22" s="106"/>
      <c r="BP22" s="106"/>
      <c r="BQ22" s="106"/>
      <c r="BR22" s="106"/>
      <c r="BS22" s="106"/>
      <c r="BT22" s="106"/>
      <c r="BU22" s="106"/>
      <c r="BV22" s="106"/>
      <c r="BW22" s="106"/>
      <c r="BX22" s="106"/>
      <c r="BY22" s="106"/>
      <c r="BZ22" s="106"/>
      <c r="CA22" s="106"/>
      <c r="CB22" s="106"/>
      <c r="CC22" s="106"/>
      <c r="CD22" s="106"/>
      <c r="CE22" s="106"/>
    </row>
    <row r="23" spans="1:83" x14ac:dyDescent="0.25">
      <c r="A23">
        <v>16</v>
      </c>
      <c r="B23" s="97"/>
      <c r="C23" s="97"/>
      <c r="D23" s="97"/>
      <c r="E23" s="97"/>
      <c r="F23" s="97"/>
      <c r="G23" s="97"/>
      <c r="H23" s="97"/>
      <c r="I23" s="97"/>
      <c r="J23" s="97"/>
      <c r="K23" s="97"/>
      <c r="L23" s="97"/>
      <c r="M23" s="97"/>
      <c r="N23" s="97"/>
      <c r="O23" s="97"/>
      <c r="P23" s="97"/>
      <c r="Q23" s="97"/>
      <c r="R23" s="97"/>
      <c r="S23" s="97"/>
      <c r="T23" s="97"/>
      <c r="U23" s="97"/>
      <c r="V23" s="97"/>
      <c r="W23" s="97"/>
      <c r="X23" s="97"/>
      <c r="Y23" s="97"/>
      <c r="Z23" s="97"/>
      <c r="AA23" s="97"/>
      <c r="AB23" s="97"/>
      <c r="AC23" s="97"/>
      <c r="AD23" s="97"/>
      <c r="AE23" s="97"/>
      <c r="AF23" s="97"/>
      <c r="AG23" s="97"/>
      <c r="AH23" s="97"/>
      <c r="AI23" s="97"/>
      <c r="AJ23" s="97"/>
      <c r="AK23" s="97"/>
      <c r="AL23" s="107"/>
      <c r="AM23" s="97"/>
      <c r="AN23" s="97"/>
      <c r="AO23" s="97"/>
      <c r="AP23" s="97"/>
      <c r="AQ23" s="97"/>
      <c r="AR23" s="97"/>
      <c r="AS23" s="97"/>
      <c r="AT23" s="97"/>
      <c r="AU23" s="97"/>
      <c r="AV23" s="97"/>
      <c r="AW23" s="97"/>
      <c r="AX23" s="97"/>
      <c r="AY23" s="97"/>
      <c r="AZ23" s="106"/>
      <c r="BA23" s="106"/>
      <c r="BB23" s="106"/>
      <c r="BC23" s="106"/>
      <c r="BD23" s="106"/>
      <c r="BE23" s="106"/>
      <c r="BF23" s="106"/>
      <c r="BG23" s="106"/>
      <c r="BH23" s="106"/>
      <c r="BI23" s="106"/>
      <c r="BJ23" s="106"/>
      <c r="BK23" s="106"/>
      <c r="BL23" s="106"/>
      <c r="BM23" s="106"/>
      <c r="BN23" s="106"/>
      <c r="BO23" s="106"/>
      <c r="BP23" s="106"/>
      <c r="BQ23" s="106"/>
      <c r="BR23" s="106"/>
      <c r="BS23" s="106"/>
      <c r="BT23" s="106"/>
      <c r="BU23" s="106"/>
      <c r="BV23" s="106"/>
      <c r="BW23" s="106"/>
      <c r="BX23" s="106"/>
      <c r="BY23" s="106"/>
      <c r="BZ23" s="106"/>
      <c r="CA23" s="106"/>
      <c r="CB23" s="106"/>
      <c r="CC23" s="106"/>
      <c r="CD23" s="106"/>
      <c r="CE23" s="106"/>
    </row>
    <row r="24" spans="1:83" x14ac:dyDescent="0.25">
      <c r="A24">
        <v>17</v>
      </c>
      <c r="B24" s="97"/>
      <c r="C24" s="97"/>
      <c r="D24" s="97"/>
      <c r="E24" s="97"/>
      <c r="F24" s="97"/>
      <c r="G24" s="97"/>
      <c r="H24" s="97"/>
      <c r="I24" s="97"/>
      <c r="J24" s="97"/>
      <c r="K24" s="97"/>
      <c r="L24" s="97"/>
      <c r="M24" s="97"/>
      <c r="N24" s="97"/>
      <c r="O24" s="112"/>
      <c r="P24" s="97"/>
      <c r="Q24" s="97"/>
      <c r="R24" s="97"/>
      <c r="S24" s="97"/>
      <c r="T24" s="97"/>
      <c r="U24" s="97"/>
      <c r="V24" s="97"/>
      <c r="W24" s="97"/>
      <c r="X24" s="97"/>
      <c r="Y24" s="97"/>
      <c r="Z24" s="97"/>
      <c r="AA24" s="97"/>
      <c r="AB24" s="97"/>
      <c r="AC24" s="97"/>
      <c r="AD24" s="97"/>
      <c r="AE24" s="112"/>
      <c r="AF24" s="97"/>
      <c r="AG24" s="97"/>
      <c r="AH24" s="97"/>
      <c r="AI24" s="97"/>
      <c r="AJ24" s="97"/>
      <c r="AK24" s="97"/>
      <c r="AL24" s="97"/>
      <c r="AM24" s="107"/>
      <c r="AN24" s="97"/>
      <c r="AO24" s="97"/>
      <c r="AP24" s="97"/>
      <c r="AQ24" s="97"/>
      <c r="AR24" s="97"/>
      <c r="AS24" s="97"/>
      <c r="AT24" s="97"/>
      <c r="AU24" s="97"/>
      <c r="AV24" s="97"/>
      <c r="AW24" s="97"/>
      <c r="AX24" s="97"/>
      <c r="AY24" s="97"/>
      <c r="AZ24" s="106"/>
      <c r="BA24" s="106"/>
      <c r="BB24" s="106"/>
      <c r="BC24" s="106"/>
      <c r="BD24" s="106"/>
      <c r="BE24" s="106"/>
      <c r="BF24" s="106"/>
      <c r="BG24" s="106"/>
      <c r="BH24" s="106"/>
      <c r="BI24" s="106"/>
      <c r="BJ24" s="106"/>
      <c r="BK24" s="106"/>
      <c r="BL24" s="106"/>
      <c r="BM24" s="106"/>
      <c r="BN24" s="106"/>
      <c r="BO24" s="106"/>
      <c r="BP24" s="106"/>
      <c r="BQ24" s="106"/>
      <c r="BR24" s="106"/>
      <c r="BS24" s="106"/>
      <c r="BT24" s="106"/>
      <c r="BU24" s="106"/>
      <c r="BV24" s="106"/>
      <c r="BW24" s="106"/>
      <c r="BX24" s="106"/>
      <c r="BY24" s="106"/>
      <c r="BZ24" s="106"/>
      <c r="CA24" s="106"/>
      <c r="CB24" s="106"/>
      <c r="CC24" s="106"/>
      <c r="CD24" s="106"/>
      <c r="CE24" s="106"/>
    </row>
    <row r="25" spans="1:83" x14ac:dyDescent="0.25">
      <c r="A25">
        <v>18</v>
      </c>
      <c r="B25" s="97"/>
      <c r="C25" s="97"/>
      <c r="D25" s="97"/>
      <c r="E25" s="97"/>
      <c r="F25" s="97"/>
      <c r="G25" s="97"/>
      <c r="H25" s="97"/>
      <c r="I25" s="97"/>
      <c r="J25" s="97"/>
      <c r="K25" s="97"/>
      <c r="L25" s="97"/>
      <c r="M25" s="97"/>
      <c r="N25" s="97"/>
      <c r="O25" s="97"/>
      <c r="P25" s="97"/>
      <c r="Q25" s="97"/>
      <c r="R25" s="97"/>
      <c r="S25" s="97"/>
      <c r="T25" s="97"/>
      <c r="U25" s="97"/>
      <c r="V25" s="97"/>
      <c r="W25" s="97"/>
      <c r="X25" s="97"/>
      <c r="Y25" s="97"/>
      <c r="Z25" s="97"/>
      <c r="AA25" s="97"/>
      <c r="AB25" s="97"/>
      <c r="AC25" s="97"/>
      <c r="AD25" s="97"/>
      <c r="AE25" s="97"/>
      <c r="AF25" s="97"/>
      <c r="AG25" s="97"/>
      <c r="AH25" s="97"/>
      <c r="AI25" s="97"/>
      <c r="AJ25" s="97"/>
      <c r="AK25" s="97"/>
      <c r="AL25" s="107"/>
      <c r="AM25" s="97"/>
      <c r="AN25" s="97"/>
      <c r="AO25" s="97"/>
      <c r="AP25" s="97"/>
      <c r="AQ25" s="97"/>
      <c r="AR25" s="97"/>
      <c r="AS25" s="97"/>
      <c r="AT25" s="97"/>
      <c r="AU25" s="97"/>
      <c r="AV25" s="97"/>
      <c r="AW25" s="97"/>
      <c r="AX25" s="97"/>
      <c r="AY25" s="97"/>
      <c r="AZ25" s="106"/>
      <c r="BA25" s="106"/>
      <c r="BB25" s="106"/>
      <c r="BC25" s="106"/>
      <c r="BD25" s="106"/>
      <c r="BE25" s="106"/>
      <c r="BF25" s="106"/>
      <c r="BG25" s="106"/>
      <c r="BH25" s="106"/>
      <c r="BI25" s="106"/>
      <c r="BJ25" s="106"/>
      <c r="BK25" s="106"/>
      <c r="BL25" s="106"/>
      <c r="BM25" s="106"/>
      <c r="BN25" s="106"/>
      <c r="BO25" s="106"/>
      <c r="BP25" s="106"/>
      <c r="BQ25" s="106"/>
      <c r="BR25" s="106"/>
      <c r="BS25" s="106"/>
      <c r="BT25" s="106"/>
      <c r="BU25" s="106"/>
      <c r="BV25" s="106"/>
      <c r="BW25" s="106"/>
      <c r="BX25" s="106"/>
      <c r="BY25" s="106"/>
      <c r="BZ25" s="106"/>
      <c r="CA25" s="106"/>
      <c r="CB25" s="106"/>
      <c r="CC25" s="106"/>
      <c r="CD25" s="106"/>
      <c r="CE25" s="106"/>
    </row>
    <row r="26" spans="1:83" x14ac:dyDescent="0.25">
      <c r="A26">
        <v>19</v>
      </c>
      <c r="B26" s="97"/>
      <c r="C26" s="97"/>
      <c r="D26" s="97"/>
      <c r="E26" s="97"/>
      <c r="F26" s="97"/>
      <c r="G26" s="97"/>
      <c r="H26" s="97"/>
      <c r="I26" s="97"/>
      <c r="J26" s="97"/>
      <c r="K26" s="97"/>
      <c r="L26" s="97"/>
      <c r="M26" s="97"/>
      <c r="N26" s="97"/>
      <c r="O26" s="97"/>
      <c r="P26" s="97"/>
      <c r="Q26" s="97"/>
      <c r="R26" s="97"/>
      <c r="S26" s="97"/>
      <c r="T26" s="97"/>
      <c r="U26" s="97"/>
      <c r="V26" s="97"/>
      <c r="W26" s="97"/>
      <c r="X26" s="97"/>
      <c r="Y26" s="97"/>
      <c r="Z26" s="97"/>
      <c r="AA26" s="97"/>
      <c r="AB26" s="97"/>
      <c r="AC26" s="97"/>
      <c r="AD26" s="97"/>
      <c r="AE26" s="97"/>
      <c r="AF26" s="97"/>
      <c r="AG26" s="97"/>
      <c r="AH26" s="97"/>
      <c r="AI26" s="97"/>
      <c r="AJ26" s="97"/>
      <c r="AK26" s="97"/>
      <c r="AL26" s="107"/>
      <c r="AM26" s="97"/>
      <c r="AN26" s="97"/>
      <c r="AO26" s="97"/>
      <c r="AP26" s="97"/>
      <c r="AQ26" s="97"/>
      <c r="AR26" s="97"/>
      <c r="AS26" s="97"/>
      <c r="AT26" s="97"/>
      <c r="AU26" s="97"/>
      <c r="AV26" s="97"/>
      <c r="AW26" s="97"/>
      <c r="AX26" s="97"/>
      <c r="AY26" s="97"/>
      <c r="AZ26" s="106"/>
      <c r="BA26" s="106"/>
      <c r="BB26" s="106"/>
      <c r="BC26" s="106"/>
      <c r="BD26" s="106"/>
      <c r="BE26" s="106"/>
      <c r="BF26" s="106"/>
      <c r="BG26" s="106"/>
      <c r="BH26" s="106"/>
      <c r="BI26" s="106"/>
      <c r="BJ26" s="106"/>
      <c r="BK26" s="106"/>
      <c r="BL26" s="106"/>
      <c r="BM26" s="106"/>
      <c r="BN26" s="106"/>
      <c r="BO26" s="106"/>
      <c r="BP26" s="106"/>
      <c r="BQ26" s="106"/>
      <c r="BR26" s="106"/>
      <c r="BS26" s="106"/>
      <c r="BT26" s="106"/>
      <c r="BU26" s="106"/>
      <c r="BV26" s="106"/>
      <c r="BW26" s="106"/>
      <c r="BX26" s="106"/>
      <c r="BY26" s="106"/>
      <c r="BZ26" s="106"/>
      <c r="CA26" s="106"/>
      <c r="CB26" s="106"/>
      <c r="CC26" s="106"/>
      <c r="CD26" s="106"/>
      <c r="CE26" s="106"/>
    </row>
    <row r="27" spans="1:83" x14ac:dyDescent="0.25">
      <c r="A27">
        <v>20</v>
      </c>
      <c r="B27" s="97"/>
      <c r="C27" s="97"/>
      <c r="D27" s="97"/>
      <c r="E27" s="97"/>
      <c r="F27" s="97"/>
      <c r="G27" s="97"/>
      <c r="H27" s="97"/>
      <c r="I27" s="97"/>
      <c r="J27" s="97"/>
      <c r="K27" s="97"/>
      <c r="L27" s="97"/>
      <c r="M27" s="97"/>
      <c r="N27" s="97"/>
      <c r="O27" s="97"/>
      <c r="P27" s="97"/>
      <c r="Q27" s="97"/>
      <c r="R27" s="97"/>
      <c r="S27" s="97"/>
      <c r="T27" s="97"/>
      <c r="U27" s="97"/>
      <c r="V27" s="97"/>
      <c r="W27" s="97"/>
      <c r="X27" s="97"/>
      <c r="Y27" s="97"/>
      <c r="Z27" s="97"/>
      <c r="AA27" s="97"/>
      <c r="AB27" s="97"/>
      <c r="AC27" s="97"/>
      <c r="AD27" s="97"/>
      <c r="AE27" s="97"/>
      <c r="AF27" s="97"/>
      <c r="AG27" s="97"/>
      <c r="AH27" s="97"/>
      <c r="AI27" s="97"/>
      <c r="AJ27" s="97"/>
      <c r="AK27" s="97"/>
      <c r="AL27" s="107"/>
      <c r="AM27" s="97"/>
      <c r="AN27" s="97"/>
      <c r="AO27" s="97"/>
      <c r="AP27" s="97"/>
      <c r="AQ27" s="97"/>
      <c r="AR27" s="97"/>
      <c r="AS27" s="97"/>
      <c r="AT27" s="97"/>
      <c r="AU27" s="97"/>
      <c r="AV27" s="97"/>
      <c r="AW27" s="97"/>
      <c r="AX27" s="97"/>
      <c r="AY27" s="97"/>
      <c r="AZ27" s="106"/>
      <c r="BA27" s="106"/>
      <c r="BB27" s="106"/>
      <c r="BC27" s="106"/>
      <c r="BD27" s="106"/>
      <c r="BE27" s="106"/>
      <c r="BF27" s="106"/>
      <c r="BG27" s="106"/>
      <c r="BH27" s="106"/>
      <c r="BI27" s="106"/>
      <c r="BJ27" s="106"/>
      <c r="BK27" s="106"/>
      <c r="BL27" s="106"/>
      <c r="BM27" s="106"/>
      <c r="BN27" s="106"/>
      <c r="BO27" s="106"/>
      <c r="BP27" s="106"/>
      <c r="BQ27" s="106"/>
      <c r="BR27" s="106"/>
      <c r="BS27" s="106"/>
      <c r="BT27" s="106"/>
      <c r="BU27" s="106"/>
      <c r="BV27" s="106"/>
      <c r="BW27" s="106"/>
      <c r="BX27" s="106"/>
      <c r="BY27" s="106"/>
      <c r="BZ27" s="106"/>
      <c r="CA27" s="106"/>
      <c r="CB27" s="106"/>
      <c r="CC27" s="106"/>
      <c r="CD27" s="106"/>
      <c r="CE27" s="106"/>
    </row>
    <row r="28" spans="1:83" x14ac:dyDescent="0.25">
      <c r="A28">
        <v>21</v>
      </c>
      <c r="B28" s="97"/>
      <c r="C28" s="97"/>
      <c r="D28" s="97"/>
      <c r="E28" s="97"/>
      <c r="F28" s="97"/>
      <c r="G28" s="97"/>
      <c r="H28" s="97"/>
      <c r="I28" s="97"/>
      <c r="J28" s="97"/>
      <c r="K28" s="97"/>
      <c r="L28" s="97"/>
      <c r="M28" s="97"/>
      <c r="N28" s="97"/>
      <c r="O28" s="97"/>
      <c r="P28" s="97"/>
      <c r="Q28" s="97"/>
      <c r="R28" s="97"/>
      <c r="S28" s="97"/>
      <c r="T28" s="97"/>
      <c r="U28" s="97"/>
      <c r="V28" s="97"/>
      <c r="W28" s="97"/>
      <c r="X28" s="97"/>
      <c r="Y28" s="97"/>
      <c r="Z28" s="97"/>
      <c r="AA28" s="97"/>
      <c r="AB28" s="97"/>
      <c r="AC28" s="97"/>
      <c r="AD28" s="97"/>
      <c r="AE28" s="97"/>
      <c r="AF28" s="97"/>
      <c r="AG28" s="97"/>
      <c r="AH28" s="97"/>
      <c r="AI28" s="97"/>
      <c r="AJ28" s="97"/>
      <c r="AK28" s="97"/>
      <c r="AL28" s="107"/>
      <c r="AM28" s="112"/>
      <c r="AN28" s="97"/>
      <c r="AO28" s="97"/>
      <c r="AP28" s="97"/>
      <c r="AQ28" s="97"/>
      <c r="AR28" s="97"/>
      <c r="AS28" s="97"/>
      <c r="AT28" s="97"/>
      <c r="AU28" s="97"/>
      <c r="AV28" s="97"/>
      <c r="AW28" s="97"/>
      <c r="AX28" s="97"/>
      <c r="AY28" s="97"/>
      <c r="AZ28" s="106"/>
      <c r="BA28" s="106"/>
      <c r="BB28" s="106"/>
      <c r="BC28" s="106"/>
      <c r="BD28" s="106"/>
      <c r="BE28" s="106"/>
      <c r="BF28" s="106"/>
      <c r="BG28" s="106"/>
      <c r="BH28" s="106"/>
      <c r="BI28" s="106"/>
      <c r="BJ28" s="106"/>
      <c r="BK28" s="106"/>
      <c r="BL28" s="106"/>
      <c r="BM28" s="106"/>
      <c r="BN28" s="106"/>
      <c r="BO28" s="106"/>
      <c r="BP28" s="106"/>
      <c r="BQ28" s="106"/>
      <c r="BR28" s="106"/>
      <c r="BS28" s="106"/>
      <c r="BT28" s="106"/>
      <c r="BU28" s="106"/>
      <c r="BV28" s="106"/>
      <c r="BW28" s="106"/>
      <c r="BX28" s="106"/>
      <c r="BY28" s="106"/>
      <c r="BZ28" s="106"/>
      <c r="CA28" s="106"/>
      <c r="CB28" s="106"/>
      <c r="CC28" s="106"/>
      <c r="CD28" s="106"/>
      <c r="CE28" s="106"/>
    </row>
    <row r="29" spans="1:83" x14ac:dyDescent="0.25">
      <c r="A29">
        <v>22</v>
      </c>
      <c r="B29" s="97"/>
      <c r="C29" s="97"/>
      <c r="D29" s="97"/>
      <c r="E29" s="97"/>
      <c r="F29" s="97"/>
      <c r="G29" s="97"/>
      <c r="H29" s="97"/>
      <c r="I29" s="97"/>
      <c r="J29" s="97"/>
      <c r="K29" s="97"/>
      <c r="L29" s="97"/>
      <c r="M29" s="97"/>
      <c r="N29" s="97"/>
      <c r="O29" s="97"/>
      <c r="P29" s="97"/>
      <c r="Q29" s="97"/>
      <c r="R29" s="97"/>
      <c r="S29" s="97"/>
      <c r="T29" s="97"/>
      <c r="U29" s="97"/>
      <c r="V29" s="97"/>
      <c r="W29" s="97"/>
      <c r="X29" s="97"/>
      <c r="Y29" s="97"/>
      <c r="Z29" s="97"/>
      <c r="AA29" s="97"/>
      <c r="AB29" s="97"/>
      <c r="AC29" s="97"/>
      <c r="AD29" s="97"/>
      <c r="AE29" s="97"/>
      <c r="AF29" s="97"/>
      <c r="AG29" s="97"/>
      <c r="AH29" s="97"/>
      <c r="AI29" s="97"/>
      <c r="AJ29" s="97"/>
      <c r="AK29" s="97"/>
      <c r="AL29" s="107"/>
      <c r="AM29" s="97"/>
      <c r="AN29" s="97"/>
      <c r="AO29" s="97"/>
      <c r="AP29" s="97"/>
      <c r="AQ29" s="97"/>
      <c r="AR29" s="97"/>
      <c r="AS29" s="97"/>
      <c r="AT29" s="97"/>
      <c r="AU29" s="97"/>
      <c r="AV29" s="97"/>
      <c r="AW29" s="97"/>
      <c r="AX29" s="97"/>
      <c r="AY29" s="97"/>
      <c r="AZ29" s="106"/>
      <c r="BA29" s="106"/>
      <c r="BB29" s="106"/>
      <c r="BC29" s="106"/>
      <c r="BD29" s="106"/>
      <c r="BE29" s="106"/>
      <c r="BF29" s="106"/>
      <c r="BG29" s="106"/>
      <c r="BH29" s="106"/>
      <c r="BI29" s="106"/>
      <c r="BJ29" s="106"/>
      <c r="BK29" s="106"/>
      <c r="BL29" s="106"/>
      <c r="BM29" s="106"/>
      <c r="BN29" s="106"/>
      <c r="BO29" s="106"/>
      <c r="BP29" s="106"/>
      <c r="BQ29" s="106"/>
      <c r="BR29" s="106"/>
      <c r="BS29" s="106"/>
      <c r="BT29" s="106"/>
      <c r="BU29" s="106"/>
      <c r="BV29" s="106"/>
      <c r="BW29" s="106"/>
      <c r="BX29" s="106"/>
      <c r="BY29" s="106"/>
      <c r="BZ29" s="106"/>
      <c r="CA29" s="106"/>
      <c r="CB29" s="106"/>
      <c r="CC29" s="106"/>
      <c r="CD29" s="106"/>
      <c r="CE29" s="106"/>
    </row>
    <row r="30" spans="1:83" x14ac:dyDescent="0.25">
      <c r="A30">
        <v>23</v>
      </c>
      <c r="B30" s="97"/>
      <c r="C30" s="97"/>
      <c r="D30" s="97"/>
      <c r="E30" s="97"/>
      <c r="F30" s="97"/>
      <c r="G30" s="97"/>
      <c r="H30" s="97"/>
      <c r="I30" s="97"/>
      <c r="J30" s="97"/>
      <c r="K30" s="97"/>
      <c r="L30" s="97"/>
      <c r="M30" s="97"/>
      <c r="N30" s="97"/>
      <c r="O30" s="97"/>
      <c r="P30" s="97"/>
      <c r="Q30" s="97"/>
      <c r="R30" s="97"/>
      <c r="S30" s="97"/>
      <c r="T30" s="97"/>
      <c r="U30" s="97"/>
      <c r="V30" s="97"/>
      <c r="W30" s="97"/>
      <c r="X30" s="97"/>
      <c r="Y30" s="97"/>
      <c r="Z30" s="97"/>
      <c r="AA30" s="97"/>
      <c r="AB30" s="97"/>
      <c r="AC30" s="97"/>
      <c r="AD30" s="97"/>
      <c r="AE30" s="97"/>
      <c r="AF30" s="97"/>
      <c r="AG30" s="97"/>
      <c r="AH30" s="97"/>
      <c r="AI30" s="97"/>
      <c r="AJ30" s="97"/>
      <c r="AK30" s="97"/>
      <c r="AL30" s="107"/>
      <c r="AM30" s="97"/>
      <c r="AN30" s="97"/>
      <c r="AO30" s="97"/>
      <c r="AP30" s="97"/>
      <c r="AQ30" s="97"/>
      <c r="AR30" s="97"/>
      <c r="AS30" s="97"/>
      <c r="AT30" s="97"/>
      <c r="AU30" s="97"/>
      <c r="AV30" s="97"/>
      <c r="AW30" s="97"/>
      <c r="AX30" s="97"/>
      <c r="AY30" s="97"/>
      <c r="AZ30" s="106"/>
      <c r="BA30" s="106"/>
      <c r="BB30" s="106"/>
      <c r="BC30" s="106"/>
      <c r="BD30" s="106"/>
      <c r="BE30" s="106"/>
      <c r="BF30" s="106"/>
      <c r="BG30" s="106"/>
      <c r="BH30" s="106"/>
      <c r="BI30" s="106"/>
      <c r="BJ30" s="106"/>
      <c r="BK30" s="106"/>
      <c r="BL30" s="106"/>
      <c r="BM30" s="106"/>
      <c r="BN30" s="106"/>
      <c r="BO30" s="106"/>
      <c r="BP30" s="106"/>
      <c r="BQ30" s="106"/>
      <c r="BR30" s="106"/>
      <c r="BS30" s="106"/>
      <c r="BT30" s="106"/>
      <c r="BU30" s="106"/>
      <c r="BV30" s="106"/>
      <c r="BW30" s="106"/>
      <c r="BX30" s="106"/>
      <c r="BY30" s="106"/>
      <c r="BZ30" s="106"/>
      <c r="CA30" s="106"/>
      <c r="CB30" s="106"/>
      <c r="CC30" s="106"/>
      <c r="CD30" s="106"/>
      <c r="CE30" s="106"/>
    </row>
    <row r="31" spans="1:83" x14ac:dyDescent="0.25">
      <c r="A31">
        <v>24</v>
      </c>
      <c r="B31" s="97"/>
      <c r="C31" s="97"/>
      <c r="D31" s="97"/>
      <c r="E31" s="97"/>
      <c r="F31" s="97"/>
      <c r="G31" s="97"/>
      <c r="H31" s="97"/>
      <c r="I31" s="97"/>
      <c r="J31" s="97"/>
      <c r="K31" s="97"/>
      <c r="L31" s="97"/>
      <c r="M31" s="97"/>
      <c r="N31" s="97"/>
      <c r="O31" s="97"/>
      <c r="P31" s="97"/>
      <c r="Q31" s="97"/>
      <c r="R31" s="97"/>
      <c r="S31" s="97"/>
      <c r="T31" s="97"/>
      <c r="U31" s="97"/>
      <c r="V31" s="97"/>
      <c r="W31" s="97"/>
      <c r="X31" s="97"/>
      <c r="Y31" s="97"/>
      <c r="Z31" s="97"/>
      <c r="AA31" s="97"/>
      <c r="AB31" s="97"/>
      <c r="AC31" s="97"/>
      <c r="AD31" s="97"/>
      <c r="AE31" s="97"/>
      <c r="AF31" s="97"/>
      <c r="AG31" s="97"/>
      <c r="AH31" s="97"/>
      <c r="AI31" s="97"/>
      <c r="AJ31" s="97"/>
      <c r="AK31" s="97"/>
      <c r="AL31" s="107"/>
      <c r="AM31" s="97"/>
      <c r="AN31" s="97"/>
      <c r="AO31" s="97"/>
      <c r="AP31" s="97"/>
      <c r="AQ31" s="97"/>
      <c r="AR31" s="97"/>
      <c r="AS31" s="97"/>
      <c r="AT31" s="97"/>
      <c r="AU31" s="97"/>
      <c r="AV31" s="97"/>
      <c r="AW31" s="97"/>
      <c r="AX31" s="97"/>
      <c r="AY31" s="97"/>
      <c r="AZ31" s="106"/>
      <c r="BA31" s="106"/>
      <c r="BB31" s="106"/>
      <c r="BC31" s="106"/>
      <c r="BD31" s="106"/>
      <c r="BE31" s="106"/>
      <c r="BF31" s="106"/>
      <c r="BG31" s="106"/>
      <c r="BH31" s="106"/>
      <c r="BI31" s="106"/>
      <c r="BJ31" s="106"/>
      <c r="BK31" s="106"/>
      <c r="BL31" s="106"/>
      <c r="BM31" s="106"/>
      <c r="BN31" s="106"/>
      <c r="BO31" s="106"/>
      <c r="BP31" s="106"/>
      <c r="BQ31" s="106"/>
      <c r="BR31" s="106"/>
      <c r="BS31" s="106"/>
      <c r="BT31" s="106"/>
      <c r="BU31" s="106"/>
      <c r="BV31" s="106"/>
      <c r="BW31" s="106"/>
      <c r="BX31" s="106"/>
      <c r="BY31" s="106"/>
      <c r="BZ31" s="106"/>
      <c r="CA31" s="106"/>
      <c r="CB31" s="106"/>
      <c r="CC31" s="106"/>
      <c r="CD31" s="106"/>
      <c r="CE31" s="106"/>
    </row>
    <row r="32" spans="1:83" x14ac:dyDescent="0.25">
      <c r="A32">
        <v>25</v>
      </c>
      <c r="B32" s="97"/>
      <c r="C32" s="97"/>
      <c r="D32" s="97"/>
      <c r="E32" s="97"/>
      <c r="F32" s="97"/>
      <c r="G32" s="97"/>
      <c r="H32" s="97"/>
      <c r="I32" s="97"/>
      <c r="J32" s="97"/>
      <c r="K32" s="97"/>
      <c r="L32" s="97"/>
      <c r="M32" s="97"/>
      <c r="N32" s="97"/>
      <c r="O32" s="97"/>
      <c r="P32" s="97"/>
      <c r="Q32" s="97"/>
      <c r="R32" s="97"/>
      <c r="S32" s="97"/>
      <c r="T32" s="97"/>
      <c r="U32" s="97"/>
      <c r="V32" s="97"/>
      <c r="W32" s="97"/>
      <c r="X32" s="97"/>
      <c r="Y32" s="97"/>
      <c r="Z32" s="97"/>
      <c r="AA32" s="97"/>
      <c r="AB32" s="97"/>
      <c r="AC32" s="97"/>
      <c r="AD32" s="97"/>
      <c r="AE32" s="97"/>
      <c r="AF32" s="97"/>
      <c r="AG32" s="97"/>
      <c r="AH32" s="97"/>
      <c r="AI32" s="97"/>
      <c r="AJ32" s="97"/>
      <c r="AK32" s="97"/>
      <c r="AL32" s="107"/>
      <c r="AM32" s="97"/>
      <c r="AN32" s="97"/>
      <c r="AO32" s="97"/>
      <c r="AP32" s="97"/>
      <c r="AQ32" s="97"/>
      <c r="AR32" s="97"/>
      <c r="AS32" s="97"/>
      <c r="AT32" s="97"/>
      <c r="AU32" s="97"/>
      <c r="AV32" s="97"/>
      <c r="AW32" s="97"/>
      <c r="AX32" s="97"/>
      <c r="AY32" s="97"/>
      <c r="AZ32" s="106"/>
      <c r="BA32" s="106"/>
      <c r="BB32" s="106"/>
      <c r="BC32" s="106"/>
      <c r="BD32" s="106"/>
      <c r="BE32" s="106"/>
      <c r="BF32" s="106"/>
      <c r="BG32" s="106"/>
      <c r="BH32" s="106"/>
      <c r="BI32" s="106"/>
      <c r="BJ32" s="106"/>
      <c r="BK32" s="106"/>
      <c r="BL32" s="106"/>
      <c r="BM32" s="106"/>
      <c r="BN32" s="106"/>
      <c r="BO32" s="106"/>
      <c r="BP32" s="106"/>
      <c r="BQ32" s="106"/>
      <c r="BR32" s="106"/>
      <c r="BS32" s="106"/>
      <c r="BT32" s="106"/>
      <c r="BU32" s="106"/>
      <c r="BV32" s="106"/>
      <c r="BW32" s="106"/>
      <c r="BX32" s="106"/>
      <c r="BY32" s="106"/>
      <c r="BZ32" s="106"/>
      <c r="CA32" s="106"/>
      <c r="CB32" s="106"/>
      <c r="CC32" s="106"/>
      <c r="CD32" s="106"/>
      <c r="CE32" s="106"/>
    </row>
    <row r="33" spans="1:83" x14ac:dyDescent="0.25">
      <c r="A33">
        <v>26</v>
      </c>
      <c r="B33" s="97"/>
      <c r="C33" s="97"/>
      <c r="D33" s="97"/>
      <c r="E33" s="97"/>
      <c r="F33" s="97"/>
      <c r="G33" s="97"/>
      <c r="H33" s="97"/>
      <c r="I33" s="97"/>
      <c r="J33" s="97"/>
      <c r="K33" s="97"/>
      <c r="L33" s="97"/>
      <c r="M33" s="97"/>
      <c r="N33" s="97"/>
      <c r="O33" s="97"/>
      <c r="P33" s="97"/>
      <c r="Q33" s="97"/>
      <c r="R33" s="97"/>
      <c r="S33" s="97"/>
      <c r="T33" s="97"/>
      <c r="U33" s="97"/>
      <c r="V33" s="97"/>
      <c r="W33" s="97"/>
      <c r="X33" s="97"/>
      <c r="Y33" s="97"/>
      <c r="Z33" s="97"/>
      <c r="AA33" s="97"/>
      <c r="AB33" s="97"/>
      <c r="AC33" s="97"/>
      <c r="AD33" s="112"/>
      <c r="AE33" s="97"/>
      <c r="AF33" s="97"/>
      <c r="AG33" s="97"/>
      <c r="AH33" s="97"/>
      <c r="AI33" s="97"/>
      <c r="AJ33" s="97"/>
      <c r="AK33" s="97"/>
      <c r="AL33" s="107"/>
      <c r="AM33" s="97"/>
      <c r="AN33" s="97"/>
      <c r="AO33" s="97"/>
      <c r="AP33" s="97"/>
      <c r="AQ33" s="97"/>
      <c r="AR33" s="97"/>
      <c r="AS33" s="97"/>
      <c r="AT33" s="97"/>
      <c r="AU33" s="97"/>
      <c r="AV33" s="97"/>
      <c r="AW33" s="97"/>
      <c r="AX33" s="97"/>
      <c r="AY33" s="97"/>
      <c r="AZ33" s="106"/>
      <c r="BA33" s="106"/>
      <c r="BB33" s="106"/>
      <c r="BC33" s="106"/>
      <c r="BD33" s="106"/>
      <c r="BE33" s="106"/>
      <c r="BF33" s="106"/>
      <c r="BG33" s="106"/>
      <c r="BH33" s="106"/>
      <c r="BI33" s="106"/>
      <c r="BJ33" s="106"/>
      <c r="BK33" s="106"/>
      <c r="BL33" s="106"/>
      <c r="BM33" s="106"/>
      <c r="BN33" s="106"/>
      <c r="BO33" s="106"/>
      <c r="BP33" s="106"/>
      <c r="BQ33" s="106"/>
      <c r="BR33" s="106"/>
      <c r="BS33" s="106"/>
      <c r="BT33" s="106"/>
      <c r="BU33" s="106"/>
      <c r="BV33" s="106"/>
      <c r="BW33" s="106"/>
      <c r="BX33" s="106"/>
      <c r="BY33" s="106"/>
      <c r="BZ33" s="106"/>
      <c r="CA33" s="106"/>
      <c r="CB33" s="106"/>
      <c r="CC33" s="106"/>
      <c r="CD33" s="106"/>
      <c r="CE33" s="106"/>
    </row>
    <row r="34" spans="1:83" x14ac:dyDescent="0.25">
      <c r="A34">
        <v>27</v>
      </c>
      <c r="B34" s="97"/>
      <c r="C34" s="97"/>
      <c r="D34" s="97"/>
      <c r="E34" s="97"/>
      <c r="F34" s="97"/>
      <c r="G34" s="97"/>
      <c r="H34" s="97"/>
      <c r="I34" s="97"/>
      <c r="J34" s="97"/>
      <c r="K34" s="97"/>
      <c r="L34" s="97"/>
      <c r="M34" s="97"/>
      <c r="N34" s="97"/>
      <c r="O34" s="97"/>
      <c r="P34" s="97"/>
      <c r="Q34" s="97"/>
      <c r="R34" s="97"/>
      <c r="S34" s="97"/>
      <c r="T34" s="97"/>
      <c r="U34" s="97"/>
      <c r="V34" s="97"/>
      <c r="W34" s="97"/>
      <c r="X34" s="97"/>
      <c r="Y34" s="97"/>
      <c r="Z34" s="97"/>
      <c r="AA34" s="97"/>
      <c r="AB34" s="97"/>
      <c r="AC34" s="97"/>
      <c r="AD34" s="22"/>
      <c r="AE34" s="97"/>
      <c r="AF34" s="97"/>
      <c r="AG34" s="97"/>
      <c r="AH34" s="97"/>
      <c r="AI34" s="97"/>
      <c r="AJ34" s="97"/>
      <c r="AK34" s="97"/>
      <c r="AL34" s="97"/>
      <c r="AM34" s="107"/>
      <c r="AN34" s="97"/>
      <c r="AO34" s="97"/>
      <c r="AP34" s="97"/>
      <c r="AQ34" s="97"/>
      <c r="AR34" s="97"/>
      <c r="AS34" s="97"/>
      <c r="AT34" s="97"/>
      <c r="AU34" s="97"/>
      <c r="AV34" s="97"/>
      <c r="AW34" s="97"/>
      <c r="AX34" s="97"/>
      <c r="AY34" s="97"/>
      <c r="AZ34" s="106"/>
      <c r="BA34" s="106"/>
      <c r="BB34" s="106"/>
      <c r="BC34" s="106"/>
      <c r="BD34" s="106"/>
      <c r="BE34" s="106"/>
      <c r="BF34" s="106"/>
      <c r="BG34" s="106"/>
      <c r="BH34" s="106"/>
      <c r="BI34" s="106"/>
      <c r="BJ34" s="106"/>
      <c r="BK34" s="106"/>
      <c r="BL34" s="106"/>
      <c r="BM34" s="106"/>
      <c r="BN34" s="106"/>
      <c r="BO34" s="106"/>
      <c r="BP34" s="106"/>
      <c r="BQ34" s="106"/>
      <c r="BR34" s="106"/>
      <c r="BS34" s="106"/>
      <c r="BT34" s="106"/>
      <c r="BU34" s="106"/>
      <c r="BV34" s="106"/>
      <c r="BW34" s="106"/>
      <c r="BX34" s="106"/>
      <c r="BY34" s="106"/>
      <c r="BZ34" s="106"/>
      <c r="CA34" s="106"/>
      <c r="CB34" s="106"/>
      <c r="CC34" s="106"/>
      <c r="CD34" s="106"/>
      <c r="CE34" s="106"/>
    </row>
    <row r="35" spans="1:83" x14ac:dyDescent="0.25">
      <c r="A35">
        <v>28</v>
      </c>
      <c r="B35" s="97"/>
      <c r="C35" s="97"/>
      <c r="D35" s="97"/>
      <c r="E35" s="97"/>
      <c r="F35" s="97"/>
      <c r="G35" s="97"/>
      <c r="H35" s="97"/>
      <c r="I35" s="97"/>
      <c r="J35" s="97"/>
      <c r="K35" s="97"/>
      <c r="L35" s="97"/>
      <c r="M35" s="97"/>
      <c r="N35" s="97"/>
      <c r="O35" s="97"/>
      <c r="P35" s="97"/>
      <c r="Q35" s="97"/>
      <c r="R35" s="97"/>
      <c r="S35" s="97"/>
      <c r="T35" s="97"/>
      <c r="U35" s="97"/>
      <c r="V35" s="97"/>
      <c r="W35" s="97"/>
      <c r="X35" s="97"/>
      <c r="Y35" s="97"/>
      <c r="Z35" s="97"/>
      <c r="AA35" s="97"/>
      <c r="AB35" s="97"/>
      <c r="AC35" s="97"/>
      <c r="AD35" s="97"/>
      <c r="AE35" s="97"/>
      <c r="AF35" s="97"/>
      <c r="AG35" s="97"/>
      <c r="AH35" s="97"/>
      <c r="AI35" s="97"/>
      <c r="AJ35" s="97"/>
      <c r="AK35" s="97"/>
      <c r="AL35" s="107"/>
      <c r="AM35" s="97"/>
      <c r="AN35" s="97"/>
      <c r="AO35" s="97"/>
      <c r="AP35" s="97"/>
      <c r="AQ35" s="97"/>
      <c r="AR35" s="97"/>
      <c r="AS35" s="97"/>
      <c r="AT35" s="97"/>
      <c r="AU35" s="97"/>
      <c r="AV35" s="97"/>
      <c r="AW35" s="97"/>
      <c r="AX35" s="97"/>
      <c r="AY35" s="97"/>
      <c r="AZ35" s="106"/>
      <c r="BA35" s="106"/>
      <c r="BB35" s="106"/>
      <c r="BC35" s="106"/>
      <c r="BD35" s="106"/>
      <c r="BE35" s="106"/>
      <c r="BF35" s="106"/>
      <c r="BG35" s="106"/>
      <c r="BH35" s="106"/>
      <c r="BI35" s="106"/>
      <c r="BJ35" s="106"/>
      <c r="BK35" s="106"/>
      <c r="BL35" s="106"/>
      <c r="BM35" s="106"/>
      <c r="BN35" s="106"/>
      <c r="BO35" s="106"/>
      <c r="BP35" s="106"/>
      <c r="BQ35" s="106"/>
      <c r="BR35" s="106"/>
      <c r="BS35" s="106"/>
      <c r="BT35" s="106"/>
      <c r="BU35" s="106"/>
      <c r="BV35" s="106"/>
      <c r="BW35" s="106"/>
      <c r="BX35" s="106"/>
      <c r="BY35" s="106"/>
      <c r="BZ35" s="106"/>
      <c r="CA35" s="106"/>
      <c r="CB35" s="106"/>
      <c r="CC35" s="106"/>
      <c r="CD35" s="106"/>
      <c r="CE35" s="106"/>
    </row>
    <row r="36" spans="1:83" x14ac:dyDescent="0.25">
      <c r="A36">
        <v>29</v>
      </c>
      <c r="B36" s="97"/>
      <c r="C36" s="97"/>
      <c r="D36" s="97"/>
      <c r="E36" s="97"/>
      <c r="F36" s="97"/>
      <c r="G36" s="97"/>
      <c r="H36" s="97"/>
      <c r="I36" s="97"/>
      <c r="J36" s="97"/>
      <c r="K36" s="97"/>
      <c r="L36" s="97"/>
      <c r="M36" s="97"/>
      <c r="N36" s="97"/>
      <c r="O36" s="97"/>
      <c r="P36" s="97"/>
      <c r="Q36" s="97"/>
      <c r="R36" s="97"/>
      <c r="S36" s="97"/>
      <c r="T36" s="97"/>
      <c r="U36" s="97"/>
      <c r="V36" s="97"/>
      <c r="W36" s="97"/>
      <c r="X36" s="97"/>
      <c r="Y36" s="97"/>
      <c r="Z36" s="97"/>
      <c r="AA36" s="97"/>
      <c r="AB36" s="97"/>
      <c r="AC36" s="97"/>
      <c r="AD36" s="97"/>
      <c r="AE36" s="97"/>
      <c r="AF36" s="97"/>
      <c r="AG36" s="97"/>
      <c r="AH36" s="97"/>
      <c r="AI36" s="97"/>
      <c r="AJ36" s="97"/>
      <c r="AK36" s="97"/>
      <c r="AL36" s="107"/>
      <c r="AM36" s="97"/>
      <c r="AN36" s="97"/>
      <c r="AO36" s="97"/>
      <c r="AP36" s="97"/>
      <c r="AQ36" s="97"/>
      <c r="AR36" s="97"/>
      <c r="AS36" s="97"/>
      <c r="AT36" s="97"/>
      <c r="AU36" s="97"/>
      <c r="AV36" s="97"/>
      <c r="AW36" s="97"/>
      <c r="AX36" s="97"/>
      <c r="AY36" s="97"/>
      <c r="AZ36" s="106"/>
      <c r="BA36" s="106"/>
      <c r="BB36" s="106"/>
      <c r="BC36" s="106"/>
      <c r="BD36" s="106"/>
      <c r="BE36" s="106"/>
      <c r="BF36" s="106"/>
      <c r="BG36" s="106"/>
      <c r="BH36" s="106"/>
      <c r="BI36" s="106"/>
      <c r="BJ36" s="106"/>
      <c r="BK36" s="106"/>
      <c r="BL36" s="106"/>
      <c r="BM36" s="106"/>
      <c r="BN36" s="106"/>
      <c r="BO36" s="106"/>
      <c r="BP36" s="106"/>
      <c r="BQ36" s="106"/>
      <c r="BR36" s="106"/>
      <c r="BS36" s="106"/>
      <c r="BT36" s="106"/>
      <c r="BU36" s="106"/>
      <c r="BV36" s="106"/>
      <c r="BW36" s="106"/>
      <c r="BX36" s="106"/>
      <c r="BY36" s="106"/>
      <c r="BZ36" s="106"/>
      <c r="CA36" s="106"/>
      <c r="CB36" s="106"/>
      <c r="CC36" s="106"/>
      <c r="CD36" s="106"/>
      <c r="CE36" s="106"/>
    </row>
    <row r="37" spans="1:83" ht="15.75" thickBot="1" x14ac:dyDescent="0.3">
      <c r="A37">
        <v>30</v>
      </c>
      <c r="B37" s="108"/>
      <c r="C37" s="97"/>
      <c r="D37" s="97"/>
      <c r="E37" s="97"/>
      <c r="F37" s="97"/>
      <c r="G37" s="97"/>
      <c r="H37" s="97"/>
      <c r="I37" s="97"/>
      <c r="J37" s="97"/>
      <c r="K37" s="97"/>
      <c r="L37" s="97"/>
      <c r="M37" s="97"/>
      <c r="N37" s="97"/>
      <c r="O37" s="97"/>
      <c r="P37" s="97"/>
      <c r="Q37" s="97"/>
      <c r="R37" s="97"/>
      <c r="S37" s="97"/>
      <c r="T37" s="97"/>
      <c r="U37" s="97"/>
      <c r="V37" s="97"/>
      <c r="W37" s="97"/>
      <c r="X37" s="97"/>
      <c r="Y37" s="97"/>
      <c r="Z37" s="97"/>
      <c r="AA37" s="97"/>
      <c r="AB37" s="97"/>
      <c r="AC37" s="97"/>
      <c r="AD37" s="97"/>
      <c r="AE37" s="97"/>
      <c r="AF37" s="97"/>
      <c r="AG37" s="97"/>
      <c r="AH37" s="97"/>
      <c r="AI37" s="97"/>
      <c r="AJ37" s="97"/>
      <c r="AK37" s="97"/>
      <c r="AL37" s="107"/>
      <c r="AM37" s="97"/>
      <c r="AN37" s="97"/>
      <c r="AO37" s="97"/>
      <c r="AP37" s="97"/>
      <c r="AQ37" s="97"/>
      <c r="AR37" s="97"/>
      <c r="AS37" s="97"/>
      <c r="AT37" s="97"/>
      <c r="AU37" s="97"/>
      <c r="AV37" s="97"/>
      <c r="AW37" s="97"/>
      <c r="AX37" s="97"/>
      <c r="AY37" s="109"/>
      <c r="AZ37" s="110"/>
      <c r="BA37" s="110"/>
      <c r="BB37" s="110"/>
      <c r="BC37" s="110"/>
      <c r="BD37" s="110"/>
      <c r="BE37" s="110"/>
      <c r="BF37" s="110"/>
      <c r="BG37" s="110"/>
      <c r="BH37" s="110"/>
      <c r="BI37" s="110"/>
      <c r="BJ37" s="110"/>
      <c r="BK37" s="110"/>
      <c r="BL37" s="110"/>
      <c r="BM37" s="110"/>
      <c r="BN37" s="110"/>
      <c r="BO37" s="110"/>
      <c r="BP37" s="110"/>
      <c r="BQ37" s="110"/>
      <c r="BR37" s="110"/>
      <c r="BS37" s="110"/>
      <c r="BT37" s="110"/>
      <c r="BU37" s="110"/>
      <c r="BV37" s="110"/>
      <c r="BW37" s="110"/>
      <c r="BX37" s="110"/>
      <c r="BY37" s="110"/>
      <c r="BZ37" s="110"/>
      <c r="CA37" s="110"/>
      <c r="CB37" s="110"/>
      <c r="CC37" s="110"/>
      <c r="CD37" s="110"/>
      <c r="CE37" s="110"/>
    </row>
    <row r="38" spans="1:83" ht="15.75" thickBot="1" x14ac:dyDescent="0.3">
      <c r="A38">
        <v>31</v>
      </c>
      <c r="B38" s="96"/>
      <c r="C38" s="97"/>
      <c r="D38" s="98"/>
      <c r="E38" s="98"/>
      <c r="F38" s="98"/>
      <c r="G38" s="98"/>
      <c r="H38" s="97"/>
      <c r="I38" s="98"/>
      <c r="J38" s="98"/>
      <c r="K38" s="98"/>
      <c r="L38" s="98"/>
      <c r="M38" s="98"/>
      <c r="N38" s="98"/>
      <c r="O38" s="98"/>
      <c r="P38" s="98"/>
      <c r="Q38" s="98"/>
      <c r="R38" s="98"/>
      <c r="S38" s="98"/>
      <c r="T38" s="98"/>
      <c r="U38" s="98"/>
      <c r="V38" s="98"/>
      <c r="W38" s="98"/>
      <c r="X38" s="98"/>
      <c r="Y38" s="98"/>
      <c r="Z38" s="97"/>
      <c r="AA38" s="98"/>
      <c r="AB38" s="98"/>
      <c r="AC38" s="98"/>
      <c r="AD38" s="98"/>
      <c r="AE38" s="98"/>
      <c r="AF38" s="98"/>
      <c r="AG38" s="98"/>
      <c r="AH38" s="98"/>
      <c r="AI38" s="98"/>
      <c r="AJ38" s="98"/>
      <c r="AK38" s="98"/>
      <c r="AL38" s="99"/>
      <c r="AM38" s="98"/>
      <c r="AN38" s="98"/>
      <c r="AO38" s="98"/>
      <c r="AP38" s="97"/>
      <c r="AQ38" s="98"/>
      <c r="AR38" s="98"/>
      <c r="AS38" s="98"/>
      <c r="AT38" s="98"/>
      <c r="AU38" s="98"/>
      <c r="AV38" s="98"/>
      <c r="AW38" s="98"/>
      <c r="AX38" s="98"/>
      <c r="AY38" s="100"/>
      <c r="AZ38" s="106"/>
      <c r="BA38" s="106"/>
      <c r="BB38" s="106"/>
      <c r="BC38" s="106"/>
      <c r="BD38" s="106"/>
      <c r="BE38" s="106"/>
      <c r="BF38" s="106"/>
      <c r="BG38" s="106"/>
      <c r="BH38" s="106"/>
      <c r="BI38" s="106"/>
      <c r="BJ38" s="106"/>
      <c r="BK38" s="106"/>
      <c r="BL38" s="106"/>
      <c r="BM38" s="106"/>
      <c r="BN38" s="106"/>
      <c r="BO38" s="106"/>
      <c r="BP38" s="106"/>
      <c r="BQ38" s="106"/>
      <c r="BR38" s="106"/>
      <c r="BS38" s="106"/>
      <c r="BT38" s="106"/>
      <c r="BU38" s="106"/>
      <c r="BV38" s="106"/>
      <c r="BW38" s="106"/>
      <c r="BX38" s="106"/>
      <c r="BY38" s="106"/>
      <c r="BZ38" s="106"/>
      <c r="CA38" s="106"/>
      <c r="CB38" s="106"/>
      <c r="CC38" s="106"/>
      <c r="CD38" s="106"/>
      <c r="CE38" s="106"/>
    </row>
    <row r="39" spans="1:83" x14ac:dyDescent="0.25">
      <c r="E39" s="22"/>
    </row>
    <row r="40" spans="1:83" x14ac:dyDescent="0.25">
      <c r="E40" s="22"/>
    </row>
    <row r="41" spans="1:83" x14ac:dyDescent="0.25">
      <c r="E41" s="22"/>
    </row>
    <row r="42" spans="1:83" x14ac:dyDescent="0.25">
      <c r="E42" s="22"/>
    </row>
    <row r="43" spans="1:83" x14ac:dyDescent="0.25">
      <c r="E43" s="22"/>
    </row>
    <row r="44" spans="1:83" x14ac:dyDescent="0.25">
      <c r="E44" s="22"/>
    </row>
    <row r="45" spans="1:83" x14ac:dyDescent="0.25">
      <c r="E45" s="22"/>
    </row>
    <row r="46" spans="1:83" x14ac:dyDescent="0.25">
      <c r="E46" s="22"/>
    </row>
    <row r="47" spans="1:83" x14ac:dyDescent="0.25">
      <c r="E47" s="22"/>
    </row>
    <row r="48" spans="1:83" x14ac:dyDescent="0.25">
      <c r="E48" s="22"/>
    </row>
    <row r="49" spans="5:5" x14ac:dyDescent="0.25">
      <c r="E49" s="22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a585a97-453b-43f7-adce-c4bafe4f3563">
      <Terms xmlns="http://schemas.microsoft.com/office/infopath/2007/PartnerControls"/>
    </lcf76f155ced4ddcb4097134ff3c332f>
    <TaxCatchAll xmlns="85f80d94-36c6-4cfa-b190-3af03c89e98e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5FD7FD746B9FF4496486F15BE3F1FAE" ma:contentTypeVersion="14" ma:contentTypeDescription="Create a new document." ma:contentTypeScope="" ma:versionID="f916b959eec291c1c42cc7d6068bed91">
  <xsd:schema xmlns:xsd="http://www.w3.org/2001/XMLSchema" xmlns:xs="http://www.w3.org/2001/XMLSchema" xmlns:p="http://schemas.microsoft.com/office/2006/metadata/properties" xmlns:ns2="4a585a97-453b-43f7-adce-c4bafe4f3563" xmlns:ns3="85f80d94-36c6-4cfa-b190-3af03c89e98e" targetNamespace="http://schemas.microsoft.com/office/2006/metadata/properties" ma:root="true" ma:fieldsID="3367a3bb35ce2bf15332689cffd92b5d" ns2:_="" ns3:_="">
    <xsd:import namespace="4a585a97-453b-43f7-adce-c4bafe4f3563"/>
    <xsd:import namespace="85f80d94-36c6-4cfa-b190-3af03c89e98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3:TaxCatchAll" minOccurs="0"/>
                <xsd:element ref="ns2:MediaServiceDateTaken" minOccurs="0"/>
                <xsd:element ref="ns2:lcf76f155ced4ddcb4097134ff3c332f" minOccurs="0"/>
                <xsd:element ref="ns2:MediaServiceOCR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585a97-453b-43f7-adce-c4bafe4f356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d551102f-68c6-44b3-9d27-3cc8d383c54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f80d94-36c6-4cfa-b190-3af03c89e98e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9904c30f-3c57-4c10-8dd9-9d43d2cfe1a7}" ma:internalName="TaxCatchAll" ma:showField="CatchAllData" ma:web="85f80d94-36c6-4cfa-b190-3af03c89e98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DAA4131-25B2-4291-8424-B3884D34EEA5}">
  <ds:schemaRefs>
    <ds:schemaRef ds:uri="http://schemas.microsoft.com/office/2006/metadata/properties"/>
    <ds:schemaRef ds:uri="http://schemas.microsoft.com/office/infopath/2007/PartnerControls"/>
    <ds:schemaRef ds:uri="4a585a97-453b-43f7-adce-c4bafe4f3563"/>
    <ds:schemaRef ds:uri="85f80d94-36c6-4cfa-b190-3af03c89e98e"/>
  </ds:schemaRefs>
</ds:datastoreItem>
</file>

<file path=customXml/itemProps2.xml><?xml version="1.0" encoding="utf-8"?>
<ds:datastoreItem xmlns:ds="http://schemas.openxmlformats.org/officeDocument/2006/customXml" ds:itemID="{6D5B54B9-30DB-4871-A989-31B9FD7B177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1ACF9BD-F545-48BE-949D-E3ECA73E570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a585a97-453b-43f7-adce-c4bafe4f3563"/>
    <ds:schemaRef ds:uri="85f80d94-36c6-4cfa-b190-3af03c89e98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</vt:lpstr>
      <vt:lpstr>Submetring</vt:lpstr>
      <vt:lpstr>Hotel</vt:lpstr>
      <vt:lpstr>Submetres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2015-06-05T18:17:20Z</dcterms:created>
  <dcterms:modified xsi:type="dcterms:W3CDTF">2023-03-01T12:18:38Z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0x01010065FD7FD746B9FF4496486F15BE3F1FAE</vt:lpwstr>
  </property>
  <property fmtid="{D5CDD505-2E9C-101B-9397-08002B2CF9AE}" pid="3" name="MediaServiceImageTags">
    <vt:lpwstr/>
  </property>
</Properties>
</file>