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16" documentId="8_{9B439D3B-B023-4087-B27B-CB56FE35C246}" xr6:coauthVersionLast="47" xr6:coauthVersionMax="47" xr10:uidLastSave="{77AB4417-63E1-4F56-ADC7-357962BACCAC}"/>
  <bookViews>
    <workbookView xWindow="-108" yWindow="-108" windowWidth="23256" windowHeight="12456" tabRatio="193" firstSheet="1" activeTab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3" i="3" l="1"/>
  <c r="AD44" i="3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7" i="3"/>
  <c r="M4" i="6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V7" i="3"/>
  <c r="M3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G43" i="3"/>
  <c r="AH43" i="3"/>
  <c r="AJ43" i="3"/>
  <c r="AI8" i="3"/>
  <c r="I3" i="6" s="1"/>
  <c r="AI9" i="3"/>
  <c r="I4" i="6" s="1"/>
  <c r="AI10" i="3"/>
  <c r="I5" i="6" s="1"/>
  <c r="AI11" i="3"/>
  <c r="I6" i="6" s="1"/>
  <c r="AI12" i="3"/>
  <c r="I7" i="6" s="1"/>
  <c r="AI13" i="3"/>
  <c r="I8" i="6" s="1"/>
  <c r="AI14" i="3"/>
  <c r="I9" i="6" s="1"/>
  <c r="AI15" i="3"/>
  <c r="I10" i="6" s="1"/>
  <c r="AI16" i="3"/>
  <c r="I11" i="6" s="1"/>
  <c r="AI17" i="3"/>
  <c r="I12" i="6" s="1"/>
  <c r="AI18" i="3"/>
  <c r="I13" i="6" s="1"/>
  <c r="AI19" i="3"/>
  <c r="I14" i="6" s="1"/>
  <c r="AI20" i="3"/>
  <c r="I15" i="6" s="1"/>
  <c r="AI21" i="3"/>
  <c r="I16" i="6" s="1"/>
  <c r="AI22" i="3"/>
  <c r="I17" i="6" s="1"/>
  <c r="AI23" i="3"/>
  <c r="I18" i="6" s="1"/>
  <c r="AI24" i="3"/>
  <c r="I19" i="6" s="1"/>
  <c r="AI25" i="3"/>
  <c r="I20" i="6" s="1"/>
  <c r="AI26" i="3"/>
  <c r="I21" i="6" s="1"/>
  <c r="AI27" i="3"/>
  <c r="I22" i="6" s="1"/>
  <c r="AI28" i="3"/>
  <c r="I23" i="6" s="1"/>
  <c r="AI29" i="3"/>
  <c r="I24" i="6" s="1"/>
  <c r="AI30" i="3"/>
  <c r="I25" i="6" s="1"/>
  <c r="AI31" i="3"/>
  <c r="I26" i="6" s="1"/>
  <c r="AI32" i="3"/>
  <c r="I27" i="6" s="1"/>
  <c r="AI33" i="3"/>
  <c r="I28" i="6" s="1"/>
  <c r="AI34" i="3"/>
  <c r="I29" i="6" s="1"/>
  <c r="AI35" i="3"/>
  <c r="I30" i="6" s="1"/>
  <c r="AI36" i="3"/>
  <c r="I31" i="6" s="1"/>
  <c r="AI37" i="3"/>
  <c r="I32" i="6" s="1"/>
  <c r="AI7" i="3"/>
  <c r="W43" i="3"/>
  <c r="X43" i="3"/>
  <c r="Y43" i="3"/>
  <c r="Z43" i="3"/>
  <c r="AA43" i="3"/>
  <c r="AC43" i="3"/>
  <c r="AE43" i="3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V43" i="3" l="1"/>
  <c r="AI43" i="3"/>
  <c r="I2" i="6"/>
  <c r="AD43" i="3"/>
  <c r="G2" i="6"/>
  <c r="Q43" i="3"/>
  <c r="K2" i="6"/>
  <c r="AJ45" i="3"/>
  <c r="AE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H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<sst xmlns="http://schemas.openxmlformats.org/spreadsheetml/2006/main" count="92" uniqueCount="54">
  <si>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</si>
  <si>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</si>
  <si>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</si>
  <si>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</si>
  <si>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</si>
  <si>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</si>
  <si>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</si>
  <si>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</si>
  <si>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</si>
  <si>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</si>
  <si>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</si>
  <si>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</si>
  <si>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</si>
  <si>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</si>
  <si>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</si>
  <si>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</si>
  <si>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2023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</si>
  <si>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</si>
  <si>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</si>
  <si>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</si>
  <si>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</si>
  <si>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</si>
  <si>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</si>
  <si>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</si>
  <si>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</si>
  <si>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</si>
  <si>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</si>
  <si>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</si>
  <si>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</si>
  <si>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</si>
  <si>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</si>
  <si>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</si>
  <si>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</si>
  <si>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</si>
  <si>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</si>
  <si>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</si>
  <si>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</si>
  <si>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</si>
  <si>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</si>
  <si>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</si>
  <si>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</si>
  <si>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</si>
  <si>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</si>
  <si>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</si>
  <si>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</si>
  <si>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</si>
  <si>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</si>
  <si>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ALU  50 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</si>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</sst>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workbookViewId="0">
      <selection activeCell="L2" sqref="L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2023</v>
      </c>
      <c r="E2" s="99">
        <f>'Localize Daily Bali Jimbaran'!P7</f>
        <v>24200.000000000728</v>
      </c>
      <c r="F2" s="100">
        <f>'Localize Daily Bali Jimbaran'!O7/'Localize Daily Bali Jimbaran'!P7</f>
        <v>1199.9211694214841</v>
      </c>
      <c r="G2" s="99">
        <f>'Localize Daily Bali Jimbaran'!AD7</f>
        <v>693.54103999998699</v>
      </c>
      <c r="H2" s="100">
        <f>'Localize Daily Bali Jimbaran'!AE7/'Localize Daily Bali Jimbaran'!AD7</f>
        <v>15233.910009292593</v>
      </c>
      <c r="I2" s="99">
        <f>'Localize Daily Bali Jimbaran'!AI7</f>
        <v>55.220000000001164</v>
      </c>
      <c r="J2" s="101">
        <f>'Localize Daily Bali Jimbaran'!AJ7/'Localize Daily Bali Jimbaran'!AI7</f>
        <v>17300</v>
      </c>
      <c r="K2" s="99">
        <f>'Localize Daily Bali Jimbaran'!Q7</f>
        <v>538</v>
      </c>
      <c r="L2" s="100">
        <f>'Localize Daily Bali Jimbaran'!V7/'Localize Daily Bali Jimbaran'!Q7</f>
        <v>11223.718959107806</v>
      </c>
      <c r="M2" s="99">
        <f>'Localize Daily Bali Jimbaran'!C7</f>
        <v>145</v>
      </c>
      <c r="N2" s="99">
        <v>357</v>
      </c>
    </row>
    <row r="3" spans="1:14" ht="15">
      <c r="A3" s="96" t="s">
        <v>14</v>
      </c>
      <c r="B3" s="97">
        <v>2</v>
      </c>
      <c r="C3" s="98">
        <v>1</v>
      </c>
      <c r="D3" s="97">
        <v>2023</v>
      </c>
      <c r="E3" s="99">
        <f>'Localize Daily Bali Jimbaran'!P8</f>
        <v>23799.999999999953</v>
      </c>
      <c r="F3" s="100">
        <f>'Localize Daily Bali Jimbaran'!O8/'Localize Daily Bali Jimbaran'!P8</f>
        <v>1197.2398235294163</v>
      </c>
      <c r="G3" s="99">
        <f>'Localize Daily Bali Jimbaran'!AD8</f>
        <v>706.14180000000772</v>
      </c>
      <c r="H3" s="100">
        <f>'Localize Daily Bali Jimbaran'!AE8/'Localize Daily Bali Jimbaran'!AD8</f>
        <v>15388.838011705868</v>
      </c>
      <c r="I3" s="99">
        <f>'Localize Daily Bali Jimbaran'!AI8</f>
        <v>55.229999999995925</v>
      </c>
      <c r="J3" s="101">
        <f>'Localize Daily Bali Jimbaran'!AJ8/'Localize Daily Bali Jimbaran'!AI8</f>
        <v>17300</v>
      </c>
      <c r="K3" s="99">
        <f>'Localize Daily Bali Jimbaran'!Q8</f>
        <v>660</v>
      </c>
      <c r="L3" s="100">
        <f>'Localize Daily Bali Jimbaran'!V8/'Localize Daily Bali Jimbaran'!Q8</f>
        <v>9912.1994545454563</v>
      </c>
      <c r="M3" s="99">
        <f>'Localize Daily Bali Jimbaran'!C8</f>
        <v>132</v>
      </c>
      <c r="N3" s="99">
        <v>335</v>
      </c>
    </row>
    <row r="4" spans="1:14" ht="15">
      <c r="A4" s="96" t="s">
        <v>14</v>
      </c>
      <c r="B4" s="97">
        <v>3</v>
      </c>
      <c r="C4" s="98">
        <v>1</v>
      </c>
      <c r="D4" s="97">
        <v>2023</v>
      </c>
      <c r="E4" s="99">
        <f>'Localize Daily Bali Jimbaran'!P9</f>
        <v>22979.99999999905</v>
      </c>
      <c r="F4" s="100">
        <f>'Localize Daily Bali Jimbaran'!O9/'Localize Daily Bali Jimbaran'!P9</f>
        <v>1197.3670887728463</v>
      </c>
      <c r="G4" s="99">
        <f>'Localize Daily Bali Jimbaran'!AD9</f>
        <v>787.283880000012</v>
      </c>
      <c r="H4" s="100">
        <f>'Localize Daily Bali Jimbaran'!AE9/'Localize Daily Bali Jimbaran'!AD9</f>
        <v>15727.576181647719</v>
      </c>
      <c r="I4" s="99">
        <f>'Localize Daily Bali Jimbaran'!AI9</f>
        <v>52.790000000008149</v>
      </c>
      <c r="J4" s="101">
        <f>'Localize Daily Bali Jimbaran'!AJ9/'Localize Daily Bali Jimbaran'!AI9</f>
        <v>17300</v>
      </c>
      <c r="K4" s="99">
        <f>'Localize Daily Bali Jimbaran'!Q9</f>
        <v>562</v>
      </c>
      <c r="L4" s="100">
        <f>'Localize Daily Bali Jimbaran'!V9/'Localize Daily Bali Jimbaran'!Q9</f>
        <v>10870.010035587189</v>
      </c>
      <c r="M4" s="99">
        <f>'Localize Daily Bali Jimbaran'!C9</f>
        <v>126</v>
      </c>
      <c r="N4" s="99">
        <v>322</v>
      </c>
    </row>
    <row r="5" spans="1:14" ht="15">
      <c r="A5" s="96" t="s">
        <v>14</v>
      </c>
      <c r="B5" s="97">
        <v>4</v>
      </c>
      <c r="C5" s="98">
        <v>1</v>
      </c>
      <c r="D5" s="97">
        <v>2023</v>
      </c>
      <c r="E5" s="99">
        <f>'Localize Daily Bali Jimbaran'!P10</f>
        <v>25800.000000000411</v>
      </c>
      <c r="F5" s="100">
        <f>'Localize Daily Bali Jimbaran'!O10/'Localize Daily Bali Jimbaran'!P10</f>
        <v>1196.3259000000048</v>
      </c>
      <c r="G5" s="99">
        <f>'Localize Daily Bali Jimbaran'!AD10</f>
        <v>225.76252000000056</v>
      </c>
      <c r="H5" s="100">
        <f>'Localize Daily Bali Jimbaran'!AE10/'Localize Daily Bali Jimbaran'!AD10</f>
        <v>14985.685609816917</v>
      </c>
      <c r="I5" s="99">
        <f>'Localize Daily Bali Jimbaran'!AI10</f>
        <v>854.11000000000058</v>
      </c>
      <c r="J5" s="101">
        <f>'Localize Daily Bali Jimbaran'!AJ10/'Localize Daily Bali Jimbaran'!AI10</f>
        <v>17300</v>
      </c>
      <c r="K5" s="99">
        <f>'Localize Daily Bali Jimbaran'!Q10</f>
        <v>749</v>
      </c>
      <c r="L5" s="100">
        <f>'Localize Daily Bali Jimbaran'!V10/'Localize Daily Bali Jimbaran'!Q10</f>
        <v>9161.6968758344465</v>
      </c>
      <c r="M5" s="99">
        <f>'Localize Daily Bali Jimbaran'!C10</f>
        <v>131</v>
      </c>
      <c r="N5" s="99">
        <v>327</v>
      </c>
    </row>
    <row r="6" spans="1:14" ht="15">
      <c r="A6" s="96" t="s">
        <v>14</v>
      </c>
      <c r="B6" s="97">
        <v>5</v>
      </c>
      <c r="C6" s="98">
        <v>1</v>
      </c>
      <c r="D6" s="97">
        <v>2023</v>
      </c>
      <c r="E6" s="99">
        <f>'Localize Daily Bali Jimbaran'!P11</f>
        <v>23780.000000000597</v>
      </c>
      <c r="F6" s="100">
        <f>'Localize Daily Bali Jimbaran'!O11/'Localize Daily Bali Jimbaran'!P11</f>
        <v>1194.1306387720704</v>
      </c>
      <c r="G6" s="99">
        <f>'Localize Daily Bali Jimbaran'!AD11</f>
        <v>180.73291999999992</v>
      </c>
      <c r="H6" s="100">
        <f>'Localize Daily Bali Jimbaran'!AE11/'Localize Daily Bali Jimbaran'!AD11</f>
        <v>15065.056986851072</v>
      </c>
      <c r="I6" s="99">
        <f>'Localize Daily Bali Jimbaran'!AI11</f>
        <v>529.06999999999243</v>
      </c>
      <c r="J6" s="101">
        <f>'Localize Daily Bali Jimbaran'!AJ11/'Localize Daily Bali Jimbaran'!AI11</f>
        <v>17300</v>
      </c>
      <c r="K6" s="99">
        <f>'Localize Daily Bali Jimbaran'!Q11</f>
        <v>667</v>
      </c>
      <c r="L6" s="100">
        <f>'Localize Daily Bali Jimbaran'!V11/'Localize Daily Bali Jimbaran'!Q11</f>
        <v>10027.118020989505</v>
      </c>
      <c r="M6" s="99">
        <f>'Localize Daily Bali Jimbaran'!C11</f>
        <v>127</v>
      </c>
      <c r="N6" s="99">
        <v>320</v>
      </c>
    </row>
    <row r="7" spans="1:14" ht="15">
      <c r="A7" s="96" t="s">
        <v>14</v>
      </c>
      <c r="B7" s="97">
        <v>6</v>
      </c>
      <c r="C7" s="98">
        <v>1</v>
      </c>
      <c r="D7" s="97">
        <v>2023</v>
      </c>
      <c r="E7" s="99">
        <f>'Localize Daily Bali Jimbaran'!P12</f>
        <v>25200.000000000498</v>
      </c>
      <c r="F7" s="100">
        <f>'Localize Daily Bali Jimbaran'!O12/'Localize Daily Bali Jimbaran'!P12</f>
        <v>1195.4627499999979</v>
      </c>
      <c r="G7" s="99">
        <f>'Localize Daily Bali Jimbaran'!AD12</f>
        <v>201.84308000000004</v>
      </c>
      <c r="H7" s="100">
        <f>'Localize Daily Bali Jimbaran'!AE12/'Localize Daily Bali Jimbaran'!AD12</f>
        <v>14723.807623228891</v>
      </c>
      <c r="I7" s="99">
        <f>'Localize Daily Bali Jimbaran'!AI12</f>
        <v>469.65000000000873</v>
      </c>
      <c r="J7" s="101">
        <f>'Localize Daily Bali Jimbaran'!AJ12/'Localize Daily Bali Jimbaran'!AI12</f>
        <v>17300</v>
      </c>
      <c r="K7" s="99">
        <f>'Localize Daily Bali Jimbaran'!Q12</f>
        <v>484</v>
      </c>
      <c r="L7" s="100">
        <f>'Localize Daily Bali Jimbaran'!V12/'Localize Daily Bali Jimbaran'!Q12</f>
        <v>10957.728099173555</v>
      </c>
      <c r="M7" s="99">
        <f>'Localize Daily Bali Jimbaran'!C12</f>
        <v>120</v>
      </c>
      <c r="N7" s="99">
        <v>299</v>
      </c>
    </row>
    <row r="8" spans="1:14" ht="15">
      <c r="A8" s="96" t="s">
        <v>14</v>
      </c>
      <c r="B8" s="97">
        <v>7</v>
      </c>
      <c r="C8" s="98">
        <v>1</v>
      </c>
      <c r="D8" s="97">
        <v>2023</v>
      </c>
      <c r="E8" s="99">
        <f>'Localize Daily Bali Jimbaran'!P13</f>
        <v>24259.999999998567</v>
      </c>
      <c r="F8" s="100">
        <f>'Localize Daily Bali Jimbaran'!O13/'Localize Daily Bali Jimbaran'!P13</f>
        <v>1195.6086244847575</v>
      </c>
      <c r="G8" s="99">
        <f>'Localize Daily Bali Jimbaran'!AD13</f>
        <v>260.40676000001582</v>
      </c>
      <c r="H8" s="100">
        <f>'Localize Daily Bali Jimbaran'!AE13/'Localize Daily Bali Jimbaran'!AD13</f>
        <v>14687.2338148611</v>
      </c>
      <c r="I8" s="99">
        <f>'Localize Daily Bali Jimbaran'!AI13</f>
        <v>551.97000000000116</v>
      </c>
      <c r="J8" s="101">
        <f>'Localize Daily Bali Jimbaran'!AJ13/'Localize Daily Bali Jimbaran'!AI13</f>
        <v>17300</v>
      </c>
      <c r="K8" s="99">
        <f>'Localize Daily Bali Jimbaran'!Q13</f>
        <v>644</v>
      </c>
      <c r="L8" s="100">
        <f>'Localize Daily Bali Jimbaran'!V13/'Localize Daily Bali Jimbaran'!Q13</f>
        <v>10129.293850931677</v>
      </c>
      <c r="M8" s="99">
        <f>'Localize Daily Bali Jimbaran'!C13</f>
        <v>121</v>
      </c>
      <c r="N8" s="99">
        <v>293</v>
      </c>
    </row>
    <row r="9" spans="1:14" ht="15">
      <c r="A9" s="96" t="s">
        <v>14</v>
      </c>
      <c r="B9" s="97">
        <v>8</v>
      </c>
      <c r="C9" s="98">
        <v>1</v>
      </c>
      <c r="D9" s="97">
        <v>2023</v>
      </c>
      <c r="E9" s="99">
        <f>'Localize Daily Bali Jimbaran'!P14</f>
        <v>23420.000000000298</v>
      </c>
      <c r="F9" s="100">
        <f>'Localize Daily Bali Jimbaran'!O14/'Localize Daily Bali Jimbaran'!P14</f>
        <v>1199.4836579846308</v>
      </c>
      <c r="G9" s="99">
        <f>'Localize Daily Bali Jimbaran'!AD14</f>
        <v>180.33356000000083</v>
      </c>
      <c r="H9" s="100">
        <f>'Localize Daily Bali Jimbaran'!AE14/'Localize Daily Bali Jimbaran'!AD14</f>
        <v>14261.688630779556</v>
      </c>
      <c r="I9" s="99">
        <f>'Localize Daily Bali Jimbaran'!AI14</f>
        <v>458.83000000000175</v>
      </c>
      <c r="J9" s="101">
        <f>'Localize Daily Bali Jimbaran'!AJ14/'Localize Daily Bali Jimbaran'!AI14</f>
        <v>17300</v>
      </c>
      <c r="K9" s="99">
        <f>'Localize Daily Bali Jimbaran'!Q14</f>
        <v>729</v>
      </c>
      <c r="L9" s="100">
        <f>'Localize Daily Bali Jimbaran'!V14/'Localize Daily Bali Jimbaran'!Q14</f>
        <v>9303.2752263374496</v>
      </c>
      <c r="M9" s="99">
        <f>'Localize Daily Bali Jimbaran'!C14</f>
        <v>105</v>
      </c>
      <c r="N9" s="99">
        <v>265</v>
      </c>
    </row>
    <row r="10" spans="1:14" ht="15">
      <c r="A10" s="96" t="s">
        <v>14</v>
      </c>
      <c r="B10" s="97">
        <v>9</v>
      </c>
      <c r="C10" s="98">
        <v>1</v>
      </c>
      <c r="D10" s="97">
        <v>2023</v>
      </c>
      <c r="E10" s="99">
        <f>'Localize Daily Bali Jimbaran'!P15</f>
        <v>22619.999999999833</v>
      </c>
      <c r="F10" s="100">
        <f>'Localize Daily Bali Jimbaran'!O15/'Localize Daily Bali Jimbaran'!P15</f>
        <v>1193.344941644553</v>
      </c>
      <c r="G10" s="99">
        <f>'Localize Daily Bali Jimbaran'!AD15</f>
        <v>489.98063999995873</v>
      </c>
      <c r="H10" s="100">
        <f>'Localize Daily Bali Jimbaran'!AE15/'Localize Daily Bali Jimbaran'!AD15</f>
        <v>15660.75892696005</v>
      </c>
      <c r="I10" s="99">
        <f>'Localize Daily Bali Jimbaran'!AI15</f>
        <v>296.67999999999302</v>
      </c>
      <c r="J10" s="101">
        <f>'Localize Daily Bali Jimbaran'!AJ15/'Localize Daily Bali Jimbaran'!AI15</f>
        <v>17300</v>
      </c>
      <c r="K10" s="99">
        <f>'Localize Daily Bali Jimbaran'!Q15</f>
        <v>715</v>
      </c>
      <c r="L10" s="100">
        <f>'Localize Daily Bali Jimbaran'!V15/'Localize Daily Bali Jimbaran'!Q15</f>
        <v>9096.7140699300708</v>
      </c>
      <c r="M10" s="99">
        <f>'Localize Daily Bali Jimbaran'!C15</f>
        <v>101</v>
      </c>
      <c r="N10" s="99">
        <v>253</v>
      </c>
    </row>
    <row r="11" spans="1:14" ht="15">
      <c r="A11" s="96" t="s">
        <v>14</v>
      </c>
      <c r="B11" s="97">
        <v>10</v>
      </c>
      <c r="C11" s="98">
        <v>1</v>
      </c>
      <c r="D11" s="97">
        <v>2023</v>
      </c>
      <c r="E11" s="99">
        <f>'Localize Daily Bali Jimbaran'!P16</f>
        <v>22920.00000000024</v>
      </c>
      <c r="F11" s="100">
        <f>'Localize Daily Bali Jimbaran'!O16/'Localize Daily Bali Jimbaran'!P16</f>
        <v>1197.1800117801106</v>
      </c>
      <c r="G11" s="99">
        <f>'Localize Daily Bali Jimbaran'!AD16</f>
        <v>648.30316000001494</v>
      </c>
      <c r="H11" s="100">
        <f>'Localize Daily Bali Jimbaran'!AE16/'Localize Daily Bali Jimbaran'!AD16</f>
        <v>15318.779935911467</v>
      </c>
      <c r="I11" s="99">
        <f>'Localize Daily Bali Jimbaran'!AI16</f>
        <v>58.350000000005821</v>
      </c>
      <c r="J11" s="101">
        <f>'Localize Daily Bali Jimbaran'!AJ16/'Localize Daily Bali Jimbaran'!AI16</f>
        <v>17300</v>
      </c>
      <c r="K11" s="99">
        <f>'Localize Daily Bali Jimbaran'!Q16</f>
        <v>600</v>
      </c>
      <c r="L11" s="100">
        <f>'Localize Daily Bali Jimbaran'!V16/'Localize Daily Bali Jimbaran'!Q16</f>
        <v>9325.3794666666654</v>
      </c>
      <c r="M11" s="99">
        <f>'Localize Daily Bali Jimbaran'!C16</f>
        <v>82</v>
      </c>
      <c r="N11" s="99">
        <v>209</v>
      </c>
    </row>
    <row r="12" spans="1:14" ht="15">
      <c r="A12" s="96" t="s">
        <v>14</v>
      </c>
      <c r="B12" s="97">
        <v>11</v>
      </c>
      <c r="C12" s="98">
        <v>1</v>
      </c>
      <c r="D12" s="97">
        <v>2023</v>
      </c>
      <c r="E12" s="99">
        <f>'Localize Daily Bali Jimbaran'!P17</f>
        <v>22800.000000000182</v>
      </c>
      <c r="F12" s="100">
        <f>'Localize Daily Bali Jimbaran'!O17/'Localize Daily Bali Jimbaran'!P17</f>
        <v>1191.5558605263182</v>
      </c>
      <c r="G12" s="99">
        <f>'Localize Daily Bali Jimbaran'!AD17</f>
        <v>700.26435999997705</v>
      </c>
      <c r="H12" s="100">
        <f>'Localize Daily Bali Jimbaran'!AE17/'Localize Daily Bali Jimbaran'!AD17</f>
        <v>15456.035788924053</v>
      </c>
      <c r="I12" s="99">
        <f>'Localize Daily Bali Jimbaran'!AI17</f>
        <v>58.369999999995343</v>
      </c>
      <c r="J12" s="101">
        <f>'Localize Daily Bali Jimbaran'!AJ17/'Localize Daily Bali Jimbaran'!AI17</f>
        <v>17300</v>
      </c>
      <c r="K12" s="99">
        <f>'Localize Daily Bali Jimbaran'!Q17</f>
        <v>715</v>
      </c>
      <c r="L12" s="100">
        <f>'Localize Daily Bali Jimbaran'!V17/'Localize Daily Bali Jimbaran'!Q17</f>
        <v>9136.2527552447555</v>
      </c>
      <c r="M12" s="99">
        <f>'Localize Daily Bali Jimbaran'!C17</f>
        <v>83</v>
      </c>
      <c r="N12" s="99">
        <v>191</v>
      </c>
    </row>
    <row r="13" spans="1:14" ht="15">
      <c r="A13" s="96" t="s">
        <v>14</v>
      </c>
      <c r="B13" s="97">
        <v>12</v>
      </c>
      <c r="C13" s="98">
        <v>1</v>
      </c>
      <c r="D13" s="97">
        <v>2023</v>
      </c>
      <c r="E13" s="99">
        <f>'Localize Daily Bali Jimbaran'!P18</f>
        <v>23519.999999999694</v>
      </c>
      <c r="F13" s="100">
        <f>'Localize Daily Bali Jimbaran'!O18/'Localize Daily Bali Jimbaran'!P18</f>
        <v>1199.0078303571365</v>
      </c>
      <c r="G13" s="99">
        <f>'Localize Daily Bali Jimbaran'!AD18</f>
        <v>265.04240000002955</v>
      </c>
      <c r="H13" s="100">
        <f>'Localize Daily Bali Jimbaran'!AE18/'Localize Daily Bali Jimbaran'!AD18</f>
        <v>14602.544887538097</v>
      </c>
      <c r="I13" s="99">
        <f>'Localize Daily Bali Jimbaran'!AI18</f>
        <v>382.95999999999185</v>
      </c>
      <c r="J13" s="101">
        <f>'Localize Daily Bali Jimbaran'!AJ18/'Localize Daily Bali Jimbaran'!AI18</f>
        <v>17300</v>
      </c>
      <c r="K13" s="99">
        <f>'Localize Daily Bali Jimbaran'!Q18</f>
        <v>683</v>
      </c>
      <c r="L13" s="100">
        <f>'Localize Daily Bali Jimbaran'!V18/'Localize Daily Bali Jimbaran'!Q18</f>
        <v>9612.7720644216697</v>
      </c>
      <c r="M13" s="99">
        <f>'Localize Daily Bali Jimbaran'!C18</f>
        <v>77</v>
      </c>
      <c r="N13" s="99">
        <v>187</v>
      </c>
    </row>
    <row r="14" spans="1:14" ht="15">
      <c r="A14" s="96" t="s">
        <v>14</v>
      </c>
      <c r="B14" s="97">
        <v>13</v>
      </c>
      <c r="C14" s="98">
        <v>1</v>
      </c>
      <c r="D14" s="97">
        <v>2023</v>
      </c>
      <c r="E14" s="99">
        <f>'Localize Daily Bali Jimbaran'!P19</f>
        <v>23720.000000001164</v>
      </c>
      <c r="F14" s="100">
        <f>'Localize Daily Bali Jimbaran'!O19/'Localize Daily Bali Jimbaran'!P19</f>
        <v>1190.7321639966224</v>
      </c>
      <c r="G14" s="99">
        <f>'Localize Daily Bali Jimbaran'!AD19</f>
        <v>182.62952000000152</v>
      </c>
      <c r="H14" s="100">
        <f>'Localize Daily Bali Jimbaran'!AE19/'Localize Daily Bali Jimbaran'!AD19</f>
        <v>12989.007498897274</v>
      </c>
      <c r="I14" s="99">
        <f>'Localize Daily Bali Jimbaran'!AI19</f>
        <v>377.77000000000407</v>
      </c>
      <c r="J14" s="101">
        <f>'Localize Daily Bali Jimbaran'!AJ19/'Localize Daily Bali Jimbaran'!AI19</f>
        <v>17300</v>
      </c>
      <c r="K14" s="99">
        <f>'Localize Daily Bali Jimbaran'!Q19</f>
        <v>678</v>
      </c>
      <c r="L14" s="100">
        <f>'Localize Daily Bali Jimbaran'!V19/'Localize Daily Bali Jimbaran'!Q19</f>
        <v>9628.0953392330393</v>
      </c>
      <c r="M14" s="99">
        <f>'Localize Daily Bali Jimbaran'!C19</f>
        <v>68</v>
      </c>
      <c r="N14" s="99">
        <v>156</v>
      </c>
    </row>
    <row r="15" spans="1:14" ht="15">
      <c r="A15" s="96" t="s">
        <v>14</v>
      </c>
      <c r="B15" s="97">
        <v>14</v>
      </c>
      <c r="C15" s="98">
        <v>1</v>
      </c>
      <c r="D15" s="97">
        <v>2023</v>
      </c>
      <c r="E15" s="99">
        <f>'Localize Daily Bali Jimbaran'!P20</f>
        <v>23239.999999999269</v>
      </c>
      <c r="F15" s="100">
        <f>'Localize Daily Bali Jimbaran'!O20/'Localize Daily Bali Jimbaran'!P20</f>
        <v>1195.6707379518175</v>
      </c>
      <c r="G15" s="99">
        <f>'Localize Daily Bali Jimbaran'!AD20</f>
        <v>224.19503999998602</v>
      </c>
      <c r="H15" s="100">
        <f>'Localize Daily Bali Jimbaran'!AE20/'Localize Daily Bali Jimbaran'!AD20</f>
        <v>14154.00906477135</v>
      </c>
      <c r="I15" s="99">
        <f>'Localize Daily Bali Jimbaran'!AI20</f>
        <v>388.30000000000291</v>
      </c>
      <c r="J15" s="101">
        <f>'Localize Daily Bali Jimbaran'!AJ20/'Localize Daily Bali Jimbaran'!AI20</f>
        <v>17300</v>
      </c>
      <c r="K15" s="99">
        <f>'Localize Daily Bali Jimbaran'!Q20</f>
        <v>633</v>
      </c>
      <c r="L15" s="100">
        <f>'Localize Daily Bali Jimbaran'!V20/'Localize Daily Bali Jimbaran'!Q20</f>
        <v>11183.707045813588</v>
      </c>
      <c r="M15" s="99">
        <f>'Localize Daily Bali Jimbaran'!C20</f>
        <v>61</v>
      </c>
      <c r="N15" s="99">
        <v>144</v>
      </c>
    </row>
    <row r="16" spans="1:14" ht="15">
      <c r="A16" s="96" t="s">
        <v>14</v>
      </c>
      <c r="B16" s="97">
        <v>15</v>
      </c>
      <c r="C16" s="98">
        <v>1</v>
      </c>
      <c r="D16" s="97">
        <v>2023</v>
      </c>
      <c r="E16" s="99">
        <f>'Localize Daily Bali Jimbaran'!P21</f>
        <v>21800.000000000124</v>
      </c>
      <c r="F16" s="100">
        <f>'Localize Daily Bali Jimbaran'!O21/'Localize Daily Bali Jimbaran'!P21</f>
        <v>1196.3259000000012</v>
      </c>
      <c r="G16" s="99">
        <f>'Localize Daily Bali Jimbaran'!AD21</f>
        <v>365.63972000000041</v>
      </c>
      <c r="H16" s="100">
        <f>'Localize Daily Bali Jimbaran'!AE21/'Localize Daily Bali Jimbaran'!AD21</f>
        <v>15371.483116842999</v>
      </c>
      <c r="I16" s="99">
        <f>'Localize Daily Bali Jimbaran'!AI21</f>
        <v>344.05000000000291</v>
      </c>
      <c r="J16" s="101">
        <f>'Localize Daily Bali Jimbaran'!AJ21/'Localize Daily Bali Jimbaran'!AI21</f>
        <v>17300</v>
      </c>
      <c r="K16" s="99">
        <f>'Localize Daily Bali Jimbaran'!Q21</f>
        <v>664</v>
      </c>
      <c r="L16" s="100">
        <f>'Localize Daily Bali Jimbaran'!V21/'Localize Daily Bali Jimbaran'!Q21</f>
        <v>9816.9850602409642</v>
      </c>
      <c r="M16" s="99">
        <f>'Localize Daily Bali Jimbaran'!C21</f>
        <v>57</v>
      </c>
      <c r="N16" s="99">
        <v>140</v>
      </c>
    </row>
    <row r="17" spans="1:14" ht="15">
      <c r="A17" s="96" t="s">
        <v>14</v>
      </c>
      <c r="B17" s="97">
        <v>16</v>
      </c>
      <c r="C17" s="98">
        <v>1</v>
      </c>
      <c r="D17" s="97">
        <v>2023</v>
      </c>
      <c r="E17" s="99">
        <f>'Localize Daily Bali Jimbaran'!P22</f>
        <v>21580.000000000779</v>
      </c>
      <c r="F17" s="100">
        <f>'Localize Daily Bali Jimbaran'!O22/'Localize Daily Bali Jimbaran'!P22</f>
        <v>1192.3949277108343</v>
      </c>
      <c r="G17" s="99">
        <f>'Localize Daily Bali Jimbaran'!AD22</f>
        <v>200.11104000001029</v>
      </c>
      <c r="H17" s="100">
        <f>'Localize Daily Bali Jimbaran'!AE22/'Localize Daily Bali Jimbaran'!AD22</f>
        <v>14279.642202093497</v>
      </c>
      <c r="I17" s="99">
        <f>'Localize Daily Bali Jimbaran'!AI22</f>
        <v>325.55000000000291</v>
      </c>
      <c r="J17" s="101">
        <f>'Localize Daily Bali Jimbaran'!AJ22/'Localize Daily Bali Jimbaran'!AI22</f>
        <v>17300</v>
      </c>
      <c r="K17" s="99">
        <f>'Localize Daily Bali Jimbaran'!Q22</f>
        <v>663</v>
      </c>
      <c r="L17" s="100">
        <f>'Localize Daily Bali Jimbaran'!V22/'Localize Daily Bali Jimbaran'!Q22</f>
        <v>9419.6133333333346</v>
      </c>
      <c r="M17" s="99">
        <f>'Localize Daily Bali Jimbaran'!C22</f>
        <v>63</v>
      </c>
      <c r="N17" s="99">
        <v>158</v>
      </c>
    </row>
    <row r="18" spans="1:14" ht="15">
      <c r="A18" s="96" t="s">
        <v>14</v>
      </c>
      <c r="B18" s="97">
        <v>17</v>
      </c>
      <c r="C18" s="98">
        <v>1</v>
      </c>
      <c r="D18" s="97">
        <v>2023</v>
      </c>
      <c r="E18" s="99">
        <f>'Localize Daily Bali Jimbaran'!P23</f>
        <v>22379.999999998687</v>
      </c>
      <c r="F18" s="100">
        <f>'Localize Daily Bali Jimbaran'!O23/'Localize Daily Bali Jimbaran'!P23</f>
        <v>1197.39500268097</v>
      </c>
      <c r="G18" s="99">
        <f>'Localize Daily Bali Jimbaran'!AD23</f>
        <v>398.24492000000083</v>
      </c>
      <c r="H18" s="100">
        <f>'Localize Daily Bali Jimbaran'!AE23/'Localize Daily Bali Jimbaran'!AD23</f>
        <v>14740.299001209603</v>
      </c>
      <c r="I18" s="99">
        <f>'Localize Daily Bali Jimbaran'!AI23</f>
        <v>270.67999999999302</v>
      </c>
      <c r="J18" s="101">
        <f>'Localize Daily Bali Jimbaran'!AJ23/'Localize Daily Bali Jimbaran'!AI23</f>
        <v>17300</v>
      </c>
      <c r="K18" s="99">
        <f>'Localize Daily Bali Jimbaran'!Q23</f>
        <v>761</v>
      </c>
      <c r="L18" s="100">
        <f>'Localize Daily Bali Jimbaran'!V23/'Localize Daily Bali Jimbaran'!Q23</f>
        <v>9202.9125886990805</v>
      </c>
      <c r="M18" s="99">
        <f>'Localize Daily Bali Jimbaran'!C23</f>
        <v>54</v>
      </c>
      <c r="N18" s="99">
        <v>142</v>
      </c>
    </row>
    <row r="19" spans="1:14" ht="15">
      <c r="A19" s="96" t="s">
        <v>14</v>
      </c>
      <c r="B19" s="97">
        <v>18</v>
      </c>
      <c r="C19" s="98">
        <v>1</v>
      </c>
      <c r="D19" s="97">
        <v>2023</v>
      </c>
      <c r="E19" s="99">
        <f>'Localize Daily Bali Jimbaran'!P24</f>
        <v>22140.00000000004</v>
      </c>
      <c r="F19" s="100">
        <f>'Localize Daily Bali Jimbaran'!O24/'Localize Daily Bali Jimbaran'!P24</f>
        <v>1189.7435040650469</v>
      </c>
      <c r="G19" s="99">
        <f>'Localize Daily Bali Jimbaran'!AD24</f>
        <v>736.11943999998721</v>
      </c>
      <c r="H19" s="100">
        <f>'Localize Daily Bali Jimbaran'!AE24/'Localize Daily Bali Jimbaran'!AD24</f>
        <v>15530.028058930217</v>
      </c>
      <c r="I19" s="99">
        <f>'Localize Daily Bali Jimbaran'!AI24</f>
        <v>79.180000000007567</v>
      </c>
      <c r="J19" s="101">
        <f>'Localize Daily Bali Jimbaran'!AJ24/'Localize Daily Bali Jimbaran'!AI24</f>
        <v>17300</v>
      </c>
      <c r="K19" s="99">
        <f>'Localize Daily Bali Jimbaran'!Q24</f>
        <v>766</v>
      </c>
      <c r="L19" s="100">
        <f>'Localize Daily Bali Jimbaran'!V24/'Localize Daily Bali Jimbaran'!Q24</f>
        <v>8749.1504438642296</v>
      </c>
      <c r="M19" s="99">
        <f>'Localize Daily Bali Jimbaran'!C24</f>
        <v>61</v>
      </c>
      <c r="N19" s="99">
        <v>159</v>
      </c>
    </row>
    <row r="20" spans="1:14" ht="15">
      <c r="A20" s="96" t="s">
        <v>14</v>
      </c>
      <c r="B20" s="97">
        <v>19</v>
      </c>
      <c r="C20" s="98">
        <v>1</v>
      </c>
      <c r="D20" s="97">
        <v>2023</v>
      </c>
      <c r="E20" s="99">
        <f>'Localize Daily Bali Jimbaran'!P25</f>
        <v>24340.000000000542</v>
      </c>
      <c r="F20" s="100">
        <f>'Localize Daily Bali Jimbaran'!O25/'Localize Daily Bali Jimbaran'!P25</f>
        <v>1191.2321092851209</v>
      </c>
      <c r="G20" s="99">
        <f>'Localize Daily Bali Jimbaran'!AD25</f>
        <v>536.85184000000481</v>
      </c>
      <c r="H20" s="100">
        <f>'Localize Daily Bali Jimbaran'!AE25/'Localize Daily Bali Jimbaran'!AD25</f>
        <v>14959.354251200484</v>
      </c>
      <c r="I20" s="99">
        <f>'Localize Daily Bali Jimbaran'!AI25</f>
        <v>61.110000000000582</v>
      </c>
      <c r="J20" s="101">
        <f>'Localize Daily Bali Jimbaran'!AJ25/'Localize Daily Bali Jimbaran'!AI25</f>
        <v>17300</v>
      </c>
      <c r="K20" s="99">
        <f>'Localize Daily Bali Jimbaran'!Q25</f>
        <v>595</v>
      </c>
      <c r="L20" s="100">
        <f>'Localize Daily Bali Jimbaran'!V25/'Localize Daily Bali Jimbaran'!Q25</f>
        <v>10932.106487394958</v>
      </c>
      <c r="M20" s="99">
        <f>'Localize Daily Bali Jimbaran'!C25</f>
        <v>67</v>
      </c>
      <c r="N20" s="99">
        <v>167</v>
      </c>
    </row>
    <row r="21" spans="1:14" ht="15">
      <c r="A21" s="96" t="s">
        <v>14</v>
      </c>
      <c r="B21" s="97">
        <v>20</v>
      </c>
      <c r="C21" s="98">
        <v>1</v>
      </c>
      <c r="D21" s="97">
        <v>2023</v>
      </c>
      <c r="E21" s="99">
        <f>'Localize Daily Bali Jimbaran'!P26</f>
        <v>20119.999999999269</v>
      </c>
      <c r="F21" s="100">
        <f>'Localize Daily Bali Jimbaran'!O26/'Localize Daily Bali Jimbaran'!P26</f>
        <v>1203.2448280318079</v>
      </c>
      <c r="G21" s="99">
        <f>'Localize Daily Bali Jimbaran'!AD26</f>
        <v>557.95512000002782</v>
      </c>
      <c r="H21" s="100">
        <f>'Localize Daily Bali Jimbaran'!AE26/'Localize Daily Bali Jimbaran'!AD26</f>
        <v>15129.171459393396</v>
      </c>
      <c r="I21" s="99">
        <f>'Localize Daily Bali Jimbaran'!AI26</f>
        <v>63.619999999995343</v>
      </c>
      <c r="J21" s="101">
        <f>'Localize Daily Bali Jimbaran'!AJ26/'Localize Daily Bali Jimbaran'!AI26</f>
        <v>17300</v>
      </c>
      <c r="K21" s="99">
        <f>'Localize Daily Bali Jimbaran'!Q26</f>
        <v>695</v>
      </c>
      <c r="L21" s="100">
        <f>'Localize Daily Bali Jimbaran'!V26/'Localize Daily Bali Jimbaran'!Q26</f>
        <v>9650.1134388489209</v>
      </c>
      <c r="M21" s="99">
        <f>'Localize Daily Bali Jimbaran'!C26</f>
        <v>65</v>
      </c>
      <c r="N21" s="99">
        <v>159</v>
      </c>
    </row>
    <row r="22" spans="1:14" ht="15">
      <c r="A22" s="96" t="s">
        <v>14</v>
      </c>
      <c r="B22" s="97">
        <v>21</v>
      </c>
      <c r="C22" s="98">
        <v>1</v>
      </c>
      <c r="D22" s="97">
        <v>2023</v>
      </c>
      <c r="E22" s="99">
        <f>'Localize Daily Bali Jimbaran'!P27</f>
        <v>22980.000000000698</v>
      </c>
      <c r="F22" s="100">
        <f>'Localize Daily Bali Jimbaran'!O27/'Localize Daily Bali Jimbaran'!P27</f>
        <v>1198.786891644912</v>
      </c>
      <c r="G22" s="99">
        <f>'Localize Daily Bali Jimbaran'!AD27</f>
        <v>599.1394399999615</v>
      </c>
      <c r="H22" s="100">
        <f>'Localize Daily Bali Jimbaran'!AE27/'Localize Daily Bali Jimbaran'!AD27</f>
        <v>15626.243391217238</v>
      </c>
      <c r="I22" s="99">
        <f>'Localize Daily Bali Jimbaran'!AI27</f>
        <v>41.660000000003492</v>
      </c>
      <c r="J22" s="101">
        <f>'Localize Daily Bali Jimbaran'!AJ27/'Localize Daily Bali Jimbaran'!AI27</f>
        <v>17300</v>
      </c>
      <c r="K22" s="99">
        <f>'Localize Daily Bali Jimbaran'!Q27</f>
        <v>466</v>
      </c>
      <c r="L22" s="100">
        <f>'Localize Daily Bali Jimbaran'!V27/'Localize Daily Bali Jimbaran'!Q27</f>
        <v>7983.8612875536492</v>
      </c>
      <c r="M22" s="99">
        <f>'Localize Daily Bali Jimbaran'!C27</f>
        <v>85</v>
      </c>
      <c r="N22" s="99">
        <v>206</v>
      </c>
    </row>
    <row r="23" spans="1:14" ht="15">
      <c r="A23" s="96" t="s">
        <v>14</v>
      </c>
      <c r="B23" s="97">
        <v>22</v>
      </c>
      <c r="C23" s="98">
        <v>1</v>
      </c>
      <c r="D23" s="97">
        <v>2023</v>
      </c>
      <c r="E23" s="99">
        <f>'Localize Daily Bali Jimbaran'!P28</f>
        <v>22239.999999999782</v>
      </c>
      <c r="F23" s="100">
        <f>'Localize Daily Bali Jimbaran'!O28/'Localize Daily Bali Jimbaran'!P28</f>
        <v>1198.5753682553959</v>
      </c>
      <c r="G23" s="99">
        <f>'Localize Daily Bali Jimbaran'!AD28</f>
        <v>557.23351999999136</v>
      </c>
      <c r="H23" s="100">
        <f>'Localize Daily Bali Jimbaran'!AE28/'Localize Daily Bali Jimbaran'!AD28</f>
        <v>15537.668681509322</v>
      </c>
      <c r="I23" s="99">
        <f>'Localize Daily Bali Jimbaran'!AI28</f>
        <v>63.479999999995925</v>
      </c>
      <c r="J23" s="101">
        <f>'Localize Daily Bali Jimbaran'!AJ28/'Localize Daily Bali Jimbaran'!AI28</f>
        <v>17300</v>
      </c>
      <c r="K23" s="99">
        <f>'Localize Daily Bali Jimbaran'!Q28</f>
        <v>788</v>
      </c>
      <c r="L23" s="100">
        <f>'Localize Daily Bali Jimbaran'!V28/'Localize Daily Bali Jimbaran'!Q28</f>
        <v>9084.7721827411169</v>
      </c>
      <c r="M23" s="99">
        <f>'Localize Daily Bali Jimbaran'!C28</f>
        <v>83</v>
      </c>
      <c r="N23" s="99">
        <v>201</v>
      </c>
    </row>
    <row r="24" spans="1:14" ht="15">
      <c r="A24" s="96" t="s">
        <v>14</v>
      </c>
      <c r="B24" s="97">
        <v>23</v>
      </c>
      <c r="C24" s="98">
        <v>1</v>
      </c>
      <c r="D24" s="97">
        <v>2023</v>
      </c>
      <c r="E24" s="99">
        <f>'Localize Daily Bali Jimbaran'!P29</f>
        <v>23320.000000000618</v>
      </c>
      <c r="F24" s="100">
        <f>'Localize Daily Bali Jimbaran'!O29/'Localize Daily Bali Jimbaran'!P29</f>
        <v>1198.5644639794086</v>
      </c>
      <c r="G24" s="99">
        <f>'Localize Daily Bali Jimbaran'!AD29</f>
        <v>596.74820000002001</v>
      </c>
      <c r="H24" s="100">
        <f>'Localize Daily Bali Jimbaran'!AE29/'Localize Daily Bali Jimbaran'!AD29</f>
        <v>15375.252795140073</v>
      </c>
      <c r="I24" s="99">
        <f>'Localize Daily Bali Jimbaran'!AI29</f>
        <v>60</v>
      </c>
      <c r="J24" s="101">
        <f>'Localize Daily Bali Jimbaran'!AJ29/'Localize Daily Bali Jimbaran'!AI29</f>
        <v>17300</v>
      </c>
      <c r="K24" s="99">
        <f>'Localize Daily Bali Jimbaran'!Q29</f>
        <v>786</v>
      </c>
      <c r="L24" s="100">
        <f>'Localize Daily Bali Jimbaran'!V29/'Localize Daily Bali Jimbaran'!Q29</f>
        <v>8970.0242748091605</v>
      </c>
      <c r="M24" s="99">
        <f>'Localize Daily Bali Jimbaran'!C29</f>
        <v>91</v>
      </c>
      <c r="N24" s="99">
        <v>211</v>
      </c>
    </row>
    <row r="25" spans="1:14" ht="15">
      <c r="A25" s="96" t="s">
        <v>14</v>
      </c>
      <c r="B25" s="97">
        <v>24</v>
      </c>
      <c r="C25" s="98">
        <v>1</v>
      </c>
      <c r="D25" s="97">
        <v>2023</v>
      </c>
      <c r="E25" s="99">
        <f>'Localize Daily Bali Jimbaran'!P30</f>
        <v>23799.999999999785</v>
      </c>
      <c r="F25" s="100">
        <f>'Localize Daily Bali Jimbaran'!O30/'Localize Daily Bali Jimbaran'!P30</f>
        <v>1199.0676705882402</v>
      </c>
      <c r="G25" s="99">
        <f>'Localize Daily Bali Jimbaran'!AD30</f>
        <v>566.65216000003034</v>
      </c>
      <c r="H25" s="100">
        <f>'Localize Daily Bali Jimbaran'!AE30/'Localize Daily Bali Jimbaran'!AD30</f>
        <v>15336.449878809628</v>
      </c>
      <c r="I25" s="99">
        <f>'Localize Daily Bali Jimbaran'!AI30</f>
        <v>59.020000000004075</v>
      </c>
      <c r="J25" s="101">
        <f>'Localize Daily Bali Jimbaran'!AJ30/'Localize Daily Bali Jimbaran'!AI30</f>
        <v>17300</v>
      </c>
      <c r="K25" s="99">
        <f>'Localize Daily Bali Jimbaran'!Q30</f>
        <v>752</v>
      </c>
      <c r="L25" s="100">
        <f>'Localize Daily Bali Jimbaran'!V30/'Localize Daily Bali Jimbaran'!Q30</f>
        <v>9106.33585106383</v>
      </c>
      <c r="M25" s="99">
        <f>'Localize Daily Bali Jimbaran'!C30</f>
        <v>92</v>
      </c>
      <c r="N25" s="99">
        <v>221</v>
      </c>
    </row>
    <row r="26" spans="1:14" ht="15">
      <c r="A26" s="96" t="s">
        <v>14</v>
      </c>
      <c r="B26" s="97">
        <v>25</v>
      </c>
      <c r="C26" s="98">
        <v>1</v>
      </c>
      <c r="D26" s="97">
        <v>2023</v>
      </c>
      <c r="E26" s="99">
        <f>'Localize Daily Bali Jimbaran'!P31</f>
        <v>24299.999999999272</v>
      </c>
      <c r="F26" s="100">
        <f>'Localize Daily Bali Jimbaran'!O31/'Localize Daily Bali Jimbaran'!P31</f>
        <v>1185.5844777777829</v>
      </c>
      <c r="G26" s="99">
        <f>'Localize Daily Bali Jimbaran'!AD31</f>
        <v>749.600479999953</v>
      </c>
      <c r="H26" s="100">
        <f>'Localize Daily Bali Jimbaran'!AE31/'Localize Daily Bali Jimbaran'!AD31</f>
        <v>15423.375891652562</v>
      </c>
      <c r="I26" s="99">
        <f>'Localize Daily Bali Jimbaran'!AI31</f>
        <v>61.829999999987194</v>
      </c>
      <c r="J26" s="101">
        <f>'Localize Daily Bali Jimbaran'!AJ31/'Localize Daily Bali Jimbaran'!AI31</f>
        <v>17299.999999999996</v>
      </c>
      <c r="K26" s="99">
        <f>'Localize Daily Bali Jimbaran'!Q31</f>
        <v>638</v>
      </c>
      <c r="L26" s="100">
        <f>'Localize Daily Bali Jimbaran'!V31/'Localize Daily Bali Jimbaran'!Q31</f>
        <v>10180.27855799373</v>
      </c>
      <c r="M26" s="99">
        <f>'Localize Daily Bali Jimbaran'!C31</f>
        <v>84</v>
      </c>
      <c r="N26" s="99">
        <v>220</v>
      </c>
    </row>
    <row r="27" spans="1:14" ht="15">
      <c r="A27" s="96" t="s">
        <v>14</v>
      </c>
      <c r="B27" s="97">
        <v>26</v>
      </c>
      <c r="C27" s="98">
        <v>1</v>
      </c>
      <c r="D27" s="97">
        <v>2023</v>
      </c>
      <c r="E27" s="99">
        <f>'Localize Daily Bali Jimbaran'!P32</f>
        <v>22460.000000000433</v>
      </c>
      <c r="F27" s="100">
        <f>'Localize Daily Bali Jimbaran'!O32/'Localize Daily Bali Jimbaran'!P32</f>
        <v>1193.1300160284948</v>
      </c>
      <c r="G27" s="99">
        <f>'Localize Daily Bali Jimbaran'!AD32</f>
        <v>609.1947200000252</v>
      </c>
      <c r="H27" s="100">
        <f>'Localize Daily Bali Jimbaran'!AE32/'Localize Daily Bali Jimbaran'!AD32</f>
        <v>15041.512819359981</v>
      </c>
      <c r="I27" s="99">
        <f>'Localize Daily Bali Jimbaran'!AI32</f>
        <v>54.470000000001164</v>
      </c>
      <c r="J27" s="101">
        <f>'Localize Daily Bali Jimbaran'!AJ32/'Localize Daily Bali Jimbaran'!AI32</f>
        <v>17300</v>
      </c>
      <c r="K27" s="99">
        <f>'Localize Daily Bali Jimbaran'!Q32</f>
        <v>547</v>
      </c>
      <c r="L27" s="100">
        <f>'Localize Daily Bali Jimbaran'!V32/'Localize Daily Bali Jimbaran'!Q32</f>
        <v>10780.577769652651</v>
      </c>
      <c r="M27" s="99">
        <f>'Localize Daily Bali Jimbaran'!C32</f>
        <v>77</v>
      </c>
      <c r="N27" s="99">
        <v>210</v>
      </c>
    </row>
    <row r="28" spans="1:14" ht="15">
      <c r="A28" s="96" t="s">
        <v>14</v>
      </c>
      <c r="B28" s="97">
        <v>27</v>
      </c>
      <c r="C28" s="98">
        <v>1</v>
      </c>
      <c r="D28" s="97">
        <v>2023</v>
      </c>
      <c r="E28" s="99">
        <f>'Localize Daily Bali Jimbaran'!P33</f>
        <v>22200.000000000728</v>
      </c>
      <c r="F28" s="100">
        <f>'Localize Daily Bali Jimbaran'!O33/'Localize Daily Bali Jimbaran'!P33</f>
        <v>1203.1844432432347</v>
      </c>
      <c r="G28" s="99">
        <f>'Localize Daily Bali Jimbaran'!AD33</f>
        <v>687.14544800002091</v>
      </c>
      <c r="H28" s="100">
        <f>'Localize Daily Bali Jimbaran'!AE33/'Localize Daily Bali Jimbaran'!AD33</f>
        <v>15200.596761979297</v>
      </c>
      <c r="I28" s="99">
        <f>'Localize Daily Bali Jimbaran'!AI33</f>
        <v>41.80000000000291</v>
      </c>
      <c r="J28" s="101">
        <f>'Localize Daily Bali Jimbaran'!AJ33/'Localize Daily Bali Jimbaran'!AI33</f>
        <v>17300</v>
      </c>
      <c r="K28" s="99">
        <f>'Localize Daily Bali Jimbaran'!Q33</f>
        <v>680</v>
      </c>
      <c r="L28" s="100">
        <f>'Localize Daily Bali Jimbaran'!V33/'Localize Daily Bali Jimbaran'!Q33</f>
        <v>9655.1980000000003</v>
      </c>
      <c r="M28" s="99">
        <f>'Localize Daily Bali Jimbaran'!C33</f>
        <v>86</v>
      </c>
      <c r="N28" s="99">
        <v>238</v>
      </c>
    </row>
    <row r="29" spans="1:14" ht="15">
      <c r="A29" s="96" t="s">
        <v>14</v>
      </c>
      <c r="B29" s="97">
        <v>28</v>
      </c>
      <c r="C29" s="98">
        <v>1</v>
      </c>
      <c r="D29" s="97">
        <v>2023</v>
      </c>
      <c r="E29" s="99">
        <f>'Localize Daily Bali Jimbaran'!P34</f>
        <v>20679.999999998588</v>
      </c>
      <c r="F29" s="100">
        <f>'Localize Daily Bali Jimbaran'!O34/'Localize Daily Bali Jimbaran'!P34</f>
        <v>1192.7497543520351</v>
      </c>
      <c r="G29" s="99">
        <f>'Localize Daily Bali Jimbaran'!AD34</f>
        <v>577.0639519999454</v>
      </c>
      <c r="H29" s="100">
        <f>'Localize Daily Bali Jimbaran'!AE34/'Localize Daily Bali Jimbaran'!AD34</f>
        <v>15138.914311172159</v>
      </c>
      <c r="I29" s="99">
        <f>'Localize Daily Bali Jimbaran'!AI34</f>
        <v>49.979999999995925</v>
      </c>
      <c r="J29" s="101">
        <f>'Localize Daily Bali Jimbaran'!AJ34/'Localize Daily Bali Jimbaran'!AI34</f>
        <v>17300</v>
      </c>
      <c r="K29" s="99">
        <f>'Localize Daily Bali Jimbaran'!Q34</f>
        <v>688</v>
      </c>
      <c r="L29" s="100">
        <f>'Localize Daily Bali Jimbaran'!V34/'Localize Daily Bali Jimbaran'!Q34</f>
        <v>9844.2136046511623</v>
      </c>
      <c r="M29" s="99">
        <f>'Localize Daily Bali Jimbaran'!C34</f>
        <v>5</v>
      </c>
      <c r="N29" s="99">
        <v>199</v>
      </c>
    </row>
    <row r="30" spans="1:14" ht="15">
      <c r="A30" s="96" t="s">
        <v>14</v>
      </c>
      <c r="B30" s="97">
        <v>29</v>
      </c>
      <c r="C30" s="98">
        <v>1</v>
      </c>
      <c r="D30" s="97">
        <v>2023</v>
      </c>
      <c r="E30" s="99">
        <f>'Localize Daily Bali Jimbaran'!P35</f>
        <v>22560.000000001539</v>
      </c>
      <c r="F30" s="100">
        <f>'Localize Daily Bali Jimbaran'!O35/'Localize Daily Bali Jimbaran'!P35</f>
        <v>1195.5545744680783</v>
      </c>
      <c r="G30" s="99">
        <f>'Localize Daily Bali Jimbaran'!AD35</f>
        <v>491.89248000004926</v>
      </c>
      <c r="H30" s="100">
        <f>'Localize Daily Bali Jimbaran'!AE35/'Localize Daily Bali Jimbaran'!AD35</f>
        <v>15652.109663541109</v>
      </c>
      <c r="I30" s="99">
        <f>'Localize Daily Bali Jimbaran'!AI35</f>
        <v>31.100000000005821</v>
      </c>
      <c r="J30" s="101">
        <f>'Localize Daily Bali Jimbaran'!AJ35/'Localize Daily Bali Jimbaran'!AI35</f>
        <v>17300</v>
      </c>
      <c r="K30" s="99">
        <f>'Localize Daily Bali Jimbaran'!Q35</f>
        <v>518</v>
      </c>
      <c r="L30" s="100">
        <f>'Localize Daily Bali Jimbaran'!V35/'Localize Daily Bali Jimbaran'!Q35</f>
        <v>11311.567413127414</v>
      </c>
      <c r="M30" s="99">
        <f>'Localize Daily Bali Jimbaran'!C35</f>
        <v>3</v>
      </c>
      <c r="N30" s="99">
        <v>161</v>
      </c>
    </row>
    <row r="31" spans="1:14" ht="15">
      <c r="A31" s="96" t="s">
        <v>14</v>
      </c>
      <c r="B31" s="97">
        <v>30</v>
      </c>
      <c r="C31" s="98">
        <v>1</v>
      </c>
      <c r="D31" s="97">
        <v>2023</v>
      </c>
      <c r="E31" s="99">
        <f>'Localize Daily Bali Jimbaran'!P36</f>
        <v>20979.999999998367</v>
      </c>
      <c r="F31" s="100">
        <f>'Localize Daily Bali Jimbaran'!O36/'Localize Daily Bali Jimbaran'!P36</f>
        <v>1191.2457397521518</v>
      </c>
      <c r="G31" s="99">
        <f>'Localize Daily Bali Jimbaran'!AD36</f>
        <v>596.94959999999321</v>
      </c>
      <c r="H31" s="100">
        <f>'Localize Daily Bali Jimbaran'!AE36/'Localize Daily Bali Jimbaran'!AD36</f>
        <v>15244.785005398118</v>
      </c>
      <c r="I31" s="99">
        <f>'Localize Daily Bali Jimbaran'!AI36</f>
        <v>41.790000000008149</v>
      </c>
      <c r="J31" s="101">
        <f>'Localize Daily Bali Jimbaran'!AJ36/'Localize Daily Bali Jimbaran'!AI36</f>
        <v>17300</v>
      </c>
      <c r="K31" s="99">
        <f>'Localize Daily Bali Jimbaran'!Q36</f>
        <v>755</v>
      </c>
      <c r="L31" s="100">
        <f>'Localize Daily Bali Jimbaran'!V36/'Localize Daily Bali Jimbaran'!Q36</f>
        <v>9163.7465430463581</v>
      </c>
      <c r="M31" s="99">
        <f>'Localize Daily Bali Jimbaran'!C36</f>
        <v>3</v>
      </c>
      <c r="N31" s="99">
        <v>162</v>
      </c>
    </row>
    <row r="32" spans="1:14" ht="15">
      <c r="A32" s="96" t="s">
        <v>14</v>
      </c>
      <c r="B32" s="97">
        <v>31</v>
      </c>
      <c r="C32" s="98">
        <v>1</v>
      </c>
      <c r="D32" s="97">
        <v>2023</v>
      </c>
      <c r="E32" s="99">
        <f>'Localize Daily Bali Jimbaran'!P37</f>
        <v>30900.000000000091</v>
      </c>
      <c r="F32" s="100">
        <f>'Localize Daily Bali Jimbaran'!O37/'Localize Daily Bali Jimbaran'!P37</f>
        <v>1169.224666019423</v>
      </c>
      <c r="G32" s="99">
        <f>'Localize Daily Bali Jimbaran'!AD37</f>
        <v>477.88192000000339</v>
      </c>
      <c r="H32" s="100">
        <f>'Localize Daily Bali Jimbaran'!AE37/'Localize Daily Bali Jimbaran'!AD37</f>
        <v>15090.950837828725</v>
      </c>
      <c r="I32" s="99">
        <f>'Localize Daily Bali Jimbaran'!AI37</f>
        <v>339.07999999998719</v>
      </c>
      <c r="J32" s="101">
        <f>'Localize Daily Bali Jimbaran'!AJ37/'Localize Daily Bali Jimbaran'!AI37</f>
        <v>17300</v>
      </c>
      <c r="K32" s="99">
        <f>'Localize Daily Bali Jimbaran'!Q37</f>
        <v>604</v>
      </c>
      <c r="L32" s="100">
        <f>'Localize Daily Bali Jimbaran'!V37/'Localize Daily Bali Jimbaran'!Q37</f>
        <v>8148.0801986754959</v>
      </c>
      <c r="M32" s="99">
        <f>'Localize Daily Bali Jimbaran'!C37</f>
        <v>6</v>
      </c>
      <c r="N32" s="99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K109"/>
  <sheetViews>
    <sheetView tabSelected="1" topLeftCell="Y2" workbookViewId="0">
      <selection activeCell="AJ7" sqref="AJ7:AJ37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8" width="14.85546875" customWidth="1"/>
    <col min="29" max="29" width="14.7109375" customWidth="1"/>
    <col min="30" max="30" width="10.7109375" bestFit="1" customWidth="1"/>
    <col min="31" max="31" width="16.5703125" style="3" customWidth="1"/>
    <col min="32" max="32" width="13.28515625" style="7" bestFit="1" customWidth="1"/>
    <col min="33" max="34" width="13.28515625" style="7" customWidth="1"/>
    <col min="35" max="35" width="15.5703125" style="7" customWidth="1"/>
    <col min="36" max="36" width="20.7109375" bestFit="1" customWidth="1"/>
    <col min="37" max="37" width="2.28515625" style="2" customWidth="1"/>
  </cols>
  <sheetData>
    <row r="1" spans="1:37">
      <c r="N1" s="5"/>
      <c r="S1" s="8"/>
    </row>
    <row r="2" spans="1:37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E2" s="10"/>
      <c r="AF2" s="13"/>
      <c r="AG2" s="13"/>
      <c r="AH2" s="13"/>
      <c r="AI2" s="13"/>
    </row>
    <row r="3" spans="1:37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4"/>
    </row>
    <row r="4" spans="1:37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7"/>
    </row>
    <row r="5" spans="1:37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66"/>
      <c r="AF5" s="170" t="s">
        <v>30</v>
      </c>
      <c r="AG5" s="170"/>
      <c r="AH5" s="170"/>
      <c r="AI5" s="170"/>
      <c r="AJ5" s="170"/>
      <c r="AK5" s="83"/>
    </row>
    <row r="6" spans="1:37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124" t="s">
        <v>47</v>
      </c>
      <c r="AC6" s="89" t="s">
        <v>48</v>
      </c>
      <c r="AD6" s="89" t="s">
        <v>49</v>
      </c>
      <c r="AE6" s="90" t="s">
        <v>41</v>
      </c>
      <c r="AF6" s="126" t="s">
        <v>50</v>
      </c>
      <c r="AG6" s="126" t="s">
        <v>51</v>
      </c>
      <c r="AH6" s="126" t="s">
        <v>52</v>
      </c>
      <c r="AI6" s="126" t="s">
        <v>53</v>
      </c>
      <c r="AJ6" s="89" t="s">
        <v>41</v>
      </c>
      <c r="AK6" s="86"/>
    </row>
    <row r="7" spans="1:37" ht="15">
      <c r="A7" s="18"/>
      <c r="B7" s="81">
        <v>1</v>
      </c>
      <c r="C7" s="102">
        <v>145</v>
      </c>
      <c r="D7" s="103">
        <v>881</v>
      </c>
      <c r="E7" s="155">
        <v>17280.000000000655</v>
      </c>
      <c r="F7" s="155">
        <v>18793192.320000712</v>
      </c>
      <c r="G7" s="115">
        <v>4519.9999999999818</v>
      </c>
      <c r="H7" s="156">
        <v>7373717.8199999714</v>
      </c>
      <c r="I7" s="105">
        <f>F7+H7</f>
        <v>26166910.140000682</v>
      </c>
      <c r="J7" s="114">
        <v>1920.0000000000728</v>
      </c>
      <c r="K7" s="114">
        <v>2088132.4800000791</v>
      </c>
      <c r="L7" s="118">
        <v>480.00000000001819</v>
      </c>
      <c r="M7" s="120">
        <v>783049.68000002974</v>
      </c>
      <c r="N7" s="107">
        <f>K7+M7</f>
        <v>2871182.1600001091</v>
      </c>
      <c r="O7" s="105">
        <f>I7+N7</f>
        <v>29038092.300000791</v>
      </c>
      <c r="P7" s="107">
        <f>E7+G7+J7+L7</f>
        <v>24200.000000000728</v>
      </c>
      <c r="Q7" s="122">
        <f>R7+T7</f>
        <v>538</v>
      </c>
      <c r="R7" s="114">
        <v>248</v>
      </c>
      <c r="S7" s="114">
        <v>4673064</v>
      </c>
      <c r="T7" s="114">
        <v>290</v>
      </c>
      <c r="U7" s="114">
        <v>1365296.8</v>
      </c>
      <c r="V7" s="114">
        <f>S7+U7</f>
        <v>6038360.7999999998</v>
      </c>
      <c r="W7" s="114">
        <v>486.62267999999057</v>
      </c>
      <c r="X7" s="106">
        <v>112.98539999999889</v>
      </c>
      <c r="Y7" s="109">
        <v>61.829799999997796</v>
      </c>
      <c r="Z7" s="109">
        <v>0</v>
      </c>
      <c r="AA7" s="109">
        <v>32.103159999999647</v>
      </c>
      <c r="AB7" s="109">
        <v>0</v>
      </c>
      <c r="AC7" s="111">
        <v>0</v>
      </c>
      <c r="AD7" s="122">
        <f>W7+X7+Y7+Z7+AA7+AB7+AC7</f>
        <v>693.54103999998699</v>
      </c>
      <c r="AE7" s="104">
        <v>10565341.791110996</v>
      </c>
      <c r="AF7" s="108"/>
      <c r="AG7" s="127">
        <v>55.220000000001164</v>
      </c>
      <c r="AH7" s="129">
        <v>0</v>
      </c>
      <c r="AI7" s="129">
        <f>AG7+AH7</f>
        <v>55.220000000001164</v>
      </c>
      <c r="AJ7" s="131">
        <v>955306.00000002014</v>
      </c>
      <c r="AK7" s="18"/>
    </row>
    <row r="8" spans="1:37" ht="15">
      <c r="A8" s="19"/>
      <c r="B8" s="64">
        <v>2</v>
      </c>
      <c r="C8" s="158">
        <v>132</v>
      </c>
      <c r="D8" s="158">
        <v>872</v>
      </c>
      <c r="E8" s="123">
        <v>17319.999999999709</v>
      </c>
      <c r="F8" s="123">
        <v>18836695.079999685</v>
      </c>
      <c r="G8" s="110">
        <v>4320.0000000001637</v>
      </c>
      <c r="H8" s="110">
        <v>7047447.1200002674</v>
      </c>
      <c r="I8" s="105">
        <f>F8+H8</f>
        <v>25884142.199999951</v>
      </c>
      <c r="J8" s="157">
        <v>1680.0000000000637</v>
      </c>
      <c r="K8" s="157">
        <v>1827115.9200000691</v>
      </c>
      <c r="L8" s="119">
        <v>480.00000000001819</v>
      </c>
      <c r="M8" s="121">
        <v>783049.68000002974</v>
      </c>
      <c r="N8" s="107">
        <f>K8+M8</f>
        <v>2610165.6000000988</v>
      </c>
      <c r="O8" s="105">
        <f>I8+N8</f>
        <v>28494307.800000049</v>
      </c>
      <c r="P8" s="107">
        <f>E8+G8+J8+L8</f>
        <v>23799.999999999953</v>
      </c>
      <c r="Q8" s="122">
        <f>R8+T8</f>
        <v>660</v>
      </c>
      <c r="R8" s="123">
        <v>243</v>
      </c>
      <c r="S8" s="123">
        <v>4578849</v>
      </c>
      <c r="T8" s="116">
        <v>417</v>
      </c>
      <c r="U8" s="116">
        <v>1963202.6400000001</v>
      </c>
      <c r="V8" s="114">
        <f>S8+U8</f>
        <v>6542051.6400000006</v>
      </c>
      <c r="W8" s="125">
        <v>474.17616000000464</v>
      </c>
      <c r="X8" s="111">
        <v>113.2270800000005</v>
      </c>
      <c r="Y8" s="109">
        <v>65.898080000002338</v>
      </c>
      <c r="Z8" s="111">
        <v>0</v>
      </c>
      <c r="AA8" s="111">
        <v>28.840480000000326</v>
      </c>
      <c r="AB8" s="111">
        <v>0</v>
      </c>
      <c r="AC8" s="111">
        <v>24</v>
      </c>
      <c r="AD8" s="122">
        <f t="shared" ref="AD8:AD37" si="0">W8+X8+Y8+Z8+AA8+AB8+AC8</f>
        <v>706.14180000000772</v>
      </c>
      <c r="AE8" s="109">
        <v>10866701.773494521</v>
      </c>
      <c r="AF8" s="112"/>
      <c r="AG8" s="128">
        <v>55.229999999995925</v>
      </c>
      <c r="AH8" s="130">
        <v>0</v>
      </c>
      <c r="AI8" s="129">
        <f>AG8+AH8</f>
        <v>55.229999999995925</v>
      </c>
      <c r="AJ8" s="132">
        <v>955478.99999992945</v>
      </c>
      <c r="AK8" s="21"/>
    </row>
    <row r="9" spans="1:37" ht="15">
      <c r="A9" s="19"/>
      <c r="B9" s="81">
        <v>3</v>
      </c>
      <c r="C9" s="158">
        <v>126</v>
      </c>
      <c r="D9" s="158">
        <v>803</v>
      </c>
      <c r="E9" s="123">
        <v>16879.9999999992</v>
      </c>
      <c r="F9" s="123">
        <v>18358164.719999131</v>
      </c>
      <c r="G9" s="110">
        <v>4199.9999999998181</v>
      </c>
      <c r="H9" s="110">
        <v>6851684.699999704</v>
      </c>
      <c r="I9" s="105">
        <f>F9+H9</f>
        <v>25209849.419998836</v>
      </c>
      <c r="J9" s="157">
        <v>1460.0000000000364</v>
      </c>
      <c r="K9" s="157">
        <v>1587850.7400000396</v>
      </c>
      <c r="L9" s="119">
        <v>439.99999999999773</v>
      </c>
      <c r="M9" s="121">
        <v>717795.53999999643</v>
      </c>
      <c r="N9" s="107">
        <f>K9+M9</f>
        <v>2305646.2800000361</v>
      </c>
      <c r="O9" s="105">
        <f>I9+N9</f>
        <v>27515495.69999887</v>
      </c>
      <c r="P9" s="107">
        <f>E9+G9+J9+L9</f>
        <v>22979.99999999905</v>
      </c>
      <c r="Q9" s="122">
        <f>R9+T9</f>
        <v>562</v>
      </c>
      <c r="R9" s="123">
        <v>245</v>
      </c>
      <c r="S9" s="123">
        <v>4616535</v>
      </c>
      <c r="T9" s="116">
        <v>317</v>
      </c>
      <c r="U9" s="116">
        <v>1492410.6400000001</v>
      </c>
      <c r="V9" s="114">
        <f>S9+U9</f>
        <v>6108945.6400000006</v>
      </c>
      <c r="W9" s="125">
        <v>435.66848000001403</v>
      </c>
      <c r="X9" s="111">
        <v>114.83827999999903</v>
      </c>
      <c r="Y9" s="109">
        <v>66.582839999998967</v>
      </c>
      <c r="Z9" s="111">
        <v>100</v>
      </c>
      <c r="AA9" s="111">
        <v>22.19427999999996</v>
      </c>
      <c r="AB9" s="111">
        <v>0</v>
      </c>
      <c r="AC9" s="111">
        <v>48</v>
      </c>
      <c r="AD9" s="122">
        <f t="shared" si="0"/>
        <v>787.283880000012</v>
      </c>
      <c r="AE9" s="109">
        <v>12382067.199283389</v>
      </c>
      <c r="AF9" s="112"/>
      <c r="AG9" s="128">
        <v>52.790000000008149</v>
      </c>
      <c r="AH9" s="130">
        <v>0</v>
      </c>
      <c r="AI9" s="129">
        <f>AG9+AH9</f>
        <v>52.790000000008149</v>
      </c>
      <c r="AJ9" s="132">
        <v>913267.00000014098</v>
      </c>
      <c r="AK9" s="21"/>
    </row>
    <row r="10" spans="1:37" ht="15">
      <c r="A10" s="19"/>
      <c r="B10" s="64">
        <v>4</v>
      </c>
      <c r="C10" s="158">
        <v>131</v>
      </c>
      <c r="D10" s="158">
        <v>819</v>
      </c>
      <c r="E10" s="123">
        <v>18680.000000000291</v>
      </c>
      <c r="F10" s="123">
        <v>20315788.920000315</v>
      </c>
      <c r="G10" s="110">
        <v>4640.0000000003274</v>
      </c>
      <c r="H10" s="110">
        <v>7569480.2400005348</v>
      </c>
      <c r="I10" s="105">
        <f>F10+H10</f>
        <v>27885269.16000085</v>
      </c>
      <c r="J10" s="157">
        <v>1959.999999999809</v>
      </c>
      <c r="K10" s="157">
        <v>2131635.2399997925</v>
      </c>
      <c r="L10" s="119">
        <v>519.99999999998181</v>
      </c>
      <c r="M10" s="121">
        <v>848303.81999997038</v>
      </c>
      <c r="N10" s="107">
        <f>K10+M10</f>
        <v>2979939.059999763</v>
      </c>
      <c r="O10" s="105">
        <f>I10+N10</f>
        <v>30865208.220000613</v>
      </c>
      <c r="P10" s="107">
        <f>E10+G10+J10+L10</f>
        <v>25800.000000000411</v>
      </c>
      <c r="Q10" s="122">
        <f>R10+T10</f>
        <v>749</v>
      </c>
      <c r="R10" s="123">
        <v>236</v>
      </c>
      <c r="S10" s="123">
        <v>4446948</v>
      </c>
      <c r="T10" s="116">
        <v>513</v>
      </c>
      <c r="U10" s="116">
        <v>2415162.96</v>
      </c>
      <c r="V10" s="114">
        <f>S10+U10</f>
        <v>6862110.96</v>
      </c>
      <c r="W10" s="125">
        <v>0</v>
      </c>
      <c r="X10" s="111">
        <v>118.46348000000123</v>
      </c>
      <c r="Y10" s="109">
        <v>59.896359999999554</v>
      </c>
      <c r="Z10" s="111">
        <v>0</v>
      </c>
      <c r="AA10" s="111">
        <v>23.402679999999776</v>
      </c>
      <c r="AB10" s="111">
        <v>0</v>
      </c>
      <c r="AC10" s="111">
        <v>24</v>
      </c>
      <c r="AD10" s="122">
        <f t="shared" si="0"/>
        <v>225.76252000000056</v>
      </c>
      <c r="AE10" s="109">
        <v>3383206.1472000126</v>
      </c>
      <c r="AF10" s="112"/>
      <c r="AG10" s="128">
        <v>854.11000000000058</v>
      </c>
      <c r="AH10" s="130">
        <v>0</v>
      </c>
      <c r="AI10" s="129">
        <f>AG10+AH10</f>
        <v>854.11000000000058</v>
      </c>
      <c r="AJ10" s="132">
        <v>14776103.000000009</v>
      </c>
      <c r="AK10" s="21"/>
    </row>
    <row r="11" spans="1:37" ht="15">
      <c r="A11" s="19"/>
      <c r="B11" s="81">
        <v>5</v>
      </c>
      <c r="C11" s="158">
        <v>127</v>
      </c>
      <c r="D11" s="158">
        <v>835</v>
      </c>
      <c r="E11" s="123">
        <v>17360.000000000582</v>
      </c>
      <c r="F11" s="123">
        <v>18880197.840000637</v>
      </c>
      <c r="G11" s="110">
        <v>4199.9999999998181</v>
      </c>
      <c r="H11" s="110">
        <v>6851684.699999704</v>
      </c>
      <c r="I11" s="105">
        <f>F11+H11</f>
        <v>25731882.540000342</v>
      </c>
      <c r="J11" s="157">
        <v>1760.0000000002183</v>
      </c>
      <c r="K11" s="157">
        <v>1914121.4400002374</v>
      </c>
      <c r="L11" s="119">
        <v>459.99999999997954</v>
      </c>
      <c r="M11" s="121">
        <v>750422.60999996669</v>
      </c>
      <c r="N11" s="107">
        <f>K11+M11</f>
        <v>2664544.0500002042</v>
      </c>
      <c r="O11" s="105">
        <f>I11+N11</f>
        <v>28396426.590000547</v>
      </c>
      <c r="P11" s="107">
        <f>E11+G11+J11+L11</f>
        <v>23780.000000000597</v>
      </c>
      <c r="Q11" s="122">
        <f>R11+T11</f>
        <v>667</v>
      </c>
      <c r="R11" s="123">
        <v>251</v>
      </c>
      <c r="S11" s="123">
        <v>4729593</v>
      </c>
      <c r="T11" s="116">
        <v>416</v>
      </c>
      <c r="U11" s="116">
        <v>1958494.72</v>
      </c>
      <c r="V11" s="114">
        <f>S11+U11</f>
        <v>6688087.7199999997</v>
      </c>
      <c r="W11" s="125">
        <v>0</v>
      </c>
      <c r="X11" s="111">
        <v>94.657999999999987</v>
      </c>
      <c r="Y11" s="109">
        <v>56.714239999999698</v>
      </c>
      <c r="Z11" s="111">
        <v>0</v>
      </c>
      <c r="AA11" s="111">
        <v>17.360680000000237</v>
      </c>
      <c r="AB11" s="111">
        <v>0</v>
      </c>
      <c r="AC11" s="111">
        <v>12</v>
      </c>
      <c r="AD11" s="122">
        <f t="shared" si="0"/>
        <v>180.73291999999992</v>
      </c>
      <c r="AE11" s="109">
        <v>2722751.7391999946</v>
      </c>
      <c r="AF11" s="112"/>
      <c r="AG11" s="128">
        <v>529.06999999999243</v>
      </c>
      <c r="AH11" s="130">
        <v>0</v>
      </c>
      <c r="AI11" s="129">
        <f>AG11+AH11</f>
        <v>529.06999999999243</v>
      </c>
      <c r="AJ11" s="132">
        <v>9152910.9999998696</v>
      </c>
      <c r="AK11" s="21"/>
    </row>
    <row r="12" spans="1:37" ht="15">
      <c r="A12" s="19"/>
      <c r="B12" s="64">
        <v>6</v>
      </c>
      <c r="C12" s="158">
        <v>120</v>
      </c>
      <c r="D12" s="158">
        <v>730</v>
      </c>
      <c r="E12" s="123">
        <v>18280.000000000655</v>
      </c>
      <c r="F12" s="123">
        <v>19880761.320000712</v>
      </c>
      <c r="G12" s="110">
        <v>4519.9999999999818</v>
      </c>
      <c r="H12" s="110">
        <v>7373717.8199999714</v>
      </c>
      <c r="I12" s="105">
        <f>F12+H12</f>
        <v>27254479.140000682</v>
      </c>
      <c r="J12" s="157">
        <v>1919.9999999998454</v>
      </c>
      <c r="K12" s="157">
        <v>2088132.4799998319</v>
      </c>
      <c r="L12" s="119">
        <v>480.00000000001819</v>
      </c>
      <c r="M12" s="121">
        <v>783049.68000002974</v>
      </c>
      <c r="N12" s="107">
        <f>K12+M12</f>
        <v>2871182.1599998614</v>
      </c>
      <c r="O12" s="105">
        <f>I12+N12</f>
        <v>30125661.300000545</v>
      </c>
      <c r="P12" s="107">
        <f>E12+G12+J12+L12</f>
        <v>25200.000000000498</v>
      </c>
      <c r="Q12" s="122">
        <f>R12+T12</f>
        <v>484</v>
      </c>
      <c r="R12" s="123">
        <v>214</v>
      </c>
      <c r="S12" s="123">
        <v>4032402</v>
      </c>
      <c r="T12" s="116">
        <v>270</v>
      </c>
      <c r="U12" s="116">
        <v>1271138.3999999999</v>
      </c>
      <c r="V12" s="114">
        <f>S12+U12</f>
        <v>5303540.4000000004</v>
      </c>
      <c r="W12" s="125">
        <v>0</v>
      </c>
      <c r="X12" s="111">
        <v>113.95211999999984</v>
      </c>
      <c r="Y12" s="109">
        <v>65.293880000000144</v>
      </c>
      <c r="Z12" s="111">
        <v>0</v>
      </c>
      <c r="AA12" s="111">
        <v>22.597080000000052</v>
      </c>
      <c r="AB12" s="111">
        <v>0</v>
      </c>
      <c r="AC12" s="111">
        <v>0</v>
      </c>
      <c r="AD12" s="122">
        <f t="shared" si="0"/>
        <v>201.84308000000004</v>
      </c>
      <c r="AE12" s="109">
        <v>2971898.6799999997</v>
      </c>
      <c r="AF12" s="112"/>
      <c r="AG12" s="128">
        <v>469.65000000000873</v>
      </c>
      <c r="AH12" s="130">
        <v>0</v>
      </c>
      <c r="AI12" s="129">
        <f>AG12+AH12</f>
        <v>469.65000000000873</v>
      </c>
      <c r="AJ12" s="132">
        <v>8124945.0000001509</v>
      </c>
      <c r="AK12" s="21"/>
    </row>
    <row r="13" spans="1:37" ht="15">
      <c r="A13" s="19"/>
      <c r="B13" s="81">
        <v>7</v>
      </c>
      <c r="C13" s="158">
        <v>121</v>
      </c>
      <c r="D13" s="158">
        <v>765</v>
      </c>
      <c r="E13" s="123">
        <v>17679.999999998472</v>
      </c>
      <c r="F13" s="123">
        <v>19228219.919998337</v>
      </c>
      <c r="G13" s="110">
        <v>4360.0000000001273</v>
      </c>
      <c r="H13" s="110">
        <v>7112701.2600002084</v>
      </c>
      <c r="I13" s="105">
        <f>F13+H13</f>
        <v>26340921.179998547</v>
      </c>
      <c r="J13" s="157">
        <v>1759.9999999999909</v>
      </c>
      <c r="K13" s="157">
        <v>1914121.4399999902</v>
      </c>
      <c r="L13" s="119">
        <v>459.99999999997954</v>
      </c>
      <c r="M13" s="121">
        <v>750422.60999996669</v>
      </c>
      <c r="N13" s="107">
        <f>K13+M13</f>
        <v>2664544.049999957</v>
      </c>
      <c r="O13" s="105">
        <f>I13+N13</f>
        <v>29005465.229998503</v>
      </c>
      <c r="P13" s="107">
        <f>E13+G13+J13+L13</f>
        <v>24259.999999998567</v>
      </c>
      <c r="Q13" s="122">
        <f>R13+T13</f>
        <v>644</v>
      </c>
      <c r="R13" s="123">
        <v>247</v>
      </c>
      <c r="S13" s="123">
        <v>4654221</v>
      </c>
      <c r="T13" s="116">
        <v>397</v>
      </c>
      <c r="U13" s="116">
        <v>1869044.24</v>
      </c>
      <c r="V13" s="114">
        <f>S13+U13</f>
        <v>6523265.2400000002</v>
      </c>
      <c r="W13" s="125">
        <v>45.39556000001641</v>
      </c>
      <c r="X13" s="111">
        <v>113.62988000000013</v>
      </c>
      <c r="Y13" s="109">
        <v>61.064479999999406</v>
      </c>
      <c r="Z13" s="111">
        <v>0</v>
      </c>
      <c r="AA13" s="111">
        <v>28.316839999999885</v>
      </c>
      <c r="AB13" s="111">
        <v>0</v>
      </c>
      <c r="AC13" s="111">
        <v>12</v>
      </c>
      <c r="AD13" s="122">
        <f t="shared" si="0"/>
        <v>260.40676000001582</v>
      </c>
      <c r="AE13" s="109">
        <v>3824654.9710906511</v>
      </c>
      <c r="AF13" s="112"/>
      <c r="AG13" s="128">
        <v>551.97000000000116</v>
      </c>
      <c r="AH13" s="130">
        <v>0</v>
      </c>
      <c r="AI13" s="129">
        <f>AG13+AH13</f>
        <v>551.97000000000116</v>
      </c>
      <c r="AJ13" s="132">
        <v>9549081.0000000205</v>
      </c>
      <c r="AK13" s="21"/>
    </row>
    <row r="14" spans="1:37" ht="15">
      <c r="A14" s="19"/>
      <c r="B14" s="64">
        <v>8</v>
      </c>
      <c r="C14" s="158">
        <v>105</v>
      </c>
      <c r="D14" s="158">
        <v>672</v>
      </c>
      <c r="E14" s="123">
        <v>17000</v>
      </c>
      <c r="F14" s="123">
        <v>18488673</v>
      </c>
      <c r="G14" s="110">
        <v>4360.0000000001273</v>
      </c>
      <c r="H14" s="110">
        <v>7112701.2600002084</v>
      </c>
      <c r="I14" s="105">
        <f>F14+H14</f>
        <v>25601374.260000207</v>
      </c>
      <c r="J14" s="157">
        <v>1600.0000000001364</v>
      </c>
      <c r="K14" s="157">
        <v>1740110.4000001485</v>
      </c>
      <c r="L14" s="119">
        <v>460.00000000003638</v>
      </c>
      <c r="M14" s="121">
        <v>750422.61000005936</v>
      </c>
      <c r="N14" s="107">
        <f>K14+M14</f>
        <v>2490533.0100002079</v>
      </c>
      <c r="O14" s="105">
        <f>I14+N14</f>
        <v>28091907.270000413</v>
      </c>
      <c r="P14" s="107">
        <f>E14+G14+J14+L14</f>
        <v>23420.000000000298</v>
      </c>
      <c r="Q14" s="122">
        <f>R14+T14</f>
        <v>729</v>
      </c>
      <c r="R14" s="123">
        <v>237</v>
      </c>
      <c r="S14" s="123">
        <v>4465791</v>
      </c>
      <c r="T14" s="116">
        <v>492</v>
      </c>
      <c r="U14" s="116">
        <v>2316296.64</v>
      </c>
      <c r="V14" s="114">
        <f>S14+U14</f>
        <v>6782087.6400000006</v>
      </c>
      <c r="W14" s="125">
        <v>0</v>
      </c>
      <c r="X14" s="111">
        <v>100.65971999999911</v>
      </c>
      <c r="Y14" s="109">
        <v>54.458560000001754</v>
      </c>
      <c r="Z14" s="111">
        <v>0</v>
      </c>
      <c r="AA14" s="111">
        <v>25.215279999999961</v>
      </c>
      <c r="AB14" s="111">
        <v>0</v>
      </c>
      <c r="AC14" s="111">
        <v>0</v>
      </c>
      <c r="AD14" s="122">
        <f t="shared" si="0"/>
        <v>180.33356000000083</v>
      </c>
      <c r="AE14" s="109">
        <v>2571861.0824000146</v>
      </c>
      <c r="AF14" s="112"/>
      <c r="AG14" s="128">
        <v>458.83000000000175</v>
      </c>
      <c r="AH14" s="130">
        <v>0</v>
      </c>
      <c r="AI14" s="129">
        <f>AG14+AH14</f>
        <v>458.83000000000175</v>
      </c>
      <c r="AJ14" s="132">
        <v>7937759.0000000298</v>
      </c>
      <c r="AK14" s="21"/>
    </row>
    <row r="15" spans="1:37" ht="15">
      <c r="A15" s="19"/>
      <c r="B15" s="81">
        <v>9</v>
      </c>
      <c r="C15" s="158">
        <v>101</v>
      </c>
      <c r="D15" s="158">
        <v>670</v>
      </c>
      <c r="E15" s="123">
        <v>16680.000000000291</v>
      </c>
      <c r="F15" s="123">
        <v>18140650.920000315</v>
      </c>
      <c r="G15" s="110">
        <v>3959.9999999995816</v>
      </c>
      <c r="H15" s="110">
        <v>6460159.8599993177</v>
      </c>
      <c r="I15" s="105">
        <f>F15+H15</f>
        <v>24600810.779999632</v>
      </c>
      <c r="J15" s="157">
        <v>1539.9999999999636</v>
      </c>
      <c r="K15" s="157">
        <v>1674856.2599999604</v>
      </c>
      <c r="L15" s="119">
        <v>439.99999999999773</v>
      </c>
      <c r="M15" s="121">
        <v>717795.53999999643</v>
      </c>
      <c r="N15" s="107">
        <f>K15+M15</f>
        <v>2392651.799999957</v>
      </c>
      <c r="O15" s="105">
        <f>I15+N15</f>
        <v>26993462.579999588</v>
      </c>
      <c r="P15" s="107">
        <f>E15+G15+J15+L15</f>
        <v>22619.999999999833</v>
      </c>
      <c r="Q15" s="122">
        <f>R15+T15</f>
        <v>715</v>
      </c>
      <c r="R15" s="123">
        <v>222</v>
      </c>
      <c r="S15" s="123">
        <v>4183146</v>
      </c>
      <c r="T15" s="116">
        <v>493</v>
      </c>
      <c r="U15" s="116">
        <v>2321004.56</v>
      </c>
      <c r="V15" s="114">
        <f>S15+U15</f>
        <v>6504150.5600000005</v>
      </c>
      <c r="W15" s="125">
        <v>177.75563999996012</v>
      </c>
      <c r="X15" s="111">
        <v>88.978520000000572</v>
      </c>
      <c r="Y15" s="109">
        <v>66.381439999998236</v>
      </c>
      <c r="Z15" s="111">
        <v>100</v>
      </c>
      <c r="AA15" s="111">
        <v>20.865039999999798</v>
      </c>
      <c r="AB15" s="111">
        <v>0</v>
      </c>
      <c r="AC15" s="111">
        <v>36</v>
      </c>
      <c r="AD15" s="122">
        <f t="shared" si="0"/>
        <v>489.98063999995873</v>
      </c>
      <c r="AE15" s="109">
        <v>7673468.6819169521</v>
      </c>
      <c r="AF15" s="112"/>
      <c r="AG15" s="128">
        <v>296.67999999999302</v>
      </c>
      <c r="AH15" s="130">
        <v>0</v>
      </c>
      <c r="AI15" s="129">
        <f>AG15+AH15</f>
        <v>296.67999999999302</v>
      </c>
      <c r="AJ15" s="132">
        <v>5132563.9999998789</v>
      </c>
      <c r="AK15" s="21"/>
    </row>
    <row r="16" spans="1:37" ht="15">
      <c r="A16" s="19"/>
      <c r="B16" s="64">
        <v>10</v>
      </c>
      <c r="C16" s="158">
        <v>82</v>
      </c>
      <c r="D16" s="158">
        <v>523</v>
      </c>
      <c r="E16" s="123">
        <v>17000</v>
      </c>
      <c r="F16" s="123">
        <v>18488673</v>
      </c>
      <c r="G16" s="110">
        <v>4160.0000000003092</v>
      </c>
      <c r="H16" s="110">
        <v>6786430.5600005053</v>
      </c>
      <c r="I16" s="105">
        <f>F16+H16</f>
        <v>25275103.560000505</v>
      </c>
      <c r="J16" s="157">
        <v>1299.9999999999545</v>
      </c>
      <c r="K16" s="157">
        <v>1413839.6999999506</v>
      </c>
      <c r="L16" s="119">
        <v>459.99999999997954</v>
      </c>
      <c r="M16" s="121">
        <v>750422.60999996669</v>
      </c>
      <c r="N16" s="107">
        <f>K16+M16</f>
        <v>2164262.3099999172</v>
      </c>
      <c r="O16" s="105">
        <f>I16+N16</f>
        <v>27439365.870000422</v>
      </c>
      <c r="P16" s="107">
        <f>E16+G16+J16+L16</f>
        <v>22920.00000000024</v>
      </c>
      <c r="Q16" s="122">
        <f>R16+T16</f>
        <v>600</v>
      </c>
      <c r="R16" s="123">
        <v>196</v>
      </c>
      <c r="S16" s="123">
        <v>3693228</v>
      </c>
      <c r="T16" s="116">
        <v>404</v>
      </c>
      <c r="U16" s="116">
        <v>1901999.68</v>
      </c>
      <c r="V16" s="114">
        <f>S16+U16</f>
        <v>5595227.6799999997</v>
      </c>
      <c r="W16" s="125">
        <v>447.30940000001169</v>
      </c>
      <c r="X16" s="111">
        <v>99.531880000000143</v>
      </c>
      <c r="Y16" s="109">
        <v>61.54784000000263</v>
      </c>
      <c r="Z16" s="111">
        <v>0</v>
      </c>
      <c r="AA16" s="111">
        <v>27.873760000000289</v>
      </c>
      <c r="AB16" s="111">
        <v>4.0280000000192329E-2</v>
      </c>
      <c r="AC16" s="111">
        <v>12</v>
      </c>
      <c r="AD16" s="122">
        <f t="shared" si="0"/>
        <v>648.30316000001494</v>
      </c>
      <c r="AE16" s="109">
        <v>9931213.4397962298</v>
      </c>
      <c r="AF16" s="112"/>
      <c r="AG16" s="128">
        <v>58.350000000005821</v>
      </c>
      <c r="AH16" s="130">
        <v>0</v>
      </c>
      <c r="AI16" s="129">
        <f>AG16+AH16</f>
        <v>58.350000000005821</v>
      </c>
      <c r="AJ16" s="132">
        <v>1009455.0000001007</v>
      </c>
      <c r="AK16" s="21"/>
    </row>
    <row r="17" spans="1:37" ht="15">
      <c r="A17" s="19"/>
      <c r="B17" s="81">
        <v>11</v>
      </c>
      <c r="C17" s="158">
        <v>83</v>
      </c>
      <c r="D17" s="158">
        <v>520</v>
      </c>
      <c r="E17" s="123">
        <v>16840.000000000146</v>
      </c>
      <c r="F17" s="123">
        <v>18314661.960000161</v>
      </c>
      <c r="G17" s="110">
        <v>3880.0000000001091</v>
      </c>
      <c r="H17" s="110">
        <v>6329651.5800001789</v>
      </c>
      <c r="I17" s="105">
        <f>F17+H17</f>
        <v>24644313.540000342</v>
      </c>
      <c r="J17" s="157">
        <v>1599.9999999999091</v>
      </c>
      <c r="K17" s="157">
        <v>1740110.399999901</v>
      </c>
      <c r="L17" s="119">
        <v>480.00000000001819</v>
      </c>
      <c r="M17" s="121">
        <v>783049.68000002974</v>
      </c>
      <c r="N17" s="107">
        <f>K17+M17</f>
        <v>2523160.0799999307</v>
      </c>
      <c r="O17" s="105">
        <f>I17+N17</f>
        <v>27167473.620000273</v>
      </c>
      <c r="P17" s="107">
        <f>E17+G17+J17+L17</f>
        <v>22800.000000000182</v>
      </c>
      <c r="Q17" s="122">
        <f>R17+T17</f>
        <v>715</v>
      </c>
      <c r="R17" s="123">
        <v>224</v>
      </c>
      <c r="S17" s="123">
        <v>4220832</v>
      </c>
      <c r="T17" s="116">
        <v>491</v>
      </c>
      <c r="U17" s="116">
        <v>2311588.7200000002</v>
      </c>
      <c r="V17" s="114">
        <f>S17+U17</f>
        <v>6532420.7200000007</v>
      </c>
      <c r="W17" s="125">
        <v>492.02019999997651</v>
      </c>
      <c r="X17" s="111">
        <v>104.72799999999999</v>
      </c>
      <c r="Y17" s="109">
        <v>67.670400000000726</v>
      </c>
      <c r="Z17" s="111">
        <v>0</v>
      </c>
      <c r="AA17" s="111">
        <v>23.845759999999832</v>
      </c>
      <c r="AB17" s="111">
        <v>0</v>
      </c>
      <c r="AC17" s="111">
        <v>12</v>
      </c>
      <c r="AD17" s="122">
        <f t="shared" si="0"/>
        <v>700.26435999997705</v>
      </c>
      <c r="AE17" s="109">
        <v>10823311.009867642</v>
      </c>
      <c r="AF17" s="112"/>
      <c r="AG17" s="128">
        <v>58.369999999995343</v>
      </c>
      <c r="AH17" s="130">
        <v>0</v>
      </c>
      <c r="AI17" s="129">
        <f>AG17+AH17</f>
        <v>58.369999999995343</v>
      </c>
      <c r="AJ17" s="132">
        <v>1009800.9999999194</v>
      </c>
      <c r="AK17" s="21"/>
    </row>
    <row r="18" spans="1:37" ht="15">
      <c r="A18" s="19"/>
      <c r="B18" s="64">
        <v>12</v>
      </c>
      <c r="C18" s="158">
        <v>77</v>
      </c>
      <c r="D18" s="158">
        <v>519</v>
      </c>
      <c r="E18" s="123">
        <v>17159.999999999854</v>
      </c>
      <c r="F18" s="123">
        <v>18662684.039999843</v>
      </c>
      <c r="G18" s="110">
        <v>4359.9999999996726</v>
      </c>
      <c r="H18" s="110">
        <v>7112701.2599994661</v>
      </c>
      <c r="I18" s="105">
        <f>F18+H18</f>
        <v>25775385.299999308</v>
      </c>
      <c r="J18" s="157">
        <v>1540.000000000191</v>
      </c>
      <c r="K18" s="157">
        <v>1674856.2600002079</v>
      </c>
      <c r="L18" s="119">
        <v>459.99999999997954</v>
      </c>
      <c r="M18" s="121">
        <v>750422.60999996669</v>
      </c>
      <c r="N18" s="107">
        <f>K18+M18</f>
        <v>2425278.8700001747</v>
      </c>
      <c r="O18" s="105">
        <f>I18+N18</f>
        <v>28200664.169999484</v>
      </c>
      <c r="P18" s="107">
        <f>E18+G18+J18+L18</f>
        <v>23519.999999999694</v>
      </c>
      <c r="Q18" s="122">
        <f>R18+T18</f>
        <v>683</v>
      </c>
      <c r="R18" s="123">
        <v>237</v>
      </c>
      <c r="S18" s="123">
        <v>4465791</v>
      </c>
      <c r="T18" s="116">
        <v>446</v>
      </c>
      <c r="U18" s="116">
        <v>2099732.3199999998</v>
      </c>
      <c r="V18" s="114">
        <f>S18+U18</f>
        <v>6565523.3200000003</v>
      </c>
      <c r="W18" s="125">
        <v>64.609120000032817</v>
      </c>
      <c r="X18" s="111">
        <v>119.26907999999867</v>
      </c>
      <c r="Y18" s="109">
        <v>52.766799999997794</v>
      </c>
      <c r="Z18" s="111">
        <v>0</v>
      </c>
      <c r="AA18" s="111">
        <v>28.397400000000271</v>
      </c>
      <c r="AB18" s="111">
        <v>0</v>
      </c>
      <c r="AC18" s="111">
        <v>0</v>
      </c>
      <c r="AD18" s="122">
        <f t="shared" si="0"/>
        <v>265.04240000002955</v>
      </c>
      <c r="AE18" s="109">
        <v>3870293.5431012586</v>
      </c>
      <c r="AF18" s="112"/>
      <c r="AG18" s="128">
        <v>382.95999999999185</v>
      </c>
      <c r="AH18" s="130">
        <v>0</v>
      </c>
      <c r="AI18" s="129">
        <f>AG18+AH18</f>
        <v>382.95999999999185</v>
      </c>
      <c r="AJ18" s="132">
        <v>6625207.9999998594</v>
      </c>
      <c r="AK18" s="21"/>
    </row>
    <row r="19" spans="1:37" ht="15">
      <c r="A19" s="19"/>
      <c r="B19" s="81">
        <v>13</v>
      </c>
      <c r="C19" s="158">
        <v>68</v>
      </c>
      <c r="D19" s="158">
        <v>465</v>
      </c>
      <c r="E19" s="123">
        <v>17560.00000000131</v>
      </c>
      <c r="F19" s="123">
        <v>19097711.640001424</v>
      </c>
      <c r="G19" s="110">
        <v>4039.9999999999636</v>
      </c>
      <c r="H19" s="110">
        <v>6590668.139999941</v>
      </c>
      <c r="I19" s="105">
        <f>F19+H19</f>
        <v>25688379.780001365</v>
      </c>
      <c r="J19" s="157">
        <v>1659.9999999998545</v>
      </c>
      <c r="K19" s="157">
        <v>1805364.5399998417</v>
      </c>
      <c r="L19" s="119">
        <v>460.00000000003638</v>
      </c>
      <c r="M19" s="121">
        <v>750422.61000005936</v>
      </c>
      <c r="N19" s="107">
        <f>K19+M19</f>
        <v>2555787.1499999012</v>
      </c>
      <c r="O19" s="105">
        <f>I19+N19</f>
        <v>28244166.930001266</v>
      </c>
      <c r="P19" s="107">
        <f>E19+G19+J19+L19</f>
        <v>23720.000000001164</v>
      </c>
      <c r="Q19" s="122">
        <f>R19+T19</f>
        <v>678</v>
      </c>
      <c r="R19" s="123">
        <v>236</v>
      </c>
      <c r="S19" s="123">
        <v>4446948</v>
      </c>
      <c r="T19" s="116">
        <v>442</v>
      </c>
      <c r="U19" s="116">
        <v>2080900.6400000001</v>
      </c>
      <c r="V19" s="114">
        <f>S19+U19</f>
        <v>6527848.6400000006</v>
      </c>
      <c r="W19" s="125">
        <v>0</v>
      </c>
      <c r="X19" s="111">
        <v>85.876960000002484</v>
      </c>
      <c r="Y19" s="109">
        <v>57.197599999999262</v>
      </c>
      <c r="Z19" s="111">
        <v>0</v>
      </c>
      <c r="AA19" s="111">
        <v>39.434119999999851</v>
      </c>
      <c r="AB19" s="111">
        <v>0.12083999999989009</v>
      </c>
      <c r="AC19" s="111">
        <v>0</v>
      </c>
      <c r="AD19" s="122">
        <f t="shared" si="0"/>
        <v>182.62952000000152</v>
      </c>
      <c r="AE19" s="109">
        <v>2372176.2048000293</v>
      </c>
      <c r="AF19" s="112"/>
      <c r="AG19" s="128">
        <v>377.77000000000407</v>
      </c>
      <c r="AH19" s="130">
        <v>0</v>
      </c>
      <c r="AI19" s="129">
        <f>AG19+AH19</f>
        <v>377.77000000000407</v>
      </c>
      <c r="AJ19" s="132">
        <v>6535421.0000000708</v>
      </c>
      <c r="AK19" s="21"/>
    </row>
    <row r="20" spans="1:37" ht="15">
      <c r="A20" s="19"/>
      <c r="B20" s="64">
        <v>14</v>
      </c>
      <c r="C20" s="158">
        <v>61</v>
      </c>
      <c r="D20" s="158">
        <v>410</v>
      </c>
      <c r="E20" s="123">
        <v>17119.999999998981</v>
      </c>
      <c r="F20" s="123">
        <v>18619181.279998891</v>
      </c>
      <c r="G20" s="110">
        <v>4160.0000000003092</v>
      </c>
      <c r="H20" s="110">
        <v>6786430.5600005053</v>
      </c>
      <c r="I20" s="105">
        <f>F20+H20</f>
        <v>25405611.839999396</v>
      </c>
      <c r="J20" s="157">
        <v>1500</v>
      </c>
      <c r="K20" s="157">
        <v>1631353.5</v>
      </c>
      <c r="L20" s="119">
        <v>459.99999999997954</v>
      </c>
      <c r="M20" s="121">
        <v>750422.60999996669</v>
      </c>
      <c r="N20" s="107">
        <f>K20+M20</f>
        <v>2381776.1099999668</v>
      </c>
      <c r="O20" s="105">
        <f>I20+N20</f>
        <v>27787387.949999362</v>
      </c>
      <c r="P20" s="107">
        <f>E20+G20+J20+L20</f>
        <v>23239.999999999269</v>
      </c>
      <c r="Q20" s="122">
        <f>R20+T20</f>
        <v>633</v>
      </c>
      <c r="R20" s="123">
        <v>290</v>
      </c>
      <c r="S20" s="123">
        <v>5464470</v>
      </c>
      <c r="T20" s="116">
        <v>343</v>
      </c>
      <c r="U20" s="116">
        <v>1614816.56</v>
      </c>
      <c r="V20" s="114">
        <f>S20+U20</f>
        <v>7079286.5600000005</v>
      </c>
      <c r="W20" s="125">
        <v>41.649519999985927</v>
      </c>
      <c r="X20" s="111">
        <v>80.398880000000133</v>
      </c>
      <c r="Y20" s="109">
        <v>58.567119999999846</v>
      </c>
      <c r="Z20" s="111">
        <v>0</v>
      </c>
      <c r="AA20" s="111">
        <v>31.579520000000127</v>
      </c>
      <c r="AB20" s="111">
        <v>0</v>
      </c>
      <c r="AC20" s="111">
        <v>12</v>
      </c>
      <c r="AD20" s="122">
        <f t="shared" si="0"/>
        <v>224.19503999998602</v>
      </c>
      <c r="AE20" s="109">
        <v>3173258.6284365775</v>
      </c>
      <c r="AF20" s="112"/>
      <c r="AG20" s="128">
        <v>388.30000000000291</v>
      </c>
      <c r="AH20" s="130">
        <v>0</v>
      </c>
      <c r="AI20" s="129">
        <f>AG20+AH20</f>
        <v>388.30000000000291</v>
      </c>
      <c r="AJ20" s="132">
        <v>6717590.0000000503</v>
      </c>
      <c r="AK20" s="21"/>
    </row>
    <row r="21" spans="1:37" ht="15">
      <c r="A21" s="19"/>
      <c r="B21" s="81">
        <v>15</v>
      </c>
      <c r="C21" s="159">
        <v>57</v>
      </c>
      <c r="D21" s="159">
        <v>385</v>
      </c>
      <c r="E21" s="116">
        <v>15920.000000000073</v>
      </c>
      <c r="F21" s="116">
        <v>17314098.480000079</v>
      </c>
      <c r="G21" s="113">
        <v>3920.0000000000728</v>
      </c>
      <c r="H21" s="113">
        <v>6394905.7200001189</v>
      </c>
      <c r="I21" s="105">
        <f>F21+H21</f>
        <v>23709004.200000197</v>
      </c>
      <c r="J21" s="113">
        <v>1519.9999999999818</v>
      </c>
      <c r="K21" s="113">
        <v>1653104.8799999803</v>
      </c>
      <c r="L21" s="113">
        <v>439.99999999999773</v>
      </c>
      <c r="M21" s="116">
        <v>717795.53999999643</v>
      </c>
      <c r="N21" s="107">
        <f>K21+M21</f>
        <v>2370900.4199999766</v>
      </c>
      <c r="O21" s="105">
        <f>I21+N21</f>
        <v>26079904.620000172</v>
      </c>
      <c r="P21" s="107">
        <f>E21+G21+J21+L21</f>
        <v>21800.000000000124</v>
      </c>
      <c r="Q21" s="122">
        <f>R21+T21</f>
        <v>664</v>
      </c>
      <c r="R21" s="123">
        <v>240</v>
      </c>
      <c r="S21" s="123">
        <v>4522320</v>
      </c>
      <c r="T21" s="116">
        <v>424</v>
      </c>
      <c r="U21" s="116">
        <v>1996158.08</v>
      </c>
      <c r="V21" s="114">
        <f>S21+U21</f>
        <v>6518478.0800000001</v>
      </c>
      <c r="W21" s="125">
        <v>92.08008000000234</v>
      </c>
      <c r="X21" s="111">
        <v>82.090639999996768</v>
      </c>
      <c r="Y21" s="109">
        <v>43.703800000001458</v>
      </c>
      <c r="Z21" s="111">
        <v>100</v>
      </c>
      <c r="AA21" s="111">
        <v>23.765199999999904</v>
      </c>
      <c r="AB21" s="111">
        <v>0</v>
      </c>
      <c r="AC21" s="111">
        <v>24</v>
      </c>
      <c r="AD21" s="122">
        <f t="shared" si="0"/>
        <v>365.63972000000041</v>
      </c>
      <c r="AE21" s="109">
        <v>5620424.7828272078</v>
      </c>
      <c r="AF21" s="112"/>
      <c r="AG21" s="128">
        <v>344.05000000000291</v>
      </c>
      <c r="AH21" s="130">
        <v>0</v>
      </c>
      <c r="AI21" s="129">
        <f>AG21+AH21</f>
        <v>344.05000000000291</v>
      </c>
      <c r="AJ21" s="132">
        <v>5952065.0000000503</v>
      </c>
      <c r="AK21" s="21"/>
    </row>
    <row r="22" spans="1:37" ht="15">
      <c r="A22" s="19"/>
      <c r="B22" s="64">
        <v>16</v>
      </c>
      <c r="C22" s="159">
        <v>63</v>
      </c>
      <c r="D22" s="159">
        <v>345</v>
      </c>
      <c r="E22" s="116">
        <v>15960.000000000946</v>
      </c>
      <c r="F22" s="116">
        <v>17357601.240001027</v>
      </c>
      <c r="G22" s="113">
        <v>3719.9999999997999</v>
      </c>
      <c r="H22" s="113">
        <v>6068635.0199996736</v>
      </c>
      <c r="I22" s="105">
        <f>F22+H22</f>
        <v>23426236.260000698</v>
      </c>
      <c r="J22" s="113">
        <v>1460.0000000000364</v>
      </c>
      <c r="K22" s="113">
        <v>1587850.7400000396</v>
      </c>
      <c r="L22" s="113">
        <v>439.99999999999773</v>
      </c>
      <c r="M22" s="116">
        <v>717795.53999999643</v>
      </c>
      <c r="N22" s="107">
        <f>K22+M22</f>
        <v>2305646.2800000361</v>
      </c>
      <c r="O22" s="105">
        <f>I22+N22</f>
        <v>25731882.540000733</v>
      </c>
      <c r="P22" s="107">
        <f>E22+G22+J22+L22</f>
        <v>21580.000000000779</v>
      </c>
      <c r="Q22" s="122">
        <f>R22+T22</f>
        <v>663</v>
      </c>
      <c r="R22" s="123">
        <v>221</v>
      </c>
      <c r="S22" s="123">
        <v>4164303</v>
      </c>
      <c r="T22" s="116">
        <v>442</v>
      </c>
      <c r="U22" s="116">
        <v>2080900.6400000001</v>
      </c>
      <c r="V22" s="114">
        <f>S22+U22</f>
        <v>6245203.6400000006</v>
      </c>
      <c r="W22" s="125">
        <v>26.947320000009377</v>
      </c>
      <c r="X22" s="111">
        <v>86.561720000002779</v>
      </c>
      <c r="Y22" s="109">
        <v>60.178319999998379</v>
      </c>
      <c r="Z22" s="111"/>
      <c r="AA22" s="111">
        <v>26.423679999999777</v>
      </c>
      <c r="AB22" s="111">
        <v>0</v>
      </c>
      <c r="AC22" s="111">
        <v>0</v>
      </c>
      <c r="AD22" s="122">
        <f t="shared" si="0"/>
        <v>200.11104000001029</v>
      </c>
      <c r="AE22" s="109">
        <v>2857514.0518889669</v>
      </c>
      <c r="AF22" s="112"/>
      <c r="AG22" s="128">
        <v>325.55000000000291</v>
      </c>
      <c r="AH22" s="130">
        <v>0</v>
      </c>
      <c r="AI22" s="129">
        <f>AG22+AH22</f>
        <v>325.55000000000291</v>
      </c>
      <c r="AJ22" s="132">
        <v>5632015.0000000503</v>
      </c>
      <c r="AK22" s="21"/>
    </row>
    <row r="23" spans="1:37" ht="15">
      <c r="A23" s="19"/>
      <c r="B23" s="81">
        <v>17</v>
      </c>
      <c r="C23" s="159">
        <v>54</v>
      </c>
      <c r="D23" s="159">
        <v>420</v>
      </c>
      <c r="E23" s="116">
        <v>16279.999999998836</v>
      </c>
      <c r="F23" s="116">
        <v>17705623.319998737</v>
      </c>
      <c r="G23" s="113">
        <v>4079.9999999999272</v>
      </c>
      <c r="H23" s="113">
        <v>6655922.279999882</v>
      </c>
      <c r="I23" s="105">
        <f>F23+H23</f>
        <v>24361545.599998619</v>
      </c>
      <c r="J23" s="113">
        <v>1579.9999999999272</v>
      </c>
      <c r="K23" s="113">
        <v>1718359.0199999211</v>
      </c>
      <c r="L23" s="113">
        <v>439.99999999999773</v>
      </c>
      <c r="M23" s="116">
        <v>717795.53999999643</v>
      </c>
      <c r="N23" s="107">
        <f>K23+M23</f>
        <v>2436154.5599999176</v>
      </c>
      <c r="O23" s="105">
        <f>I23+N23</f>
        <v>26797700.159998536</v>
      </c>
      <c r="P23" s="107">
        <f>E23+G23+J23+L23</f>
        <v>22379.999999998687</v>
      </c>
      <c r="Q23" s="122">
        <f>R23+T23</f>
        <v>761</v>
      </c>
      <c r="R23" s="123">
        <v>242</v>
      </c>
      <c r="S23" s="123">
        <v>4560006</v>
      </c>
      <c r="T23" s="116">
        <v>519</v>
      </c>
      <c r="U23" s="116">
        <v>2443410.48</v>
      </c>
      <c r="V23" s="114">
        <f>S23+U23</f>
        <v>7003416.4800000004</v>
      </c>
      <c r="W23" s="125">
        <v>213.04091999999764</v>
      </c>
      <c r="X23" s="111">
        <v>95.826119999999847</v>
      </c>
      <c r="Y23" s="109">
        <v>42.938480000003075</v>
      </c>
      <c r="Z23" s="111">
        <v>0</v>
      </c>
      <c r="AA23" s="111">
        <v>34.439400000000269</v>
      </c>
      <c r="AB23" s="111">
        <v>0</v>
      </c>
      <c r="AC23" s="111">
        <v>12</v>
      </c>
      <c r="AD23" s="122">
        <f t="shared" si="0"/>
        <v>398.24492000000083</v>
      </c>
      <c r="AE23" s="109">
        <v>5870249.1965128109</v>
      </c>
      <c r="AF23" s="112"/>
      <c r="AG23" s="128">
        <v>270.67999999999302</v>
      </c>
      <c r="AH23" s="130">
        <v>0</v>
      </c>
      <c r="AI23" s="129">
        <f>AG23+AH23</f>
        <v>270.67999999999302</v>
      </c>
      <c r="AJ23" s="132">
        <v>4682763.9999998789</v>
      </c>
      <c r="AK23" s="21"/>
    </row>
    <row r="24" spans="1:37" ht="15">
      <c r="A24" s="19"/>
      <c r="B24" s="64">
        <v>18</v>
      </c>
      <c r="C24" s="159">
        <v>61</v>
      </c>
      <c r="D24" s="159">
        <v>357</v>
      </c>
      <c r="E24" s="116">
        <v>16319.999999999709</v>
      </c>
      <c r="F24" s="116">
        <v>17749126.079999685</v>
      </c>
      <c r="G24" s="113">
        <v>3720.0000000002547</v>
      </c>
      <c r="H24" s="113">
        <v>6068635.0200004159</v>
      </c>
      <c r="I24" s="105">
        <f>F24+H24</f>
        <v>23817761.100000102</v>
      </c>
      <c r="J24" s="113">
        <v>1660.0000000000819</v>
      </c>
      <c r="K24" s="117">
        <v>1805364.5400000892</v>
      </c>
      <c r="L24" s="113">
        <v>439.99999999999773</v>
      </c>
      <c r="M24" s="116">
        <v>717795.53999999643</v>
      </c>
      <c r="N24" s="107">
        <f>K24+M24</f>
        <v>2523160.0800000858</v>
      </c>
      <c r="O24" s="105">
        <f>I24+N24</f>
        <v>26340921.180000186</v>
      </c>
      <c r="P24" s="107">
        <f>E24+G24+J24+L24</f>
        <v>22140.00000000004</v>
      </c>
      <c r="Q24" s="122">
        <f>R24+T24</f>
        <v>766</v>
      </c>
      <c r="R24" s="123">
        <v>219</v>
      </c>
      <c r="S24" s="123">
        <v>4126617</v>
      </c>
      <c r="T24" s="116">
        <v>547</v>
      </c>
      <c r="U24" s="116">
        <v>2575232.2400000002</v>
      </c>
      <c r="V24" s="114">
        <f>S24+U24</f>
        <v>6701849.2400000002</v>
      </c>
      <c r="W24" s="125">
        <v>412.66859999998826</v>
      </c>
      <c r="X24" s="111">
        <v>96.510880000000142</v>
      </c>
      <c r="Y24" s="109">
        <v>59.533839999998968</v>
      </c>
      <c r="Z24" s="111">
        <v>0</v>
      </c>
      <c r="AA24" s="111">
        <v>35.406119999999852</v>
      </c>
      <c r="AB24" s="111">
        <v>0</v>
      </c>
      <c r="AC24" s="111">
        <v>132</v>
      </c>
      <c r="AD24" s="122">
        <f t="shared" si="0"/>
        <v>736.11943999998721</v>
      </c>
      <c r="AE24" s="109">
        <v>11431955.557923799</v>
      </c>
      <c r="AF24" s="112"/>
      <c r="AG24" s="128">
        <v>79.180000000007567</v>
      </c>
      <c r="AH24" s="130">
        <v>0</v>
      </c>
      <c r="AI24" s="129">
        <f>AG24+AH24</f>
        <v>79.180000000007567</v>
      </c>
      <c r="AJ24" s="132">
        <v>1369814.0000001309</v>
      </c>
      <c r="AK24" s="21"/>
    </row>
    <row r="25" spans="1:37" ht="15">
      <c r="A25" s="19"/>
      <c r="B25" s="81">
        <v>19</v>
      </c>
      <c r="C25" s="159">
        <v>67</v>
      </c>
      <c r="D25" s="159">
        <v>388</v>
      </c>
      <c r="E25" s="116">
        <v>18280.000000000655</v>
      </c>
      <c r="F25" s="116">
        <v>19880761.320000712</v>
      </c>
      <c r="G25" s="113">
        <v>4199.9999999998181</v>
      </c>
      <c r="H25" s="113">
        <v>6851684.699999704</v>
      </c>
      <c r="I25" s="105">
        <f>F25+H25</f>
        <v>26732446.020000417</v>
      </c>
      <c r="J25" s="113">
        <v>1420.0000000000728</v>
      </c>
      <c r="K25" s="113">
        <v>1544347.9800000791</v>
      </c>
      <c r="L25" s="113">
        <v>439.99999999999773</v>
      </c>
      <c r="M25" s="116">
        <v>717795.53999999643</v>
      </c>
      <c r="N25" s="107">
        <f>K25+M25</f>
        <v>2262143.5200000755</v>
      </c>
      <c r="O25" s="105">
        <f>I25+N25</f>
        <v>28994589.540000491</v>
      </c>
      <c r="P25" s="107">
        <f>E25+G25+J25+L25</f>
        <v>24340.000000000542</v>
      </c>
      <c r="Q25" s="122">
        <f>R25+T25</f>
        <v>595</v>
      </c>
      <c r="R25" s="123">
        <v>262</v>
      </c>
      <c r="S25" s="123">
        <v>4936866</v>
      </c>
      <c r="T25" s="116">
        <v>333</v>
      </c>
      <c r="U25" s="116">
        <v>1567737.36</v>
      </c>
      <c r="V25" s="114">
        <f>S25+U25</f>
        <v>6504603.3600000003</v>
      </c>
      <c r="W25" s="125">
        <v>335.08932000000937</v>
      </c>
      <c r="X25" s="111">
        <v>104.4460399999975</v>
      </c>
      <c r="Y25" s="109">
        <v>61.507559999998087</v>
      </c>
      <c r="Z25" s="111">
        <v>0</v>
      </c>
      <c r="AA25" s="111">
        <v>35.808919999999944</v>
      </c>
      <c r="AB25" s="111">
        <v>0</v>
      </c>
      <c r="AC25" s="111">
        <v>0</v>
      </c>
      <c r="AD25" s="122">
        <f t="shared" si="0"/>
        <v>536.85184000000481</v>
      </c>
      <c r="AE25" s="109">
        <v>8030956.8549688738</v>
      </c>
      <c r="AF25" s="112"/>
      <c r="AG25" s="128">
        <v>61.110000000000582</v>
      </c>
      <c r="AH25" s="130">
        <v>0</v>
      </c>
      <c r="AI25" s="129">
        <f>AG25+AH25</f>
        <v>61.110000000000582</v>
      </c>
      <c r="AJ25" s="132">
        <v>1057203.00000001</v>
      </c>
      <c r="AK25" s="21"/>
    </row>
    <row r="26" spans="1:37" ht="15">
      <c r="A26" s="19"/>
      <c r="B26" s="64">
        <v>20</v>
      </c>
      <c r="C26" s="159">
        <v>65</v>
      </c>
      <c r="D26" s="159">
        <v>416</v>
      </c>
      <c r="E26" s="116">
        <v>14479.999999999563</v>
      </c>
      <c r="F26" s="116">
        <v>15747999.119999526</v>
      </c>
      <c r="G26" s="113">
        <v>3759.9999999997635</v>
      </c>
      <c r="H26" s="113">
        <v>6133889.1599996155</v>
      </c>
      <c r="I26" s="105">
        <f>F26+H26</f>
        <v>21881888.279999141</v>
      </c>
      <c r="J26" s="113">
        <v>1359.9999999999</v>
      </c>
      <c r="K26" s="113">
        <v>1479093.8399998914</v>
      </c>
      <c r="L26" s="113">
        <v>520.00000000003865</v>
      </c>
      <c r="M26" s="116">
        <v>848303.82000006316</v>
      </c>
      <c r="N26" s="107">
        <f>K26+M26</f>
        <v>2327397.6599999545</v>
      </c>
      <c r="O26" s="105">
        <f>I26+N26</f>
        <v>24209285.939999096</v>
      </c>
      <c r="P26" s="107">
        <f>E26+G26+J26+L26</f>
        <v>20119.999999999269</v>
      </c>
      <c r="Q26" s="122">
        <f>R26+T26</f>
        <v>695</v>
      </c>
      <c r="R26" s="123">
        <v>243</v>
      </c>
      <c r="S26" s="123">
        <v>4578849</v>
      </c>
      <c r="T26" s="116">
        <v>452</v>
      </c>
      <c r="U26" s="116">
        <v>2127979.84</v>
      </c>
      <c r="V26" s="114">
        <f>S26+U26</f>
        <v>6706828.8399999999</v>
      </c>
      <c r="W26" s="125">
        <v>379.92096000002812</v>
      </c>
      <c r="X26" s="111">
        <v>81.889239999999702</v>
      </c>
      <c r="Y26" s="109">
        <v>53.370999999999995</v>
      </c>
      <c r="Z26" s="111">
        <v>0</v>
      </c>
      <c r="AA26" s="111">
        <v>30.773919999999944</v>
      </c>
      <c r="AB26" s="111">
        <v>0</v>
      </c>
      <c r="AC26" s="111">
        <v>12</v>
      </c>
      <c r="AD26" s="122">
        <f t="shared" si="0"/>
        <v>557.95512000002782</v>
      </c>
      <c r="AE26" s="109">
        <v>8441398.6771268379</v>
      </c>
      <c r="AF26" s="112"/>
      <c r="AG26" s="128">
        <v>63.619999999995343</v>
      </c>
      <c r="AH26" s="130">
        <v>0</v>
      </c>
      <c r="AI26" s="129">
        <f>AG26+AH26</f>
        <v>63.619999999995343</v>
      </c>
      <c r="AJ26" s="132">
        <v>1100625.9999999194</v>
      </c>
      <c r="AK26" s="21"/>
    </row>
    <row r="27" spans="1:37" ht="15">
      <c r="A27" s="19"/>
      <c r="B27" s="81">
        <v>21</v>
      </c>
      <c r="C27" s="158">
        <v>85</v>
      </c>
      <c r="D27" s="158">
        <v>546</v>
      </c>
      <c r="E27" s="123">
        <v>16600.000000000364</v>
      </c>
      <c r="F27" s="123">
        <v>18053645.400000397</v>
      </c>
      <c r="G27" s="110">
        <v>4160.0000000003092</v>
      </c>
      <c r="H27" s="110">
        <v>6786430.5600005053</v>
      </c>
      <c r="I27" s="105">
        <f>F27+H27</f>
        <v>24840075.960000902</v>
      </c>
      <c r="J27" s="157">
        <v>1680.0000000000637</v>
      </c>
      <c r="K27" s="157">
        <v>1827115.9200000691</v>
      </c>
      <c r="L27" s="119">
        <v>539.99999999996362</v>
      </c>
      <c r="M27" s="121">
        <v>880930.88999994064</v>
      </c>
      <c r="N27" s="107">
        <f>K27+M27</f>
        <v>2708046.8100000098</v>
      </c>
      <c r="O27" s="105">
        <f>I27+N27</f>
        <v>27548122.770000912</v>
      </c>
      <c r="P27" s="107">
        <f>E27+G27+J27+L27</f>
        <v>22980.000000000698</v>
      </c>
      <c r="Q27" s="122">
        <f>R27+T27</f>
        <v>466</v>
      </c>
      <c r="R27" s="123">
        <v>108</v>
      </c>
      <c r="S27" s="123">
        <v>2035044</v>
      </c>
      <c r="T27" s="116">
        <v>358</v>
      </c>
      <c r="U27" s="116">
        <v>1685435.36</v>
      </c>
      <c r="V27" s="114">
        <f>S27+U27</f>
        <v>3720479.3600000003</v>
      </c>
      <c r="W27" s="125">
        <v>298.5956399999601</v>
      </c>
      <c r="X27" s="111">
        <v>81.486440000001892</v>
      </c>
      <c r="Y27" s="109">
        <v>60.903359999999552</v>
      </c>
      <c r="Z27" s="111">
        <v>100</v>
      </c>
      <c r="AA27" s="111">
        <v>22.153999999999996</v>
      </c>
      <c r="AB27" s="111">
        <v>0</v>
      </c>
      <c r="AC27" s="111">
        <v>36</v>
      </c>
      <c r="AD27" s="122">
        <f t="shared" si="0"/>
        <v>599.1394399999615</v>
      </c>
      <c r="AE27" s="109">
        <v>9362298.7147169951</v>
      </c>
      <c r="AF27" s="112"/>
      <c r="AG27" s="128">
        <v>41.660000000003492</v>
      </c>
      <c r="AH27" s="130">
        <v>0</v>
      </c>
      <c r="AI27" s="129">
        <f>AG27+AH27</f>
        <v>41.660000000003492</v>
      </c>
      <c r="AJ27" s="132">
        <v>720718.00000006042</v>
      </c>
      <c r="AK27" s="21"/>
    </row>
    <row r="28" spans="1:37" ht="15">
      <c r="A28" s="19"/>
      <c r="B28" s="64">
        <v>22</v>
      </c>
      <c r="C28" s="158">
        <v>83</v>
      </c>
      <c r="D28" s="158">
        <v>598</v>
      </c>
      <c r="E28" s="123">
        <v>16079.999999999927</v>
      </c>
      <c r="F28" s="123">
        <v>17488109.519999921</v>
      </c>
      <c r="G28" s="110">
        <v>4039.9999999999636</v>
      </c>
      <c r="H28" s="110">
        <v>6590668.139999941</v>
      </c>
      <c r="I28" s="105">
        <f>F28+H28</f>
        <v>24078777.659999862</v>
      </c>
      <c r="J28" s="157">
        <v>1619.9999999998909</v>
      </c>
      <c r="K28" s="157">
        <v>1761861.7799998813</v>
      </c>
      <c r="L28" s="119">
        <v>500</v>
      </c>
      <c r="M28" s="121">
        <v>815676.75</v>
      </c>
      <c r="N28" s="107">
        <f>K28+M28</f>
        <v>2577538.5299998811</v>
      </c>
      <c r="O28" s="105">
        <f>I28+N28</f>
        <v>26656316.189999744</v>
      </c>
      <c r="P28" s="107">
        <f>E28+G28+J28+L28</f>
        <v>22239.999999999782</v>
      </c>
      <c r="Q28" s="122">
        <f>R28+T28</f>
        <v>788</v>
      </c>
      <c r="R28" s="123">
        <v>244</v>
      </c>
      <c r="S28" s="123">
        <v>4597692</v>
      </c>
      <c r="T28" s="116">
        <v>544</v>
      </c>
      <c r="U28" s="116">
        <v>2561108.48</v>
      </c>
      <c r="V28" s="114">
        <f>S28+U28</f>
        <v>7158800.4800000004</v>
      </c>
      <c r="W28" s="125">
        <v>361.75467999999057</v>
      </c>
      <c r="X28" s="111">
        <v>106.41976000000028</v>
      </c>
      <c r="Y28" s="109">
        <v>72.020640000000427</v>
      </c>
      <c r="Z28" s="111"/>
      <c r="AA28" s="111">
        <v>17.038440000000072</v>
      </c>
      <c r="AB28" s="111">
        <v>0</v>
      </c>
      <c r="AC28" s="111">
        <v>0</v>
      </c>
      <c r="AD28" s="122">
        <f t="shared" si="0"/>
        <v>557.23351999999136</v>
      </c>
      <c r="AE28" s="109">
        <v>8658109.8119910639</v>
      </c>
      <c r="AF28" s="112"/>
      <c r="AG28" s="128">
        <v>63.479999999995925</v>
      </c>
      <c r="AH28" s="130">
        <v>0</v>
      </c>
      <c r="AI28" s="129">
        <f>AG28+AH28</f>
        <v>63.479999999995925</v>
      </c>
      <c r="AJ28" s="132">
        <v>1098203.9999999295</v>
      </c>
      <c r="AK28" s="21"/>
    </row>
    <row r="29" spans="1:37" ht="15">
      <c r="A29" s="19"/>
      <c r="B29" s="81">
        <v>23</v>
      </c>
      <c r="C29" s="158">
        <v>91</v>
      </c>
      <c r="D29" s="158">
        <v>521</v>
      </c>
      <c r="E29" s="123">
        <v>17040.000000000873</v>
      </c>
      <c r="F29" s="123">
        <v>18532175.760000952</v>
      </c>
      <c r="G29" s="110">
        <v>4239.9999999997817</v>
      </c>
      <c r="H29" s="110">
        <v>6916938.8399996441</v>
      </c>
      <c r="I29" s="105">
        <f>F29+H29</f>
        <v>25449114.600000598</v>
      </c>
      <c r="J29" s="157">
        <v>1519.9999999999818</v>
      </c>
      <c r="K29" s="157">
        <v>1653104.8799999803</v>
      </c>
      <c r="L29" s="119">
        <v>519.99999999998181</v>
      </c>
      <c r="M29" s="121">
        <v>848303.81999997038</v>
      </c>
      <c r="N29" s="107">
        <f>K29+M29</f>
        <v>2501408.6999999508</v>
      </c>
      <c r="O29" s="105">
        <f>I29+N29</f>
        <v>27950523.300000548</v>
      </c>
      <c r="P29" s="107">
        <f>E29+G29+J29+L29</f>
        <v>23320.000000000618</v>
      </c>
      <c r="Q29" s="122">
        <f>R29+T29</f>
        <v>786</v>
      </c>
      <c r="R29" s="123">
        <v>237</v>
      </c>
      <c r="S29" s="123">
        <v>4465791</v>
      </c>
      <c r="T29" s="116">
        <v>549</v>
      </c>
      <c r="U29" s="116">
        <v>2584648.08</v>
      </c>
      <c r="V29" s="114">
        <f>S29+U29</f>
        <v>7050439.0800000001</v>
      </c>
      <c r="W29" s="125">
        <v>415.85072000002106</v>
      </c>
      <c r="X29" s="111">
        <v>98.76655999999808</v>
      </c>
      <c r="Y29" s="109">
        <v>59.453280000000873</v>
      </c>
      <c r="Z29" s="111">
        <v>0</v>
      </c>
      <c r="AA29" s="111">
        <v>22.677639999999979</v>
      </c>
      <c r="AB29" s="111">
        <v>0</v>
      </c>
      <c r="AC29" s="111">
        <v>0</v>
      </c>
      <c r="AD29" s="122">
        <f t="shared" si="0"/>
        <v>596.74820000002001</v>
      </c>
      <c r="AE29" s="109">
        <v>9175154.4300451148</v>
      </c>
      <c r="AF29" s="112"/>
      <c r="AG29" s="128">
        <v>60</v>
      </c>
      <c r="AH29" s="130">
        <v>0</v>
      </c>
      <c r="AI29" s="129">
        <f>AG29+AH29</f>
        <v>60</v>
      </c>
      <c r="AJ29" s="132">
        <v>1038000</v>
      </c>
      <c r="AK29" s="21"/>
    </row>
    <row r="30" spans="1:37" ht="15">
      <c r="A30" s="19"/>
      <c r="B30" s="64">
        <v>24</v>
      </c>
      <c r="C30" s="158">
        <v>92</v>
      </c>
      <c r="D30" s="158">
        <v>517</v>
      </c>
      <c r="E30" s="123">
        <v>17479.999999999563</v>
      </c>
      <c r="F30" s="123">
        <v>19010706.119999524</v>
      </c>
      <c r="G30" s="110">
        <v>4360.0000000001273</v>
      </c>
      <c r="H30" s="110">
        <v>7112701.2600002084</v>
      </c>
      <c r="I30" s="105">
        <f>F30+H30</f>
        <v>26123407.379999734</v>
      </c>
      <c r="J30" s="157">
        <v>1440.0000000000546</v>
      </c>
      <c r="K30" s="157">
        <v>1566099.3600000595</v>
      </c>
      <c r="L30" s="119">
        <v>520.00000000003865</v>
      </c>
      <c r="M30" s="121">
        <v>848303.82000006316</v>
      </c>
      <c r="N30" s="107">
        <f>K30+M30</f>
        <v>2414403.1800001226</v>
      </c>
      <c r="O30" s="105">
        <f>I30+N30</f>
        <v>28537810.559999857</v>
      </c>
      <c r="P30" s="107">
        <f>E30+G30+J30+L30</f>
        <v>23799.999999999785</v>
      </c>
      <c r="Q30" s="122">
        <f>R30+T30</f>
        <v>752</v>
      </c>
      <c r="R30" s="123">
        <v>234</v>
      </c>
      <c r="S30" s="123">
        <v>4409262</v>
      </c>
      <c r="T30" s="116">
        <v>518</v>
      </c>
      <c r="U30" s="116">
        <v>2438702.56</v>
      </c>
      <c r="V30" s="114">
        <f>S30+U30</f>
        <v>6847964.5600000005</v>
      </c>
      <c r="W30" s="125">
        <v>365.37988000002576</v>
      </c>
      <c r="X30" s="111">
        <v>100.65972000000278</v>
      </c>
      <c r="Y30" s="109">
        <v>50.59168000000161</v>
      </c>
      <c r="Z30" s="111">
        <v>0</v>
      </c>
      <c r="AA30" s="111">
        <v>26.020880000000144</v>
      </c>
      <c r="AB30" s="111">
        <v>0</v>
      </c>
      <c r="AC30" s="111">
        <v>24</v>
      </c>
      <c r="AD30" s="122">
        <f t="shared" si="0"/>
        <v>566.65216000003034</v>
      </c>
      <c r="AE30" s="109">
        <v>8690432.4505596794</v>
      </c>
      <c r="AF30" s="112"/>
      <c r="AG30" s="128">
        <v>59.020000000004075</v>
      </c>
      <c r="AH30" s="130">
        <v>0</v>
      </c>
      <c r="AI30" s="129">
        <f>AG30+AH30</f>
        <v>59.020000000004075</v>
      </c>
      <c r="AJ30" s="132">
        <v>1021046.0000000705</v>
      </c>
      <c r="AK30" s="21"/>
    </row>
    <row r="31" spans="1:37" ht="15">
      <c r="A31" s="19"/>
      <c r="B31" s="81">
        <v>25</v>
      </c>
      <c r="C31" s="158">
        <v>84</v>
      </c>
      <c r="D31" s="158">
        <v>462</v>
      </c>
      <c r="E31" s="123">
        <v>18039.999999999054</v>
      </c>
      <c r="F31" s="123">
        <v>19619744.75999897</v>
      </c>
      <c r="G31" s="110">
        <v>3840.0000000001455</v>
      </c>
      <c r="H31" s="110">
        <v>6264397.4400002379</v>
      </c>
      <c r="I31" s="105">
        <f>F31+H31</f>
        <v>25884142.199999206</v>
      </c>
      <c r="J31" s="157">
        <v>1880.0000000001091</v>
      </c>
      <c r="K31" s="157">
        <v>2044629.7200001187</v>
      </c>
      <c r="L31" s="119">
        <v>539.99999999996362</v>
      </c>
      <c r="M31" s="121">
        <v>880930.88999994064</v>
      </c>
      <c r="N31" s="107">
        <f>K31+M31</f>
        <v>2925560.6100000595</v>
      </c>
      <c r="O31" s="105">
        <f>I31+N31</f>
        <v>28809702.809999265</v>
      </c>
      <c r="P31" s="107">
        <f>E31+G31+J31+L31</f>
        <v>24299.999999999272</v>
      </c>
      <c r="Q31" s="122">
        <f>R31+T31</f>
        <v>638</v>
      </c>
      <c r="R31" s="123">
        <v>247</v>
      </c>
      <c r="S31" s="123">
        <v>4654221</v>
      </c>
      <c r="T31" s="116">
        <v>391</v>
      </c>
      <c r="U31" s="116">
        <v>1840796.72</v>
      </c>
      <c r="V31" s="114">
        <f>S31+U31</f>
        <v>6495017.7199999997</v>
      </c>
      <c r="W31" s="125">
        <v>540.39647999995543</v>
      </c>
      <c r="X31" s="111">
        <v>91.073079999998669</v>
      </c>
      <c r="Y31" s="109">
        <v>54.176599999999262</v>
      </c>
      <c r="Z31" s="111">
        <v>0</v>
      </c>
      <c r="AA31" s="111">
        <v>27.954319999999758</v>
      </c>
      <c r="AB31" s="111">
        <v>0</v>
      </c>
      <c r="AC31" s="111">
        <v>36</v>
      </c>
      <c r="AD31" s="122">
        <f t="shared" si="0"/>
        <v>749.600479999953</v>
      </c>
      <c r="AE31" s="109">
        <v>11561369.971602464</v>
      </c>
      <c r="AF31" s="112"/>
      <c r="AG31" s="128">
        <v>61.829999999987194</v>
      </c>
      <c r="AH31" s="130">
        <v>0</v>
      </c>
      <c r="AI31" s="129">
        <f>AG31+AH31</f>
        <v>61.829999999987194</v>
      </c>
      <c r="AJ31" s="132">
        <v>1069658.9999997783</v>
      </c>
      <c r="AK31" s="21"/>
    </row>
    <row r="32" spans="1:37" ht="15">
      <c r="A32" s="19"/>
      <c r="B32" s="64">
        <v>26</v>
      </c>
      <c r="C32" s="158">
        <v>77</v>
      </c>
      <c r="D32" s="158">
        <v>473</v>
      </c>
      <c r="E32" s="123">
        <v>16600.000000000364</v>
      </c>
      <c r="F32" s="123">
        <v>18053645.400000397</v>
      </c>
      <c r="G32" s="110">
        <v>3920.0000000000728</v>
      </c>
      <c r="H32" s="110">
        <v>6394905.7200001189</v>
      </c>
      <c r="I32" s="105">
        <f>F32+H32</f>
        <v>24448551.120000515</v>
      </c>
      <c r="J32" s="157">
        <v>1500</v>
      </c>
      <c r="K32" s="157">
        <v>1631353.5</v>
      </c>
      <c r="L32" s="119">
        <v>439.99999999999773</v>
      </c>
      <c r="M32" s="121">
        <v>717795.53999999643</v>
      </c>
      <c r="N32" s="107">
        <f>K32+M32</f>
        <v>2349149.0399999963</v>
      </c>
      <c r="O32" s="105">
        <f>I32+N32</f>
        <v>26797700.160000511</v>
      </c>
      <c r="P32" s="107">
        <f>E32+G32+J32+L32</f>
        <v>22460.000000000433</v>
      </c>
      <c r="Q32" s="122">
        <f>R32+T32</f>
        <v>547</v>
      </c>
      <c r="R32" s="123">
        <v>235</v>
      </c>
      <c r="S32" s="123">
        <v>4428105</v>
      </c>
      <c r="T32" s="116">
        <v>312</v>
      </c>
      <c r="U32" s="116">
        <v>1468871.04</v>
      </c>
      <c r="V32" s="114">
        <f>S32+U32</f>
        <v>5896976.04</v>
      </c>
      <c r="W32" s="125">
        <v>418.18696000002808</v>
      </c>
      <c r="X32" s="111">
        <v>95.584439999998239</v>
      </c>
      <c r="Y32" s="109">
        <v>59.694959999998822</v>
      </c>
      <c r="Z32" s="111">
        <v>0</v>
      </c>
      <c r="AA32" s="111">
        <v>35.728360000000016</v>
      </c>
      <c r="AB32" s="111">
        <v>0</v>
      </c>
      <c r="AC32" s="111">
        <v>0</v>
      </c>
      <c r="AD32" s="122">
        <f t="shared" si="0"/>
        <v>609.1947200000252</v>
      </c>
      <c r="AE32" s="109">
        <v>9163210.1903667934</v>
      </c>
      <c r="AF32" s="112"/>
      <c r="AG32" s="128">
        <v>54.470000000001164</v>
      </c>
      <c r="AH32" s="130">
        <v>0</v>
      </c>
      <c r="AI32" s="129">
        <f>AG32+AH32</f>
        <v>54.470000000001164</v>
      </c>
      <c r="AJ32" s="132">
        <v>942331.00000002014</v>
      </c>
      <c r="AK32" s="21"/>
    </row>
    <row r="33" spans="1:37" ht="15">
      <c r="A33" s="19"/>
      <c r="B33" s="81">
        <v>27</v>
      </c>
      <c r="C33" s="158">
        <v>86</v>
      </c>
      <c r="D33" s="158">
        <v>492</v>
      </c>
      <c r="E33" s="123">
        <v>16040.000000000873</v>
      </c>
      <c r="F33" s="123">
        <v>17444606.760000952</v>
      </c>
      <c r="G33" s="110">
        <v>4279.9999999997453</v>
      </c>
      <c r="H33" s="110">
        <v>6982192.9799995851</v>
      </c>
      <c r="I33" s="105">
        <f>F33+H33</f>
        <v>24426799.740000539</v>
      </c>
      <c r="J33" s="157">
        <v>1440.0000000000546</v>
      </c>
      <c r="K33" s="157">
        <v>1566099.3600000595</v>
      </c>
      <c r="L33" s="119">
        <v>440.00000000005457</v>
      </c>
      <c r="M33" s="121">
        <v>717795.54000008909</v>
      </c>
      <c r="N33" s="107">
        <f>K33+M33</f>
        <v>2283894.9000001485</v>
      </c>
      <c r="O33" s="105">
        <f>I33+N33</f>
        <v>26710694.640000686</v>
      </c>
      <c r="P33" s="107">
        <f>E33+G33+J33+L33</f>
        <v>22200.000000000728</v>
      </c>
      <c r="Q33" s="122">
        <f>R33+T33</f>
        <v>680</v>
      </c>
      <c r="R33" s="123">
        <v>238</v>
      </c>
      <c r="S33" s="123">
        <v>4484634</v>
      </c>
      <c r="T33" s="116">
        <v>442</v>
      </c>
      <c r="U33" s="116">
        <v>2080900.6400000001</v>
      </c>
      <c r="V33" s="114">
        <f>S33+U33</f>
        <v>6565534.6400000006</v>
      </c>
      <c r="W33" s="125">
        <v>381.16964000001872</v>
      </c>
      <c r="X33" s="111">
        <v>116.08696000000248</v>
      </c>
      <c r="Y33" s="109">
        <v>51.679239999999702</v>
      </c>
      <c r="Z33" s="111">
        <v>100</v>
      </c>
      <c r="AA33" s="111">
        <v>38.209607999999953</v>
      </c>
      <c r="AB33" s="111">
        <v>0</v>
      </c>
      <c r="AC33" s="111">
        <v>0</v>
      </c>
      <c r="AD33" s="122">
        <f t="shared" si="0"/>
        <v>687.14544800002091</v>
      </c>
      <c r="AE33" s="109">
        <v>10445020.871877931</v>
      </c>
      <c r="AF33" s="112"/>
      <c r="AG33" s="128">
        <v>41.80000000000291</v>
      </c>
      <c r="AH33" s="130">
        <v>0</v>
      </c>
      <c r="AI33" s="129">
        <f>AG33+AH33</f>
        <v>41.80000000000291</v>
      </c>
      <c r="AJ33" s="132">
        <v>723140.00000005029</v>
      </c>
      <c r="AK33" s="21"/>
    </row>
    <row r="34" spans="1:37" ht="15">
      <c r="A34" s="19"/>
      <c r="B34" s="64">
        <v>28</v>
      </c>
      <c r="C34" s="158">
        <v>5</v>
      </c>
      <c r="D34" s="158">
        <v>107</v>
      </c>
      <c r="E34" s="123">
        <v>15279.999999998836</v>
      </c>
      <c r="F34" s="123">
        <v>16618054.319998734</v>
      </c>
      <c r="G34" s="110">
        <v>3599.9999999999091</v>
      </c>
      <c r="H34" s="110">
        <v>5872872.5999998525</v>
      </c>
      <c r="I34" s="105">
        <f>F34+H34</f>
        <v>22490926.919998586</v>
      </c>
      <c r="J34" s="157">
        <v>1399.9999999998636</v>
      </c>
      <c r="K34" s="157">
        <v>1522596.5999998518</v>
      </c>
      <c r="L34" s="119">
        <v>399.99999999997726</v>
      </c>
      <c r="M34" s="121">
        <v>652541.399999963</v>
      </c>
      <c r="N34" s="107">
        <f>K34+M34</f>
        <v>2175137.9999998147</v>
      </c>
      <c r="O34" s="105">
        <f>I34+N34</f>
        <v>24666064.9199984</v>
      </c>
      <c r="P34" s="107">
        <f>E34+G34+J34+L34</f>
        <v>20679.999999998588</v>
      </c>
      <c r="Q34" s="122">
        <f>R34+T34</f>
        <v>688</v>
      </c>
      <c r="R34" s="123">
        <v>250</v>
      </c>
      <c r="S34" s="123">
        <v>4710750</v>
      </c>
      <c r="T34" s="116">
        <v>438</v>
      </c>
      <c r="U34" s="116">
        <v>2062068.96</v>
      </c>
      <c r="V34" s="114">
        <f>S34+U34</f>
        <v>6772818.96</v>
      </c>
      <c r="W34" s="125">
        <v>388.58115999994601</v>
      </c>
      <c r="X34" s="111">
        <v>90.106359999999555</v>
      </c>
      <c r="Y34" s="109">
        <v>54.700239999999702</v>
      </c>
      <c r="Z34" s="111">
        <v>0</v>
      </c>
      <c r="AA34" s="111">
        <v>31.676192000000128</v>
      </c>
      <c r="AB34" s="111">
        <v>0</v>
      </c>
      <c r="AC34" s="111">
        <v>12</v>
      </c>
      <c r="AD34" s="122">
        <f t="shared" si="0"/>
        <v>577.0639519999454</v>
      </c>
      <c r="AE34" s="109">
        <v>8736121.7213935368</v>
      </c>
      <c r="AF34" s="112"/>
      <c r="AG34" s="128">
        <v>49.979999999995925</v>
      </c>
      <c r="AH34" s="130">
        <v>0</v>
      </c>
      <c r="AI34" s="129">
        <f>AG34+AH34</f>
        <v>49.979999999995925</v>
      </c>
      <c r="AJ34" s="132">
        <v>864653.99999992945</v>
      </c>
      <c r="AK34" s="21"/>
    </row>
    <row r="35" spans="1:37" ht="15">
      <c r="A35" s="19"/>
      <c r="B35" s="81">
        <v>29</v>
      </c>
      <c r="C35" s="158">
        <v>3</v>
      </c>
      <c r="D35" s="158">
        <v>66</v>
      </c>
      <c r="E35" s="123">
        <v>16480.000000001382</v>
      </c>
      <c r="F35" s="123">
        <v>17923137.120001506</v>
      </c>
      <c r="G35" s="110">
        <v>3960.0000000000364</v>
      </c>
      <c r="H35" s="110">
        <v>6460159.8600000599</v>
      </c>
      <c r="I35" s="105">
        <f>F35+H35</f>
        <v>24383296.980001565</v>
      </c>
      <c r="J35" s="157">
        <v>1600.0000000001364</v>
      </c>
      <c r="K35" s="157">
        <v>1740110.4000001485</v>
      </c>
      <c r="L35" s="119">
        <v>519.99999999998181</v>
      </c>
      <c r="M35" s="121">
        <v>848303.81999997038</v>
      </c>
      <c r="N35" s="107">
        <f>K35+M35</f>
        <v>2588414.2200001189</v>
      </c>
      <c r="O35" s="105">
        <f>I35+N35</f>
        <v>26971711.200001683</v>
      </c>
      <c r="P35" s="107">
        <f>E35+G35+J35+L35</f>
        <v>22560.000000001539</v>
      </c>
      <c r="Q35" s="122">
        <f>R35+T35</f>
        <v>518</v>
      </c>
      <c r="R35" s="123">
        <v>242</v>
      </c>
      <c r="S35" s="123">
        <v>4560006</v>
      </c>
      <c r="T35" s="116">
        <v>276</v>
      </c>
      <c r="U35" s="116">
        <v>1299385.92</v>
      </c>
      <c r="V35" s="114">
        <f>S35+U35</f>
        <v>5859391.9199999999</v>
      </c>
      <c r="W35" s="125">
        <v>319.46068000004919</v>
      </c>
      <c r="X35" s="111">
        <v>62.111760000000288</v>
      </c>
      <c r="Y35" s="109">
        <v>72.987359999999555</v>
      </c>
      <c r="Z35" s="111">
        <v>0</v>
      </c>
      <c r="AA35" s="111">
        <v>13.332680000000236</v>
      </c>
      <c r="AB35" s="111">
        <v>0</v>
      </c>
      <c r="AC35" s="111">
        <v>24</v>
      </c>
      <c r="AD35" s="122">
        <f t="shared" si="0"/>
        <v>491.89248000004926</v>
      </c>
      <c r="AE35" s="109">
        <v>7699155.0396319721</v>
      </c>
      <c r="AF35" s="112"/>
      <c r="AG35" s="128">
        <v>31.100000000005821</v>
      </c>
      <c r="AH35" s="130">
        <v>0</v>
      </c>
      <c r="AI35" s="129">
        <f>AG35+AH35</f>
        <v>31.100000000005821</v>
      </c>
      <c r="AJ35" s="132">
        <v>538030.0000001007</v>
      </c>
      <c r="AK35" s="21"/>
    </row>
    <row r="36" spans="1:37" ht="15">
      <c r="A36" s="19"/>
      <c r="B36" s="64">
        <v>30</v>
      </c>
      <c r="C36" s="158">
        <v>3</v>
      </c>
      <c r="D36" s="158">
        <v>62</v>
      </c>
      <c r="E36" s="123">
        <v>15599.999999998545</v>
      </c>
      <c r="F36" s="123">
        <v>16966076.399998419</v>
      </c>
      <c r="G36" s="110">
        <v>3559.9999999999454</v>
      </c>
      <c r="H36" s="110">
        <v>5807618.4599999115</v>
      </c>
      <c r="I36" s="105">
        <f>F36+H36</f>
        <v>22773694.85999833</v>
      </c>
      <c r="J36" s="157">
        <v>1379.9999999998818</v>
      </c>
      <c r="K36" s="157">
        <v>1500845.2199998714</v>
      </c>
      <c r="L36" s="119">
        <v>439.99999999999773</v>
      </c>
      <c r="M36" s="121">
        <v>717795.53999999643</v>
      </c>
      <c r="N36" s="107">
        <f>K36+M36</f>
        <v>2218640.759999868</v>
      </c>
      <c r="O36" s="105">
        <f>I36+N36</f>
        <v>24992335.619998198</v>
      </c>
      <c r="P36" s="107">
        <f>E36+G36+J36+L36</f>
        <v>20979.999999998367</v>
      </c>
      <c r="Q36" s="122">
        <f>R36+T36</f>
        <v>755</v>
      </c>
      <c r="R36" s="123">
        <v>238</v>
      </c>
      <c r="S36" s="123">
        <v>4484634</v>
      </c>
      <c r="T36" s="116">
        <v>517</v>
      </c>
      <c r="U36" s="116">
        <v>2433994.64</v>
      </c>
      <c r="V36" s="114">
        <f>S36+U36</f>
        <v>6918628.6400000006</v>
      </c>
      <c r="W36" s="125">
        <v>441.75075999999291</v>
      </c>
      <c r="X36" s="111">
        <v>75.041640000000427</v>
      </c>
      <c r="Y36" s="109">
        <v>54.055760000000291</v>
      </c>
      <c r="Z36" s="111">
        <v>0</v>
      </c>
      <c r="AA36" s="111">
        <v>26.101439999999613</v>
      </c>
      <c r="AB36" s="111">
        <v>0</v>
      </c>
      <c r="AC36" s="111">
        <v>0</v>
      </c>
      <c r="AD36" s="122">
        <f t="shared" si="0"/>
        <v>596.94959999999321</v>
      </c>
      <c r="AE36" s="109">
        <v>9100368.3110583015</v>
      </c>
      <c r="AF36" s="112"/>
      <c r="AG36" s="128">
        <v>41.790000000008149</v>
      </c>
      <c r="AH36" s="130">
        <v>0</v>
      </c>
      <c r="AI36" s="129">
        <f>AG36+AH36</f>
        <v>41.790000000008149</v>
      </c>
      <c r="AJ36" s="132">
        <v>722967.00000014098</v>
      </c>
      <c r="AK36" s="21"/>
    </row>
    <row r="37" spans="1:37" ht="15">
      <c r="A37" s="19"/>
      <c r="B37" s="81">
        <v>31</v>
      </c>
      <c r="C37" s="158">
        <v>6</v>
      </c>
      <c r="D37" s="158">
        <v>77</v>
      </c>
      <c r="E37" s="123">
        <v>24239.999999999782</v>
      </c>
      <c r="F37" s="123">
        <v>26362672.55999976</v>
      </c>
      <c r="G37" s="110">
        <v>4160.0000000003092</v>
      </c>
      <c r="H37" s="110">
        <v>6786430.5600005053</v>
      </c>
      <c r="I37" s="105">
        <f>F37+H37</f>
        <v>33149103.120000266</v>
      </c>
      <c r="J37" s="157">
        <v>2019.9999999999818</v>
      </c>
      <c r="K37" s="157">
        <v>2196889.3799999803</v>
      </c>
      <c r="L37" s="119">
        <v>480.00000000001819</v>
      </c>
      <c r="M37" s="121">
        <v>783049.68000002974</v>
      </c>
      <c r="N37" s="107">
        <f>K37+M37</f>
        <v>2979939.0600000098</v>
      </c>
      <c r="O37" s="105">
        <f>I37+N37</f>
        <v>36129042.180000275</v>
      </c>
      <c r="P37" s="107">
        <f>E37+G37+J37+L37</f>
        <v>30900.000000000091</v>
      </c>
      <c r="Q37" s="122">
        <f>R37+T37</f>
        <v>604</v>
      </c>
      <c r="R37" s="123">
        <v>147</v>
      </c>
      <c r="S37" s="123">
        <v>2769921</v>
      </c>
      <c r="T37" s="116">
        <v>457</v>
      </c>
      <c r="U37" s="116">
        <v>2151519.44</v>
      </c>
      <c r="V37" s="114">
        <f>S37+U37</f>
        <v>4921440.4399999995</v>
      </c>
      <c r="W37" s="125">
        <v>314.62708000000231</v>
      </c>
      <c r="X37" s="111">
        <v>78.98907999999868</v>
      </c>
      <c r="Y37" s="109">
        <v>56.99620000000219</v>
      </c>
      <c r="Z37" s="111">
        <v>0</v>
      </c>
      <c r="AA37" s="111">
        <v>27.108440000000069</v>
      </c>
      <c r="AB37" s="111">
        <v>0.16112000000008242</v>
      </c>
      <c r="AC37" s="111">
        <v>0</v>
      </c>
      <c r="AD37" s="122">
        <f t="shared" si="0"/>
        <v>477.88192000000339</v>
      </c>
      <c r="AE37" s="109">
        <v>7211692.561007251</v>
      </c>
      <c r="AF37" s="112"/>
      <c r="AG37" s="128">
        <v>50.679999999993015</v>
      </c>
      <c r="AH37" s="130">
        <v>288.39999999999418</v>
      </c>
      <c r="AI37" s="129">
        <f>AG37+AH37</f>
        <v>339.07999999998719</v>
      </c>
      <c r="AJ37" s="132">
        <v>5866083.9999997783</v>
      </c>
      <c r="AK37" s="21"/>
    </row>
    <row r="38" spans="1:37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66"/>
      <c r="AF38" s="72"/>
      <c r="AG38" s="72"/>
      <c r="AH38" s="72"/>
      <c r="AI38" s="72"/>
      <c r="AJ38" s="20"/>
      <c r="AK38" s="21"/>
    </row>
    <row r="39" spans="1:37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71"/>
      <c r="AE39" s="66"/>
      <c r="AF39" s="72"/>
      <c r="AG39" s="72"/>
      <c r="AH39" s="72"/>
      <c r="AI39" s="72"/>
      <c r="AJ39" s="20"/>
      <c r="AK39" s="21"/>
    </row>
    <row r="40" spans="1:37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F40" s="27"/>
      <c r="AG40" s="27"/>
      <c r="AH40" s="27"/>
      <c r="AI40" s="27"/>
    </row>
    <row r="41" spans="1:37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E41" s="21"/>
      <c r="AF41" s="30"/>
      <c r="AG41" s="30"/>
      <c r="AH41" s="30"/>
      <c r="AI41" s="30"/>
      <c r="AJ41" s="31"/>
    </row>
    <row r="42" spans="1:37" s="2" customFormat="1">
      <c r="B42" s="32"/>
      <c r="C42" s="144"/>
      <c r="D42" s="144"/>
      <c r="E42" s="145"/>
      <c r="F42" s="146"/>
      <c r="G42" s="147"/>
      <c r="H42" s="146"/>
      <c r="I42" s="147"/>
      <c r="J42" s="147"/>
      <c r="K42" s="147"/>
      <c r="L42" s="146"/>
      <c r="M42" s="148"/>
      <c r="N42" s="149"/>
      <c r="O42" s="147"/>
      <c r="P42" s="149"/>
      <c r="Q42" s="150"/>
      <c r="R42" s="151"/>
      <c r="S42" s="147"/>
      <c r="T42" s="147"/>
      <c r="U42" s="147"/>
      <c r="V42" s="147"/>
      <c r="W42" s="152"/>
      <c r="X42" s="146"/>
      <c r="Y42" s="152"/>
      <c r="Z42" s="152"/>
      <c r="AA42" s="152"/>
      <c r="AB42" s="152"/>
      <c r="AC42" s="152"/>
      <c r="AD42" s="152"/>
      <c r="AE42" s="146"/>
      <c r="AF42" s="153"/>
      <c r="AG42" s="153"/>
      <c r="AH42" s="153"/>
      <c r="AI42" s="153"/>
      <c r="AJ42" s="154"/>
    </row>
    <row r="43" spans="1:37">
      <c r="A43" s="33"/>
      <c r="B43" s="143"/>
      <c r="C43" s="133">
        <f>SUM(C7:C37)</f>
        <v>2461</v>
      </c>
      <c r="D43" s="133">
        <f>SUM(D7:D37)</f>
        <v>15716</v>
      </c>
      <c r="E43" s="134">
        <f>SUM(E7:E37)</f>
        <v>529559.99999999942</v>
      </c>
      <c r="F43" s="134">
        <f>SUM(F7:F37)</f>
        <v>575933039.63999939</v>
      </c>
      <c r="G43" s="134">
        <f>SUM(G7:G37)</f>
        <v>127200.00000000028</v>
      </c>
      <c r="H43" s="134">
        <f>SUM(H7:H37)</f>
        <v>207508165.20000044</v>
      </c>
      <c r="I43" s="134">
        <f>SUM(I7:I37)</f>
        <v>783441204.83999979</v>
      </c>
      <c r="J43" s="134">
        <f>SUM(J7:J37)</f>
        <v>49680.000000000073</v>
      </c>
      <c r="K43" s="134">
        <f>SUM(K7:K37)</f>
        <v>54030427.920000069</v>
      </c>
      <c r="L43" s="134">
        <f>SUM(L7:L37)</f>
        <v>14600.000000000027</v>
      </c>
      <c r="M43" s="134">
        <f>SUM(M7:M37)</f>
        <v>23817761.100000039</v>
      </c>
      <c r="N43" s="134">
        <f>SUM(N7:N37)</f>
        <v>77848189.02000013</v>
      </c>
      <c r="O43" s="135">
        <f>SUM(O7:O37)</f>
        <v>861289393.86000001</v>
      </c>
      <c r="P43" s="136">
        <f>SUM(P7:P37)</f>
        <v>721039.99999999977</v>
      </c>
      <c r="Q43" s="137">
        <f>SUM(Q7:Q37)</f>
        <v>20423</v>
      </c>
      <c r="R43" s="134">
        <f>SUM(R7:R37)</f>
        <v>7173</v>
      </c>
      <c r="S43" s="134">
        <f>SUM(S7:S37)</f>
        <v>135160839</v>
      </c>
      <c r="T43" s="134">
        <f>SUM(T7:T37)</f>
        <v>13250</v>
      </c>
      <c r="U43" s="134">
        <f>SUM(U7:U37)</f>
        <v>62379939.999999993</v>
      </c>
      <c r="V43" s="138">
        <f>SUM(V7:V37)</f>
        <v>197540779</v>
      </c>
      <c r="W43" s="139">
        <f>SUM(W7:W37)</f>
        <v>8370.7076400000187</v>
      </c>
      <c r="X43" s="134">
        <f>SUM(X7:X37)</f>
        <v>3004.8477199999988</v>
      </c>
      <c r="Y43" s="134">
        <f>SUM(Y7:Y37)</f>
        <v>1824.3617600000005</v>
      </c>
      <c r="Z43" s="134">
        <f>SUM(Z7:Z37)</f>
        <v>500</v>
      </c>
      <c r="AA43" s="134">
        <f>SUM(AA7:AA37)</f>
        <v>846.64531999999963</v>
      </c>
      <c r="AB43" s="134"/>
      <c r="AC43" s="134">
        <f>SUM(AC7:AC37)</f>
        <v>504</v>
      </c>
      <c r="AD43" s="140">
        <f>SUM(AD7:AD37)</f>
        <v>15050.884680000017</v>
      </c>
      <c r="AE43" s="140">
        <f>SUM(AE7:AE37)</f>
        <v>229187638.0871979</v>
      </c>
      <c r="AF43" s="141">
        <f>SUM(AF8:AF39)</f>
        <v>0</v>
      </c>
      <c r="AG43" s="134">
        <f>SUM(AG7:AG37)</f>
        <v>6289.3000000000029</v>
      </c>
      <c r="AH43" s="134">
        <f>SUM(AH7:AH37)</f>
        <v>288.39999999999418</v>
      </c>
      <c r="AI43" s="142">
        <f>SUM(AI7:AI37)</f>
        <v>6577.6999999999971</v>
      </c>
      <c r="AJ43" s="142">
        <f>SUM(AJ7:AJ37)</f>
        <v>113794209.99999993</v>
      </c>
      <c r="AK43" s="33"/>
    </row>
    <row r="44" spans="1:37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9"/>
      <c r="AD44" s="21">
        <f>AD43-W43</f>
        <v>6680.1770399999987</v>
      </c>
      <c r="AE44" s="31"/>
      <c r="AF44" s="30"/>
      <c r="AG44" s="30"/>
      <c r="AH44" s="30"/>
      <c r="AI44" s="30"/>
      <c r="AJ44" s="34"/>
      <c r="AK44" s="33"/>
    </row>
    <row r="45" spans="1:37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1194.5098661100637</v>
      </c>
      <c r="Q45" s="43"/>
      <c r="R45" s="43"/>
      <c r="S45" s="43"/>
      <c r="T45" s="36"/>
      <c r="U45" s="36"/>
      <c r="V45" s="43">
        <f>V43/Q43</f>
        <v>9672.466288008618</v>
      </c>
      <c r="W45" s="43"/>
      <c r="X45" s="36"/>
      <c r="Y45" s="43"/>
      <c r="Z45" s="43"/>
      <c r="AA45" s="43"/>
      <c r="AB45" s="43"/>
      <c r="AC45" s="43"/>
      <c r="AD45" s="36"/>
      <c r="AE45" s="36">
        <f>AE43/AD43</f>
        <v>15227.51937577118</v>
      </c>
      <c r="AF45" s="40"/>
      <c r="AG45" s="40"/>
      <c r="AH45" s="40"/>
      <c r="AI45" s="40"/>
      <c r="AJ45" s="43">
        <f>AJ43/AI43</f>
        <v>17299.999999999996</v>
      </c>
      <c r="AK45" s="42"/>
    </row>
    <row r="46" spans="1:37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F46" s="52"/>
      <c r="AG46" s="52"/>
      <c r="AH46" s="52"/>
      <c r="AI46" s="52"/>
      <c r="AK46" s="45"/>
    </row>
    <row r="47" spans="1:37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E47" s="56"/>
      <c r="AF47" s="60"/>
      <c r="AG47" s="60"/>
      <c r="AH47" s="60"/>
      <c r="AI47" s="60"/>
      <c r="AK47" s="55"/>
    </row>
    <row r="48" spans="1:37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E48" s="56"/>
      <c r="AF48" s="60"/>
      <c r="AG48" s="60"/>
      <c r="AH48" s="60"/>
      <c r="AI48" s="60"/>
      <c r="AK48" s="55"/>
    </row>
    <row r="49" spans="1:37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E49" s="56"/>
      <c r="AF49" s="60"/>
      <c r="AG49" s="60"/>
      <c r="AH49" s="60"/>
      <c r="AI49" s="60"/>
      <c r="AK49" s="55"/>
    </row>
    <row r="50" spans="1:37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E50" s="56"/>
      <c r="AF50" s="60"/>
      <c r="AG50" s="60"/>
      <c r="AH50" s="60"/>
      <c r="AI50" s="60"/>
      <c r="AK50" s="55"/>
    </row>
    <row r="51" spans="1:37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E51" s="56"/>
      <c r="AF51" s="60"/>
      <c r="AG51" s="60"/>
      <c r="AH51" s="60"/>
      <c r="AI51" s="60"/>
      <c r="AK51" s="55"/>
    </row>
    <row r="52" spans="1:37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E52" s="56"/>
      <c r="AF52" s="60"/>
      <c r="AG52" s="60"/>
      <c r="AH52" s="60"/>
      <c r="AI52" s="60"/>
      <c r="AK52" s="55"/>
    </row>
    <row r="53" spans="1:37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E53" s="56"/>
      <c r="AF53" s="60"/>
      <c r="AG53" s="60"/>
      <c r="AH53" s="60"/>
      <c r="AI53" s="60"/>
      <c r="AK53" s="55"/>
    </row>
    <row r="54" spans="1:37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E54" s="56"/>
      <c r="AF54" s="60"/>
      <c r="AG54" s="60"/>
      <c r="AH54" s="60"/>
      <c r="AI54" s="60"/>
      <c r="AK54" s="55"/>
    </row>
    <row r="55" spans="1:37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E55" s="56"/>
      <c r="AF55" s="60"/>
      <c r="AG55" s="60"/>
      <c r="AH55" s="60"/>
      <c r="AI55" s="60"/>
      <c r="AK55" s="55"/>
    </row>
    <row r="56" spans="1:37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E56" s="56"/>
      <c r="AF56" s="60"/>
      <c r="AG56" s="60"/>
      <c r="AH56" s="60"/>
      <c r="AI56" s="60"/>
      <c r="AK56" s="55"/>
    </row>
    <row r="57" spans="1:37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E57" s="56"/>
      <c r="AF57" s="60"/>
      <c r="AG57" s="60"/>
      <c r="AH57" s="60"/>
      <c r="AI57" s="60"/>
      <c r="AK57" s="55"/>
    </row>
    <row r="58" spans="1:37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E58" s="56"/>
      <c r="AF58" s="60"/>
      <c r="AG58" s="60"/>
      <c r="AH58" s="60"/>
      <c r="AI58" s="60"/>
      <c r="AK58" s="55"/>
    </row>
    <row r="59" spans="1:37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E59" s="56"/>
      <c r="AF59" s="60"/>
      <c r="AG59" s="60"/>
      <c r="AH59" s="60"/>
      <c r="AI59" s="60"/>
      <c r="AK59" s="55"/>
    </row>
    <row r="60" spans="1:37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E60" s="56"/>
      <c r="AF60" s="60"/>
      <c r="AG60" s="60"/>
      <c r="AH60" s="60"/>
      <c r="AI60" s="60"/>
      <c r="AK60" s="55"/>
    </row>
    <row r="61" spans="1:37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E61" s="56"/>
      <c r="AF61" s="60"/>
      <c r="AG61" s="60"/>
      <c r="AH61" s="60"/>
      <c r="AI61" s="60"/>
      <c r="AK61" s="55"/>
    </row>
    <row r="62" spans="1:37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E62" s="56"/>
      <c r="AF62" s="60"/>
      <c r="AG62" s="60"/>
      <c r="AH62" s="60"/>
      <c r="AI62" s="60"/>
      <c r="AK62" s="55"/>
    </row>
    <row r="63" spans="1:37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E63" s="56"/>
      <c r="AF63" s="60"/>
      <c r="AG63" s="60"/>
      <c r="AH63" s="60"/>
      <c r="AI63" s="60"/>
      <c r="AK63" s="55"/>
    </row>
    <row r="64" spans="1:37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E64" s="56"/>
      <c r="AF64" s="60"/>
      <c r="AG64" s="60"/>
      <c r="AH64" s="60"/>
      <c r="AI64" s="60"/>
      <c r="AK64" s="55"/>
    </row>
    <row r="65" spans="1:37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E65" s="56"/>
      <c r="AF65" s="60"/>
      <c r="AG65" s="60"/>
      <c r="AH65" s="60"/>
      <c r="AI65" s="60"/>
      <c r="AK65" s="55"/>
    </row>
    <row r="66" spans="1:37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E66" s="56"/>
      <c r="AF66" s="60"/>
      <c r="AG66" s="60"/>
      <c r="AH66" s="60"/>
      <c r="AI66" s="60"/>
      <c r="AK66" s="55"/>
    </row>
    <row r="67" spans="1:37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E67" s="56"/>
      <c r="AF67" s="60"/>
      <c r="AG67" s="60"/>
      <c r="AH67" s="60"/>
      <c r="AI67" s="60"/>
      <c r="AK67" s="55"/>
    </row>
    <row r="68" spans="1:37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E68" s="56"/>
      <c r="AF68" s="60"/>
      <c r="AG68" s="60"/>
      <c r="AH68" s="60"/>
      <c r="AI68" s="60"/>
      <c r="AK68" s="55"/>
    </row>
    <row r="69" spans="1:37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E69" s="56"/>
      <c r="AF69" s="60"/>
      <c r="AG69" s="60"/>
      <c r="AH69" s="60"/>
      <c r="AI69" s="60"/>
      <c r="AK69" s="55"/>
    </row>
    <row r="70" spans="1:37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E70" s="56"/>
      <c r="AF70" s="60"/>
      <c r="AG70" s="60"/>
      <c r="AH70" s="60"/>
      <c r="AI70" s="60"/>
      <c r="AK70" s="55"/>
    </row>
    <row r="71" spans="1:37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E71" s="56"/>
      <c r="AF71" s="60"/>
      <c r="AG71" s="60"/>
      <c r="AH71" s="60"/>
      <c r="AI71" s="60"/>
      <c r="AK71" s="55"/>
    </row>
    <row r="72" spans="1:37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E72" s="56"/>
      <c r="AF72" s="60"/>
      <c r="AG72" s="60"/>
      <c r="AH72" s="60"/>
      <c r="AI72" s="60"/>
      <c r="AK72" s="55"/>
    </row>
    <row r="73" spans="1:37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E73" s="56"/>
      <c r="AF73" s="60"/>
      <c r="AG73" s="60"/>
      <c r="AH73" s="60"/>
      <c r="AI73" s="60"/>
      <c r="AK73" s="55"/>
    </row>
    <row r="74" spans="1:37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E74" s="56"/>
      <c r="AF74" s="60"/>
      <c r="AG74" s="60"/>
      <c r="AH74" s="60"/>
      <c r="AI74" s="60"/>
      <c r="AK74" s="55"/>
    </row>
    <row r="75" spans="1:37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E75" s="56"/>
      <c r="AF75" s="60"/>
      <c r="AG75" s="60"/>
      <c r="AH75" s="60"/>
      <c r="AI75" s="60"/>
      <c r="AK75" s="55"/>
    </row>
    <row r="76" spans="1:37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E76" s="56"/>
      <c r="AF76" s="60"/>
      <c r="AG76" s="60"/>
      <c r="AH76" s="60"/>
      <c r="AI76" s="60"/>
      <c r="AK76" s="55"/>
    </row>
    <row r="77" spans="1:37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E77" s="56"/>
      <c r="AF77" s="60"/>
      <c r="AG77" s="60"/>
      <c r="AH77" s="60"/>
      <c r="AI77" s="60"/>
      <c r="AK77" s="55"/>
    </row>
    <row r="78" spans="1:37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E78" s="56"/>
      <c r="AF78" s="60"/>
      <c r="AG78" s="60"/>
      <c r="AH78" s="60"/>
      <c r="AI78" s="60"/>
      <c r="AK78" s="55"/>
    </row>
    <row r="79" spans="1:37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E79" s="56"/>
      <c r="AF79" s="60"/>
      <c r="AG79" s="60"/>
      <c r="AH79" s="60"/>
      <c r="AI79" s="60"/>
      <c r="AK79" s="55"/>
    </row>
    <row r="80" spans="1:37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E80" s="56"/>
      <c r="AF80" s="60"/>
      <c r="AG80" s="60"/>
      <c r="AH80" s="60"/>
      <c r="AI80" s="60"/>
      <c r="AK80" s="55"/>
    </row>
    <row r="81" spans="1:37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E81" s="56"/>
      <c r="AF81" s="60"/>
      <c r="AG81" s="60"/>
      <c r="AH81" s="60"/>
      <c r="AI81" s="60"/>
      <c r="AK81" s="55"/>
    </row>
    <row r="82" spans="1:37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E82" s="56"/>
      <c r="AF82" s="60"/>
      <c r="AG82" s="60"/>
      <c r="AH82" s="60"/>
      <c r="AI82" s="60"/>
      <c r="AK82" s="55"/>
    </row>
    <row r="83" spans="1:37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E83" s="56"/>
      <c r="AF83" s="60"/>
      <c r="AG83" s="60"/>
      <c r="AH83" s="60"/>
      <c r="AI83" s="60"/>
      <c r="AK83" s="55"/>
    </row>
    <row r="84" spans="1:37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E84" s="56"/>
      <c r="AF84" s="60"/>
      <c r="AG84" s="60"/>
      <c r="AH84" s="60"/>
      <c r="AI84" s="60"/>
      <c r="AK84" s="55"/>
    </row>
    <row r="85" spans="1:37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E85" s="56"/>
      <c r="AF85" s="60"/>
      <c r="AG85" s="60"/>
      <c r="AH85" s="60"/>
      <c r="AI85" s="60"/>
      <c r="AK85" s="55"/>
    </row>
    <row r="86" spans="1:37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E86" s="56"/>
      <c r="AF86" s="60"/>
      <c r="AG86" s="60"/>
      <c r="AH86" s="60"/>
      <c r="AI86" s="60"/>
      <c r="AK86" s="55"/>
    </row>
    <row r="87" spans="1:37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E87" s="56"/>
      <c r="AF87" s="60"/>
      <c r="AG87" s="60"/>
      <c r="AH87" s="60"/>
      <c r="AI87" s="60"/>
      <c r="AK87" s="55"/>
    </row>
    <row r="88" spans="1:37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E88" s="56"/>
      <c r="AF88" s="60"/>
      <c r="AG88" s="60"/>
      <c r="AH88" s="60"/>
      <c r="AI88" s="60"/>
      <c r="AK88" s="55"/>
    </row>
    <row r="89" spans="1:37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E89" s="56"/>
      <c r="AF89" s="60"/>
      <c r="AG89" s="60"/>
      <c r="AH89" s="60"/>
      <c r="AI89" s="60"/>
      <c r="AK89" s="55"/>
    </row>
    <row r="90" spans="1:37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E90" s="56"/>
      <c r="AF90" s="60"/>
      <c r="AG90" s="60"/>
      <c r="AH90" s="60"/>
      <c r="AI90" s="60"/>
      <c r="AK90" s="55"/>
    </row>
    <row r="91" spans="1:37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E91" s="56"/>
      <c r="AF91" s="60"/>
      <c r="AG91" s="60"/>
      <c r="AH91" s="60"/>
      <c r="AI91" s="60"/>
      <c r="AK91" s="55"/>
    </row>
    <row r="92" spans="1:37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E92" s="56"/>
      <c r="AF92" s="60"/>
      <c r="AG92" s="60"/>
      <c r="AH92" s="60"/>
      <c r="AI92" s="60"/>
      <c r="AK92" s="55"/>
    </row>
    <row r="93" spans="1:37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E93" s="56"/>
      <c r="AF93" s="60"/>
      <c r="AG93" s="60"/>
      <c r="AH93" s="60"/>
      <c r="AI93" s="60"/>
      <c r="AK93" s="55"/>
    </row>
    <row r="94" spans="1:37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E94" s="56"/>
      <c r="AF94" s="60"/>
      <c r="AG94" s="60"/>
      <c r="AH94" s="60"/>
      <c r="AI94" s="60"/>
      <c r="AK94" s="55"/>
    </row>
    <row r="95" spans="1:37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E95" s="56"/>
      <c r="AF95" s="60"/>
      <c r="AG95" s="60"/>
      <c r="AH95" s="60"/>
      <c r="AI95" s="60"/>
      <c r="AK95" s="55"/>
    </row>
    <row r="96" spans="1:37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E96" s="56"/>
      <c r="AF96" s="60"/>
      <c r="AG96" s="60"/>
      <c r="AH96" s="60"/>
      <c r="AI96" s="60"/>
      <c r="AK96" s="55"/>
    </row>
    <row r="97" spans="1:37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E97" s="56"/>
      <c r="AF97" s="60"/>
      <c r="AG97" s="60"/>
      <c r="AH97" s="60"/>
      <c r="AI97" s="60"/>
      <c r="AK97" s="55"/>
    </row>
    <row r="98" spans="1:37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E98" s="56"/>
      <c r="AF98" s="60"/>
      <c r="AG98" s="60"/>
      <c r="AH98" s="60"/>
      <c r="AI98" s="60"/>
      <c r="AK98" s="55"/>
    </row>
    <row r="99" spans="1:37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E99" s="56"/>
      <c r="AF99" s="60"/>
      <c r="AG99" s="60"/>
      <c r="AH99" s="60"/>
      <c r="AI99" s="60"/>
      <c r="AK99" s="55"/>
    </row>
    <row r="100" spans="1:37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E100" s="56"/>
      <c r="AF100" s="60"/>
      <c r="AG100" s="60"/>
      <c r="AH100" s="60"/>
      <c r="AI100" s="60"/>
      <c r="AK100" s="55"/>
    </row>
    <row r="101" spans="1:37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E101" s="56"/>
      <c r="AF101" s="60"/>
      <c r="AG101" s="60"/>
      <c r="AH101" s="60"/>
      <c r="AI101" s="60"/>
      <c r="AK101" s="55"/>
    </row>
    <row r="102" spans="1:37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E102" s="56"/>
      <c r="AF102" s="60"/>
      <c r="AG102" s="60"/>
      <c r="AH102" s="60"/>
      <c r="AI102" s="60"/>
      <c r="AK102" s="55"/>
    </row>
    <row r="103" spans="1:37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E103" s="56"/>
      <c r="AF103" s="60"/>
      <c r="AG103" s="60"/>
      <c r="AH103" s="60"/>
      <c r="AI103" s="60"/>
      <c r="AK103" s="55"/>
    </row>
    <row r="104" spans="1:37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E104" s="56"/>
      <c r="AF104" s="60"/>
      <c r="AG104" s="60"/>
      <c r="AH104" s="60"/>
      <c r="AI104" s="60"/>
      <c r="AK104" s="55"/>
    </row>
    <row r="105" spans="1:37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E105" s="56"/>
      <c r="AF105" s="60"/>
      <c r="AG105" s="60"/>
      <c r="AH105" s="60"/>
      <c r="AI105" s="60"/>
      <c r="AK105" s="55"/>
    </row>
    <row r="106" spans="1:37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E106" s="56"/>
      <c r="AF106" s="60"/>
      <c r="AG106" s="60"/>
      <c r="AH106" s="60"/>
      <c r="AI106" s="60"/>
      <c r="AK106" s="55"/>
    </row>
    <row r="107" spans="1:37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E107" s="56"/>
      <c r="AF107" s="60"/>
      <c r="AG107" s="60"/>
      <c r="AH107" s="60"/>
      <c r="AI107" s="60"/>
      <c r="AK107" s="55"/>
    </row>
    <row r="108" spans="1:37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E108" s="56"/>
      <c r="AF108" s="60"/>
      <c r="AG108" s="60"/>
      <c r="AH108" s="60"/>
      <c r="AI108" s="60"/>
      <c r="AK108" s="55"/>
    </row>
    <row r="109" spans="1:37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E109" s="56"/>
      <c r="AF109" s="60"/>
      <c r="AG109" s="60"/>
      <c r="AH109" s="60"/>
      <c r="AI109" s="60"/>
      <c r="AK109" s="55"/>
    </row>
  </sheetData>
  <mergeCells count="13">
    <mergeCell ref="B3:AJ3"/>
    <mergeCell ref="B4:B6"/>
    <mergeCell ref="C4:C6"/>
    <mergeCell ref="D4:D6"/>
    <mergeCell ref="E4:P4"/>
    <mergeCell ref="Q4:V4"/>
    <mergeCell ref="W4:AJ4"/>
    <mergeCell ref="E5:I5"/>
    <mergeCell ref="J5:N5"/>
    <mergeCell ref="O5:O6"/>
    <mergeCell ref="W5:AE5"/>
    <mergeCell ref="AF5:AJ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2023-03-02T03:30:22Z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