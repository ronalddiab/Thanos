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4" l="1"/>
  <c r="S13" i="4"/>
  <c r="Q13" i="4"/>
  <c r="O13" i="4"/>
  <c r="Z13" i="4" s="1"/>
  <c r="M13" i="4"/>
  <c r="K13" i="4"/>
  <c r="H13" i="4"/>
  <c r="F13" i="4"/>
  <c r="X13" i="4" l="1"/>
  <c r="I13" i="4"/>
  <c r="Y13" i="4" s="1"/>
  <c r="Y11" i="4"/>
  <c r="W12" i="4"/>
  <c r="AD13" i="1" l="1"/>
  <c r="AD14" i="1"/>
  <c r="AD15" i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11" i="1"/>
  <c r="AE33" i="1"/>
  <c r="AB14" i="1"/>
  <c r="AB15" i="1"/>
  <c r="AB16" i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C32" i="1" s="1"/>
  <c r="X14" i="1" l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Z14" i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K10" i="2"/>
  <c r="K4" i="4" l="1"/>
  <c r="Q14" i="1" l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4" i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14" i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2" i="1"/>
  <c r="U2" i="1" s="1"/>
  <c r="H11" i="3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4" i="3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14" i="4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4" i="4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4" i="4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4" i="4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4" i="4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4" i="4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14" i="4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4" i="4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T14" i="2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6" i="2"/>
  <c r="P7" i="2" s="1"/>
  <c r="P8" i="2" s="1"/>
  <c r="P9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4" i="2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4" i="2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R2" i="2"/>
  <c r="G60" i="10" l="1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C25" i="1" l="1"/>
  <c r="AC27" i="1" l="1"/>
  <c r="AC26" i="1"/>
  <c r="D18" i="4"/>
  <c r="AA30" i="1" l="1"/>
  <c r="AC28" i="1"/>
  <c r="AC4" i="1"/>
  <c r="AC5" i="1"/>
  <c r="AC6" i="1"/>
  <c r="AC7" i="1"/>
  <c r="AC8" i="1"/>
  <c r="AC29" i="1" l="1"/>
  <c r="C11" i="5"/>
  <c r="AC30" i="1" l="1"/>
  <c r="C9" i="5"/>
  <c r="O10" i="1"/>
  <c r="AC31" i="1" l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Y3" i="1" l="1"/>
  <c r="AA4" i="1"/>
  <c r="J3" i="2"/>
  <c r="O14" i="1" l="1"/>
  <c r="G15" i="3"/>
  <c r="G14" i="3"/>
  <c r="I15" i="2"/>
  <c r="I14" i="2"/>
  <c r="U14" i="2"/>
  <c r="O15" i="2"/>
  <c r="O14" i="2"/>
  <c r="O13" i="2"/>
  <c r="M14" i="2"/>
  <c r="M15" i="2"/>
  <c r="G14" i="2"/>
  <c r="E14" i="2"/>
  <c r="C15" i="2"/>
  <c r="C14" i="2"/>
  <c r="G25" i="3"/>
  <c r="G26" i="3"/>
  <c r="G27" i="3"/>
  <c r="E15" i="2" l="1"/>
  <c r="G25" i="2"/>
  <c r="R14" i="2" l="1"/>
  <c r="R17" i="2" s="1"/>
  <c r="R18" i="2" s="1"/>
  <c r="R21" i="2" s="1"/>
  <c r="R24" i="2" s="1"/>
  <c r="R25" i="2" s="1"/>
  <c r="R26" i="2" s="1"/>
  <c r="R27" i="2" s="1"/>
  <c r="M26" i="2" l="1"/>
  <c r="AA32" i="1" l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3" i="1" l="1"/>
  <c r="Y33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3" i="4"/>
  <c r="D22" i="1" l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3" i="4" l="1"/>
  <c r="K8" i="2" l="1"/>
  <c r="N94" i="10"/>
  <c r="D33" i="1" l="1"/>
  <c r="C33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3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G31" i="9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3" i="1" l="1"/>
  <c r="J33" i="1"/>
  <c r="T31" i="8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J14" i="3" l="1"/>
  <c r="K14" i="3" s="1"/>
  <c r="J15" i="3"/>
  <c r="K15" i="3" s="1"/>
  <c r="Z15" i="4"/>
  <c r="X15" i="4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3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O12" i="8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6" i="3" l="1"/>
  <c r="J20" i="3"/>
  <c r="J5" i="3"/>
  <c r="J29" i="3"/>
  <c r="K29" i="3" s="1"/>
  <c r="J9" i="3"/>
  <c r="J7" i="3"/>
  <c r="K7" i="3" s="1"/>
  <c r="E11" i="8"/>
  <c r="J12" i="3"/>
  <c r="K12" i="3" s="1"/>
  <c r="E25" i="8"/>
  <c r="AD25" i="8" s="1"/>
  <c r="J26" i="3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3" i="2"/>
  <c r="Q33" i="2"/>
  <c r="U33" i="2"/>
  <c r="E33" i="2"/>
  <c r="S33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3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H28" i="8"/>
  <c r="K26" i="3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3" i="1"/>
  <c r="AA8" i="4"/>
  <c r="W33" i="4"/>
  <c r="Y7" i="4"/>
  <c r="F33" i="1"/>
  <c r="G33" i="3"/>
  <c r="O33" i="1"/>
  <c r="M33" i="4"/>
  <c r="Y3" i="8"/>
  <c r="E3" i="9" s="1"/>
  <c r="Q33" i="4"/>
  <c r="E33" i="3"/>
  <c r="O33" i="2"/>
  <c r="U6" i="1"/>
  <c r="K6" i="3"/>
  <c r="Y5" i="4"/>
  <c r="Y4" i="4"/>
  <c r="S12" i="8"/>
  <c r="Y16" i="4"/>
  <c r="J15" i="8"/>
  <c r="Y15" i="8" s="1"/>
  <c r="Z12" i="4"/>
  <c r="AA13" i="4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3" i="2" s="1"/>
  <c r="K11" i="8"/>
  <c r="X12" i="4"/>
  <c r="C22" i="11"/>
  <c r="D22" i="11" s="1"/>
  <c r="K18" i="2"/>
  <c r="AA17" i="8" s="1"/>
  <c r="AA8" i="8"/>
  <c r="O19" i="4"/>
  <c r="M18" i="8" s="1"/>
  <c r="O18" i="4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E18" i="8" l="1"/>
  <c r="AD18" i="8" s="1"/>
  <c r="J19" i="3"/>
  <c r="K19" i="3" s="1"/>
  <c r="AE28" i="8"/>
  <c r="I28" i="9" s="1"/>
  <c r="I33" i="2"/>
  <c r="K33" i="4"/>
  <c r="S33" i="1"/>
  <c r="L33" i="1"/>
  <c r="P33" i="1"/>
  <c r="O33" i="4"/>
  <c r="S33" i="4"/>
  <c r="C33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E17" i="8"/>
  <c r="AD17" i="8" s="1"/>
  <c r="K19" i="2"/>
  <c r="AA18" i="8" s="1"/>
  <c r="G12" i="2"/>
  <c r="G13" i="2"/>
  <c r="Z12" i="8" s="1"/>
  <c r="AA12" i="4"/>
  <c r="K18" i="8"/>
  <c r="X19" i="4"/>
  <c r="M17" i="8"/>
  <c r="Z19" i="4"/>
  <c r="Y10" i="8"/>
  <c r="V18" i="8"/>
  <c r="V17" i="8"/>
  <c r="AE17" i="8" l="1"/>
  <c r="I17" i="9" s="1"/>
  <c r="AE18" i="8"/>
  <c r="I18" i="9" s="1"/>
  <c r="M33" i="1"/>
  <c r="G33" i="2"/>
  <c r="Z33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3" i="4"/>
  <c r="R29" i="8" l="1"/>
  <c r="AA33" i="4"/>
  <c r="T30" i="1"/>
  <c r="U30" i="1" s="1"/>
  <c r="J18" i="8"/>
  <c r="Y18" i="8" s="1"/>
  <c r="Y19" i="4"/>
  <c r="K22" i="2"/>
  <c r="AA21" i="8" s="1"/>
  <c r="K23" i="2"/>
  <c r="AA13" i="8"/>
  <c r="K13" i="2"/>
  <c r="AA22" i="8" l="1"/>
  <c r="K33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3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3" i="4" l="1"/>
  <c r="I28" i="8"/>
  <c r="Y28" i="8" s="1"/>
  <c r="I29" i="4"/>
  <c r="Y29" i="4" s="1"/>
  <c r="I29" i="8" l="1"/>
  <c r="Y29" i="8" s="1"/>
  <c r="I30" i="4"/>
  <c r="Y30" i="4" s="1"/>
  <c r="Y31" i="4" l="1"/>
  <c r="Y33" i="4" s="1"/>
  <c r="I33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3" i="4" l="1"/>
  <c r="K26" i="11"/>
  <c r="C7" i="11" l="1"/>
  <c r="D7" i="11" s="1"/>
  <c r="C5" i="11"/>
  <c r="D5" i="11" s="1"/>
  <c r="C6" i="11"/>
  <c r="D6" i="11" s="1"/>
  <c r="I33" i="3"/>
  <c r="H3" i="8"/>
  <c r="J4" i="3"/>
  <c r="J33" i="3" s="1"/>
  <c r="AD3" i="8" l="1"/>
  <c r="AE3" i="8" s="1"/>
  <c r="I3" i="9" s="1"/>
  <c r="K4" i="3"/>
  <c r="K33" i="3" s="1"/>
</calcChain>
</file>

<file path=xl/sharedStrings.xml><?xml version="1.0" encoding="utf-8"?>
<sst xmlns="http://schemas.openxmlformats.org/spreadsheetml/2006/main" count="440" uniqueCount="148">
  <si>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</si>
  <si>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</si>
  <si>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</si>
  <si>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</si>
  <si>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</si>
  <si>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</si>
  <si>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</si>
  <si>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</si>
  <si>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</si>
  <si>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</si>
  <si>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</si>
  <si>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</si>
  <si>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</si>
  <si>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</si>
  <si>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</si>
  <si>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</si>
  <si>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</si>
  <si>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</si>
  <si>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</si>
  <si>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</si>
  <si>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</si>
  <si>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</si>
  <si>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</si>
  <si>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</si>
  <si>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</si>
  <si>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</si>
  <si>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</si>
  <si>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</si>
  <si>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</si>
  <si>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</si>
  <si>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</si>
  <si>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</si>
  <si>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</si>
  <si>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</si>
  <si>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</si>
  <si>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</si>
  <si>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</si>
  <si>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</si>
  <si>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</si>
  <si>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</si>
  <si>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</si>
  <si>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</si>
  <si>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</si>
  <si>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</si>
  <si>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</si>
  <si>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</si>
  <si>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</si>
  <si>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</si>
  <si>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</si>
  <si>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</si>
  <si>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</si>
  <si>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</si>
  <si>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</si>
  <si>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</si>
  <si>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</si>
  <si>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</si>
  <si>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</si>
  <si>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</si>
  <si>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</si>
  <si>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</si>
  <si>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</si>
  <si>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</si>
  <si>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</si>
  <si>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</si>
  <si>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</si>
  <si>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</si>
  <si>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</si>
  <si>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</si>
  <si>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</si>
  <si>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</si>
  <si>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</si>
  <si>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</si>
  <si>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</si>
  <si>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</si>
  <si>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</si>
  <si>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</si>
  <si>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</si>
  <si>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</si>
  <si>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</si>
  <si>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</si>
  <si>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</si>
  <si>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</si>
  <si>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</si>
  <si>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</si>
  <si>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</si>
  <si>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</si>
  <si>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</si>
  <si>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</si>
  <si>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</si>
  <si>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</si>
  <si>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</si>
  <si>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</si>
  <si>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</si>
  <si>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</si>
  <si>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</si>
  <si>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</si>
  <si>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</si>
  <si>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</si>
  <si>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</si>
  <si>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</si>
  <si>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</si>
  <si>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</si>
  <si>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</si>
  <si>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</si>
  <si>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</si>
  <si>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</si>
  <si>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</si>
  <si>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</si>
  <si>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</si>
  <si>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</si>
  <si>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</si>
  <si>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</si>
  <si>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</si>
  <si>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</si>
  <si>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</si>
  <si>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</si>
  <si>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</si>
  <si>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</si>
  <si>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</si>
  <si>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</si>
  <si>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</si>
  <si>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</si>
  <si>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</si>
  <si>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</si>
  <si>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</si>
  <si>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</si>
  <si>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</si>
  <si>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</si>
  <si>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</si>
  <si>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</si>
  <si>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</si>
  <si>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</si>
  <si>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</si>
  <si>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</si>
  <si>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</si>
  <si>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</si>
  <si>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</si>
  <si>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</si>
  <si>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</si>
  <si>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</si>
  <si>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</si>
  <si>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</si>
  <si>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</si>
  <si>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</si>
  <si>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</si>
  <si>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</si>
  <si>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Energy Monthly Statement   November 2021</t>
  </si>
  <si>
    <t>Oil 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</si>
</sst>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13" xfId="0" applyFill="1" applyBorder="1" applyAlignment="1">
      <alignment horizont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P36" sqref="P36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6">
        <v>1.27</v>
      </c>
      <c r="G2" s="42">
        <f>Gas!C3*0.9147</f>
        <v>1940.9933999999998</v>
      </c>
      <c r="H2" s="147">
        <v>3.65</v>
      </c>
      <c r="I2" s="148">
        <f>Submetering!H2+Submetering!AD2+Submetering!AE2</f>
        <v>916</v>
      </c>
      <c r="J2" s="149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6">
        <v>1.27</v>
      </c>
      <c r="G3" s="42">
        <f>Gas!C4*0.9147</f>
        <v>2109.2981999999997</v>
      </c>
      <c r="H3" s="147">
        <v>3.65</v>
      </c>
      <c r="I3" s="149">
        <f>Submetering!H3+Submetering!AD3+Submetering!AE3</f>
        <v>906</v>
      </c>
      <c r="J3" s="149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6">
        <v>1.27</v>
      </c>
      <c r="G4" s="42">
        <f>Gas!C5*0.9147</f>
        <v>1884.2819999999999</v>
      </c>
      <c r="H4" s="147">
        <v>3.65</v>
      </c>
      <c r="I4" s="149">
        <f>Submetering!H4+Submetering!AD4+Submetering!AE4</f>
        <v>866</v>
      </c>
      <c r="J4" s="149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6">
        <v>1.27</v>
      </c>
      <c r="G5" s="42">
        <f>Gas!C6*0.9147</f>
        <v>1945.5668999999998</v>
      </c>
      <c r="H5" s="147">
        <v>3.65</v>
      </c>
      <c r="I5" s="149">
        <f>Submetering!H5+Submetering!AD5+Submetering!AE5</f>
        <v>826</v>
      </c>
      <c r="J5" s="149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6">
        <v>1.27</v>
      </c>
      <c r="G6" s="42">
        <f>Gas!C7*0.9147</f>
        <v>2106.5540999999998</v>
      </c>
      <c r="H6" s="147">
        <v>3.65</v>
      </c>
      <c r="I6" s="149">
        <f>Submetering!H6+Submetering!AD6+Submetering!AE6</f>
        <v>826</v>
      </c>
      <c r="J6" s="149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6">
        <v>1.27</v>
      </c>
      <c r="G7" s="42">
        <f>Gas!C8*0.9147</f>
        <v>2003.193</v>
      </c>
      <c r="H7" s="147">
        <v>3.65</v>
      </c>
      <c r="I7" s="149">
        <f>Submetering!H7+Submetering!AD7+Submetering!AE7</f>
        <v>716</v>
      </c>
      <c r="J7" s="149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49295.203388000002</v>
      </c>
      <c r="F8" s="146">
        <v>1.27</v>
      </c>
      <c r="G8" s="42">
        <f>Gas!C9*0.9147</f>
        <v>2001.3635999999999</v>
      </c>
      <c r="H8" s="147">
        <v>3.65</v>
      </c>
      <c r="I8" s="149">
        <f>Submetering!H8+Submetering!AD8+Submetering!AE8</f>
        <v>806</v>
      </c>
      <c r="J8" s="149">
        <v>10.029999999999999</v>
      </c>
      <c r="K8" s="42">
        <f>ELECT.!B9</f>
        <v>203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73134.381119999991</v>
      </c>
      <c r="F9" s="146">
        <v>1.27</v>
      </c>
      <c r="G9" s="42">
        <f>Gas!C10*0.9147</f>
        <v>2802.6407999999997</v>
      </c>
      <c r="H9" s="147">
        <v>3.65</v>
      </c>
      <c r="I9" s="149">
        <f>Submetering!H9+Submetering!AD9+Submetering!AE9</f>
        <v>766</v>
      </c>
      <c r="J9" s="149">
        <v>10.029999999999999</v>
      </c>
      <c r="K9" s="42">
        <f>ELECT.!B10</f>
        <v>307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48914.973103999997</v>
      </c>
      <c r="F10" s="146">
        <v>1.27</v>
      </c>
      <c r="G10" s="42">
        <f>Gas!C11*0.9147</f>
        <v>2166.9242999999997</v>
      </c>
      <c r="H10" s="147">
        <v>3.65</v>
      </c>
      <c r="I10" s="149">
        <f>Submetering!H10+Submetering!AD10+Submetering!AE10</f>
        <v>816</v>
      </c>
      <c r="J10" s="149">
        <v>10.029999999999999</v>
      </c>
      <c r="K10" s="42">
        <f>ELECT.!B11</f>
        <v>211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64495.523516000001</v>
      </c>
      <c r="F11" s="146">
        <v>1.27</v>
      </c>
      <c r="G11" s="42">
        <f>Gas!C12*0.9147</f>
        <v>2081.8571999999999</v>
      </c>
      <c r="H11" s="147">
        <v>3.65</v>
      </c>
      <c r="I11" s="149">
        <f>Submetering!H11+Submetering!AD11+Submetering!AE11</f>
        <v>755.99999999999989</v>
      </c>
      <c r="J11" s="149">
        <v>10.029999999999999</v>
      </c>
      <c r="K11" s="42">
        <f>ELECT.!B12</f>
        <v>283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45581.427636</v>
      </c>
      <c r="F12" s="146">
        <v>1.27</v>
      </c>
      <c r="G12" s="42">
        <f>Gas!C13*0.9147</f>
        <v>2198.9387999999999</v>
      </c>
      <c r="H12" s="147">
        <v>3.65</v>
      </c>
      <c r="I12" s="149">
        <f>Submetering!H12+Submetering!AD12+Submetering!AE12</f>
        <v>776.00000000000011</v>
      </c>
      <c r="J12" s="149">
        <v>10.029999999999999</v>
      </c>
      <c r="K12" s="42">
        <f>ELECT.!B13</f>
        <v>296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E32" s="42"/>
      <c r="F32" s="146"/>
      <c r="G32" s="42"/>
      <c r="H32" s="147"/>
      <c r="I32" s="149"/>
      <c r="J32" s="149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D23" sqref="D23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1000</v>
      </c>
      <c r="F8" s="42">
        <f>Water!E9</f>
        <v>0</v>
      </c>
      <c r="G8" s="42">
        <f>Water!G9</f>
        <v>540</v>
      </c>
      <c r="H8" s="42">
        <f>Water!I9</f>
        <v>3.9420000000000002</v>
      </c>
      <c r="I8" s="42">
        <f>ELECT.!F9</f>
        <v>13981</v>
      </c>
      <c r="J8" s="42">
        <f>ELECT.!H9</f>
        <v>37423</v>
      </c>
      <c r="K8" s="42">
        <f>ELECT.!K9</f>
        <v>4642</v>
      </c>
      <c r="L8" s="42">
        <f>ELECT.!M9</f>
        <v>4211</v>
      </c>
      <c r="M8" s="42">
        <f>ELECT.!O9</f>
        <v>9714</v>
      </c>
      <c r="N8" s="42">
        <f>ELECT.!Q9</f>
        <v>2674</v>
      </c>
      <c r="O8" s="42">
        <f>ELECT.!S9</f>
        <v>9091</v>
      </c>
      <c r="P8" s="42">
        <f>ELECT.!W9*2</f>
        <v>20066</v>
      </c>
      <c r="Q8" s="42">
        <f>ELECT.!D9</f>
        <v>960</v>
      </c>
      <c r="R8" s="43">
        <f>BTU!C9</f>
        <v>5.4969999999993888</v>
      </c>
      <c r="S8" s="43">
        <f>BTU!F9</f>
        <v>1.8420000000000982</v>
      </c>
      <c r="T8" s="43">
        <f>BTU!I9</f>
        <v>5</v>
      </c>
      <c r="U8" s="43">
        <f>BTU!O9</f>
        <v>1.3559999999997672</v>
      </c>
      <c r="V8" s="43">
        <f>BTU!L9</f>
        <v>1.8500000000003638</v>
      </c>
      <c r="W8" s="43">
        <f>BTU!R9</f>
        <v>1.6500000000005457</v>
      </c>
      <c r="X8" s="40">
        <f>ELECT.!B9</f>
        <v>203</v>
      </c>
      <c r="Y8" s="40">
        <f t="shared" si="0"/>
        <v>1006</v>
      </c>
      <c r="Z8">
        <f>'Mall, Citadel, Rotana'!C9+'Mall, Citadel, Rotana'!E9+'Mall, Citadel, Rotana'!G9+'Mall, Citadel, Rotana'!I9</f>
        <v>1062</v>
      </c>
      <c r="AA8">
        <f>'Mall, Citadel, Rotana'!K9+'Mall, Citadel, Rotana'!M9</f>
        <v>480</v>
      </c>
      <c r="AB8">
        <f>'Mall, Citadel, Rotana'!O9</f>
        <v>5</v>
      </c>
      <c r="AC8">
        <f>'Mall, Citadel, Rotana'!Q9+'Mall, Citadel, Rotana'!S9</f>
        <v>0</v>
      </c>
      <c r="AD8" s="40">
        <f t="shared" si="1"/>
        <v>105.7112444</v>
      </c>
      <c r="AE8" s="40">
        <f t="shared" si="2"/>
        <v>696.34675560000005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960</v>
      </c>
      <c r="F9" s="42">
        <f>Water!E10</f>
        <v>0</v>
      </c>
      <c r="G9" s="42">
        <f>Water!G10</f>
        <v>534.6</v>
      </c>
      <c r="H9" s="42">
        <f>Water!I10</f>
        <v>0</v>
      </c>
      <c r="I9" s="42">
        <f>ELECT.!F10</f>
        <v>23205</v>
      </c>
      <c r="J9" s="42">
        <f>ELECT.!H10</f>
        <v>53478</v>
      </c>
      <c r="K9" s="42">
        <f>ELECT.!K10</f>
        <v>6739</v>
      </c>
      <c r="L9" s="42">
        <f>ELECT.!M10</f>
        <v>5777</v>
      </c>
      <c r="M9" s="42">
        <f>ELECT.!O10</f>
        <v>17204</v>
      </c>
      <c r="N9" s="42">
        <f>ELECT.!Q10</f>
        <v>4550</v>
      </c>
      <c r="O9" s="42">
        <f>ELECT.!S10</f>
        <v>12580</v>
      </c>
      <c r="P9" s="42">
        <f>ELECT.!W10*2</f>
        <v>28200</v>
      </c>
      <c r="Q9" s="42">
        <f>ELECT.!D10</f>
        <v>480</v>
      </c>
      <c r="R9" s="43">
        <f>BTU!C10</f>
        <v>6.0879999999997381</v>
      </c>
      <c r="S9" s="43">
        <f>BTU!F10</f>
        <v>2.2179999999998472</v>
      </c>
      <c r="T9" s="43">
        <f>BTU!I10</f>
        <v>5</v>
      </c>
      <c r="U9" s="43">
        <f>BTU!O10</f>
        <v>1.3160000000002583</v>
      </c>
      <c r="V9" s="43">
        <f>BTU!L10</f>
        <v>1.8299999999999272</v>
      </c>
      <c r="W9" s="43">
        <f>BTU!R10</f>
        <v>0.75</v>
      </c>
      <c r="X9" s="40">
        <f>ELECT.!B10</f>
        <v>307</v>
      </c>
      <c r="Y9" s="40">
        <f t="shared" si="0"/>
        <v>1633</v>
      </c>
      <c r="Z9">
        <f>'Mall, Citadel, Rotana'!C10+'Mall, Citadel, Rotana'!E10+'Mall, Citadel, Rotana'!G10+'Mall, Citadel, Rotana'!I10</f>
        <v>1412</v>
      </c>
      <c r="AA9">
        <f>'Mall, Citadel, Rotana'!K10+'Mall, Citadel, Rotana'!M10</f>
        <v>480</v>
      </c>
      <c r="AB9">
        <f>'Mall, Citadel, Rotana'!O10</f>
        <v>2</v>
      </c>
      <c r="AC9">
        <f>'Mall, Citadel, Rotana'!Q10+'Mall, Citadel, Rotana'!S10</f>
        <v>586</v>
      </c>
      <c r="AD9" s="40">
        <f t="shared" si="1"/>
        <v>100.9588</v>
      </c>
      <c r="AE9" s="40">
        <f t="shared" si="2"/>
        <v>665.0412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1010</v>
      </c>
      <c r="F10" s="42">
        <f>Water!E11</f>
        <v>0</v>
      </c>
      <c r="G10" s="42">
        <f>Water!G11</f>
        <v>515.70000000000005</v>
      </c>
      <c r="H10" s="42">
        <f>Water!I11</f>
        <v>0</v>
      </c>
      <c r="I10" s="42">
        <f>ELECT.!F11</f>
        <v>10810</v>
      </c>
      <c r="J10" s="42">
        <f>ELECT.!H11</f>
        <v>40638</v>
      </c>
      <c r="K10" s="42">
        <f>ELECT.!K11</f>
        <v>4601</v>
      </c>
      <c r="L10" s="42">
        <f>ELECT.!M11</f>
        <v>3715</v>
      </c>
      <c r="M10" s="42">
        <f>ELECT.!O11</f>
        <v>6942</v>
      </c>
      <c r="N10" s="42">
        <f>ELECT.!Q11</f>
        <v>7091</v>
      </c>
      <c r="O10" s="42">
        <f>ELECT.!S11</f>
        <v>18930</v>
      </c>
      <c r="P10" s="42">
        <f>ELECT.!W11*2</f>
        <v>19026</v>
      </c>
      <c r="Q10" s="42">
        <f>ELECT.!D11</f>
        <v>640</v>
      </c>
      <c r="R10" s="43">
        <f>BTU!C11</f>
        <v>7.6500000000014552</v>
      </c>
      <c r="S10" s="43">
        <f>BTU!F11</f>
        <v>2.3800000000001091</v>
      </c>
      <c r="T10" s="43">
        <f>BTU!I11</f>
        <v>5</v>
      </c>
      <c r="U10" s="43">
        <f>BTU!O11</f>
        <v>1.5340000000001055</v>
      </c>
      <c r="V10" s="43">
        <f>BTU!L11</f>
        <v>1.7999999999992724</v>
      </c>
      <c r="W10" s="43">
        <f>BTU!R11</f>
        <v>2.0199999999995271</v>
      </c>
      <c r="X10" s="40">
        <f>ELECT.!B11</f>
        <v>211</v>
      </c>
      <c r="Y10" s="40">
        <f t="shared" si="0"/>
        <v>-8857</v>
      </c>
      <c r="Z10">
        <f>'Mall, Citadel, Rotana'!C11+'Mall, Citadel, Rotana'!E11+'Mall, Citadel, Rotana'!G11+'Mall, Citadel, Rotana'!I11</f>
        <v>1188</v>
      </c>
      <c r="AA10">
        <f>'Mall, Citadel, Rotana'!K11+'Mall, Citadel, Rotana'!M11</f>
        <v>800</v>
      </c>
      <c r="AB10">
        <f>'Mall, Citadel, Rotana'!O11</f>
        <v>4</v>
      </c>
      <c r="AC10">
        <f>'Mall, Citadel, Rotana'!Q11+'Mall, Citadel, Rotana'!S11</f>
        <v>126</v>
      </c>
      <c r="AD10" s="40">
        <f t="shared" si="1"/>
        <v>107.5488</v>
      </c>
      <c r="AE10" s="40">
        <f t="shared" si="2"/>
        <v>708.45119999999997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950</v>
      </c>
      <c r="F11" s="42">
        <f>Water!E12</f>
        <v>0</v>
      </c>
      <c r="G11" s="42">
        <f>Water!G12</f>
        <v>488.7</v>
      </c>
      <c r="H11" s="42">
        <f>Water!I12</f>
        <v>2.9699999999999998</v>
      </c>
      <c r="I11" s="42">
        <f>ELECT.!F12</f>
        <v>12861</v>
      </c>
      <c r="J11" s="42">
        <f>ELECT.!H12</f>
        <v>54787</v>
      </c>
      <c r="K11" s="42">
        <f>ELECT.!K12</f>
        <v>5779</v>
      </c>
      <c r="L11" s="42">
        <f>ELECT.!M12</f>
        <v>4788</v>
      </c>
      <c r="M11" s="42">
        <f>ELECT.!O12</f>
        <v>7890</v>
      </c>
      <c r="N11" s="42">
        <f>ELECT.!Q12</f>
        <v>11285</v>
      </c>
      <c r="O11" s="42">
        <f>ELECT.!S12</f>
        <v>1801</v>
      </c>
      <c r="P11" s="42">
        <f>ELECT.!W12*2</f>
        <v>24948</v>
      </c>
      <c r="Q11" s="42">
        <f>ELECT.!D12</f>
        <v>800</v>
      </c>
      <c r="R11" s="43">
        <f>BTU!C12</f>
        <v>4.7749999999978172</v>
      </c>
      <c r="S11" s="43">
        <f>BTU!F12</f>
        <v>1.4229999999997744</v>
      </c>
      <c r="T11" s="43">
        <f>BTU!I12</f>
        <v>3</v>
      </c>
      <c r="U11" s="43">
        <f>BTU!O12</f>
        <v>1.0309999999999491</v>
      </c>
      <c r="V11" s="43">
        <f>BTU!L12</f>
        <v>0.78000000000065484</v>
      </c>
      <c r="W11" s="43">
        <f>BTU!R12</f>
        <v>4.5700000000006185</v>
      </c>
      <c r="X11" s="40">
        <f>ELECT.!B12</f>
        <v>283</v>
      </c>
      <c r="Y11" s="40">
        <f t="shared" si="0"/>
        <v>11157</v>
      </c>
      <c r="Z11">
        <f>'Mall, Citadel, Rotana'!C12+'Mall, Citadel, Rotana'!E12+'Mall, Citadel, Rotana'!G12+'Mall, Citadel, Rotana'!I12</f>
        <v>1571</v>
      </c>
      <c r="AA11">
        <f>'Mall, Citadel, Rotana'!K12+'Mall, Citadel, Rotana'!M12</f>
        <v>320</v>
      </c>
      <c r="AB11">
        <f>'Mall, Citadel, Rotana'!O12</f>
        <v>3</v>
      </c>
      <c r="AC11">
        <f>'Mall, Citadel, Rotana'!Q12+'Mall, Citadel, Rotana'!S12</f>
        <v>132</v>
      </c>
      <c r="AD11" s="40">
        <f t="shared" si="1"/>
        <v>99.249353999999997</v>
      </c>
      <c r="AE11" s="40">
        <f t="shared" si="2"/>
        <v>653.78064599999993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970</v>
      </c>
      <c r="F12" s="42">
        <f>Water!E13</f>
        <v>0</v>
      </c>
      <c r="G12" s="42">
        <f>Water!G13</f>
        <v>480.6</v>
      </c>
      <c r="H12" s="42">
        <f>Water!I13</f>
        <v>5.2649999999999997</v>
      </c>
      <c r="I12" s="42">
        <f>ELECT.!F13</f>
        <v>10233</v>
      </c>
      <c r="J12" s="42">
        <f>ELECT.!H13</f>
        <v>37890</v>
      </c>
      <c r="K12" s="42">
        <f>ELECT.!K13</f>
        <v>3607</v>
      </c>
      <c r="L12" s="42">
        <f>ELECT.!M13</f>
        <v>3700</v>
      </c>
      <c r="M12" s="42">
        <f>ELECT.!O13</f>
        <v>6436</v>
      </c>
      <c r="N12" s="42">
        <f>ELECT.!Q13</f>
        <v>5958</v>
      </c>
      <c r="O12" s="42">
        <f>ELECT.!S13</f>
        <v>8127</v>
      </c>
      <c r="P12" s="42">
        <f>ELECT.!W13*2</f>
        <v>19052</v>
      </c>
      <c r="Q12" s="42">
        <f>ELECT.!D13</f>
        <v>2080</v>
      </c>
      <c r="R12" s="43">
        <f>BTU!C13</f>
        <v>5.8209999999999127</v>
      </c>
      <c r="S12" s="43">
        <f>BTU!F13</f>
        <v>1.8900000000003274</v>
      </c>
      <c r="T12" s="43">
        <f>BTU!I13</f>
        <v>5</v>
      </c>
      <c r="U12" s="43">
        <f>BTU!O13</f>
        <v>1.3600000000001273</v>
      </c>
      <c r="V12" s="43">
        <f>BTU!L13</f>
        <v>1.1999999999989086</v>
      </c>
      <c r="W12" s="43">
        <f>BTU!R13</f>
        <v>2.3299999999999272</v>
      </c>
      <c r="X12" s="40">
        <f>ELECT.!B13</f>
        <v>296</v>
      </c>
      <c r="Y12" s="40">
        <f t="shared" si="0"/>
        <v>1243</v>
      </c>
      <c r="Z12">
        <f>'Mall, Citadel, Rotana'!C13+'Mall, Citadel, Rotana'!E13+'Mall, Citadel, Rotana'!G13+'Mall, Citadel, Rotana'!I13</f>
        <v>1386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127</v>
      </c>
      <c r="AD12" s="40">
        <f t="shared" si="1"/>
        <v>101.58287300000001</v>
      </c>
      <c r="AE12" s="40">
        <f t="shared" si="2"/>
        <v>669.15212700000006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13" sqref="A13:XFD1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v>46167</v>
      </c>
      <c r="C9" s="16">
        <f t="shared" si="1"/>
        <v>480</v>
      </c>
      <c r="D9" s="37">
        <v>40011</v>
      </c>
      <c r="E9" s="16">
        <f t="shared" si="2"/>
        <v>480</v>
      </c>
      <c r="F9" s="37">
        <v>20975</v>
      </c>
      <c r="G9" s="16">
        <f t="shared" si="3"/>
        <v>60</v>
      </c>
      <c r="H9" s="37">
        <v>251352</v>
      </c>
      <c r="I9" s="16">
        <f t="shared" si="4"/>
        <v>42</v>
      </c>
      <c r="J9" s="37">
        <v>303517</v>
      </c>
      <c r="K9" s="16">
        <f t="shared" si="5"/>
        <v>0</v>
      </c>
      <c r="L9" s="37">
        <v>25563</v>
      </c>
      <c r="M9" s="16">
        <f t="shared" si="6"/>
        <v>480</v>
      </c>
      <c r="N9" s="37">
        <v>216049</v>
      </c>
      <c r="O9" s="16">
        <f t="shared" si="7"/>
        <v>5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v>3828</v>
      </c>
      <c r="U9" s="16">
        <f t="shared" si="10"/>
        <v>160</v>
      </c>
    </row>
    <row r="10" spans="1:24" ht="13.5" thickBot="1" x14ac:dyDescent="0.25">
      <c r="A10" s="10">
        <v>44508</v>
      </c>
      <c r="B10" s="37">
        <v>46170</v>
      </c>
      <c r="C10" s="16">
        <f t="shared" si="1"/>
        <v>480</v>
      </c>
      <c r="D10" s="37">
        <v>40016</v>
      </c>
      <c r="E10" s="16">
        <f t="shared" si="2"/>
        <v>800</v>
      </c>
      <c r="F10" s="37">
        <v>20979</v>
      </c>
      <c r="G10" s="16">
        <f t="shared" si="3"/>
        <v>80</v>
      </c>
      <c r="H10" s="37">
        <v>251404</v>
      </c>
      <c r="I10" s="16">
        <f t="shared" si="4"/>
        <v>52</v>
      </c>
      <c r="J10" s="37">
        <v>303517</v>
      </c>
      <c r="K10" s="16">
        <f t="shared" si="5"/>
        <v>0</v>
      </c>
      <c r="L10" s="37">
        <v>25566</v>
      </c>
      <c r="M10" s="16">
        <f t="shared" si="6"/>
        <v>480</v>
      </c>
      <c r="N10" s="37">
        <v>216051</v>
      </c>
      <c r="O10" s="16">
        <f t="shared" si="7"/>
        <v>2</v>
      </c>
      <c r="P10" s="37">
        <v>129987</v>
      </c>
      <c r="Q10" s="16">
        <f>P10-P9</f>
        <v>586</v>
      </c>
      <c r="R10" s="1">
        <v>55047</v>
      </c>
      <c r="S10" s="16">
        <f>R10-R9</f>
        <v>0</v>
      </c>
      <c r="T10" s="37">
        <v>3829</v>
      </c>
      <c r="U10" s="16">
        <f t="shared" si="10"/>
        <v>160</v>
      </c>
    </row>
    <row r="11" spans="1:24" ht="13.5" thickBot="1" x14ac:dyDescent="0.25">
      <c r="A11" s="10">
        <v>44509</v>
      </c>
      <c r="B11" s="37">
        <v>46176</v>
      </c>
      <c r="C11" s="16">
        <f t="shared" si="1"/>
        <v>960</v>
      </c>
      <c r="D11" s="37">
        <v>40017</v>
      </c>
      <c r="E11" s="16">
        <f t="shared" si="2"/>
        <v>160</v>
      </c>
      <c r="F11" s="37">
        <v>20981</v>
      </c>
      <c r="G11" s="16">
        <f t="shared" si="3"/>
        <v>40</v>
      </c>
      <c r="H11" s="37">
        <v>251432</v>
      </c>
      <c r="I11" s="16">
        <f t="shared" si="4"/>
        <v>28</v>
      </c>
      <c r="J11" s="37">
        <v>303517</v>
      </c>
      <c r="K11" s="16">
        <f t="shared" si="5"/>
        <v>0</v>
      </c>
      <c r="L11" s="37">
        <v>25571</v>
      </c>
      <c r="M11" s="16">
        <f t="shared" si="6"/>
        <v>800</v>
      </c>
      <c r="N11" s="37">
        <v>216055</v>
      </c>
      <c r="O11" s="16">
        <f t="shared" si="7"/>
        <v>4</v>
      </c>
      <c r="P11" s="37">
        <v>130113</v>
      </c>
      <c r="Q11" s="16">
        <f t="shared" si="8"/>
        <v>126</v>
      </c>
      <c r="R11" s="1">
        <v>55047</v>
      </c>
      <c r="S11" s="16">
        <f t="shared" si="9"/>
        <v>0</v>
      </c>
      <c r="T11" s="37">
        <v>3831</v>
      </c>
      <c r="U11" s="16">
        <f t="shared" si="10"/>
        <v>320</v>
      </c>
    </row>
    <row r="12" spans="1:24" ht="13.5" thickBot="1" x14ac:dyDescent="0.25">
      <c r="A12" s="10">
        <v>44510</v>
      </c>
      <c r="B12" s="37">
        <v>46181</v>
      </c>
      <c r="C12" s="16">
        <f t="shared" si="1"/>
        <v>800</v>
      </c>
      <c r="D12" s="37">
        <v>40021</v>
      </c>
      <c r="E12" s="16">
        <f t="shared" si="2"/>
        <v>640</v>
      </c>
      <c r="F12" s="37">
        <v>20985</v>
      </c>
      <c r="G12" s="16">
        <f t="shared" si="3"/>
        <v>80</v>
      </c>
      <c r="H12" s="37">
        <v>251483</v>
      </c>
      <c r="I12" s="16">
        <f t="shared" si="4"/>
        <v>51</v>
      </c>
      <c r="J12" s="37">
        <v>303517</v>
      </c>
      <c r="K12" s="16">
        <f t="shared" si="5"/>
        <v>0</v>
      </c>
      <c r="L12" s="37">
        <v>25573</v>
      </c>
      <c r="M12" s="16">
        <f t="shared" si="6"/>
        <v>320</v>
      </c>
      <c r="N12" s="37">
        <v>216058</v>
      </c>
      <c r="O12" s="16">
        <f t="shared" si="7"/>
        <v>3</v>
      </c>
      <c r="P12" s="37">
        <v>130245</v>
      </c>
      <c r="Q12" s="16">
        <f t="shared" si="8"/>
        <v>132</v>
      </c>
      <c r="R12" s="1">
        <v>55047</v>
      </c>
      <c r="S12" s="16">
        <f t="shared" si="9"/>
        <v>0</v>
      </c>
      <c r="T12" s="37">
        <v>3832</v>
      </c>
      <c r="U12" s="16">
        <f t="shared" si="10"/>
        <v>160</v>
      </c>
    </row>
    <row r="13" spans="1:24" ht="13.5" thickBot="1" x14ac:dyDescent="0.25">
      <c r="A13" s="10">
        <v>44511</v>
      </c>
      <c r="B13" s="37">
        <v>46186</v>
      </c>
      <c r="C13" s="16">
        <f t="shared" si="1"/>
        <v>800</v>
      </c>
      <c r="D13" s="37">
        <v>40024</v>
      </c>
      <c r="E13" s="16">
        <f t="shared" si="2"/>
        <v>480</v>
      </c>
      <c r="F13" s="37">
        <v>20988</v>
      </c>
      <c r="G13" s="16">
        <f t="shared" si="3"/>
        <v>60</v>
      </c>
      <c r="H13" s="37">
        <v>251529</v>
      </c>
      <c r="I13" s="16">
        <f t="shared" si="4"/>
        <v>46</v>
      </c>
      <c r="J13" s="37">
        <v>303517</v>
      </c>
      <c r="K13" s="16">
        <f t="shared" si="5"/>
        <v>0</v>
      </c>
      <c r="L13" s="37">
        <v>25577</v>
      </c>
      <c r="M13" s="16">
        <f t="shared" si="6"/>
        <v>640</v>
      </c>
      <c r="N13" s="37">
        <v>216061</v>
      </c>
      <c r="O13" s="16">
        <f t="shared" si="7"/>
        <v>3</v>
      </c>
      <c r="P13" s="37">
        <v>130372</v>
      </c>
      <c r="Q13" s="16">
        <f t="shared" si="8"/>
        <v>127</v>
      </c>
      <c r="R13" s="1">
        <v>55047</v>
      </c>
      <c r="S13" s="16">
        <f t="shared" si="9"/>
        <v>0</v>
      </c>
      <c r="T13" s="37">
        <v>3833</v>
      </c>
      <c r="U13" s="16">
        <f t="shared" si="10"/>
        <v>160</v>
      </c>
    </row>
    <row r="14" spans="1:24" ht="13.5" thickBot="1" x14ac:dyDescent="0.25">
      <c r="A14" s="10">
        <v>44512</v>
      </c>
      <c r="B14" s="37">
        <f t="shared" ref="B13:B32" si="12">B13</f>
        <v>46186</v>
      </c>
      <c r="C14" s="16">
        <f t="shared" si="1"/>
        <v>0</v>
      </c>
      <c r="D14" s="37">
        <f t="shared" ref="D13:D32" si="13">D13</f>
        <v>40024</v>
      </c>
      <c r="E14" s="16">
        <f t="shared" si="2"/>
        <v>0</v>
      </c>
      <c r="F14" s="37">
        <f t="shared" ref="F13:F32" si="14">F13</f>
        <v>20988</v>
      </c>
      <c r="G14" s="16">
        <f t="shared" si="3"/>
        <v>0</v>
      </c>
      <c r="H14" s="37">
        <f t="shared" ref="H13:H32" si="15">H13</f>
        <v>251529</v>
      </c>
      <c r="I14" s="16">
        <f t="shared" si="4"/>
        <v>0</v>
      </c>
      <c r="J14" s="37">
        <v>303517</v>
      </c>
      <c r="K14" s="16">
        <v>0</v>
      </c>
      <c r="L14" s="37">
        <f t="shared" ref="L13:L32" si="16">L13</f>
        <v>25577</v>
      </c>
      <c r="M14" s="16">
        <f t="shared" si="6"/>
        <v>0</v>
      </c>
      <c r="N14" s="37">
        <f t="shared" ref="N13:N32" si="17">N13</f>
        <v>216061</v>
      </c>
      <c r="O14" s="16">
        <f t="shared" si="7"/>
        <v>0</v>
      </c>
      <c r="P14" s="37">
        <f t="shared" si="11"/>
        <v>130372</v>
      </c>
      <c r="Q14" s="16">
        <f t="shared" si="8"/>
        <v>0</v>
      </c>
      <c r="R14" s="1">
        <f t="shared" ref="R14:R27" si="18">R13</f>
        <v>55047</v>
      </c>
      <c r="S14" s="16">
        <v>0</v>
      </c>
      <c r="T14" s="37">
        <f t="shared" ref="T13:T32" si="19">T13</f>
        <v>3833</v>
      </c>
      <c r="U14" s="16">
        <f t="shared" si="10"/>
        <v>0</v>
      </c>
    </row>
    <row r="15" spans="1:24" ht="13.5" thickBot="1" x14ac:dyDescent="0.25">
      <c r="A15" s="10">
        <v>44513</v>
      </c>
      <c r="B15" s="37">
        <f t="shared" si="12"/>
        <v>46186</v>
      </c>
      <c r="C15" s="16">
        <f t="shared" si="1"/>
        <v>0</v>
      </c>
      <c r="D15" s="37">
        <f t="shared" si="13"/>
        <v>40024</v>
      </c>
      <c r="E15" s="16">
        <f t="shared" si="2"/>
        <v>0</v>
      </c>
      <c r="F15" s="37">
        <f t="shared" si="14"/>
        <v>20988</v>
      </c>
      <c r="G15" s="16">
        <f t="shared" si="3"/>
        <v>0</v>
      </c>
      <c r="H15" s="37">
        <f t="shared" si="15"/>
        <v>251529</v>
      </c>
      <c r="I15" s="16">
        <f t="shared" si="4"/>
        <v>0</v>
      </c>
      <c r="J15" s="37">
        <v>303517</v>
      </c>
      <c r="K15" s="16">
        <f t="shared" si="5"/>
        <v>0</v>
      </c>
      <c r="L15" s="37">
        <f t="shared" si="16"/>
        <v>25577</v>
      </c>
      <c r="M15" s="16">
        <f t="shared" si="6"/>
        <v>0</v>
      </c>
      <c r="N15" s="37">
        <f t="shared" si="17"/>
        <v>216061</v>
      </c>
      <c r="O15" s="16">
        <f t="shared" si="7"/>
        <v>0</v>
      </c>
      <c r="P15" s="37">
        <f t="shared" si="11"/>
        <v>130372</v>
      </c>
      <c r="Q15" s="16">
        <f t="shared" si="8"/>
        <v>0</v>
      </c>
      <c r="R15" s="1">
        <v>55047</v>
      </c>
      <c r="S15" s="16">
        <f t="shared" si="9"/>
        <v>0</v>
      </c>
      <c r="T15" s="37">
        <f t="shared" si="19"/>
        <v>3833</v>
      </c>
      <c r="U15" s="16">
        <f>(T15-T14)*800/5</f>
        <v>0</v>
      </c>
      <c r="X15" t="s">
        <v>12</v>
      </c>
    </row>
    <row r="16" spans="1:24" ht="13.5" thickBot="1" x14ac:dyDescent="0.25">
      <c r="A16" s="10">
        <v>44514</v>
      </c>
      <c r="B16" s="37">
        <f t="shared" si="12"/>
        <v>46186</v>
      </c>
      <c r="C16" s="16">
        <f t="shared" si="1"/>
        <v>0</v>
      </c>
      <c r="D16" s="37">
        <f t="shared" si="13"/>
        <v>40024</v>
      </c>
      <c r="E16" s="16">
        <f t="shared" si="2"/>
        <v>0</v>
      </c>
      <c r="F16" s="37">
        <f t="shared" si="14"/>
        <v>20988</v>
      </c>
      <c r="G16" s="16">
        <f t="shared" si="3"/>
        <v>0</v>
      </c>
      <c r="H16" s="37">
        <f t="shared" si="15"/>
        <v>251529</v>
      </c>
      <c r="I16" s="16">
        <f t="shared" si="4"/>
        <v>0</v>
      </c>
      <c r="J16" s="37">
        <v>303517</v>
      </c>
      <c r="K16" s="16">
        <f t="shared" si="5"/>
        <v>0</v>
      </c>
      <c r="L16" s="37">
        <f t="shared" si="16"/>
        <v>25577</v>
      </c>
      <c r="M16" s="16">
        <f t="shared" si="6"/>
        <v>0</v>
      </c>
      <c r="N16" s="37">
        <f t="shared" si="17"/>
        <v>216061</v>
      </c>
      <c r="O16" s="16">
        <f t="shared" si="7"/>
        <v>0</v>
      </c>
      <c r="P16" s="37">
        <f t="shared" si="11"/>
        <v>130372</v>
      </c>
      <c r="Q16" s="16">
        <f t="shared" si="8"/>
        <v>0</v>
      </c>
      <c r="R16" s="1">
        <v>55047</v>
      </c>
      <c r="S16" s="16">
        <f t="shared" si="9"/>
        <v>0</v>
      </c>
      <c r="T16" s="37">
        <f t="shared" si="19"/>
        <v>3833</v>
      </c>
      <c r="U16" s="16">
        <f t="shared" si="10"/>
        <v>0</v>
      </c>
      <c r="W16" t="s">
        <v>12</v>
      </c>
    </row>
    <row r="17" spans="1:23" ht="13.5" thickBot="1" x14ac:dyDescent="0.25">
      <c r="A17" s="10">
        <v>44515</v>
      </c>
      <c r="B17" s="37">
        <f t="shared" si="12"/>
        <v>46186</v>
      </c>
      <c r="C17" s="16">
        <f t="shared" si="1"/>
        <v>0</v>
      </c>
      <c r="D17" s="37">
        <f t="shared" si="13"/>
        <v>40024</v>
      </c>
      <c r="E17" s="16">
        <f t="shared" si="2"/>
        <v>0</v>
      </c>
      <c r="F17" s="37">
        <f t="shared" si="14"/>
        <v>20988</v>
      </c>
      <c r="G17" s="16">
        <f t="shared" si="3"/>
        <v>0</v>
      </c>
      <c r="H17" s="37">
        <f t="shared" si="15"/>
        <v>251529</v>
      </c>
      <c r="I17" s="16">
        <f t="shared" si="4"/>
        <v>0</v>
      </c>
      <c r="J17" s="37">
        <v>303517</v>
      </c>
      <c r="K17" s="16">
        <f t="shared" si="5"/>
        <v>0</v>
      </c>
      <c r="L17" s="37">
        <f t="shared" si="16"/>
        <v>25577</v>
      </c>
      <c r="M17" s="16">
        <f t="shared" si="6"/>
        <v>0</v>
      </c>
      <c r="N17" s="37">
        <f t="shared" si="17"/>
        <v>216061</v>
      </c>
      <c r="O17" s="16">
        <f t="shared" si="7"/>
        <v>0</v>
      </c>
      <c r="P17" s="37">
        <f t="shared" si="11"/>
        <v>130372</v>
      </c>
      <c r="Q17" s="16">
        <f t="shared" si="8"/>
        <v>0</v>
      </c>
      <c r="R17" s="1">
        <f t="shared" si="18"/>
        <v>55047</v>
      </c>
      <c r="S17" s="16">
        <f>S16</f>
        <v>0</v>
      </c>
      <c r="T17" s="37">
        <f t="shared" si="19"/>
        <v>3833</v>
      </c>
      <c r="U17" s="16">
        <f t="shared" si="10"/>
        <v>0</v>
      </c>
    </row>
    <row r="18" spans="1:23" ht="13.5" thickBot="1" x14ac:dyDescent="0.25">
      <c r="A18" s="10">
        <v>44516</v>
      </c>
      <c r="B18" s="37">
        <f t="shared" si="12"/>
        <v>46186</v>
      </c>
      <c r="C18" s="16">
        <f t="shared" si="1"/>
        <v>0</v>
      </c>
      <c r="D18" s="37">
        <f t="shared" si="13"/>
        <v>40024</v>
      </c>
      <c r="E18" s="16">
        <f t="shared" si="2"/>
        <v>0</v>
      </c>
      <c r="F18" s="37">
        <f t="shared" si="14"/>
        <v>20988</v>
      </c>
      <c r="G18" s="16">
        <f t="shared" si="3"/>
        <v>0</v>
      </c>
      <c r="H18" s="37">
        <f t="shared" si="15"/>
        <v>251529</v>
      </c>
      <c r="I18" s="16">
        <f t="shared" si="4"/>
        <v>0</v>
      </c>
      <c r="J18" s="37">
        <v>303517</v>
      </c>
      <c r="K18" s="16">
        <f t="shared" si="5"/>
        <v>0</v>
      </c>
      <c r="L18" s="37">
        <f t="shared" si="16"/>
        <v>25577</v>
      </c>
      <c r="M18" s="16">
        <f t="shared" si="6"/>
        <v>0</v>
      </c>
      <c r="N18" s="37">
        <f t="shared" si="17"/>
        <v>216061</v>
      </c>
      <c r="O18" s="16">
        <f t="shared" si="7"/>
        <v>0</v>
      </c>
      <c r="P18" s="37">
        <f t="shared" si="11"/>
        <v>130372</v>
      </c>
      <c r="Q18" s="16">
        <f t="shared" si="8"/>
        <v>0</v>
      </c>
      <c r="R18" s="1">
        <f t="shared" si="18"/>
        <v>55047</v>
      </c>
      <c r="S18" s="16">
        <f t="shared" si="9"/>
        <v>0</v>
      </c>
      <c r="T18" s="37">
        <f t="shared" si="19"/>
        <v>3833</v>
      </c>
      <c r="U18" s="16">
        <f t="shared" si="10"/>
        <v>0</v>
      </c>
    </row>
    <row r="19" spans="1:23" ht="13.5" thickBot="1" x14ac:dyDescent="0.25">
      <c r="A19" s="10">
        <v>44517</v>
      </c>
      <c r="B19" s="37">
        <f t="shared" si="12"/>
        <v>46186</v>
      </c>
      <c r="C19" s="16">
        <f t="shared" si="1"/>
        <v>0</v>
      </c>
      <c r="D19" s="37">
        <f t="shared" si="13"/>
        <v>40024</v>
      </c>
      <c r="E19" s="16">
        <f t="shared" si="2"/>
        <v>0</v>
      </c>
      <c r="F19" s="37">
        <f t="shared" si="14"/>
        <v>20988</v>
      </c>
      <c r="G19" s="16">
        <f t="shared" si="3"/>
        <v>0</v>
      </c>
      <c r="H19" s="37">
        <f t="shared" si="15"/>
        <v>251529</v>
      </c>
      <c r="I19" s="16">
        <f t="shared" si="4"/>
        <v>0</v>
      </c>
      <c r="J19" s="37">
        <v>303517</v>
      </c>
      <c r="K19" s="16">
        <f t="shared" si="5"/>
        <v>0</v>
      </c>
      <c r="L19" s="37">
        <f t="shared" si="16"/>
        <v>25577</v>
      </c>
      <c r="M19" s="16">
        <f t="shared" si="6"/>
        <v>0</v>
      </c>
      <c r="N19" s="37">
        <f t="shared" si="17"/>
        <v>216061</v>
      </c>
      <c r="O19" s="16">
        <f t="shared" si="7"/>
        <v>0</v>
      </c>
      <c r="P19" s="37">
        <f t="shared" si="11"/>
        <v>130372</v>
      </c>
      <c r="Q19" s="16">
        <f t="shared" si="8"/>
        <v>0</v>
      </c>
      <c r="R19" s="1">
        <v>55047</v>
      </c>
      <c r="S19" s="16">
        <f t="shared" si="9"/>
        <v>0</v>
      </c>
      <c r="T19" s="37">
        <f t="shared" si="19"/>
        <v>3833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44518</v>
      </c>
      <c r="B20" s="37">
        <f t="shared" si="12"/>
        <v>46186</v>
      </c>
      <c r="C20" s="16">
        <f t="shared" si="1"/>
        <v>0</v>
      </c>
      <c r="D20" s="37">
        <f t="shared" si="13"/>
        <v>40024</v>
      </c>
      <c r="E20" s="16">
        <f t="shared" si="2"/>
        <v>0</v>
      </c>
      <c r="F20" s="37">
        <f t="shared" si="14"/>
        <v>20988</v>
      </c>
      <c r="G20" s="16">
        <f t="shared" si="3"/>
        <v>0</v>
      </c>
      <c r="H20" s="37">
        <f t="shared" si="15"/>
        <v>251529</v>
      </c>
      <c r="I20" s="16">
        <f t="shared" si="4"/>
        <v>0</v>
      </c>
      <c r="J20" s="37">
        <v>303517</v>
      </c>
      <c r="K20" s="16">
        <v>0</v>
      </c>
      <c r="L20" s="37">
        <f t="shared" si="16"/>
        <v>25577</v>
      </c>
      <c r="M20" s="16">
        <f t="shared" si="6"/>
        <v>0</v>
      </c>
      <c r="N20" s="37">
        <f t="shared" si="17"/>
        <v>216061</v>
      </c>
      <c r="O20" s="16">
        <f t="shared" si="7"/>
        <v>0</v>
      </c>
      <c r="P20" s="37">
        <f t="shared" si="11"/>
        <v>130372</v>
      </c>
      <c r="Q20" s="16">
        <f>P20-P19</f>
        <v>0</v>
      </c>
      <c r="R20" s="1">
        <v>55047</v>
      </c>
      <c r="S20" s="16">
        <f t="shared" si="9"/>
        <v>0</v>
      </c>
      <c r="T20" s="37">
        <f t="shared" si="19"/>
        <v>3833</v>
      </c>
      <c r="U20" s="16">
        <f t="shared" si="10"/>
        <v>0</v>
      </c>
    </row>
    <row r="21" spans="1:23" ht="13.5" thickBot="1" x14ac:dyDescent="0.25">
      <c r="A21" s="10">
        <v>44519</v>
      </c>
      <c r="B21" s="37">
        <f t="shared" si="12"/>
        <v>46186</v>
      </c>
      <c r="C21" s="16">
        <f t="shared" si="1"/>
        <v>0</v>
      </c>
      <c r="D21" s="37">
        <f t="shared" si="13"/>
        <v>40024</v>
      </c>
      <c r="E21" s="16">
        <f t="shared" si="2"/>
        <v>0</v>
      </c>
      <c r="F21" s="37">
        <f t="shared" si="14"/>
        <v>20988</v>
      </c>
      <c r="G21" s="16">
        <f t="shared" si="3"/>
        <v>0</v>
      </c>
      <c r="H21" s="37">
        <f t="shared" si="15"/>
        <v>251529</v>
      </c>
      <c r="I21" s="16">
        <f t="shared" si="4"/>
        <v>0</v>
      </c>
      <c r="J21" s="37">
        <v>303517</v>
      </c>
      <c r="K21" s="16">
        <f t="shared" si="5"/>
        <v>0</v>
      </c>
      <c r="L21" s="37">
        <f t="shared" si="16"/>
        <v>25577</v>
      </c>
      <c r="M21" s="16">
        <f t="shared" si="6"/>
        <v>0</v>
      </c>
      <c r="N21" s="37">
        <f t="shared" si="17"/>
        <v>216061</v>
      </c>
      <c r="O21" s="16">
        <f t="shared" si="7"/>
        <v>0</v>
      </c>
      <c r="P21" s="37">
        <f t="shared" si="11"/>
        <v>130372</v>
      </c>
      <c r="Q21" s="16">
        <f t="shared" si="8"/>
        <v>0</v>
      </c>
      <c r="R21" s="1">
        <f t="shared" si="18"/>
        <v>55047</v>
      </c>
      <c r="S21" s="16">
        <f t="shared" si="9"/>
        <v>0</v>
      </c>
      <c r="T21" s="37">
        <f t="shared" si="19"/>
        <v>3833</v>
      </c>
      <c r="U21" s="16">
        <f t="shared" si="10"/>
        <v>0</v>
      </c>
    </row>
    <row r="22" spans="1:23" ht="13.5" thickBot="1" x14ac:dyDescent="0.25">
      <c r="A22" s="10">
        <v>44520</v>
      </c>
      <c r="B22" s="37">
        <f t="shared" si="12"/>
        <v>46186</v>
      </c>
      <c r="C22" s="16">
        <f t="shared" si="1"/>
        <v>0</v>
      </c>
      <c r="D22" s="37">
        <f t="shared" si="13"/>
        <v>40024</v>
      </c>
      <c r="E22" s="16">
        <f t="shared" si="2"/>
        <v>0</v>
      </c>
      <c r="F22" s="37">
        <f t="shared" si="14"/>
        <v>20988</v>
      </c>
      <c r="G22" s="16">
        <f t="shared" si="3"/>
        <v>0</v>
      </c>
      <c r="H22" s="37">
        <f t="shared" si="15"/>
        <v>251529</v>
      </c>
      <c r="I22" s="16">
        <f t="shared" si="4"/>
        <v>0</v>
      </c>
      <c r="J22" s="37">
        <v>303517</v>
      </c>
      <c r="K22" s="16">
        <f t="shared" si="5"/>
        <v>0</v>
      </c>
      <c r="L22" s="37">
        <f t="shared" si="16"/>
        <v>25577</v>
      </c>
      <c r="M22" s="16">
        <f t="shared" si="6"/>
        <v>0</v>
      </c>
      <c r="N22" s="37">
        <f t="shared" si="17"/>
        <v>216061</v>
      </c>
      <c r="O22" s="16">
        <f t="shared" si="7"/>
        <v>0</v>
      </c>
      <c r="P22" s="37">
        <f t="shared" si="11"/>
        <v>130372</v>
      </c>
      <c r="Q22" s="16">
        <f>P22-P21</f>
        <v>0</v>
      </c>
      <c r="R22" s="1">
        <v>55047</v>
      </c>
      <c r="S22" s="16">
        <f t="shared" si="9"/>
        <v>0</v>
      </c>
      <c r="T22" s="37">
        <f t="shared" si="19"/>
        <v>3833</v>
      </c>
      <c r="U22" s="16">
        <f t="shared" si="10"/>
        <v>0</v>
      </c>
    </row>
    <row r="23" spans="1:23" ht="13.5" thickBot="1" x14ac:dyDescent="0.25">
      <c r="A23" s="10">
        <v>44521</v>
      </c>
      <c r="B23" s="37">
        <f t="shared" si="12"/>
        <v>46186</v>
      </c>
      <c r="C23" s="16">
        <f t="shared" si="1"/>
        <v>0</v>
      </c>
      <c r="D23" s="37">
        <f t="shared" si="13"/>
        <v>40024</v>
      </c>
      <c r="E23" s="16">
        <f t="shared" si="2"/>
        <v>0</v>
      </c>
      <c r="F23" s="37">
        <f t="shared" si="14"/>
        <v>20988</v>
      </c>
      <c r="G23" s="16">
        <f t="shared" si="3"/>
        <v>0</v>
      </c>
      <c r="H23" s="37">
        <f t="shared" si="15"/>
        <v>251529</v>
      </c>
      <c r="I23" s="16">
        <f t="shared" si="4"/>
        <v>0</v>
      </c>
      <c r="J23" s="37">
        <v>303517</v>
      </c>
      <c r="K23" s="16">
        <f t="shared" si="5"/>
        <v>0</v>
      </c>
      <c r="L23" s="37">
        <f t="shared" si="16"/>
        <v>25577</v>
      </c>
      <c r="M23" s="16">
        <f t="shared" si="6"/>
        <v>0</v>
      </c>
      <c r="N23" s="37">
        <f t="shared" si="17"/>
        <v>216061</v>
      </c>
      <c r="O23" s="16">
        <f t="shared" si="7"/>
        <v>0</v>
      </c>
      <c r="P23" s="37">
        <f t="shared" si="11"/>
        <v>130372</v>
      </c>
      <c r="Q23" s="16">
        <f t="shared" si="8"/>
        <v>0</v>
      </c>
      <c r="R23" s="1">
        <v>55047</v>
      </c>
      <c r="S23" s="16">
        <f t="shared" si="9"/>
        <v>0</v>
      </c>
      <c r="T23" s="37">
        <f t="shared" si="19"/>
        <v>3833</v>
      </c>
      <c r="U23" s="16">
        <f t="shared" si="10"/>
        <v>0</v>
      </c>
    </row>
    <row r="24" spans="1:23" s="138" customFormat="1" ht="13.5" thickBot="1" x14ac:dyDescent="0.25">
      <c r="A24" s="10">
        <v>44522</v>
      </c>
      <c r="B24" s="37">
        <f t="shared" si="12"/>
        <v>46186</v>
      </c>
      <c r="C24" s="16">
        <f t="shared" si="1"/>
        <v>0</v>
      </c>
      <c r="D24" s="37">
        <f t="shared" si="13"/>
        <v>40024</v>
      </c>
      <c r="E24" s="16">
        <f t="shared" si="2"/>
        <v>0</v>
      </c>
      <c r="F24" s="37">
        <f t="shared" si="14"/>
        <v>20988</v>
      </c>
      <c r="G24" s="16">
        <f t="shared" si="3"/>
        <v>0</v>
      </c>
      <c r="H24" s="37">
        <f t="shared" si="15"/>
        <v>251529</v>
      </c>
      <c r="I24" s="16">
        <f t="shared" si="4"/>
        <v>0</v>
      </c>
      <c r="J24" s="37">
        <v>303517</v>
      </c>
      <c r="K24" s="16">
        <f t="shared" si="5"/>
        <v>0</v>
      </c>
      <c r="L24" s="37">
        <f t="shared" si="16"/>
        <v>25577</v>
      </c>
      <c r="M24" s="16">
        <f t="shared" si="6"/>
        <v>0</v>
      </c>
      <c r="N24" s="37">
        <f t="shared" si="17"/>
        <v>216061</v>
      </c>
      <c r="O24" s="16">
        <f t="shared" si="7"/>
        <v>0</v>
      </c>
      <c r="P24" s="37">
        <f t="shared" si="11"/>
        <v>130372</v>
      </c>
      <c r="Q24" s="16">
        <f t="shared" si="8"/>
        <v>0</v>
      </c>
      <c r="R24" s="1">
        <f t="shared" si="18"/>
        <v>55047</v>
      </c>
      <c r="S24" s="16">
        <f t="shared" si="9"/>
        <v>0</v>
      </c>
      <c r="T24" s="37">
        <f t="shared" si="19"/>
        <v>3833</v>
      </c>
      <c r="U24" s="16">
        <f t="shared" si="10"/>
        <v>0</v>
      </c>
    </row>
    <row r="25" spans="1:23" ht="13.5" thickBot="1" x14ac:dyDescent="0.25">
      <c r="A25" s="10">
        <v>44523</v>
      </c>
      <c r="B25" s="37">
        <f t="shared" si="12"/>
        <v>46186</v>
      </c>
      <c r="C25" s="16">
        <f t="shared" si="1"/>
        <v>0</v>
      </c>
      <c r="D25" s="37">
        <f t="shared" si="13"/>
        <v>40024</v>
      </c>
      <c r="E25" s="16">
        <f t="shared" si="2"/>
        <v>0</v>
      </c>
      <c r="F25" s="37">
        <f t="shared" si="14"/>
        <v>20988</v>
      </c>
      <c r="G25" s="16">
        <f t="shared" si="3"/>
        <v>0</v>
      </c>
      <c r="H25" s="37">
        <f t="shared" si="15"/>
        <v>251529</v>
      </c>
      <c r="I25" s="16">
        <f t="shared" si="4"/>
        <v>0</v>
      </c>
      <c r="J25" s="37">
        <v>303517</v>
      </c>
      <c r="K25" s="16">
        <f t="shared" si="5"/>
        <v>0</v>
      </c>
      <c r="L25" s="37">
        <f t="shared" si="16"/>
        <v>25577</v>
      </c>
      <c r="M25" s="16">
        <f t="shared" si="6"/>
        <v>0</v>
      </c>
      <c r="N25" s="37">
        <f t="shared" si="17"/>
        <v>216061</v>
      </c>
      <c r="O25" s="16">
        <f t="shared" si="7"/>
        <v>0</v>
      </c>
      <c r="P25" s="37">
        <f t="shared" si="11"/>
        <v>130372</v>
      </c>
      <c r="Q25" s="16">
        <f t="shared" si="8"/>
        <v>0</v>
      </c>
      <c r="R25" s="1">
        <f t="shared" si="18"/>
        <v>55047</v>
      </c>
      <c r="S25" s="16">
        <f t="shared" si="9"/>
        <v>0</v>
      </c>
      <c r="T25" s="37">
        <f t="shared" si="19"/>
        <v>3833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44524</v>
      </c>
      <c r="B26" s="37">
        <f t="shared" si="12"/>
        <v>46186</v>
      </c>
      <c r="C26" s="16">
        <f t="shared" si="1"/>
        <v>0</v>
      </c>
      <c r="D26" s="37">
        <f t="shared" si="13"/>
        <v>40024</v>
      </c>
      <c r="E26" s="16">
        <f t="shared" si="2"/>
        <v>0</v>
      </c>
      <c r="F26" s="37">
        <f t="shared" si="14"/>
        <v>20988</v>
      </c>
      <c r="G26" s="16">
        <f t="shared" si="3"/>
        <v>0</v>
      </c>
      <c r="H26" s="37">
        <f t="shared" si="15"/>
        <v>251529</v>
      </c>
      <c r="I26" s="16">
        <f t="shared" si="4"/>
        <v>0</v>
      </c>
      <c r="J26" s="37">
        <v>303517</v>
      </c>
      <c r="K26" s="16">
        <f t="shared" si="5"/>
        <v>0</v>
      </c>
      <c r="L26" s="37">
        <f t="shared" si="16"/>
        <v>25577</v>
      </c>
      <c r="M26" s="16">
        <f t="shared" si="6"/>
        <v>0</v>
      </c>
      <c r="N26" s="37">
        <f t="shared" si="17"/>
        <v>216061</v>
      </c>
      <c r="O26" s="16">
        <f t="shared" si="7"/>
        <v>0</v>
      </c>
      <c r="P26" s="37">
        <f t="shared" si="11"/>
        <v>130372</v>
      </c>
      <c r="Q26" s="16">
        <f t="shared" si="8"/>
        <v>0</v>
      </c>
      <c r="R26" s="1">
        <f t="shared" si="18"/>
        <v>55047</v>
      </c>
      <c r="S26" s="16">
        <f t="shared" si="9"/>
        <v>0</v>
      </c>
      <c r="T26" s="37">
        <f t="shared" si="19"/>
        <v>3833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44525</v>
      </c>
      <c r="B27" s="37">
        <f t="shared" si="12"/>
        <v>46186</v>
      </c>
      <c r="C27" s="16">
        <f t="shared" si="1"/>
        <v>0</v>
      </c>
      <c r="D27" s="37">
        <f t="shared" si="13"/>
        <v>40024</v>
      </c>
      <c r="E27" s="16">
        <f t="shared" si="2"/>
        <v>0</v>
      </c>
      <c r="F27" s="37">
        <f t="shared" si="14"/>
        <v>20988</v>
      </c>
      <c r="G27" s="16">
        <f t="shared" si="3"/>
        <v>0</v>
      </c>
      <c r="H27" s="37">
        <f t="shared" si="15"/>
        <v>251529</v>
      </c>
      <c r="I27" s="16">
        <f t="shared" si="4"/>
        <v>0</v>
      </c>
      <c r="J27" s="37">
        <v>303517</v>
      </c>
      <c r="K27" s="16">
        <f t="shared" si="5"/>
        <v>0</v>
      </c>
      <c r="L27" s="37">
        <f t="shared" si="16"/>
        <v>25577</v>
      </c>
      <c r="M27" s="16">
        <f t="shared" si="6"/>
        <v>0</v>
      </c>
      <c r="N27" s="37">
        <f t="shared" si="17"/>
        <v>216061</v>
      </c>
      <c r="O27" s="16">
        <f t="shared" si="7"/>
        <v>0</v>
      </c>
      <c r="P27" s="37">
        <f t="shared" si="11"/>
        <v>130372</v>
      </c>
      <c r="Q27" s="16">
        <f t="shared" si="8"/>
        <v>0</v>
      </c>
      <c r="R27" s="1">
        <f t="shared" si="18"/>
        <v>55047</v>
      </c>
      <c r="S27" s="16">
        <f t="shared" si="9"/>
        <v>0</v>
      </c>
      <c r="T27" s="37">
        <f t="shared" si="19"/>
        <v>3833</v>
      </c>
      <c r="U27" s="16">
        <f t="shared" si="10"/>
        <v>0</v>
      </c>
    </row>
    <row r="28" spans="1:23" ht="13.5" thickBot="1" x14ac:dyDescent="0.25">
      <c r="A28" s="10">
        <v>44526</v>
      </c>
      <c r="B28" s="37">
        <f t="shared" si="12"/>
        <v>46186</v>
      </c>
      <c r="C28" s="16">
        <f t="shared" si="1"/>
        <v>0</v>
      </c>
      <c r="D28" s="37">
        <f t="shared" si="13"/>
        <v>40024</v>
      </c>
      <c r="E28" s="16">
        <f t="shared" si="2"/>
        <v>0</v>
      </c>
      <c r="F28" s="37">
        <f t="shared" si="14"/>
        <v>20988</v>
      </c>
      <c r="G28" s="16">
        <f t="shared" si="3"/>
        <v>0</v>
      </c>
      <c r="H28" s="37">
        <f t="shared" si="15"/>
        <v>251529</v>
      </c>
      <c r="I28" s="16">
        <f t="shared" si="4"/>
        <v>0</v>
      </c>
      <c r="J28" s="37">
        <v>303517</v>
      </c>
      <c r="K28" s="16">
        <f t="shared" si="5"/>
        <v>0</v>
      </c>
      <c r="L28" s="37">
        <f t="shared" si="16"/>
        <v>25577</v>
      </c>
      <c r="M28" s="16">
        <f t="shared" si="6"/>
        <v>0</v>
      </c>
      <c r="N28" s="37">
        <f t="shared" si="17"/>
        <v>216061</v>
      </c>
      <c r="O28" s="16">
        <f t="shared" si="7"/>
        <v>0</v>
      </c>
      <c r="P28" s="37">
        <f t="shared" si="11"/>
        <v>130372</v>
      </c>
      <c r="Q28" s="17">
        <f t="shared" si="8"/>
        <v>0</v>
      </c>
      <c r="R28" s="1">
        <v>55047</v>
      </c>
      <c r="S28" s="17">
        <f t="shared" si="9"/>
        <v>0</v>
      </c>
      <c r="T28" s="37">
        <f t="shared" si="19"/>
        <v>3833</v>
      </c>
      <c r="U28" s="16">
        <f t="shared" si="10"/>
        <v>0</v>
      </c>
    </row>
    <row r="29" spans="1:23" ht="13.5" thickBot="1" x14ac:dyDescent="0.25">
      <c r="A29" s="10">
        <v>44527</v>
      </c>
      <c r="B29" s="37">
        <f t="shared" si="12"/>
        <v>46186</v>
      </c>
      <c r="C29" s="16">
        <f t="shared" si="1"/>
        <v>0</v>
      </c>
      <c r="D29" s="37">
        <f t="shared" si="13"/>
        <v>40024</v>
      </c>
      <c r="E29" s="16">
        <f t="shared" si="2"/>
        <v>0</v>
      </c>
      <c r="F29" s="37">
        <f t="shared" si="14"/>
        <v>20988</v>
      </c>
      <c r="G29" s="16">
        <f t="shared" si="3"/>
        <v>0</v>
      </c>
      <c r="H29" s="37">
        <f t="shared" si="15"/>
        <v>251529</v>
      </c>
      <c r="I29" s="16">
        <f t="shared" si="4"/>
        <v>0</v>
      </c>
      <c r="J29" s="37">
        <v>303517</v>
      </c>
      <c r="K29" s="16">
        <f t="shared" si="5"/>
        <v>0</v>
      </c>
      <c r="L29" s="37">
        <f t="shared" si="16"/>
        <v>25577</v>
      </c>
      <c r="M29" s="16">
        <f t="shared" si="6"/>
        <v>0</v>
      </c>
      <c r="N29" s="37">
        <f t="shared" si="17"/>
        <v>216061</v>
      </c>
      <c r="O29" s="16">
        <f t="shared" si="7"/>
        <v>0</v>
      </c>
      <c r="P29" s="37">
        <f t="shared" si="11"/>
        <v>130372</v>
      </c>
      <c r="Q29" s="16">
        <f t="shared" si="8"/>
        <v>0</v>
      </c>
      <c r="R29" s="1">
        <v>55047</v>
      </c>
      <c r="S29" s="16">
        <f t="shared" si="9"/>
        <v>0</v>
      </c>
      <c r="T29" s="37">
        <f t="shared" si="19"/>
        <v>3833</v>
      </c>
      <c r="U29" s="16">
        <f t="shared" si="10"/>
        <v>0</v>
      </c>
    </row>
    <row r="30" spans="1:23" ht="13.5" thickBot="1" x14ac:dyDescent="0.25">
      <c r="A30" s="10">
        <v>44528</v>
      </c>
      <c r="B30" s="37">
        <f t="shared" si="12"/>
        <v>46186</v>
      </c>
      <c r="C30" s="16">
        <f t="shared" si="1"/>
        <v>0</v>
      </c>
      <c r="D30" s="37">
        <f t="shared" si="13"/>
        <v>40024</v>
      </c>
      <c r="E30" s="16">
        <f t="shared" si="2"/>
        <v>0</v>
      </c>
      <c r="F30" s="37">
        <f t="shared" si="14"/>
        <v>20988</v>
      </c>
      <c r="G30" s="16">
        <f t="shared" si="3"/>
        <v>0</v>
      </c>
      <c r="H30" s="37">
        <f t="shared" si="15"/>
        <v>251529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si="16"/>
        <v>25577</v>
      </c>
      <c r="M30" s="16">
        <f t="shared" si="6"/>
        <v>0</v>
      </c>
      <c r="N30" s="37">
        <f t="shared" si="17"/>
        <v>216061</v>
      </c>
      <c r="O30" s="16">
        <f t="shared" si="7"/>
        <v>0</v>
      </c>
      <c r="P30" s="37">
        <f t="shared" si="11"/>
        <v>130372</v>
      </c>
      <c r="Q30" s="16">
        <f t="shared" si="8"/>
        <v>0</v>
      </c>
      <c r="R30" s="1">
        <v>55047</v>
      </c>
      <c r="S30" s="16">
        <f t="shared" si="9"/>
        <v>0</v>
      </c>
      <c r="T30" s="37">
        <f t="shared" si="19"/>
        <v>3833</v>
      </c>
      <c r="U30" s="16">
        <f t="shared" si="10"/>
        <v>0</v>
      </c>
    </row>
    <row r="31" spans="1:23" ht="13.5" thickBot="1" x14ac:dyDescent="0.25">
      <c r="A31" s="10">
        <v>44529</v>
      </c>
      <c r="B31" s="37">
        <f t="shared" si="12"/>
        <v>46186</v>
      </c>
      <c r="C31" s="16">
        <f t="shared" si="1"/>
        <v>0</v>
      </c>
      <c r="D31" s="37">
        <f t="shared" si="13"/>
        <v>40024</v>
      </c>
      <c r="E31" s="16">
        <f t="shared" si="2"/>
        <v>0</v>
      </c>
      <c r="F31" s="37">
        <f t="shared" si="14"/>
        <v>20988</v>
      </c>
      <c r="G31" s="16">
        <f t="shared" si="3"/>
        <v>0</v>
      </c>
      <c r="H31" s="37">
        <f t="shared" si="15"/>
        <v>251529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16"/>
        <v>25577</v>
      </c>
      <c r="M31" s="16">
        <f t="shared" si="6"/>
        <v>0</v>
      </c>
      <c r="N31" s="37">
        <f t="shared" si="17"/>
        <v>216061</v>
      </c>
      <c r="O31" s="16">
        <f t="shared" si="7"/>
        <v>0</v>
      </c>
      <c r="P31" s="37">
        <f t="shared" si="11"/>
        <v>130372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si="19"/>
        <v>3833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2"/>
        <v>46186</v>
      </c>
      <c r="C32" s="16">
        <f t="shared" si="1"/>
        <v>0</v>
      </c>
      <c r="D32" s="37">
        <f t="shared" si="13"/>
        <v>40024</v>
      </c>
      <c r="E32" s="16">
        <f t="shared" si="2"/>
        <v>0</v>
      </c>
      <c r="F32" s="37">
        <f t="shared" si="14"/>
        <v>20988</v>
      </c>
      <c r="G32" s="16">
        <f t="shared" si="3"/>
        <v>0</v>
      </c>
      <c r="H32" s="37">
        <f t="shared" si="15"/>
        <v>251529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16"/>
        <v>25577</v>
      </c>
      <c r="M32" s="16">
        <f t="shared" si="6"/>
        <v>0</v>
      </c>
      <c r="N32" s="37">
        <f t="shared" si="17"/>
        <v>216061</v>
      </c>
      <c r="O32" s="16">
        <f t="shared" si="7"/>
        <v>0</v>
      </c>
      <c r="P32" s="37">
        <f t="shared" si="11"/>
        <v>130372</v>
      </c>
      <c r="Q32" s="16">
        <f t="shared" si="8"/>
        <v>0</v>
      </c>
      <c r="R32" s="1">
        <v>55047</v>
      </c>
      <c r="S32" s="16">
        <v>0</v>
      </c>
      <c r="T32" s="37">
        <f t="shared" si="19"/>
        <v>3833</v>
      </c>
      <c r="U32" s="16">
        <f t="shared" si="10"/>
        <v>0</v>
      </c>
      <c r="V32" t="s">
        <v>12</v>
      </c>
    </row>
    <row r="33" spans="1:21" ht="16.5" thickBot="1" x14ac:dyDescent="0.3">
      <c r="A33" s="10" t="s">
        <v>23</v>
      </c>
      <c r="B33" s="1"/>
      <c r="C33" s="11">
        <f>SUM(C3:C32)</f>
        <v>8480</v>
      </c>
      <c r="D33" s="13"/>
      <c r="E33" s="11">
        <f>SUM(E3:E32)</f>
        <v>5600</v>
      </c>
      <c r="F33" s="13"/>
      <c r="G33" s="11">
        <f>SUM(G3:G32)</f>
        <v>760</v>
      </c>
      <c r="H33" s="13"/>
      <c r="I33" s="11">
        <f>SUM(I3:I32)</f>
        <v>598</v>
      </c>
      <c r="J33" s="13"/>
      <c r="K33" s="11">
        <f>SUM(K3:K32)</f>
        <v>0</v>
      </c>
      <c r="L33" s="13"/>
      <c r="M33" s="11">
        <f>SUM(M3:M32)</f>
        <v>6080</v>
      </c>
      <c r="N33" s="38"/>
      <c r="O33" s="11">
        <f>SUM(O3:O32)</f>
        <v>33</v>
      </c>
      <c r="P33" s="13"/>
      <c r="Q33" s="11">
        <f>SUM(Q3:Q32)</f>
        <v>1237</v>
      </c>
      <c r="R33" s="1"/>
      <c r="S33" s="11">
        <f>SUM(S3:S32)</f>
        <v>0</v>
      </c>
      <c r="T33" s="1"/>
      <c r="U33" s="11">
        <f>SUM(U3:U32)</f>
        <v>2080</v>
      </c>
    </row>
    <row r="34" spans="1:21" ht="15.75" x14ac:dyDescent="0.25">
      <c r="B3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3" sqref="A13:XFD13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2">
        <v>44500</v>
      </c>
      <c r="B2" s="173">
        <v>0</v>
      </c>
      <c r="C2" s="174">
        <v>19066</v>
      </c>
      <c r="D2" s="173">
        <v>0</v>
      </c>
      <c r="E2" s="3">
        <v>28607675</v>
      </c>
      <c r="F2" s="173">
        <v>0</v>
      </c>
      <c r="G2" s="3">
        <v>90758905</v>
      </c>
      <c r="H2" s="173">
        <v>0</v>
      </c>
      <c r="I2" s="175">
        <v>0</v>
      </c>
      <c r="J2" s="3">
        <v>8949694</v>
      </c>
      <c r="K2" s="173">
        <v>0</v>
      </c>
      <c r="L2" s="3">
        <v>8875418</v>
      </c>
      <c r="M2" s="173">
        <v>0</v>
      </c>
      <c r="N2" s="3">
        <v>6026763</v>
      </c>
      <c r="O2" s="173">
        <v>0</v>
      </c>
      <c r="P2" s="3">
        <v>5373608</v>
      </c>
      <c r="Q2" s="173">
        <v>0</v>
      </c>
      <c r="R2" s="3">
        <v>19149295</v>
      </c>
      <c r="S2" s="173">
        <v>0</v>
      </c>
      <c r="T2" s="3">
        <v>0</v>
      </c>
      <c r="U2" s="176"/>
      <c r="V2" s="3">
        <v>6980730</v>
      </c>
      <c r="W2" s="173">
        <v>0</v>
      </c>
      <c r="X2" s="175">
        <v>0</v>
      </c>
      <c r="Y2" s="177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2">
        <v>19070</v>
      </c>
      <c r="D3" s="44">
        <f>IF((C3-C2)&lt;0,"0",(C3-C2))*160</f>
        <v>640</v>
      </c>
      <c r="E3" s="153">
        <v>28625159</v>
      </c>
      <c r="F3" s="44">
        <f>IF((E3-E2)&lt;0,"0",(E3-E2))</f>
        <v>17484</v>
      </c>
      <c r="G3" s="154">
        <v>90799539</v>
      </c>
      <c r="H3" s="44">
        <f>IF((G3-G2)&lt;0,"0",(G3-G2))</f>
        <v>40634</v>
      </c>
      <c r="I3" s="22">
        <f>F3+H3</f>
        <v>58118</v>
      </c>
      <c r="J3" s="153">
        <v>8955207</v>
      </c>
      <c r="K3" s="44">
        <v>5513</v>
      </c>
      <c r="L3" s="156">
        <v>8880075</v>
      </c>
      <c r="M3" s="44">
        <f>IF((L3-L2)&lt;0,"0",(L3-L2))</f>
        <v>4657</v>
      </c>
      <c r="N3" s="153">
        <v>6033108</v>
      </c>
      <c r="O3" s="44">
        <f>(IF((N3-N2)&lt;P91,"0",(N3-N2)))*2</f>
        <v>12690</v>
      </c>
      <c r="P3" s="156">
        <v>5377099</v>
      </c>
      <c r="Q3" s="44">
        <f>IF((P3-P2)&lt;0,"0",(P3-P2))</f>
        <v>3491</v>
      </c>
      <c r="R3" s="153">
        <v>19158652</v>
      </c>
      <c r="S3" s="44">
        <f>IF((R3-R2)&lt;0,"0",(R3-R2))</f>
        <v>9357</v>
      </c>
      <c r="T3" s="153">
        <v>0</v>
      </c>
      <c r="U3" s="157"/>
      <c r="V3" s="153">
        <v>6991383</v>
      </c>
      <c r="W3" s="44">
        <f>IF((V3-V2)&lt;0,"0",(V3-V2))</f>
        <v>10653</v>
      </c>
      <c r="X3" s="22">
        <f>K3+M3+O3+Q3+S3+U3+W3</f>
        <v>46361</v>
      </c>
      <c r="Y3" s="158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2">
        <v>19074</v>
      </c>
      <c r="D4" s="44">
        <f t="shared" ref="D4:D32" si="0">IF((C4-C3)&lt;0,"0",(C4-C3))*160</f>
        <v>640</v>
      </c>
      <c r="E4" s="153">
        <v>28641441</v>
      </c>
      <c r="F4" s="44">
        <f t="shared" ref="F4:F32" si="1">IF((E4-E3)&lt;0,"0",(E4-E3))</f>
        <v>16282</v>
      </c>
      <c r="G4" s="154">
        <v>90838583</v>
      </c>
      <c r="H4" s="44">
        <f t="shared" ref="H4:H32" si="2">IF((G4-G3)&lt;0,"0",(G4-G3))</f>
        <v>39044</v>
      </c>
      <c r="I4" s="155">
        <f t="shared" ref="I4:I31" si="3">F4+H4</f>
        <v>55326</v>
      </c>
      <c r="J4" s="153">
        <v>8960359</v>
      </c>
      <c r="K4" s="44">
        <f t="shared" ref="K4:K32" si="4">IF((J4-J3)&lt;0,"0",(J4-J3))</f>
        <v>5152</v>
      </c>
      <c r="L4" s="156">
        <v>8884450</v>
      </c>
      <c r="M4" s="44">
        <f t="shared" ref="M4:M32" si="5">IF((L4-L3)&lt;0,"0",(L4-L3))</f>
        <v>4375</v>
      </c>
      <c r="N4" s="153">
        <v>6038963</v>
      </c>
      <c r="O4" s="44">
        <f>(IF((N4-N3)&lt;P93,"0",(N4-N3)))*2</f>
        <v>11710</v>
      </c>
      <c r="P4" s="156">
        <v>5380460</v>
      </c>
      <c r="Q4" s="44">
        <f t="shared" ref="Q4:Q32" si="6">IF((P4-P3)&lt;0,"0",(P4-P3))</f>
        <v>3361</v>
      </c>
      <c r="R4" s="153">
        <v>19167777</v>
      </c>
      <c r="S4" s="44">
        <f t="shared" ref="S4:S32" si="7">IF((R4-R3)&lt;0,"0",(R4-R3))</f>
        <v>9125</v>
      </c>
      <c r="T4" s="153">
        <v>0</v>
      </c>
      <c r="U4" s="157"/>
      <c r="V4" s="153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8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2">
        <v>19078</v>
      </c>
      <c r="D5" s="44">
        <f t="shared" si="0"/>
        <v>640</v>
      </c>
      <c r="E5" s="153">
        <v>28660418</v>
      </c>
      <c r="F5" s="44">
        <f t="shared" si="1"/>
        <v>18977</v>
      </c>
      <c r="G5" s="154">
        <v>90876623</v>
      </c>
      <c r="H5" s="44">
        <f t="shared" si="2"/>
        <v>38040</v>
      </c>
      <c r="I5" s="155">
        <f t="shared" si="3"/>
        <v>57017</v>
      </c>
      <c r="J5" s="153">
        <v>8965238</v>
      </c>
      <c r="K5" s="44">
        <f t="shared" si="4"/>
        <v>4879</v>
      </c>
      <c r="L5" s="156">
        <v>8889690</v>
      </c>
      <c r="M5" s="44">
        <f t="shared" si="5"/>
        <v>5240</v>
      </c>
      <c r="N5" s="153">
        <v>6045747</v>
      </c>
      <c r="O5" s="44">
        <f t="shared" ref="O5:O32" si="12">(IF((N5-N4)&lt;0,"0",(N5-N4)))*2</f>
        <v>13568</v>
      </c>
      <c r="P5" s="156">
        <v>5383707</v>
      </c>
      <c r="Q5" s="44">
        <f t="shared" si="6"/>
        <v>3247</v>
      </c>
      <c r="R5" s="153">
        <v>19176635</v>
      </c>
      <c r="S5" s="44">
        <f t="shared" si="7"/>
        <v>8858</v>
      </c>
      <c r="T5" s="153">
        <v>0</v>
      </c>
      <c r="U5" s="157"/>
      <c r="V5" s="153">
        <v>7011648</v>
      </c>
      <c r="W5" s="44">
        <f t="shared" si="8"/>
        <v>10083</v>
      </c>
      <c r="X5" s="22">
        <f t="shared" si="9"/>
        <v>45875</v>
      </c>
      <c r="Y5" s="158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2">
        <v>19082</v>
      </c>
      <c r="D6" s="44">
        <f t="shared" si="0"/>
        <v>640</v>
      </c>
      <c r="E6" s="153">
        <v>28692913</v>
      </c>
      <c r="F6" s="44">
        <f t="shared" si="1"/>
        <v>32495</v>
      </c>
      <c r="G6" s="154">
        <v>90928863</v>
      </c>
      <c r="H6" s="44">
        <f t="shared" si="2"/>
        <v>52240</v>
      </c>
      <c r="I6" s="155">
        <f t="shared" si="3"/>
        <v>84735</v>
      </c>
      <c r="J6" s="153">
        <v>8971820</v>
      </c>
      <c r="K6" s="44">
        <f t="shared" si="4"/>
        <v>6582</v>
      </c>
      <c r="L6" s="156">
        <v>8898684</v>
      </c>
      <c r="M6" s="44">
        <f t="shared" si="5"/>
        <v>8994</v>
      </c>
      <c r="N6" s="153">
        <v>6057380</v>
      </c>
      <c r="O6" s="44">
        <f t="shared" si="12"/>
        <v>23266</v>
      </c>
      <c r="P6" s="156">
        <v>5388200</v>
      </c>
      <c r="Q6" s="44">
        <f t="shared" si="6"/>
        <v>4493</v>
      </c>
      <c r="R6" s="153">
        <v>19188979</v>
      </c>
      <c r="S6" s="44">
        <f t="shared" si="7"/>
        <v>12344</v>
      </c>
      <c r="T6" s="153">
        <v>0</v>
      </c>
      <c r="U6" s="157"/>
      <c r="V6" s="153">
        <v>7025394</v>
      </c>
      <c r="W6" s="44">
        <f t="shared" si="8"/>
        <v>13746</v>
      </c>
      <c r="X6" s="22">
        <f t="shared" si="9"/>
        <v>69425</v>
      </c>
      <c r="Y6" s="158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2">
        <v>19085</v>
      </c>
      <c r="D7" s="44">
        <f t="shared" si="0"/>
        <v>480</v>
      </c>
      <c r="E7" s="153">
        <v>28718027</v>
      </c>
      <c r="F7" s="44">
        <f t="shared" si="1"/>
        <v>25114</v>
      </c>
      <c r="G7" s="154">
        <v>90972291</v>
      </c>
      <c r="H7" s="44">
        <f t="shared" si="2"/>
        <v>43428</v>
      </c>
      <c r="I7" s="155">
        <f t="shared" si="3"/>
        <v>68542</v>
      </c>
      <c r="J7" s="153">
        <v>8977005</v>
      </c>
      <c r="K7" s="44">
        <f t="shared" si="4"/>
        <v>5185</v>
      </c>
      <c r="L7" s="156">
        <v>8905896</v>
      </c>
      <c r="M7" s="44">
        <f t="shared" si="5"/>
        <v>7212</v>
      </c>
      <c r="N7" s="153">
        <v>6066186</v>
      </c>
      <c r="O7" s="44">
        <f t="shared" si="12"/>
        <v>17612</v>
      </c>
      <c r="P7" s="156">
        <v>5391615</v>
      </c>
      <c r="Q7" s="44">
        <f t="shared" si="6"/>
        <v>3415</v>
      </c>
      <c r="R7" s="153">
        <v>19199388</v>
      </c>
      <c r="S7" s="44">
        <f t="shared" si="7"/>
        <v>10409</v>
      </c>
      <c r="T7" s="153">
        <v>0</v>
      </c>
      <c r="U7" s="157"/>
      <c r="V7" s="153">
        <v>7036964</v>
      </c>
      <c r="W7" s="44">
        <f t="shared" si="8"/>
        <v>11570</v>
      </c>
      <c r="X7" s="22">
        <f t="shared" si="9"/>
        <v>55403</v>
      </c>
      <c r="Y7" s="158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2">
        <v>19088</v>
      </c>
      <c r="D8" s="44">
        <f t="shared" si="0"/>
        <v>480</v>
      </c>
      <c r="E8" s="153">
        <v>28730355</v>
      </c>
      <c r="F8" s="44">
        <f t="shared" si="1"/>
        <v>12328</v>
      </c>
      <c r="G8" s="154">
        <v>91004066</v>
      </c>
      <c r="H8" s="44">
        <f t="shared" si="2"/>
        <v>31775</v>
      </c>
      <c r="I8" s="155">
        <f t="shared" si="3"/>
        <v>44103</v>
      </c>
      <c r="J8" s="153">
        <v>8980897</v>
      </c>
      <c r="K8" s="44">
        <f t="shared" si="4"/>
        <v>3892</v>
      </c>
      <c r="L8" s="156">
        <v>8909627</v>
      </c>
      <c r="M8" s="44">
        <f t="shared" si="5"/>
        <v>3731</v>
      </c>
      <c r="N8" s="153">
        <v>6070391</v>
      </c>
      <c r="O8" s="44">
        <f t="shared" si="12"/>
        <v>8410</v>
      </c>
      <c r="P8" s="156">
        <v>5393804</v>
      </c>
      <c r="Q8" s="44">
        <f t="shared" si="6"/>
        <v>2189</v>
      </c>
      <c r="R8" s="153">
        <v>19207079</v>
      </c>
      <c r="S8" s="44">
        <f t="shared" si="7"/>
        <v>7691</v>
      </c>
      <c r="T8" s="153">
        <v>0</v>
      </c>
      <c r="U8" s="157"/>
      <c r="V8" s="153">
        <v>7045624</v>
      </c>
      <c r="W8" s="44">
        <f t="shared" si="8"/>
        <v>8660</v>
      </c>
      <c r="X8" s="22">
        <f t="shared" si="9"/>
        <v>34573</v>
      </c>
      <c r="Y8" s="158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203</v>
      </c>
      <c r="C9" s="152">
        <v>19094</v>
      </c>
      <c r="D9" s="44">
        <f t="shared" si="0"/>
        <v>960</v>
      </c>
      <c r="E9" s="153">
        <v>28744336</v>
      </c>
      <c r="F9" s="44">
        <f t="shared" si="1"/>
        <v>13981</v>
      </c>
      <c r="G9" s="154">
        <v>91041489</v>
      </c>
      <c r="H9" s="44">
        <f t="shared" si="2"/>
        <v>37423</v>
      </c>
      <c r="I9" s="155">
        <f t="shared" si="3"/>
        <v>51404</v>
      </c>
      <c r="J9" s="153">
        <v>8985539</v>
      </c>
      <c r="K9" s="44">
        <f t="shared" si="4"/>
        <v>4642</v>
      </c>
      <c r="L9" s="156">
        <v>8913838</v>
      </c>
      <c r="M9" s="44">
        <f t="shared" si="5"/>
        <v>4211</v>
      </c>
      <c r="N9" s="153">
        <v>6075248</v>
      </c>
      <c r="O9" s="44">
        <f t="shared" si="12"/>
        <v>9714</v>
      </c>
      <c r="P9" s="156">
        <v>5396478</v>
      </c>
      <c r="Q9" s="44">
        <f t="shared" si="6"/>
        <v>2674</v>
      </c>
      <c r="R9" s="153">
        <v>19216170</v>
      </c>
      <c r="S9" s="44">
        <f t="shared" si="7"/>
        <v>9091</v>
      </c>
      <c r="T9" s="153">
        <v>0</v>
      </c>
      <c r="U9" s="157"/>
      <c r="V9" s="153">
        <v>7055657</v>
      </c>
      <c r="W9" s="44">
        <f t="shared" si="8"/>
        <v>10033</v>
      </c>
      <c r="X9" s="22">
        <f t="shared" si="9"/>
        <v>40365</v>
      </c>
      <c r="Y9" s="158">
        <f t="shared" si="10"/>
        <v>11039</v>
      </c>
      <c r="Z9" s="3">
        <f t="shared" si="11"/>
        <v>6435.0714688000007</v>
      </c>
      <c r="AA9" s="3">
        <f t="shared" si="13"/>
        <v>30667.832332800001</v>
      </c>
    </row>
    <row r="10" spans="1:27" ht="16.5" thickBot="1" x14ac:dyDescent="0.3">
      <c r="A10" s="10">
        <v>44508</v>
      </c>
      <c r="B10" s="44">
        <v>307</v>
      </c>
      <c r="C10" s="152">
        <v>19097</v>
      </c>
      <c r="D10" s="44">
        <f t="shared" si="0"/>
        <v>480</v>
      </c>
      <c r="E10" s="153">
        <v>28767541</v>
      </c>
      <c r="F10" s="44">
        <f t="shared" si="1"/>
        <v>23205</v>
      </c>
      <c r="G10" s="154">
        <v>91094967</v>
      </c>
      <c r="H10" s="44">
        <f t="shared" si="2"/>
        <v>53478</v>
      </c>
      <c r="I10" s="155">
        <f t="shared" si="3"/>
        <v>76683</v>
      </c>
      <c r="J10" s="153">
        <v>8992278</v>
      </c>
      <c r="K10" s="44">
        <f t="shared" si="4"/>
        <v>6739</v>
      </c>
      <c r="L10" s="156">
        <v>8919615</v>
      </c>
      <c r="M10" s="44">
        <f t="shared" si="5"/>
        <v>5777</v>
      </c>
      <c r="N10" s="153">
        <v>6083850</v>
      </c>
      <c r="O10" s="44">
        <f t="shared" si="12"/>
        <v>17204</v>
      </c>
      <c r="P10" s="156">
        <v>5401028</v>
      </c>
      <c r="Q10" s="44">
        <f t="shared" si="6"/>
        <v>4550</v>
      </c>
      <c r="R10" s="153">
        <v>19228750</v>
      </c>
      <c r="S10" s="44">
        <f t="shared" si="7"/>
        <v>12580</v>
      </c>
      <c r="T10" s="153">
        <v>0</v>
      </c>
      <c r="U10" s="157"/>
      <c r="V10" s="153">
        <v>7069757</v>
      </c>
      <c r="W10" s="44">
        <f t="shared" si="8"/>
        <v>14100</v>
      </c>
      <c r="X10" s="22">
        <f t="shared" si="9"/>
        <v>60950</v>
      </c>
      <c r="Y10" s="158">
        <f t="shared" si="10"/>
        <v>15733</v>
      </c>
      <c r="Z10" s="3">
        <f t="shared" si="11"/>
        <v>9624.9246079999994</v>
      </c>
      <c r="AA10" s="3">
        <f t="shared" si="13"/>
        <v>29941.702460799999</v>
      </c>
    </row>
    <row r="11" spans="1:27" ht="15.75" customHeight="1" thickBot="1" x14ac:dyDescent="0.3">
      <c r="A11" s="10">
        <v>44509</v>
      </c>
      <c r="B11" s="44">
        <v>211</v>
      </c>
      <c r="C11" s="152">
        <v>19101</v>
      </c>
      <c r="D11" s="44">
        <f t="shared" si="0"/>
        <v>640</v>
      </c>
      <c r="E11" s="153">
        <v>28778351</v>
      </c>
      <c r="F11" s="44">
        <f t="shared" si="1"/>
        <v>10810</v>
      </c>
      <c r="G11" s="154">
        <v>91135605</v>
      </c>
      <c r="H11" s="44">
        <f t="shared" si="2"/>
        <v>40638</v>
      </c>
      <c r="I11" s="155">
        <v>8996879</v>
      </c>
      <c r="J11" s="153">
        <v>8996879</v>
      </c>
      <c r="K11" s="44">
        <f t="shared" si="4"/>
        <v>4601</v>
      </c>
      <c r="L11" s="156">
        <v>8923330</v>
      </c>
      <c r="M11" s="44">
        <f t="shared" si="5"/>
        <v>3715</v>
      </c>
      <c r="N11" s="153">
        <v>6087321</v>
      </c>
      <c r="O11" s="44">
        <f t="shared" si="12"/>
        <v>6942</v>
      </c>
      <c r="P11" s="156">
        <v>5408119</v>
      </c>
      <c r="Q11" s="44">
        <f t="shared" si="6"/>
        <v>7091</v>
      </c>
      <c r="R11" s="153">
        <v>19247680</v>
      </c>
      <c r="S11" s="44">
        <f t="shared" si="7"/>
        <v>18930</v>
      </c>
      <c r="T11" s="153">
        <v>0</v>
      </c>
      <c r="U11" s="157"/>
      <c r="V11" s="153">
        <v>7079270</v>
      </c>
      <c r="W11" s="44">
        <f t="shared" si="8"/>
        <v>9513</v>
      </c>
      <c r="X11" s="22">
        <f t="shared" si="9"/>
        <v>50792</v>
      </c>
      <c r="Y11" s="158">
        <f t="shared" si="10"/>
        <v>8946087</v>
      </c>
      <c r="Z11" s="3">
        <f t="shared" si="11"/>
        <v>8935.0777775999995</v>
      </c>
      <c r="AA11" s="3">
        <f t="shared" si="13"/>
        <v>30498.106121599998</v>
      </c>
    </row>
    <row r="12" spans="1:27" ht="16.5" thickBot="1" x14ac:dyDescent="0.3">
      <c r="A12" s="10">
        <v>44510</v>
      </c>
      <c r="B12" s="44">
        <v>283</v>
      </c>
      <c r="C12" s="152">
        <v>19106</v>
      </c>
      <c r="D12" s="44">
        <f t="shared" si="0"/>
        <v>800</v>
      </c>
      <c r="E12" s="153">
        <v>28791212</v>
      </c>
      <c r="F12" s="44">
        <f t="shared" si="1"/>
        <v>12861</v>
      </c>
      <c r="G12" s="154">
        <v>91190392</v>
      </c>
      <c r="H12" s="44">
        <f t="shared" si="2"/>
        <v>54787</v>
      </c>
      <c r="I12" s="155">
        <f t="shared" si="3"/>
        <v>67648</v>
      </c>
      <c r="J12" s="153">
        <v>9002658</v>
      </c>
      <c r="K12" s="44">
        <f t="shared" si="4"/>
        <v>5779</v>
      </c>
      <c r="L12" s="156">
        <v>8928118</v>
      </c>
      <c r="M12" s="44">
        <f t="shared" si="5"/>
        <v>4788</v>
      </c>
      <c r="N12" s="153">
        <v>6091266</v>
      </c>
      <c r="O12" s="44">
        <f t="shared" si="12"/>
        <v>7890</v>
      </c>
      <c r="P12" s="156">
        <v>5419404</v>
      </c>
      <c r="Q12" s="44">
        <f t="shared" si="6"/>
        <v>11285</v>
      </c>
      <c r="R12" s="153">
        <v>19249481</v>
      </c>
      <c r="S12" s="44">
        <f t="shared" si="7"/>
        <v>1801</v>
      </c>
      <c r="T12" s="153">
        <v>0</v>
      </c>
      <c r="U12" s="157"/>
      <c r="V12" s="153">
        <v>7091744</v>
      </c>
      <c r="W12" s="44">
        <f t="shared" si="8"/>
        <v>12474</v>
      </c>
      <c r="X12" s="22">
        <f t="shared" si="9"/>
        <v>44017</v>
      </c>
      <c r="Y12" s="158">
        <f t="shared" si="10"/>
        <v>23631</v>
      </c>
      <c r="Z12" s="3">
        <f t="shared" si="11"/>
        <v>6240.68588</v>
      </c>
      <c r="AA12" s="3">
        <f t="shared" si="13"/>
        <v>31235.759734399999</v>
      </c>
    </row>
    <row r="13" spans="1:27" ht="16.5" thickBot="1" x14ac:dyDescent="0.3">
      <c r="A13" s="10">
        <v>44511</v>
      </c>
      <c r="B13" s="44">
        <v>296</v>
      </c>
      <c r="C13" s="152">
        <v>19119</v>
      </c>
      <c r="D13" s="44">
        <f t="shared" si="0"/>
        <v>2080</v>
      </c>
      <c r="E13" s="153">
        <v>28801445</v>
      </c>
      <c r="F13" s="44">
        <f t="shared" ref="F13" si="14">IF((E13-E12)&lt;0,"0",(E13-E12))</f>
        <v>10233</v>
      </c>
      <c r="G13" s="154">
        <v>91228282</v>
      </c>
      <c r="H13" s="44">
        <f t="shared" ref="H13" si="15">IF((G13-G12)&lt;0,"0",(G13-G12))</f>
        <v>37890</v>
      </c>
      <c r="I13" s="155">
        <f t="shared" ref="I13" si="16">F13+H13</f>
        <v>48123</v>
      </c>
      <c r="J13" s="153">
        <v>9006265</v>
      </c>
      <c r="K13" s="44">
        <f t="shared" ref="K13" si="17">IF((J13-J12)&lt;0,"0",(J13-J12))</f>
        <v>3607</v>
      </c>
      <c r="L13" s="156">
        <v>8931818</v>
      </c>
      <c r="M13" s="44">
        <f t="shared" ref="M13" si="18">IF((L13-L12)&lt;0,"0",(L13-L12))</f>
        <v>3700</v>
      </c>
      <c r="N13" s="153">
        <v>6094484</v>
      </c>
      <c r="O13" s="44">
        <f t="shared" ref="O13" si="19">(IF((N13-N12)&lt;0,"0",(N13-N12)))*2</f>
        <v>6436</v>
      </c>
      <c r="P13" s="156">
        <v>5425362</v>
      </c>
      <c r="Q13" s="44">
        <f t="shared" ref="Q13" si="20">IF((P13-P12)&lt;0,"0",(P13-P12))</f>
        <v>5958</v>
      </c>
      <c r="R13" s="153">
        <v>19257608</v>
      </c>
      <c r="S13" s="44">
        <f t="shared" ref="S13" si="21">IF((R13-R12)&lt;0,"0",(R13-R12))</f>
        <v>8127</v>
      </c>
      <c r="T13" s="153">
        <v>0</v>
      </c>
      <c r="U13" s="157"/>
      <c r="V13" s="153">
        <v>7101270</v>
      </c>
      <c r="W13" s="44">
        <f t="shared" ref="W13" si="22">IF((V13-V12)&lt;0,"0",(V13-V12))</f>
        <v>9526</v>
      </c>
      <c r="X13" s="22">
        <f t="shared" ref="X13" si="23">K13+M13+O13+Q13+S13+U13+W13</f>
        <v>37354</v>
      </c>
      <c r="Y13" s="158">
        <f t="shared" ref="Y13" si="24">I13-X13</f>
        <v>10769</v>
      </c>
      <c r="Z13" s="3">
        <f t="shared" ref="Z13" si="25">(0.93352*(W13+S13)+0.5568*(Q13+O13))*0.26</f>
        <v>6078.9060176000003</v>
      </c>
      <c r="AA13" s="3">
        <f t="shared" ref="AA13" si="26">SUM(Z10:Z13)</f>
        <v>30879.5942832</v>
      </c>
    </row>
    <row r="14" spans="1:27" ht="16.5" thickBot="1" x14ac:dyDescent="0.3">
      <c r="A14" s="10">
        <v>44512</v>
      </c>
      <c r="B14" s="44">
        <v>0</v>
      </c>
      <c r="C14" s="152">
        <f t="shared" ref="C13:C32" si="27">C13</f>
        <v>19119</v>
      </c>
      <c r="D14" s="44">
        <f t="shared" si="0"/>
        <v>0</v>
      </c>
      <c r="E14" s="153">
        <f t="shared" ref="E13:E32" si="28">E13</f>
        <v>28801445</v>
      </c>
      <c r="F14" s="44">
        <f t="shared" si="1"/>
        <v>0</v>
      </c>
      <c r="G14" s="154">
        <f t="shared" ref="G13:G32" si="29">G13</f>
        <v>91228282</v>
      </c>
      <c r="H14" s="44">
        <f t="shared" si="2"/>
        <v>0</v>
      </c>
      <c r="I14" s="155">
        <f t="shared" si="3"/>
        <v>0</v>
      </c>
      <c r="J14" s="153">
        <f t="shared" ref="J13:J32" si="30">J13</f>
        <v>9006265</v>
      </c>
      <c r="K14" s="44">
        <f t="shared" si="4"/>
        <v>0</v>
      </c>
      <c r="L14" s="156">
        <f t="shared" ref="L13:L32" si="31">L13</f>
        <v>8931818</v>
      </c>
      <c r="M14" s="44">
        <f t="shared" si="5"/>
        <v>0</v>
      </c>
      <c r="N14" s="153">
        <f t="shared" ref="N13:N32" si="32">N13</f>
        <v>6094484</v>
      </c>
      <c r="O14" s="44">
        <f t="shared" si="12"/>
        <v>0</v>
      </c>
      <c r="P14" s="156">
        <f t="shared" ref="P13:P32" si="33">P13</f>
        <v>5425362</v>
      </c>
      <c r="Q14" s="44">
        <f t="shared" si="6"/>
        <v>0</v>
      </c>
      <c r="R14" s="153">
        <f t="shared" ref="R13:R32" si="34">R13</f>
        <v>19257608</v>
      </c>
      <c r="S14" s="44">
        <f>IF((R14-R13)&lt;0,"0",(R14-R13))</f>
        <v>0</v>
      </c>
      <c r="T14" s="153">
        <v>0</v>
      </c>
      <c r="U14" s="157"/>
      <c r="V14" s="153">
        <f t="shared" ref="V13:V32" si="35">V13</f>
        <v>7101270</v>
      </c>
      <c r="W14" s="44">
        <f t="shared" si="8"/>
        <v>0</v>
      </c>
      <c r="X14" s="22">
        <f t="shared" si="9"/>
        <v>0</v>
      </c>
      <c r="Y14" s="158">
        <f t="shared" si="10"/>
        <v>0</v>
      </c>
      <c r="Z14" s="3">
        <f t="shared" si="11"/>
        <v>0</v>
      </c>
      <c r="AA14" s="3">
        <f t="shared" si="13"/>
        <v>21254.669675199999</v>
      </c>
    </row>
    <row r="15" spans="1:27" ht="16.5" thickBot="1" x14ac:dyDescent="0.3">
      <c r="A15" s="10">
        <v>44513</v>
      </c>
      <c r="B15" s="44">
        <v>0</v>
      </c>
      <c r="C15" s="152">
        <f t="shared" si="27"/>
        <v>19119</v>
      </c>
      <c r="D15" s="44">
        <f t="shared" si="0"/>
        <v>0</v>
      </c>
      <c r="E15" s="153">
        <f t="shared" si="28"/>
        <v>28801445</v>
      </c>
      <c r="F15" s="44">
        <f t="shared" si="1"/>
        <v>0</v>
      </c>
      <c r="G15" s="154">
        <f t="shared" si="29"/>
        <v>91228282</v>
      </c>
      <c r="H15" s="44">
        <f t="shared" si="2"/>
        <v>0</v>
      </c>
      <c r="I15" s="155">
        <f t="shared" si="3"/>
        <v>0</v>
      </c>
      <c r="J15" s="153">
        <f t="shared" si="30"/>
        <v>9006265</v>
      </c>
      <c r="K15" s="44">
        <f t="shared" si="4"/>
        <v>0</v>
      </c>
      <c r="L15" s="156">
        <f t="shared" si="31"/>
        <v>8931818</v>
      </c>
      <c r="M15" s="44">
        <f t="shared" si="5"/>
        <v>0</v>
      </c>
      <c r="N15" s="153">
        <f t="shared" si="32"/>
        <v>6094484</v>
      </c>
      <c r="O15" s="44">
        <f t="shared" si="12"/>
        <v>0</v>
      </c>
      <c r="P15" s="156">
        <f t="shared" si="33"/>
        <v>5425362</v>
      </c>
      <c r="Q15" s="44">
        <f t="shared" si="6"/>
        <v>0</v>
      </c>
      <c r="R15" s="153">
        <f t="shared" si="34"/>
        <v>19257608</v>
      </c>
      <c r="S15" s="44">
        <f>IF((R15-R14)&lt;0,"0",(R15-R14))</f>
        <v>0</v>
      </c>
      <c r="T15" s="153">
        <v>0</v>
      </c>
      <c r="U15" s="157"/>
      <c r="V15" s="153">
        <f t="shared" si="35"/>
        <v>7101270</v>
      </c>
      <c r="W15" s="44">
        <f t="shared" si="8"/>
        <v>0</v>
      </c>
      <c r="X15" s="22">
        <f t="shared" si="9"/>
        <v>0</v>
      </c>
      <c r="Y15" s="158">
        <f t="shared" si="10"/>
        <v>0</v>
      </c>
      <c r="Z15" s="3">
        <f t="shared" si="11"/>
        <v>0</v>
      </c>
      <c r="AA15" s="3">
        <f t="shared" si="13"/>
        <v>12319.591897599999</v>
      </c>
    </row>
    <row r="16" spans="1:27" ht="16.5" thickBot="1" x14ac:dyDescent="0.3">
      <c r="A16" s="10">
        <v>44514</v>
      </c>
      <c r="B16" s="44">
        <v>0</v>
      </c>
      <c r="C16" s="152">
        <f t="shared" si="27"/>
        <v>19119</v>
      </c>
      <c r="D16" s="44">
        <f t="shared" si="0"/>
        <v>0</v>
      </c>
      <c r="E16" s="153">
        <f t="shared" si="28"/>
        <v>28801445</v>
      </c>
      <c r="F16" s="44">
        <f t="shared" si="1"/>
        <v>0</v>
      </c>
      <c r="G16" s="154">
        <f t="shared" si="29"/>
        <v>91228282</v>
      </c>
      <c r="H16" s="44">
        <f t="shared" si="2"/>
        <v>0</v>
      </c>
      <c r="I16" s="155">
        <f t="shared" si="3"/>
        <v>0</v>
      </c>
      <c r="J16" s="153">
        <f t="shared" si="30"/>
        <v>9006265</v>
      </c>
      <c r="K16" s="44">
        <f t="shared" si="4"/>
        <v>0</v>
      </c>
      <c r="L16" s="156">
        <f t="shared" si="31"/>
        <v>8931818</v>
      </c>
      <c r="M16" s="44">
        <f t="shared" si="5"/>
        <v>0</v>
      </c>
      <c r="N16" s="153">
        <f t="shared" si="32"/>
        <v>6094484</v>
      </c>
      <c r="O16" s="44">
        <f t="shared" si="12"/>
        <v>0</v>
      </c>
      <c r="P16" s="156">
        <f t="shared" si="33"/>
        <v>5425362</v>
      </c>
      <c r="Q16" s="44">
        <f t="shared" si="6"/>
        <v>0</v>
      </c>
      <c r="R16" s="153">
        <f t="shared" si="34"/>
        <v>19257608</v>
      </c>
      <c r="S16" s="44">
        <f t="shared" si="7"/>
        <v>0</v>
      </c>
      <c r="T16" s="153">
        <v>0</v>
      </c>
      <c r="U16" s="157"/>
      <c r="V16" s="153">
        <f t="shared" si="35"/>
        <v>7101270</v>
      </c>
      <c r="W16" s="44">
        <f t="shared" si="8"/>
        <v>0</v>
      </c>
      <c r="X16" s="22">
        <f t="shared" si="9"/>
        <v>0</v>
      </c>
      <c r="Y16" s="158">
        <f t="shared" si="10"/>
        <v>0</v>
      </c>
      <c r="Z16" s="3">
        <f t="shared" si="11"/>
        <v>0</v>
      </c>
      <c r="AA16" s="3">
        <f t="shared" si="13"/>
        <v>6078.9060176000003</v>
      </c>
    </row>
    <row r="17" spans="1:27" s="136" customFormat="1" ht="16.5" thickBot="1" x14ac:dyDescent="0.3">
      <c r="A17" s="10">
        <v>44515</v>
      </c>
      <c r="B17" s="44">
        <v>0</v>
      </c>
      <c r="C17" s="152">
        <f t="shared" si="27"/>
        <v>19119</v>
      </c>
      <c r="D17" s="44">
        <f t="shared" si="0"/>
        <v>0</v>
      </c>
      <c r="E17" s="153">
        <f t="shared" si="28"/>
        <v>28801445</v>
      </c>
      <c r="F17" s="44">
        <f t="shared" si="1"/>
        <v>0</v>
      </c>
      <c r="G17" s="154">
        <f t="shared" si="29"/>
        <v>91228282</v>
      </c>
      <c r="H17" s="44">
        <f t="shared" si="2"/>
        <v>0</v>
      </c>
      <c r="I17" s="159">
        <f t="shared" si="3"/>
        <v>0</v>
      </c>
      <c r="J17" s="153">
        <f t="shared" si="30"/>
        <v>9006265</v>
      </c>
      <c r="K17" s="44">
        <f t="shared" si="4"/>
        <v>0</v>
      </c>
      <c r="L17" s="156">
        <f t="shared" si="31"/>
        <v>8931818</v>
      </c>
      <c r="M17" s="135">
        <f t="shared" si="5"/>
        <v>0</v>
      </c>
      <c r="N17" s="153">
        <f t="shared" si="32"/>
        <v>6094484</v>
      </c>
      <c r="O17" s="135">
        <f t="shared" si="12"/>
        <v>0</v>
      </c>
      <c r="P17" s="156">
        <f t="shared" si="33"/>
        <v>5425362</v>
      </c>
      <c r="Q17" s="135">
        <f t="shared" si="6"/>
        <v>0</v>
      </c>
      <c r="R17" s="153">
        <f t="shared" si="34"/>
        <v>19257608</v>
      </c>
      <c r="S17" s="135">
        <f t="shared" si="7"/>
        <v>0</v>
      </c>
      <c r="T17" s="160">
        <v>0</v>
      </c>
      <c r="U17" s="157"/>
      <c r="V17" s="153">
        <f t="shared" si="35"/>
        <v>7101270</v>
      </c>
      <c r="W17" s="135">
        <f t="shared" si="8"/>
        <v>0</v>
      </c>
      <c r="X17" s="22">
        <f t="shared" si="9"/>
        <v>0</v>
      </c>
      <c r="Y17" s="161">
        <f t="shared" si="10"/>
        <v>0</v>
      </c>
      <c r="Z17" s="162">
        <f t="shared" si="11"/>
        <v>0</v>
      </c>
      <c r="AA17" s="162">
        <f t="shared" si="13"/>
        <v>0</v>
      </c>
    </row>
    <row r="18" spans="1:27" s="136" customFormat="1" ht="16.5" thickBot="1" x14ac:dyDescent="0.3">
      <c r="A18" s="10">
        <v>44516</v>
      </c>
      <c r="B18" s="44">
        <v>0</v>
      </c>
      <c r="C18" s="152">
        <f t="shared" si="27"/>
        <v>19119</v>
      </c>
      <c r="D18" s="44">
        <f t="shared" si="0"/>
        <v>0</v>
      </c>
      <c r="E18" s="153">
        <f t="shared" si="28"/>
        <v>28801445</v>
      </c>
      <c r="F18" s="44">
        <f t="shared" si="1"/>
        <v>0</v>
      </c>
      <c r="G18" s="154">
        <f t="shared" si="29"/>
        <v>91228282</v>
      </c>
      <c r="H18" s="44">
        <f t="shared" si="2"/>
        <v>0</v>
      </c>
      <c r="I18" s="159">
        <f t="shared" si="3"/>
        <v>0</v>
      </c>
      <c r="J18" s="153">
        <f t="shared" si="30"/>
        <v>9006265</v>
      </c>
      <c r="K18" s="44">
        <f t="shared" si="4"/>
        <v>0</v>
      </c>
      <c r="L18" s="156">
        <f t="shared" si="31"/>
        <v>8931818</v>
      </c>
      <c r="M18" s="135">
        <f t="shared" si="5"/>
        <v>0</v>
      </c>
      <c r="N18" s="153">
        <f t="shared" si="32"/>
        <v>6094484</v>
      </c>
      <c r="O18" s="135">
        <f t="shared" si="12"/>
        <v>0</v>
      </c>
      <c r="P18" s="156">
        <f t="shared" si="33"/>
        <v>5425362</v>
      </c>
      <c r="Q18" s="135">
        <f t="shared" si="6"/>
        <v>0</v>
      </c>
      <c r="R18" s="153">
        <f t="shared" si="34"/>
        <v>19257608</v>
      </c>
      <c r="S18" s="135">
        <f t="shared" si="7"/>
        <v>0</v>
      </c>
      <c r="T18" s="160">
        <v>0</v>
      </c>
      <c r="U18" s="157"/>
      <c r="V18" s="153">
        <f t="shared" si="35"/>
        <v>7101270</v>
      </c>
      <c r="W18" s="135">
        <f t="shared" si="8"/>
        <v>0</v>
      </c>
      <c r="X18" s="22">
        <f t="shared" si="9"/>
        <v>0</v>
      </c>
      <c r="Y18" s="161">
        <f t="shared" si="10"/>
        <v>0</v>
      </c>
      <c r="Z18" s="162">
        <f t="shared" si="11"/>
        <v>0</v>
      </c>
      <c r="AA18" s="162">
        <f t="shared" si="13"/>
        <v>0</v>
      </c>
    </row>
    <row r="19" spans="1:27" s="136" customFormat="1" ht="16.5" thickBot="1" x14ac:dyDescent="0.3">
      <c r="A19" s="10">
        <v>44517</v>
      </c>
      <c r="B19" s="44">
        <v>0</v>
      </c>
      <c r="C19" s="152">
        <f t="shared" si="27"/>
        <v>19119</v>
      </c>
      <c r="D19" s="44">
        <f t="shared" si="0"/>
        <v>0</v>
      </c>
      <c r="E19" s="153">
        <f t="shared" si="28"/>
        <v>28801445</v>
      </c>
      <c r="F19" s="44">
        <f t="shared" si="1"/>
        <v>0</v>
      </c>
      <c r="G19" s="154">
        <f t="shared" si="29"/>
        <v>91228282</v>
      </c>
      <c r="H19" s="44">
        <f t="shared" si="2"/>
        <v>0</v>
      </c>
      <c r="I19" s="159">
        <f t="shared" si="3"/>
        <v>0</v>
      </c>
      <c r="J19" s="153">
        <f t="shared" si="30"/>
        <v>9006265</v>
      </c>
      <c r="K19" s="44">
        <f t="shared" si="4"/>
        <v>0</v>
      </c>
      <c r="L19" s="156">
        <f t="shared" si="31"/>
        <v>8931818</v>
      </c>
      <c r="M19" s="135">
        <f t="shared" si="5"/>
        <v>0</v>
      </c>
      <c r="N19" s="153">
        <f t="shared" si="32"/>
        <v>6094484</v>
      </c>
      <c r="O19" s="135">
        <f t="shared" si="12"/>
        <v>0</v>
      </c>
      <c r="P19" s="156">
        <f t="shared" si="33"/>
        <v>5425362</v>
      </c>
      <c r="Q19" s="135">
        <f t="shared" si="6"/>
        <v>0</v>
      </c>
      <c r="R19" s="153">
        <f t="shared" si="34"/>
        <v>19257608</v>
      </c>
      <c r="S19" s="135">
        <f t="shared" si="7"/>
        <v>0</v>
      </c>
      <c r="T19" s="160">
        <v>0</v>
      </c>
      <c r="U19" s="157"/>
      <c r="V19" s="153">
        <f t="shared" si="35"/>
        <v>7101270</v>
      </c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0</v>
      </c>
    </row>
    <row r="20" spans="1:27" s="136" customFormat="1" ht="16.5" thickBot="1" x14ac:dyDescent="0.3">
      <c r="A20" s="10">
        <v>44518</v>
      </c>
      <c r="B20" s="44">
        <v>0</v>
      </c>
      <c r="C20" s="152">
        <f t="shared" si="27"/>
        <v>19119</v>
      </c>
      <c r="D20" s="44">
        <f t="shared" si="0"/>
        <v>0</v>
      </c>
      <c r="E20" s="153">
        <f t="shared" si="28"/>
        <v>28801445</v>
      </c>
      <c r="F20" s="44">
        <f t="shared" si="1"/>
        <v>0</v>
      </c>
      <c r="G20" s="154">
        <f t="shared" si="29"/>
        <v>91228282</v>
      </c>
      <c r="H20" s="44">
        <f t="shared" si="2"/>
        <v>0</v>
      </c>
      <c r="I20" s="159">
        <f t="shared" si="3"/>
        <v>0</v>
      </c>
      <c r="J20" s="153">
        <f t="shared" si="30"/>
        <v>9006265</v>
      </c>
      <c r="K20" s="44">
        <f t="shared" si="4"/>
        <v>0</v>
      </c>
      <c r="L20" s="156">
        <f t="shared" si="31"/>
        <v>8931818</v>
      </c>
      <c r="M20" s="135">
        <f t="shared" si="5"/>
        <v>0</v>
      </c>
      <c r="N20" s="153">
        <f t="shared" si="32"/>
        <v>6094484</v>
      </c>
      <c r="O20" s="135">
        <f t="shared" si="12"/>
        <v>0</v>
      </c>
      <c r="P20" s="156">
        <f t="shared" si="33"/>
        <v>5425362</v>
      </c>
      <c r="Q20" s="135">
        <f t="shared" si="6"/>
        <v>0</v>
      </c>
      <c r="R20" s="153">
        <f t="shared" si="34"/>
        <v>19257608</v>
      </c>
      <c r="S20" s="135">
        <f t="shared" si="7"/>
        <v>0</v>
      </c>
      <c r="T20" s="160">
        <v>0</v>
      </c>
      <c r="U20" s="157"/>
      <c r="V20" s="153">
        <f t="shared" si="35"/>
        <v>7101270</v>
      </c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0</v>
      </c>
    </row>
    <row r="21" spans="1:27" s="136" customFormat="1" ht="16.5" thickBot="1" x14ac:dyDescent="0.3">
      <c r="A21" s="10">
        <v>44519</v>
      </c>
      <c r="B21" s="44">
        <v>0</v>
      </c>
      <c r="C21" s="152">
        <f t="shared" si="27"/>
        <v>19119</v>
      </c>
      <c r="D21" s="44">
        <f t="shared" si="0"/>
        <v>0</v>
      </c>
      <c r="E21" s="153">
        <f t="shared" si="28"/>
        <v>28801445</v>
      </c>
      <c r="F21" s="44">
        <f t="shared" si="1"/>
        <v>0</v>
      </c>
      <c r="G21" s="154">
        <f t="shared" si="29"/>
        <v>91228282</v>
      </c>
      <c r="H21" s="44">
        <f t="shared" si="2"/>
        <v>0</v>
      </c>
      <c r="I21" s="159">
        <f t="shared" si="3"/>
        <v>0</v>
      </c>
      <c r="J21" s="153">
        <f t="shared" si="30"/>
        <v>9006265</v>
      </c>
      <c r="K21" s="44">
        <f t="shared" si="4"/>
        <v>0</v>
      </c>
      <c r="L21" s="156">
        <f t="shared" si="31"/>
        <v>8931818</v>
      </c>
      <c r="M21" s="135">
        <f t="shared" si="5"/>
        <v>0</v>
      </c>
      <c r="N21" s="153">
        <f t="shared" si="32"/>
        <v>6094484</v>
      </c>
      <c r="O21" s="135">
        <f t="shared" si="12"/>
        <v>0</v>
      </c>
      <c r="P21" s="156">
        <f t="shared" si="33"/>
        <v>5425362</v>
      </c>
      <c r="Q21" s="135">
        <f t="shared" si="6"/>
        <v>0</v>
      </c>
      <c r="R21" s="153">
        <f t="shared" si="34"/>
        <v>19257608</v>
      </c>
      <c r="S21" s="135">
        <f t="shared" si="7"/>
        <v>0</v>
      </c>
      <c r="T21" s="160">
        <v>0</v>
      </c>
      <c r="U21" s="157"/>
      <c r="V21" s="153">
        <f t="shared" si="35"/>
        <v>7101270</v>
      </c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0</v>
      </c>
    </row>
    <row r="22" spans="1:27" ht="16.5" thickBot="1" x14ac:dyDescent="0.3">
      <c r="A22" s="10">
        <v>44520</v>
      </c>
      <c r="B22" s="44">
        <v>0</v>
      </c>
      <c r="C22" s="152">
        <f t="shared" si="27"/>
        <v>19119</v>
      </c>
      <c r="D22" s="44">
        <f t="shared" si="0"/>
        <v>0</v>
      </c>
      <c r="E22" s="153">
        <f t="shared" si="28"/>
        <v>28801445</v>
      </c>
      <c r="F22" s="44">
        <f t="shared" si="1"/>
        <v>0</v>
      </c>
      <c r="G22" s="154">
        <f t="shared" si="29"/>
        <v>91228282</v>
      </c>
      <c r="H22" s="44">
        <f t="shared" si="2"/>
        <v>0</v>
      </c>
      <c r="I22" s="155">
        <f t="shared" si="3"/>
        <v>0</v>
      </c>
      <c r="J22" s="153">
        <f t="shared" si="30"/>
        <v>9006265</v>
      </c>
      <c r="K22" s="44">
        <f t="shared" si="4"/>
        <v>0</v>
      </c>
      <c r="L22" s="156">
        <f t="shared" si="31"/>
        <v>8931818</v>
      </c>
      <c r="M22" s="44">
        <f t="shared" si="5"/>
        <v>0</v>
      </c>
      <c r="N22" s="153">
        <f t="shared" si="32"/>
        <v>6094484</v>
      </c>
      <c r="O22" s="44">
        <f t="shared" si="12"/>
        <v>0</v>
      </c>
      <c r="P22" s="156">
        <f t="shared" si="33"/>
        <v>5425362</v>
      </c>
      <c r="Q22" s="44">
        <f t="shared" si="6"/>
        <v>0</v>
      </c>
      <c r="R22" s="153">
        <f t="shared" si="34"/>
        <v>19257608</v>
      </c>
      <c r="S22" s="44">
        <f t="shared" si="7"/>
        <v>0</v>
      </c>
      <c r="T22" s="153">
        <v>0</v>
      </c>
      <c r="U22" s="157"/>
      <c r="V22" s="153">
        <f t="shared" si="35"/>
        <v>7101270</v>
      </c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44521</v>
      </c>
      <c r="B23" s="44">
        <v>0</v>
      </c>
      <c r="C23" s="152">
        <f t="shared" si="27"/>
        <v>19119</v>
      </c>
      <c r="D23" s="44">
        <f t="shared" si="0"/>
        <v>0</v>
      </c>
      <c r="E23" s="153">
        <f t="shared" si="28"/>
        <v>28801445</v>
      </c>
      <c r="F23" s="44">
        <f t="shared" si="1"/>
        <v>0</v>
      </c>
      <c r="G23" s="154">
        <f t="shared" si="29"/>
        <v>91228282</v>
      </c>
      <c r="H23" s="44">
        <f t="shared" si="2"/>
        <v>0</v>
      </c>
      <c r="I23" s="155">
        <f t="shared" si="3"/>
        <v>0</v>
      </c>
      <c r="J23" s="153">
        <f t="shared" si="30"/>
        <v>9006265</v>
      </c>
      <c r="K23" s="44">
        <f t="shared" si="4"/>
        <v>0</v>
      </c>
      <c r="L23" s="156">
        <f t="shared" si="31"/>
        <v>8931818</v>
      </c>
      <c r="M23" s="44">
        <f t="shared" si="5"/>
        <v>0</v>
      </c>
      <c r="N23" s="153">
        <f t="shared" si="32"/>
        <v>6094484</v>
      </c>
      <c r="O23" s="44">
        <f t="shared" si="12"/>
        <v>0</v>
      </c>
      <c r="P23" s="156">
        <f t="shared" si="33"/>
        <v>5425362</v>
      </c>
      <c r="Q23" s="44">
        <f t="shared" si="6"/>
        <v>0</v>
      </c>
      <c r="R23" s="153">
        <f t="shared" si="34"/>
        <v>19257608</v>
      </c>
      <c r="S23" s="44">
        <f t="shared" si="7"/>
        <v>0</v>
      </c>
      <c r="T23" s="153">
        <v>0</v>
      </c>
      <c r="U23" s="157"/>
      <c r="V23" s="153">
        <f t="shared" si="35"/>
        <v>7101270</v>
      </c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44522</v>
      </c>
      <c r="B24" s="44">
        <v>0</v>
      </c>
      <c r="C24" s="152">
        <f t="shared" si="27"/>
        <v>19119</v>
      </c>
      <c r="D24" s="44">
        <f t="shared" si="0"/>
        <v>0</v>
      </c>
      <c r="E24" s="153">
        <f t="shared" si="28"/>
        <v>28801445</v>
      </c>
      <c r="F24" s="44">
        <f t="shared" si="1"/>
        <v>0</v>
      </c>
      <c r="G24" s="154">
        <f t="shared" si="29"/>
        <v>91228282</v>
      </c>
      <c r="H24" s="44">
        <f t="shared" si="2"/>
        <v>0</v>
      </c>
      <c r="I24" s="155">
        <f t="shared" si="3"/>
        <v>0</v>
      </c>
      <c r="J24" s="153">
        <f t="shared" si="30"/>
        <v>9006265</v>
      </c>
      <c r="K24" s="44">
        <f t="shared" si="4"/>
        <v>0</v>
      </c>
      <c r="L24" s="156">
        <f t="shared" si="31"/>
        <v>8931818</v>
      </c>
      <c r="M24" s="44">
        <f t="shared" si="5"/>
        <v>0</v>
      </c>
      <c r="N24" s="153">
        <f t="shared" si="32"/>
        <v>6094484</v>
      </c>
      <c r="O24" s="44">
        <f t="shared" si="12"/>
        <v>0</v>
      </c>
      <c r="P24" s="156">
        <f t="shared" si="33"/>
        <v>5425362</v>
      </c>
      <c r="Q24" s="44">
        <f t="shared" si="6"/>
        <v>0</v>
      </c>
      <c r="R24" s="153">
        <f t="shared" si="34"/>
        <v>19257608</v>
      </c>
      <c r="S24" s="44">
        <f t="shared" si="7"/>
        <v>0</v>
      </c>
      <c r="T24" s="153">
        <v>0</v>
      </c>
      <c r="U24" s="157"/>
      <c r="V24" s="153">
        <f t="shared" si="35"/>
        <v>7101270</v>
      </c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44523</v>
      </c>
      <c r="B25" s="44">
        <v>0</v>
      </c>
      <c r="C25" s="152">
        <f t="shared" si="27"/>
        <v>19119</v>
      </c>
      <c r="D25" s="44">
        <f t="shared" si="0"/>
        <v>0</v>
      </c>
      <c r="E25" s="153">
        <f t="shared" si="28"/>
        <v>28801445</v>
      </c>
      <c r="F25" s="44">
        <f t="shared" si="1"/>
        <v>0</v>
      </c>
      <c r="G25" s="154">
        <f t="shared" si="29"/>
        <v>91228282</v>
      </c>
      <c r="H25" s="44">
        <f t="shared" si="2"/>
        <v>0</v>
      </c>
      <c r="I25" s="155">
        <f t="shared" si="3"/>
        <v>0</v>
      </c>
      <c r="J25" s="153">
        <f t="shared" si="30"/>
        <v>9006265</v>
      </c>
      <c r="K25" s="44">
        <f t="shared" si="4"/>
        <v>0</v>
      </c>
      <c r="L25" s="156">
        <f t="shared" si="31"/>
        <v>8931818</v>
      </c>
      <c r="M25" s="44">
        <f t="shared" si="5"/>
        <v>0</v>
      </c>
      <c r="N25" s="153">
        <f t="shared" si="32"/>
        <v>6094484</v>
      </c>
      <c r="O25" s="44">
        <f t="shared" si="12"/>
        <v>0</v>
      </c>
      <c r="P25" s="156">
        <f t="shared" si="33"/>
        <v>5425362</v>
      </c>
      <c r="Q25" s="44">
        <f t="shared" si="6"/>
        <v>0</v>
      </c>
      <c r="R25" s="153">
        <f t="shared" si="34"/>
        <v>19257608</v>
      </c>
      <c r="S25" s="44">
        <f t="shared" si="7"/>
        <v>0</v>
      </c>
      <c r="T25" s="153">
        <v>0</v>
      </c>
      <c r="U25" s="157"/>
      <c r="V25" s="153">
        <f t="shared" si="35"/>
        <v>7101270</v>
      </c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44524</v>
      </c>
      <c r="B26" s="44">
        <v>0</v>
      </c>
      <c r="C26" s="152">
        <f t="shared" si="27"/>
        <v>19119</v>
      </c>
      <c r="D26" s="44">
        <f t="shared" si="0"/>
        <v>0</v>
      </c>
      <c r="E26" s="153">
        <f t="shared" si="28"/>
        <v>28801445</v>
      </c>
      <c r="F26" s="44">
        <f t="shared" si="1"/>
        <v>0</v>
      </c>
      <c r="G26" s="154">
        <f t="shared" si="29"/>
        <v>91228282</v>
      </c>
      <c r="H26" s="44">
        <f t="shared" si="2"/>
        <v>0</v>
      </c>
      <c r="I26" s="155">
        <f t="shared" si="3"/>
        <v>0</v>
      </c>
      <c r="J26" s="153">
        <f t="shared" si="30"/>
        <v>9006265</v>
      </c>
      <c r="K26" s="44">
        <f t="shared" si="4"/>
        <v>0</v>
      </c>
      <c r="L26" s="156">
        <f t="shared" si="31"/>
        <v>8931818</v>
      </c>
      <c r="M26" s="44">
        <f t="shared" si="5"/>
        <v>0</v>
      </c>
      <c r="N26" s="153">
        <f t="shared" si="32"/>
        <v>6094484</v>
      </c>
      <c r="O26" s="44">
        <f t="shared" si="12"/>
        <v>0</v>
      </c>
      <c r="P26" s="156">
        <f t="shared" si="33"/>
        <v>5425362</v>
      </c>
      <c r="Q26" s="44">
        <f t="shared" si="6"/>
        <v>0</v>
      </c>
      <c r="R26" s="153">
        <f t="shared" si="34"/>
        <v>19257608</v>
      </c>
      <c r="S26" s="44">
        <f t="shared" si="7"/>
        <v>0</v>
      </c>
      <c r="T26" s="153">
        <v>0</v>
      </c>
      <c r="U26" s="157"/>
      <c r="V26" s="153">
        <f t="shared" si="35"/>
        <v>7101270</v>
      </c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44525</v>
      </c>
      <c r="B27" s="44">
        <v>0</v>
      </c>
      <c r="C27" s="152">
        <f t="shared" si="27"/>
        <v>19119</v>
      </c>
      <c r="D27" s="44">
        <f t="shared" si="0"/>
        <v>0</v>
      </c>
      <c r="E27" s="153">
        <f t="shared" si="28"/>
        <v>28801445</v>
      </c>
      <c r="F27" s="44">
        <f t="shared" si="1"/>
        <v>0</v>
      </c>
      <c r="G27" s="154">
        <f t="shared" si="29"/>
        <v>91228282</v>
      </c>
      <c r="H27" s="44">
        <f t="shared" si="2"/>
        <v>0</v>
      </c>
      <c r="I27" s="155">
        <f t="shared" si="3"/>
        <v>0</v>
      </c>
      <c r="J27" s="153">
        <f t="shared" si="30"/>
        <v>9006265</v>
      </c>
      <c r="K27" s="44">
        <f t="shared" si="4"/>
        <v>0</v>
      </c>
      <c r="L27" s="156">
        <f t="shared" si="31"/>
        <v>8931818</v>
      </c>
      <c r="M27" s="44">
        <f t="shared" si="5"/>
        <v>0</v>
      </c>
      <c r="N27" s="153">
        <f t="shared" si="32"/>
        <v>6094484</v>
      </c>
      <c r="O27" s="44">
        <f t="shared" si="12"/>
        <v>0</v>
      </c>
      <c r="P27" s="156">
        <f t="shared" si="33"/>
        <v>5425362</v>
      </c>
      <c r="Q27" s="44">
        <f t="shared" si="6"/>
        <v>0</v>
      </c>
      <c r="R27" s="153">
        <f t="shared" si="34"/>
        <v>19257608</v>
      </c>
      <c r="S27" s="44">
        <f t="shared" si="7"/>
        <v>0</v>
      </c>
      <c r="T27" s="153">
        <v>0</v>
      </c>
      <c r="U27" s="157"/>
      <c r="V27" s="153">
        <f t="shared" si="35"/>
        <v>7101270</v>
      </c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44526</v>
      </c>
      <c r="B28" s="44">
        <v>0</v>
      </c>
      <c r="C28" s="152">
        <f t="shared" si="27"/>
        <v>19119</v>
      </c>
      <c r="D28" s="44">
        <f t="shared" si="0"/>
        <v>0</v>
      </c>
      <c r="E28" s="153">
        <f t="shared" si="28"/>
        <v>28801445</v>
      </c>
      <c r="F28" s="44">
        <f t="shared" si="1"/>
        <v>0</v>
      </c>
      <c r="G28" s="154">
        <f t="shared" si="29"/>
        <v>91228282</v>
      </c>
      <c r="H28" s="44">
        <f t="shared" si="2"/>
        <v>0</v>
      </c>
      <c r="I28" s="155">
        <f t="shared" si="3"/>
        <v>0</v>
      </c>
      <c r="J28" s="153">
        <f t="shared" si="30"/>
        <v>9006265</v>
      </c>
      <c r="K28" s="44">
        <f t="shared" si="4"/>
        <v>0</v>
      </c>
      <c r="L28" s="156">
        <f t="shared" si="31"/>
        <v>8931818</v>
      </c>
      <c r="M28" s="44">
        <f t="shared" si="5"/>
        <v>0</v>
      </c>
      <c r="N28" s="153">
        <f t="shared" si="32"/>
        <v>6094484</v>
      </c>
      <c r="O28" s="44">
        <f t="shared" si="12"/>
        <v>0</v>
      </c>
      <c r="P28" s="156">
        <f t="shared" si="33"/>
        <v>5425362</v>
      </c>
      <c r="Q28" s="44">
        <f t="shared" si="6"/>
        <v>0</v>
      </c>
      <c r="R28" s="153">
        <f t="shared" si="34"/>
        <v>19257608</v>
      </c>
      <c r="S28" s="44">
        <f t="shared" si="7"/>
        <v>0</v>
      </c>
      <c r="T28" s="153">
        <v>0</v>
      </c>
      <c r="U28" s="157"/>
      <c r="V28" s="153">
        <f t="shared" si="35"/>
        <v>7101270</v>
      </c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44527</v>
      </c>
      <c r="B29" s="44">
        <v>0</v>
      </c>
      <c r="C29" s="152">
        <f t="shared" si="27"/>
        <v>19119</v>
      </c>
      <c r="D29" s="44">
        <f t="shared" si="0"/>
        <v>0</v>
      </c>
      <c r="E29" s="153">
        <f t="shared" si="28"/>
        <v>28801445</v>
      </c>
      <c r="F29" s="44">
        <f t="shared" si="1"/>
        <v>0</v>
      </c>
      <c r="G29" s="154">
        <f t="shared" si="29"/>
        <v>91228282</v>
      </c>
      <c r="H29" s="44">
        <f t="shared" si="2"/>
        <v>0</v>
      </c>
      <c r="I29" s="155">
        <f t="shared" si="3"/>
        <v>0</v>
      </c>
      <c r="J29" s="153">
        <f t="shared" si="30"/>
        <v>9006265</v>
      </c>
      <c r="K29" s="44">
        <f t="shared" si="4"/>
        <v>0</v>
      </c>
      <c r="L29" s="156">
        <f t="shared" si="31"/>
        <v>8931818</v>
      </c>
      <c r="M29" s="44">
        <f t="shared" si="5"/>
        <v>0</v>
      </c>
      <c r="N29" s="153">
        <f t="shared" si="32"/>
        <v>6094484</v>
      </c>
      <c r="O29" s="44">
        <f t="shared" si="12"/>
        <v>0</v>
      </c>
      <c r="P29" s="156">
        <f t="shared" si="33"/>
        <v>5425362</v>
      </c>
      <c r="Q29" s="44">
        <f t="shared" si="6"/>
        <v>0</v>
      </c>
      <c r="R29" s="153">
        <f t="shared" si="34"/>
        <v>19257608</v>
      </c>
      <c r="S29" s="44">
        <f t="shared" si="7"/>
        <v>0</v>
      </c>
      <c r="T29" s="153">
        <v>0</v>
      </c>
      <c r="U29" s="157"/>
      <c r="V29" s="153">
        <f t="shared" si="35"/>
        <v>7101270</v>
      </c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44528</v>
      </c>
      <c r="B30" s="44">
        <v>0</v>
      </c>
      <c r="C30" s="152">
        <f t="shared" si="27"/>
        <v>19119</v>
      </c>
      <c r="D30" s="44">
        <f t="shared" si="0"/>
        <v>0</v>
      </c>
      <c r="E30" s="153">
        <f t="shared" si="28"/>
        <v>28801445</v>
      </c>
      <c r="F30" s="44">
        <f t="shared" si="1"/>
        <v>0</v>
      </c>
      <c r="G30" s="154">
        <f t="shared" si="29"/>
        <v>91228282</v>
      </c>
      <c r="H30" s="44">
        <f t="shared" si="2"/>
        <v>0</v>
      </c>
      <c r="I30" s="155">
        <f t="shared" si="3"/>
        <v>0</v>
      </c>
      <c r="J30" s="153">
        <f t="shared" si="30"/>
        <v>9006265</v>
      </c>
      <c r="K30" s="44">
        <f t="shared" si="4"/>
        <v>0</v>
      </c>
      <c r="L30" s="156">
        <f t="shared" si="31"/>
        <v>8931818</v>
      </c>
      <c r="M30" s="44">
        <f t="shared" si="5"/>
        <v>0</v>
      </c>
      <c r="N30" s="153">
        <f t="shared" si="32"/>
        <v>6094484</v>
      </c>
      <c r="O30" s="44">
        <f t="shared" si="12"/>
        <v>0</v>
      </c>
      <c r="P30" s="156">
        <f t="shared" si="33"/>
        <v>5425362</v>
      </c>
      <c r="Q30" s="44">
        <f t="shared" si="6"/>
        <v>0</v>
      </c>
      <c r="R30" s="153">
        <f t="shared" si="34"/>
        <v>19257608</v>
      </c>
      <c r="S30" s="44">
        <f t="shared" si="7"/>
        <v>0</v>
      </c>
      <c r="T30" s="153">
        <v>0</v>
      </c>
      <c r="U30" s="157"/>
      <c r="V30" s="153">
        <f t="shared" si="35"/>
        <v>7101270</v>
      </c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44529</v>
      </c>
      <c r="B31" s="44">
        <v>0</v>
      </c>
      <c r="C31" s="152">
        <f t="shared" si="27"/>
        <v>19119</v>
      </c>
      <c r="D31" s="44">
        <f t="shared" si="0"/>
        <v>0</v>
      </c>
      <c r="E31" s="153">
        <f t="shared" si="28"/>
        <v>28801445</v>
      </c>
      <c r="F31" s="44">
        <f t="shared" si="1"/>
        <v>0</v>
      </c>
      <c r="G31" s="154">
        <f t="shared" si="29"/>
        <v>91228282</v>
      </c>
      <c r="H31" s="44">
        <f t="shared" si="2"/>
        <v>0</v>
      </c>
      <c r="I31" s="155">
        <f t="shared" si="3"/>
        <v>0</v>
      </c>
      <c r="J31" s="153">
        <f t="shared" si="30"/>
        <v>9006265</v>
      </c>
      <c r="K31" s="44">
        <f t="shared" si="4"/>
        <v>0</v>
      </c>
      <c r="L31" s="156">
        <f t="shared" si="31"/>
        <v>8931818</v>
      </c>
      <c r="M31" s="44">
        <f t="shared" si="5"/>
        <v>0</v>
      </c>
      <c r="N31" s="153">
        <f t="shared" si="32"/>
        <v>6094484</v>
      </c>
      <c r="O31" s="44">
        <f t="shared" si="12"/>
        <v>0</v>
      </c>
      <c r="P31" s="156">
        <f t="shared" si="33"/>
        <v>5425362</v>
      </c>
      <c r="Q31" s="44">
        <f t="shared" si="6"/>
        <v>0</v>
      </c>
      <c r="R31" s="153">
        <f t="shared" si="34"/>
        <v>19257608</v>
      </c>
      <c r="S31" s="44">
        <f t="shared" si="7"/>
        <v>0</v>
      </c>
      <c r="T31" s="153">
        <v>0</v>
      </c>
      <c r="U31" s="11"/>
      <c r="V31" s="153">
        <f t="shared" si="35"/>
        <v>7101270</v>
      </c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44530</v>
      </c>
      <c r="B32" s="44">
        <v>0</v>
      </c>
      <c r="C32" s="152">
        <f t="shared" si="27"/>
        <v>19119</v>
      </c>
      <c r="D32" s="44">
        <f t="shared" si="0"/>
        <v>0</v>
      </c>
      <c r="E32" s="153">
        <f t="shared" si="28"/>
        <v>28801445</v>
      </c>
      <c r="F32" s="44">
        <f t="shared" si="1"/>
        <v>0</v>
      </c>
      <c r="G32" s="154">
        <f t="shared" si="29"/>
        <v>91228282</v>
      </c>
      <c r="H32" s="44">
        <f t="shared" si="2"/>
        <v>0</v>
      </c>
      <c r="I32" s="22">
        <f>F32+H32</f>
        <v>0</v>
      </c>
      <c r="J32" s="153">
        <f t="shared" si="30"/>
        <v>9006265</v>
      </c>
      <c r="K32" s="44">
        <f t="shared" si="4"/>
        <v>0</v>
      </c>
      <c r="L32" s="156">
        <f t="shared" si="31"/>
        <v>8931818</v>
      </c>
      <c r="M32" s="44">
        <f t="shared" si="5"/>
        <v>0</v>
      </c>
      <c r="N32" s="153">
        <f t="shared" si="32"/>
        <v>6094484</v>
      </c>
      <c r="O32" s="44">
        <f t="shared" si="12"/>
        <v>0</v>
      </c>
      <c r="P32" s="156">
        <f t="shared" si="33"/>
        <v>5425362</v>
      </c>
      <c r="Q32" s="44">
        <f t="shared" si="6"/>
        <v>0</v>
      </c>
      <c r="R32" s="153">
        <f t="shared" si="34"/>
        <v>19257608</v>
      </c>
      <c r="S32" s="44">
        <f t="shared" si="7"/>
        <v>0</v>
      </c>
      <c r="T32" s="153">
        <v>0</v>
      </c>
      <c r="U32" s="11"/>
      <c r="V32" s="153">
        <f t="shared" si="35"/>
        <v>7101270</v>
      </c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6" t="s">
        <v>23</v>
      </c>
      <c r="B33" s="144">
        <f>SUM(B2:B32)</f>
        <v>2847</v>
      </c>
      <c r="C33" s="144"/>
      <c r="D33" s="144">
        <f>SUM(D2:D32)</f>
        <v>8480</v>
      </c>
      <c r="E33" s="61">
        <v>0</v>
      </c>
      <c r="F33" s="61">
        <f>SUM(F2:F32)</f>
        <v>193770</v>
      </c>
      <c r="G33" s="61">
        <v>0</v>
      </c>
      <c r="H33" s="61">
        <f>SUM(H2:H32)</f>
        <v>469377</v>
      </c>
      <c r="I33" s="61">
        <f>SUM(I5:I32)</f>
        <v>9495134</v>
      </c>
      <c r="J33" s="61">
        <v>0</v>
      </c>
      <c r="K33" s="61">
        <f>SUM(K2:K32)</f>
        <v>56571</v>
      </c>
      <c r="L33" s="61">
        <v>0</v>
      </c>
      <c r="M33" s="61">
        <f>SUM(M2:M32)</f>
        <v>56400</v>
      </c>
      <c r="N33" s="61">
        <v>0</v>
      </c>
      <c r="O33" s="61">
        <f>SUM(O2:O32)</f>
        <v>135442</v>
      </c>
      <c r="P33" s="61">
        <v>0</v>
      </c>
      <c r="Q33" s="61">
        <f>SUM(Q2:Q32)</f>
        <v>51754</v>
      </c>
      <c r="R33" s="61">
        <v>0</v>
      </c>
      <c r="S33" s="61">
        <f>SUM(S2:S32)</f>
        <v>108313</v>
      </c>
      <c r="T33" s="61">
        <f>SUM(T5:T32)</f>
        <v>0</v>
      </c>
      <c r="U33" s="61">
        <f>SUM(U2:U32)</f>
        <v>0</v>
      </c>
      <c r="V33" s="61">
        <v>0</v>
      </c>
      <c r="W33" s="61">
        <f>SUM(W2:W32)</f>
        <v>120540</v>
      </c>
      <c r="X33" s="61">
        <f>SUM(X5:X32)</f>
        <v>438754</v>
      </c>
      <c r="Y33" s="61">
        <f>SUM(Y2:Y32)</f>
        <v>9095491</v>
      </c>
      <c r="Z33" s="61">
        <f>SUM(Z2:Z32)</f>
        <v>92439.84699060001</v>
      </c>
      <c r="AA33" s="61">
        <f>SUM(AA2:AA32)</f>
        <v>375987.42169839999</v>
      </c>
    </row>
    <row r="34" spans="1:27" x14ac:dyDescent="0.25"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 t="s">
        <v>12</v>
      </c>
      <c r="V34" s="163"/>
      <c r="W34" s="163"/>
      <c r="X34" s="163"/>
      <c r="Y34" s="27"/>
    </row>
    <row r="45" spans="1:27" ht="15" x14ac:dyDescent="0.2">
      <c r="A45" s="25"/>
      <c r="B45" s="45"/>
      <c r="C45" s="45"/>
      <c r="D45" s="45"/>
      <c r="Z45" s="25"/>
      <c r="AA45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13" sqref="A13:XFD1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2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v>430877</v>
      </c>
      <c r="C9" s="44">
        <f t="shared" ref="C9:C32" si="8">(IF((B9-B8)&lt;0,"0",(B9-B8)))*10</f>
        <v>1000</v>
      </c>
      <c r="D9" s="3">
        <v>4377000</v>
      </c>
      <c r="E9" s="44">
        <f t="shared" si="3"/>
        <v>0</v>
      </c>
      <c r="F9" s="3">
        <v>6535200</v>
      </c>
      <c r="G9" s="44">
        <f t="shared" si="6"/>
        <v>540</v>
      </c>
      <c r="H9" s="3">
        <v>757131</v>
      </c>
      <c r="I9" s="49">
        <f t="shared" si="7"/>
        <v>3.9420000000000002</v>
      </c>
      <c r="J9" s="22">
        <f t="shared" si="4"/>
        <v>1543.942</v>
      </c>
      <c r="K9" s="23">
        <f t="shared" si="5"/>
        <v>9047.5001200000006</v>
      </c>
    </row>
    <row r="10" spans="1:14" ht="16.5" thickBot="1" x14ac:dyDescent="0.3">
      <c r="A10" s="10">
        <v>44508</v>
      </c>
      <c r="B10" s="3">
        <v>430973</v>
      </c>
      <c r="C10" s="44">
        <f>(IF((B10-B9)&lt;0,"0",(B10-B9)))*10</f>
        <v>960</v>
      </c>
      <c r="D10" s="3">
        <v>4377000</v>
      </c>
      <c r="E10" s="44">
        <f t="shared" si="3"/>
        <v>0</v>
      </c>
      <c r="F10" s="3">
        <v>6555000</v>
      </c>
      <c r="G10" s="44">
        <f t="shared" si="6"/>
        <v>534.6</v>
      </c>
      <c r="H10" s="3">
        <v>757131</v>
      </c>
      <c r="I10" s="49">
        <f t="shared" si="7"/>
        <v>0</v>
      </c>
      <c r="J10" s="22">
        <f t="shared" si="4"/>
        <v>1494.6</v>
      </c>
      <c r="K10" s="23">
        <f t="shared" si="5"/>
        <v>8758.3559999999998</v>
      </c>
    </row>
    <row r="11" spans="1:14" ht="16.5" thickBot="1" x14ac:dyDescent="0.3">
      <c r="A11" s="10">
        <v>44509</v>
      </c>
      <c r="B11" s="3">
        <v>431074</v>
      </c>
      <c r="C11" s="44">
        <f t="shared" si="8"/>
        <v>1010</v>
      </c>
      <c r="D11" s="3">
        <v>4377000</v>
      </c>
      <c r="E11" s="44">
        <f t="shared" si="3"/>
        <v>0</v>
      </c>
      <c r="F11" s="3">
        <v>6574100</v>
      </c>
      <c r="G11" s="44">
        <f t="shared" si="6"/>
        <v>515.70000000000005</v>
      </c>
      <c r="H11" s="3">
        <f t="shared" ref="H11:H32" si="9">H10</f>
        <v>757131</v>
      </c>
      <c r="I11" s="49">
        <f t="shared" si="7"/>
        <v>0</v>
      </c>
      <c r="J11" s="22">
        <f t="shared" si="4"/>
        <v>1525.7</v>
      </c>
      <c r="K11" s="23">
        <f t="shared" si="5"/>
        <v>8940.6020000000008</v>
      </c>
      <c r="N11" t="s">
        <v>12</v>
      </c>
    </row>
    <row r="12" spans="1:14" ht="16.5" thickBot="1" x14ac:dyDescent="0.3">
      <c r="A12" s="10">
        <v>44510</v>
      </c>
      <c r="B12" s="3">
        <v>431169</v>
      </c>
      <c r="C12" s="44">
        <f t="shared" si="8"/>
        <v>950</v>
      </c>
      <c r="D12" s="3">
        <v>4377000</v>
      </c>
      <c r="E12" s="44">
        <f t="shared" si="3"/>
        <v>0</v>
      </c>
      <c r="F12" s="3">
        <v>6592200</v>
      </c>
      <c r="G12" s="44">
        <f t="shared" si="6"/>
        <v>488.7</v>
      </c>
      <c r="H12" s="3">
        <v>757241</v>
      </c>
      <c r="I12" s="49">
        <f t="shared" si="7"/>
        <v>2.9699999999999998</v>
      </c>
      <c r="J12" s="22">
        <f t="shared" si="4"/>
        <v>1441.67</v>
      </c>
      <c r="K12" s="23">
        <f t="shared" si="5"/>
        <v>8448.1862000000001</v>
      </c>
    </row>
    <row r="13" spans="1:14" ht="16.5" thickBot="1" x14ac:dyDescent="0.3">
      <c r="A13" s="10">
        <v>44511</v>
      </c>
      <c r="B13" s="3">
        <v>431266</v>
      </c>
      <c r="C13" s="44">
        <f t="shared" si="8"/>
        <v>970</v>
      </c>
      <c r="D13" s="3">
        <v>4377000</v>
      </c>
      <c r="E13" s="44">
        <f t="shared" si="3"/>
        <v>0</v>
      </c>
      <c r="F13" s="3">
        <v>6610000</v>
      </c>
      <c r="G13" s="44">
        <f t="shared" si="6"/>
        <v>480.6</v>
      </c>
      <c r="H13" s="3">
        <v>757436</v>
      </c>
      <c r="I13" s="49">
        <f t="shared" si="7"/>
        <v>5.2649999999999997</v>
      </c>
      <c r="J13" s="22">
        <f t="shared" si="4"/>
        <v>1455.865</v>
      </c>
      <c r="K13" s="23">
        <f t="shared" si="5"/>
        <v>8531.3689000000013</v>
      </c>
    </row>
    <row r="14" spans="1:14" ht="16.5" thickBot="1" x14ac:dyDescent="0.3">
      <c r="A14" s="10">
        <v>44512</v>
      </c>
      <c r="B14" s="3">
        <f t="shared" ref="B13:B32" si="10">B13</f>
        <v>431266</v>
      </c>
      <c r="C14" s="44">
        <f t="shared" si="8"/>
        <v>0</v>
      </c>
      <c r="D14" s="3">
        <v>4377000</v>
      </c>
      <c r="E14" s="44">
        <f t="shared" si="3"/>
        <v>0</v>
      </c>
      <c r="F14" s="3">
        <f t="shared" ref="F13:F32" si="11">F13</f>
        <v>6610000</v>
      </c>
      <c r="G14" s="44">
        <f t="shared" si="6"/>
        <v>0</v>
      </c>
      <c r="H14" s="3">
        <f t="shared" si="9"/>
        <v>757436</v>
      </c>
      <c r="I14" s="49">
        <f t="shared" si="7"/>
        <v>0</v>
      </c>
      <c r="J14" s="22">
        <f t="shared" si="4"/>
        <v>0</v>
      </c>
      <c r="K14" s="23">
        <f t="shared" si="5"/>
        <v>0</v>
      </c>
    </row>
    <row r="15" spans="1:14" ht="16.5" thickBot="1" x14ac:dyDescent="0.3">
      <c r="A15" s="10">
        <v>44513</v>
      </c>
      <c r="B15" s="3">
        <f t="shared" si="10"/>
        <v>431266</v>
      </c>
      <c r="C15" s="44">
        <f t="shared" si="8"/>
        <v>0</v>
      </c>
      <c r="D15" s="3">
        <v>4377000</v>
      </c>
      <c r="E15" s="44">
        <f t="shared" si="3"/>
        <v>0</v>
      </c>
      <c r="F15" s="3">
        <f t="shared" si="11"/>
        <v>6610000</v>
      </c>
      <c r="G15" s="44">
        <f t="shared" si="6"/>
        <v>0</v>
      </c>
      <c r="H15" s="3">
        <f t="shared" si="9"/>
        <v>757436</v>
      </c>
      <c r="I15" s="49">
        <f t="shared" si="7"/>
        <v>0</v>
      </c>
      <c r="J15" s="22">
        <f t="shared" si="4"/>
        <v>0</v>
      </c>
      <c r="K15" s="23">
        <f t="shared" si="5"/>
        <v>0</v>
      </c>
    </row>
    <row r="16" spans="1:14" ht="16.5" thickBot="1" x14ac:dyDescent="0.3">
      <c r="A16" s="10">
        <v>44514</v>
      </c>
      <c r="B16" s="3">
        <f t="shared" si="10"/>
        <v>431266</v>
      </c>
      <c r="C16" s="44">
        <f t="shared" si="8"/>
        <v>0</v>
      </c>
      <c r="D16" s="3">
        <v>4377000</v>
      </c>
      <c r="E16" s="44">
        <f t="shared" si="3"/>
        <v>0</v>
      </c>
      <c r="F16" s="3">
        <f t="shared" si="11"/>
        <v>6610000</v>
      </c>
      <c r="G16" s="44">
        <f t="shared" si="6"/>
        <v>0</v>
      </c>
      <c r="H16" s="3">
        <f t="shared" si="9"/>
        <v>757436</v>
      </c>
      <c r="I16" s="49">
        <f t="shared" si="7"/>
        <v>0</v>
      </c>
      <c r="J16" s="22">
        <f t="shared" si="4"/>
        <v>0</v>
      </c>
      <c r="K16" s="23">
        <f t="shared" si="5"/>
        <v>0</v>
      </c>
    </row>
    <row r="17" spans="1:25" ht="16.5" thickBot="1" x14ac:dyDescent="0.3">
      <c r="A17" s="10">
        <v>44515</v>
      </c>
      <c r="B17" s="3">
        <f t="shared" si="10"/>
        <v>431266</v>
      </c>
      <c r="C17" s="44">
        <f t="shared" si="8"/>
        <v>0</v>
      </c>
      <c r="D17" s="3">
        <v>4377000</v>
      </c>
      <c r="E17" s="44">
        <f t="shared" si="3"/>
        <v>0</v>
      </c>
      <c r="F17" s="3">
        <f t="shared" si="11"/>
        <v>6610000</v>
      </c>
      <c r="G17" s="44">
        <f t="shared" si="6"/>
        <v>0</v>
      </c>
      <c r="H17" s="3">
        <f t="shared" si="9"/>
        <v>757436</v>
      </c>
      <c r="I17" s="49">
        <f t="shared" si="7"/>
        <v>0</v>
      </c>
      <c r="J17" s="22">
        <f t="shared" si="4"/>
        <v>0</v>
      </c>
      <c r="K17" s="23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f t="shared" si="10"/>
        <v>431266</v>
      </c>
      <c r="C18" s="44">
        <f t="shared" si="8"/>
        <v>0</v>
      </c>
      <c r="D18" s="3">
        <v>4377000</v>
      </c>
      <c r="E18" s="44">
        <f t="shared" si="3"/>
        <v>0</v>
      </c>
      <c r="F18" s="3">
        <f t="shared" si="11"/>
        <v>6610000</v>
      </c>
      <c r="G18" s="44">
        <f t="shared" si="6"/>
        <v>0</v>
      </c>
      <c r="H18" s="3">
        <f t="shared" si="9"/>
        <v>757436</v>
      </c>
      <c r="I18" s="49">
        <f t="shared" si="7"/>
        <v>0</v>
      </c>
      <c r="J18" s="22">
        <f t="shared" si="4"/>
        <v>0</v>
      </c>
      <c r="K18" s="23">
        <f t="shared" si="5"/>
        <v>0</v>
      </c>
      <c r="Q18" t="s">
        <v>43</v>
      </c>
    </row>
    <row r="19" spans="1:25" ht="16.5" thickBot="1" x14ac:dyDescent="0.3">
      <c r="A19" s="10">
        <v>44517</v>
      </c>
      <c r="B19" s="3">
        <f t="shared" si="10"/>
        <v>431266</v>
      </c>
      <c r="C19" s="44">
        <f t="shared" si="8"/>
        <v>0</v>
      </c>
      <c r="D19" s="3">
        <v>4377000</v>
      </c>
      <c r="E19" s="44">
        <f t="shared" si="3"/>
        <v>0</v>
      </c>
      <c r="F19" s="3">
        <f t="shared" si="11"/>
        <v>6610000</v>
      </c>
      <c r="G19" s="44">
        <f t="shared" si="6"/>
        <v>0</v>
      </c>
      <c r="H19" s="3">
        <f t="shared" si="9"/>
        <v>757436</v>
      </c>
      <c r="I19" s="49">
        <f t="shared" si="7"/>
        <v>0</v>
      </c>
      <c r="J19" s="22">
        <f t="shared" si="4"/>
        <v>0</v>
      </c>
      <c r="K19" s="23">
        <f t="shared" si="5"/>
        <v>0</v>
      </c>
      <c r="Q19" t="s">
        <v>12</v>
      </c>
    </row>
    <row r="20" spans="1:25" ht="16.5" thickBot="1" x14ac:dyDescent="0.3">
      <c r="A20" s="10">
        <v>44518</v>
      </c>
      <c r="B20" s="3">
        <f t="shared" si="10"/>
        <v>431266</v>
      </c>
      <c r="C20" s="44">
        <f t="shared" si="8"/>
        <v>0</v>
      </c>
      <c r="D20" s="3">
        <v>4377000</v>
      </c>
      <c r="E20" s="44">
        <f t="shared" si="3"/>
        <v>0</v>
      </c>
      <c r="F20" s="3">
        <f t="shared" si="11"/>
        <v>6610000</v>
      </c>
      <c r="G20" s="44">
        <f t="shared" si="6"/>
        <v>0</v>
      </c>
      <c r="H20" s="3">
        <f t="shared" si="9"/>
        <v>757436</v>
      </c>
      <c r="I20" s="49">
        <f t="shared" si="7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44519</v>
      </c>
      <c r="B21" s="3">
        <f t="shared" si="10"/>
        <v>431266</v>
      </c>
      <c r="C21" s="44">
        <f t="shared" si="8"/>
        <v>0</v>
      </c>
      <c r="D21" s="3">
        <v>4377000</v>
      </c>
      <c r="E21" s="44">
        <f t="shared" si="3"/>
        <v>0</v>
      </c>
      <c r="F21" s="3">
        <f t="shared" si="11"/>
        <v>6610000</v>
      </c>
      <c r="G21" s="44">
        <f t="shared" si="6"/>
        <v>0</v>
      </c>
      <c r="H21" s="3">
        <f t="shared" si="9"/>
        <v>757436</v>
      </c>
      <c r="I21" s="49">
        <f t="shared" si="7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44520</v>
      </c>
      <c r="B22" s="3">
        <f t="shared" si="10"/>
        <v>431266</v>
      </c>
      <c r="C22" s="44">
        <f t="shared" si="8"/>
        <v>0</v>
      </c>
      <c r="D22" s="3">
        <v>4377000</v>
      </c>
      <c r="E22" s="44">
        <f t="shared" si="3"/>
        <v>0</v>
      </c>
      <c r="F22" s="3">
        <f t="shared" si="11"/>
        <v>6610000</v>
      </c>
      <c r="G22" s="44">
        <f t="shared" si="6"/>
        <v>0</v>
      </c>
      <c r="H22" s="3">
        <f t="shared" si="9"/>
        <v>757436</v>
      </c>
      <c r="I22" s="49">
        <f t="shared" si="7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f t="shared" si="10"/>
        <v>431266</v>
      </c>
      <c r="C23" s="44">
        <f t="shared" si="8"/>
        <v>0</v>
      </c>
      <c r="D23" s="3">
        <v>4377000</v>
      </c>
      <c r="E23" s="44">
        <f t="shared" si="3"/>
        <v>0</v>
      </c>
      <c r="F23" s="3">
        <f t="shared" si="11"/>
        <v>6610000</v>
      </c>
      <c r="G23" s="44">
        <f t="shared" si="6"/>
        <v>0</v>
      </c>
      <c r="H23" s="3">
        <f t="shared" si="9"/>
        <v>757436</v>
      </c>
      <c r="I23" s="49">
        <f t="shared" si="7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44522</v>
      </c>
      <c r="B24" s="3">
        <f t="shared" si="10"/>
        <v>431266</v>
      </c>
      <c r="C24" s="44">
        <f t="shared" si="8"/>
        <v>0</v>
      </c>
      <c r="D24" s="3">
        <v>4377000</v>
      </c>
      <c r="E24" s="44">
        <f t="shared" si="3"/>
        <v>0</v>
      </c>
      <c r="F24" s="3">
        <f t="shared" si="11"/>
        <v>6610000</v>
      </c>
      <c r="G24" s="44">
        <f t="shared" si="6"/>
        <v>0</v>
      </c>
      <c r="H24" s="3">
        <f t="shared" si="9"/>
        <v>757436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44523</v>
      </c>
      <c r="B25" s="3">
        <f t="shared" si="10"/>
        <v>431266</v>
      </c>
      <c r="C25" s="44">
        <f t="shared" si="8"/>
        <v>0</v>
      </c>
      <c r="D25" s="3">
        <v>4377000</v>
      </c>
      <c r="E25" s="44">
        <f t="shared" si="3"/>
        <v>0</v>
      </c>
      <c r="F25" s="3">
        <f t="shared" si="11"/>
        <v>6610000</v>
      </c>
      <c r="G25" s="44">
        <f t="shared" si="6"/>
        <v>0</v>
      </c>
      <c r="H25" s="3">
        <f t="shared" si="9"/>
        <v>757436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44524</v>
      </c>
      <c r="B26" s="3">
        <f t="shared" si="10"/>
        <v>431266</v>
      </c>
      <c r="C26" s="44">
        <f t="shared" si="8"/>
        <v>0</v>
      </c>
      <c r="D26" s="3">
        <v>4377000</v>
      </c>
      <c r="E26" s="44">
        <f t="shared" si="3"/>
        <v>0</v>
      </c>
      <c r="F26" s="3">
        <f t="shared" si="11"/>
        <v>6610000</v>
      </c>
      <c r="G26" s="44">
        <f t="shared" si="6"/>
        <v>0</v>
      </c>
      <c r="H26" s="3">
        <f t="shared" si="9"/>
        <v>757436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44525</v>
      </c>
      <c r="B27" s="3">
        <f t="shared" si="10"/>
        <v>431266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si="11"/>
        <v>6610000</v>
      </c>
      <c r="G27" s="44">
        <f t="shared" si="6"/>
        <v>0</v>
      </c>
      <c r="H27" s="3">
        <f t="shared" si="9"/>
        <v>757436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44526</v>
      </c>
      <c r="B28" s="3">
        <f t="shared" si="10"/>
        <v>431266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1"/>
        <v>6610000</v>
      </c>
      <c r="G28" s="44">
        <f t="shared" si="6"/>
        <v>0</v>
      </c>
      <c r="H28" s="3">
        <f t="shared" si="9"/>
        <v>757436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44527</v>
      </c>
      <c r="B29" s="3">
        <f t="shared" si="10"/>
        <v>431266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1"/>
        <v>6610000</v>
      </c>
      <c r="G29" s="44">
        <f t="shared" si="6"/>
        <v>0</v>
      </c>
      <c r="H29" s="3">
        <f t="shared" si="9"/>
        <v>757436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44528</v>
      </c>
      <c r="B30" s="3">
        <f t="shared" si="10"/>
        <v>431266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1"/>
        <v>6610000</v>
      </c>
      <c r="G30" s="44">
        <f t="shared" si="6"/>
        <v>0</v>
      </c>
      <c r="H30" s="3">
        <f t="shared" si="9"/>
        <v>757436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44529</v>
      </c>
      <c r="B31" s="3">
        <f t="shared" si="10"/>
        <v>431266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6610000</v>
      </c>
      <c r="G31" s="44">
        <f t="shared" si="6"/>
        <v>0</v>
      </c>
      <c r="H31" s="3">
        <f t="shared" si="9"/>
        <v>757436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10"/>
        <v>431266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6610000</v>
      </c>
      <c r="G32" s="44">
        <f t="shared" si="6"/>
        <v>0</v>
      </c>
      <c r="H32" s="3">
        <f t="shared" si="9"/>
        <v>757436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21" thickBot="1" x14ac:dyDescent="0.3">
      <c r="A33" s="9" t="s">
        <v>23</v>
      </c>
      <c r="B33" s="3"/>
      <c r="C33" s="61">
        <f>SUM(C3:C32)</f>
        <v>11110</v>
      </c>
      <c r="D33" s="3"/>
      <c r="E33" s="61">
        <f>SUM(E3:E32)</f>
        <v>0</v>
      </c>
      <c r="F33" s="3"/>
      <c r="G33" s="61">
        <f>SUM(G3:G32)</f>
        <v>5718.6</v>
      </c>
      <c r="H33" s="3"/>
      <c r="I33" s="61">
        <f>SUM(I3:I32)</f>
        <v>41.283000000000001</v>
      </c>
      <c r="J33" s="61">
        <f>SUM(J3:J32)</f>
        <v>16869.883000000002</v>
      </c>
      <c r="K33" s="61">
        <f>SUM(K3:K32)</f>
        <v>98857.514379999993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7" zoomScale="80" zoomScaleNormal="55" zoomScaleSheetLayoutView="80" workbookViewId="0">
      <pane xSplit="1" topLeftCell="B1" activePane="topRight" state="frozen"/>
      <selection pane="topRight" activeCell="A13" sqref="A13:XFD1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9">
        <v>17710786</v>
      </c>
      <c r="C2" s="50">
        <v>0</v>
      </c>
    </row>
    <row r="3" spans="1:9" ht="24" thickBot="1" x14ac:dyDescent="0.4">
      <c r="A3" s="10">
        <v>44501</v>
      </c>
      <c r="B3" s="139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9">
        <v>17715214</v>
      </c>
      <c r="C4" s="50">
        <f t="shared" ref="C4:C30" si="0">IF((B4-B3)&lt;0,"0",(B4-B3))</f>
        <v>2306</v>
      </c>
    </row>
    <row r="5" spans="1:9" ht="24" thickBot="1" x14ac:dyDescent="0.4">
      <c r="A5" s="10">
        <v>44503</v>
      </c>
      <c r="B5" s="139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9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9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9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9">
        <v>17726082</v>
      </c>
      <c r="C9" s="50">
        <f>IF((B9-B8)&lt;0,"0",(B9-B8))</f>
        <v>2188</v>
      </c>
    </row>
    <row r="10" spans="1:9" ht="24" thickBot="1" x14ac:dyDescent="0.4">
      <c r="A10" s="10">
        <v>44508</v>
      </c>
      <c r="B10" s="139">
        <v>17729146</v>
      </c>
      <c r="C10" s="50">
        <f t="shared" si="0"/>
        <v>3064</v>
      </c>
    </row>
    <row r="11" spans="1:9" ht="24" thickBot="1" x14ac:dyDescent="0.4">
      <c r="A11" s="10">
        <v>44509</v>
      </c>
      <c r="B11" s="139">
        <v>17731515</v>
      </c>
      <c r="C11" s="50">
        <f>IF((B11-B10)&lt;0,"0",(B11-B10))</f>
        <v>2369</v>
      </c>
    </row>
    <row r="12" spans="1:9" ht="24" thickBot="1" x14ac:dyDescent="0.4">
      <c r="A12" s="10">
        <v>44510</v>
      </c>
      <c r="B12" s="139">
        <v>17733791</v>
      </c>
      <c r="C12" s="50">
        <f t="shared" si="0"/>
        <v>2276</v>
      </c>
    </row>
    <row r="13" spans="1:9" ht="24" thickBot="1" x14ac:dyDescent="0.4">
      <c r="A13" s="10">
        <v>44511</v>
      </c>
      <c r="B13" s="139">
        <v>17736195</v>
      </c>
      <c r="C13" s="50">
        <f t="shared" si="0"/>
        <v>2404</v>
      </c>
    </row>
    <row r="14" spans="1:9" ht="24" thickBot="1" x14ac:dyDescent="0.4">
      <c r="A14" s="10">
        <v>44512</v>
      </c>
      <c r="B14" s="139"/>
      <c r="C14" s="50" t="str">
        <f t="shared" si="0"/>
        <v>0</v>
      </c>
    </row>
    <row r="15" spans="1:9" ht="24" thickBot="1" x14ac:dyDescent="0.4">
      <c r="A15" s="10">
        <v>44513</v>
      </c>
      <c r="B15" s="139"/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44514</v>
      </c>
      <c r="B16" s="139"/>
      <c r="C16" s="50">
        <f t="shared" si="0"/>
        <v>0</v>
      </c>
    </row>
    <row r="17" spans="1:9" ht="25.5" customHeight="1" thickBot="1" x14ac:dyDescent="0.4">
      <c r="A17" s="10">
        <v>44515</v>
      </c>
      <c r="B17" s="139"/>
      <c r="C17" s="50">
        <f t="shared" si="0"/>
        <v>0</v>
      </c>
      <c r="F17" s="137"/>
    </row>
    <row r="18" spans="1:9" ht="24" thickBot="1" x14ac:dyDescent="0.4">
      <c r="A18" s="10">
        <v>44516</v>
      </c>
      <c r="B18" s="139"/>
      <c r="C18" s="50">
        <f t="shared" si="0"/>
        <v>0</v>
      </c>
    </row>
    <row r="19" spans="1:9" ht="24" thickBot="1" x14ac:dyDescent="0.4">
      <c r="A19" s="10">
        <v>44517</v>
      </c>
      <c r="B19" s="139"/>
      <c r="C19" s="50">
        <f t="shared" si="0"/>
        <v>0</v>
      </c>
      <c r="F19" s="139"/>
    </row>
    <row r="20" spans="1:9" ht="24" thickBot="1" x14ac:dyDescent="0.4">
      <c r="A20" s="10">
        <v>44518</v>
      </c>
      <c r="B20" s="139"/>
      <c r="C20" s="50">
        <f t="shared" si="0"/>
        <v>0</v>
      </c>
    </row>
    <row r="21" spans="1:9" ht="24" thickBot="1" x14ac:dyDescent="0.4">
      <c r="A21" s="10">
        <v>44519</v>
      </c>
      <c r="B21" s="139"/>
      <c r="C21" s="50">
        <f t="shared" si="0"/>
        <v>0</v>
      </c>
    </row>
    <row r="22" spans="1:9" ht="24" thickBot="1" x14ac:dyDescent="0.4">
      <c r="A22" s="10">
        <v>44520</v>
      </c>
      <c r="B22" s="139"/>
      <c r="C22" s="50">
        <f t="shared" si="0"/>
        <v>0</v>
      </c>
    </row>
    <row r="23" spans="1:9" ht="24" thickBot="1" x14ac:dyDescent="0.4">
      <c r="A23" s="10">
        <v>44521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44522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44523</v>
      </c>
      <c r="B25" s="139"/>
      <c r="C25" s="50">
        <f t="shared" si="0"/>
        <v>0</v>
      </c>
    </row>
    <row r="26" spans="1:9" ht="24" thickBot="1" x14ac:dyDescent="0.4">
      <c r="A26" s="10">
        <v>44524</v>
      </c>
      <c r="B26" s="139"/>
      <c r="C26" s="50">
        <f t="shared" si="0"/>
        <v>0</v>
      </c>
    </row>
    <row r="27" spans="1:9" ht="24" thickBot="1" x14ac:dyDescent="0.4">
      <c r="A27" s="10">
        <v>44525</v>
      </c>
      <c r="B27" s="139"/>
      <c r="C27" s="50">
        <f t="shared" si="0"/>
        <v>0</v>
      </c>
    </row>
    <row r="28" spans="1:9" ht="24" thickBot="1" x14ac:dyDescent="0.4">
      <c r="A28" s="10">
        <v>44526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44527</v>
      </c>
      <c r="B29" s="139"/>
      <c r="C29" s="50">
        <f t="shared" si="0"/>
        <v>0</v>
      </c>
    </row>
    <row r="30" spans="1:9" ht="24" thickBot="1" x14ac:dyDescent="0.4">
      <c r="A30" s="10">
        <v>44528</v>
      </c>
      <c r="B30" s="139"/>
      <c r="C30" s="50">
        <f t="shared" si="0"/>
        <v>0</v>
      </c>
    </row>
    <row r="31" spans="1:9" ht="24" thickBot="1" x14ac:dyDescent="0.4">
      <c r="A31" s="10">
        <v>44529</v>
      </c>
      <c r="B31" s="139"/>
      <c r="C31" s="50">
        <f>IF((B31-B30)&lt;0,"0",(B31-B30))</f>
        <v>0</v>
      </c>
    </row>
    <row r="32" spans="1:9" ht="24" thickBot="1" x14ac:dyDescent="0.4">
      <c r="A32" s="10">
        <v>44530</v>
      </c>
      <c r="B32" s="139"/>
      <c r="C32" s="50">
        <f>IF((B32-B31)&lt;0,"0",(B32-B31))</f>
        <v>0</v>
      </c>
    </row>
    <row r="33" spans="1:3" ht="24" thickBot="1" x14ac:dyDescent="0.4">
      <c r="A33" s="178" t="s">
        <v>138</v>
      </c>
      <c r="B33" s="179"/>
      <c r="C33" s="142">
        <f>SUM(C3:C32)</f>
        <v>25409</v>
      </c>
    </row>
  </sheetData>
  <mergeCells count="1">
    <mergeCell ref="A33:B33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zoomScale="80" zoomScaleNormal="80" workbookViewId="0">
      <pane ySplit="1" topLeftCell="A2" activePane="bottomLeft" state="frozen"/>
      <selection pane="bottomLeft" activeCell="A13" sqref="A13:XFD13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1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80" t="s">
        <v>142</v>
      </c>
      <c r="X1" s="181"/>
      <c r="Y1" s="181"/>
      <c r="Z1" s="181"/>
      <c r="AA1" s="182"/>
      <c r="AB1" s="180" t="s">
        <v>144</v>
      </c>
      <c r="AC1" s="181"/>
      <c r="AD1" s="180" t="s">
        <v>147</v>
      </c>
      <c r="AE1" s="181"/>
    </row>
    <row r="2" spans="1:31" ht="16.5" thickBot="1" x14ac:dyDescent="0.25">
      <c r="A2" s="10">
        <v>44500</v>
      </c>
      <c r="B2" s="168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5">
        <v>44499</v>
      </c>
      <c r="X2" s="166">
        <v>154581</v>
      </c>
      <c r="Y2" s="35">
        <v>0</v>
      </c>
      <c r="Z2" s="166">
        <v>7686</v>
      </c>
      <c r="AA2" s="35">
        <v>0</v>
      </c>
      <c r="AB2" s="166">
        <v>13.35</v>
      </c>
      <c r="AC2" s="35">
        <v>0</v>
      </c>
      <c r="AD2" s="166">
        <v>0</v>
      </c>
      <c r="AE2" s="171">
        <v>0</v>
      </c>
    </row>
    <row r="3" spans="1:31" ht="16.5" thickBot="1" x14ac:dyDescent="0.25">
      <c r="A3" s="10">
        <v>44501</v>
      </c>
      <c r="B3" s="168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5">
        <v>44501</v>
      </c>
      <c r="X3" s="166">
        <v>155107</v>
      </c>
      <c r="Y3" s="171">
        <f t="shared" ref="Y3" si="19">X3-X2</f>
        <v>526</v>
      </c>
      <c r="Z3" s="166">
        <v>7739</v>
      </c>
      <c r="AA3" s="171">
        <f>Z3-Z2</f>
        <v>53</v>
      </c>
      <c r="AB3" s="166">
        <v>13.35</v>
      </c>
      <c r="AC3" s="35">
        <v>0</v>
      </c>
      <c r="AD3" s="166">
        <v>0</v>
      </c>
      <c r="AE3" s="171">
        <v>0</v>
      </c>
    </row>
    <row r="4" spans="1:31" ht="16.5" thickBot="1" x14ac:dyDescent="0.25">
      <c r="A4" s="10">
        <v>44502</v>
      </c>
      <c r="B4" s="168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5">
        <v>44502</v>
      </c>
      <c r="X4" s="166">
        <v>155302</v>
      </c>
      <c r="Y4" s="171">
        <f>X4-X3</f>
        <v>195</v>
      </c>
      <c r="Z4" s="166">
        <v>7744</v>
      </c>
      <c r="AA4" s="171">
        <f>Z4-Z3</f>
        <v>5</v>
      </c>
      <c r="AB4" s="166">
        <v>13.35</v>
      </c>
      <c r="AC4" s="35">
        <f t="shared" ref="AC4:AC8" si="22">AB4-AB3</f>
        <v>0</v>
      </c>
      <c r="AD4" s="166">
        <v>0</v>
      </c>
      <c r="AE4" s="171">
        <v>0</v>
      </c>
    </row>
    <row r="5" spans="1:31" ht="16.5" thickBot="1" x14ac:dyDescent="0.25">
      <c r="A5" s="10">
        <v>44503</v>
      </c>
      <c r="B5" s="168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5">
        <v>44503</v>
      </c>
      <c r="X5" s="166">
        <v>155538</v>
      </c>
      <c r="Y5" s="35">
        <f t="shared" ref="Y5:Y32" si="23">X5-X4</f>
        <v>236</v>
      </c>
      <c r="Z5" s="166">
        <v>7750</v>
      </c>
      <c r="AA5" s="35">
        <f t="shared" ref="AA5:AA32" si="24">Z5-Z4</f>
        <v>6</v>
      </c>
      <c r="AB5" s="166">
        <v>13.35</v>
      </c>
      <c r="AC5" s="35">
        <f t="shared" si="22"/>
        <v>0</v>
      </c>
      <c r="AD5" s="166">
        <v>0</v>
      </c>
      <c r="AE5" s="171">
        <v>0</v>
      </c>
    </row>
    <row r="6" spans="1:31" ht="16.5" thickBot="1" x14ac:dyDescent="0.25">
      <c r="A6" s="10">
        <v>44504</v>
      </c>
      <c r="B6" s="168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5">C6+F6+I6+L6+O6+R6</f>
        <v>13.062999999999192</v>
      </c>
      <c r="U6" s="35">
        <f t="shared" si="21"/>
        <v>24819.699999998462</v>
      </c>
      <c r="W6" s="165">
        <v>44504</v>
      </c>
      <c r="X6" s="166">
        <v>155751</v>
      </c>
      <c r="Y6" s="35">
        <f t="shared" si="23"/>
        <v>213</v>
      </c>
      <c r="Z6" s="166">
        <v>7783</v>
      </c>
      <c r="AA6" s="35">
        <f t="shared" si="24"/>
        <v>33</v>
      </c>
      <c r="AB6" s="166">
        <v>13.35</v>
      </c>
      <c r="AC6" s="35">
        <f t="shared" si="22"/>
        <v>0</v>
      </c>
      <c r="AD6" s="166">
        <v>0</v>
      </c>
      <c r="AE6" s="171">
        <v>0</v>
      </c>
    </row>
    <row r="7" spans="1:31" ht="16.5" thickBot="1" x14ac:dyDescent="0.25">
      <c r="A7" s="10">
        <v>44505</v>
      </c>
      <c r="B7" s="168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5"/>
        <v>14.992000000001099</v>
      </c>
      <c r="U7" s="35">
        <f t="shared" si="21"/>
        <v>28484.800000002084</v>
      </c>
      <c r="W7" s="165">
        <v>44505</v>
      </c>
      <c r="X7" s="166">
        <v>155938</v>
      </c>
      <c r="Y7" s="35">
        <f t="shared" si="23"/>
        <v>187</v>
      </c>
      <c r="Z7" s="166">
        <v>7789</v>
      </c>
      <c r="AA7" s="35">
        <f t="shared" si="24"/>
        <v>6</v>
      </c>
      <c r="AB7" s="166">
        <v>13.35</v>
      </c>
      <c r="AC7" s="35">
        <f t="shared" si="22"/>
        <v>0</v>
      </c>
      <c r="AD7" s="166">
        <v>0</v>
      </c>
      <c r="AE7" s="171">
        <v>0</v>
      </c>
    </row>
    <row r="8" spans="1:31" ht="16.5" thickBot="1" x14ac:dyDescent="0.25">
      <c r="A8" s="10">
        <v>44506</v>
      </c>
      <c r="B8" s="168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5"/>
        <v>101.69500000000062</v>
      </c>
      <c r="U8" s="35">
        <f t="shared" si="21"/>
        <v>193220.50000000116</v>
      </c>
      <c r="W8" s="165">
        <v>44506</v>
      </c>
      <c r="X8" s="166">
        <v>155107</v>
      </c>
      <c r="Y8" s="35">
        <f t="shared" si="23"/>
        <v>-831</v>
      </c>
      <c r="Z8" s="166">
        <v>7739</v>
      </c>
      <c r="AA8" s="35">
        <f t="shared" si="24"/>
        <v>-50</v>
      </c>
      <c r="AB8" s="166">
        <v>13.35</v>
      </c>
      <c r="AC8" s="35">
        <f t="shared" si="22"/>
        <v>0</v>
      </c>
      <c r="AD8" s="166">
        <v>0</v>
      </c>
      <c r="AE8" s="171">
        <v>0</v>
      </c>
    </row>
    <row r="9" spans="1:31" ht="16.5" thickBot="1" x14ac:dyDescent="0.25">
      <c r="A9" s="10">
        <v>44507</v>
      </c>
      <c r="B9" s="168">
        <v>22599.912</v>
      </c>
      <c r="C9" s="49">
        <f t="shared" si="20"/>
        <v>5.4969999999993888</v>
      </c>
      <c r="D9" s="33">
        <f t="shared" si="8"/>
        <v>10444.299999998839</v>
      </c>
      <c r="E9" s="1">
        <v>4027.3150000000001</v>
      </c>
      <c r="F9" s="49">
        <f t="shared" si="9"/>
        <v>1.8420000000000982</v>
      </c>
      <c r="G9" s="33">
        <f t="shared" si="10"/>
        <v>3499.8000000001866</v>
      </c>
      <c r="H9" s="1">
        <v>4319</v>
      </c>
      <c r="I9" s="49">
        <f t="shared" si="11"/>
        <v>5</v>
      </c>
      <c r="J9" s="33">
        <f t="shared" si="12"/>
        <v>9500</v>
      </c>
      <c r="K9" s="7">
        <v>13815.35</v>
      </c>
      <c r="L9" s="49">
        <f t="shared" si="13"/>
        <v>1.8500000000003638</v>
      </c>
      <c r="M9" s="33">
        <f t="shared" si="14"/>
        <v>3515.0000000006912</v>
      </c>
      <c r="N9" s="7">
        <v>3300.99</v>
      </c>
      <c r="O9" s="49">
        <f t="shared" si="15"/>
        <v>1.3559999999997672</v>
      </c>
      <c r="P9" s="33">
        <f t="shared" si="16"/>
        <v>2576.3999999995576</v>
      </c>
      <c r="Q9" s="7">
        <v>5239.43</v>
      </c>
      <c r="R9" s="49">
        <f t="shared" si="17"/>
        <v>1.6500000000005457</v>
      </c>
      <c r="S9" s="33">
        <f t="shared" si="18"/>
        <v>3135.0000000010368</v>
      </c>
      <c r="T9" s="8">
        <f t="shared" si="25"/>
        <v>17.195000000000164</v>
      </c>
      <c r="U9" s="35">
        <f t="shared" si="21"/>
        <v>32670.500000000309</v>
      </c>
      <c r="W9" s="165">
        <v>44507</v>
      </c>
      <c r="X9" s="166">
        <v>156045</v>
      </c>
      <c r="Y9" s="35">
        <f t="shared" si="23"/>
        <v>938</v>
      </c>
      <c r="Z9" s="166">
        <v>7798</v>
      </c>
      <c r="AA9" s="35">
        <f t="shared" si="24"/>
        <v>59</v>
      </c>
      <c r="AB9" s="166">
        <v>13.35</v>
      </c>
      <c r="AC9" s="35">
        <f>AB9-AB8</f>
        <v>0</v>
      </c>
      <c r="AD9" s="166">
        <v>0</v>
      </c>
      <c r="AE9" s="171">
        <v>0</v>
      </c>
    </row>
    <row r="10" spans="1:31" ht="16.5" thickBot="1" x14ac:dyDescent="0.25">
      <c r="A10" s="10">
        <v>44508</v>
      </c>
      <c r="B10" s="168">
        <v>22606</v>
      </c>
      <c r="C10" s="49">
        <f t="shared" si="20"/>
        <v>6.0879999999997381</v>
      </c>
      <c r="D10" s="33">
        <f t="shared" si="8"/>
        <v>11567.199999999502</v>
      </c>
      <c r="E10" s="1">
        <v>4029.5329999999999</v>
      </c>
      <c r="F10" s="49">
        <f t="shared" si="9"/>
        <v>2.2179999999998472</v>
      </c>
      <c r="G10" s="33">
        <f t="shared" si="10"/>
        <v>4214.1999999997097</v>
      </c>
      <c r="H10" s="1">
        <v>4324</v>
      </c>
      <c r="I10" s="49">
        <f t="shared" si="11"/>
        <v>5</v>
      </c>
      <c r="J10" s="33">
        <f t="shared" si="12"/>
        <v>9500</v>
      </c>
      <c r="K10" s="7">
        <v>13817.18</v>
      </c>
      <c r="L10" s="49">
        <f t="shared" si="13"/>
        <v>1.8299999999999272</v>
      </c>
      <c r="M10" s="33">
        <f t="shared" si="14"/>
        <v>3476.9999999998618</v>
      </c>
      <c r="N10" s="7">
        <v>3302.306</v>
      </c>
      <c r="O10" s="49">
        <f>IF((N10-N9)&lt;0,"0",(N10-N9))</f>
        <v>1.3160000000002583</v>
      </c>
      <c r="P10" s="33">
        <f t="shared" si="16"/>
        <v>2500.4000000004908</v>
      </c>
      <c r="Q10" s="7">
        <v>5240.18</v>
      </c>
      <c r="R10" s="49">
        <f t="shared" si="17"/>
        <v>0.75</v>
      </c>
      <c r="S10" s="33">
        <f t="shared" si="18"/>
        <v>1424.9999999999998</v>
      </c>
      <c r="T10" s="8">
        <f t="shared" si="25"/>
        <v>17.201999999999771</v>
      </c>
      <c r="U10" s="35">
        <f t="shared" si="21"/>
        <v>32683.799999999566</v>
      </c>
      <c r="W10" s="165">
        <v>44508</v>
      </c>
      <c r="X10" s="166">
        <v>156132</v>
      </c>
      <c r="Y10" s="35">
        <f t="shared" si="23"/>
        <v>87</v>
      </c>
      <c r="Z10" s="166">
        <v>7802</v>
      </c>
      <c r="AA10" s="35">
        <f t="shared" si="24"/>
        <v>4</v>
      </c>
      <c r="AB10" s="166">
        <v>13.35</v>
      </c>
      <c r="AC10" s="35">
        <f t="shared" ref="AC10:AC32" si="26">AB10-AB9</f>
        <v>0</v>
      </c>
      <c r="AD10" s="166">
        <v>1</v>
      </c>
      <c r="AE10" s="171">
        <v>0</v>
      </c>
    </row>
    <row r="11" spans="1:31" ht="16.5" thickBot="1" x14ac:dyDescent="0.25">
      <c r="A11" s="10">
        <v>44509</v>
      </c>
      <c r="B11" s="168">
        <v>22613.65</v>
      </c>
      <c r="C11" s="49">
        <f t="shared" si="20"/>
        <v>7.6500000000014552</v>
      </c>
      <c r="D11" s="33">
        <f t="shared" si="8"/>
        <v>14535.000000002765</v>
      </c>
      <c r="E11" s="1">
        <v>4031.913</v>
      </c>
      <c r="F11" s="49">
        <f t="shared" si="9"/>
        <v>2.3800000000001091</v>
      </c>
      <c r="G11" s="33">
        <f t="shared" si="10"/>
        <v>4522.0000000002074</v>
      </c>
      <c r="H11" s="1">
        <v>4329</v>
      </c>
      <c r="I11" s="49">
        <f t="shared" si="11"/>
        <v>5</v>
      </c>
      <c r="J11" s="33">
        <f t="shared" si="12"/>
        <v>9500</v>
      </c>
      <c r="K11" s="7">
        <v>13818.98</v>
      </c>
      <c r="L11" s="49">
        <f t="shared" si="13"/>
        <v>1.7999999999992724</v>
      </c>
      <c r="M11" s="33">
        <f t="shared" si="14"/>
        <v>3419.9999999986176</v>
      </c>
      <c r="N11" s="7">
        <v>3303.84</v>
      </c>
      <c r="O11" s="49">
        <f t="shared" si="15"/>
        <v>1.5340000000001055</v>
      </c>
      <c r="P11" s="33">
        <f t="shared" si="16"/>
        <v>2914.6000000002005</v>
      </c>
      <c r="Q11" s="7">
        <v>5242.2</v>
      </c>
      <c r="R11" s="49">
        <f t="shared" si="17"/>
        <v>2.0199999999995271</v>
      </c>
      <c r="S11" s="33">
        <f t="shared" si="18"/>
        <v>3837.9999999991014</v>
      </c>
      <c r="T11" s="8">
        <f t="shared" si="25"/>
        <v>20.384000000000469</v>
      </c>
      <c r="U11" s="35">
        <f t="shared" si="21"/>
        <v>38729.600000000893</v>
      </c>
      <c r="W11" s="165">
        <v>44509</v>
      </c>
      <c r="X11" s="166">
        <v>156316</v>
      </c>
      <c r="Y11" s="35">
        <f t="shared" si="23"/>
        <v>184</v>
      </c>
      <c r="Z11" s="166">
        <v>7814</v>
      </c>
      <c r="AA11" s="35">
        <f t="shared" si="24"/>
        <v>12</v>
      </c>
      <c r="AB11" s="166">
        <v>13.35</v>
      </c>
      <c r="AC11" s="35">
        <f t="shared" si="26"/>
        <v>0</v>
      </c>
      <c r="AD11" s="166">
        <f>AD10</f>
        <v>1</v>
      </c>
      <c r="AE11" s="171">
        <v>0</v>
      </c>
    </row>
    <row r="12" spans="1:31" ht="16.5" thickBot="1" x14ac:dyDescent="0.25">
      <c r="A12" s="10">
        <v>44510</v>
      </c>
      <c r="B12" s="168">
        <v>22618.424999999999</v>
      </c>
      <c r="C12" s="49">
        <f t="shared" si="20"/>
        <v>4.7749999999978172</v>
      </c>
      <c r="D12" s="33">
        <f t="shared" si="8"/>
        <v>9072.4999999958527</v>
      </c>
      <c r="E12" s="1">
        <v>4033.3359999999998</v>
      </c>
      <c r="F12" s="49">
        <f t="shared" si="9"/>
        <v>1.4229999999997744</v>
      </c>
      <c r="G12" s="33">
        <f t="shared" si="10"/>
        <v>2703.6999999995714</v>
      </c>
      <c r="H12" s="1">
        <v>4332</v>
      </c>
      <c r="I12" s="49">
        <f t="shared" si="11"/>
        <v>3</v>
      </c>
      <c r="J12" s="33">
        <f t="shared" si="12"/>
        <v>5699.9999999999991</v>
      </c>
      <c r="K12" s="7">
        <v>13819.76</v>
      </c>
      <c r="L12" s="49">
        <f t="shared" si="13"/>
        <v>0.78000000000065484</v>
      </c>
      <c r="M12" s="33">
        <f t="shared" si="14"/>
        <v>1482.0000000012442</v>
      </c>
      <c r="N12" s="7">
        <v>3304.8710000000001</v>
      </c>
      <c r="O12" s="49">
        <f t="shared" si="15"/>
        <v>1.0309999999999491</v>
      </c>
      <c r="P12" s="33">
        <f t="shared" si="16"/>
        <v>1958.899999999903</v>
      </c>
      <c r="Q12" s="7">
        <v>5246.77</v>
      </c>
      <c r="R12" s="49">
        <f t="shared" si="17"/>
        <v>4.5700000000006185</v>
      </c>
      <c r="S12" s="33">
        <f t="shared" si="18"/>
        <v>8683.0000000011732</v>
      </c>
      <c r="T12" s="8">
        <f t="shared" si="25"/>
        <v>15.578999999998814</v>
      </c>
      <c r="U12" s="35">
        <f t="shared" si="21"/>
        <v>29600.099999997747</v>
      </c>
      <c r="W12" s="165">
        <v>44510</v>
      </c>
      <c r="X12" s="166">
        <v>156344</v>
      </c>
      <c r="Y12" s="35">
        <f t="shared" si="23"/>
        <v>28</v>
      </c>
      <c r="Z12" s="166">
        <v>7817</v>
      </c>
      <c r="AA12" s="35">
        <f t="shared" si="24"/>
        <v>3</v>
      </c>
      <c r="AB12" s="166">
        <v>13.45</v>
      </c>
      <c r="AC12" s="35">
        <f t="shared" si="26"/>
        <v>9.9999999999999645E-2</v>
      </c>
      <c r="AD12" s="166">
        <v>2</v>
      </c>
      <c r="AE12" s="171">
        <v>1</v>
      </c>
    </row>
    <row r="13" spans="1:31" ht="16.5" thickBot="1" x14ac:dyDescent="0.25">
      <c r="A13" s="10">
        <v>44511</v>
      </c>
      <c r="B13" s="168">
        <v>22624.245999999999</v>
      </c>
      <c r="C13" s="49">
        <f t="shared" si="20"/>
        <v>5.8209999999999127</v>
      </c>
      <c r="D13" s="33">
        <f t="shared" si="8"/>
        <v>11059.899999999834</v>
      </c>
      <c r="E13" s="1">
        <v>4035.2260000000001</v>
      </c>
      <c r="F13" s="49">
        <f t="shared" si="9"/>
        <v>1.8900000000003274</v>
      </c>
      <c r="G13" s="33">
        <f t="shared" si="10"/>
        <v>3591.0000000006221</v>
      </c>
      <c r="H13" s="1">
        <v>4337</v>
      </c>
      <c r="I13" s="49">
        <f t="shared" si="11"/>
        <v>5</v>
      </c>
      <c r="J13" s="33">
        <f t="shared" si="12"/>
        <v>9500</v>
      </c>
      <c r="K13" s="7">
        <v>13820.96</v>
      </c>
      <c r="L13" s="49">
        <f t="shared" si="13"/>
        <v>1.1999999999989086</v>
      </c>
      <c r="M13" s="33">
        <f t="shared" si="14"/>
        <v>2279.9999999979264</v>
      </c>
      <c r="N13" s="7">
        <v>3306.2310000000002</v>
      </c>
      <c r="O13" s="49">
        <f t="shared" si="15"/>
        <v>1.3600000000001273</v>
      </c>
      <c r="P13" s="33">
        <f t="shared" si="16"/>
        <v>2584.0000000002415</v>
      </c>
      <c r="Q13" s="7">
        <v>5249.1</v>
      </c>
      <c r="R13" s="49">
        <f t="shared" si="17"/>
        <v>2.3299999999999272</v>
      </c>
      <c r="S13" s="33">
        <f t="shared" si="18"/>
        <v>4426.9999999998618</v>
      </c>
      <c r="T13" s="8">
        <f t="shared" si="25"/>
        <v>17.600999999999203</v>
      </c>
      <c r="U13" s="35">
        <f t="shared" si="21"/>
        <v>33441.899999998481</v>
      </c>
      <c r="W13" s="165">
        <v>44511</v>
      </c>
      <c r="X13" s="166">
        <v>156511</v>
      </c>
      <c r="Y13" s="35">
        <f t="shared" si="23"/>
        <v>167</v>
      </c>
      <c r="Z13" s="166">
        <v>7825</v>
      </c>
      <c r="AA13" s="35">
        <f t="shared" si="24"/>
        <v>8</v>
      </c>
      <c r="AB13" s="166">
        <v>13.46</v>
      </c>
      <c r="AC13" s="35">
        <f t="shared" si="26"/>
        <v>1.0000000000001563E-2</v>
      </c>
      <c r="AD13" s="166">
        <f t="shared" ref="AD13:AD31" si="27">AD12</f>
        <v>2</v>
      </c>
      <c r="AE13" s="171">
        <v>0</v>
      </c>
    </row>
    <row r="14" spans="1:31" ht="16.5" thickBot="1" x14ac:dyDescent="0.25">
      <c r="A14" s="10">
        <v>44512</v>
      </c>
      <c r="B14" s="168">
        <f t="shared" ref="B13:B32" si="28">B13</f>
        <v>22624.245999999999</v>
      </c>
      <c r="C14" s="49">
        <f t="shared" si="20"/>
        <v>0</v>
      </c>
      <c r="D14" s="33">
        <f t="shared" si="8"/>
        <v>0</v>
      </c>
      <c r="E14" s="1">
        <f t="shared" ref="E13:E32" si="29">E13</f>
        <v>4035.2260000000001</v>
      </c>
      <c r="F14" s="49">
        <f t="shared" si="9"/>
        <v>0</v>
      </c>
      <c r="G14" s="33">
        <f t="shared" si="10"/>
        <v>0</v>
      </c>
      <c r="H14" s="1">
        <f t="shared" ref="H13:H32" si="30">H13</f>
        <v>4337</v>
      </c>
      <c r="I14" s="49">
        <f t="shared" si="11"/>
        <v>0</v>
      </c>
      <c r="J14" s="33">
        <f t="shared" si="12"/>
        <v>0</v>
      </c>
      <c r="K14" s="7">
        <f t="shared" ref="K13:K32" si="31">K13</f>
        <v>13820.96</v>
      </c>
      <c r="L14" s="49">
        <f t="shared" si="13"/>
        <v>0</v>
      </c>
      <c r="M14" s="33">
        <f t="shared" si="14"/>
        <v>0</v>
      </c>
      <c r="N14" s="7">
        <f t="shared" ref="N13:N32" si="32">N13</f>
        <v>3306.2310000000002</v>
      </c>
      <c r="O14" s="49">
        <f>IF((N14-N13)&lt;0,"0",(N14-N13))</f>
        <v>0</v>
      </c>
      <c r="P14" s="33">
        <f t="shared" si="16"/>
        <v>0</v>
      </c>
      <c r="Q14" s="7">
        <f t="shared" ref="Q13:Q32" si="33">Q13</f>
        <v>5249.1</v>
      </c>
      <c r="R14" s="49">
        <f t="shared" si="17"/>
        <v>0</v>
      </c>
      <c r="S14" s="33">
        <f t="shared" si="18"/>
        <v>0</v>
      </c>
      <c r="T14" s="8">
        <f t="shared" si="25"/>
        <v>0</v>
      </c>
      <c r="U14" s="35">
        <f t="shared" si="21"/>
        <v>0</v>
      </c>
      <c r="W14" s="165">
        <v>44512</v>
      </c>
      <c r="X14" s="166">
        <f t="shared" ref="X13:X32" si="34">X13</f>
        <v>156511</v>
      </c>
      <c r="Y14" s="35">
        <f t="shared" si="23"/>
        <v>0</v>
      </c>
      <c r="Z14" s="166">
        <f t="shared" ref="Z13:Z32" si="35">Z13</f>
        <v>7825</v>
      </c>
      <c r="AA14" s="35">
        <f t="shared" si="24"/>
        <v>0</v>
      </c>
      <c r="AB14" s="166">
        <f t="shared" ref="AB14:AB31" si="36">AB13</f>
        <v>13.46</v>
      </c>
      <c r="AC14" s="35">
        <f t="shared" si="26"/>
        <v>0</v>
      </c>
      <c r="AD14" s="166">
        <f t="shared" si="27"/>
        <v>2</v>
      </c>
      <c r="AE14" s="171">
        <v>0</v>
      </c>
    </row>
    <row r="15" spans="1:31" ht="16.5" thickBot="1" x14ac:dyDescent="0.25">
      <c r="A15" s="10">
        <v>44513</v>
      </c>
      <c r="B15" s="168">
        <f t="shared" si="28"/>
        <v>22624.245999999999</v>
      </c>
      <c r="C15" s="49">
        <f t="shared" si="20"/>
        <v>0</v>
      </c>
      <c r="D15" s="33">
        <f t="shared" si="8"/>
        <v>0</v>
      </c>
      <c r="E15" s="1">
        <f t="shared" si="29"/>
        <v>4035.2260000000001</v>
      </c>
      <c r="F15" s="49">
        <f t="shared" si="9"/>
        <v>0</v>
      </c>
      <c r="G15" s="33">
        <f t="shared" si="10"/>
        <v>0</v>
      </c>
      <c r="H15" s="1">
        <f t="shared" si="30"/>
        <v>4337</v>
      </c>
      <c r="I15" s="49">
        <f t="shared" si="11"/>
        <v>0</v>
      </c>
      <c r="J15" s="33">
        <f t="shared" si="12"/>
        <v>0</v>
      </c>
      <c r="K15" s="7">
        <f t="shared" si="31"/>
        <v>13820.96</v>
      </c>
      <c r="L15" s="49">
        <f t="shared" si="13"/>
        <v>0</v>
      </c>
      <c r="M15" s="33">
        <f t="shared" si="14"/>
        <v>0</v>
      </c>
      <c r="N15" s="7">
        <f t="shared" si="32"/>
        <v>3306.2310000000002</v>
      </c>
      <c r="O15" s="49">
        <f t="shared" si="15"/>
        <v>0</v>
      </c>
      <c r="P15" s="33">
        <f t="shared" si="16"/>
        <v>0</v>
      </c>
      <c r="Q15" s="7">
        <f t="shared" si="33"/>
        <v>5249.1</v>
      </c>
      <c r="R15" s="49">
        <f t="shared" si="17"/>
        <v>0</v>
      </c>
      <c r="S15" s="33">
        <f t="shared" si="18"/>
        <v>0</v>
      </c>
      <c r="T15" s="8">
        <f t="shared" si="25"/>
        <v>0</v>
      </c>
      <c r="U15" s="35">
        <f t="shared" si="21"/>
        <v>0</v>
      </c>
      <c r="W15" s="165">
        <v>44513</v>
      </c>
      <c r="X15" s="166">
        <f t="shared" si="34"/>
        <v>156511</v>
      </c>
      <c r="Y15" s="35">
        <f t="shared" si="23"/>
        <v>0</v>
      </c>
      <c r="Z15" s="166">
        <f t="shared" si="35"/>
        <v>7825</v>
      </c>
      <c r="AA15" s="35">
        <f t="shared" si="24"/>
        <v>0</v>
      </c>
      <c r="AB15" s="166">
        <f t="shared" si="36"/>
        <v>13.46</v>
      </c>
      <c r="AC15" s="35">
        <f t="shared" si="26"/>
        <v>0</v>
      </c>
      <c r="AD15" s="166">
        <f t="shared" si="27"/>
        <v>2</v>
      </c>
      <c r="AE15" s="171">
        <v>0</v>
      </c>
    </row>
    <row r="16" spans="1:31" ht="16.5" thickBot="1" x14ac:dyDescent="0.25">
      <c r="A16" s="10">
        <v>44514</v>
      </c>
      <c r="B16" s="168">
        <f t="shared" si="28"/>
        <v>22624.245999999999</v>
      </c>
      <c r="C16" s="49">
        <f t="shared" si="20"/>
        <v>0</v>
      </c>
      <c r="D16" s="33">
        <f t="shared" si="8"/>
        <v>0</v>
      </c>
      <c r="E16" s="1">
        <f t="shared" si="29"/>
        <v>4035.2260000000001</v>
      </c>
      <c r="F16" s="49">
        <f t="shared" si="9"/>
        <v>0</v>
      </c>
      <c r="G16" s="33">
        <f t="shared" si="10"/>
        <v>0</v>
      </c>
      <c r="H16" s="1">
        <f t="shared" si="30"/>
        <v>4337</v>
      </c>
      <c r="I16" s="49">
        <f t="shared" si="11"/>
        <v>0</v>
      </c>
      <c r="J16" s="33">
        <f t="shared" si="12"/>
        <v>0</v>
      </c>
      <c r="K16" s="7">
        <f t="shared" si="31"/>
        <v>13820.96</v>
      </c>
      <c r="L16" s="49">
        <f t="shared" si="13"/>
        <v>0</v>
      </c>
      <c r="M16" s="33">
        <f t="shared" si="14"/>
        <v>0</v>
      </c>
      <c r="N16" s="7">
        <f t="shared" si="32"/>
        <v>3306.2310000000002</v>
      </c>
      <c r="O16" s="49">
        <f t="shared" si="15"/>
        <v>0</v>
      </c>
      <c r="P16" s="33">
        <f t="shared" si="16"/>
        <v>0</v>
      </c>
      <c r="Q16" s="7">
        <f t="shared" si="33"/>
        <v>5249.1</v>
      </c>
      <c r="R16" s="49">
        <f t="shared" si="17"/>
        <v>0</v>
      </c>
      <c r="S16" s="33">
        <f t="shared" si="18"/>
        <v>0</v>
      </c>
      <c r="T16" s="8">
        <f t="shared" si="25"/>
        <v>0</v>
      </c>
      <c r="U16" s="35">
        <f t="shared" si="21"/>
        <v>0</v>
      </c>
      <c r="W16" s="165">
        <v>44514</v>
      </c>
      <c r="X16" s="166">
        <f t="shared" si="34"/>
        <v>156511</v>
      </c>
      <c r="Y16" s="35">
        <f t="shared" si="23"/>
        <v>0</v>
      </c>
      <c r="Z16" s="166">
        <f t="shared" si="35"/>
        <v>7825</v>
      </c>
      <c r="AA16" s="35">
        <f t="shared" si="24"/>
        <v>0</v>
      </c>
      <c r="AB16" s="166">
        <f t="shared" si="36"/>
        <v>13.46</v>
      </c>
      <c r="AC16" s="35">
        <f t="shared" si="26"/>
        <v>0</v>
      </c>
      <c r="AD16" s="166">
        <f t="shared" si="27"/>
        <v>2</v>
      </c>
      <c r="AE16" s="171">
        <v>0</v>
      </c>
    </row>
    <row r="17" spans="1:31" ht="16.5" thickBot="1" x14ac:dyDescent="0.25">
      <c r="A17" s="10">
        <v>44515</v>
      </c>
      <c r="B17" s="168">
        <f t="shared" si="28"/>
        <v>22624.245999999999</v>
      </c>
      <c r="C17" s="49">
        <f t="shared" si="20"/>
        <v>0</v>
      </c>
      <c r="D17" s="33">
        <f t="shared" si="8"/>
        <v>0</v>
      </c>
      <c r="E17" s="1">
        <f t="shared" si="29"/>
        <v>4035.2260000000001</v>
      </c>
      <c r="F17" s="49">
        <f t="shared" si="9"/>
        <v>0</v>
      </c>
      <c r="G17" s="33">
        <f t="shared" si="10"/>
        <v>0</v>
      </c>
      <c r="H17" s="1">
        <f t="shared" si="30"/>
        <v>4337</v>
      </c>
      <c r="I17" s="49">
        <f t="shared" si="11"/>
        <v>0</v>
      </c>
      <c r="J17" s="33">
        <f t="shared" si="12"/>
        <v>0</v>
      </c>
      <c r="K17" s="7">
        <f t="shared" si="31"/>
        <v>13820.96</v>
      </c>
      <c r="L17" s="49">
        <f t="shared" si="13"/>
        <v>0</v>
      </c>
      <c r="M17" s="33">
        <f t="shared" si="14"/>
        <v>0</v>
      </c>
      <c r="N17" s="7">
        <f t="shared" si="32"/>
        <v>3306.2310000000002</v>
      </c>
      <c r="O17" s="49">
        <f t="shared" si="15"/>
        <v>0</v>
      </c>
      <c r="P17" s="33">
        <f t="shared" si="16"/>
        <v>0</v>
      </c>
      <c r="Q17" s="7">
        <f t="shared" si="33"/>
        <v>5249.1</v>
      </c>
      <c r="R17" s="49">
        <f t="shared" si="17"/>
        <v>0</v>
      </c>
      <c r="S17" s="33">
        <f t="shared" si="18"/>
        <v>0</v>
      </c>
      <c r="T17" s="8">
        <f t="shared" si="25"/>
        <v>0</v>
      </c>
      <c r="U17" s="35">
        <f t="shared" si="21"/>
        <v>0</v>
      </c>
      <c r="W17" s="165">
        <v>44515</v>
      </c>
      <c r="X17" s="166">
        <f t="shared" si="34"/>
        <v>156511</v>
      </c>
      <c r="Y17" s="35">
        <f t="shared" si="23"/>
        <v>0</v>
      </c>
      <c r="Z17" s="166">
        <f t="shared" si="35"/>
        <v>7825</v>
      </c>
      <c r="AA17" s="35">
        <f t="shared" si="24"/>
        <v>0</v>
      </c>
      <c r="AB17" s="166">
        <f t="shared" si="36"/>
        <v>13.46</v>
      </c>
      <c r="AC17" s="35">
        <f t="shared" si="26"/>
        <v>0</v>
      </c>
      <c r="AD17" s="166">
        <f t="shared" si="27"/>
        <v>2</v>
      </c>
      <c r="AE17" s="171">
        <v>0</v>
      </c>
    </row>
    <row r="18" spans="1:31" ht="16.5" thickBot="1" x14ac:dyDescent="0.25">
      <c r="A18" s="10">
        <v>44516</v>
      </c>
      <c r="B18" s="168">
        <f t="shared" si="28"/>
        <v>22624.245999999999</v>
      </c>
      <c r="C18" s="49">
        <f t="shared" si="20"/>
        <v>0</v>
      </c>
      <c r="D18" s="33">
        <f t="shared" si="8"/>
        <v>0</v>
      </c>
      <c r="E18" s="1">
        <f t="shared" si="29"/>
        <v>4035.2260000000001</v>
      </c>
      <c r="F18" s="49">
        <f t="shared" si="9"/>
        <v>0</v>
      </c>
      <c r="G18" s="33">
        <f t="shared" si="10"/>
        <v>0</v>
      </c>
      <c r="H18" s="1">
        <f t="shared" si="30"/>
        <v>4337</v>
      </c>
      <c r="I18" s="49">
        <f t="shared" si="11"/>
        <v>0</v>
      </c>
      <c r="J18" s="33">
        <f t="shared" si="12"/>
        <v>0</v>
      </c>
      <c r="K18" s="7">
        <f t="shared" si="31"/>
        <v>13820.96</v>
      </c>
      <c r="L18" s="49">
        <f t="shared" si="13"/>
        <v>0</v>
      </c>
      <c r="M18" s="33">
        <f t="shared" si="14"/>
        <v>0</v>
      </c>
      <c r="N18" s="7">
        <f t="shared" si="32"/>
        <v>3306.2310000000002</v>
      </c>
      <c r="O18" s="49">
        <f t="shared" si="15"/>
        <v>0</v>
      </c>
      <c r="P18" s="33">
        <f t="shared" si="16"/>
        <v>0</v>
      </c>
      <c r="Q18" s="7">
        <f t="shared" si="33"/>
        <v>5249.1</v>
      </c>
      <c r="R18" s="49">
        <f t="shared" si="17"/>
        <v>0</v>
      </c>
      <c r="S18" s="33">
        <f t="shared" si="18"/>
        <v>0</v>
      </c>
      <c r="T18" s="8">
        <f t="shared" si="25"/>
        <v>0</v>
      </c>
      <c r="U18" s="35">
        <f t="shared" si="21"/>
        <v>0</v>
      </c>
      <c r="W18" s="165">
        <v>44516</v>
      </c>
      <c r="X18" s="166">
        <f t="shared" si="34"/>
        <v>156511</v>
      </c>
      <c r="Y18" s="35">
        <f t="shared" si="23"/>
        <v>0</v>
      </c>
      <c r="Z18" s="166">
        <f t="shared" si="35"/>
        <v>7825</v>
      </c>
      <c r="AA18" s="35">
        <f t="shared" si="24"/>
        <v>0</v>
      </c>
      <c r="AB18" s="166">
        <f t="shared" si="36"/>
        <v>13.46</v>
      </c>
      <c r="AC18" s="35">
        <f t="shared" si="26"/>
        <v>0</v>
      </c>
      <c r="AD18" s="166">
        <f t="shared" si="27"/>
        <v>2</v>
      </c>
      <c r="AE18" s="171">
        <v>0</v>
      </c>
    </row>
    <row r="19" spans="1:31" ht="16.5" thickBot="1" x14ac:dyDescent="0.25">
      <c r="A19" s="10">
        <v>44517</v>
      </c>
      <c r="B19" s="168">
        <f t="shared" si="28"/>
        <v>22624.245999999999</v>
      </c>
      <c r="C19" s="49">
        <f t="shared" si="20"/>
        <v>0</v>
      </c>
      <c r="D19" s="33">
        <f t="shared" si="8"/>
        <v>0</v>
      </c>
      <c r="E19" s="1">
        <f t="shared" si="29"/>
        <v>4035.2260000000001</v>
      </c>
      <c r="F19" s="49">
        <f t="shared" si="9"/>
        <v>0</v>
      </c>
      <c r="G19" s="33">
        <f t="shared" si="10"/>
        <v>0</v>
      </c>
      <c r="H19" s="1">
        <f t="shared" si="30"/>
        <v>4337</v>
      </c>
      <c r="I19" s="49">
        <f t="shared" si="11"/>
        <v>0</v>
      </c>
      <c r="J19" s="33">
        <f t="shared" si="12"/>
        <v>0</v>
      </c>
      <c r="K19" s="7">
        <f t="shared" si="31"/>
        <v>13820.96</v>
      </c>
      <c r="L19" s="49">
        <f t="shared" si="13"/>
        <v>0</v>
      </c>
      <c r="M19" s="33">
        <f t="shared" si="14"/>
        <v>0</v>
      </c>
      <c r="N19" s="7">
        <f t="shared" si="32"/>
        <v>3306.2310000000002</v>
      </c>
      <c r="O19" s="49">
        <f t="shared" si="15"/>
        <v>0</v>
      </c>
      <c r="P19" s="33">
        <f t="shared" si="16"/>
        <v>0</v>
      </c>
      <c r="Q19" s="7">
        <f t="shared" si="33"/>
        <v>5249.1</v>
      </c>
      <c r="R19" s="49">
        <f t="shared" si="17"/>
        <v>0</v>
      </c>
      <c r="S19" s="33">
        <f t="shared" si="18"/>
        <v>0</v>
      </c>
      <c r="T19" s="8">
        <f t="shared" si="25"/>
        <v>0</v>
      </c>
      <c r="U19" s="35">
        <f t="shared" si="21"/>
        <v>0</v>
      </c>
      <c r="W19" s="165">
        <v>44517</v>
      </c>
      <c r="X19" s="166">
        <f t="shared" si="34"/>
        <v>156511</v>
      </c>
      <c r="Y19" s="35">
        <f t="shared" si="23"/>
        <v>0</v>
      </c>
      <c r="Z19" s="166">
        <f t="shared" si="35"/>
        <v>7825</v>
      </c>
      <c r="AA19" s="35">
        <f t="shared" si="24"/>
        <v>0</v>
      </c>
      <c r="AB19" s="166">
        <f t="shared" si="36"/>
        <v>13.46</v>
      </c>
      <c r="AC19" s="35">
        <f t="shared" si="26"/>
        <v>0</v>
      </c>
      <c r="AD19" s="166">
        <f t="shared" si="27"/>
        <v>2</v>
      </c>
      <c r="AE19" s="171">
        <v>0</v>
      </c>
    </row>
    <row r="20" spans="1:31" ht="16.5" thickBot="1" x14ac:dyDescent="0.25">
      <c r="A20" s="10">
        <v>44518</v>
      </c>
      <c r="B20" s="168">
        <f t="shared" si="28"/>
        <v>22624.245999999999</v>
      </c>
      <c r="C20" s="49">
        <f t="shared" si="20"/>
        <v>0</v>
      </c>
      <c r="D20" s="33">
        <f t="shared" si="8"/>
        <v>0</v>
      </c>
      <c r="E20" s="1">
        <f t="shared" si="29"/>
        <v>4035.2260000000001</v>
      </c>
      <c r="F20" s="49">
        <f t="shared" si="9"/>
        <v>0</v>
      </c>
      <c r="G20" s="33">
        <f t="shared" si="10"/>
        <v>0</v>
      </c>
      <c r="H20" s="1">
        <f t="shared" si="30"/>
        <v>4337</v>
      </c>
      <c r="I20" s="49">
        <f t="shared" si="11"/>
        <v>0</v>
      </c>
      <c r="J20" s="33">
        <f t="shared" si="12"/>
        <v>0</v>
      </c>
      <c r="K20" s="7">
        <f t="shared" si="31"/>
        <v>13820.96</v>
      </c>
      <c r="L20" s="49">
        <f t="shared" si="13"/>
        <v>0</v>
      </c>
      <c r="M20" s="33">
        <f t="shared" si="14"/>
        <v>0</v>
      </c>
      <c r="N20" s="7">
        <f t="shared" si="32"/>
        <v>3306.2310000000002</v>
      </c>
      <c r="O20" s="49">
        <f t="shared" si="15"/>
        <v>0</v>
      </c>
      <c r="P20" s="33">
        <f t="shared" si="16"/>
        <v>0</v>
      </c>
      <c r="Q20" s="7">
        <f t="shared" si="33"/>
        <v>5249.1</v>
      </c>
      <c r="R20" s="49">
        <f t="shared" si="17"/>
        <v>0</v>
      </c>
      <c r="S20" s="33">
        <f t="shared" si="18"/>
        <v>0</v>
      </c>
      <c r="T20" s="8">
        <f t="shared" si="25"/>
        <v>0</v>
      </c>
      <c r="U20" s="35">
        <f t="shared" si="21"/>
        <v>0</v>
      </c>
      <c r="W20" s="165">
        <v>44518</v>
      </c>
      <c r="X20" s="166">
        <f t="shared" si="34"/>
        <v>156511</v>
      </c>
      <c r="Y20" s="35">
        <f t="shared" si="23"/>
        <v>0</v>
      </c>
      <c r="Z20" s="166">
        <f t="shared" si="35"/>
        <v>7825</v>
      </c>
      <c r="AA20" s="35">
        <f t="shared" si="24"/>
        <v>0</v>
      </c>
      <c r="AB20" s="166">
        <f t="shared" si="36"/>
        <v>13.46</v>
      </c>
      <c r="AC20" s="35">
        <f t="shared" si="26"/>
        <v>0</v>
      </c>
      <c r="AD20" s="166">
        <f t="shared" si="27"/>
        <v>2</v>
      </c>
      <c r="AE20" s="171">
        <v>0</v>
      </c>
    </row>
    <row r="21" spans="1:31" ht="16.5" thickBot="1" x14ac:dyDescent="0.25">
      <c r="A21" s="10">
        <v>44519</v>
      </c>
      <c r="B21" s="168">
        <f t="shared" si="28"/>
        <v>22624.245999999999</v>
      </c>
      <c r="C21" s="49">
        <f t="shared" si="20"/>
        <v>0</v>
      </c>
      <c r="D21" s="33">
        <f t="shared" si="8"/>
        <v>0</v>
      </c>
      <c r="E21" s="1">
        <f t="shared" si="29"/>
        <v>4035.2260000000001</v>
      </c>
      <c r="F21" s="49">
        <f t="shared" si="9"/>
        <v>0</v>
      </c>
      <c r="G21" s="33">
        <f t="shared" si="10"/>
        <v>0</v>
      </c>
      <c r="H21" s="1">
        <f t="shared" si="30"/>
        <v>4337</v>
      </c>
      <c r="I21" s="49">
        <f t="shared" si="11"/>
        <v>0</v>
      </c>
      <c r="J21" s="33">
        <f t="shared" si="12"/>
        <v>0</v>
      </c>
      <c r="K21" s="7">
        <f t="shared" si="31"/>
        <v>13820.96</v>
      </c>
      <c r="L21" s="49">
        <f t="shared" si="13"/>
        <v>0</v>
      </c>
      <c r="M21" s="33">
        <f t="shared" si="14"/>
        <v>0</v>
      </c>
      <c r="N21" s="7">
        <f t="shared" si="32"/>
        <v>3306.2310000000002</v>
      </c>
      <c r="O21" s="49">
        <f t="shared" si="15"/>
        <v>0</v>
      </c>
      <c r="P21" s="33">
        <f t="shared" si="16"/>
        <v>0</v>
      </c>
      <c r="Q21" s="7">
        <f t="shared" si="33"/>
        <v>5249.1</v>
      </c>
      <c r="R21" s="49">
        <f t="shared" si="17"/>
        <v>0</v>
      </c>
      <c r="S21" s="33">
        <f t="shared" si="18"/>
        <v>0</v>
      </c>
      <c r="T21" s="8">
        <f t="shared" si="25"/>
        <v>0</v>
      </c>
      <c r="U21" s="35">
        <f t="shared" si="21"/>
        <v>0</v>
      </c>
      <c r="W21" s="165">
        <v>44519</v>
      </c>
      <c r="X21" s="166">
        <f t="shared" si="34"/>
        <v>156511</v>
      </c>
      <c r="Y21" s="35">
        <f t="shared" si="23"/>
        <v>0</v>
      </c>
      <c r="Z21" s="166">
        <f t="shared" si="35"/>
        <v>7825</v>
      </c>
      <c r="AA21" s="35">
        <f t="shared" si="24"/>
        <v>0</v>
      </c>
      <c r="AB21" s="166">
        <f t="shared" si="36"/>
        <v>13.46</v>
      </c>
      <c r="AC21" s="35">
        <f t="shared" si="26"/>
        <v>0</v>
      </c>
      <c r="AD21" s="166">
        <f t="shared" si="27"/>
        <v>2</v>
      </c>
      <c r="AE21" s="171">
        <v>0</v>
      </c>
    </row>
    <row r="22" spans="1:31" ht="16.5" thickBot="1" x14ac:dyDescent="0.25">
      <c r="A22" s="10">
        <v>44520</v>
      </c>
      <c r="B22" s="168">
        <f t="shared" si="28"/>
        <v>22624.245999999999</v>
      </c>
      <c r="C22" s="49">
        <f t="shared" si="20"/>
        <v>0</v>
      </c>
      <c r="D22" s="33">
        <f t="shared" si="8"/>
        <v>0</v>
      </c>
      <c r="E22" s="1">
        <f t="shared" si="29"/>
        <v>4035.2260000000001</v>
      </c>
      <c r="F22" s="49">
        <f t="shared" si="9"/>
        <v>0</v>
      </c>
      <c r="G22" s="33">
        <f t="shared" si="10"/>
        <v>0</v>
      </c>
      <c r="H22" s="1">
        <f t="shared" si="30"/>
        <v>4337</v>
      </c>
      <c r="I22" s="49">
        <f t="shared" si="11"/>
        <v>0</v>
      </c>
      <c r="J22" s="33">
        <f t="shared" si="12"/>
        <v>0</v>
      </c>
      <c r="K22" s="7">
        <f t="shared" si="31"/>
        <v>13820.96</v>
      </c>
      <c r="L22" s="49">
        <f t="shared" si="13"/>
        <v>0</v>
      </c>
      <c r="M22" s="33">
        <f t="shared" si="14"/>
        <v>0</v>
      </c>
      <c r="N22" s="7">
        <f t="shared" si="32"/>
        <v>3306.2310000000002</v>
      </c>
      <c r="O22" s="49">
        <f t="shared" si="15"/>
        <v>0</v>
      </c>
      <c r="P22" s="33">
        <f t="shared" si="16"/>
        <v>0</v>
      </c>
      <c r="Q22" s="7">
        <f t="shared" si="33"/>
        <v>5249.1</v>
      </c>
      <c r="R22" s="49">
        <f t="shared" si="17"/>
        <v>0</v>
      </c>
      <c r="S22" s="33">
        <f t="shared" si="18"/>
        <v>0</v>
      </c>
      <c r="T22" s="8">
        <f t="shared" si="25"/>
        <v>0</v>
      </c>
      <c r="U22" s="35">
        <f t="shared" si="21"/>
        <v>0</v>
      </c>
      <c r="W22" s="165">
        <v>44520</v>
      </c>
      <c r="X22" s="166">
        <f t="shared" si="34"/>
        <v>156511</v>
      </c>
      <c r="Y22" s="35">
        <f t="shared" si="23"/>
        <v>0</v>
      </c>
      <c r="Z22" s="166">
        <f t="shared" si="35"/>
        <v>7825</v>
      </c>
      <c r="AA22" s="35">
        <f t="shared" si="24"/>
        <v>0</v>
      </c>
      <c r="AB22" s="166">
        <f t="shared" si="36"/>
        <v>13.46</v>
      </c>
      <c r="AC22" s="35">
        <f t="shared" si="26"/>
        <v>0</v>
      </c>
      <c r="AD22" s="166">
        <f t="shared" si="27"/>
        <v>2</v>
      </c>
      <c r="AE22" s="171">
        <v>0</v>
      </c>
    </row>
    <row r="23" spans="1:31" ht="16.5" thickBot="1" x14ac:dyDescent="0.25">
      <c r="A23" s="10">
        <v>44521</v>
      </c>
      <c r="B23" s="168">
        <f t="shared" si="28"/>
        <v>22624.245999999999</v>
      </c>
      <c r="C23" s="49">
        <f t="shared" si="20"/>
        <v>0</v>
      </c>
      <c r="D23" s="33">
        <f t="shared" si="8"/>
        <v>0</v>
      </c>
      <c r="E23" s="1">
        <f t="shared" si="29"/>
        <v>4035.2260000000001</v>
      </c>
      <c r="F23" s="49">
        <f t="shared" si="9"/>
        <v>0</v>
      </c>
      <c r="G23" s="33">
        <f t="shared" si="10"/>
        <v>0</v>
      </c>
      <c r="H23" s="1">
        <f t="shared" si="30"/>
        <v>4337</v>
      </c>
      <c r="I23" s="49">
        <f t="shared" si="11"/>
        <v>0</v>
      </c>
      <c r="J23" s="33">
        <f t="shared" si="12"/>
        <v>0</v>
      </c>
      <c r="K23" s="7">
        <f t="shared" si="31"/>
        <v>13820.96</v>
      </c>
      <c r="L23" s="49">
        <f t="shared" si="13"/>
        <v>0</v>
      </c>
      <c r="M23" s="33">
        <f t="shared" si="14"/>
        <v>0</v>
      </c>
      <c r="N23" s="7">
        <f t="shared" si="32"/>
        <v>3306.2310000000002</v>
      </c>
      <c r="O23" s="49">
        <f t="shared" si="15"/>
        <v>0</v>
      </c>
      <c r="P23" s="33">
        <f t="shared" si="16"/>
        <v>0</v>
      </c>
      <c r="Q23" s="7">
        <f t="shared" si="33"/>
        <v>5249.1</v>
      </c>
      <c r="R23" s="49">
        <f t="shared" si="17"/>
        <v>0</v>
      </c>
      <c r="S23" s="33">
        <f t="shared" si="18"/>
        <v>0</v>
      </c>
      <c r="T23" s="8">
        <f t="shared" si="25"/>
        <v>0</v>
      </c>
      <c r="U23" s="35">
        <f t="shared" si="21"/>
        <v>0</v>
      </c>
      <c r="W23" s="165">
        <v>44521</v>
      </c>
      <c r="X23" s="166">
        <f t="shared" si="34"/>
        <v>156511</v>
      </c>
      <c r="Y23" s="35">
        <f t="shared" si="23"/>
        <v>0</v>
      </c>
      <c r="Z23" s="166">
        <f t="shared" si="35"/>
        <v>7825</v>
      </c>
      <c r="AA23" s="35">
        <f t="shared" si="24"/>
        <v>0</v>
      </c>
      <c r="AB23" s="166">
        <f t="shared" si="36"/>
        <v>13.46</v>
      </c>
      <c r="AC23" s="35">
        <f t="shared" si="26"/>
        <v>0</v>
      </c>
      <c r="AD23" s="166">
        <f t="shared" si="27"/>
        <v>2</v>
      </c>
      <c r="AE23" s="171">
        <v>0</v>
      </c>
    </row>
    <row r="24" spans="1:31" ht="16.5" thickBot="1" x14ac:dyDescent="0.25">
      <c r="A24" s="10">
        <v>44522</v>
      </c>
      <c r="B24" s="168">
        <f t="shared" si="28"/>
        <v>22624.245999999999</v>
      </c>
      <c r="C24" s="49">
        <f t="shared" si="20"/>
        <v>0</v>
      </c>
      <c r="D24" s="33">
        <f t="shared" si="8"/>
        <v>0</v>
      </c>
      <c r="E24" s="1">
        <f t="shared" si="29"/>
        <v>4035.2260000000001</v>
      </c>
      <c r="F24" s="49">
        <f t="shared" si="9"/>
        <v>0</v>
      </c>
      <c r="G24" s="33">
        <f t="shared" si="10"/>
        <v>0</v>
      </c>
      <c r="H24" s="1">
        <f t="shared" si="30"/>
        <v>4337</v>
      </c>
      <c r="I24" s="49">
        <f t="shared" si="11"/>
        <v>0</v>
      </c>
      <c r="J24" s="33">
        <f t="shared" si="12"/>
        <v>0</v>
      </c>
      <c r="K24" s="7">
        <f t="shared" si="31"/>
        <v>13820.96</v>
      </c>
      <c r="L24" s="49">
        <f t="shared" si="13"/>
        <v>0</v>
      </c>
      <c r="M24" s="33">
        <f t="shared" si="14"/>
        <v>0</v>
      </c>
      <c r="N24" s="7">
        <f t="shared" si="32"/>
        <v>3306.2310000000002</v>
      </c>
      <c r="O24" s="49">
        <f t="shared" si="15"/>
        <v>0</v>
      </c>
      <c r="P24" s="33">
        <f t="shared" si="16"/>
        <v>0</v>
      </c>
      <c r="Q24" s="7">
        <f t="shared" si="33"/>
        <v>5249.1</v>
      </c>
      <c r="R24" s="49">
        <f t="shared" si="17"/>
        <v>0</v>
      </c>
      <c r="S24" s="33">
        <f t="shared" si="18"/>
        <v>0</v>
      </c>
      <c r="T24" s="8">
        <f t="shared" si="25"/>
        <v>0</v>
      </c>
      <c r="U24" s="35">
        <f t="shared" si="21"/>
        <v>0</v>
      </c>
      <c r="W24" s="165">
        <v>44522</v>
      </c>
      <c r="X24" s="166">
        <f t="shared" si="34"/>
        <v>156511</v>
      </c>
      <c r="Y24" s="35">
        <f t="shared" si="23"/>
        <v>0</v>
      </c>
      <c r="Z24" s="166">
        <f t="shared" si="35"/>
        <v>7825</v>
      </c>
      <c r="AA24" s="35">
        <f t="shared" si="24"/>
        <v>0</v>
      </c>
      <c r="AB24" s="166">
        <f t="shared" si="36"/>
        <v>13.46</v>
      </c>
      <c r="AC24" s="35">
        <f t="shared" si="26"/>
        <v>0</v>
      </c>
      <c r="AD24" s="166">
        <f t="shared" si="27"/>
        <v>2</v>
      </c>
      <c r="AE24" s="171">
        <v>0</v>
      </c>
    </row>
    <row r="25" spans="1:31" ht="16.5" thickBot="1" x14ac:dyDescent="0.25">
      <c r="A25" s="10">
        <v>44523</v>
      </c>
      <c r="B25" s="168">
        <f t="shared" si="28"/>
        <v>22624.245999999999</v>
      </c>
      <c r="C25" s="49">
        <f t="shared" si="20"/>
        <v>0</v>
      </c>
      <c r="D25" s="33">
        <f t="shared" si="8"/>
        <v>0</v>
      </c>
      <c r="E25" s="1">
        <f t="shared" si="29"/>
        <v>4035.2260000000001</v>
      </c>
      <c r="F25" s="49">
        <f t="shared" si="9"/>
        <v>0</v>
      </c>
      <c r="G25" s="33">
        <f t="shared" si="10"/>
        <v>0</v>
      </c>
      <c r="H25" s="1">
        <f t="shared" si="30"/>
        <v>4337</v>
      </c>
      <c r="I25" s="49">
        <f t="shared" si="11"/>
        <v>0</v>
      </c>
      <c r="J25" s="33">
        <f t="shared" si="12"/>
        <v>0</v>
      </c>
      <c r="K25" s="7">
        <f t="shared" si="31"/>
        <v>13820.96</v>
      </c>
      <c r="L25" s="49">
        <f t="shared" si="13"/>
        <v>0</v>
      </c>
      <c r="M25" s="33">
        <f t="shared" si="14"/>
        <v>0</v>
      </c>
      <c r="N25" s="7">
        <f t="shared" si="32"/>
        <v>3306.2310000000002</v>
      </c>
      <c r="O25" s="49">
        <f t="shared" si="15"/>
        <v>0</v>
      </c>
      <c r="P25" s="33">
        <f t="shared" si="16"/>
        <v>0</v>
      </c>
      <c r="Q25" s="7">
        <f t="shared" si="33"/>
        <v>5249.1</v>
      </c>
      <c r="R25" s="49">
        <f t="shared" si="17"/>
        <v>0</v>
      </c>
      <c r="S25" s="33">
        <f t="shared" si="18"/>
        <v>0</v>
      </c>
      <c r="T25" s="8">
        <f t="shared" si="25"/>
        <v>0</v>
      </c>
      <c r="U25" s="35">
        <f t="shared" si="21"/>
        <v>0</v>
      </c>
      <c r="W25" s="165">
        <v>44523</v>
      </c>
      <c r="X25" s="166">
        <f t="shared" si="34"/>
        <v>156511</v>
      </c>
      <c r="Y25" s="35">
        <f t="shared" si="23"/>
        <v>0</v>
      </c>
      <c r="Z25" s="166">
        <f t="shared" si="35"/>
        <v>7825</v>
      </c>
      <c r="AA25" s="35">
        <f t="shared" si="24"/>
        <v>0</v>
      </c>
      <c r="AB25" s="166">
        <f t="shared" si="36"/>
        <v>13.46</v>
      </c>
      <c r="AC25" s="35">
        <f t="shared" si="26"/>
        <v>0</v>
      </c>
      <c r="AD25" s="166">
        <f t="shared" si="27"/>
        <v>2</v>
      </c>
      <c r="AE25" s="171">
        <v>0</v>
      </c>
    </row>
    <row r="26" spans="1:31" ht="16.5" thickBot="1" x14ac:dyDescent="0.25">
      <c r="A26" s="10">
        <v>44524</v>
      </c>
      <c r="B26" s="168">
        <f t="shared" si="28"/>
        <v>22624.245999999999</v>
      </c>
      <c r="C26" s="49">
        <f t="shared" si="20"/>
        <v>0</v>
      </c>
      <c r="D26" s="33">
        <f t="shared" si="8"/>
        <v>0</v>
      </c>
      <c r="E26" s="1">
        <f t="shared" si="29"/>
        <v>4035.2260000000001</v>
      </c>
      <c r="F26" s="49">
        <f t="shared" si="9"/>
        <v>0</v>
      </c>
      <c r="G26" s="33">
        <f t="shared" si="10"/>
        <v>0</v>
      </c>
      <c r="H26" s="1">
        <f t="shared" si="30"/>
        <v>4337</v>
      </c>
      <c r="I26" s="49">
        <f t="shared" si="11"/>
        <v>0</v>
      </c>
      <c r="J26" s="33">
        <f t="shared" si="12"/>
        <v>0</v>
      </c>
      <c r="K26" s="7">
        <f t="shared" si="31"/>
        <v>13820.96</v>
      </c>
      <c r="L26" s="49">
        <f t="shared" si="13"/>
        <v>0</v>
      </c>
      <c r="M26" s="33">
        <f t="shared" si="14"/>
        <v>0</v>
      </c>
      <c r="N26" s="7">
        <f t="shared" si="32"/>
        <v>3306.2310000000002</v>
      </c>
      <c r="O26" s="49">
        <f t="shared" si="15"/>
        <v>0</v>
      </c>
      <c r="P26" s="33">
        <f t="shared" si="16"/>
        <v>0</v>
      </c>
      <c r="Q26" s="7">
        <f t="shared" si="33"/>
        <v>5249.1</v>
      </c>
      <c r="R26" s="49">
        <f t="shared" si="17"/>
        <v>0</v>
      </c>
      <c r="S26" s="33">
        <f t="shared" si="18"/>
        <v>0</v>
      </c>
      <c r="T26" s="8">
        <f t="shared" si="25"/>
        <v>0</v>
      </c>
      <c r="U26" s="35">
        <f t="shared" si="21"/>
        <v>0</v>
      </c>
      <c r="V26" t="s">
        <v>12</v>
      </c>
      <c r="W26" s="165">
        <v>44524</v>
      </c>
      <c r="X26" s="166">
        <f t="shared" si="34"/>
        <v>156511</v>
      </c>
      <c r="Y26" s="35">
        <f t="shared" si="23"/>
        <v>0</v>
      </c>
      <c r="Z26" s="166">
        <f t="shared" si="35"/>
        <v>7825</v>
      </c>
      <c r="AA26" s="35">
        <f t="shared" si="24"/>
        <v>0</v>
      </c>
      <c r="AB26" s="166">
        <f t="shared" si="36"/>
        <v>13.46</v>
      </c>
      <c r="AC26" s="35">
        <f t="shared" si="26"/>
        <v>0</v>
      </c>
      <c r="AD26" s="166">
        <f t="shared" si="27"/>
        <v>2</v>
      </c>
      <c r="AE26" s="171">
        <v>0</v>
      </c>
    </row>
    <row r="27" spans="1:31" ht="16.5" thickBot="1" x14ac:dyDescent="0.25">
      <c r="A27" s="10">
        <v>44525</v>
      </c>
      <c r="B27" s="168">
        <f t="shared" si="28"/>
        <v>22624.245999999999</v>
      </c>
      <c r="C27" s="49">
        <f t="shared" si="20"/>
        <v>0</v>
      </c>
      <c r="D27" s="33">
        <f t="shared" si="8"/>
        <v>0</v>
      </c>
      <c r="E27" s="1">
        <f t="shared" si="29"/>
        <v>4035.2260000000001</v>
      </c>
      <c r="F27" s="49">
        <f t="shared" si="9"/>
        <v>0</v>
      </c>
      <c r="G27" s="33">
        <f t="shared" si="10"/>
        <v>0</v>
      </c>
      <c r="H27" s="1">
        <f t="shared" si="30"/>
        <v>4337</v>
      </c>
      <c r="I27" s="49">
        <f t="shared" si="11"/>
        <v>0</v>
      </c>
      <c r="J27" s="33">
        <f t="shared" si="12"/>
        <v>0</v>
      </c>
      <c r="K27" s="7">
        <f t="shared" si="31"/>
        <v>13820.96</v>
      </c>
      <c r="L27" s="49">
        <f t="shared" si="13"/>
        <v>0</v>
      </c>
      <c r="M27" s="33">
        <f t="shared" si="14"/>
        <v>0</v>
      </c>
      <c r="N27" s="7">
        <f t="shared" si="32"/>
        <v>3306.2310000000002</v>
      </c>
      <c r="O27" s="49">
        <f t="shared" si="15"/>
        <v>0</v>
      </c>
      <c r="P27" s="33">
        <f t="shared" si="16"/>
        <v>0</v>
      </c>
      <c r="Q27" s="7">
        <f t="shared" si="33"/>
        <v>5249.1</v>
      </c>
      <c r="R27" s="49">
        <f t="shared" si="17"/>
        <v>0</v>
      </c>
      <c r="S27" s="33">
        <f t="shared" si="18"/>
        <v>0</v>
      </c>
      <c r="T27" s="8">
        <f t="shared" si="25"/>
        <v>0</v>
      </c>
      <c r="U27" s="35">
        <f t="shared" si="21"/>
        <v>0</v>
      </c>
      <c r="V27" t="s">
        <v>12</v>
      </c>
      <c r="W27" s="165">
        <v>44525</v>
      </c>
      <c r="X27" s="166">
        <f t="shared" si="34"/>
        <v>156511</v>
      </c>
      <c r="Y27" s="35">
        <f t="shared" si="23"/>
        <v>0</v>
      </c>
      <c r="Z27" s="166">
        <f t="shared" si="35"/>
        <v>7825</v>
      </c>
      <c r="AA27" s="35">
        <f t="shared" si="24"/>
        <v>0</v>
      </c>
      <c r="AB27" s="166">
        <f t="shared" si="36"/>
        <v>13.46</v>
      </c>
      <c r="AC27" s="35">
        <f t="shared" si="26"/>
        <v>0</v>
      </c>
      <c r="AD27" s="166">
        <f t="shared" si="27"/>
        <v>2</v>
      </c>
      <c r="AE27" s="171">
        <v>0</v>
      </c>
    </row>
    <row r="28" spans="1:31" ht="16.5" thickBot="1" x14ac:dyDescent="0.25">
      <c r="A28" s="10">
        <v>44526</v>
      </c>
      <c r="B28" s="168">
        <f t="shared" si="28"/>
        <v>22624.245999999999</v>
      </c>
      <c r="C28" s="49">
        <f t="shared" si="20"/>
        <v>0</v>
      </c>
      <c r="D28" s="33">
        <f t="shared" si="8"/>
        <v>0</v>
      </c>
      <c r="E28" s="1">
        <f t="shared" si="29"/>
        <v>4035.2260000000001</v>
      </c>
      <c r="F28" s="49">
        <f t="shared" si="9"/>
        <v>0</v>
      </c>
      <c r="G28" s="33">
        <f t="shared" si="10"/>
        <v>0</v>
      </c>
      <c r="H28" s="1">
        <f t="shared" si="30"/>
        <v>4337</v>
      </c>
      <c r="I28" s="49">
        <f t="shared" si="11"/>
        <v>0</v>
      </c>
      <c r="J28" s="33">
        <f t="shared" si="12"/>
        <v>0</v>
      </c>
      <c r="K28" s="7">
        <f t="shared" si="31"/>
        <v>13820.96</v>
      </c>
      <c r="L28" s="49">
        <f t="shared" si="13"/>
        <v>0</v>
      </c>
      <c r="M28" s="33">
        <f t="shared" si="14"/>
        <v>0</v>
      </c>
      <c r="N28" s="7">
        <f t="shared" si="32"/>
        <v>3306.2310000000002</v>
      </c>
      <c r="O28" s="49">
        <f t="shared" si="15"/>
        <v>0</v>
      </c>
      <c r="P28" s="33">
        <f t="shared" si="16"/>
        <v>0</v>
      </c>
      <c r="Q28" s="7">
        <f t="shared" si="33"/>
        <v>5249.1</v>
      </c>
      <c r="R28" s="49">
        <f t="shared" si="17"/>
        <v>0</v>
      </c>
      <c r="S28" s="33">
        <f t="shared" si="18"/>
        <v>0</v>
      </c>
      <c r="T28" s="8">
        <f t="shared" si="25"/>
        <v>0</v>
      </c>
      <c r="U28" s="35">
        <f t="shared" si="21"/>
        <v>0</v>
      </c>
      <c r="W28" s="165">
        <v>44526</v>
      </c>
      <c r="X28" s="166">
        <f t="shared" si="34"/>
        <v>156511</v>
      </c>
      <c r="Y28" s="35">
        <f t="shared" si="23"/>
        <v>0</v>
      </c>
      <c r="Z28" s="166">
        <f t="shared" si="35"/>
        <v>7825</v>
      </c>
      <c r="AA28" s="35">
        <f t="shared" si="24"/>
        <v>0</v>
      </c>
      <c r="AB28" s="166">
        <f t="shared" si="36"/>
        <v>13.46</v>
      </c>
      <c r="AC28" s="35">
        <f t="shared" si="26"/>
        <v>0</v>
      </c>
      <c r="AD28" s="166">
        <f t="shared" si="27"/>
        <v>2</v>
      </c>
      <c r="AE28" s="171">
        <v>0</v>
      </c>
    </row>
    <row r="29" spans="1:31" ht="16.5" thickBot="1" x14ac:dyDescent="0.25">
      <c r="A29" s="10">
        <v>44527</v>
      </c>
      <c r="B29" s="168">
        <f t="shared" si="28"/>
        <v>22624.245999999999</v>
      </c>
      <c r="C29" s="49">
        <f t="shared" si="20"/>
        <v>0</v>
      </c>
      <c r="D29" s="33">
        <f t="shared" si="8"/>
        <v>0</v>
      </c>
      <c r="E29" s="1">
        <f t="shared" si="29"/>
        <v>4035.2260000000001</v>
      </c>
      <c r="F29" s="49">
        <f t="shared" si="9"/>
        <v>0</v>
      </c>
      <c r="G29" s="33">
        <f t="shared" si="10"/>
        <v>0</v>
      </c>
      <c r="H29" s="1">
        <f t="shared" si="30"/>
        <v>4337</v>
      </c>
      <c r="I29" s="49">
        <f t="shared" si="11"/>
        <v>0</v>
      </c>
      <c r="J29" s="33">
        <f t="shared" si="12"/>
        <v>0</v>
      </c>
      <c r="K29" s="7">
        <f t="shared" si="31"/>
        <v>13820.96</v>
      </c>
      <c r="L29" s="49">
        <f t="shared" si="13"/>
        <v>0</v>
      </c>
      <c r="M29" s="33">
        <f t="shared" si="14"/>
        <v>0</v>
      </c>
      <c r="N29" s="7">
        <f t="shared" si="32"/>
        <v>3306.2310000000002</v>
      </c>
      <c r="O29" s="49">
        <f t="shared" si="15"/>
        <v>0</v>
      </c>
      <c r="P29" s="33">
        <f t="shared" si="16"/>
        <v>0</v>
      </c>
      <c r="Q29" s="7">
        <f t="shared" si="33"/>
        <v>5249.1</v>
      </c>
      <c r="R29" s="49">
        <f t="shared" si="17"/>
        <v>0</v>
      </c>
      <c r="S29" s="33">
        <f t="shared" si="18"/>
        <v>0</v>
      </c>
      <c r="T29" s="8">
        <f t="shared" si="25"/>
        <v>0</v>
      </c>
      <c r="U29" s="35">
        <f t="shared" si="21"/>
        <v>0</v>
      </c>
      <c r="W29" s="165">
        <v>44527</v>
      </c>
      <c r="X29" s="166">
        <f t="shared" si="34"/>
        <v>156511</v>
      </c>
      <c r="Y29" s="35">
        <f t="shared" si="23"/>
        <v>0</v>
      </c>
      <c r="Z29" s="166">
        <f t="shared" si="35"/>
        <v>7825</v>
      </c>
      <c r="AA29" s="35">
        <f t="shared" si="24"/>
        <v>0</v>
      </c>
      <c r="AB29" s="166">
        <f t="shared" si="36"/>
        <v>13.46</v>
      </c>
      <c r="AC29" s="35">
        <f t="shared" si="26"/>
        <v>0</v>
      </c>
      <c r="AD29" s="166">
        <f t="shared" si="27"/>
        <v>2</v>
      </c>
      <c r="AE29" s="171">
        <v>0</v>
      </c>
    </row>
    <row r="30" spans="1:31" ht="16.5" thickBot="1" x14ac:dyDescent="0.25">
      <c r="A30" s="10">
        <v>44528</v>
      </c>
      <c r="B30" s="168">
        <f t="shared" si="28"/>
        <v>22624.245999999999</v>
      </c>
      <c r="C30" s="49">
        <f t="shared" si="20"/>
        <v>0</v>
      </c>
      <c r="D30" s="33">
        <f t="shared" si="8"/>
        <v>0</v>
      </c>
      <c r="E30" s="1">
        <f t="shared" si="29"/>
        <v>4035.2260000000001</v>
      </c>
      <c r="F30" s="49">
        <f t="shared" si="9"/>
        <v>0</v>
      </c>
      <c r="G30" s="33">
        <f t="shared" si="10"/>
        <v>0</v>
      </c>
      <c r="H30" s="1">
        <f t="shared" si="30"/>
        <v>4337</v>
      </c>
      <c r="I30" s="49">
        <f t="shared" si="11"/>
        <v>0</v>
      </c>
      <c r="J30" s="33">
        <f t="shared" si="12"/>
        <v>0</v>
      </c>
      <c r="K30" s="7">
        <f t="shared" si="31"/>
        <v>13820.96</v>
      </c>
      <c r="L30" s="49">
        <f t="shared" si="13"/>
        <v>0</v>
      </c>
      <c r="M30" s="33">
        <f t="shared" si="14"/>
        <v>0</v>
      </c>
      <c r="N30" s="7">
        <f t="shared" si="32"/>
        <v>3306.2310000000002</v>
      </c>
      <c r="O30" s="49">
        <f t="shared" si="15"/>
        <v>0</v>
      </c>
      <c r="P30" s="33">
        <f t="shared" si="16"/>
        <v>0</v>
      </c>
      <c r="Q30" s="7">
        <f t="shared" si="33"/>
        <v>5249.1</v>
      </c>
      <c r="R30" s="49">
        <f t="shared" si="17"/>
        <v>0</v>
      </c>
      <c r="S30" s="33">
        <f t="shared" si="18"/>
        <v>0</v>
      </c>
      <c r="T30" s="8">
        <f t="shared" si="25"/>
        <v>0</v>
      </c>
      <c r="U30" s="35">
        <f t="shared" si="21"/>
        <v>0</v>
      </c>
      <c r="W30" s="165">
        <v>44528</v>
      </c>
      <c r="X30" s="166">
        <f t="shared" si="34"/>
        <v>156511</v>
      </c>
      <c r="Y30" s="35">
        <f t="shared" si="23"/>
        <v>0</v>
      </c>
      <c r="Z30" s="166">
        <f t="shared" si="35"/>
        <v>7825</v>
      </c>
      <c r="AA30" s="35">
        <f>Z30-Z29</f>
        <v>0</v>
      </c>
      <c r="AB30" s="166">
        <f t="shared" si="36"/>
        <v>13.46</v>
      </c>
      <c r="AC30" s="35">
        <f t="shared" si="26"/>
        <v>0</v>
      </c>
      <c r="AD30" s="166">
        <f t="shared" si="27"/>
        <v>2</v>
      </c>
      <c r="AE30" s="171">
        <v>0</v>
      </c>
    </row>
    <row r="31" spans="1:31" ht="16.5" thickBot="1" x14ac:dyDescent="0.25">
      <c r="A31" s="10">
        <v>44529</v>
      </c>
      <c r="B31" s="168">
        <f t="shared" si="28"/>
        <v>22624.245999999999</v>
      </c>
      <c r="C31" s="49">
        <f t="shared" si="20"/>
        <v>0</v>
      </c>
      <c r="D31" s="33">
        <f t="shared" si="8"/>
        <v>0</v>
      </c>
      <c r="E31" s="1">
        <f t="shared" si="29"/>
        <v>4035.2260000000001</v>
      </c>
      <c r="F31" s="49">
        <f t="shared" si="9"/>
        <v>0</v>
      </c>
      <c r="G31" s="33">
        <f t="shared" si="10"/>
        <v>0</v>
      </c>
      <c r="H31" s="1">
        <f t="shared" si="30"/>
        <v>4337</v>
      </c>
      <c r="I31" s="49">
        <f t="shared" si="11"/>
        <v>0</v>
      </c>
      <c r="J31" s="33">
        <f t="shared" si="12"/>
        <v>0</v>
      </c>
      <c r="K31" s="7">
        <f t="shared" si="31"/>
        <v>13820.96</v>
      </c>
      <c r="L31" s="49">
        <f t="shared" si="13"/>
        <v>0</v>
      </c>
      <c r="M31" s="33">
        <f t="shared" si="14"/>
        <v>0</v>
      </c>
      <c r="N31" s="7">
        <f t="shared" si="32"/>
        <v>3306.2310000000002</v>
      </c>
      <c r="O31" s="49">
        <f t="shared" si="15"/>
        <v>0</v>
      </c>
      <c r="P31" s="33">
        <f t="shared" si="16"/>
        <v>0</v>
      </c>
      <c r="Q31" s="7">
        <f t="shared" si="33"/>
        <v>5249.1</v>
      </c>
      <c r="R31" s="49">
        <f t="shared" si="17"/>
        <v>0</v>
      </c>
      <c r="S31" s="33">
        <f t="shared" si="18"/>
        <v>0</v>
      </c>
      <c r="T31" s="8">
        <f t="shared" si="25"/>
        <v>0</v>
      </c>
      <c r="U31" s="35">
        <f t="shared" si="21"/>
        <v>0</v>
      </c>
      <c r="W31" s="165">
        <v>44529</v>
      </c>
      <c r="X31" s="166">
        <f t="shared" si="34"/>
        <v>156511</v>
      </c>
      <c r="Y31" s="35">
        <f t="shared" si="23"/>
        <v>0</v>
      </c>
      <c r="Z31" s="166">
        <f t="shared" si="35"/>
        <v>7825</v>
      </c>
      <c r="AA31" s="35">
        <f t="shared" si="24"/>
        <v>0</v>
      </c>
      <c r="AB31" s="166">
        <f t="shared" si="36"/>
        <v>13.46</v>
      </c>
      <c r="AC31" s="35">
        <f t="shared" si="26"/>
        <v>0</v>
      </c>
      <c r="AD31" s="166">
        <f t="shared" si="27"/>
        <v>2</v>
      </c>
      <c r="AE31" s="171">
        <v>0</v>
      </c>
    </row>
    <row r="32" spans="1:31" ht="16.5" thickBot="1" x14ac:dyDescent="0.25">
      <c r="A32" s="10">
        <v>44530</v>
      </c>
      <c r="B32" s="168">
        <f t="shared" si="28"/>
        <v>22624.245999999999</v>
      </c>
      <c r="C32" s="49">
        <f t="shared" si="20"/>
        <v>0</v>
      </c>
      <c r="D32" s="33">
        <f t="shared" si="8"/>
        <v>0</v>
      </c>
      <c r="E32" s="1">
        <f t="shared" si="29"/>
        <v>4035.2260000000001</v>
      </c>
      <c r="F32" s="49">
        <f t="shared" si="9"/>
        <v>0</v>
      </c>
      <c r="G32" s="33">
        <f t="shared" si="10"/>
        <v>0</v>
      </c>
      <c r="H32" s="1">
        <f t="shared" si="30"/>
        <v>4337</v>
      </c>
      <c r="I32" s="49">
        <f t="shared" si="11"/>
        <v>0</v>
      </c>
      <c r="J32" s="33">
        <f t="shared" si="12"/>
        <v>0</v>
      </c>
      <c r="K32" s="7">
        <f t="shared" si="31"/>
        <v>13820.96</v>
      </c>
      <c r="L32" s="49">
        <f t="shared" si="13"/>
        <v>0</v>
      </c>
      <c r="M32" s="33">
        <f t="shared" si="14"/>
        <v>0</v>
      </c>
      <c r="N32" s="7">
        <f t="shared" si="32"/>
        <v>3306.2310000000002</v>
      </c>
      <c r="O32" s="49">
        <f t="shared" si="15"/>
        <v>0</v>
      </c>
      <c r="P32" s="33">
        <f t="shared" si="16"/>
        <v>0</v>
      </c>
      <c r="Q32" s="7">
        <f t="shared" si="33"/>
        <v>5249.1</v>
      </c>
      <c r="R32" s="49">
        <f t="shared" si="17"/>
        <v>0</v>
      </c>
      <c r="S32" s="33">
        <f t="shared" si="18"/>
        <v>0</v>
      </c>
      <c r="T32" s="8">
        <f t="shared" si="25"/>
        <v>0</v>
      </c>
      <c r="U32" s="35">
        <f t="shared" si="21"/>
        <v>0</v>
      </c>
      <c r="W32" s="165">
        <v>44530</v>
      </c>
      <c r="X32" s="166">
        <f t="shared" si="34"/>
        <v>156511</v>
      </c>
      <c r="Y32" s="35">
        <f t="shared" si="23"/>
        <v>0</v>
      </c>
      <c r="Z32" s="166">
        <f t="shared" si="35"/>
        <v>7825</v>
      </c>
      <c r="AA32" s="35">
        <f t="shared" si="24"/>
        <v>0</v>
      </c>
      <c r="AB32" s="166">
        <v>13.35</v>
      </c>
      <c r="AC32" s="35">
        <f t="shared" si="26"/>
        <v>-0.11000000000000121</v>
      </c>
      <c r="AD32" s="166">
        <f t="shared" ref="AD32" si="37">AD31</f>
        <v>2</v>
      </c>
      <c r="AE32" s="171">
        <v>0</v>
      </c>
    </row>
    <row r="33" spans="1:31" s="25" customFormat="1" ht="16.5" thickBot="1" x14ac:dyDescent="0.25">
      <c r="A33" s="6" t="s">
        <v>23</v>
      </c>
      <c r="B33" s="169"/>
      <c r="C33" s="144">
        <f>SUM(C3:C32)</f>
        <v>142.18899999999849</v>
      </c>
      <c r="D33" s="144">
        <f>SUM(D2:D32)</f>
        <v>270159.09999999712</v>
      </c>
      <c r="E33" s="144">
        <v>0</v>
      </c>
      <c r="F33" s="144">
        <f>SUM(F2:F32)</f>
        <v>21.653999999999996</v>
      </c>
      <c r="G33" s="144">
        <f>SUM(G2:G32)</f>
        <v>41142.599999999991</v>
      </c>
      <c r="H33" s="144"/>
      <c r="I33" s="144">
        <f>SUM(I2:I32)</f>
        <v>53</v>
      </c>
      <c r="J33" s="144">
        <f>SUM(J2:J32)</f>
        <v>100700</v>
      </c>
      <c r="K33" s="144"/>
      <c r="L33" s="144">
        <f>SUM(L2:L32)</f>
        <v>18.109999999998763</v>
      </c>
      <c r="M33" s="144">
        <f>SUM(M2:M32)</f>
        <v>34408.99999999765</v>
      </c>
      <c r="N33" s="144"/>
      <c r="O33" s="144">
        <f>SUM(O2:O32)</f>
        <v>15.825000000000273</v>
      </c>
      <c r="P33" s="144">
        <f>SUM(P2:P32)</f>
        <v>30067.50000000052</v>
      </c>
      <c r="Q33" s="144"/>
      <c r="R33" s="144">
        <f>SUM(R2:R32)</f>
        <v>25.200000000000728</v>
      </c>
      <c r="S33" s="144">
        <f>SUM(S2:S32)</f>
        <v>47880.000000001382</v>
      </c>
      <c r="T33" s="144">
        <f>SUM(T2:T32)</f>
        <v>275.97799999999825</v>
      </c>
      <c r="U33" s="144">
        <f>SUM(U2:U32)</f>
        <v>524358.19999999669</v>
      </c>
      <c r="V33"/>
      <c r="W33" s="144" t="s">
        <v>143</v>
      </c>
      <c r="X33" s="144"/>
      <c r="Y33" s="144">
        <f>SUM(Y4:Y32)</f>
        <v>1404</v>
      </c>
      <c r="Z33" s="144"/>
      <c r="AA33" s="144">
        <f>SUM(AA4:AA32)</f>
        <v>86</v>
      </c>
      <c r="AB33" s="144"/>
      <c r="AC33" s="144"/>
      <c r="AD33" s="144"/>
      <c r="AE33" s="144">
        <f>SUM(AE4:AE32)</f>
        <v>1</v>
      </c>
    </row>
  </sheetData>
  <mergeCells count="3">
    <mergeCell ref="W1:AA1"/>
    <mergeCell ref="AB1:AC1"/>
    <mergeCell ref="AD1:AE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7" sqref="G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3" t="s">
        <v>146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1" ht="13.5" thickBot="1" x14ac:dyDescent="0.25">
      <c r="A2" s="100"/>
      <c r="B2" s="101" t="s">
        <v>92</v>
      </c>
      <c r="C2" s="102" t="e">
        <f>K8+K9+K14</f>
        <v>#REF!</v>
      </c>
      <c r="D2" s="102" t="e">
        <f>C2*1.27</f>
        <v>#REF!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28607675</v>
      </c>
      <c r="J3" s="140" t="e">
        <f>ELECT.!#REF!</f>
        <v>#REF!</v>
      </c>
      <c r="K3" s="97" t="e">
        <f>J3-I3</f>
        <v>#REF!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40" t="e">
        <f>ELECT.!#REF!</f>
        <v>#REF!</v>
      </c>
      <c r="K4" s="97" t="e">
        <f>J4-I4</f>
        <v>#REF!</v>
      </c>
    </row>
    <row r="5" spans="1:11" ht="13.5" thickBot="1" x14ac:dyDescent="0.25">
      <c r="A5" s="100"/>
      <c r="B5" s="106" t="s">
        <v>27</v>
      </c>
      <c r="C5" s="110" t="e">
        <f>(K10+K12)*0.842284+K26</f>
        <v>#REF!</v>
      </c>
      <c r="D5" s="110" t="e">
        <f t="shared" ref="D5:D11" si="0">C5*1.27</f>
        <v>#REF!</v>
      </c>
      <c r="E5" s="111"/>
      <c r="F5" s="100"/>
      <c r="G5" s="100"/>
      <c r="H5" s="106" t="s">
        <v>23</v>
      </c>
      <c r="I5" s="112"/>
      <c r="J5" s="112"/>
      <c r="K5" s="132" t="e">
        <f>K3+K4</f>
        <v>#REF!</v>
      </c>
    </row>
    <row r="6" spans="1:11" ht="13.5" thickBot="1" x14ac:dyDescent="0.25">
      <c r="A6" s="100"/>
      <c r="B6" s="106" t="s">
        <v>99</v>
      </c>
      <c r="C6" s="110" t="e">
        <f>(K10+K12+K26)*0.1488</f>
        <v>#REF!</v>
      </c>
      <c r="D6" s="110" t="e">
        <f t="shared" si="0"/>
        <v>#REF!</v>
      </c>
      <c r="E6" s="111"/>
      <c r="F6" s="100"/>
      <c r="G6" s="100"/>
      <c r="H6" s="106" t="s">
        <v>100</v>
      </c>
      <c r="I6" s="145">
        <f>ELECT.!J2</f>
        <v>8949694</v>
      </c>
      <c r="J6" s="141" t="e">
        <f>ELECT.!#REF!</f>
        <v>#REF!</v>
      </c>
      <c r="K6" s="97" t="e">
        <f>J6-I6</f>
        <v>#REF!</v>
      </c>
    </row>
    <row r="7" spans="1:11" ht="13.5" thickBot="1" x14ac:dyDescent="0.25">
      <c r="A7" s="100"/>
      <c r="B7" s="106" t="s">
        <v>101</v>
      </c>
      <c r="C7" s="110" t="e">
        <f>(K6+K7)-(C8+C9+C10+C11+K26)</f>
        <v>#REF!</v>
      </c>
      <c r="D7" s="110" t="e">
        <f t="shared" si="0"/>
        <v>#REF!</v>
      </c>
      <c r="E7" s="111"/>
      <c r="F7" s="100"/>
      <c r="G7" s="100"/>
      <c r="H7" s="106" t="s">
        <v>102</v>
      </c>
      <c r="I7" s="145">
        <f>ELECT.!L2</f>
        <v>8875418</v>
      </c>
      <c r="J7" s="141" t="e">
        <f>ELECT.!#REF!</f>
        <v>#REF!</v>
      </c>
      <c r="K7" s="97" t="e">
        <f>J7-I7</f>
        <v>#REF!</v>
      </c>
    </row>
    <row r="8" spans="1:11" ht="13.5" thickBot="1" x14ac:dyDescent="0.25">
      <c r="A8" s="100"/>
      <c r="B8" s="106" t="s">
        <v>103</v>
      </c>
      <c r="C8" s="110" t="e">
        <f>K21+K22+K23+K24</f>
        <v>#REF!</v>
      </c>
      <c r="D8" s="110" t="e">
        <f t="shared" si="0"/>
        <v>#REF!</v>
      </c>
      <c r="E8" s="111"/>
      <c r="F8" s="100"/>
      <c r="G8" s="100"/>
      <c r="H8" s="106" t="s">
        <v>104</v>
      </c>
      <c r="I8" s="145">
        <f>ELECT.!N2</f>
        <v>6026763</v>
      </c>
      <c r="J8" s="141" t="e">
        <f>ELECT.!#REF!</f>
        <v>#REF!</v>
      </c>
      <c r="K8" s="97" t="e">
        <f>(J8-I8)*2</f>
        <v>#REF!</v>
      </c>
    </row>
    <row r="9" spans="1:11" ht="13.5" thickBot="1" x14ac:dyDescent="0.25">
      <c r="A9" s="100"/>
      <c r="B9" s="106" t="s">
        <v>137</v>
      </c>
      <c r="C9" s="110" t="e">
        <f>K25+K16+K17</f>
        <v>#REF!</v>
      </c>
      <c r="D9" s="110" t="e">
        <f t="shared" si="0"/>
        <v>#REF!</v>
      </c>
      <c r="E9" s="111"/>
      <c r="F9" s="100"/>
      <c r="G9" s="100"/>
      <c r="H9" s="106" t="s">
        <v>105</v>
      </c>
      <c r="I9" s="145">
        <f>ELECT.!P2</f>
        <v>5373608</v>
      </c>
      <c r="J9" s="141" t="e">
        <f>ELECT.!#REF!</f>
        <v>#REF!</v>
      </c>
      <c r="K9" s="97" t="e">
        <f>J9-I9</f>
        <v>#REF!</v>
      </c>
    </row>
    <row r="10" spans="1:11" ht="13.5" thickBot="1" x14ac:dyDescent="0.25">
      <c r="A10" s="100"/>
      <c r="B10" s="106" t="s">
        <v>106</v>
      </c>
      <c r="C10" s="110" t="e">
        <f>K18</f>
        <v>#REF!</v>
      </c>
      <c r="D10" s="110" t="e">
        <f t="shared" si="0"/>
        <v>#REF!</v>
      </c>
      <c r="E10" s="111"/>
      <c r="F10" s="100"/>
      <c r="G10" s="100"/>
      <c r="H10" s="106" t="s">
        <v>107</v>
      </c>
      <c r="I10" s="145">
        <f>ELECT.!R2</f>
        <v>19149295</v>
      </c>
      <c r="J10" s="141" t="e">
        <f>ELECT.!#REF!</f>
        <v>#REF!</v>
      </c>
      <c r="K10" s="97" t="e">
        <f>J10-I10</f>
        <v>#REF!</v>
      </c>
    </row>
    <row r="11" spans="1:11" ht="13.5" thickBot="1" x14ac:dyDescent="0.25">
      <c r="A11" s="100"/>
      <c r="B11" s="106" t="s">
        <v>108</v>
      </c>
      <c r="C11" s="110" t="e">
        <f>K19+K20</f>
        <v>#REF!</v>
      </c>
      <c r="D11" s="110" t="e">
        <f t="shared" si="0"/>
        <v>#REF!</v>
      </c>
      <c r="E11" s="111"/>
      <c r="F11" s="100"/>
      <c r="G11" s="100"/>
      <c r="H11" s="106" t="s">
        <v>109</v>
      </c>
      <c r="I11" s="113">
        <v>0</v>
      </c>
      <c r="J11" s="141">
        <f>ELECT.!J35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6980730</v>
      </c>
      <c r="J12" s="141" t="e">
        <f>ELECT.!#REF!</f>
        <v>#REF!</v>
      </c>
      <c r="K12" s="97" t="e">
        <f>(J12-I12)*2</f>
        <v>#REF!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 t="e">
        <f>SUM(K6:K12)</f>
        <v>#REF!</v>
      </c>
    </row>
    <row r="14" spans="1:11" ht="13.5" thickBot="1" x14ac:dyDescent="0.25">
      <c r="A14" s="100"/>
      <c r="B14" s="106" t="s">
        <v>42</v>
      </c>
      <c r="C14" s="110" t="e">
        <f>K29</f>
        <v>#REF!</v>
      </c>
      <c r="D14" s="118" t="e">
        <f t="shared" ref="D14:D22" si="1">C14*10.03</f>
        <v>#REF!</v>
      </c>
      <c r="E14" s="119"/>
      <c r="F14" s="100"/>
      <c r="G14" s="100"/>
      <c r="H14" s="106" t="s">
        <v>114</v>
      </c>
      <c r="I14" s="115"/>
      <c r="J14" s="116"/>
      <c r="K14" s="98" t="e">
        <f>K5-K13</f>
        <v>#REF!</v>
      </c>
    </row>
    <row r="15" spans="1:11" ht="13.5" thickBot="1" x14ac:dyDescent="0.25">
      <c r="A15" s="100"/>
      <c r="B15" s="106" t="s">
        <v>115</v>
      </c>
      <c r="C15" s="120" t="e">
        <f>K30</f>
        <v>#REF!</v>
      </c>
      <c r="D15" s="118" t="e">
        <f t="shared" si="1"/>
        <v>#REF!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 t="e">
        <f>(C14-C15-C17-C18-C19-C20-C21)*0.1318</f>
        <v>#REF!</v>
      </c>
      <c r="D16" s="118" t="e">
        <f t="shared" si="1"/>
        <v>#REF!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 t="e">
        <f>'Mall, Citadel, Rotana'!#REF!</f>
        <v>#REF!</v>
      </c>
      <c r="K16" s="99" t="e">
        <f>(J16-I16)*160</f>
        <v>#REF!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 t="e">
        <f>'Mall, Citadel, Rotana'!#REF!</f>
        <v>#REF!</v>
      </c>
      <c r="K17" s="99" t="e">
        <f>(J17-I17)*160</f>
        <v>#REF!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 t="e">
        <f>'Mall, Citadel, Rotana'!#REF!</f>
        <v>#REF!</v>
      </c>
      <c r="K18" s="99" t="e">
        <f>(J18-I18)*160</f>
        <v>#REF!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4" t="s">
        <v>116</v>
      </c>
      <c r="F19" s="185"/>
      <c r="G19" s="100"/>
      <c r="H19" s="121" t="s">
        <v>117</v>
      </c>
      <c r="I19" s="122">
        <f>'Mall, Citadel, Rotana'!P2</f>
        <v>129007</v>
      </c>
      <c r="J19" s="122" t="e">
        <f>'Mall, Citadel, Rotana'!#REF!</f>
        <v>#REF!</v>
      </c>
      <c r="K19" s="99" t="e">
        <f>J19-I19</f>
        <v>#REF!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 t="e">
        <f>'Mall, Citadel, Rotana'!#REF!</f>
        <v>#REF!</v>
      </c>
      <c r="K20" s="99" t="e">
        <f>J20-I20</f>
        <v>#REF!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 t="e">
        <f>'Mall, Citadel, Rotana'!#REF!</f>
        <v>#REF!</v>
      </c>
      <c r="K21" s="99" t="e">
        <f>(J21-I21)*120</f>
        <v>#REF!</v>
      </c>
    </row>
    <row r="22" spans="1:11" ht="13.5" thickBot="1" x14ac:dyDescent="0.25">
      <c r="A22" s="100"/>
      <c r="B22" s="106" t="s">
        <v>119</v>
      </c>
      <c r="C22" s="118" t="e">
        <f>C14-(C15+C16+C17+C18+C19+C20+C21)</f>
        <v>#REF!</v>
      </c>
      <c r="D22" s="118" t="e">
        <f t="shared" si="1"/>
        <v>#REF!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 t="e">
        <f>'Mall, Citadel, Rotana'!#REF!</f>
        <v>#REF!</v>
      </c>
      <c r="K22" s="99" t="e">
        <f>(J22-I22)*160</f>
        <v>#REF!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 t="e">
        <f>'Mall, Citadel, Rotana'!#REF!</f>
        <v>#REF!</v>
      </c>
      <c r="K23" s="99" t="e">
        <f>(J23-I23)*20</f>
        <v>#REF!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 t="e">
        <f>'Mall, Citadel, Rotana'!#REF!</f>
        <v>#REF!</v>
      </c>
      <c r="K24" s="99" t="e">
        <f>J24-I24</f>
        <v>#REF!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 t="e">
        <f>'Mall, Citadel, Rotana'!#REF!</f>
        <v>#REF!</v>
      </c>
      <c r="K25" s="99" t="e">
        <f>J25-I25</f>
        <v>#REF!</v>
      </c>
    </row>
    <row r="26" spans="1:11" ht="13.5" thickBot="1" x14ac:dyDescent="0.25">
      <c r="A26" s="100"/>
      <c r="B26" s="106" t="s">
        <v>42</v>
      </c>
      <c r="C26" s="124" t="e">
        <f>K35</f>
        <v>#REF!</v>
      </c>
      <c r="D26" s="110" t="e">
        <f>C26*3.65</f>
        <v>#REF!</v>
      </c>
      <c r="E26" s="111"/>
      <c r="F26" s="100"/>
      <c r="G26" s="100"/>
      <c r="H26" s="121" t="s">
        <v>123</v>
      </c>
      <c r="I26" s="131">
        <f>ELECT.!C2</f>
        <v>19066</v>
      </c>
      <c r="J26" s="131" t="e">
        <f>ELECT.!#REF!</f>
        <v>#REF!</v>
      </c>
      <c r="K26" s="99" t="e">
        <f>(J26-I26)*160</f>
        <v>#REF!</v>
      </c>
    </row>
    <row r="27" spans="1:11" ht="13.5" thickBot="1" x14ac:dyDescent="0.25">
      <c r="A27" s="100"/>
      <c r="B27" s="101" t="s">
        <v>124</v>
      </c>
      <c r="C27" s="124" t="e">
        <f>C26</f>
        <v>#REF!</v>
      </c>
      <c r="D27" s="110" t="e">
        <f>C27*3.65</f>
        <v>#REF!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 t="e">
        <f>Water!#REF!</f>
        <v>#REF!</v>
      </c>
      <c r="K29" s="99" t="e">
        <f>(J29-I29)*10</f>
        <v>#REF!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 t="e">
        <f>Water!#REF!</f>
        <v>#REF!</v>
      </c>
      <c r="K30" s="99" t="e">
        <f>(J30-I30)*0.027</f>
        <v>#REF!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 t="e">
        <f>Water!#REF!</f>
        <v>#REF!</v>
      </c>
      <c r="K31" s="99" t="e">
        <f>(J31-I31)*0.027</f>
        <v>#REF!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 t="e">
        <f>Water!#REF!</f>
        <v>#REF!</v>
      </c>
      <c r="K32" s="99" t="e">
        <f>(J32-I32)*0.027</f>
        <v>#REF!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3" t="e">
        <f>Gas!#REF!</f>
        <v>#REF!</v>
      </c>
      <c r="K35" s="130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145</v>
      </c>
      <c r="N1" s="64" t="s">
        <v>91</v>
      </c>
      <c r="O1" s="65" t="s">
        <v>79</v>
      </c>
    </row>
    <row r="2" spans="2:15" ht="15" x14ac:dyDescent="0.2">
      <c r="B2" s="62"/>
      <c r="C2" s="186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86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188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188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87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87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86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86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188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188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87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87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86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86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188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8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7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87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86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86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188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8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7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87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86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86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188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8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87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87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86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86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188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188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87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87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86">
        <v>12</v>
      </c>
      <c r="D20" s="66" t="s">
        <v>80</v>
      </c>
      <c r="E20" s="150">
        <v>146008</v>
      </c>
      <c r="F20" s="150">
        <v>146144</v>
      </c>
      <c r="G20" s="68">
        <f t="shared" si="0"/>
        <v>136</v>
      </c>
      <c r="H20" s="69"/>
      <c r="I20" s="72"/>
      <c r="J20" s="186">
        <v>12</v>
      </c>
      <c r="K20" s="66" t="s">
        <v>80</v>
      </c>
      <c r="L20" s="150">
        <v>146144</v>
      </c>
      <c r="M20" s="150">
        <v>146382</v>
      </c>
      <c r="N20" s="68">
        <f t="shared" si="1"/>
        <v>238</v>
      </c>
      <c r="O20" s="69"/>
    </row>
    <row r="21" spans="2:15" ht="15" x14ac:dyDescent="0.2">
      <c r="B21" s="62"/>
      <c r="C21" s="188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188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87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87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86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86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188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8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87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7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86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6">
        <v>15</v>
      </c>
      <c r="K26" s="66" t="s">
        <v>80</v>
      </c>
      <c r="L26" s="150">
        <v>39380</v>
      </c>
      <c r="M26" s="150">
        <v>39348</v>
      </c>
      <c r="N26" s="68">
        <f t="shared" si="1"/>
        <v>-32</v>
      </c>
      <c r="O26" s="69"/>
    </row>
    <row r="27" spans="2:15" ht="15" x14ac:dyDescent="0.2">
      <c r="B27" s="62"/>
      <c r="C27" s="188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188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87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87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86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6">
        <v>16</v>
      </c>
      <c r="K29" s="66" t="s">
        <v>80</v>
      </c>
      <c r="L29" s="150">
        <v>97965</v>
      </c>
      <c r="M29" s="150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188"/>
      <c r="D30" s="66" t="s">
        <v>81</v>
      </c>
      <c r="E30" s="150">
        <v>59824</v>
      </c>
      <c r="F30" s="150">
        <v>60065</v>
      </c>
      <c r="G30" s="68">
        <f t="shared" si="0"/>
        <v>241</v>
      </c>
      <c r="H30" s="69"/>
      <c r="I30" s="72"/>
      <c r="J30" s="188"/>
      <c r="K30" s="66" t="s">
        <v>81</v>
      </c>
      <c r="L30" s="150">
        <v>60065</v>
      </c>
      <c r="M30" s="150">
        <v>60464</v>
      </c>
      <c r="N30" s="68">
        <f t="shared" si="1"/>
        <v>399</v>
      </c>
      <c r="O30" s="69"/>
    </row>
    <row r="31" spans="2:15" ht="15" x14ac:dyDescent="0.2">
      <c r="B31" s="62"/>
      <c r="C31" s="187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7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6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86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188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188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87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87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86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86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188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188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87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87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86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86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188"/>
      <c r="D39" s="66" t="s">
        <v>81</v>
      </c>
      <c r="E39" s="150">
        <v>83126</v>
      </c>
      <c r="F39" s="150">
        <v>83384</v>
      </c>
      <c r="G39" s="68">
        <f t="shared" si="0"/>
        <v>258</v>
      </c>
      <c r="H39" s="75"/>
      <c r="I39" s="72"/>
      <c r="J39" s="188"/>
      <c r="K39" s="66" t="s">
        <v>81</v>
      </c>
      <c r="L39" s="150">
        <v>83384</v>
      </c>
      <c r="M39" s="150">
        <v>53053</v>
      </c>
      <c r="N39" s="68">
        <f t="shared" si="1"/>
        <v>-30331</v>
      </c>
      <c r="O39" s="75"/>
    </row>
    <row r="40" spans="2:15" ht="15" x14ac:dyDescent="0.2">
      <c r="B40" s="62"/>
      <c r="C40" s="187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7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6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86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188"/>
      <c r="D42" s="66" t="s">
        <v>81</v>
      </c>
      <c r="E42" s="150">
        <v>69099</v>
      </c>
      <c r="F42" s="150">
        <v>69249</v>
      </c>
      <c r="G42" s="68">
        <f t="shared" si="0"/>
        <v>150</v>
      </c>
      <c r="H42" s="69"/>
      <c r="J42" s="188"/>
      <c r="K42" s="66" t="s">
        <v>81</v>
      </c>
      <c r="L42" s="150">
        <v>69249</v>
      </c>
      <c r="M42" s="150">
        <v>66556</v>
      </c>
      <c r="N42" s="68">
        <f t="shared" si="1"/>
        <v>-2693</v>
      </c>
      <c r="O42" s="69"/>
    </row>
    <row r="43" spans="2:15" ht="15" x14ac:dyDescent="0.2">
      <c r="B43" s="62"/>
      <c r="C43" s="187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87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6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86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188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188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86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86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188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188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86">
        <v>23</v>
      </c>
      <c r="D49" s="66" t="s">
        <v>83</v>
      </c>
      <c r="E49" s="81"/>
      <c r="F49" s="81"/>
      <c r="G49" s="68">
        <f t="shared" si="2"/>
        <v>0</v>
      </c>
      <c r="H49" s="69"/>
      <c r="J49" s="186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8"/>
      <c r="D50" s="66" t="s">
        <v>82</v>
      </c>
      <c r="E50" s="81"/>
      <c r="F50" s="81"/>
      <c r="G50" s="68">
        <f t="shared" si="2"/>
        <v>0</v>
      </c>
      <c r="H50" s="69"/>
      <c r="J50" s="188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9">
        <v>24</v>
      </c>
      <c r="D52" s="66" t="s">
        <v>84</v>
      </c>
      <c r="E52" s="150">
        <v>242334</v>
      </c>
      <c r="F52" s="150">
        <v>243404</v>
      </c>
      <c r="G52" s="68">
        <f t="shared" ref="G52:G60" si="3">F52-E52</f>
        <v>1070</v>
      </c>
      <c r="H52" s="83"/>
      <c r="J52" s="189">
        <v>24</v>
      </c>
      <c r="K52" s="66" t="s">
        <v>84</v>
      </c>
      <c r="L52" s="150">
        <v>243404</v>
      </c>
      <c r="M52" s="150">
        <v>245344</v>
      </c>
      <c r="N52" s="68">
        <f t="shared" si="1"/>
        <v>1940</v>
      </c>
      <c r="O52" s="83"/>
    </row>
    <row r="53" spans="1:15" ht="15" x14ac:dyDescent="0.2">
      <c r="B53" s="62"/>
      <c r="C53" s="190"/>
      <c r="D53" s="66" t="s">
        <v>85</v>
      </c>
      <c r="E53" s="150">
        <v>536218</v>
      </c>
      <c r="F53" s="150">
        <v>536689</v>
      </c>
      <c r="G53" s="68">
        <f t="shared" si="3"/>
        <v>471</v>
      </c>
      <c r="H53" s="75"/>
      <c r="J53" s="190"/>
      <c r="K53" s="66" t="s">
        <v>85</v>
      </c>
      <c r="L53" s="150">
        <v>536689</v>
      </c>
      <c r="M53" s="150">
        <v>237646</v>
      </c>
      <c r="N53" s="68">
        <f t="shared" si="1"/>
        <v>-299043</v>
      </c>
      <c r="O53" s="75"/>
    </row>
    <row r="54" spans="1:15" ht="15" x14ac:dyDescent="0.2">
      <c r="B54" s="62"/>
      <c r="C54" s="191"/>
      <c r="D54" s="66" t="s">
        <v>84</v>
      </c>
      <c r="E54" s="150">
        <v>34567</v>
      </c>
      <c r="F54" s="150">
        <v>34567</v>
      </c>
      <c r="G54" s="68">
        <f t="shared" si="3"/>
        <v>0</v>
      </c>
      <c r="H54" s="84" t="s">
        <v>12</v>
      </c>
      <c r="J54" s="191"/>
      <c r="K54" s="66" t="s">
        <v>84</v>
      </c>
      <c r="L54" s="150">
        <v>34567</v>
      </c>
      <c r="M54" s="150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86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86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7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87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6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86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87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87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86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86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87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87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6">
        <v>28</v>
      </c>
      <c r="D62" s="195" t="s">
        <v>86</v>
      </c>
      <c r="E62" s="67"/>
      <c r="F62" s="67"/>
      <c r="G62" s="68"/>
      <c r="H62" s="197" t="s">
        <v>87</v>
      </c>
      <c r="I62" s="72"/>
      <c r="J62" s="186">
        <v>28</v>
      </c>
      <c r="K62" s="195" t="s">
        <v>86</v>
      </c>
      <c r="L62" s="67"/>
      <c r="M62" s="67"/>
      <c r="N62" s="68"/>
      <c r="O62" s="197" t="s">
        <v>87</v>
      </c>
    </row>
    <row r="63" spans="1:15" ht="15" x14ac:dyDescent="0.2">
      <c r="A63" s="72"/>
      <c r="B63" s="62"/>
      <c r="C63" s="187"/>
      <c r="D63" s="196"/>
      <c r="E63" s="67"/>
      <c r="F63" s="67"/>
      <c r="G63" s="68"/>
      <c r="H63" s="198"/>
      <c r="I63" s="72"/>
      <c r="J63" s="187"/>
      <c r="K63" s="196"/>
      <c r="L63" s="67"/>
      <c r="M63" s="67"/>
      <c r="N63" s="68"/>
      <c r="O63" s="198"/>
    </row>
    <row r="64" spans="1:15" x14ac:dyDescent="0.2">
      <c r="A64" s="72"/>
      <c r="B64" s="62"/>
      <c r="C64" s="199" t="s">
        <v>88</v>
      </c>
      <c r="D64" s="199"/>
      <c r="E64" s="199"/>
      <c r="F64" s="199"/>
      <c r="G64" s="86">
        <f>SUM(G2:G63)</f>
        <v>28925</v>
      </c>
      <c r="H64" s="87"/>
      <c r="I64" s="72"/>
      <c r="J64" s="199" t="s">
        <v>88</v>
      </c>
      <c r="K64" s="199"/>
      <c r="L64" s="199"/>
      <c r="M64" s="199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200">
        <v>44409</v>
      </c>
      <c r="C69" s="201"/>
      <c r="D69" s="201"/>
      <c r="E69" s="202"/>
      <c r="F69" s="90"/>
      <c r="G69" s="200">
        <v>44470</v>
      </c>
      <c r="H69" s="201"/>
      <c r="I69" s="201"/>
      <c r="J69" s="202"/>
      <c r="K69" s="90"/>
      <c r="L69" s="192" t="s">
        <v>25</v>
      </c>
      <c r="M69" s="193"/>
      <c r="N69" s="193"/>
      <c r="O69" s="194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2021-11-12T00:49:39Z</dcterms:modified>
</cp:coreProperties>
</file>