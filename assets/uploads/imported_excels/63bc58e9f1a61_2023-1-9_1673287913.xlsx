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6" i="7"/>
  <c r="BJ7" i="7"/>
  <c r="BJ8" i="7"/>
  <c r="BJ9" i="7"/>
  <c r="BJ10" i="7"/>
  <c r="BJ11" i="7"/>
  <c r="BJ29" i="7"/>
  <c r="BJ30" i="7"/>
  <c r="BJ31" i="7"/>
  <c r="BJ32" i="7"/>
  <c r="BJ33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<sst xmlns="http://schemas.openxmlformats.org/spreadsheetml/2006/main" count="315" uniqueCount="148">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</sst>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5.4944999999999995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 t="e">
        <f>Submetering!E10+Submetering!F10+Submetering!G10+Submetering!H10+Submetering!J10-Submetering!AV10</f>
        <v>#VALUE!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 t="e">
        <f>'FS Desroches Daily'!CM12</f>
        <v>#VALUE!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 t="str">
        <f>'FS Desroches Daily'!P12</f>
        <v/>
      </c>
      <c r="L10" s="31" t="str">
        <f>'FS Desroches Daily'!R12</f>
        <v/>
      </c>
      <c r="M10" s="31" t="e">
        <f>'FS Desroches Daily'!T12</f>
        <v>#VALUE!</v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 t="str">
        <f>'FS Desroches Daily'!BF12</f>
        <v/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 t="str">
        <f>'FS Desroches Daily'!CF12</f>
        <v/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30200.000000000226</v>
      </c>
      <c r="F33" s="17">
        <f t="shared" ref="F33:BC33" si="0">SUM(F2:F32)</f>
        <v>28800.000000000378</v>
      </c>
      <c r="G33" s="17">
        <f t="shared" si="0"/>
        <v>34499.999999999534</v>
      </c>
      <c r="H33" s="17">
        <f t="shared" si="0"/>
        <v>14000.000000000233</v>
      </c>
      <c r="I33" s="17">
        <f t="shared" si="0"/>
        <v>24700.000000000167</v>
      </c>
      <c r="J33" s="17">
        <f t="shared" si="0"/>
        <v>14899.999999999913</v>
      </c>
      <c r="K33" s="17">
        <f t="shared" si="0"/>
        <v>189</v>
      </c>
      <c r="L33" s="17">
        <f t="shared" si="0"/>
        <v>40</v>
      </c>
      <c r="M33" s="17" t="e">
        <f t="shared" si="0"/>
        <v>#VALUE!</v>
      </c>
      <c r="N33" s="17">
        <f t="shared" si="0"/>
        <v>4228.2999999999302</v>
      </c>
      <c r="O33" s="17">
        <f t="shared" si="0"/>
        <v>3019.9999999999818</v>
      </c>
      <c r="P33" s="17">
        <f t="shared" si="0"/>
        <v>25300.000000000542</v>
      </c>
      <c r="Q33" s="17">
        <f t="shared" si="0"/>
        <v>2970.0000000000273</v>
      </c>
      <c r="R33" s="17">
        <f t="shared" si="0"/>
        <v>3330.0000000000409</v>
      </c>
      <c r="S33" s="17">
        <f t="shared" si="0"/>
        <v>7559.9999999999454</v>
      </c>
      <c r="T33" s="17">
        <f t="shared" si="0"/>
        <v>390</v>
      </c>
      <c r="U33" s="35">
        <f t="shared" si="0"/>
        <v>7800.0000000000291</v>
      </c>
      <c r="V33" s="35">
        <f t="shared" si="0"/>
        <v>2459.9999999999795</v>
      </c>
      <c r="W33" s="35">
        <f t="shared" si="0"/>
        <v>1629.9999999999955</v>
      </c>
      <c r="X33" s="35">
        <f t="shared" si="0"/>
        <v>2129.9999999999955</v>
      </c>
      <c r="Y33" s="35">
        <f t="shared" si="0"/>
        <v>1930.0000000000068</v>
      </c>
      <c r="Z33" s="35">
        <f t="shared" si="0"/>
        <v>2229.9999999999613</v>
      </c>
      <c r="AA33" s="35">
        <f t="shared" si="0"/>
        <v>2229.9999999999613</v>
      </c>
      <c r="AB33" s="35">
        <f t="shared" si="0"/>
        <v>2119.9999999999477</v>
      </c>
      <c r="AC33" s="35">
        <f t="shared" si="0"/>
        <v>1419.9999999999591</v>
      </c>
      <c r="AD33" s="35">
        <f t="shared" si="0"/>
        <v>1640.0000000000432</v>
      </c>
      <c r="AE33" s="35">
        <f t="shared" si="0"/>
        <v>1620.0000000000045</v>
      </c>
      <c r="AF33" s="17">
        <f t="shared" si="0"/>
        <v>369</v>
      </c>
      <c r="AG33" s="32">
        <f t="shared" si="0"/>
        <v>350.00000000002274</v>
      </c>
      <c r="AH33" s="32">
        <f t="shared" si="0"/>
        <v>370.00000000000455</v>
      </c>
      <c r="AI33" s="32">
        <f t="shared" si="0"/>
        <v>529.99999999997272</v>
      </c>
      <c r="AJ33" s="32">
        <f t="shared" si="0"/>
        <v>359.99999999998522</v>
      </c>
      <c r="AK33" s="32">
        <f t="shared" si="0"/>
        <v>300.00000000001137</v>
      </c>
      <c r="AL33" s="32">
        <f t="shared" si="0"/>
        <v>357</v>
      </c>
      <c r="AM33" s="32">
        <f t="shared" si="0"/>
        <v>370.00000000000455</v>
      </c>
      <c r="AN33" s="32">
        <f t="shared" si="0"/>
        <v>372</v>
      </c>
      <c r="AO33" s="32">
        <f t="shared" si="0"/>
        <v>349.99999999999432</v>
      </c>
      <c r="AP33" s="32">
        <f t="shared" si="0"/>
        <v>431</v>
      </c>
      <c r="AQ33" s="17">
        <f t="shared" si="0"/>
        <v>639.79999999999563</v>
      </c>
      <c r="AR33" s="17">
        <f t="shared" si="0"/>
        <v>115.90000000000146</v>
      </c>
      <c r="AS33" s="17">
        <f t="shared" si="0"/>
        <v>35.599999999998545</v>
      </c>
      <c r="AT33" s="17">
        <f t="shared" si="0"/>
        <v>472.5</v>
      </c>
      <c r="AU33" s="17">
        <f t="shared" si="0"/>
        <v>2515</v>
      </c>
      <c r="AV33" s="17">
        <f t="shared" si="0"/>
        <v>8699.9999999998181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38.461500000000001</v>
      </c>
      <c r="BC33" s="17">
        <f t="shared" si="0"/>
        <v>354</v>
      </c>
    </row>
    <row r="35" spans="5:55" x14ac:dyDescent="0.25">
      <c r="E35" s="38">
        <f>E33/E37</f>
        <v>0.26599024115274311</v>
      </c>
      <c r="G35" s="29" t="e">
        <f>G33-M36</f>
        <v>#VALUE!</v>
      </c>
      <c r="AE35" s="35">
        <f>SUM(U33:AE33)</f>
        <v>27209.999999999884</v>
      </c>
      <c r="AG35" s="32">
        <f>SUM(AG33:AP33)</f>
        <v>3789.9999999999955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113538.00000000029</v>
      </c>
      <c r="G37" s="37" t="e">
        <f>M36/E37</f>
        <v>#VALUE!</v>
      </c>
      <c r="M37" s="35">
        <f>AE35</f>
        <v>27209.999999999884</v>
      </c>
    </row>
    <row r="38" spans="5:55" x14ac:dyDescent="0.25">
      <c r="L38" s="27">
        <f>M38/E37</f>
        <v>3.3380894502281051E-2</v>
      </c>
      <c r="M38" s="29">
        <f>AG35</f>
        <v>3789.9999999999955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K1" zoomScale="82" zoomScaleNormal="82" workbookViewId="0">
      <pane ySplit="1" topLeftCell="A2" activePane="bottomLeft" state="frozen"/>
      <selection pane="bottomLeft" activeCell="CE12" sqref="CE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/>
      <c r="D12" s="64" t="str">
        <f t="shared" si="0"/>
        <v>0</v>
      </c>
      <c r="E12" s="58"/>
      <c r="F12" s="64" t="str">
        <f t="shared" si="1"/>
        <v>0</v>
      </c>
      <c r="G12" s="58"/>
      <c r="H12" s="64" t="str">
        <f t="shared" si="2"/>
        <v>0</v>
      </c>
      <c r="I12" s="58"/>
      <c r="J12" s="64" t="str">
        <f t="shared" si="3"/>
        <v>0</v>
      </c>
      <c r="K12" s="58"/>
      <c r="L12" s="64" t="str">
        <f t="shared" si="48"/>
        <v>0</v>
      </c>
      <c r="M12" s="58"/>
      <c r="N12" s="64" t="str">
        <f t="shared" si="49"/>
        <v/>
      </c>
      <c r="O12" s="58"/>
      <c r="P12" s="67" t="str">
        <f t="shared" si="6"/>
        <v/>
      </c>
      <c r="Q12" s="58"/>
      <c r="R12" s="67" t="str">
        <f t="shared" si="7"/>
        <v/>
      </c>
      <c r="S12" s="58"/>
      <c r="T12" s="67" t="e">
        <f t="shared" si="8"/>
        <v>#VALUE!</v>
      </c>
      <c r="U12" s="58"/>
      <c r="V12" s="67" t="str">
        <f t="shared" si="9"/>
        <v/>
      </c>
      <c r="W12" s="58"/>
      <c r="X12" s="65" t="str">
        <f t="shared" si="10"/>
        <v/>
      </c>
      <c r="Y12" s="58"/>
      <c r="Z12" s="65" t="str">
        <f t="shared" si="11"/>
        <v/>
      </c>
      <c r="AA12" s="58"/>
      <c r="AB12" s="65" t="str">
        <f t="shared" si="12"/>
        <v/>
      </c>
      <c r="AC12" s="58"/>
      <c r="AD12" s="65" t="str">
        <f t="shared" si="13"/>
        <v/>
      </c>
      <c r="AE12" s="58"/>
      <c r="AF12" s="65" t="str">
        <f t="shared" si="14"/>
        <v/>
      </c>
      <c r="AG12" s="58"/>
      <c r="AH12" s="67" t="str">
        <f t="shared" si="15"/>
        <v/>
      </c>
      <c r="AI12" s="58"/>
      <c r="AJ12" s="65" t="str">
        <f t="shared" si="16"/>
        <v/>
      </c>
      <c r="AK12" s="58"/>
      <c r="AL12" s="65" t="str">
        <f t="shared" si="17"/>
        <v/>
      </c>
      <c r="AM12" s="58"/>
      <c r="AN12" s="65" t="str">
        <f t="shared" si="18"/>
        <v/>
      </c>
      <c r="AO12" s="58"/>
      <c r="AP12" s="65" t="str">
        <f t="shared" si="19"/>
        <v/>
      </c>
      <c r="AQ12" s="58"/>
      <c r="AR12" s="65" t="str">
        <f t="shared" si="20"/>
        <v/>
      </c>
      <c r="AS12" s="58"/>
      <c r="AT12" s="65" t="str">
        <f t="shared" si="21"/>
        <v/>
      </c>
      <c r="AU12" s="58"/>
      <c r="AV12" s="65" t="str">
        <f t="shared" si="22"/>
        <v/>
      </c>
      <c r="AW12" s="58"/>
      <c r="AX12" s="65" t="str">
        <f t="shared" si="23"/>
        <v/>
      </c>
      <c r="AY12" s="58"/>
      <c r="AZ12" s="65" t="str">
        <f t="shared" si="24"/>
        <v/>
      </c>
      <c r="BA12" s="58"/>
      <c r="BB12" s="65" t="str">
        <f t="shared" si="25"/>
        <v/>
      </c>
      <c r="BC12" s="58"/>
      <c r="BD12" s="65" t="str">
        <f t="shared" si="26"/>
        <v/>
      </c>
      <c r="BE12" s="59"/>
      <c r="BF12" s="67" t="str">
        <f t="shared" si="27"/>
        <v/>
      </c>
      <c r="BG12" s="60"/>
      <c r="BH12" s="65" t="str">
        <f t="shared" si="28"/>
        <v/>
      </c>
      <c r="BI12" s="60"/>
      <c r="BJ12" s="65" t="str">
        <f t="shared" si="29"/>
        <v/>
      </c>
      <c r="BK12" s="60"/>
      <c r="BL12" s="65" t="str">
        <f t="shared" si="30"/>
        <v/>
      </c>
      <c r="BM12" s="60"/>
      <c r="BN12" s="65" t="str">
        <f t="shared" si="31"/>
        <v/>
      </c>
      <c r="BO12" s="60"/>
      <c r="BP12" s="65" t="str">
        <f t="shared" si="32"/>
        <v/>
      </c>
      <c r="BQ12" s="60"/>
      <c r="BR12" s="65" t="str">
        <f t="shared" si="33"/>
        <v/>
      </c>
      <c r="BS12" s="60"/>
      <c r="BT12" s="65" t="str">
        <f t="shared" si="34"/>
        <v/>
      </c>
      <c r="BU12" s="60"/>
      <c r="BV12" s="65" t="str">
        <f t="shared" si="35"/>
        <v/>
      </c>
      <c r="BW12" s="60"/>
      <c r="BX12" s="65" t="str">
        <f t="shared" si="36"/>
        <v/>
      </c>
      <c r="BY12" s="60"/>
      <c r="BZ12" s="67" t="str">
        <f t="shared" si="37"/>
        <v/>
      </c>
      <c r="CA12" s="60"/>
      <c r="CB12" s="67" t="str">
        <f t="shared" si="38"/>
        <v/>
      </c>
      <c r="CC12" s="60"/>
      <c r="CD12" s="67" t="str">
        <f t="shared" si="39"/>
        <v/>
      </c>
      <c r="CE12" s="60"/>
      <c r="CF12" s="67" t="str">
        <f t="shared" si="40"/>
        <v/>
      </c>
      <c r="CG12" s="60"/>
      <c r="CH12" s="67" t="str">
        <f t="shared" si="41"/>
        <v/>
      </c>
      <c r="CI12" s="60"/>
      <c r="CJ12" s="67" t="str">
        <f t="shared" si="42"/>
        <v/>
      </c>
      <c r="CK12" s="60"/>
      <c r="CL12" s="64" t="str">
        <f t="shared" si="43"/>
        <v/>
      </c>
      <c r="CM12" s="65" t="e">
        <f t="shared" si="50"/>
        <v>#VALUE!</v>
      </c>
      <c r="CN12" s="62"/>
      <c r="CO12" s="62"/>
      <c r="CP12" s="68"/>
      <c r="CQ12" s="67" t="str">
        <f t="shared" si="51"/>
        <v/>
      </c>
      <c r="CR12" s="68"/>
      <c r="CS12" s="67" t="str">
        <f t="shared" si="44"/>
        <v/>
      </c>
      <c r="CT12" s="75"/>
      <c r="CU12" s="67" t="str">
        <f t="shared" si="45"/>
        <v/>
      </c>
      <c r="CV12" s="68"/>
      <c r="CW12" s="67" t="str">
        <f t="shared" si="46"/>
        <v/>
      </c>
      <c r="CX12" s="58"/>
      <c r="CY12" s="67" t="str">
        <f t="shared" si="47"/>
        <v/>
      </c>
    </row>
    <row r="13" spans="1:103" ht="25.5" customHeight="1" thickBot="1" x14ac:dyDescent="0.45">
      <c r="A13" s="63">
        <v>44936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8"/>
        <v>0</v>
      </c>
      <c r="M13" s="58"/>
      <c r="N13" s="64">
        <f t="shared" si="49"/>
        <v>0</v>
      </c>
      <c r="O13" s="58"/>
      <c r="P13" s="67">
        <f t="shared" si="6"/>
        <v>0</v>
      </c>
      <c r="Q13" s="58"/>
      <c r="R13" s="67">
        <f t="shared" si="7"/>
        <v>0</v>
      </c>
      <c r="S13" s="58"/>
      <c r="T13" s="67">
        <f t="shared" si="8"/>
        <v>0</v>
      </c>
      <c r="U13" s="58"/>
      <c r="V13" s="67">
        <f t="shared" si="9"/>
        <v>0</v>
      </c>
      <c r="W13" s="58"/>
      <c r="X13" s="65">
        <f t="shared" si="10"/>
        <v>0</v>
      </c>
      <c r="Y13" s="58"/>
      <c r="Z13" s="65">
        <f t="shared" si="11"/>
        <v>0</v>
      </c>
      <c r="AA13" s="58"/>
      <c r="AB13" s="65">
        <f t="shared" si="12"/>
        <v>0</v>
      </c>
      <c r="AC13" s="58"/>
      <c r="AD13" s="65">
        <f t="shared" si="13"/>
        <v>0</v>
      </c>
      <c r="AE13" s="58"/>
      <c r="AF13" s="65">
        <f t="shared" si="14"/>
        <v>0</v>
      </c>
      <c r="AG13" s="58"/>
      <c r="AH13" s="67">
        <f t="shared" si="15"/>
        <v>0</v>
      </c>
      <c r="AI13" s="58"/>
      <c r="AJ13" s="65">
        <f t="shared" si="16"/>
        <v>0</v>
      </c>
      <c r="AK13" s="58"/>
      <c r="AL13" s="65">
        <f t="shared" si="17"/>
        <v>0</v>
      </c>
      <c r="AM13" s="58"/>
      <c r="AN13" s="65">
        <f t="shared" si="18"/>
        <v>0</v>
      </c>
      <c r="AO13" s="58"/>
      <c r="AP13" s="65">
        <f t="shared" si="19"/>
        <v>0</v>
      </c>
      <c r="AQ13" s="58"/>
      <c r="AR13" s="65">
        <f t="shared" si="20"/>
        <v>0</v>
      </c>
      <c r="AS13" s="58"/>
      <c r="AT13" s="65">
        <f t="shared" si="21"/>
        <v>0</v>
      </c>
      <c r="AU13" s="58"/>
      <c r="AV13" s="65">
        <f t="shared" si="22"/>
        <v>0</v>
      </c>
      <c r="AW13" s="58"/>
      <c r="AX13" s="65">
        <f t="shared" si="23"/>
        <v>0</v>
      </c>
      <c r="AY13" s="58"/>
      <c r="AZ13" s="65">
        <f t="shared" si="24"/>
        <v>0</v>
      </c>
      <c r="BA13" s="58"/>
      <c r="BB13" s="65">
        <f t="shared" si="25"/>
        <v>0</v>
      </c>
      <c r="BC13" s="58"/>
      <c r="BD13" s="65">
        <f t="shared" si="26"/>
        <v>0</v>
      </c>
      <c r="BE13" s="59"/>
      <c r="BF13" s="67">
        <f t="shared" si="27"/>
        <v>0</v>
      </c>
      <c r="BG13" s="60"/>
      <c r="BH13" s="65">
        <f t="shared" si="28"/>
        <v>0</v>
      </c>
      <c r="BI13" s="60"/>
      <c r="BJ13" s="65">
        <f t="shared" si="29"/>
        <v>0</v>
      </c>
      <c r="BK13" s="60"/>
      <c r="BL13" s="65">
        <f t="shared" si="30"/>
        <v>0</v>
      </c>
      <c r="BM13" s="60"/>
      <c r="BN13" s="65">
        <f t="shared" si="31"/>
        <v>0</v>
      </c>
      <c r="BO13" s="60"/>
      <c r="BP13" s="65">
        <f t="shared" si="32"/>
        <v>0</v>
      </c>
      <c r="BQ13" s="60"/>
      <c r="BR13" s="65">
        <f t="shared" si="33"/>
        <v>0</v>
      </c>
      <c r="BS13" s="60"/>
      <c r="BT13" s="65">
        <f t="shared" si="34"/>
        <v>0</v>
      </c>
      <c r="BU13" s="60"/>
      <c r="BV13" s="65">
        <f t="shared" si="35"/>
        <v>0</v>
      </c>
      <c r="BW13" s="60"/>
      <c r="BX13" s="65">
        <f t="shared" si="36"/>
        <v>0</v>
      </c>
      <c r="BY13" s="60"/>
      <c r="BZ13" s="67">
        <f t="shared" si="37"/>
        <v>0</v>
      </c>
      <c r="CA13" s="60"/>
      <c r="CB13" s="67">
        <f t="shared" si="38"/>
        <v>0</v>
      </c>
      <c r="CC13" s="60"/>
      <c r="CD13" s="67">
        <f t="shared" si="39"/>
        <v>0</v>
      </c>
      <c r="CE13" s="60"/>
      <c r="CF13" s="67">
        <f t="shared" si="40"/>
        <v>0</v>
      </c>
      <c r="CG13" s="60"/>
      <c r="CH13" s="67">
        <f t="shared" si="41"/>
        <v>0</v>
      </c>
      <c r="CI13" s="60"/>
      <c r="CJ13" s="67">
        <f t="shared" si="42"/>
        <v>0</v>
      </c>
      <c r="CK13" s="60"/>
      <c r="CL13" s="64">
        <f t="shared" si="43"/>
        <v>0</v>
      </c>
      <c r="CM13" s="65">
        <f t="shared" si="50"/>
        <v>0</v>
      </c>
      <c r="CN13" s="62"/>
      <c r="CO13" s="62"/>
      <c r="CP13" s="68"/>
      <c r="CQ13" s="67">
        <f t="shared" si="51"/>
        <v>0</v>
      </c>
      <c r="CR13" s="68"/>
      <c r="CS13" s="67">
        <f t="shared" si="44"/>
        <v>0</v>
      </c>
      <c r="CT13" s="75"/>
      <c r="CU13" s="67">
        <f t="shared" si="45"/>
        <v>0</v>
      </c>
      <c r="CV13" s="68"/>
      <c r="CW13" s="67">
        <f t="shared" si="46"/>
        <v>0</v>
      </c>
      <c r="CX13" s="58"/>
      <c r="CY13" s="67">
        <f t="shared" si="47"/>
        <v>0</v>
      </c>
    </row>
    <row r="14" spans="1:103" ht="25.5" customHeight="1" thickBot="1" x14ac:dyDescent="0.45">
      <c r="A14" s="63">
        <v>44937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8"/>
        <v>0</v>
      </c>
      <c r="M14" s="58"/>
      <c r="N14" s="64">
        <f t="shared" si="49"/>
        <v>0</v>
      </c>
      <c r="O14" s="58"/>
      <c r="P14" s="67">
        <f t="shared" si="6"/>
        <v>0</v>
      </c>
      <c r="Q14" s="58"/>
      <c r="R14" s="67">
        <f t="shared" si="7"/>
        <v>0</v>
      </c>
      <c r="S14" s="58"/>
      <c r="T14" s="67">
        <f t="shared" si="8"/>
        <v>0</v>
      </c>
      <c r="U14" s="58"/>
      <c r="V14" s="67">
        <f t="shared" si="9"/>
        <v>0</v>
      </c>
      <c r="W14" s="58"/>
      <c r="X14" s="65">
        <f t="shared" si="10"/>
        <v>0</v>
      </c>
      <c r="Y14" s="58"/>
      <c r="Z14" s="65">
        <f t="shared" si="11"/>
        <v>0</v>
      </c>
      <c r="AA14" s="58"/>
      <c r="AB14" s="65">
        <f t="shared" si="12"/>
        <v>0</v>
      </c>
      <c r="AC14" s="58"/>
      <c r="AD14" s="65">
        <f t="shared" si="13"/>
        <v>0</v>
      </c>
      <c r="AE14" s="58"/>
      <c r="AF14" s="65">
        <f t="shared" si="14"/>
        <v>0</v>
      </c>
      <c r="AG14" s="58"/>
      <c r="AH14" s="67">
        <f t="shared" si="15"/>
        <v>0</v>
      </c>
      <c r="AI14" s="58"/>
      <c r="AJ14" s="65">
        <f t="shared" si="16"/>
        <v>0</v>
      </c>
      <c r="AK14" s="58"/>
      <c r="AL14" s="65">
        <f t="shared" si="17"/>
        <v>0</v>
      </c>
      <c r="AM14" s="58"/>
      <c r="AN14" s="65">
        <f t="shared" si="18"/>
        <v>0</v>
      </c>
      <c r="AO14" s="58"/>
      <c r="AP14" s="65">
        <f t="shared" si="19"/>
        <v>0</v>
      </c>
      <c r="AQ14" s="58"/>
      <c r="AR14" s="65">
        <f t="shared" si="20"/>
        <v>0</v>
      </c>
      <c r="AS14" s="58"/>
      <c r="AT14" s="65">
        <f t="shared" si="21"/>
        <v>0</v>
      </c>
      <c r="AU14" s="58"/>
      <c r="AV14" s="65">
        <f t="shared" si="22"/>
        <v>0</v>
      </c>
      <c r="AW14" s="58"/>
      <c r="AX14" s="65">
        <f t="shared" si="23"/>
        <v>0</v>
      </c>
      <c r="AY14" s="58"/>
      <c r="AZ14" s="65">
        <f t="shared" si="24"/>
        <v>0</v>
      </c>
      <c r="BA14" s="58"/>
      <c r="BB14" s="65">
        <f t="shared" si="25"/>
        <v>0</v>
      </c>
      <c r="BC14" s="58"/>
      <c r="BD14" s="65">
        <f t="shared" si="26"/>
        <v>0</v>
      </c>
      <c r="BE14" s="59"/>
      <c r="BF14" s="67">
        <f t="shared" si="27"/>
        <v>0</v>
      </c>
      <c r="BG14" s="60"/>
      <c r="BH14" s="65">
        <f t="shared" si="28"/>
        <v>0</v>
      </c>
      <c r="BI14" s="60"/>
      <c r="BJ14" s="65">
        <f t="shared" si="29"/>
        <v>0</v>
      </c>
      <c r="BK14" s="60"/>
      <c r="BL14" s="65">
        <f t="shared" si="30"/>
        <v>0</v>
      </c>
      <c r="BM14" s="60"/>
      <c r="BN14" s="65">
        <f t="shared" si="31"/>
        <v>0</v>
      </c>
      <c r="BO14" s="60"/>
      <c r="BP14" s="65">
        <f t="shared" si="32"/>
        <v>0</v>
      </c>
      <c r="BQ14" s="60"/>
      <c r="BR14" s="65">
        <f t="shared" si="33"/>
        <v>0</v>
      </c>
      <c r="BS14" s="60"/>
      <c r="BT14" s="65">
        <f t="shared" si="34"/>
        <v>0</v>
      </c>
      <c r="BU14" s="60"/>
      <c r="BV14" s="65">
        <f t="shared" si="35"/>
        <v>0</v>
      </c>
      <c r="BW14" s="60"/>
      <c r="BX14" s="65">
        <f t="shared" si="36"/>
        <v>0</v>
      </c>
      <c r="BY14" s="60"/>
      <c r="BZ14" s="67">
        <f t="shared" si="37"/>
        <v>0</v>
      </c>
      <c r="CA14" s="60"/>
      <c r="CB14" s="67">
        <f t="shared" si="38"/>
        <v>0</v>
      </c>
      <c r="CC14" s="60"/>
      <c r="CD14" s="67">
        <f t="shared" si="39"/>
        <v>0</v>
      </c>
      <c r="CE14" s="60"/>
      <c r="CF14" s="67">
        <f t="shared" si="40"/>
        <v>0</v>
      </c>
      <c r="CG14" s="60"/>
      <c r="CH14" s="67">
        <f t="shared" si="41"/>
        <v>0</v>
      </c>
      <c r="CI14" s="60"/>
      <c r="CJ14" s="67">
        <f t="shared" si="42"/>
        <v>0</v>
      </c>
      <c r="CK14" s="60"/>
      <c r="CL14" s="64">
        <f t="shared" si="43"/>
        <v>0</v>
      </c>
      <c r="CM14" s="65">
        <f t="shared" si="50"/>
        <v>0</v>
      </c>
      <c r="CN14" s="62"/>
      <c r="CO14" s="62"/>
      <c r="CP14" s="68"/>
      <c r="CQ14" s="67">
        <f t="shared" si="51"/>
        <v>0</v>
      </c>
      <c r="CR14" s="68"/>
      <c r="CS14" s="67">
        <f t="shared" si="44"/>
        <v>0</v>
      </c>
      <c r="CT14" s="75"/>
      <c r="CU14" s="67">
        <f t="shared" si="45"/>
        <v>0</v>
      </c>
      <c r="CV14" s="68"/>
      <c r="CW14" s="67">
        <f t="shared" si="46"/>
        <v>0</v>
      </c>
      <c r="CX14" s="58"/>
      <c r="CY14" s="67">
        <f t="shared" si="47"/>
        <v>0</v>
      </c>
    </row>
    <row r="15" spans="1:103" ht="25.5" customHeight="1" thickBot="1" x14ac:dyDescent="0.45">
      <c r="A15" s="63">
        <v>44938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8"/>
        <v>0</v>
      </c>
      <c r="M15" s="58"/>
      <c r="N15" s="64">
        <f t="shared" si="49"/>
        <v>0</v>
      </c>
      <c r="O15" s="58"/>
      <c r="P15" s="67">
        <f t="shared" si="6"/>
        <v>0</v>
      </c>
      <c r="Q15" s="58"/>
      <c r="R15" s="67">
        <f>IF((Q15-Q14&lt;0), "",Q15-Q14)</f>
        <v>0</v>
      </c>
      <c r="S15" s="58"/>
      <c r="T15" s="67">
        <f t="shared" si="8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31"/>
        <v>0</v>
      </c>
      <c r="BO15" s="60"/>
      <c r="BP15" s="65">
        <f t="shared" si="32"/>
        <v>0</v>
      </c>
      <c r="BQ15" s="60"/>
      <c r="BR15" s="65">
        <f t="shared" si="33"/>
        <v>0</v>
      </c>
      <c r="BS15" s="60"/>
      <c r="BT15" s="65">
        <f t="shared" si="34"/>
        <v>0</v>
      </c>
      <c r="BU15" s="60"/>
      <c r="BV15" s="65">
        <f t="shared" si="35"/>
        <v>0</v>
      </c>
      <c r="BW15" s="60"/>
      <c r="BX15" s="65">
        <f t="shared" si="36"/>
        <v>0</v>
      </c>
      <c r="BY15" s="60"/>
      <c r="BZ15" s="67">
        <f t="shared" si="37"/>
        <v>0</v>
      </c>
      <c r="CA15" s="60"/>
      <c r="CB15" s="67">
        <f t="shared" si="38"/>
        <v>0</v>
      </c>
      <c r="CC15" s="60"/>
      <c r="CD15" s="67">
        <f t="shared" si="39"/>
        <v>0</v>
      </c>
      <c r="CE15" s="60"/>
      <c r="CF15" s="67">
        <f t="shared" si="40"/>
        <v>0</v>
      </c>
      <c r="CG15" s="60"/>
      <c r="CH15" s="67">
        <f t="shared" si="41"/>
        <v>0</v>
      </c>
      <c r="CI15" s="60"/>
      <c r="CJ15" s="67">
        <f t="shared" si="42"/>
        <v>0</v>
      </c>
      <c r="CK15" s="60"/>
      <c r="CL15" s="64">
        <f t="shared" si="43"/>
        <v>0</v>
      </c>
      <c r="CM15" s="65">
        <f t="shared" si="50"/>
        <v>0</v>
      </c>
      <c r="CN15" s="62"/>
      <c r="CO15" s="62"/>
      <c r="CP15" s="68"/>
      <c r="CQ15" s="67">
        <f t="shared" si="51"/>
        <v>0</v>
      </c>
      <c r="CR15" s="68"/>
      <c r="CS15" s="67">
        <f t="shared" si="44"/>
        <v>0</v>
      </c>
      <c r="CT15" s="75"/>
      <c r="CU15" s="67">
        <f t="shared" si="45"/>
        <v>0</v>
      </c>
      <c r="CV15" s="68"/>
      <c r="CW15" s="67">
        <f t="shared" si="46"/>
        <v>0</v>
      </c>
      <c r="CX15" s="58"/>
      <c r="CY15" s="67">
        <f t="shared" si="47"/>
        <v>0</v>
      </c>
    </row>
    <row r="16" spans="1:103" ht="25.5" customHeight="1" thickBot="1" x14ac:dyDescent="0.45">
      <c r="A16" s="63">
        <v>44939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>IF((I16-I15&lt;0), "0",(I16-I15)*1000000)</f>
        <v>0</v>
      </c>
      <c r="K16" s="58"/>
      <c r="L16" s="64">
        <f t="shared" si="48"/>
        <v>0</v>
      </c>
      <c r="M16" s="58"/>
      <c r="N16" s="64">
        <f t="shared" si="49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31"/>
        <v>0</v>
      </c>
      <c r="BO16" s="60"/>
      <c r="BP16" s="65">
        <f t="shared" si="32"/>
        <v>0</v>
      </c>
      <c r="BQ16" s="60"/>
      <c r="BR16" s="65">
        <f t="shared" si="33"/>
        <v>0</v>
      </c>
      <c r="BS16" s="60"/>
      <c r="BT16" s="65">
        <f t="shared" si="34"/>
        <v>0</v>
      </c>
      <c r="BU16" s="60"/>
      <c r="BV16" s="65">
        <f t="shared" si="35"/>
        <v>0</v>
      </c>
      <c r="BW16" s="60"/>
      <c r="BX16" s="65">
        <f t="shared" si="36"/>
        <v>0</v>
      </c>
      <c r="BY16" s="60"/>
      <c r="BZ16" s="67">
        <f t="shared" si="37"/>
        <v>0</v>
      </c>
      <c r="CA16" s="60"/>
      <c r="CB16" s="67">
        <f t="shared" si="38"/>
        <v>0</v>
      </c>
      <c r="CC16" s="60"/>
      <c r="CD16" s="67">
        <f t="shared" si="39"/>
        <v>0</v>
      </c>
      <c r="CE16" s="60"/>
      <c r="CF16" s="67">
        <f t="shared" si="40"/>
        <v>0</v>
      </c>
      <c r="CG16" s="60"/>
      <c r="CH16" s="67">
        <f t="shared" si="41"/>
        <v>0</v>
      </c>
      <c r="CI16" s="60"/>
      <c r="CJ16" s="67">
        <f t="shared" si="42"/>
        <v>0</v>
      </c>
      <c r="CK16" s="60"/>
      <c r="CL16" s="64">
        <f t="shared" si="43"/>
        <v>0</v>
      </c>
      <c r="CM16" s="65">
        <f t="shared" si="50"/>
        <v>0</v>
      </c>
      <c r="CN16" s="62"/>
      <c r="CO16" s="62"/>
      <c r="CP16" s="68"/>
      <c r="CQ16" s="67">
        <f t="shared" si="51"/>
        <v>0</v>
      </c>
      <c r="CR16" s="68"/>
      <c r="CS16" s="67">
        <f t="shared" si="44"/>
        <v>0</v>
      </c>
      <c r="CT16" s="75"/>
      <c r="CU16" s="67">
        <f t="shared" si="45"/>
        <v>0</v>
      </c>
      <c r="CV16" s="68"/>
      <c r="CW16" s="67">
        <f t="shared" si="46"/>
        <v>0</v>
      </c>
      <c r="CX16" s="58"/>
      <c r="CY16" s="67">
        <f t="shared" si="47"/>
        <v>0</v>
      </c>
    </row>
    <row r="17" spans="1:103" ht="25.5" customHeight="1" thickBot="1" x14ac:dyDescent="0.45">
      <c r="A17" s="63">
        <v>44940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8"/>
        <v>0</v>
      </c>
      <c r="M17" s="58"/>
      <c r="N17" s="64">
        <f t="shared" si="49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50"/>
        <v>0</v>
      </c>
      <c r="CN17" s="62"/>
      <c r="CO17" s="62"/>
      <c r="CP17" s="68"/>
      <c r="CQ17" s="67">
        <f t="shared" si="51"/>
        <v>0</v>
      </c>
      <c r="CR17" s="68"/>
      <c r="CS17" s="67">
        <f t="shared" si="44"/>
        <v>0</v>
      </c>
      <c r="CT17" s="75"/>
      <c r="CU17" s="67">
        <f t="shared" si="45"/>
        <v>0</v>
      </c>
      <c r="CV17" s="68"/>
      <c r="CW17" s="67">
        <f t="shared" si="46"/>
        <v>0</v>
      </c>
      <c r="CX17" s="58"/>
      <c r="CY17" s="67">
        <f t="shared" si="47"/>
        <v>0</v>
      </c>
    </row>
    <row r="18" spans="1:103" ht="25.5" customHeight="1" thickBot="1" x14ac:dyDescent="0.45">
      <c r="A18" s="63">
        <v>44941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8"/>
        <v>0</v>
      </c>
      <c r="M18" s="58"/>
      <c r="N18" s="64">
        <f t="shared" si="49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50"/>
        <v>0</v>
      </c>
      <c r="CN18" s="62"/>
      <c r="CO18" s="62"/>
      <c r="CP18" s="68"/>
      <c r="CQ18" s="67">
        <f t="shared" si="51"/>
        <v>0</v>
      </c>
      <c r="CR18" s="68"/>
      <c r="CS18" s="67">
        <f t="shared" si="44"/>
        <v>0</v>
      </c>
      <c r="CT18" s="75"/>
      <c r="CU18" s="67">
        <f t="shared" si="45"/>
        <v>0</v>
      </c>
      <c r="CV18" s="68"/>
      <c r="CW18" s="67">
        <f t="shared" si="46"/>
        <v>0</v>
      </c>
      <c r="CX18" s="58"/>
      <c r="CY18" s="67">
        <f t="shared" si="47"/>
        <v>0</v>
      </c>
    </row>
    <row r="19" spans="1:103" ht="25.5" customHeight="1" thickBot="1" x14ac:dyDescent="0.45">
      <c r="A19" s="63">
        <v>44942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8"/>
        <v>0</v>
      </c>
      <c r="M19" s="58"/>
      <c r="N19" s="64">
        <f t="shared" si="49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50"/>
        <v>0</v>
      </c>
      <c r="CN19" s="62"/>
      <c r="CO19" s="62"/>
      <c r="CP19" s="68"/>
      <c r="CQ19" s="67">
        <f t="shared" si="51"/>
        <v>0</v>
      </c>
      <c r="CR19" s="68"/>
      <c r="CS19" s="67">
        <f t="shared" si="44"/>
        <v>0</v>
      </c>
      <c r="CT19" s="75"/>
      <c r="CU19" s="67">
        <f t="shared" si="45"/>
        <v>0</v>
      </c>
      <c r="CV19" s="68"/>
      <c r="CW19" s="67">
        <f t="shared" si="46"/>
        <v>0</v>
      </c>
      <c r="CX19" s="58"/>
      <c r="CY19" s="67">
        <f t="shared" si="47"/>
        <v>0</v>
      </c>
    </row>
    <row r="20" spans="1:103" ht="25.5" customHeight="1" thickBot="1" x14ac:dyDescent="0.45">
      <c r="A20" s="63">
        <v>44943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8"/>
        <v>0</v>
      </c>
      <c r="M20" s="58"/>
      <c r="N20" s="64">
        <f t="shared" si="49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50"/>
        <v>0</v>
      </c>
      <c r="CN20" s="62"/>
      <c r="CO20" s="62"/>
      <c r="CP20" s="68"/>
      <c r="CQ20" s="67">
        <f t="shared" si="51"/>
        <v>0</v>
      </c>
      <c r="CR20" s="68"/>
      <c r="CS20" s="67">
        <f t="shared" si="44"/>
        <v>0</v>
      </c>
      <c r="CT20" s="75"/>
      <c r="CU20" s="67">
        <f t="shared" si="45"/>
        <v>0</v>
      </c>
      <c r="CV20" s="68"/>
      <c r="CW20" s="67">
        <f t="shared" si="46"/>
        <v>0</v>
      </c>
      <c r="CX20" s="58"/>
      <c r="CY20" s="67">
        <f t="shared" si="47"/>
        <v>0</v>
      </c>
    </row>
    <row r="21" spans="1:103" ht="25.5" customHeight="1" thickBot="1" x14ac:dyDescent="0.45">
      <c r="A21" s="63">
        <v>44944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8"/>
        <v>0</v>
      </c>
      <c r="M21" s="58"/>
      <c r="N21" s="64">
        <f t="shared" si="49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50"/>
        <v>0</v>
      </c>
      <c r="CN21" s="62"/>
      <c r="CO21" s="62"/>
      <c r="CP21" s="68"/>
      <c r="CQ21" s="67">
        <f t="shared" si="51"/>
        <v>0</v>
      </c>
      <c r="CR21" s="68"/>
      <c r="CS21" s="67">
        <f t="shared" si="44"/>
        <v>0</v>
      </c>
      <c r="CT21" s="75"/>
      <c r="CU21" s="67">
        <f t="shared" si="45"/>
        <v>0</v>
      </c>
      <c r="CV21" s="68"/>
      <c r="CW21" s="67">
        <f t="shared" si="46"/>
        <v>0</v>
      </c>
      <c r="CX21" s="58"/>
      <c r="CY21" s="67">
        <f t="shared" si="47"/>
        <v>0</v>
      </c>
    </row>
    <row r="22" spans="1:103" ht="25.5" customHeight="1" thickBot="1" x14ac:dyDescent="0.45">
      <c r="A22" s="63">
        <v>44945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8"/>
        <v>0</v>
      </c>
      <c r="M22" s="58"/>
      <c r="N22" s="64">
        <f t="shared" si="49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50"/>
        <v>0</v>
      </c>
      <c r="CN22" s="62"/>
      <c r="CO22" s="62"/>
      <c r="CP22" s="68"/>
      <c r="CQ22" s="67">
        <f t="shared" si="51"/>
        <v>0</v>
      </c>
      <c r="CR22" s="68"/>
      <c r="CS22" s="67">
        <f t="shared" si="44"/>
        <v>0</v>
      </c>
      <c r="CT22" s="75"/>
      <c r="CU22" s="67">
        <f t="shared" si="45"/>
        <v>0</v>
      </c>
      <c r="CV22" s="68"/>
      <c r="CW22" s="67">
        <f t="shared" si="46"/>
        <v>0</v>
      </c>
      <c r="CX22" s="58"/>
      <c r="CY22" s="67">
        <f t="shared" si="47"/>
        <v>0</v>
      </c>
    </row>
    <row r="23" spans="1:103" ht="25.5" customHeight="1" thickBot="1" x14ac:dyDescent="0.45">
      <c r="A23" s="63">
        <v>44946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8"/>
        <v>0</v>
      </c>
      <c r="M23" s="58"/>
      <c r="N23" s="64">
        <f t="shared" si="49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51"/>
        <v>0</v>
      </c>
      <c r="CR23" s="68"/>
      <c r="CS23" s="67">
        <f t="shared" si="44"/>
        <v>0</v>
      </c>
      <c r="CT23" s="75"/>
      <c r="CU23" s="67">
        <f t="shared" si="45"/>
        <v>0</v>
      </c>
      <c r="CV23" s="68"/>
      <c r="CW23" s="67">
        <f t="shared" si="46"/>
        <v>0</v>
      </c>
      <c r="CX23" s="58"/>
      <c r="CY23" s="67">
        <f t="shared" si="47"/>
        <v>0</v>
      </c>
    </row>
    <row r="24" spans="1:103" ht="25.5" customHeight="1" thickBot="1" x14ac:dyDescent="0.45">
      <c r="A24" s="63">
        <v>44947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8"/>
        <v>0</v>
      </c>
      <c r="M24" s="58"/>
      <c r="N24" s="64">
        <f t="shared" si="49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50"/>
        <v>0</v>
      </c>
      <c r="CN24" s="62"/>
      <c r="CO24" s="62"/>
      <c r="CP24" s="68"/>
      <c r="CQ24" s="67">
        <f t="shared" si="51"/>
        <v>0</v>
      </c>
      <c r="CR24" s="68"/>
      <c r="CS24" s="67">
        <f t="shared" si="44"/>
        <v>0</v>
      </c>
      <c r="CT24" s="75"/>
      <c r="CU24" s="67">
        <f t="shared" si="45"/>
        <v>0</v>
      </c>
      <c r="CV24" s="68"/>
      <c r="CW24" s="67">
        <f t="shared" si="46"/>
        <v>0</v>
      </c>
      <c r="CX24" s="58"/>
      <c r="CY24" s="67">
        <f t="shared" si="47"/>
        <v>0</v>
      </c>
    </row>
    <row r="25" spans="1:103" ht="25.5" customHeight="1" thickBot="1" x14ac:dyDescent="0.45">
      <c r="A25" s="63">
        <v>44948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8"/>
        <v>0</v>
      </c>
      <c r="M25" s="58"/>
      <c r="N25" s="64">
        <f t="shared" si="49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50"/>
        <v>0</v>
      </c>
      <c r="CN25" s="62"/>
      <c r="CO25" s="62"/>
      <c r="CP25" s="68"/>
      <c r="CQ25" s="67">
        <f t="shared" si="51"/>
        <v>0</v>
      </c>
      <c r="CR25" s="68"/>
      <c r="CS25" s="67">
        <f t="shared" si="44"/>
        <v>0</v>
      </c>
      <c r="CT25" s="75"/>
      <c r="CU25" s="67">
        <f t="shared" si="45"/>
        <v>0</v>
      </c>
      <c r="CV25" s="68"/>
      <c r="CW25" s="67">
        <f t="shared" si="46"/>
        <v>0</v>
      </c>
      <c r="CX25" s="58"/>
      <c r="CY25" s="67">
        <f t="shared" si="47"/>
        <v>0</v>
      </c>
    </row>
    <row r="26" spans="1:103" ht="25.5" customHeight="1" thickBot="1" x14ac:dyDescent="0.45">
      <c r="A26" s="63">
        <v>44949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8"/>
        <v>0</v>
      </c>
      <c r="M26" s="58"/>
      <c r="N26" s="64">
        <f t="shared" si="49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50"/>
        <v>0</v>
      </c>
      <c r="CN26" s="62"/>
      <c r="CO26" s="62"/>
      <c r="CP26" s="68"/>
      <c r="CQ26" s="67">
        <f t="shared" si="51"/>
        <v>0</v>
      </c>
      <c r="CR26" s="68"/>
      <c r="CS26" s="67">
        <f t="shared" si="44"/>
        <v>0</v>
      </c>
      <c r="CT26" s="75"/>
      <c r="CU26" s="67">
        <f t="shared" si="45"/>
        <v>0</v>
      </c>
      <c r="CV26" s="68"/>
      <c r="CW26" s="67">
        <f t="shared" si="46"/>
        <v>0</v>
      </c>
      <c r="CX26" s="58"/>
      <c r="CY26" s="67">
        <f t="shared" si="47"/>
        <v>0</v>
      </c>
    </row>
    <row r="27" spans="1:103" ht="25.5" customHeight="1" thickBot="1" x14ac:dyDescent="0.45">
      <c r="A27" s="63">
        <v>44950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8"/>
        <v>0</v>
      </c>
      <c r="M27" s="58"/>
      <c r="N27" s="64">
        <f t="shared" si="49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50"/>
        <v>0</v>
      </c>
      <c r="CN27" s="62"/>
      <c r="CO27" s="62"/>
      <c r="CP27" s="68"/>
      <c r="CQ27" s="67">
        <f t="shared" si="51"/>
        <v>0</v>
      </c>
      <c r="CR27" s="68"/>
      <c r="CS27" s="67">
        <f t="shared" si="44"/>
        <v>0</v>
      </c>
      <c r="CT27" s="75"/>
      <c r="CU27" s="67">
        <f t="shared" si="45"/>
        <v>0</v>
      </c>
      <c r="CV27" s="68"/>
      <c r="CW27" s="67">
        <f t="shared" si="46"/>
        <v>0</v>
      </c>
      <c r="CX27" s="58"/>
      <c r="CY27" s="67">
        <f t="shared" si="47"/>
        <v>0</v>
      </c>
    </row>
    <row r="28" spans="1:103" ht="25.5" customHeight="1" thickBot="1" x14ac:dyDescent="0.45">
      <c r="A28" s="63">
        <v>44951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8"/>
        <v>0</v>
      </c>
      <c r="M28" s="58"/>
      <c r="N28" s="64">
        <f t="shared" si="49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50"/>
        <v>0</v>
      </c>
      <c r="CN28" s="62"/>
      <c r="CO28" s="62"/>
      <c r="CP28" s="68"/>
      <c r="CQ28" s="67">
        <f t="shared" si="51"/>
        <v>0</v>
      </c>
      <c r="CR28" s="68"/>
      <c r="CS28" s="67">
        <f t="shared" si="44"/>
        <v>0</v>
      </c>
      <c r="CT28" s="75"/>
      <c r="CU28" s="67">
        <f t="shared" si="45"/>
        <v>0</v>
      </c>
      <c r="CV28" s="68"/>
      <c r="CW28" s="67">
        <f t="shared" si="46"/>
        <v>0</v>
      </c>
      <c r="CX28" s="58"/>
      <c r="CY28" s="67">
        <f t="shared" si="47"/>
        <v>0</v>
      </c>
    </row>
    <row r="29" spans="1:103" ht="25.5" customHeight="1" thickBot="1" x14ac:dyDescent="0.45">
      <c r="A29" s="63">
        <v>44952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8"/>
        <v>0</v>
      </c>
      <c r="M29" s="58"/>
      <c r="N29" s="64">
        <f t="shared" si="49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50"/>
        <v>0</v>
      </c>
      <c r="CN29" s="62"/>
      <c r="CO29" s="62"/>
      <c r="CP29" s="68"/>
      <c r="CQ29" s="67">
        <f t="shared" si="51"/>
        <v>0</v>
      </c>
      <c r="CR29" s="68"/>
      <c r="CS29" s="67">
        <f t="shared" si="44"/>
        <v>0</v>
      </c>
      <c r="CT29" s="75"/>
      <c r="CU29" s="67">
        <f t="shared" si="45"/>
        <v>0</v>
      </c>
      <c r="CV29" s="68"/>
      <c r="CW29" s="67">
        <f t="shared" si="46"/>
        <v>0</v>
      </c>
      <c r="CX29" s="58"/>
      <c r="CY29" s="67">
        <f t="shared" si="47"/>
        <v>0</v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/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B17" sqref="B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-233</v>
      </c>
    </row>
    <row r="17" spans="1:20" x14ac:dyDescent="0.25">
      <c r="A17" s="73">
        <v>44936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44937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44938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44939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44940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44941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44942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44943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44944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44945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44946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44947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44948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44949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44950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44951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2023-01-09T18:10:51Z</dcterms:modified>
</cp:coreProperties>
</file>