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 activeTab="1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C15" i="4" s="1"/>
  <c r="AC16" i="4"/>
  <c r="AC17" i="4"/>
  <c r="G17" i="4" s="1"/>
  <c r="AC18" i="4"/>
  <c r="C18" i="4" s="1"/>
  <c r="AC19" i="4"/>
  <c r="G19" i="4" s="1"/>
  <c r="AC20" i="4"/>
  <c r="G20" i="4" s="1"/>
  <c r="AC21" i="4"/>
  <c r="C21" i="4" s="1"/>
  <c r="AC22" i="4"/>
  <c r="AC23" i="4"/>
  <c r="G23" i="4" s="1"/>
  <c r="AC24" i="4"/>
  <c r="C24" i="4" s="1"/>
  <c r="AC25" i="4"/>
  <c r="G25" i="4" s="1"/>
  <c r="AC26" i="4"/>
  <c r="C26" i="4" s="1"/>
  <c r="AC27" i="4"/>
  <c r="C27" i="4" s="1"/>
  <c r="AC28" i="4"/>
  <c r="AC29" i="4"/>
  <c r="G29" i="4" s="1"/>
  <c r="AC30" i="4"/>
  <c r="C30" i="4" s="1"/>
  <c r="AC31" i="4"/>
  <c r="G31" i="4" s="1"/>
  <c r="AC32" i="4"/>
  <c r="C32" i="4" s="1"/>
  <c r="AC33" i="4"/>
  <c r="G33" i="4" s="1"/>
  <c r="AC34" i="4"/>
  <c r="AC35" i="4"/>
  <c r="G35" i="4" s="1"/>
  <c r="AC36" i="4"/>
  <c r="C36" i="4" s="1"/>
  <c r="AC37" i="4"/>
  <c r="G37" i="4" s="1"/>
  <c r="AC38" i="4"/>
  <c r="G38" i="4" s="1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E15" i="4"/>
  <c r="C16" i="4"/>
  <c r="E16" i="4"/>
  <c r="G16" i="4"/>
  <c r="C17" i="4"/>
  <c r="E17" i="4"/>
  <c r="E18" i="4"/>
  <c r="G18" i="4"/>
  <c r="C19" i="4"/>
  <c r="E19" i="4"/>
  <c r="C22" i="4"/>
  <c r="E22" i="4"/>
  <c r="G22" i="4"/>
  <c r="C23" i="4"/>
  <c r="E23" i="4"/>
  <c r="E24" i="4"/>
  <c r="G24" i="4"/>
  <c r="C25" i="4"/>
  <c r="E25" i="4"/>
  <c r="E27" i="4"/>
  <c r="C28" i="4"/>
  <c r="E28" i="4"/>
  <c r="G28" i="4"/>
  <c r="C29" i="4"/>
  <c r="E29" i="4"/>
  <c r="E30" i="4"/>
  <c r="G30" i="4"/>
  <c r="C31" i="4"/>
  <c r="E31" i="4"/>
  <c r="E33" i="4"/>
  <c r="C34" i="4"/>
  <c r="E34" i="4"/>
  <c r="G34" i="4"/>
  <c r="C35" i="4"/>
  <c r="E35" i="4"/>
  <c r="E36" i="4"/>
  <c r="G36" i="4"/>
  <c r="C37" i="4"/>
  <c r="E37" i="4"/>
  <c r="C40" i="4"/>
  <c r="E40" i="4"/>
  <c r="G40" i="4"/>
  <c r="C41" i="4"/>
  <c r="E41" i="4"/>
  <c r="G41" i="4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E48" i="6" l="1"/>
  <c r="E21" i="4"/>
  <c r="C33" i="4"/>
  <c r="G32" i="4"/>
  <c r="G26" i="4"/>
  <c r="E38" i="4"/>
  <c r="E32" i="4"/>
  <c r="E26" i="4"/>
  <c r="E20" i="4"/>
  <c r="AC43" i="4"/>
  <c r="C8" i="4"/>
  <c r="C38" i="4"/>
  <c r="C20" i="4"/>
  <c r="G27" i="4"/>
  <c r="G21" i="4"/>
  <c r="G15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I22" i="6"/>
  <c r="I17" i="6" l="1"/>
  <c r="L12" i="10" s="1"/>
  <c r="I18" i="6"/>
  <c r="L13" i="10" s="1"/>
  <c r="I19" i="6"/>
  <c r="L14" i="10" s="1"/>
  <c r="I20" i="6"/>
  <c r="K32" i="13" l="1"/>
  <c r="Y32" i="10" l="1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E39" i="4"/>
  <c r="G39" i="4"/>
  <c r="C39" i="4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W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9" i="4" l="1"/>
  <c r="U39" i="10"/>
  <c r="W39" i="10" s="1"/>
  <c r="G17" i="13"/>
  <c r="O17" i="13" s="1"/>
  <c r="I43" i="4"/>
  <c r="P40" i="4"/>
  <c r="U40" i="10"/>
  <c r="P11" i="4"/>
  <c r="U11" i="10"/>
  <c r="C43" i="4"/>
  <c r="O10" i="4"/>
  <c r="N43" i="4"/>
  <c r="G30" i="13"/>
  <c r="G32" i="13"/>
  <c r="O32" i="13" s="1"/>
  <c r="G24" i="13"/>
  <c r="O24" i="13" s="1"/>
  <c r="G28" i="13"/>
  <c r="O28" i="13" s="1"/>
  <c r="P38" i="4"/>
  <c r="G29" i="13"/>
  <c r="G26" i="13"/>
  <c r="O26" i="13" s="1"/>
  <c r="W35" i="10"/>
  <c r="AJ35" i="10" s="1"/>
  <c r="AK35" i="10" s="1"/>
  <c r="P24" i="4"/>
  <c r="G15" i="13"/>
  <c r="P17" i="4"/>
  <c r="G8" i="13"/>
  <c r="O8" i="13" s="1"/>
  <c r="W20" i="10"/>
  <c r="AJ20" i="10" s="1"/>
  <c r="AK20" i="10" s="1"/>
  <c r="P12" i="4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G25" i="13"/>
  <c r="P28" i="4"/>
  <c r="G19" i="13"/>
  <c r="O19" i="13" s="1"/>
  <c r="M18" i="10"/>
  <c r="E10" i="13" s="1"/>
  <c r="M12" i="10"/>
  <c r="E4" i="13" s="1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8" i="4"/>
  <c r="P14" i="4"/>
  <c r="M15" i="10"/>
  <c r="P10" i="4" l="1"/>
  <c r="U10" i="10"/>
  <c r="G2" i="13" s="1"/>
  <c r="O2" i="13" s="1"/>
  <c r="W23" i="10"/>
  <c r="AJ23" i="10" s="1"/>
  <c r="AK23" i="10" s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<sst xmlns="http://schemas.openxmlformats.org/spreadsheetml/2006/main" count="139" uniqueCount="86">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</sst>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5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456576"/>
        <c:axId val="236466560"/>
      </c:lineChart>
      <c:dateAx>
        <c:axId val="23645657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466560"/>
        <c:crosses val="autoZero"/>
        <c:auto val="1"/>
        <c:lblOffset val="100"/>
        <c:baseTimeUnit val="days"/>
      </c:dateAx>
      <c:valAx>
        <c:axId val="23646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456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509824"/>
        <c:axId val="236515712"/>
      </c:lineChart>
      <c:dateAx>
        <c:axId val="23650982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515712"/>
        <c:crosses val="autoZero"/>
        <c:auto val="1"/>
        <c:lblOffset val="100"/>
        <c:baseTimeUnit val="days"/>
      </c:dateAx>
      <c:valAx>
        <c:axId val="2365157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50982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26400"/>
        <c:axId val="237127936"/>
      </c:lineChart>
      <c:dateAx>
        <c:axId val="23712640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7127936"/>
        <c:crosses val="autoZero"/>
        <c:auto val="1"/>
        <c:lblOffset val="100"/>
        <c:baseTimeUnit val="days"/>
      </c:dateAx>
      <c:valAx>
        <c:axId val="2371279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7126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N5" sqref="N5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7</v>
      </c>
      <c r="N2" s="160">
        <v>7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31</v>
      </c>
      <c r="N4" s="160">
        <v>31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0</v>
      </c>
      <c r="F6" s="161">
        <v>0.99</v>
      </c>
      <c r="G6" s="161">
        <f>'Consommation du 01.10 au 31.10'!U14</f>
        <v>0</v>
      </c>
      <c r="H6" s="161">
        <v>7.8338000000000001</v>
      </c>
      <c r="I6" s="161">
        <f>'Consommation du 01.10 au 31.10'!Y14*1000</f>
        <v>0</v>
      </c>
      <c r="J6" s="161">
        <v>0.53</v>
      </c>
      <c r="K6" s="161">
        <f>'Consommation du 01.10 au 31.10'!D14</f>
        <v>0</v>
      </c>
      <c r="L6" s="161">
        <v>12.67</v>
      </c>
      <c r="M6" s="160">
        <f>'Consommation du 01.10 au 31.10'!AC14</f>
        <v>0</v>
      </c>
      <c r="N6" s="160">
        <v>0</v>
      </c>
      <c r="O6" s="161">
        <f t="shared" si="0"/>
        <v>0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0</v>
      </c>
      <c r="F7" s="161">
        <v>0.99</v>
      </c>
      <c r="G7" s="161">
        <f>'Consommation du 01.10 au 31.10'!U15</f>
        <v>0</v>
      </c>
      <c r="H7" s="161">
        <v>7.8338000000000001</v>
      </c>
      <c r="I7" s="161">
        <f>'Consommation du 01.10 au 31.10'!Y15*1000</f>
        <v>0</v>
      </c>
      <c r="J7" s="161">
        <v>0.53</v>
      </c>
      <c r="K7" s="161">
        <f>'Consommation du 01.10 au 31.10'!D15</f>
        <v>0</v>
      </c>
      <c r="L7" s="161">
        <v>12.67</v>
      </c>
      <c r="M7" s="160">
        <f>'Consommation du 01.10 au 31.10'!AC15</f>
        <v>0</v>
      </c>
      <c r="N7" s="160">
        <v>0</v>
      </c>
      <c r="O7" s="161">
        <f t="shared" si="0"/>
        <v>0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0</v>
      </c>
      <c r="F8" s="161">
        <v>0.99</v>
      </c>
      <c r="G8" s="161">
        <f>'Consommation du 01.10 au 31.10'!U16</f>
        <v>0</v>
      </c>
      <c r="H8" s="161">
        <v>7.8338000000000001</v>
      </c>
      <c r="I8" s="161">
        <f>'Consommation du 01.10 au 31.10'!Y16*1000</f>
        <v>0</v>
      </c>
      <c r="J8" s="161">
        <v>0.53</v>
      </c>
      <c r="K8" s="161">
        <f>'Consommation du 01.10 au 31.10'!D16</f>
        <v>0</v>
      </c>
      <c r="L8" s="161">
        <v>12.67</v>
      </c>
      <c r="M8" s="160">
        <f>'Consommation du 01.10 au 31.10'!AC16</f>
        <v>0</v>
      </c>
      <c r="N8" s="160">
        <v>0</v>
      </c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0</v>
      </c>
      <c r="F9" s="161">
        <v>0.99</v>
      </c>
      <c r="G9" s="161">
        <f>'Consommation du 01.10 au 31.10'!U17</f>
        <v>0</v>
      </c>
      <c r="H9" s="161">
        <v>7.8338000000000001</v>
      </c>
      <c r="I9" s="161">
        <f>'Consommation du 01.10 au 31.10'!Y17*1000</f>
        <v>0</v>
      </c>
      <c r="J9" s="161">
        <v>0.53</v>
      </c>
      <c r="K9" s="161">
        <f>'Consommation du 01.10 au 31.10'!D17</f>
        <v>0</v>
      </c>
      <c r="L9" s="161">
        <v>12.67</v>
      </c>
      <c r="M9" s="160">
        <f>'Consommation du 01.10 au 31.10'!AC17</f>
        <v>0</v>
      </c>
      <c r="N9" s="160">
        <v>0</v>
      </c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0</v>
      </c>
      <c r="F10" s="161">
        <v>0.99</v>
      </c>
      <c r="G10" s="161">
        <f>'Consommation du 01.10 au 31.10'!U18</f>
        <v>0</v>
      </c>
      <c r="H10" s="161">
        <v>7.8338000000000001</v>
      </c>
      <c r="I10" s="161">
        <f>'Consommation du 01.10 au 31.10'!Y18*1000</f>
        <v>0</v>
      </c>
      <c r="J10" s="161">
        <v>0.53</v>
      </c>
      <c r="K10" s="161">
        <f>'Consommation du 01.10 au 31.10'!D18</f>
        <v>0</v>
      </c>
      <c r="L10" s="161">
        <v>12.67</v>
      </c>
      <c r="M10" s="160">
        <f>'Consommation du 01.10 au 31.10'!AC18</f>
        <v>0</v>
      </c>
      <c r="N10" s="160">
        <v>0</v>
      </c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0</v>
      </c>
      <c r="F11" s="161">
        <v>0.99</v>
      </c>
      <c r="G11" s="161">
        <f>'Consommation du 01.10 au 31.10'!U19</f>
        <v>0</v>
      </c>
      <c r="H11" s="161">
        <v>7.8338000000000001</v>
      </c>
      <c r="I11" s="161">
        <f>'Consommation du 01.10 au 31.10'!Y19*1000</f>
        <v>0</v>
      </c>
      <c r="J11" s="161">
        <v>0.53</v>
      </c>
      <c r="K11" s="161">
        <f>'Consommation du 01.10 au 31.10'!D19</f>
        <v>0</v>
      </c>
      <c r="L11" s="161">
        <v>12.67</v>
      </c>
      <c r="M11" s="160">
        <f>'Consommation du 01.10 au 31.10'!AC19</f>
        <v>0</v>
      </c>
      <c r="N11" s="160">
        <v>0</v>
      </c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0</v>
      </c>
      <c r="F12" s="161">
        <v>0.99</v>
      </c>
      <c r="G12" s="161">
        <f>'Consommation du 01.10 au 31.10'!U20</f>
        <v>0</v>
      </c>
      <c r="H12" s="161">
        <v>7.8338000000000001</v>
      </c>
      <c r="I12" s="161">
        <f>'Consommation du 01.10 au 31.10'!Y20*1000</f>
        <v>0</v>
      </c>
      <c r="J12" s="161">
        <v>0.53</v>
      </c>
      <c r="K12" s="161">
        <f>'Consommation du 01.10 au 31.10'!D20</f>
        <v>0</v>
      </c>
      <c r="L12" s="161">
        <v>12.67</v>
      </c>
      <c r="M12" s="160">
        <f>'Consommation du 01.10 au 31.10'!AC20</f>
        <v>0</v>
      </c>
      <c r="N12" s="160">
        <v>0</v>
      </c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0</v>
      </c>
      <c r="F13" s="161">
        <v>0.99</v>
      </c>
      <c r="G13" s="161">
        <f>'Consommation du 01.10 au 31.10'!U21</f>
        <v>0</v>
      </c>
      <c r="H13" s="161">
        <v>7.8338000000000001</v>
      </c>
      <c r="I13" s="161">
        <f>'Consommation du 01.10 au 31.10'!Y21*1000</f>
        <v>0</v>
      </c>
      <c r="J13" s="161">
        <v>0.53</v>
      </c>
      <c r="K13" s="161">
        <f>'Consommation du 01.10 au 31.10'!D21</f>
        <v>0</v>
      </c>
      <c r="L13" s="161">
        <v>12.67</v>
      </c>
      <c r="M13" s="160">
        <f>'Consommation du 01.10 au 31.10'!AC21</f>
        <v>0</v>
      </c>
      <c r="N13" s="160">
        <v>0</v>
      </c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0</v>
      </c>
      <c r="F14" s="161">
        <v>0.99</v>
      </c>
      <c r="G14" s="161">
        <f>'Consommation du 01.10 au 31.10'!U22</f>
        <v>0</v>
      </c>
      <c r="H14" s="161">
        <v>7.8338000000000001</v>
      </c>
      <c r="I14" s="161">
        <f>'Consommation du 01.10 au 31.10'!Y22*1000</f>
        <v>0</v>
      </c>
      <c r="J14" s="161">
        <v>0.53</v>
      </c>
      <c r="K14" s="161">
        <f>'Consommation du 01.10 au 31.10'!D22</f>
        <v>0</v>
      </c>
      <c r="L14" s="161">
        <v>12.67</v>
      </c>
      <c r="M14" s="160">
        <f>'Consommation du 01.10 au 31.10'!AC22</f>
        <v>0</v>
      </c>
      <c r="N14" s="160">
        <v>0</v>
      </c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0</v>
      </c>
      <c r="F15" s="161">
        <v>0.99</v>
      </c>
      <c r="G15" s="161">
        <f>'Consommation du 01.10 au 31.10'!U23</f>
        <v>0</v>
      </c>
      <c r="H15" s="161">
        <v>7.8338000000000001</v>
      </c>
      <c r="I15" s="161">
        <f>'Consommation du 01.10 au 31.10'!Y23*1000</f>
        <v>0</v>
      </c>
      <c r="J15" s="161">
        <v>0.53</v>
      </c>
      <c r="K15" s="161">
        <f>'Consommation du 01.10 au 31.10'!D23</f>
        <v>0</v>
      </c>
      <c r="L15" s="161">
        <v>12.67</v>
      </c>
      <c r="M15" s="160">
        <f>'Consommation du 01.10 au 31.10'!AC23</f>
        <v>0</v>
      </c>
      <c r="N15" s="160">
        <v>0</v>
      </c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0</v>
      </c>
      <c r="F16" s="161">
        <v>0.99</v>
      </c>
      <c r="G16" s="161">
        <f>'Consommation du 01.10 au 31.10'!U24</f>
        <v>0</v>
      </c>
      <c r="H16" s="161">
        <v>7.8338000000000001</v>
      </c>
      <c r="I16" s="161">
        <f>'Consommation du 01.10 au 31.10'!Y24*1000</f>
        <v>0</v>
      </c>
      <c r="J16" s="161">
        <v>0.53</v>
      </c>
      <c r="K16" s="161">
        <f>'Consommation du 01.10 au 31.10'!D24</f>
        <v>0</v>
      </c>
      <c r="L16" s="161">
        <v>12.67</v>
      </c>
      <c r="M16" s="160">
        <f>'Consommation du 01.10 au 31.10'!AC24</f>
        <v>0</v>
      </c>
      <c r="N16" s="160">
        <v>0</v>
      </c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0</v>
      </c>
      <c r="F17" s="161">
        <v>0.99</v>
      </c>
      <c r="G17" s="161">
        <f>'Consommation du 01.10 au 31.10'!U25</f>
        <v>0</v>
      </c>
      <c r="H17" s="161">
        <v>7.8338000000000001</v>
      </c>
      <c r="I17" s="161">
        <f>'Consommation du 01.10 au 31.10'!Y25*1000</f>
        <v>0</v>
      </c>
      <c r="J17" s="161">
        <v>0.53</v>
      </c>
      <c r="K17" s="161">
        <f>'Consommation du 01.10 au 31.10'!D25</f>
        <v>0</v>
      </c>
      <c r="L17" s="161">
        <v>12.67</v>
      </c>
      <c r="M17" s="160">
        <f>'Consommation du 01.10 au 31.10'!AC25</f>
        <v>0</v>
      </c>
      <c r="N17" s="160">
        <v>0</v>
      </c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0</v>
      </c>
      <c r="F18" s="161">
        <v>0.99</v>
      </c>
      <c r="G18" s="161">
        <f>'Consommation du 01.10 au 31.10'!U26</f>
        <v>0</v>
      </c>
      <c r="H18" s="161">
        <v>7.8338000000000001</v>
      </c>
      <c r="I18" s="161">
        <f>'Consommation du 01.10 au 31.10'!Y26*1000</f>
        <v>0</v>
      </c>
      <c r="J18" s="161">
        <v>0.53</v>
      </c>
      <c r="K18" s="161">
        <f>'Consommation du 01.10 au 31.10'!D26</f>
        <v>0</v>
      </c>
      <c r="L18" s="161">
        <v>12.67</v>
      </c>
      <c r="M18" s="160">
        <f>'Consommation du 01.10 au 31.10'!AC26</f>
        <v>0</v>
      </c>
      <c r="N18" s="160">
        <v>0</v>
      </c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0</v>
      </c>
      <c r="F19" s="161">
        <v>0.99</v>
      </c>
      <c r="G19" s="161">
        <f>'Consommation du 01.10 au 31.10'!U27</f>
        <v>0</v>
      </c>
      <c r="H19" s="161">
        <v>7.8338000000000001</v>
      </c>
      <c r="I19" s="161">
        <f>'Consommation du 01.10 au 31.10'!Y27*1000</f>
        <v>0</v>
      </c>
      <c r="J19" s="161">
        <v>0.53</v>
      </c>
      <c r="K19" s="161">
        <f>'Consommation du 01.10 au 31.10'!D27</f>
        <v>0</v>
      </c>
      <c r="L19" s="161">
        <v>12.67</v>
      </c>
      <c r="M19" s="160">
        <f>'Consommation du 01.10 au 31.10'!AC27</f>
        <v>0</v>
      </c>
      <c r="N19" s="160">
        <v>0</v>
      </c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0</v>
      </c>
      <c r="F20" s="161">
        <v>0.99</v>
      </c>
      <c r="G20" s="161">
        <f>'Consommation du 01.10 au 31.10'!U28</f>
        <v>0</v>
      </c>
      <c r="H20" s="161">
        <v>7.8338000000000001</v>
      </c>
      <c r="I20" s="161">
        <f>'Consommation du 01.10 au 31.10'!Y28*1000</f>
        <v>0</v>
      </c>
      <c r="J20" s="161">
        <v>0.53</v>
      </c>
      <c r="K20" s="161">
        <f>'Consommation du 01.10 au 31.10'!D28</f>
        <v>0</v>
      </c>
      <c r="L20" s="161">
        <v>12.67</v>
      </c>
      <c r="M20" s="160">
        <f>'Consommation du 01.10 au 31.10'!AC28</f>
        <v>0</v>
      </c>
      <c r="N20" s="160">
        <v>0</v>
      </c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0</v>
      </c>
      <c r="F21" s="161">
        <v>0.99</v>
      </c>
      <c r="G21" s="161">
        <f>'Consommation du 01.10 au 31.10'!U29</f>
        <v>0</v>
      </c>
      <c r="H21" s="161">
        <v>7.8338000000000001</v>
      </c>
      <c r="I21" s="161">
        <f>'Consommation du 01.10 au 31.10'!Y29*1000</f>
        <v>0</v>
      </c>
      <c r="J21" s="161">
        <v>0.53</v>
      </c>
      <c r="K21" s="161">
        <f>'Consommation du 01.10 au 31.10'!D29</f>
        <v>0</v>
      </c>
      <c r="L21" s="161">
        <v>12.67</v>
      </c>
      <c r="M21" s="160">
        <f>'Consommation du 01.10 au 31.10'!AC29</f>
        <v>0</v>
      </c>
      <c r="N21" s="160">
        <v>0</v>
      </c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0</v>
      </c>
      <c r="F22" s="161">
        <v>0.99</v>
      </c>
      <c r="G22" s="161">
        <f>'Consommation du 01.10 au 31.10'!U30</f>
        <v>0</v>
      </c>
      <c r="H22" s="161">
        <v>7.8338000000000001</v>
      </c>
      <c r="I22" s="161">
        <f>'Consommation du 01.10 au 31.10'!Y30*1000</f>
        <v>0</v>
      </c>
      <c r="J22" s="161">
        <v>0.53</v>
      </c>
      <c r="K22" s="161">
        <f>'Consommation du 01.10 au 31.10'!D30</f>
        <v>0</v>
      </c>
      <c r="L22" s="161">
        <v>12.67</v>
      </c>
      <c r="M22" s="160">
        <f>'Consommation du 01.10 au 31.10'!AC30</f>
        <v>0</v>
      </c>
      <c r="N22" s="160">
        <v>0</v>
      </c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0</v>
      </c>
      <c r="F23" s="161">
        <v>0.99</v>
      </c>
      <c r="G23" s="161">
        <f>'Consommation du 01.10 au 31.10'!U31</f>
        <v>0</v>
      </c>
      <c r="H23" s="161">
        <v>7.8338000000000001</v>
      </c>
      <c r="I23" s="161">
        <f>'Consommation du 01.10 au 31.10'!Y31*1000</f>
        <v>0</v>
      </c>
      <c r="J23" s="161">
        <v>0.53</v>
      </c>
      <c r="K23" s="161">
        <f>'Consommation du 01.10 au 31.10'!D31</f>
        <v>0</v>
      </c>
      <c r="L23" s="161">
        <v>12.67</v>
      </c>
      <c r="M23" s="160">
        <f>'Consommation du 01.10 au 31.10'!AC31</f>
        <v>0</v>
      </c>
      <c r="N23" s="160">
        <v>0</v>
      </c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0</v>
      </c>
      <c r="F24" s="161">
        <v>0.99</v>
      </c>
      <c r="G24" s="161">
        <f>'Consommation du 01.10 au 31.10'!U32</f>
        <v>0</v>
      </c>
      <c r="H24" s="161">
        <v>7.8338000000000001</v>
      </c>
      <c r="I24" s="161">
        <f>'Consommation du 01.10 au 31.10'!Y32*1000</f>
        <v>0</v>
      </c>
      <c r="J24" s="161">
        <v>0.53</v>
      </c>
      <c r="K24" s="161">
        <f>'Consommation du 01.10 au 31.10'!D32</f>
        <v>0</v>
      </c>
      <c r="L24" s="161">
        <v>12.67</v>
      </c>
      <c r="M24" s="160">
        <f>'Consommation du 01.10 au 31.10'!AC32</f>
        <v>0</v>
      </c>
      <c r="N24" s="160">
        <v>0</v>
      </c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0</v>
      </c>
      <c r="F25" s="161">
        <v>0.99</v>
      </c>
      <c r="G25" s="161">
        <f>'Consommation du 01.10 au 31.10'!U33</f>
        <v>0</v>
      </c>
      <c r="H25" s="161">
        <v>7.8338000000000001</v>
      </c>
      <c r="I25" s="161">
        <f>'Consommation du 01.10 au 31.10'!Y33*1000</f>
        <v>0</v>
      </c>
      <c r="J25" s="161">
        <v>0.53</v>
      </c>
      <c r="K25" s="161">
        <f>'Consommation du 01.10 au 31.10'!D33</f>
        <v>0</v>
      </c>
      <c r="L25" s="161">
        <v>12.67</v>
      </c>
      <c r="M25" s="160">
        <f>'Consommation du 01.10 au 31.10'!AC33</f>
        <v>0</v>
      </c>
      <c r="N25" s="160">
        <v>0</v>
      </c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0</v>
      </c>
      <c r="F26" s="161">
        <v>0.99</v>
      </c>
      <c r="G26" s="161">
        <f>'Consommation du 01.10 au 31.10'!U34</f>
        <v>0</v>
      </c>
      <c r="H26" s="161">
        <v>7.8338000000000001</v>
      </c>
      <c r="I26" s="161">
        <f>'Consommation du 01.10 au 31.10'!Y34*1000</f>
        <v>0</v>
      </c>
      <c r="J26" s="161">
        <v>0.53</v>
      </c>
      <c r="K26" s="161">
        <f>'Consommation du 01.10 au 31.10'!D34</f>
        <v>0</v>
      </c>
      <c r="L26" s="161">
        <v>12.67</v>
      </c>
      <c r="M26" s="160">
        <f>'Consommation du 01.10 au 31.10'!AC34</f>
        <v>0</v>
      </c>
      <c r="N26" s="160">
        <v>0</v>
      </c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0</v>
      </c>
      <c r="F27" s="161">
        <v>0.99</v>
      </c>
      <c r="G27" s="161">
        <f>'Consommation du 01.10 au 31.10'!U35</f>
        <v>0</v>
      </c>
      <c r="H27" s="161">
        <v>7.8338000000000001</v>
      </c>
      <c r="I27" s="161">
        <f>'Consommation du 01.10 au 31.10'!Y35*1000</f>
        <v>0</v>
      </c>
      <c r="J27" s="161">
        <v>0.53</v>
      </c>
      <c r="K27" s="161">
        <f>'Consommation du 01.10 au 31.10'!D35</f>
        <v>0</v>
      </c>
      <c r="L27" s="161">
        <v>12.67</v>
      </c>
      <c r="M27" s="160">
        <f>'Consommation du 01.10 au 31.10'!AC35</f>
        <v>0</v>
      </c>
      <c r="N27" s="160">
        <v>0</v>
      </c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0</v>
      </c>
      <c r="F28" s="161">
        <v>0.99</v>
      </c>
      <c r="G28" s="161">
        <f>'Consommation du 01.10 au 31.10'!U36</f>
        <v>0</v>
      </c>
      <c r="H28" s="161">
        <v>7.8338000000000001</v>
      </c>
      <c r="I28" s="161">
        <f>'Consommation du 01.10 au 31.10'!Y36*1000</f>
        <v>0</v>
      </c>
      <c r="J28" s="161">
        <v>0.53</v>
      </c>
      <c r="K28" s="161">
        <f>'Consommation du 01.10 au 31.10'!D36</f>
        <v>0</v>
      </c>
      <c r="L28" s="161">
        <v>12.67</v>
      </c>
      <c r="M28" s="160">
        <f>'Consommation du 01.10 au 31.10'!AC36</f>
        <v>0</v>
      </c>
      <c r="N28" s="160">
        <v>0</v>
      </c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0</v>
      </c>
      <c r="F29" s="161">
        <v>0.99</v>
      </c>
      <c r="G29" s="161">
        <f>'Consommation du 01.10 au 31.10'!U37</f>
        <v>0</v>
      </c>
      <c r="H29" s="161">
        <v>7.8338000000000001</v>
      </c>
      <c r="I29" s="161">
        <f>'Consommation du 01.10 au 31.10'!Y37*1000</f>
        <v>0</v>
      </c>
      <c r="J29" s="161">
        <v>0.53</v>
      </c>
      <c r="K29" s="161">
        <f>'Consommation du 01.10 au 31.10'!D37</f>
        <v>0</v>
      </c>
      <c r="L29" s="161">
        <v>12.67</v>
      </c>
      <c r="M29" s="160">
        <f>'Consommation du 01.10 au 31.10'!AC37</f>
        <v>0</v>
      </c>
      <c r="N29" s="160">
        <v>0</v>
      </c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0</v>
      </c>
      <c r="F30" s="161">
        <v>0.99</v>
      </c>
      <c r="G30" s="161">
        <f>'Consommation du 01.10 au 31.10'!U38</f>
        <v>0</v>
      </c>
      <c r="H30" s="161">
        <v>7.8338000000000001</v>
      </c>
      <c r="I30" s="161">
        <f>'Consommation du 01.10 au 31.10'!Y38*1000</f>
        <v>0</v>
      </c>
      <c r="J30" s="161">
        <v>0.53</v>
      </c>
      <c r="K30" s="161">
        <f>'Consommation du 01.10 au 31.10'!D38</f>
        <v>0</v>
      </c>
      <c r="L30" s="161">
        <v>12.67</v>
      </c>
      <c r="M30" s="160">
        <f>'Consommation du 01.10 au 31.10'!AC38</f>
        <v>0</v>
      </c>
      <c r="N30" s="160">
        <v>0</v>
      </c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0</v>
      </c>
      <c r="F31" s="161">
        <v>0.99</v>
      </c>
      <c r="G31" s="161">
        <f>'Consommation du 01.10 au 31.10'!U39</f>
        <v>0</v>
      </c>
      <c r="H31" s="161">
        <v>7.8338000000000001</v>
      </c>
      <c r="I31" s="161">
        <f>'Consommation du 01.10 au 31.10'!Y39*1000</f>
        <v>0</v>
      </c>
      <c r="J31" s="161">
        <v>0.53</v>
      </c>
      <c r="K31" s="161">
        <f>'Consommation du 01.10 au 31.10'!D39</f>
        <v>0</v>
      </c>
      <c r="L31" s="161">
        <v>12.67</v>
      </c>
      <c r="M31" s="160">
        <f>'Consommation du 01.10 au 31.10'!AC39</f>
        <v>0</v>
      </c>
      <c r="N31" s="160">
        <v>0</v>
      </c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0</v>
      </c>
      <c r="F32" s="161">
        <v>0.99</v>
      </c>
      <c r="G32" s="161">
        <f>'Consommation du 01.10 au 31.10'!U40</f>
        <v>0</v>
      </c>
      <c r="H32" s="161">
        <v>7.8338000000000001</v>
      </c>
      <c r="I32" s="161">
        <f>'Consommation du 01.10 au 31.10'!Y40*1000</f>
        <v>0</v>
      </c>
      <c r="J32" s="161">
        <v>0.53</v>
      </c>
      <c r="K32" s="161">
        <f>'Consommation du 01.10 au 31.10'!D40</f>
        <v>0</v>
      </c>
      <c r="L32" s="161">
        <v>12.67</v>
      </c>
      <c r="M32" s="160">
        <f>'Consommation du 01.10 au 31.10'!AC40</f>
        <v>0</v>
      </c>
      <c r="N32" s="160">
        <v>0</v>
      </c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93961.931540000704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tabSelected="1" view="pageBreakPreview" topLeftCell="A6" zoomScale="60" zoomScaleNormal="60" workbookViewId="0">
      <selection activeCell="AF14" sqref="AF14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186">
        <f t="shared" ref="F10:F40" si="0">D10*12.67</f>
        <v>3040.8</v>
      </c>
      <c r="G10" s="187"/>
      <c r="H10" s="18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U10*7.8338</f>
        <v>1743.8038800000002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7</v>
      </c>
      <c r="AD10" s="79">
        <v>0.04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23268.943880001541</v>
      </c>
      <c r="AK10" s="129">
        <f t="shared" ref="AK10:AK40" si="3">AJ10/AC10</f>
        <v>3324.1348400002203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186">
        <f t="shared" si="0"/>
        <v>3420.9</v>
      </c>
      <c r="G11" s="187"/>
      <c r="H11" s="18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U11*7.8338</f>
        <v>1162.53592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0.16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22284.025919998687</v>
      </c>
      <c r="AK11" s="129">
        <f t="shared" si="3"/>
        <v>928.50107999994532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2906.3398000000002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31</v>
      </c>
      <c r="AD12" s="79">
        <v>0.22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25832.299800000081</v>
      </c>
      <c r="AK12" s="129">
        <f t="shared" si="3"/>
        <v>833.29999354838969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5">
        <f t="shared" si="0"/>
        <v>3420.9</v>
      </c>
      <c r="G13" s="206"/>
      <c r="H13" s="207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871.90194000000008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0.06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22576.661940000384</v>
      </c>
      <c r="AK13" s="129">
        <f t="shared" si="3"/>
        <v>2508.5179933333761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0</v>
      </c>
      <c r="E14" s="96"/>
      <c r="F14" s="186">
        <f t="shared" si="0"/>
        <v>0</v>
      </c>
      <c r="G14" s="187"/>
      <c r="H14" s="188"/>
      <c r="I14" s="143"/>
      <c r="J14" s="94">
        <f>'Suivi EAU-ELEC'!E19</f>
        <v>0</v>
      </c>
      <c r="K14" s="95">
        <f>'Suivi EAU-ELEC'!G19</f>
        <v>0</v>
      </c>
      <c r="L14" s="95">
        <f>'Suivi EAU-ELEC'!I19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6"/>
      <c r="U14" s="60">
        <f>'Suivi Gaz'!O14</f>
        <v>0</v>
      </c>
      <c r="V14" s="58"/>
      <c r="W14" s="59">
        <f t="shared" si="6"/>
        <v>0</v>
      </c>
      <c r="X14" s="65">
        <v>17053.23</v>
      </c>
      <c r="Y14" s="149">
        <f t="shared" si="1"/>
        <v>0</v>
      </c>
      <c r="Z14" s="64">
        <f t="shared" si="7"/>
        <v>0</v>
      </c>
      <c r="AA14" s="58"/>
      <c r="AB14" s="61"/>
      <c r="AC14" s="78"/>
      <c r="AD14" s="79"/>
      <c r="AE14" s="83"/>
      <c r="AF14" s="83"/>
      <c r="AG14" s="80"/>
      <c r="AH14" s="81"/>
      <c r="AI14" s="44"/>
      <c r="AJ14" s="130">
        <f t="shared" si="2"/>
        <v>0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0</v>
      </c>
      <c r="E15" s="96"/>
      <c r="F15" s="208">
        <f t="shared" si="0"/>
        <v>0</v>
      </c>
      <c r="G15" s="209"/>
      <c r="H15" s="210"/>
      <c r="I15" s="145"/>
      <c r="J15" s="94">
        <f>'Suivi EAU-ELEC'!E20</f>
        <v>0</v>
      </c>
      <c r="K15" s="95">
        <f>'Suivi EAU-ELEC'!G20</f>
        <v>0</v>
      </c>
      <c r="L15" s="95">
        <f>'Suivi EAU-ELEC'!I20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Gaz'!O15</f>
        <v>0</v>
      </c>
      <c r="V15" s="58"/>
      <c r="W15" s="59">
        <f t="shared" si="6"/>
        <v>0</v>
      </c>
      <c r="X15" s="65"/>
      <c r="Y15" s="149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0</v>
      </c>
      <c r="E16" s="96"/>
      <c r="F16" s="205">
        <f t="shared" si="0"/>
        <v>0</v>
      </c>
      <c r="G16" s="206"/>
      <c r="H16" s="207"/>
      <c r="I16" s="142"/>
      <c r="J16" s="94">
        <f>'Suivi EAU-ELEC'!E21</f>
        <v>0</v>
      </c>
      <c r="K16" s="95">
        <f>'Suivi EAU-ELEC'!G21</f>
        <v>0</v>
      </c>
      <c r="L16" s="95">
        <f>'Suivi EAU-ELEC'!I21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Gaz'!O16</f>
        <v>0</v>
      </c>
      <c r="V16" s="58"/>
      <c r="W16" s="59">
        <f t="shared" si="6"/>
        <v>0</v>
      </c>
      <c r="X16" s="65"/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0</v>
      </c>
      <c r="E17" s="96"/>
      <c r="F17" s="186">
        <f t="shared" si="0"/>
        <v>0</v>
      </c>
      <c r="G17" s="187"/>
      <c r="H17" s="188"/>
      <c r="I17" s="143"/>
      <c r="J17" s="94">
        <f>'Suivi EAU-ELEC'!E22</f>
        <v>0</v>
      </c>
      <c r="K17" s="95">
        <f>'Suivi EAU-ELEC'!G22</f>
        <v>0</v>
      </c>
      <c r="L17" s="95">
        <f>'Suivi EAU-ELEC'!I22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Gaz'!O17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0</v>
      </c>
      <c r="E18" s="96"/>
      <c r="F18" s="208">
        <f t="shared" si="0"/>
        <v>0</v>
      </c>
      <c r="G18" s="209"/>
      <c r="H18" s="210"/>
      <c r="I18" s="143"/>
      <c r="J18" s="94">
        <f>'Suivi EAU-ELEC'!E23</f>
        <v>0</v>
      </c>
      <c r="K18" s="95">
        <f>'Suivi EAU-ELEC'!G23</f>
        <v>0</v>
      </c>
      <c r="L18" s="95">
        <f>'Suivi EAU-ELEC'!I23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Gaz'!O18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0</v>
      </c>
      <c r="E19" s="96"/>
      <c r="F19" s="186">
        <f t="shared" si="0"/>
        <v>0</v>
      </c>
      <c r="G19" s="187"/>
      <c r="H19" s="188"/>
      <c r="I19" s="143"/>
      <c r="J19" s="94">
        <f>'Suivi EAU-ELEC'!E24</f>
        <v>0</v>
      </c>
      <c r="K19" s="95">
        <f>'Suivi EAU-ELEC'!G24</f>
        <v>0</v>
      </c>
      <c r="L19" s="95">
        <f>'Suivi EAU-ELEC'!I24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Gaz'!O19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0</v>
      </c>
      <c r="E20" s="96"/>
      <c r="F20" s="205">
        <f t="shared" si="0"/>
        <v>0</v>
      </c>
      <c r="G20" s="206"/>
      <c r="H20" s="207"/>
      <c r="I20" s="143"/>
      <c r="J20" s="94">
        <f>'Suivi EAU-ELEC'!E25</f>
        <v>0</v>
      </c>
      <c r="K20" s="95">
        <f>'Suivi EAU-ELEC'!G25</f>
        <v>0</v>
      </c>
      <c r="L20" s="95">
        <f>'Suivi EAU-ELEC'!I25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Gaz'!O20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0</v>
      </c>
      <c r="E21" s="96"/>
      <c r="F21" s="186">
        <f t="shared" si="0"/>
        <v>0</v>
      </c>
      <c r="G21" s="187"/>
      <c r="H21" s="188"/>
      <c r="I21" s="143"/>
      <c r="J21" s="94">
        <f>'Suivi EAU-ELEC'!E26</f>
        <v>0</v>
      </c>
      <c r="K21" s="95">
        <f>'Suivi EAU-ELEC'!G26</f>
        <v>0</v>
      </c>
      <c r="L21" s="95">
        <f>'Suivi EAU-ELEC'!I26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Gaz'!O21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0</v>
      </c>
      <c r="E22" s="96"/>
      <c r="F22" s="208">
        <f t="shared" si="0"/>
        <v>0</v>
      </c>
      <c r="G22" s="209"/>
      <c r="H22" s="210"/>
      <c r="I22" s="143"/>
      <c r="J22" s="94">
        <f>'Suivi EAU-ELEC'!E27</f>
        <v>0</v>
      </c>
      <c r="K22" s="95">
        <f>'Suivi EAU-ELEC'!G27</f>
        <v>0</v>
      </c>
      <c r="L22" s="95">
        <f>'Suivi EAU-ELEC'!I27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Gaz'!O22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0</v>
      </c>
      <c r="E23" s="96"/>
      <c r="F23" s="186">
        <f t="shared" si="0"/>
        <v>0</v>
      </c>
      <c r="G23" s="187"/>
      <c r="H23" s="188"/>
      <c r="I23" s="143"/>
      <c r="J23" s="94">
        <f>'Suivi EAU-ELEC'!E28</f>
        <v>0</v>
      </c>
      <c r="K23" s="95">
        <f>'Suivi EAU-ELEC'!G28</f>
        <v>0</v>
      </c>
      <c r="L23" s="95">
        <f>'Suivi EAU-ELEC'!I28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Gaz'!O23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0</v>
      </c>
      <c r="E24" s="96"/>
      <c r="F24" s="186">
        <f t="shared" si="0"/>
        <v>0</v>
      </c>
      <c r="G24" s="187"/>
      <c r="H24" s="188"/>
      <c r="I24" s="143"/>
      <c r="J24" s="94">
        <f>'Suivi EAU-ELEC'!E29</f>
        <v>0</v>
      </c>
      <c r="K24" s="95">
        <f>'Suivi EAU-ELEC'!G29</f>
        <v>0</v>
      </c>
      <c r="L24" s="95">
        <f>'Suivi EAU-ELEC'!I29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Gaz'!O24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0</v>
      </c>
      <c r="E25" s="96"/>
      <c r="F25" s="186">
        <f t="shared" si="0"/>
        <v>0</v>
      </c>
      <c r="G25" s="187"/>
      <c r="H25" s="188"/>
      <c r="I25" s="143"/>
      <c r="J25" s="94">
        <f>'Suivi EAU-ELEC'!E30</f>
        <v>0</v>
      </c>
      <c r="K25" s="95">
        <f>'Suivi EAU-ELEC'!G30</f>
        <v>0</v>
      </c>
      <c r="L25" s="95">
        <f>'Suivi EAU-ELEC'!I30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Gaz'!O25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0</v>
      </c>
      <c r="E26" s="151"/>
      <c r="F26" s="186">
        <f t="shared" si="0"/>
        <v>0</v>
      </c>
      <c r="G26" s="187"/>
      <c r="H26" s="188"/>
      <c r="I26" s="143"/>
      <c r="J26" s="94">
        <f>'Suivi EAU-ELEC'!E31</f>
        <v>0</v>
      </c>
      <c r="K26" s="95">
        <f>'Suivi EAU-ELEC'!G31</f>
        <v>0</v>
      </c>
      <c r="L26" s="95">
        <f>'Suivi EAU-ELEC'!I31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Gaz'!O26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0</v>
      </c>
      <c r="E27" s="151"/>
      <c r="F27" s="186">
        <f t="shared" si="0"/>
        <v>0</v>
      </c>
      <c r="G27" s="187"/>
      <c r="H27" s="18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Gaz'!O27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0</v>
      </c>
      <c r="E28" s="151"/>
      <c r="F28" s="205">
        <f t="shared" si="0"/>
        <v>0</v>
      </c>
      <c r="G28" s="206"/>
      <c r="H28" s="207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Gaz'!O28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0</v>
      </c>
      <c r="E29" s="151"/>
      <c r="F29" s="186">
        <f t="shared" si="0"/>
        <v>0</v>
      </c>
      <c r="G29" s="187"/>
      <c r="H29" s="18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Gaz'!O29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0</v>
      </c>
      <c r="E34" s="96"/>
      <c r="F34" s="186">
        <f t="shared" si="0"/>
        <v>0</v>
      </c>
      <c r="G34" s="187"/>
      <c r="H34" s="18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14697.2</v>
      </c>
      <c r="G41" s="218"/>
      <c r="H41" s="219"/>
      <c r="I41" s="102"/>
      <c r="J41" s="104">
        <f>SUM(J10:J40)</f>
        <v>18651</v>
      </c>
      <c r="K41" s="104">
        <f>SUM(K10:K40)</f>
        <v>27482</v>
      </c>
      <c r="L41" s="104">
        <f>SUM(L10:L40)</f>
        <v>14032</v>
      </c>
      <c r="M41" s="104">
        <f>SUM(M10:M40)</f>
        <v>60165</v>
      </c>
      <c r="N41" s="103"/>
      <c r="O41" s="104">
        <f>SUM(O10:O40)</f>
        <v>59563.35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853.3</v>
      </c>
      <c r="V41" s="58"/>
      <c r="W41" s="104">
        <f>SUM(W10:W40)</f>
        <v>6684.5815400000001</v>
      </c>
      <c r="X41" s="140"/>
      <c r="Y41" s="104">
        <f>SUM(Y10:Y40)</f>
        <v>24.56000000000131</v>
      </c>
      <c r="Z41" s="104">
        <f>SUM(Z10:Z40)</f>
        <v>13016.800000000694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93961.931540000689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18651</v>
      </c>
      <c r="H43" s="228"/>
      <c r="I43" s="229"/>
      <c r="J43" s="230">
        <f>G43*F43</f>
        <v>12103.56645</v>
      </c>
      <c r="K43" s="231"/>
      <c r="L43" s="232">
        <f>J43+J44+J45</f>
        <v>53879.491430000002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27482</v>
      </c>
      <c r="H44" s="228"/>
      <c r="I44" s="229"/>
      <c r="J44" s="230">
        <f>G44*F44</f>
        <v>24350.426100000001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14032</v>
      </c>
      <c r="H45" s="242"/>
      <c r="I45" s="243"/>
      <c r="J45" s="230">
        <f>G45*F45</f>
        <v>17425.498879999999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853.3</v>
      </c>
      <c r="H47" s="257"/>
      <c r="I47" s="258"/>
      <c r="J47" s="256">
        <f>G47*F47</f>
        <v>6684.5815400000001</v>
      </c>
      <c r="K47" s="258"/>
      <c r="L47" s="259">
        <f>J47</f>
        <v>6684.5815400000001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5" sqref="B15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11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14" si="15">IF(AC9&gt;0,((B9-R9)+(S9-B10)),IF(B10=0, ,(B9-B10)))</f>
        <v>7</v>
      </c>
      <c r="D9" s="20">
        <v>72</v>
      </c>
      <c r="E9" s="18">
        <f t="shared" ref="E9:E14" si="16">IF(AC9&gt;0,((D9-U9)+(V9-D10)),IF(D10=0, ,(D9-D10)))</f>
        <v>4</v>
      </c>
      <c r="F9" s="20">
        <v>67</v>
      </c>
      <c r="G9" s="18">
        <f t="shared" ref="G9:G14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 t="shared" si="10"/>
        <v>1743.8038800000002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si="10"/>
        <v>1162.53592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8">(R11+U11+X11+AA11)/4</f>
        <v>0</v>
      </c>
      <c r="AE11" s="49">
        <f t="shared" si="18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19">IF(AC12&gt;0,((H12-AA12)+(AB12-H13)),IF(H13=0, ,(H12-H13)))</f>
        <v>4</v>
      </c>
      <c r="J12" s="18">
        <f t="shared" ref="J12:J42" si="20">B12+D12+F12+H12</f>
        <v>256</v>
      </c>
      <c r="K12" s="18">
        <f t="shared" ref="K12:K42" si="21">J12/4</f>
        <v>64</v>
      </c>
      <c r="L12" s="18">
        <f t="shared" ref="L12:L16" si="22">IF(AC12&gt;0,((K12-AD12)+(AE12-K13)),IF(K13=0, ,(K12-K13)))</f>
        <v>2.5</v>
      </c>
      <c r="M12" s="18">
        <f t="shared" si="7"/>
        <v>28000</v>
      </c>
      <c r="N12" s="18">
        <f t="shared" ref="N12:N15" si="23">L12*M12/100</f>
        <v>700</v>
      </c>
      <c r="O12" s="18">
        <f t="shared" ref="O12:O15" si="24">N12*0.53</f>
        <v>371</v>
      </c>
      <c r="P12" s="21">
        <f t="shared" ref="P12:P42" si="25">O12*7.8338</f>
        <v>2906.3398000000002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8"/>
        <v>0</v>
      </c>
      <c r="AE12" s="49">
        <f t="shared" si="18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19"/>
        <v>0</v>
      </c>
      <c r="J13" s="18">
        <f t="shared" si="20"/>
        <v>246</v>
      </c>
      <c r="K13" s="18">
        <f t="shared" si="21"/>
        <v>61.5</v>
      </c>
      <c r="L13" s="18">
        <f t="shared" si="22"/>
        <v>0.75</v>
      </c>
      <c r="M13" s="18">
        <f t="shared" si="7"/>
        <v>28000</v>
      </c>
      <c r="N13" s="18">
        <f t="shared" si="23"/>
        <v>210</v>
      </c>
      <c r="O13" s="18">
        <f t="shared" si="24"/>
        <v>111.30000000000001</v>
      </c>
      <c r="P13" s="21">
        <f t="shared" si="25"/>
        <v>871.90194000000008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8"/>
        <v>0</v>
      </c>
      <c r="AE13" s="49">
        <f t="shared" si="18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0</v>
      </c>
      <c r="H14" s="20">
        <v>61</v>
      </c>
      <c r="I14" s="18">
        <f t="shared" si="19"/>
        <v>0</v>
      </c>
      <c r="J14" s="18">
        <f t="shared" si="20"/>
        <v>243</v>
      </c>
      <c r="K14" s="18">
        <f t="shared" si="21"/>
        <v>60.75</v>
      </c>
      <c r="L14" s="18">
        <f t="shared" si="22"/>
        <v>0</v>
      </c>
      <c r="M14" s="18">
        <f t="shared" si="7"/>
        <v>28000</v>
      </c>
      <c r="N14" s="18">
        <f t="shared" si="23"/>
        <v>0</v>
      </c>
      <c r="O14" s="18">
        <f t="shared" si="24"/>
        <v>0</v>
      </c>
      <c r="P14" s="21">
        <f t="shared" si="25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/>
      <c r="C15" s="18">
        <f t="shared" ref="C12:C42" si="28">IF(AC15&gt;0,((B15-R15)+(S15-B16)),IF(B16=0, ,(B15-B16)))</f>
        <v>0</v>
      </c>
      <c r="D15" s="20"/>
      <c r="E15" s="18">
        <f t="shared" ref="E12:E42" si="29">IF(AC15&gt;0,((D15-U15)+(V15-D16)),IF(D16=0, ,(D15-D16)))</f>
        <v>0</v>
      </c>
      <c r="F15" s="20"/>
      <c r="G15" s="18">
        <f t="shared" ref="G12:G42" si="30">IF(AC15&gt;0,((F15-X15)+(Y15-F16)),IF(F16=0, ,(F15-F16)))</f>
        <v>0</v>
      </c>
      <c r="H15" s="20"/>
      <c r="I15" s="18">
        <f t="shared" si="19"/>
        <v>0</v>
      </c>
      <c r="J15" s="18">
        <f t="shared" si="20"/>
        <v>0</v>
      </c>
      <c r="K15" s="18">
        <f t="shared" si="21"/>
        <v>0</v>
      </c>
      <c r="L15" s="18">
        <f t="shared" si="22"/>
        <v>0</v>
      </c>
      <c r="M15" s="18">
        <f t="shared" si="7"/>
        <v>28000</v>
      </c>
      <c r="N15" s="18">
        <f t="shared" si="23"/>
        <v>0</v>
      </c>
      <c r="O15" s="18">
        <f t="shared" si="24"/>
        <v>0</v>
      </c>
      <c r="P15" s="21">
        <f t="shared" si="25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/>
      <c r="C16" s="18">
        <f t="shared" si="28"/>
        <v>0</v>
      </c>
      <c r="D16" s="20"/>
      <c r="E16" s="18">
        <f t="shared" si="29"/>
        <v>0</v>
      </c>
      <c r="F16" s="20"/>
      <c r="G16" s="18">
        <f t="shared" si="30"/>
        <v>0</v>
      </c>
      <c r="H16" s="20"/>
      <c r="I16" s="18">
        <f t="shared" si="19"/>
        <v>0</v>
      </c>
      <c r="J16" s="18">
        <f t="shared" si="20"/>
        <v>0</v>
      </c>
      <c r="K16" s="18">
        <f t="shared" si="21"/>
        <v>0</v>
      </c>
      <c r="L16" s="18">
        <f t="shared" si="22"/>
        <v>0</v>
      </c>
      <c r="M16" s="18">
        <f t="shared" si="7"/>
        <v>28000</v>
      </c>
      <c r="N16" s="18">
        <f t="shared" ref="N16:N42" si="31">L16*M16/100</f>
        <v>0</v>
      </c>
      <c r="O16" s="18">
        <f t="shared" ref="O16:O42" si="32">N16*0.53</f>
        <v>0</v>
      </c>
      <c r="P16" s="21">
        <f t="shared" si="25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/>
      <c r="C17" s="18">
        <f t="shared" si="28"/>
        <v>0</v>
      </c>
      <c r="D17" s="20"/>
      <c r="E17" s="18">
        <f t="shared" si="29"/>
        <v>0</v>
      </c>
      <c r="F17" s="20"/>
      <c r="G17" s="18">
        <f t="shared" si="30"/>
        <v>0</v>
      </c>
      <c r="H17" s="20"/>
      <c r="I17" s="18">
        <f t="shared" si="19"/>
        <v>0</v>
      </c>
      <c r="J17" s="18">
        <f t="shared" si="20"/>
        <v>0</v>
      </c>
      <c r="K17" s="18">
        <f t="shared" si="21"/>
        <v>0</v>
      </c>
      <c r="L17" s="18">
        <f t="shared" ref="L17:L42" si="33">IF(AC17&gt;0,((K17-AD17)+(AE17-K18)),IF(K18=0, ,(K17-K18)))</f>
        <v>0</v>
      </c>
      <c r="M17" s="18">
        <f t="shared" si="7"/>
        <v>28000</v>
      </c>
      <c r="N17" s="18">
        <f t="shared" si="31"/>
        <v>0</v>
      </c>
      <c r="O17" s="18">
        <f t="shared" si="32"/>
        <v>0</v>
      </c>
      <c r="P17" s="21">
        <f t="shared" si="25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/>
      <c r="C18" s="18">
        <f t="shared" si="28"/>
        <v>0</v>
      </c>
      <c r="D18" s="20"/>
      <c r="E18" s="18">
        <f t="shared" si="29"/>
        <v>0</v>
      </c>
      <c r="F18" s="20"/>
      <c r="G18" s="18">
        <f t="shared" si="30"/>
        <v>0</v>
      </c>
      <c r="H18" s="20"/>
      <c r="I18" s="18">
        <f t="shared" ref="I18:I42" si="34">IF(AC18&gt;0,((H18-AA18)+(AB18-H19)),IF(H19=0, ,(H18-H19)))</f>
        <v>0</v>
      </c>
      <c r="J18" s="18">
        <f t="shared" si="20"/>
        <v>0</v>
      </c>
      <c r="K18" s="18">
        <f t="shared" si="21"/>
        <v>0</v>
      </c>
      <c r="L18" s="18">
        <f t="shared" si="33"/>
        <v>0</v>
      </c>
      <c r="M18" s="18">
        <f t="shared" si="7"/>
        <v>28000</v>
      </c>
      <c r="N18" s="18">
        <f t="shared" si="31"/>
        <v>0</v>
      </c>
      <c r="O18" s="18">
        <f t="shared" si="32"/>
        <v>0</v>
      </c>
      <c r="P18" s="21">
        <f t="shared" si="25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6"/>
        <v>0</v>
      </c>
      <c r="AE18" s="49">
        <f t="shared" si="27"/>
        <v>0</v>
      </c>
    </row>
    <row r="19" spans="1:31" ht="32.25" customHeight="1" x14ac:dyDescent="0.3">
      <c r="A19" s="19">
        <f t="shared" si="14"/>
        <v>44114</v>
      </c>
      <c r="B19" s="20"/>
      <c r="C19" s="18">
        <f t="shared" si="28"/>
        <v>0</v>
      </c>
      <c r="D19" s="20"/>
      <c r="E19" s="18">
        <f t="shared" si="29"/>
        <v>0</v>
      </c>
      <c r="F19" s="20"/>
      <c r="G19" s="18">
        <f t="shared" si="30"/>
        <v>0</v>
      </c>
      <c r="H19" s="20"/>
      <c r="I19" s="18">
        <f t="shared" si="34"/>
        <v>0</v>
      </c>
      <c r="J19" s="18">
        <f t="shared" si="20"/>
        <v>0</v>
      </c>
      <c r="K19" s="18">
        <f t="shared" si="21"/>
        <v>0</v>
      </c>
      <c r="L19" s="18">
        <f t="shared" si="33"/>
        <v>0</v>
      </c>
      <c r="M19" s="18">
        <f t="shared" si="7"/>
        <v>28000</v>
      </c>
      <c r="N19" s="18">
        <f t="shared" si="31"/>
        <v>0</v>
      </c>
      <c r="O19" s="18">
        <f t="shared" si="32"/>
        <v>0</v>
      </c>
      <c r="P19" s="21">
        <f t="shared" si="25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/>
      <c r="C20" s="18">
        <f t="shared" si="28"/>
        <v>0</v>
      </c>
      <c r="D20" s="20"/>
      <c r="E20" s="18">
        <f t="shared" si="29"/>
        <v>0</v>
      </c>
      <c r="F20" s="20"/>
      <c r="G20" s="18">
        <f t="shared" si="30"/>
        <v>0</v>
      </c>
      <c r="H20" s="20"/>
      <c r="I20" s="18">
        <f t="shared" si="34"/>
        <v>0</v>
      </c>
      <c r="J20" s="18">
        <f t="shared" si="20"/>
        <v>0</v>
      </c>
      <c r="K20" s="18">
        <f t="shared" si="21"/>
        <v>0</v>
      </c>
      <c r="L20" s="18">
        <f t="shared" si="33"/>
        <v>0</v>
      </c>
      <c r="M20" s="18">
        <f t="shared" si="7"/>
        <v>28000</v>
      </c>
      <c r="N20" s="18">
        <f t="shared" si="31"/>
        <v>0</v>
      </c>
      <c r="O20" s="18">
        <f t="shared" si="32"/>
        <v>0</v>
      </c>
      <c r="P20" s="21">
        <f t="shared" si="2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/>
      <c r="C21" s="18">
        <f t="shared" si="28"/>
        <v>0</v>
      </c>
      <c r="D21" s="20"/>
      <c r="E21" s="18">
        <f t="shared" si="29"/>
        <v>0</v>
      </c>
      <c r="F21" s="20"/>
      <c r="G21" s="18">
        <f t="shared" si="30"/>
        <v>0</v>
      </c>
      <c r="H21" s="20"/>
      <c r="I21" s="18">
        <f t="shared" si="34"/>
        <v>0</v>
      </c>
      <c r="J21" s="18">
        <f t="shared" si="20"/>
        <v>0</v>
      </c>
      <c r="K21" s="18">
        <f t="shared" si="21"/>
        <v>0</v>
      </c>
      <c r="L21" s="18">
        <f t="shared" si="33"/>
        <v>0</v>
      </c>
      <c r="M21" s="18">
        <f t="shared" si="7"/>
        <v>28000</v>
      </c>
      <c r="N21" s="18">
        <f t="shared" si="31"/>
        <v>0</v>
      </c>
      <c r="O21" s="18">
        <f t="shared" si="32"/>
        <v>0</v>
      </c>
      <c r="P21" s="21">
        <f t="shared" si="2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/>
      <c r="C22" s="18">
        <f t="shared" si="28"/>
        <v>0</v>
      </c>
      <c r="D22" s="20"/>
      <c r="E22" s="18">
        <f t="shared" si="29"/>
        <v>0</v>
      </c>
      <c r="F22" s="20"/>
      <c r="G22" s="18">
        <f t="shared" si="30"/>
        <v>0</v>
      </c>
      <c r="H22" s="20"/>
      <c r="I22" s="18">
        <f t="shared" si="34"/>
        <v>0</v>
      </c>
      <c r="J22" s="18">
        <f t="shared" si="20"/>
        <v>0</v>
      </c>
      <c r="K22" s="18">
        <f t="shared" si="21"/>
        <v>0</v>
      </c>
      <c r="L22" s="18">
        <f t="shared" si="33"/>
        <v>0</v>
      </c>
      <c r="M22" s="18">
        <f t="shared" si="7"/>
        <v>28000</v>
      </c>
      <c r="N22" s="18">
        <f t="shared" si="31"/>
        <v>0</v>
      </c>
      <c r="O22" s="18">
        <f t="shared" si="32"/>
        <v>0</v>
      </c>
      <c r="P22" s="21">
        <f t="shared" si="2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/>
      <c r="C23" s="18">
        <f t="shared" si="28"/>
        <v>0</v>
      </c>
      <c r="D23" s="20"/>
      <c r="E23" s="18">
        <f t="shared" si="29"/>
        <v>0</v>
      </c>
      <c r="F23" s="20"/>
      <c r="G23" s="18">
        <f t="shared" si="30"/>
        <v>0</v>
      </c>
      <c r="H23" s="20"/>
      <c r="I23" s="18">
        <f t="shared" si="34"/>
        <v>0</v>
      </c>
      <c r="J23" s="18">
        <f t="shared" si="20"/>
        <v>0</v>
      </c>
      <c r="K23" s="18">
        <f t="shared" si="21"/>
        <v>0</v>
      </c>
      <c r="L23" s="18">
        <f t="shared" si="33"/>
        <v>0</v>
      </c>
      <c r="M23" s="18">
        <f t="shared" si="7"/>
        <v>28000</v>
      </c>
      <c r="N23" s="18">
        <f t="shared" si="31"/>
        <v>0</v>
      </c>
      <c r="O23" s="18">
        <f t="shared" si="32"/>
        <v>0</v>
      </c>
      <c r="P23" s="21">
        <f t="shared" si="2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/>
      <c r="C24" s="18">
        <f t="shared" si="28"/>
        <v>0</v>
      </c>
      <c r="D24" s="20"/>
      <c r="E24" s="18">
        <f t="shared" si="29"/>
        <v>0</v>
      </c>
      <c r="F24" s="20"/>
      <c r="G24" s="18">
        <f t="shared" si="30"/>
        <v>0</v>
      </c>
      <c r="H24" s="20"/>
      <c r="I24" s="18">
        <f t="shared" si="34"/>
        <v>0</v>
      </c>
      <c r="J24" s="18">
        <f t="shared" si="20"/>
        <v>0</v>
      </c>
      <c r="K24" s="18">
        <f t="shared" si="21"/>
        <v>0</v>
      </c>
      <c r="L24" s="18">
        <f t="shared" si="33"/>
        <v>0</v>
      </c>
      <c r="M24" s="18">
        <f t="shared" si="7"/>
        <v>28000</v>
      </c>
      <c r="N24" s="18">
        <f t="shared" si="31"/>
        <v>0</v>
      </c>
      <c r="O24" s="18">
        <f t="shared" si="32"/>
        <v>0</v>
      </c>
      <c r="P24" s="21">
        <f t="shared" si="2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/>
      <c r="C25" s="18">
        <f t="shared" si="28"/>
        <v>0</v>
      </c>
      <c r="D25" s="20"/>
      <c r="E25" s="18">
        <f t="shared" si="29"/>
        <v>0</v>
      </c>
      <c r="F25" s="20"/>
      <c r="G25" s="18">
        <f t="shared" si="30"/>
        <v>0</v>
      </c>
      <c r="H25" s="20"/>
      <c r="I25" s="18">
        <f t="shared" si="34"/>
        <v>0</v>
      </c>
      <c r="J25" s="18">
        <f t="shared" si="20"/>
        <v>0</v>
      </c>
      <c r="K25" s="18">
        <f t="shared" si="21"/>
        <v>0</v>
      </c>
      <c r="L25" s="18">
        <f t="shared" si="33"/>
        <v>0</v>
      </c>
      <c r="M25" s="18">
        <f t="shared" si="7"/>
        <v>28000</v>
      </c>
      <c r="N25" s="18">
        <f t="shared" si="31"/>
        <v>0</v>
      </c>
      <c r="O25" s="18">
        <f t="shared" si="32"/>
        <v>0</v>
      </c>
      <c r="P25" s="21">
        <f t="shared" si="2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/>
      <c r="C26" s="18">
        <f t="shared" si="28"/>
        <v>0</v>
      </c>
      <c r="D26" s="20"/>
      <c r="E26" s="18">
        <f t="shared" si="29"/>
        <v>0</v>
      </c>
      <c r="F26" s="20"/>
      <c r="G26" s="18">
        <f t="shared" si="30"/>
        <v>0</v>
      </c>
      <c r="H26" s="20"/>
      <c r="I26" s="18">
        <f t="shared" si="34"/>
        <v>0</v>
      </c>
      <c r="J26" s="18">
        <f t="shared" si="20"/>
        <v>0</v>
      </c>
      <c r="K26" s="18">
        <f t="shared" si="21"/>
        <v>0</v>
      </c>
      <c r="L26" s="18">
        <f t="shared" si="33"/>
        <v>0</v>
      </c>
      <c r="M26" s="18">
        <f t="shared" si="7"/>
        <v>28000</v>
      </c>
      <c r="N26" s="18">
        <f t="shared" si="31"/>
        <v>0</v>
      </c>
      <c r="O26" s="18">
        <f t="shared" si="32"/>
        <v>0</v>
      </c>
      <c r="P26" s="21">
        <f t="shared" si="2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/>
      <c r="C27" s="18">
        <f t="shared" si="28"/>
        <v>0</v>
      </c>
      <c r="D27" s="20"/>
      <c r="E27" s="18">
        <f t="shared" si="29"/>
        <v>0</v>
      </c>
      <c r="F27" s="20"/>
      <c r="G27" s="18">
        <f t="shared" si="30"/>
        <v>0</v>
      </c>
      <c r="H27" s="20"/>
      <c r="I27" s="18">
        <f t="shared" si="34"/>
        <v>0</v>
      </c>
      <c r="J27" s="18">
        <f t="shared" si="20"/>
        <v>0</v>
      </c>
      <c r="K27" s="18">
        <f t="shared" si="21"/>
        <v>0</v>
      </c>
      <c r="L27" s="18">
        <f t="shared" si="33"/>
        <v>0</v>
      </c>
      <c r="M27" s="18">
        <f t="shared" si="7"/>
        <v>28000</v>
      </c>
      <c r="N27" s="18">
        <f t="shared" si="31"/>
        <v>0</v>
      </c>
      <c r="O27" s="18">
        <f t="shared" si="32"/>
        <v>0</v>
      </c>
      <c r="P27" s="21">
        <f t="shared" si="2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/>
      <c r="C28" s="18">
        <f t="shared" si="28"/>
        <v>0</v>
      </c>
      <c r="D28" s="20"/>
      <c r="E28" s="18">
        <f t="shared" si="29"/>
        <v>0</v>
      </c>
      <c r="F28" s="20"/>
      <c r="G28" s="18">
        <f t="shared" si="30"/>
        <v>0</v>
      </c>
      <c r="H28" s="20"/>
      <c r="I28" s="18">
        <f t="shared" si="34"/>
        <v>0</v>
      </c>
      <c r="J28" s="18">
        <f t="shared" si="20"/>
        <v>0</v>
      </c>
      <c r="K28" s="18">
        <f t="shared" si="21"/>
        <v>0</v>
      </c>
      <c r="L28" s="18">
        <f t="shared" si="33"/>
        <v>0</v>
      </c>
      <c r="M28" s="18">
        <f t="shared" si="7"/>
        <v>28000</v>
      </c>
      <c r="N28" s="18">
        <f t="shared" si="31"/>
        <v>0</v>
      </c>
      <c r="O28" s="18">
        <f t="shared" si="32"/>
        <v>0</v>
      </c>
      <c r="P28" s="21">
        <f t="shared" si="2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/>
      <c r="C29" s="18">
        <f t="shared" si="28"/>
        <v>0</v>
      </c>
      <c r="D29" s="20"/>
      <c r="E29" s="18">
        <f t="shared" si="29"/>
        <v>0</v>
      </c>
      <c r="F29" s="20"/>
      <c r="G29" s="18">
        <f t="shared" si="30"/>
        <v>0</v>
      </c>
      <c r="H29" s="20"/>
      <c r="I29" s="18">
        <f t="shared" si="34"/>
        <v>0</v>
      </c>
      <c r="J29" s="18">
        <f t="shared" si="20"/>
        <v>0</v>
      </c>
      <c r="K29" s="18">
        <f t="shared" si="21"/>
        <v>0</v>
      </c>
      <c r="L29" s="18">
        <f t="shared" si="33"/>
        <v>0</v>
      </c>
      <c r="M29" s="18">
        <f t="shared" si="7"/>
        <v>28000</v>
      </c>
      <c r="N29" s="18">
        <f t="shared" si="31"/>
        <v>0</v>
      </c>
      <c r="O29" s="18">
        <f t="shared" si="32"/>
        <v>0</v>
      </c>
      <c r="P29" s="21">
        <f t="shared" si="2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6"/>
        <v>0</v>
      </c>
      <c r="AE29" s="49">
        <f t="shared" si="27"/>
        <v>0</v>
      </c>
    </row>
    <row r="30" spans="1:31" ht="32.25" customHeight="1" x14ac:dyDescent="0.3">
      <c r="A30" s="19">
        <f t="shared" si="14"/>
        <v>44125</v>
      </c>
      <c r="B30" s="20"/>
      <c r="C30" s="18">
        <f t="shared" si="28"/>
        <v>0</v>
      </c>
      <c r="D30" s="20"/>
      <c r="E30" s="18">
        <f t="shared" si="29"/>
        <v>0</v>
      </c>
      <c r="F30" s="20"/>
      <c r="G30" s="18">
        <f t="shared" si="30"/>
        <v>0</v>
      </c>
      <c r="H30" s="20"/>
      <c r="I30" s="18">
        <f t="shared" si="34"/>
        <v>0</v>
      </c>
      <c r="J30" s="18">
        <f t="shared" si="20"/>
        <v>0</v>
      </c>
      <c r="K30" s="18">
        <f t="shared" si="21"/>
        <v>0</v>
      </c>
      <c r="L30" s="18">
        <f t="shared" si="33"/>
        <v>0</v>
      </c>
      <c r="M30" s="18">
        <f t="shared" si="7"/>
        <v>28000</v>
      </c>
      <c r="N30" s="18">
        <f t="shared" si="31"/>
        <v>0</v>
      </c>
      <c r="O30" s="18">
        <f t="shared" si="32"/>
        <v>0</v>
      </c>
      <c r="P30" s="21">
        <f t="shared" si="2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/>
      <c r="C31" s="18">
        <f t="shared" si="28"/>
        <v>0</v>
      </c>
      <c r="D31" s="20"/>
      <c r="E31" s="18">
        <f t="shared" si="29"/>
        <v>0</v>
      </c>
      <c r="F31" s="20"/>
      <c r="G31" s="18">
        <f t="shared" si="30"/>
        <v>0</v>
      </c>
      <c r="H31" s="20"/>
      <c r="I31" s="18">
        <f t="shared" si="34"/>
        <v>0</v>
      </c>
      <c r="J31" s="18">
        <f t="shared" si="20"/>
        <v>0</v>
      </c>
      <c r="K31" s="18">
        <f t="shared" si="21"/>
        <v>0</v>
      </c>
      <c r="L31" s="18">
        <f t="shared" si="33"/>
        <v>0</v>
      </c>
      <c r="M31" s="18">
        <f t="shared" si="7"/>
        <v>28000</v>
      </c>
      <c r="N31" s="18">
        <f t="shared" si="31"/>
        <v>0</v>
      </c>
      <c r="O31" s="18">
        <f t="shared" si="32"/>
        <v>0</v>
      </c>
      <c r="P31" s="21">
        <f t="shared" si="2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/>
      <c r="C32" s="18">
        <f t="shared" si="28"/>
        <v>0</v>
      </c>
      <c r="D32" s="20"/>
      <c r="E32" s="18">
        <f t="shared" si="29"/>
        <v>0</v>
      </c>
      <c r="F32" s="20"/>
      <c r="G32" s="18">
        <f t="shared" si="30"/>
        <v>0</v>
      </c>
      <c r="H32" s="20"/>
      <c r="I32" s="18">
        <f t="shared" si="34"/>
        <v>0</v>
      </c>
      <c r="J32" s="18">
        <f t="shared" si="20"/>
        <v>0</v>
      </c>
      <c r="K32" s="18">
        <f t="shared" si="21"/>
        <v>0</v>
      </c>
      <c r="L32" s="18">
        <f t="shared" si="33"/>
        <v>0</v>
      </c>
      <c r="M32" s="18">
        <f t="shared" si="7"/>
        <v>28000</v>
      </c>
      <c r="N32" s="18">
        <f t="shared" si="31"/>
        <v>0</v>
      </c>
      <c r="O32" s="18">
        <f t="shared" si="32"/>
        <v>0</v>
      </c>
      <c r="P32" s="21">
        <f t="shared" si="2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/>
      <c r="C33" s="18">
        <f t="shared" si="28"/>
        <v>0</v>
      </c>
      <c r="D33" s="20"/>
      <c r="E33" s="18">
        <f t="shared" si="29"/>
        <v>0</v>
      </c>
      <c r="F33" s="20"/>
      <c r="G33" s="18">
        <f t="shared" si="30"/>
        <v>0</v>
      </c>
      <c r="H33" s="20"/>
      <c r="I33" s="18">
        <f t="shared" si="34"/>
        <v>0</v>
      </c>
      <c r="J33" s="18">
        <f t="shared" si="20"/>
        <v>0</v>
      </c>
      <c r="K33" s="18">
        <f t="shared" si="21"/>
        <v>0</v>
      </c>
      <c r="L33" s="18">
        <f t="shared" si="33"/>
        <v>0</v>
      </c>
      <c r="M33" s="18">
        <f t="shared" si="7"/>
        <v>28000</v>
      </c>
      <c r="N33" s="18">
        <f t="shared" si="31"/>
        <v>0</v>
      </c>
      <c r="O33" s="18">
        <f t="shared" si="32"/>
        <v>0</v>
      </c>
      <c r="P33" s="21">
        <f t="shared" si="2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/>
      <c r="C34" s="18">
        <f t="shared" si="28"/>
        <v>0</v>
      </c>
      <c r="D34" s="20"/>
      <c r="E34" s="18">
        <f t="shared" si="29"/>
        <v>0</v>
      </c>
      <c r="F34" s="20"/>
      <c r="G34" s="18">
        <f t="shared" si="30"/>
        <v>0</v>
      </c>
      <c r="H34" s="20"/>
      <c r="I34" s="18">
        <f t="shared" si="34"/>
        <v>0</v>
      </c>
      <c r="J34" s="18">
        <f t="shared" si="20"/>
        <v>0</v>
      </c>
      <c r="K34" s="18">
        <f t="shared" si="21"/>
        <v>0</v>
      </c>
      <c r="L34" s="18">
        <f t="shared" si="33"/>
        <v>0</v>
      </c>
      <c r="M34" s="18">
        <f t="shared" si="7"/>
        <v>28000</v>
      </c>
      <c r="N34" s="18">
        <f t="shared" si="31"/>
        <v>0</v>
      </c>
      <c r="O34" s="18">
        <f t="shared" si="32"/>
        <v>0</v>
      </c>
      <c r="P34" s="21">
        <f t="shared" si="2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/>
      <c r="C35" s="18">
        <f t="shared" si="28"/>
        <v>0</v>
      </c>
      <c r="D35" s="20"/>
      <c r="E35" s="18">
        <f t="shared" si="29"/>
        <v>0</v>
      </c>
      <c r="F35" s="20"/>
      <c r="G35" s="18">
        <f t="shared" si="30"/>
        <v>0</v>
      </c>
      <c r="H35" s="20"/>
      <c r="I35" s="18">
        <f t="shared" si="34"/>
        <v>0</v>
      </c>
      <c r="J35" s="18">
        <f t="shared" si="20"/>
        <v>0</v>
      </c>
      <c r="K35" s="18">
        <f t="shared" si="21"/>
        <v>0</v>
      </c>
      <c r="L35" s="18">
        <f t="shared" si="33"/>
        <v>0</v>
      </c>
      <c r="M35" s="18">
        <f t="shared" si="7"/>
        <v>28000</v>
      </c>
      <c r="N35" s="18">
        <f t="shared" si="31"/>
        <v>0</v>
      </c>
      <c r="O35" s="18">
        <f t="shared" si="32"/>
        <v>0</v>
      </c>
      <c r="P35" s="21">
        <f t="shared" si="2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/>
      <c r="C36" s="18">
        <f t="shared" si="28"/>
        <v>0</v>
      </c>
      <c r="D36" s="20"/>
      <c r="E36" s="18">
        <f t="shared" si="29"/>
        <v>0</v>
      </c>
      <c r="F36" s="20"/>
      <c r="G36" s="18">
        <f t="shared" si="30"/>
        <v>0</v>
      </c>
      <c r="H36" s="20"/>
      <c r="I36" s="18">
        <f t="shared" si="34"/>
        <v>0</v>
      </c>
      <c r="J36" s="18">
        <f t="shared" si="20"/>
        <v>0</v>
      </c>
      <c r="K36" s="18">
        <f t="shared" si="21"/>
        <v>0</v>
      </c>
      <c r="L36" s="18">
        <f t="shared" si="33"/>
        <v>0</v>
      </c>
      <c r="M36" s="18">
        <f t="shared" si="7"/>
        <v>28000</v>
      </c>
      <c r="N36" s="18">
        <f t="shared" si="31"/>
        <v>0</v>
      </c>
      <c r="O36" s="18">
        <f t="shared" si="32"/>
        <v>0</v>
      </c>
      <c r="P36" s="21">
        <f t="shared" si="2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/>
      <c r="C37" s="18">
        <f t="shared" si="28"/>
        <v>0</v>
      </c>
      <c r="D37" s="20"/>
      <c r="E37" s="18">
        <f t="shared" si="29"/>
        <v>0</v>
      </c>
      <c r="F37" s="20"/>
      <c r="G37" s="18">
        <f t="shared" si="30"/>
        <v>0</v>
      </c>
      <c r="H37" s="20"/>
      <c r="I37" s="18">
        <f t="shared" si="34"/>
        <v>0</v>
      </c>
      <c r="J37" s="18">
        <f t="shared" si="20"/>
        <v>0</v>
      </c>
      <c r="K37" s="18">
        <f t="shared" si="21"/>
        <v>0</v>
      </c>
      <c r="L37" s="18">
        <f t="shared" si="33"/>
        <v>0</v>
      </c>
      <c r="M37" s="18">
        <f t="shared" si="7"/>
        <v>28000</v>
      </c>
      <c r="N37" s="18">
        <f t="shared" si="31"/>
        <v>0</v>
      </c>
      <c r="O37" s="18">
        <f t="shared" si="32"/>
        <v>0</v>
      </c>
      <c r="P37" s="21">
        <f t="shared" si="2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/>
      <c r="C38" s="18">
        <f t="shared" si="28"/>
        <v>0</v>
      </c>
      <c r="D38" s="20"/>
      <c r="E38" s="18">
        <f t="shared" si="29"/>
        <v>0</v>
      </c>
      <c r="F38" s="20"/>
      <c r="G38" s="18">
        <f t="shared" si="30"/>
        <v>0</v>
      </c>
      <c r="H38" s="20"/>
      <c r="I38" s="18">
        <f t="shared" si="34"/>
        <v>0</v>
      </c>
      <c r="J38" s="18">
        <f t="shared" si="20"/>
        <v>0</v>
      </c>
      <c r="K38" s="18">
        <f t="shared" si="21"/>
        <v>0</v>
      </c>
      <c r="L38" s="18">
        <f t="shared" si="33"/>
        <v>0</v>
      </c>
      <c r="M38" s="18">
        <f t="shared" si="7"/>
        <v>28000</v>
      </c>
      <c r="N38" s="18">
        <f t="shared" si="31"/>
        <v>0</v>
      </c>
      <c r="O38" s="18">
        <f t="shared" si="32"/>
        <v>0</v>
      </c>
      <c r="P38" s="21">
        <f t="shared" si="2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/>
      <c r="C39" s="18">
        <f t="shared" si="28"/>
        <v>0</v>
      </c>
      <c r="D39" s="20"/>
      <c r="E39" s="18">
        <f t="shared" si="29"/>
        <v>0</v>
      </c>
      <c r="F39" s="20"/>
      <c r="G39" s="18">
        <f t="shared" si="30"/>
        <v>0</v>
      </c>
      <c r="H39" s="20"/>
      <c r="I39" s="18">
        <f t="shared" si="34"/>
        <v>0</v>
      </c>
      <c r="J39" s="18">
        <f t="shared" si="20"/>
        <v>0</v>
      </c>
      <c r="K39" s="18">
        <f t="shared" si="21"/>
        <v>0</v>
      </c>
      <c r="L39" s="18">
        <f t="shared" si="33"/>
        <v>0</v>
      </c>
      <c r="M39" s="18">
        <f t="shared" si="7"/>
        <v>28000</v>
      </c>
      <c r="N39" s="18">
        <f t="shared" si="31"/>
        <v>0</v>
      </c>
      <c r="O39" s="18">
        <f t="shared" si="32"/>
        <v>0</v>
      </c>
      <c r="P39" s="21">
        <f t="shared" si="2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/>
      <c r="C40" s="18">
        <f t="shared" si="28"/>
        <v>0</v>
      </c>
      <c r="D40" s="20"/>
      <c r="E40" s="18">
        <f t="shared" si="29"/>
        <v>0</v>
      </c>
      <c r="F40" s="20"/>
      <c r="G40" s="18">
        <f t="shared" si="30"/>
        <v>0</v>
      </c>
      <c r="H40" s="20"/>
      <c r="I40" s="18">
        <f t="shared" si="34"/>
        <v>0</v>
      </c>
      <c r="J40" s="18">
        <f t="shared" si="20"/>
        <v>0</v>
      </c>
      <c r="K40" s="18">
        <f t="shared" si="21"/>
        <v>0</v>
      </c>
      <c r="L40" s="18">
        <f t="shared" si="33"/>
        <v>0</v>
      </c>
      <c r="M40" s="18">
        <f t="shared" si="7"/>
        <v>28000</v>
      </c>
      <c r="N40" s="18">
        <f t="shared" si="31"/>
        <v>0</v>
      </c>
      <c r="O40" s="18">
        <f t="shared" si="32"/>
        <v>0</v>
      </c>
      <c r="P40" s="21">
        <f t="shared" si="2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6"/>
        <v>0</v>
      </c>
      <c r="AE40" s="49">
        <f t="shared" si="27"/>
        <v>0</v>
      </c>
    </row>
    <row r="41" spans="1:31" ht="32.25" customHeight="1" x14ac:dyDescent="0.3">
      <c r="A41" s="19">
        <f t="shared" si="14"/>
        <v>44136</v>
      </c>
      <c r="B41" s="20"/>
      <c r="C41" s="18">
        <f t="shared" si="28"/>
        <v>0</v>
      </c>
      <c r="D41" s="20"/>
      <c r="E41" s="18">
        <f t="shared" si="29"/>
        <v>0</v>
      </c>
      <c r="F41" s="20"/>
      <c r="G41" s="18">
        <f t="shared" si="30"/>
        <v>0</v>
      </c>
      <c r="H41" s="20"/>
      <c r="I41" s="18">
        <f t="shared" si="34"/>
        <v>0</v>
      </c>
      <c r="J41" s="18">
        <f t="shared" si="20"/>
        <v>0</v>
      </c>
      <c r="K41" s="18">
        <f t="shared" si="21"/>
        <v>0</v>
      </c>
      <c r="L41" s="18">
        <f t="shared" si="33"/>
        <v>0</v>
      </c>
      <c r="M41" s="18">
        <f t="shared" si="7"/>
        <v>28000</v>
      </c>
      <c r="N41" s="18">
        <f t="shared" si="31"/>
        <v>0</v>
      </c>
      <c r="O41" s="18">
        <f t="shared" si="32"/>
        <v>0</v>
      </c>
      <c r="P41" s="21">
        <f t="shared" si="2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si="28"/>
        <v>0</v>
      </c>
      <c r="D42" s="20"/>
      <c r="E42" s="18">
        <f t="shared" si="29"/>
        <v>0</v>
      </c>
      <c r="F42" s="20"/>
      <c r="G42" s="18">
        <f t="shared" si="30"/>
        <v>0</v>
      </c>
      <c r="H42" s="20"/>
      <c r="I42" s="18">
        <f t="shared" si="34"/>
        <v>0</v>
      </c>
      <c r="J42" s="18">
        <f t="shared" si="20"/>
        <v>0</v>
      </c>
      <c r="K42" s="18">
        <f t="shared" si="21"/>
        <v>0</v>
      </c>
      <c r="L42" s="18">
        <f t="shared" si="33"/>
        <v>0</v>
      </c>
      <c r="M42" s="18">
        <f t="shared" si="7"/>
        <v>28000</v>
      </c>
      <c r="N42" s="18">
        <f t="shared" si="31"/>
        <v>0</v>
      </c>
      <c r="O42" s="18">
        <f t="shared" si="32"/>
        <v>0</v>
      </c>
      <c r="P42" s="21">
        <f t="shared" si="2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7</v>
      </c>
      <c r="D43" s="20"/>
      <c r="E43" s="18">
        <f>SUM(E10:E40)</f>
        <v>6</v>
      </c>
      <c r="F43" s="20"/>
      <c r="G43" s="18">
        <f>SUM(G10:G40)</f>
        <v>4</v>
      </c>
      <c r="H43" s="20"/>
      <c r="I43" s="18">
        <f>SUM(I10:I40)</f>
        <v>6</v>
      </c>
      <c r="J43" s="16"/>
      <c r="K43" s="16"/>
      <c r="L43" s="16"/>
      <c r="M43" s="16"/>
      <c r="N43" s="18">
        <f>SUM(N10:N40)</f>
        <v>1610</v>
      </c>
      <c r="O43" s="18">
        <f>N43*0.53</f>
        <v>853.30000000000007</v>
      </c>
      <c r="P43" s="21">
        <f>O43*7.8338</f>
        <v>6684.581540000001</v>
      </c>
      <c r="Q43" s="277">
        <f>SUM(Q10:Q40)</f>
        <v>0</v>
      </c>
      <c r="R43" s="278"/>
      <c r="S43" s="279"/>
      <c r="T43" s="277">
        <f>SUM(T10:T40)</f>
        <v>0</v>
      </c>
      <c r="U43" s="278"/>
      <c r="V43" s="279"/>
      <c r="W43" s="277">
        <f>SUM(W10:W40)</f>
        <v>0</v>
      </c>
      <c r="X43" s="278"/>
      <c r="Y43" s="279"/>
      <c r="Z43" s="277">
        <f>SUM(Z10:Z40)</f>
        <v>0</v>
      </c>
      <c r="AA43" s="278"/>
      <c r="AB43" s="279"/>
      <c r="AC43" s="138">
        <f>SUM(AC10:AC40)</f>
        <v>0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0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1610</v>
      </c>
      <c r="L47" s="29">
        <f>O43</f>
        <v>853.30000000000007</v>
      </c>
      <c r="M47" s="29">
        <f>P43</f>
        <v>6684.581540000001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0" sqref="B20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920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19" si="0">IF(B10&lt;B9,0,B10-B9)*10</f>
        <v>250</v>
      </c>
      <c r="D9" s="42">
        <v>18572288</v>
      </c>
      <c r="E9" s="41">
        <f t="shared" ref="E9:E19" si="1">IF(D10&lt;D9,0,D10-D9)</f>
        <v>2010</v>
      </c>
      <c r="F9" s="42">
        <v>33372804</v>
      </c>
      <c r="G9" s="41">
        <f t="shared" ref="G9:G19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0</v>
      </c>
      <c r="D19" s="42">
        <v>18605142</v>
      </c>
      <c r="E19" s="41">
        <f t="shared" si="1"/>
        <v>0</v>
      </c>
      <c r="F19" s="42">
        <v>33427072</v>
      </c>
      <c r="G19" s="41">
        <f t="shared" si="2"/>
        <v>0</v>
      </c>
      <c r="H19" s="42">
        <v>14787641</v>
      </c>
      <c r="I19" s="41">
        <f t="shared" si="3"/>
        <v>0</v>
      </c>
    </row>
    <row r="20" spans="1:9" ht="21" thickTop="1" thickBot="1" x14ac:dyDescent="0.35">
      <c r="A20" s="39">
        <f t="shared" si="4"/>
        <v>44110</v>
      </c>
      <c r="B20" s="40"/>
      <c r="C20" s="41">
        <f t="shared" ref="C17:C47" si="5">IF(B21&lt;B20,0,B21-B20)*10</f>
        <v>0</v>
      </c>
      <c r="D20" s="42"/>
      <c r="E20" s="41">
        <f t="shared" ref="E17:E47" si="6">IF(D21&lt;D20,0,D21-D20)</f>
        <v>0</v>
      </c>
      <c r="F20" s="42"/>
      <c r="G20" s="41">
        <f t="shared" ref="G17:G47" si="7">IF(F21&lt;F20,0,F21-F20)</f>
        <v>0</v>
      </c>
      <c r="H20" s="42"/>
      <c r="I20" s="41">
        <f t="shared" si="3"/>
        <v>0</v>
      </c>
    </row>
    <row r="21" spans="1:9" ht="21" thickTop="1" thickBot="1" x14ac:dyDescent="0.35">
      <c r="A21" s="39">
        <f t="shared" si="4"/>
        <v>44111</v>
      </c>
      <c r="B21" s="40"/>
      <c r="C21" s="41">
        <f t="shared" si="5"/>
        <v>0</v>
      </c>
      <c r="D21" s="42"/>
      <c r="E21" s="41">
        <f t="shared" si="6"/>
        <v>0</v>
      </c>
      <c r="F21" s="42"/>
      <c r="G21" s="41">
        <f t="shared" si="7"/>
        <v>0</v>
      </c>
      <c r="H21" s="42"/>
      <c r="I21" s="41">
        <f t="shared" si="3"/>
        <v>0</v>
      </c>
    </row>
    <row r="22" spans="1:9" ht="21" thickTop="1" thickBot="1" x14ac:dyDescent="0.35">
      <c r="A22" s="39">
        <f t="shared" si="4"/>
        <v>44112</v>
      </c>
      <c r="B22" s="40"/>
      <c r="C22" s="41">
        <f t="shared" si="5"/>
        <v>0</v>
      </c>
      <c r="D22" s="42"/>
      <c r="E22" s="41">
        <f t="shared" si="6"/>
        <v>0</v>
      </c>
      <c r="F22" s="42"/>
      <c r="G22" s="41">
        <f t="shared" si="7"/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44113</v>
      </c>
      <c r="B23" s="40"/>
      <c r="C23" s="41">
        <f t="shared" si="5"/>
        <v>0</v>
      </c>
      <c r="D23" s="42"/>
      <c r="E23" s="41">
        <f t="shared" si="6"/>
        <v>0</v>
      </c>
      <c r="F23" s="42"/>
      <c r="G23" s="41">
        <f t="shared" si="7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44114</v>
      </c>
      <c r="B24" s="40"/>
      <c r="C24" s="41">
        <f t="shared" si="5"/>
        <v>0</v>
      </c>
      <c r="D24" s="42"/>
      <c r="E24" s="41">
        <f t="shared" si="6"/>
        <v>0</v>
      </c>
      <c r="F24" s="42"/>
      <c r="G24" s="41">
        <f t="shared" si="7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44115</v>
      </c>
      <c r="B25" s="40"/>
      <c r="C25" s="41">
        <f t="shared" si="5"/>
        <v>0</v>
      </c>
      <c r="D25" s="42"/>
      <c r="E25" s="41">
        <f t="shared" si="6"/>
        <v>0</v>
      </c>
      <c r="F25" s="42"/>
      <c r="G25" s="41">
        <f t="shared" si="7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44116</v>
      </c>
      <c r="B26" s="40"/>
      <c r="C26" s="41">
        <f t="shared" si="5"/>
        <v>0</v>
      </c>
      <c r="D26" s="42"/>
      <c r="E26" s="41">
        <f t="shared" si="6"/>
        <v>0</v>
      </c>
      <c r="F26" s="42"/>
      <c r="G26" s="41">
        <f t="shared" si="7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44117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7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44118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7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44119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7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44120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7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44121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7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44122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7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44123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7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44124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7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44125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44126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44127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44128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44129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44130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44131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44132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44133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44134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44135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44136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1160</v>
      </c>
      <c r="E48" s="41">
        <f>SUM(E15:E45)</f>
        <v>18651</v>
      </c>
      <c r="F48" s="53"/>
      <c r="G48" s="41">
        <f>SUM(G15:G45)</f>
        <v>27482</v>
      </c>
      <c r="H48" s="53"/>
      <c r="I48" s="41">
        <f>SUM(I15:I45)</f>
        <v>14032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52" priority="834" stopIfTrue="1" operator="lessThanOrEqual">
      <formula>0</formula>
    </cfRule>
  </conditionalFormatting>
  <conditionalFormatting sqref="C48">
    <cfRule type="cellIs" dxfId="51" priority="496" stopIfTrue="1" operator="lessThanOrEqual">
      <formula>0</formula>
    </cfRule>
  </conditionalFormatting>
  <conditionalFormatting sqref="C48">
    <cfRule type="cellIs" dxfId="50" priority="495" stopIfTrue="1" operator="lessThanOrEqual">
      <formula>0</formula>
    </cfRule>
  </conditionalFormatting>
  <conditionalFormatting sqref="C48">
    <cfRule type="cellIs" dxfId="49" priority="494" stopIfTrue="1" operator="lessThanOrEqual">
      <formula>0</formula>
    </cfRule>
  </conditionalFormatting>
  <conditionalFormatting sqref="C48">
    <cfRule type="cellIs" dxfId="48" priority="493" stopIfTrue="1" operator="lessThanOrEqual">
      <formula>0</formula>
    </cfRule>
  </conditionalFormatting>
  <conditionalFormatting sqref="C20:C47">
    <cfRule type="cellIs" dxfId="47" priority="48" stopIfTrue="1" operator="lessThanOrEqual">
      <formula>0</formula>
    </cfRule>
  </conditionalFormatting>
  <conditionalFormatting sqref="C20:C47">
    <cfRule type="cellIs" dxfId="46" priority="47" stopIfTrue="1" operator="lessThanOrEqual">
      <formula>0</formula>
    </cfRule>
  </conditionalFormatting>
  <conditionalFormatting sqref="C20:C47">
    <cfRule type="cellIs" dxfId="45" priority="46" stopIfTrue="1" operator="lessThanOrEqual">
      <formula>0</formula>
    </cfRule>
  </conditionalFormatting>
  <conditionalFormatting sqref="C20:C47">
    <cfRule type="cellIs" dxfId="44" priority="45" stopIfTrue="1" operator="lessThanOrEqual">
      <formula>0</formula>
    </cfRule>
  </conditionalFormatting>
  <conditionalFormatting sqref="C9:C10">
    <cfRule type="cellIs" dxfId="43" priority="44" stopIfTrue="1" operator="lessThanOrEqual">
      <formula>0</formula>
    </cfRule>
  </conditionalFormatting>
  <conditionalFormatting sqref="C9:C10">
    <cfRule type="cellIs" dxfId="42" priority="43" stopIfTrue="1" operator="lessThanOrEqual">
      <formula>0</formula>
    </cfRule>
  </conditionalFormatting>
  <conditionalFormatting sqref="C9:C10">
    <cfRule type="cellIs" dxfId="41" priority="42" stopIfTrue="1" operator="lessThanOrEqual">
      <formula>0</formula>
    </cfRule>
  </conditionalFormatting>
  <conditionalFormatting sqref="C9:C10">
    <cfRule type="cellIs" dxfId="40" priority="41" stopIfTrue="1" operator="lessThanOrEqual">
      <formula>0</formula>
    </cfRule>
  </conditionalFormatting>
  <conditionalFormatting sqref="C11">
    <cfRule type="cellIs" dxfId="39" priority="40" stopIfTrue="1" operator="lessThanOrEqual">
      <formula>0</formula>
    </cfRule>
  </conditionalFormatting>
  <conditionalFormatting sqref="C11">
    <cfRule type="cellIs" dxfId="38" priority="39" stopIfTrue="1" operator="lessThanOrEqual">
      <formula>0</formula>
    </cfRule>
  </conditionalFormatting>
  <conditionalFormatting sqref="C11">
    <cfRule type="cellIs" dxfId="37" priority="38" stopIfTrue="1" operator="lessThanOrEqual">
      <formula>0</formula>
    </cfRule>
  </conditionalFormatting>
  <conditionalFormatting sqref="C11">
    <cfRule type="cellIs" dxfId="36" priority="37" stopIfTrue="1" operator="lessThanOrEqual">
      <formula>0</formula>
    </cfRule>
  </conditionalFormatting>
  <conditionalFormatting sqref="C12">
    <cfRule type="cellIs" dxfId="35" priority="36" stopIfTrue="1" operator="lessThanOrEqual">
      <formula>0</formula>
    </cfRule>
  </conditionalFormatting>
  <conditionalFormatting sqref="C12">
    <cfRule type="cellIs" dxfId="34" priority="35" stopIfTrue="1" operator="lessThanOrEqual">
      <formula>0</formula>
    </cfRule>
  </conditionalFormatting>
  <conditionalFormatting sqref="C12">
    <cfRule type="cellIs" dxfId="33" priority="34" stopIfTrue="1" operator="lessThanOrEqual">
      <formula>0</formula>
    </cfRule>
  </conditionalFormatting>
  <conditionalFormatting sqref="C12">
    <cfRule type="cellIs" dxfId="32" priority="33" stopIfTrue="1" operator="lessThanOrEqual">
      <formula>0</formula>
    </cfRule>
  </conditionalFormatting>
  <conditionalFormatting sqref="C13">
    <cfRule type="cellIs" dxfId="31" priority="32" stopIfTrue="1" operator="lessThanOrEqual">
      <formula>0</formula>
    </cfRule>
  </conditionalFormatting>
  <conditionalFormatting sqref="C13">
    <cfRule type="cellIs" dxfId="30" priority="31" stopIfTrue="1" operator="lessThanOrEqual">
      <formula>0</formula>
    </cfRule>
  </conditionalFormatting>
  <conditionalFormatting sqref="C13">
    <cfRule type="cellIs" dxfId="29" priority="30" stopIfTrue="1" operator="lessThanOrEqual">
      <formula>0</formula>
    </cfRule>
  </conditionalFormatting>
  <conditionalFormatting sqref="C13">
    <cfRule type="cellIs" dxfId="28" priority="29" stopIfTrue="1" operator="lessThanOrEqual">
      <formula>0</formula>
    </cfRule>
  </conditionalFormatting>
  <conditionalFormatting sqref="C14">
    <cfRule type="cellIs" dxfId="27" priority="28" stopIfTrue="1" operator="lessThanOrEqual">
      <formula>0</formula>
    </cfRule>
  </conditionalFormatting>
  <conditionalFormatting sqref="C14">
    <cfRule type="cellIs" dxfId="26" priority="27" stopIfTrue="1" operator="lessThanOrEqual">
      <formula>0</formula>
    </cfRule>
  </conditionalFormatting>
  <conditionalFormatting sqref="C14">
    <cfRule type="cellIs" dxfId="25" priority="26" stopIfTrue="1" operator="lessThanOrEqual">
      <formula>0</formula>
    </cfRule>
  </conditionalFormatting>
  <conditionalFormatting sqref="C14">
    <cfRule type="cellIs" dxfId="24" priority="25" stopIfTrue="1" operator="lessThanOrEqual">
      <formula>0</formula>
    </cfRule>
  </conditionalFormatting>
  <conditionalFormatting sqref="C15">
    <cfRule type="cellIs" dxfId="23" priority="24" stopIfTrue="1" operator="lessThanOrEqual">
      <formula>0</formula>
    </cfRule>
  </conditionalFormatting>
  <conditionalFormatting sqref="C15">
    <cfRule type="cellIs" dxfId="22" priority="23" stopIfTrue="1" operator="lessThanOrEqual">
      <formula>0</formula>
    </cfRule>
  </conditionalFormatting>
  <conditionalFormatting sqref="C15">
    <cfRule type="cellIs" dxfId="21" priority="22" stopIfTrue="1" operator="lessThanOrEqual">
      <formula>0</formula>
    </cfRule>
  </conditionalFormatting>
  <conditionalFormatting sqref="C15">
    <cfRule type="cellIs" dxfId="20" priority="21" stopIfTrue="1" operator="lessThanOrEqual">
      <formula>0</formula>
    </cfRule>
  </conditionalFormatting>
  <conditionalFormatting sqref="E48">
    <cfRule type="cellIs" dxfId="19" priority="20" stopIfTrue="1" operator="lessThanOrEqual">
      <formula>0</formula>
    </cfRule>
  </conditionalFormatting>
  <conditionalFormatting sqref="E48">
    <cfRule type="cellIs" dxfId="18" priority="19" stopIfTrue="1" operator="lessThanOrEqual">
      <formula>0</formula>
    </cfRule>
  </conditionalFormatting>
  <conditionalFormatting sqref="E48">
    <cfRule type="cellIs" dxfId="17" priority="18" stopIfTrue="1" operator="lessThanOrEqual">
      <formula>0</formula>
    </cfRule>
  </conditionalFormatting>
  <conditionalFormatting sqref="E48">
    <cfRule type="cellIs" dxfId="16" priority="17" stopIfTrue="1" operator="lessThanOrEqual">
      <formula>0</formula>
    </cfRule>
  </conditionalFormatting>
  <conditionalFormatting sqref="G48">
    <cfRule type="cellIs" dxfId="15" priority="16" stopIfTrue="1" operator="lessThanOrEqual">
      <formula>0</formula>
    </cfRule>
  </conditionalFormatting>
  <conditionalFormatting sqref="G48">
    <cfRule type="cellIs" dxfId="14" priority="15" stopIfTrue="1" operator="lessThanOrEqual">
      <formula>0</formula>
    </cfRule>
  </conditionalFormatting>
  <conditionalFormatting sqref="G48">
    <cfRule type="cellIs" dxfId="13" priority="14" stopIfTrue="1" operator="lessThanOrEqual">
      <formula>0</formula>
    </cfRule>
  </conditionalFormatting>
  <conditionalFormatting sqref="G48">
    <cfRule type="cellIs" dxfId="12" priority="13" stopIfTrue="1" operator="lessThanOrEqual">
      <formula>0</formula>
    </cfRule>
  </conditionalFormatting>
  <conditionalFormatting sqref="I48">
    <cfRule type="cellIs" dxfId="11" priority="12" stopIfTrue="1" operator="lessThanOrEqual">
      <formula>0</formula>
    </cfRule>
  </conditionalFormatting>
  <conditionalFormatting sqref="I48">
    <cfRule type="cellIs" dxfId="10" priority="11" stopIfTrue="1" operator="lessThanOrEqual">
      <formula>0</formula>
    </cfRule>
  </conditionalFormatting>
  <conditionalFormatting sqref="I48">
    <cfRule type="cellIs" dxfId="9" priority="10" stopIfTrue="1" operator="lessThanOrEqual">
      <formula>0</formula>
    </cfRule>
  </conditionalFormatting>
  <conditionalFormatting sqref="I48">
    <cfRule type="cellIs" dxfId="8" priority="9" stopIfTrue="1" operator="lessThanOrEqual">
      <formula>0</formula>
    </cfRule>
  </conditionalFormatting>
  <conditionalFormatting sqref="C16">
    <cfRule type="cellIs" dxfId="7" priority="8" stopIfTrue="1" operator="lessThanOrEqual">
      <formula>0</formula>
    </cfRule>
  </conditionalFormatting>
  <conditionalFormatting sqref="C16">
    <cfRule type="cellIs" dxfId="6" priority="7" stopIfTrue="1" operator="lessThanOrEqual">
      <formula>0</formula>
    </cfRule>
  </conditionalFormatting>
  <conditionalFormatting sqref="C16">
    <cfRule type="cellIs" dxfId="5" priority="6" stopIfTrue="1" operator="lessThanOrEqual">
      <formula>0</formula>
    </cfRule>
  </conditionalFormatting>
  <conditionalFormatting sqref="C16">
    <cfRule type="cellIs" dxfId="4" priority="5" stopIfTrue="1" operator="lessThanOrEqual">
      <formula>0</formula>
    </cfRule>
  </conditionalFormatting>
  <conditionalFormatting sqref="C17:C19">
    <cfRule type="cellIs" dxfId="3" priority="4" stopIfTrue="1" operator="lessThanOrEqual">
      <formula>0</formula>
    </cfRule>
  </conditionalFormatting>
  <conditionalFormatting sqref="C17:C19">
    <cfRule type="cellIs" dxfId="2" priority="3" stopIfTrue="1" operator="lessThanOrEqual">
      <formula>0</formula>
    </cfRule>
  </conditionalFormatting>
  <conditionalFormatting sqref="C17:C19">
    <cfRule type="cellIs" dxfId="1" priority="2" stopIfTrue="1" operator="lessThanOrEqual">
      <formula>0</formula>
    </cfRule>
  </conditionalFormatting>
  <conditionalFormatting sqref="C17:C1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2020-10-05T07:44:51Z</dcterms:modified>
</cp:coreProperties>
</file>