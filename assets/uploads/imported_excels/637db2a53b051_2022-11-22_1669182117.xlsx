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2" sheetId="5" r:id="rId3"/>
  </sheets>
  <definedNames>
    <definedName name="_xlnm.Print_Area" localSheetId="2">'11 - 2022'!$A$1:$J$35</definedName>
  </definedNames>
  <calcPr calcId="162913"/>
</workbook>
</file>

<file path=xl/calcChain.xml><?xml version="1.0" encoding="utf-8"?>
<calcChain xmlns="http://schemas.openxmlformats.org/spreadsheetml/2006/main"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J10" i="2" l="1"/>
  <c r="I10" i="2"/>
  <c r="H10" i="2"/>
  <c r="F10" i="2"/>
  <c r="E10" i="2"/>
  <c r="L10" i="3"/>
  <c r="K10" i="3"/>
  <c r="I10" i="3"/>
  <c r="G10" i="3"/>
  <c r="E10" i="3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41" i="5" l="1"/>
  <c r="J44" i="5" s="1"/>
  <c r="I41" i="5"/>
  <c r="I42" i="5" s="1"/>
  <c r="I45" i="5" s="1"/>
  <c r="H41" i="5"/>
  <c r="G41" i="5"/>
  <c r="F41" i="5"/>
  <c r="E41" i="5"/>
  <c r="C41" i="5"/>
  <c r="C43" i="5" s="1"/>
  <c r="C45" i="5" s="1"/>
  <c r="B41" i="5"/>
  <c r="I39" i="5"/>
  <c r="K38" i="5"/>
  <c r="J38" i="5"/>
  <c r="I38" i="5"/>
  <c r="H38" i="5"/>
  <c r="H39" i="5" s="1"/>
  <c r="G38" i="5"/>
  <c r="F38" i="5"/>
  <c r="E38" i="5"/>
  <c r="C38" i="5"/>
  <c r="B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0" i="2" l="1"/>
  <c r="I30" i="2"/>
  <c r="H30" i="2"/>
  <c r="F30" i="2"/>
  <c r="E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31" i="3" l="1"/>
  <c r="K31" i="3"/>
  <c r="I31" i="3"/>
  <c r="G31" i="3"/>
  <c r="E31" i="3"/>
  <c r="J31" i="2"/>
  <c r="I31" i="2"/>
  <c r="H31" i="2"/>
  <c r="F31" i="2"/>
  <c r="E31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<sst xmlns="http://schemas.openxmlformats.org/spreadsheetml/2006/main" count="106" uniqueCount="39">
  <si>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</si>
  <si>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</si>
  <si>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</si>
  <si>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</si>
  <si>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</si>
  <si>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</si>
  <si>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</si>
  <si>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</si>
  <si>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</si>
  <si>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</si>
  <si>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</si>
  <si>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</si>
  <si>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</si>
  <si>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</si>
  <si>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</si>
  <si>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</si>
  <si>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</si>
  <si>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</si>
  <si>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</si>
  <si>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</si>
  <si>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</si>
  <si>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</si>
  <si>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</si>
  <si>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</si>
  <si>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</si>
  <si>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</si>
  <si>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</si>
  <si>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</si>
  <si>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</si>
  <si>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</si>
  <si>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</si>
  <si>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</si>
  <si>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</si>
  <si>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</si>
  <si>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</si>
  <si>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</si>
  <si>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</si>
  <si>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for IG unit</t>
  </si>
  <si>
    <t>HLP READING MONTH OF NOVEMBER'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</si>
</sst>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Q15" sqref="Q15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11</v>
      </c>
      <c r="D2" s="13">
        <v>2022</v>
      </c>
      <c r="E2" s="15">
        <f>'11 - 2022'!B8-'11 - 2022'!B7+'11 - 2022'!C8-'11 - 2022'!C7</f>
        <v>10190</v>
      </c>
      <c r="F2" s="13">
        <v>0.11799999999999999</v>
      </c>
      <c r="G2" s="15">
        <f>'11 - 2022'!D8-'11 - 2022'!D7+'11 - 2022'!E8-'11 - 2022'!E7</f>
        <v>22.759999999999309</v>
      </c>
      <c r="H2" s="13">
        <v>0.99</v>
      </c>
      <c r="I2" s="15">
        <f>'11 - 2022'!J8-'11 - 2022'!J7</f>
        <v>29211</v>
      </c>
      <c r="J2" s="13">
        <v>8.1000000000000003E-2</v>
      </c>
      <c r="K2" s="21">
        <f>'11 - 2022'!H8-'11 - 2022'!H7</f>
        <v>0</v>
      </c>
      <c r="L2" s="15">
        <f>'11 - 2022'!I8-'11 - 2022'!I7</f>
        <v>122</v>
      </c>
      <c r="M2" s="14">
        <v>4.393629424766913</v>
      </c>
      <c r="N2" s="16">
        <v>97</v>
      </c>
    </row>
    <row r="3" spans="1:2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'11 - 2022'!B9-'11 - 2022'!B8+'11 - 2022'!C9-'11 - 2022'!C8</f>
        <v>9680</v>
      </c>
      <c r="F3" s="13">
        <v>0.11799999999999999</v>
      </c>
      <c r="G3" s="15">
        <f>'11 - 2022'!D9-'11 - 2022'!D8+'11 - 2022'!E9-'11 - 2022'!E8</f>
        <v>24.779999999999745</v>
      </c>
      <c r="H3" s="13">
        <v>0.99</v>
      </c>
      <c r="I3" s="15">
        <f>'11 - 2022'!J9-'11 - 2022'!J8</f>
        <v>28387</v>
      </c>
      <c r="J3" s="13">
        <v>8.1000000000000003E-2</v>
      </c>
      <c r="K3" s="21">
        <f>'11 - 2022'!H9-'11 - 2022'!H8</f>
        <v>0</v>
      </c>
      <c r="L3" s="15">
        <f>'11 - 2022'!I9-'11 - 2022'!I8</f>
        <v>139</v>
      </c>
      <c r="M3" s="14">
        <v>4.393629424766913</v>
      </c>
      <c r="N3" s="39">
        <v>99</v>
      </c>
    </row>
    <row r="4" spans="1:2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'11 - 2022'!B10-'11 - 2022'!B9+'11 - 2022'!C10-'11 - 2022'!C9</f>
        <v>10182</v>
      </c>
      <c r="F4" s="13">
        <v>0.11799999999999999</v>
      </c>
      <c r="G4" s="15">
        <f>'11 - 2022'!D10-'11 - 2022'!D9+'11 - 2022'!E10-'11 - 2022'!E9</f>
        <v>22.760000000000218</v>
      </c>
      <c r="H4" s="13">
        <v>0.99</v>
      </c>
      <c r="I4" s="15">
        <f>'11 - 2022'!J10-'11 - 2022'!J9</f>
        <v>25757</v>
      </c>
      <c r="J4" s="13">
        <v>8.1000000000000003E-2</v>
      </c>
      <c r="K4" s="21">
        <f>'11 - 2022'!H10-'11 - 2022'!H9</f>
        <v>0</v>
      </c>
      <c r="L4" s="15">
        <f>'11 - 2022'!I10-'11 - 2022'!I9</f>
        <v>109</v>
      </c>
      <c r="M4" s="14">
        <v>4.393629424766913</v>
      </c>
      <c r="N4" s="16">
        <v>93</v>
      </c>
    </row>
    <row r="5" spans="1:2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'11 - 2022'!B11-'11 - 2022'!B10+'11 - 2022'!C11-'11 - 2022'!C10</f>
        <v>10084</v>
      </c>
      <c r="F5" s="13">
        <v>0.11799999999999999</v>
      </c>
      <c r="G5" s="15">
        <f>'11 - 2022'!D11-'11 - 2022'!D10+'11 - 2022'!E11-'11 - 2022'!E10</f>
        <v>24.029999999999745</v>
      </c>
      <c r="H5" s="13">
        <v>0.99</v>
      </c>
      <c r="I5" s="15">
        <f>'11 - 2022'!J11-'11 - 2022'!J10</f>
        <v>25491</v>
      </c>
      <c r="J5" s="13">
        <v>8.1000000000000003E-2</v>
      </c>
      <c r="K5" s="21">
        <f>'11 - 2022'!H11-'11 - 2022'!H10</f>
        <v>0</v>
      </c>
      <c r="L5" s="15">
        <f>'11 - 2022'!I11-'11 - 2022'!I10</f>
        <v>139</v>
      </c>
      <c r="M5" s="14">
        <v>4.393629424766913</v>
      </c>
      <c r="N5" s="16">
        <v>97</v>
      </c>
      <c r="R5" s="13"/>
    </row>
    <row r="6" spans="1:2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'11 - 2022'!B12-'11 - 2022'!B11+'11 - 2022'!C12-'11 - 2022'!C11</f>
        <v>10442</v>
      </c>
      <c r="F6" s="13">
        <v>0.11799999999999999</v>
      </c>
      <c r="G6" s="15">
        <f>'11 - 2022'!D12-'11 - 2022'!D11+'11 - 2022'!E12-'11 - 2022'!E11</f>
        <v>26.280000000000655</v>
      </c>
      <c r="H6" s="13">
        <v>0.99</v>
      </c>
      <c r="I6" s="15">
        <f>'11 - 2022'!J12-'11 - 2022'!J11</f>
        <v>24340</v>
      </c>
      <c r="J6" s="13">
        <v>8.1000000000000003E-2</v>
      </c>
      <c r="K6" s="21">
        <f>'11 - 2022'!H12-'11 - 2022'!H11</f>
        <v>0</v>
      </c>
      <c r="L6" s="15">
        <f>'11 - 2022'!I12-'11 - 2022'!I11</f>
        <v>138</v>
      </c>
      <c r="M6" s="14">
        <v>4.393629424766913</v>
      </c>
      <c r="N6" s="16">
        <v>99</v>
      </c>
    </row>
    <row r="7" spans="1:2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'11 - 2022'!B13-'11 - 2022'!B12+'11 - 2022'!C13-'11 - 2022'!C12</f>
        <v>10184</v>
      </c>
      <c r="F7" s="13">
        <v>0.11799999999999999</v>
      </c>
      <c r="G7" s="15">
        <f>'11 - 2022'!D13-'11 - 2022'!D12+'11 - 2022'!E13-'11 - 2022'!E12</f>
        <v>22.720000000000255</v>
      </c>
      <c r="H7" s="13">
        <v>0.99</v>
      </c>
      <c r="I7" s="15">
        <f>'11 - 2022'!J13-'11 - 2022'!J12</f>
        <v>23736</v>
      </c>
      <c r="J7" s="13">
        <v>8.1000000000000003E-2</v>
      </c>
      <c r="K7" s="21">
        <f>'11 - 2022'!H13-'11 - 2022'!H12</f>
        <v>0</v>
      </c>
      <c r="L7" s="15">
        <f>'11 - 2022'!I13-'11 - 2022'!I12</f>
        <v>125</v>
      </c>
      <c r="M7" s="14">
        <v>4.393629424766913</v>
      </c>
      <c r="N7" s="16">
        <v>83</v>
      </c>
    </row>
    <row r="8" spans="1:2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'11 - 2022'!B14-'11 - 2022'!B13+'11 - 2022'!C14-'11 - 2022'!C13</f>
        <v>9453</v>
      </c>
      <c r="F8" s="13">
        <v>0.11799999999999999</v>
      </c>
      <c r="G8" s="15">
        <f>'11 - 2022'!D14-'11 - 2022'!D13+'11 - 2022'!E14-'11 - 2022'!E13</f>
        <v>23.509999999999309</v>
      </c>
      <c r="H8" s="13">
        <v>0.99</v>
      </c>
      <c r="I8" s="15">
        <f>'11 - 2022'!J14-'11 - 2022'!J13</f>
        <v>23008</v>
      </c>
      <c r="J8" s="13">
        <v>8.1000000000000003E-2</v>
      </c>
      <c r="K8" s="21">
        <f>'11 - 2022'!H14-'11 - 2022'!H13</f>
        <v>0</v>
      </c>
      <c r="L8" s="15">
        <f>'11 - 2022'!I14-'11 - 2022'!I13</f>
        <v>126</v>
      </c>
      <c r="M8" s="14">
        <v>4.393629424766913</v>
      </c>
      <c r="N8" s="16">
        <v>74</v>
      </c>
      <c r="O8" s="15"/>
    </row>
    <row r="9" spans="1:2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'11 - 2022'!B15-'11 - 2022'!B14+'11 - 2022'!C15-'11 - 2022'!C14</f>
        <v>10142</v>
      </c>
      <c r="F9" s="13">
        <v>0.11799999999999999</v>
      </c>
      <c r="G9" s="15">
        <f>'11 - 2022'!D15-'11 - 2022'!D14+'11 - 2022'!E15-'11 - 2022'!E14</f>
        <v>23.079999999999927</v>
      </c>
      <c r="H9" s="13">
        <v>0.99</v>
      </c>
      <c r="I9" s="15">
        <f>'11 - 2022'!J15-'11 - 2022'!J14</f>
        <v>26424</v>
      </c>
      <c r="J9" s="13">
        <v>8.1000000000000003E-2</v>
      </c>
      <c r="K9" s="21">
        <f>'11 - 2022'!H15-'11 - 2022'!H14</f>
        <v>0</v>
      </c>
      <c r="L9" s="15">
        <f>'11 - 2022'!I15-'11 - 2022'!I14</f>
        <v>119</v>
      </c>
      <c r="M9" s="14">
        <v>4.393629424766913</v>
      </c>
      <c r="N9" s="16">
        <v>87</v>
      </c>
    </row>
    <row r="10" spans="1:2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'11 - 2022'!B16-'11 - 2022'!B15+'11 - 2022'!C16-'11 - 2022'!C15</f>
        <v>10083</v>
      </c>
      <c r="F10" s="13">
        <v>0.11799999999999999</v>
      </c>
      <c r="G10" s="15">
        <f>'11 - 2022'!D16-'11 - 2022'!D15+'11 - 2022'!E16-'11 - 2022'!E15</f>
        <v>21.009999999999309</v>
      </c>
      <c r="H10" s="13">
        <v>0.99</v>
      </c>
      <c r="I10" s="15">
        <f>'11 - 2022'!J16-'11 - 2022'!J15</f>
        <v>24200</v>
      </c>
      <c r="J10" s="13">
        <v>8.1000000000000003E-2</v>
      </c>
      <c r="K10" s="21">
        <f>'11 - 2022'!H16-'11 - 2022'!H15</f>
        <v>0</v>
      </c>
      <c r="L10" s="15">
        <f>'11 - 2022'!I16-'11 - 2022'!I15</f>
        <v>108</v>
      </c>
      <c r="M10" s="14">
        <v>4.393629424766913</v>
      </c>
      <c r="N10" s="16">
        <v>96</v>
      </c>
    </row>
    <row r="11" spans="1:2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'11 - 2022'!B17-'11 - 2022'!B16+'11 - 2022'!C17-'11 - 2022'!C16</f>
        <v>10286</v>
      </c>
      <c r="F11" s="13">
        <v>0.11799999999999999</v>
      </c>
      <c r="G11" s="15">
        <f>'11 - 2022'!D17-'11 - 2022'!D16+'11 - 2022'!E17-'11 - 2022'!E16</f>
        <v>29.600000000000364</v>
      </c>
      <c r="H11" s="13">
        <v>0.99</v>
      </c>
      <c r="I11" s="15">
        <f>'11 - 2022'!J17-'11 - 2022'!J16</f>
        <v>23429</v>
      </c>
      <c r="J11" s="13">
        <v>8.1000000000000003E-2</v>
      </c>
      <c r="K11" s="21">
        <f>'11 - 2022'!H17-'11 - 2022'!H16</f>
        <v>0</v>
      </c>
      <c r="L11" s="15">
        <f>'11 - 2022'!I17-'11 - 2022'!I16</f>
        <v>121</v>
      </c>
      <c r="M11" s="14">
        <v>4.393629424766913</v>
      </c>
      <c r="N11" s="16">
        <v>97</v>
      </c>
    </row>
    <row r="12" spans="1:2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'11 - 2022'!B18-'11 - 2022'!B17+'11 - 2022'!C18-'11 - 2022'!C17</f>
        <v>10137</v>
      </c>
      <c r="F12" s="13">
        <v>0.11799999999999999</v>
      </c>
      <c r="G12" s="15">
        <f>'11 - 2022'!D18-'11 - 2022'!D17+'11 - 2022'!E18-'11 - 2022'!E17</f>
        <v>24.130000000000109</v>
      </c>
      <c r="H12" s="13">
        <v>0.99</v>
      </c>
      <c r="I12" s="15">
        <f>'11 - 2022'!J18-'11 - 2022'!J17</f>
        <v>25763</v>
      </c>
      <c r="J12" s="13">
        <v>8.1000000000000003E-2</v>
      </c>
      <c r="K12" s="21">
        <f>'11 - 2022'!H18-'11 - 2022'!H17</f>
        <v>0</v>
      </c>
      <c r="L12" s="15">
        <f>'11 - 2022'!I18-'11 - 2022'!I17</f>
        <v>121</v>
      </c>
      <c r="M12" s="14">
        <v>4.393629424766913</v>
      </c>
      <c r="N12" s="16">
        <v>102</v>
      </c>
      <c r="W12" s="13"/>
    </row>
    <row r="13" spans="1:2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'11 - 2022'!B19-'11 - 2022'!B18+'11 - 2022'!C19-'11 - 2022'!C18</f>
        <v>10208</v>
      </c>
      <c r="F13" s="13">
        <v>0.11799999999999999</v>
      </c>
      <c r="G13" s="15">
        <f>'11 - 2022'!D19-'11 - 2022'!D18+'11 - 2022'!E19-'11 - 2022'!E18</f>
        <v>24.739999999999782</v>
      </c>
      <c r="H13" s="13">
        <v>0.99</v>
      </c>
      <c r="I13" s="15">
        <f>'11 - 2022'!J19-'11 - 2022'!J18</f>
        <v>24942</v>
      </c>
      <c r="J13" s="13">
        <v>8.1000000000000003E-2</v>
      </c>
      <c r="K13" s="21">
        <f>'11 - 2022'!H19-'11 - 2022'!H18</f>
        <v>0</v>
      </c>
      <c r="L13" s="15">
        <f>'11 - 2022'!I19-'11 - 2022'!I18</f>
        <v>126</v>
      </c>
      <c r="M13" s="14">
        <v>4.393629424766913</v>
      </c>
      <c r="N13" s="16">
        <v>103</v>
      </c>
    </row>
    <row r="14" spans="1:2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'11 - 2022'!B20-'11 - 2022'!B19+'11 - 2022'!C20-'11 - 2022'!C19</f>
        <v>9991</v>
      </c>
      <c r="F14" s="13">
        <v>0.11799999999999999</v>
      </c>
      <c r="G14" s="15">
        <f>'11 - 2022'!D20-'11 - 2022'!D19+'11 - 2022'!E20-'11 - 2022'!E19</f>
        <v>23.180000000000291</v>
      </c>
      <c r="H14" s="13">
        <v>0.99</v>
      </c>
      <c r="I14" s="15">
        <f>'11 - 2022'!J20-'11 - 2022'!J19</f>
        <v>25916</v>
      </c>
      <c r="J14" s="13">
        <v>8.1000000000000003E-2</v>
      </c>
      <c r="K14" s="21">
        <f>'11 - 2022'!H20-'11 - 2022'!H19</f>
        <v>0</v>
      </c>
      <c r="L14" s="15">
        <f>'11 - 2022'!I20-'11 - 2022'!I19</f>
        <v>131</v>
      </c>
      <c r="M14" s="14">
        <v>4.393629424766913</v>
      </c>
      <c r="N14" s="16">
        <v>78</v>
      </c>
      <c r="O14" s="15"/>
    </row>
    <row r="15" spans="1:2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'11 - 2022'!B21-'11 - 2022'!B20+'11 - 2022'!C21-'11 - 2022'!C20</f>
        <v>10053</v>
      </c>
      <c r="F15" s="13">
        <v>0.11799999999999999</v>
      </c>
      <c r="G15" s="15">
        <f>'11 - 2022'!D21-'11 - 2022'!D20+'11 - 2022'!E21-'11 - 2022'!E20</f>
        <v>23.059999999999491</v>
      </c>
      <c r="H15" s="13">
        <v>0.99</v>
      </c>
      <c r="I15" s="15">
        <f>'11 - 2022'!J21-'11 - 2022'!J20</f>
        <v>27723</v>
      </c>
      <c r="J15" s="13">
        <v>8.1000000000000003E-2</v>
      </c>
      <c r="K15" s="21">
        <f>'11 - 2022'!H21-'11 - 2022'!H20</f>
        <v>0</v>
      </c>
      <c r="L15" s="15">
        <f>'11 - 2022'!I21-'11 - 2022'!I20</f>
        <v>104</v>
      </c>
      <c r="M15" s="14">
        <v>4.393629424766913</v>
      </c>
      <c r="N15" s="16">
        <v>88</v>
      </c>
      <c r="R15" s="13"/>
    </row>
    <row r="16" spans="1:2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'11 - 2022'!B22-'11 - 2022'!B21+'11 - 2022'!C22-'11 - 2022'!C21</f>
        <v>10206</v>
      </c>
      <c r="F16" s="13">
        <v>0.11799999999999999</v>
      </c>
      <c r="G16" s="15">
        <f>'11 - 2022'!D22-'11 - 2022'!D21+'11 - 2022'!E22-'11 - 2022'!E21</f>
        <v>23.769999999999527</v>
      </c>
      <c r="H16" s="13">
        <v>0.99</v>
      </c>
      <c r="I16" s="15">
        <f>'11 - 2022'!J22-'11 - 2022'!J21</f>
        <v>26257</v>
      </c>
      <c r="J16" s="13">
        <v>8.1000000000000003E-2</v>
      </c>
      <c r="K16" s="21">
        <f>'11 - 2022'!H22-'11 - 2022'!H21</f>
        <v>0</v>
      </c>
      <c r="L16" s="15">
        <f>'11 - 2022'!I22-'11 - 2022'!I21</f>
        <v>111</v>
      </c>
      <c r="M16" s="14">
        <v>4.393629424766913</v>
      </c>
      <c r="N16" s="16">
        <v>89</v>
      </c>
      <c r="U16" s="13"/>
    </row>
    <row r="17" spans="1:19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'11 - 2022'!B23-'11 - 2022'!B22+'11 - 2022'!C23-'11 - 2022'!C22</f>
        <v>9825</v>
      </c>
      <c r="F17" s="13">
        <v>0.11799999999999999</v>
      </c>
      <c r="G17" s="15">
        <f>'11 - 2022'!D23-'11 - 2022'!D22+'11 - 2022'!E23-'11 - 2022'!E22</f>
        <v>20.590000000000146</v>
      </c>
      <c r="H17" s="13">
        <v>0.99</v>
      </c>
      <c r="I17" s="15">
        <f>'11 - 2022'!J23-'11 - 2022'!J22</f>
        <v>24283</v>
      </c>
      <c r="J17" s="13">
        <v>8.1000000000000003E-2</v>
      </c>
      <c r="K17" s="21">
        <f>'11 - 2022'!H23-'11 - 2022'!H22</f>
        <v>0</v>
      </c>
      <c r="L17" s="15">
        <f>'11 - 2022'!I23-'11 - 2022'!I22</f>
        <v>103</v>
      </c>
      <c r="M17" s="14">
        <v>4.393629424766913</v>
      </c>
      <c r="N17" s="16">
        <v>97</v>
      </c>
      <c r="O17" s="13"/>
    </row>
    <row r="18" spans="1:19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'11 - 2022'!B24-'11 - 2022'!B23+'11 - 2022'!C24-'11 - 2022'!C23</f>
        <v>10273</v>
      </c>
      <c r="F18" s="13">
        <v>0.11799999999999999</v>
      </c>
      <c r="G18" s="15">
        <f>'11 - 2022'!D24-'11 - 2022'!D23+'11 - 2022'!E24-'11 - 2022'!E23</f>
        <v>24.099999999999454</v>
      </c>
      <c r="H18" s="13">
        <v>0.99</v>
      </c>
      <c r="I18" s="15">
        <f>'11 - 2022'!J24-'11 - 2022'!J23</f>
        <v>25899</v>
      </c>
      <c r="J18" s="13">
        <v>8.1000000000000003E-2</v>
      </c>
      <c r="K18" s="21">
        <f>'11 - 2022'!H24-'11 - 2022'!H23</f>
        <v>0</v>
      </c>
      <c r="L18" s="15">
        <f>'11 - 2022'!I24-'11 - 2022'!I23</f>
        <v>117</v>
      </c>
      <c r="M18" s="14">
        <v>4.393629424766913</v>
      </c>
      <c r="N18" s="16">
        <v>105</v>
      </c>
      <c r="Q18" s="13"/>
      <c r="S18" s="13"/>
    </row>
    <row r="19" spans="1:19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'11 - 2022'!B25-'11 - 2022'!B24+'11 - 2022'!C25-'11 - 2022'!C24</f>
        <v>10260</v>
      </c>
      <c r="F19" s="13">
        <v>0.11799999999999999</v>
      </c>
      <c r="G19" s="15">
        <f>'11 - 2022'!D25-'11 - 2022'!D24+'11 - 2022'!E25-'11 - 2022'!E24</f>
        <v>25.309999999999491</v>
      </c>
      <c r="H19" s="13">
        <v>0.99</v>
      </c>
      <c r="I19" s="15">
        <f>'11 - 2022'!J25-'11 - 2022'!J24</f>
        <v>25621</v>
      </c>
      <c r="J19" s="13">
        <v>8.1000000000000003E-2</v>
      </c>
      <c r="K19" s="21">
        <f>'11 - 2022'!H25-'11 - 2022'!H24</f>
        <v>0</v>
      </c>
      <c r="L19" s="15">
        <f>'11 - 2022'!I25-'11 - 2022'!I24</f>
        <v>128</v>
      </c>
      <c r="M19" s="14">
        <v>4.393629424766913</v>
      </c>
      <c r="N19" s="16">
        <v>100</v>
      </c>
    </row>
    <row r="20" spans="1:19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'11 - 2022'!B26-'11 - 2022'!B25+'11 - 2022'!C26-'11 - 2022'!C25</f>
        <v>10251</v>
      </c>
      <c r="F20" s="13">
        <v>0.11799999999999999</v>
      </c>
      <c r="G20" s="15">
        <f>'11 - 2022'!D26-'11 - 2022'!D25+'11 - 2022'!E26-'11 - 2022'!E25</f>
        <v>26.529999999999745</v>
      </c>
      <c r="H20" s="13">
        <v>0.99</v>
      </c>
      <c r="I20" s="15">
        <f>'11 - 2022'!J26-'11 - 2022'!J25</f>
        <v>25156</v>
      </c>
      <c r="J20" s="13">
        <v>8.1000000000000003E-2</v>
      </c>
      <c r="K20" s="21">
        <f>'11 - 2022'!H26-'11 - 2022'!H25</f>
        <v>0</v>
      </c>
      <c r="L20" s="15">
        <f>'11 - 2022'!I26-'11 - 2022'!I25</f>
        <v>127</v>
      </c>
      <c r="M20" s="14">
        <v>4.393629424766913</v>
      </c>
      <c r="N20" s="16">
        <v>98</v>
      </c>
    </row>
    <row r="21" spans="1:19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'11 - 2022'!B27-'11 - 2022'!B26+'11 - 2022'!C27-'11 - 2022'!C26</f>
        <v>9872</v>
      </c>
      <c r="F21" s="13">
        <v>0.11799999999999999</v>
      </c>
      <c r="G21" s="15">
        <f>'11 - 2022'!D27-'11 - 2022'!D26+'11 - 2022'!E27-'11 - 2022'!E26</f>
        <v>24.359999999999673</v>
      </c>
      <c r="H21" s="13">
        <v>0.99</v>
      </c>
      <c r="I21" s="15">
        <f>'11 - 2022'!J27-'11 - 2022'!J26</f>
        <v>24140</v>
      </c>
      <c r="J21" s="13">
        <v>8.1000000000000003E-2</v>
      </c>
      <c r="K21" s="21">
        <f>'11 - 2022'!H27-'11 - 2022'!H26</f>
        <v>0</v>
      </c>
      <c r="L21" s="15">
        <f>'11 - 2022'!I27-'11 - 2022'!I26</f>
        <v>126</v>
      </c>
      <c r="M21" s="14">
        <v>4.393629424766913</v>
      </c>
      <c r="N21" s="39">
        <v>86</v>
      </c>
    </row>
    <row r="22" spans="1:19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'11 - 2022'!B28-'11 - 2022'!B27+'11 - 2022'!C28-'11 - 2022'!C27</f>
        <v>9819</v>
      </c>
      <c r="F22" s="13">
        <v>0.11799999999999999</v>
      </c>
      <c r="G22" s="15">
        <f>'11 - 2022'!D28-'11 - 2022'!D27+'11 - 2022'!E28-'11 - 2022'!E27</f>
        <v>25.550000000000182</v>
      </c>
      <c r="H22" s="13">
        <v>0.99</v>
      </c>
      <c r="I22" s="15">
        <f>'11 - 2022'!J28-'11 - 2022'!J27</f>
        <v>24592</v>
      </c>
      <c r="J22" s="13">
        <v>8.1000000000000003E-2</v>
      </c>
      <c r="K22" s="21">
        <f>'11 - 2022'!H28-'11 - 2022'!H27</f>
        <v>0</v>
      </c>
      <c r="L22" s="15">
        <f>'11 - 2022'!I28-'11 - 2022'!I27</f>
        <v>118</v>
      </c>
      <c r="M22" s="14">
        <v>4.393629424766913</v>
      </c>
      <c r="N22" s="16">
        <v>86</v>
      </c>
    </row>
    <row r="23" spans="1:19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'11 - 2022'!B29-'11 - 2022'!B28+'11 - 2022'!C29-'11 - 2022'!C28</f>
        <v>9898</v>
      </c>
      <c r="F23" s="13">
        <v>0.11799999999999999</v>
      </c>
      <c r="G23" s="15">
        <f>'11 - 2022'!D29-'11 - 2022'!D28+'11 - 2022'!E29-'11 - 2022'!E28</f>
        <v>22.25</v>
      </c>
      <c r="H23" s="13">
        <v>0.99</v>
      </c>
      <c r="I23" s="15">
        <f>'11 - 2022'!J29-'11 - 2022'!J28</f>
        <v>21537</v>
      </c>
      <c r="J23" s="13">
        <v>8.1000000000000003E-2</v>
      </c>
      <c r="K23" s="21">
        <f>'11 - 2022'!H29-'11 - 2022'!H28</f>
        <v>0</v>
      </c>
      <c r="L23" s="15">
        <f>'11 - 2022'!I29-'11 - 2022'!I28</f>
        <v>108</v>
      </c>
      <c r="M23" s="14">
        <v>4.393629424766913</v>
      </c>
      <c r="N23" s="16">
        <v>81</v>
      </c>
    </row>
    <row r="24" spans="1:19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'11 - 2022'!B30-'11 - 2022'!B29+'11 - 2022'!C30-'11 - 2022'!C29</f>
        <v>9506</v>
      </c>
      <c r="F24" s="13">
        <v>0.11799999999999999</v>
      </c>
      <c r="G24" s="15">
        <f>'11 - 2022'!D30-'11 - 2022'!D29+'11 - 2022'!E30-'11 - 2022'!E29</f>
        <v>24.150000000000546</v>
      </c>
      <c r="H24" s="13">
        <v>0.99</v>
      </c>
      <c r="I24" s="15">
        <f>'11 - 2022'!J30-'11 - 2022'!J29</f>
        <v>19365</v>
      </c>
      <c r="J24" s="13">
        <v>8.1000000000000003E-2</v>
      </c>
      <c r="K24" s="21">
        <f>'11 - 2022'!H30-'11 - 2022'!H29</f>
        <v>0</v>
      </c>
      <c r="L24" s="15">
        <f>'11 - 2022'!I30-'11 - 2022'!I29</f>
        <v>111</v>
      </c>
      <c r="M24" s="14">
        <v>4.393629424766913</v>
      </c>
      <c r="N24" s="16">
        <v>84</v>
      </c>
    </row>
    <row r="25" spans="1:19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v>0</v>
      </c>
      <c r="F25" s="13">
        <v>0.11799999999999999</v>
      </c>
      <c r="G25" s="15">
        <v>0</v>
      </c>
      <c r="H25" s="13">
        <v>0.99</v>
      </c>
      <c r="I25" s="15">
        <v>0</v>
      </c>
      <c r="J25" s="13">
        <v>8.1000000000000003E-2</v>
      </c>
      <c r="K25" s="21">
        <v>0</v>
      </c>
      <c r="L25" s="15"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'11 - 2022'!B32-'11 - 2022'!B31+'11 - 2022'!C32-'11 - 2022'!C31</f>
        <v>0</v>
      </c>
      <c r="F26" s="13">
        <v>0.11799999999999999</v>
      </c>
      <c r="G26" s="15">
        <f>'11 - 2022'!D32-'11 - 2022'!D31+'11 - 2022'!E32-'11 - 2022'!E31</f>
        <v>0</v>
      </c>
      <c r="H26" s="13">
        <v>0.99</v>
      </c>
      <c r="I26" s="15">
        <f>'11 - 2022'!J32-'11 - 2022'!J31</f>
        <v>0</v>
      </c>
      <c r="J26" s="13">
        <v>8.1000000000000003E-2</v>
      </c>
      <c r="K26" s="21">
        <f>'11 - 2022'!H32-'11 - 2022'!H31</f>
        <v>0</v>
      </c>
      <c r="L26" s="15">
        <f>'11 - 2022'!I32-'11 - 2022'!I31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'11 - 2022'!B33-'11 - 2022'!B32+'11 - 2022'!C33-'11 - 2022'!C32</f>
        <v>0</v>
      </c>
      <c r="F27" s="13">
        <v>0.11799999999999999</v>
      </c>
      <c r="G27" s="15">
        <f>'11 - 2022'!D33-'11 - 2022'!D32+'11 - 2022'!E33-'11 - 2022'!E32</f>
        <v>0</v>
      </c>
      <c r="H27" s="13">
        <v>0.99</v>
      </c>
      <c r="I27" s="15">
        <f>'11 - 2022'!J33-'11 - 2022'!J32</f>
        <v>0</v>
      </c>
      <c r="J27" s="13">
        <v>8.1000000000000003E-2</v>
      </c>
      <c r="K27" s="21">
        <f>'11 - 2022'!H33-'11 - 2022'!H32</f>
        <v>0</v>
      </c>
      <c r="L27" s="15">
        <f>'11 - 2022'!I33-'11 - 2022'!I32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'11 - 2022'!B34-'11 - 2022'!B33+'11 - 2022'!C34-'11 - 2022'!C33</f>
        <v>0</v>
      </c>
      <c r="F28" s="13">
        <v>0.11799999999999999</v>
      </c>
      <c r="G28" s="15">
        <f>'11 - 2022'!D34-'11 - 2022'!D33+'11 - 2022'!E34-'11 - 2022'!E33</f>
        <v>0</v>
      </c>
      <c r="H28" s="13">
        <v>0.99</v>
      </c>
      <c r="I28" s="15">
        <f>'11 - 2022'!J34-'11 - 2022'!J33</f>
        <v>0</v>
      </c>
      <c r="J28" s="13">
        <v>8.1000000000000003E-2</v>
      </c>
      <c r="K28" s="21">
        <f>'11 - 2022'!H34-'11 - 2022'!H33</f>
        <v>0</v>
      </c>
      <c r="L28" s="15">
        <f>'11 - 2022'!I34-'11 - 2022'!I33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'11 - 2022'!B35-'11 - 2022'!B34+'11 - 2022'!C35-'11 - 2022'!C34</f>
        <v>0</v>
      </c>
      <c r="F29" s="13">
        <v>0.11799999999999999</v>
      </c>
      <c r="G29" s="15">
        <f>'11 - 2022'!D35-'11 - 2022'!D34+'11 - 2022'!E35-'11 - 2022'!E34</f>
        <v>0</v>
      </c>
      <c r="H29" s="13">
        <v>0.99</v>
      </c>
      <c r="I29" s="15">
        <f>'11 - 2022'!J35-'11 - 2022'!J34</f>
        <v>0</v>
      </c>
      <c r="J29" s="13">
        <v>8.1000000000000003E-2</v>
      </c>
      <c r="K29" s="21">
        <f>'11 - 2022'!H35-'11 - 2022'!H34</f>
        <v>0</v>
      </c>
      <c r="L29" s="15">
        <f>'11 - 2022'!I35-'11 - 2022'!I34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'11 - 2022'!B36-'11 - 2022'!B35+'11 - 2022'!C36-'11 - 2022'!C35</f>
        <v>0</v>
      </c>
      <c r="F30" s="13">
        <v>0.11799999999999999</v>
      </c>
      <c r="G30" s="15">
        <f>'11 - 2022'!D36-'11 - 2022'!D35+'11 - 2022'!E36-'11 - 2022'!E35</f>
        <v>0</v>
      </c>
      <c r="H30" s="13">
        <v>0.99</v>
      </c>
      <c r="I30" s="15">
        <f>'11 - 2022'!J36-'11 - 2022'!J35</f>
        <v>0</v>
      </c>
      <c r="J30" s="13">
        <v>8.1000000000000003E-2</v>
      </c>
      <c r="K30" s="21">
        <f>'11 - 2022'!H36-'11 - 2022'!H35</f>
        <v>0</v>
      </c>
      <c r="L30" s="15">
        <f>'11 - 2022'!I36-'11 - 2022'!I35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'11 - 2022'!B37-'11 - 2022'!B36+'11 - 2022'!C37-'11 - 2022'!C36</f>
        <v>0</v>
      </c>
      <c r="F31" s="13">
        <v>0.11799999999999999</v>
      </c>
      <c r="G31" s="15">
        <f>'11 - 2022'!D37-'11 - 2022'!D36+'11 - 2022'!E37-'11 - 2022'!E36</f>
        <v>0</v>
      </c>
      <c r="H31" s="13">
        <v>0.99</v>
      </c>
      <c r="I31" s="15">
        <f>'11 - 2022'!J37-'11 - 2022'!J36</f>
        <v>0</v>
      </c>
      <c r="J31" s="13">
        <v>8.1000000000000003E-2</v>
      </c>
      <c r="K31" s="21">
        <f>'11 - 2022'!H37-'11 - 2022'!H36</f>
        <v>0</v>
      </c>
      <c r="L31" s="15">
        <f>'11 - 2022'!I37-'11 - 2022'!I36</f>
        <v>0</v>
      </c>
      <c r="M31" s="14">
        <v>4.393629424766913</v>
      </c>
      <c r="N3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I25" sqref="I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11</v>
      </c>
      <c r="D2">
        <v>2022</v>
      </c>
      <c r="E2" s="15">
        <f>'11 - 2022'!B8-'11 - 2022'!B7</f>
        <v>4095</v>
      </c>
      <c r="F2" s="15">
        <f>'11 - 2022'!C8-'11 - 2022'!C7</f>
        <v>6095</v>
      </c>
      <c r="G2" s="13">
        <v>0.11799999999999999</v>
      </c>
      <c r="H2" s="15">
        <f>'11 - 2022'!E8-'11 - 2022'!E7</f>
        <v>22.799999999999272</v>
      </c>
      <c r="I2" s="15">
        <f>'11 - 2022'!F8-'11 - 2022'!F7</f>
        <v>10.759999999999764</v>
      </c>
      <c r="J2" s="15">
        <f>'11 - 2022'!G8-'11 - 2022'!G7</f>
        <v>29.689999999995052</v>
      </c>
      <c r="K2" s="13">
        <v>0.74</v>
      </c>
      <c r="L2" s="16">
        <v>97</v>
      </c>
      <c r="M2" s="10"/>
    </row>
    <row r="3" spans="1:1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</f>
        <v>3897</v>
      </c>
      <c r="F3" s="15">
        <f>'11 - 2022'!C9-'11 - 2022'!C8</f>
        <v>5783</v>
      </c>
      <c r="G3" s="13">
        <v>0.11799999999999999</v>
      </c>
      <c r="H3" s="15">
        <f>'11 - 2022'!E9-'11 - 2022'!E8</f>
        <v>24.869999999999891</v>
      </c>
      <c r="I3" s="15">
        <f>'11 - 2022'!F9-'11 - 2022'!F8</f>
        <v>9.0900000000001455</v>
      </c>
      <c r="J3" s="15">
        <f>'11 - 2022'!G9-'11 - 2022'!G8</f>
        <v>30.660000000003492</v>
      </c>
      <c r="K3" s="13">
        <v>0.74</v>
      </c>
      <c r="L3" s="39">
        <v>99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</f>
        <v>4107</v>
      </c>
      <c r="F4" s="15">
        <f>'11 - 2022'!C10-'11 - 2022'!C9</f>
        <v>6075</v>
      </c>
      <c r="G4" s="13">
        <v>0.11799999999999999</v>
      </c>
      <c r="H4" s="15">
        <f>'11 - 2022'!E10-'11 - 2022'!E9</f>
        <v>22.320000000000618</v>
      </c>
      <c r="I4" s="15">
        <f>'11 - 2022'!F10-'11 - 2022'!F9</f>
        <v>10.570000000000164</v>
      </c>
      <c r="J4" s="15">
        <f>'11 - 2022'!G10-'11 - 2022'!G9</f>
        <v>33.190000000002328</v>
      </c>
      <c r="K4" s="13">
        <v>0.74</v>
      </c>
      <c r="L4" s="16">
        <v>93</v>
      </c>
      <c r="M4" s="10"/>
    </row>
    <row r="5" spans="1:1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</f>
        <v>4074</v>
      </c>
      <c r="F5" s="15">
        <f>'11 - 2022'!C11-'11 - 2022'!C10</f>
        <v>6010</v>
      </c>
      <c r="G5" s="13">
        <v>0.11799999999999999</v>
      </c>
      <c r="H5" s="15">
        <f>'11 - 2022'!E11-'11 - 2022'!E10</f>
        <v>24.109999999999673</v>
      </c>
      <c r="I5" s="15">
        <f>'11 - 2022'!F11-'11 - 2022'!F10</f>
        <v>10.059999999999945</v>
      </c>
      <c r="J5" s="15">
        <f>'11 - 2022'!G11-'11 - 2022'!G10</f>
        <v>31.509999999994761</v>
      </c>
      <c r="K5" s="13">
        <v>0.74</v>
      </c>
      <c r="L5" s="16">
        <v>97</v>
      </c>
      <c r="M5" s="10"/>
    </row>
    <row r="6" spans="1:1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</f>
        <v>4311</v>
      </c>
      <c r="F6" s="15">
        <f>'11 - 2022'!C12-'11 - 2022'!C11</f>
        <v>6131</v>
      </c>
      <c r="G6" s="13">
        <v>0.11799999999999999</v>
      </c>
      <c r="H6" s="15">
        <f>'11 - 2022'!E12-'11 - 2022'!E11</f>
        <v>26.350000000000364</v>
      </c>
      <c r="I6" s="15">
        <f>'11 - 2022'!F12-'11 - 2022'!F11</f>
        <v>11.650000000000091</v>
      </c>
      <c r="J6" s="15">
        <f>'11 - 2022'!G12-'11 - 2022'!G11</f>
        <v>32.819999999999709</v>
      </c>
      <c r="K6" s="13">
        <v>0.74</v>
      </c>
      <c r="L6" s="16">
        <v>99</v>
      </c>
      <c r="M6" s="11"/>
    </row>
    <row r="7" spans="1:1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</f>
        <v>4265</v>
      </c>
      <c r="F7" s="15">
        <f>'11 - 2022'!C13-'11 - 2022'!C12</f>
        <v>5919</v>
      </c>
      <c r="G7" s="13">
        <v>0.11799999999999999</v>
      </c>
      <c r="H7" s="15">
        <f>'11 - 2022'!E13-'11 - 2022'!E12</f>
        <v>22.800000000000182</v>
      </c>
      <c r="I7" s="15">
        <f>'11 - 2022'!F13-'11 - 2022'!F12</f>
        <v>10.089999999999691</v>
      </c>
      <c r="J7" s="15">
        <f>'11 - 2022'!G13-'11 - 2022'!G12</f>
        <v>34.630000000004657</v>
      </c>
      <c r="K7" s="13">
        <v>0.74</v>
      </c>
      <c r="L7" s="16">
        <v>83</v>
      </c>
      <c r="M7" s="11"/>
    </row>
    <row r="8" spans="1:1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</f>
        <v>3974</v>
      </c>
      <c r="F8" s="15">
        <f>'11 - 2022'!C14-'11 - 2022'!C13</f>
        <v>5479</v>
      </c>
      <c r="G8" s="13">
        <v>0.11799999999999999</v>
      </c>
      <c r="H8" s="15">
        <f>'11 - 2022'!E14-'11 - 2022'!E13</f>
        <v>23.609999999999673</v>
      </c>
      <c r="I8" s="15">
        <f>'11 - 2022'!F14-'11 - 2022'!F13</f>
        <v>10.410000000000309</v>
      </c>
      <c r="J8" s="15">
        <f>'11 - 2022'!G14-'11 - 2022'!G13</f>
        <v>29.360000000000582</v>
      </c>
      <c r="K8" s="13">
        <v>0.74</v>
      </c>
      <c r="L8" s="16">
        <v>74</v>
      </c>
      <c r="M8" s="11"/>
    </row>
    <row r="9" spans="1:1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</f>
        <v>4159</v>
      </c>
      <c r="F9" s="15">
        <f>'11 - 2022'!C15-'11 - 2022'!C14</f>
        <v>5983</v>
      </c>
      <c r="G9" s="13">
        <v>0.11799999999999999</v>
      </c>
      <c r="H9" s="15">
        <f>'11 - 2022'!E15-'11 - 2022'!E14</f>
        <v>23.140000000000327</v>
      </c>
      <c r="I9" s="15">
        <f>'11 - 2022'!F15-'11 - 2022'!F14</f>
        <v>9.8599999999996726</v>
      </c>
      <c r="J9" s="15">
        <f>'11 - 2022'!G15-'11 - 2022'!G14</f>
        <v>29.189999999995052</v>
      </c>
      <c r="K9" s="13">
        <v>0.74</v>
      </c>
      <c r="L9" s="16">
        <v>87</v>
      </c>
      <c r="M9" s="11"/>
    </row>
    <row r="10" spans="1:1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</f>
        <v>4112</v>
      </c>
      <c r="F10" s="15">
        <f>'11 - 2022'!C16-'11 - 2022'!C15</f>
        <v>5971</v>
      </c>
      <c r="G10" s="13">
        <v>0.11799999999999999</v>
      </c>
      <c r="H10" s="15">
        <f>'11 - 2022'!E16-'11 - 2022'!E15</f>
        <v>20.549999999999272</v>
      </c>
      <c r="I10" s="15">
        <f>'11 - 2022'!F16-'11 - 2022'!F15</f>
        <v>10.980000000000018</v>
      </c>
      <c r="J10" s="15">
        <f>'11 - 2022'!G16-'11 - 2022'!G15</f>
        <v>31.260000000002037</v>
      </c>
      <c r="K10" s="13">
        <v>0.74</v>
      </c>
      <c r="L10" s="16">
        <v>96</v>
      </c>
      <c r="M10" s="11"/>
    </row>
    <row r="11" spans="1:1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</f>
        <v>4262</v>
      </c>
      <c r="F11" s="15">
        <f>'11 - 2022'!C17-'11 - 2022'!C16</f>
        <v>6024</v>
      </c>
      <c r="G11" s="13">
        <v>0.11799999999999999</v>
      </c>
      <c r="H11" s="15">
        <f>'11 - 2022'!E17-'11 - 2022'!E16</f>
        <v>29.650000000000546</v>
      </c>
      <c r="I11" s="15">
        <f>'11 - 2022'!F17-'11 - 2022'!F16</f>
        <v>10.840000000000146</v>
      </c>
      <c r="J11" s="15">
        <f>'11 - 2022'!G17-'11 - 2022'!G16</f>
        <v>33.510000000002037</v>
      </c>
      <c r="K11" s="13">
        <v>0.74</v>
      </c>
      <c r="L11" s="16">
        <v>97</v>
      </c>
      <c r="M11" s="11"/>
    </row>
    <row r="12" spans="1:1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</f>
        <v>4099</v>
      </c>
      <c r="F12" s="15">
        <f>'11 - 2022'!C18-'11 - 2022'!C17</f>
        <v>6038</v>
      </c>
      <c r="G12" s="13">
        <v>0.11799999999999999</v>
      </c>
      <c r="H12" s="15">
        <f>'11 - 2022'!E18-'11 - 2022'!E17</f>
        <v>24.279999999999745</v>
      </c>
      <c r="I12" s="15">
        <f>'11 - 2022'!F18-'11 - 2022'!F17</f>
        <v>10.570000000000164</v>
      </c>
      <c r="J12" s="15">
        <f>'11 - 2022'!G18-'11 - 2022'!G17</f>
        <v>33.029999999998836</v>
      </c>
      <c r="K12" s="13">
        <v>0.74</v>
      </c>
      <c r="L12" s="16">
        <v>102</v>
      </c>
      <c r="M12" s="11"/>
    </row>
    <row r="13" spans="1:1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</f>
        <v>4147</v>
      </c>
      <c r="F13" s="15">
        <f>'11 - 2022'!C19-'11 - 2022'!C18</f>
        <v>6061</v>
      </c>
      <c r="G13" s="13">
        <v>0.11799999999999999</v>
      </c>
      <c r="H13" s="15">
        <f>'11 - 2022'!E19-'11 - 2022'!E18</f>
        <v>24.789999999999964</v>
      </c>
      <c r="I13" s="15">
        <f>'11 - 2022'!F19-'11 - 2022'!F18</f>
        <v>10.409999999999854</v>
      </c>
      <c r="J13" s="15">
        <f>'11 - 2022'!G19-'11 - 2022'!G18</f>
        <v>32.220000000001164</v>
      </c>
      <c r="K13" s="13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</f>
        <v>3996</v>
      </c>
      <c r="F14" s="15">
        <f>'11 - 2022'!C20-'11 - 2022'!C19</f>
        <v>5995</v>
      </c>
      <c r="G14" s="13">
        <v>0.11799999999999999</v>
      </c>
      <c r="H14" s="15">
        <f>'11 - 2022'!E20-'11 - 2022'!E19</f>
        <v>23.230000000000473</v>
      </c>
      <c r="I14" s="15">
        <f>'11 - 2022'!F20-'11 - 2022'!F19</f>
        <v>10.549999999999727</v>
      </c>
      <c r="J14" s="15">
        <f>'11 - 2022'!G20-'11 - 2022'!G19</f>
        <v>29.849999999998545</v>
      </c>
      <c r="K14" s="13">
        <v>0.74</v>
      </c>
      <c r="L14" s="16">
        <v>78</v>
      </c>
      <c r="M14" s="11"/>
    </row>
    <row r="15" spans="1:1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</f>
        <v>4071</v>
      </c>
      <c r="F15" s="15">
        <f>'11 - 2022'!C21-'11 - 2022'!C20</f>
        <v>5982</v>
      </c>
      <c r="G15" s="13">
        <v>0.11799999999999999</v>
      </c>
      <c r="H15" s="15">
        <f>'11 - 2022'!E21-'11 - 2022'!E20</f>
        <v>23.159999999999854</v>
      </c>
      <c r="I15" s="15">
        <f>'11 - 2022'!F21-'11 - 2022'!F20</f>
        <v>8.9700000000002547</v>
      </c>
      <c r="J15" s="15">
        <f>'11 - 2022'!G21-'11 - 2022'!G20</f>
        <v>29.989999999997963</v>
      </c>
      <c r="K15" s="13">
        <v>0.74</v>
      </c>
      <c r="L15" s="16">
        <v>88</v>
      </c>
      <c r="M15" s="11"/>
    </row>
    <row r="16" spans="1:1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</f>
        <v>4073</v>
      </c>
      <c r="F16" s="15">
        <f>'11 - 2022'!C22-'11 - 2022'!C21</f>
        <v>6133</v>
      </c>
      <c r="G16" s="13">
        <v>0.11799999999999999</v>
      </c>
      <c r="H16" s="15">
        <f>'11 - 2022'!E22-'11 - 2022'!E21</f>
        <v>23.819999999999709</v>
      </c>
      <c r="I16" s="15">
        <f>'11 - 2022'!F22-'11 - 2022'!F21</f>
        <v>10.420000000000073</v>
      </c>
      <c r="J16" s="15">
        <f>'11 - 2022'!G22-'11 - 2022'!G21</f>
        <v>37.690000000002328</v>
      </c>
      <c r="K16" s="13">
        <v>0.74</v>
      </c>
      <c r="L16" s="16">
        <v>89</v>
      </c>
      <c r="M16" s="11"/>
    </row>
    <row r="17" spans="1:13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</f>
        <v>4023</v>
      </c>
      <c r="F17" s="15">
        <f>'11 - 2022'!C23-'11 - 2022'!C22</f>
        <v>5802</v>
      </c>
      <c r="G17" s="13">
        <v>0.11799999999999999</v>
      </c>
      <c r="H17" s="15">
        <f>'11 - 2022'!E23-'11 - 2022'!E22</f>
        <v>20.640000000000327</v>
      </c>
      <c r="I17" s="15">
        <f>'11 - 2022'!F23-'11 - 2022'!F22</f>
        <v>10.069999999999709</v>
      </c>
      <c r="J17" s="15">
        <f>'11 - 2022'!G23-'11 - 2022'!G22</f>
        <v>29.309999999997672</v>
      </c>
      <c r="K17" s="13">
        <v>0.74</v>
      </c>
      <c r="L17" s="16">
        <v>97</v>
      </c>
      <c r="M17" s="11"/>
    </row>
    <row r="18" spans="1:13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</f>
        <v>4114</v>
      </c>
      <c r="F18" s="15">
        <f>'11 - 2022'!C24-'11 - 2022'!C23</f>
        <v>6159</v>
      </c>
      <c r="G18" s="13">
        <v>0.11799999999999999</v>
      </c>
      <c r="H18" s="15">
        <f>'11 - 2022'!E24-'11 - 2022'!E23</f>
        <v>23.599999999999454</v>
      </c>
      <c r="I18" s="15">
        <f>'11 - 2022'!F24-'11 - 2022'!F23</f>
        <v>10.630000000000109</v>
      </c>
      <c r="J18" s="15">
        <f>'11 - 2022'!G24-'11 - 2022'!G23</f>
        <v>28.240000000005239</v>
      </c>
      <c r="K18" s="13">
        <v>0.74</v>
      </c>
      <c r="L18" s="16">
        <v>105</v>
      </c>
      <c r="M18" s="11"/>
    </row>
    <row r="19" spans="1:13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</f>
        <v>4070</v>
      </c>
      <c r="F19" s="15">
        <f>'11 - 2022'!C25-'11 - 2022'!C24</f>
        <v>6190</v>
      </c>
      <c r="G19" s="13">
        <v>0.11799999999999999</v>
      </c>
      <c r="H19" s="15">
        <f>'11 - 2022'!E25-'11 - 2022'!E24</f>
        <v>25.369999999999891</v>
      </c>
      <c r="I19" s="15">
        <f>'11 - 2022'!F25-'11 - 2022'!F24</f>
        <v>10.929999999999836</v>
      </c>
      <c r="J19" s="15">
        <f>'11 - 2022'!G25-'11 - 2022'!G24</f>
        <v>31.619999999995343</v>
      </c>
      <c r="K19" s="13">
        <v>0.74</v>
      </c>
      <c r="L19" s="16">
        <v>100</v>
      </c>
      <c r="M19" s="11"/>
    </row>
    <row r="20" spans="1:13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</f>
        <v>4102</v>
      </c>
      <c r="F20" s="15">
        <f>'11 - 2022'!C26-'11 - 2022'!C25</f>
        <v>6149</v>
      </c>
      <c r="G20" s="13">
        <v>0.11799999999999999</v>
      </c>
      <c r="H20" s="15">
        <f>'11 - 2022'!E26-'11 - 2022'!E25</f>
        <v>26.630000000000109</v>
      </c>
      <c r="I20" s="15">
        <f>'11 - 2022'!F26-'11 - 2022'!F25</f>
        <v>11.270000000000437</v>
      </c>
      <c r="J20" s="15">
        <f>'11 - 2022'!G26-'11 - 2022'!G25</f>
        <v>34.330000000001746</v>
      </c>
      <c r="K20" s="13">
        <v>0.74</v>
      </c>
      <c r="L20" s="16">
        <v>98</v>
      </c>
      <c r="M20" s="11"/>
    </row>
    <row r="21" spans="1:13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</f>
        <v>3976</v>
      </c>
      <c r="F21" s="15">
        <f>'11 - 2022'!C27-'11 - 2022'!C26</f>
        <v>5896</v>
      </c>
      <c r="G21" s="13">
        <v>0.11799999999999999</v>
      </c>
      <c r="H21" s="15">
        <f>'11 - 2022'!E27-'11 - 2022'!E26</f>
        <v>24.420000000000073</v>
      </c>
      <c r="I21" s="15">
        <f>'11 - 2022'!F27-'11 - 2022'!F26</f>
        <v>10.169999999999618</v>
      </c>
      <c r="J21" s="15">
        <f>'11 - 2022'!G27-'11 - 2022'!G26</f>
        <v>33</v>
      </c>
      <c r="K21" s="13">
        <v>0.74</v>
      </c>
      <c r="L21" s="39">
        <v>86</v>
      </c>
      <c r="M21" s="11"/>
    </row>
    <row r="22" spans="1:13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</f>
        <v>4025</v>
      </c>
      <c r="F22" s="15">
        <f>'11 - 2022'!C28-'11 - 2022'!C27</f>
        <v>5794</v>
      </c>
      <c r="G22" s="13">
        <v>0.11799999999999999</v>
      </c>
      <c r="H22" s="15">
        <f>'11 - 2022'!E28-'11 - 2022'!E27</f>
        <v>25.630000000000109</v>
      </c>
      <c r="I22" s="15">
        <f>'11 - 2022'!F28-'11 - 2022'!F27</f>
        <v>10.5</v>
      </c>
      <c r="J22" s="15">
        <f>'11 - 2022'!G28-'11 - 2022'!G27</f>
        <v>29.069999999999709</v>
      </c>
      <c r="K22" s="13">
        <v>0.74</v>
      </c>
      <c r="L22" s="16">
        <v>86</v>
      </c>
      <c r="M22" s="11"/>
    </row>
    <row r="23" spans="1:13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</f>
        <v>4014</v>
      </c>
      <c r="F23" s="15">
        <f>'11 - 2022'!C29-'11 - 2022'!C28</f>
        <v>5884</v>
      </c>
      <c r="G23" s="13">
        <v>0.11799999999999999</v>
      </c>
      <c r="H23" s="15">
        <f>'11 - 2022'!E29-'11 - 2022'!E28</f>
        <v>22.329999999999927</v>
      </c>
      <c r="I23" s="15">
        <f>'11 - 2022'!F29-'11 - 2022'!F28</f>
        <v>9.2000000000002728</v>
      </c>
      <c r="J23" s="15">
        <f>'11 - 2022'!G29-'11 - 2022'!G28</f>
        <v>30.919999999998254</v>
      </c>
      <c r="K23" s="13">
        <v>0.74</v>
      </c>
      <c r="L23" s="16">
        <v>81</v>
      </c>
      <c r="M23" s="11"/>
    </row>
    <row r="24" spans="1:13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</f>
        <v>4020</v>
      </c>
      <c r="F24" s="15">
        <f>'11 - 2022'!C30-'11 - 2022'!C29</f>
        <v>5486</v>
      </c>
      <c r="G24" s="13">
        <v>0.11799999999999999</v>
      </c>
      <c r="H24" s="15">
        <f>'11 - 2022'!E30-'11 - 2022'!E29</f>
        <v>24.220000000000255</v>
      </c>
      <c r="I24" s="15">
        <f>'11 - 2022'!F30-'11 - 2022'!F29</f>
        <v>7.9200000000000728</v>
      </c>
      <c r="J24" s="15">
        <f>'11 - 2022'!G30-'11 - 2022'!G29</f>
        <v>28.930000000000291</v>
      </c>
      <c r="K24" s="13">
        <v>0.74</v>
      </c>
      <c r="L24" s="16">
        <v>84</v>
      </c>
      <c r="M24" s="11"/>
    </row>
    <row r="25" spans="1:13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v>0</v>
      </c>
      <c r="F25" s="15">
        <v>0</v>
      </c>
      <c r="G25" s="13">
        <v>0.11799999999999999</v>
      </c>
      <c r="H25" s="15">
        <v>0</v>
      </c>
      <c r="I25" s="15">
        <v>0</v>
      </c>
      <c r="J25" s="15"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</f>
        <v>0</v>
      </c>
      <c r="F26" s="15">
        <f>'11 - 2022'!C32-'11 - 2022'!C31</f>
        <v>0</v>
      </c>
      <c r="G26" s="13">
        <v>0.11799999999999999</v>
      </c>
      <c r="H26" s="15">
        <f>'11 - 2022'!E32-'11 - 2022'!E31</f>
        <v>0</v>
      </c>
      <c r="I26" s="15">
        <f>'11 - 2022'!F32-'11 - 2022'!F31</f>
        <v>0</v>
      </c>
      <c r="J26" s="15">
        <f>'11 - 2022'!G32-'11 - 2022'!G31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</f>
        <v>0</v>
      </c>
      <c r="F27" s="15">
        <f>'11 - 2022'!C33-'11 - 2022'!C32</f>
        <v>0</v>
      </c>
      <c r="G27" s="13">
        <v>0.11799999999999999</v>
      </c>
      <c r="H27" s="15">
        <f>'11 - 2022'!E33-'11 - 2022'!E32</f>
        <v>0</v>
      </c>
      <c r="I27" s="15">
        <f>'11 - 2022'!F33-'11 - 2022'!F32</f>
        <v>0</v>
      </c>
      <c r="J27" s="15">
        <f>'11 - 2022'!G33-'11 - 2022'!G32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</f>
        <v>0</v>
      </c>
      <c r="F28" s="15">
        <f>'11 - 2022'!C34-'11 - 2022'!C33</f>
        <v>0</v>
      </c>
      <c r="G28" s="13">
        <v>0.11799999999999999</v>
      </c>
      <c r="H28" s="15">
        <f>'11 - 2022'!E34-'11 - 2022'!E33</f>
        <v>0</v>
      </c>
      <c r="I28" s="15">
        <f>'11 - 2022'!F34-'11 - 2022'!F33</f>
        <v>0</v>
      </c>
      <c r="J28" s="15">
        <f>'11 - 2022'!G34-'11 - 2022'!G33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</f>
        <v>0</v>
      </c>
      <c r="F29" s="15">
        <f>'11 - 2022'!C35-'11 - 2022'!C34</f>
        <v>0</v>
      </c>
      <c r="G29" s="13">
        <v>0.11799999999999999</v>
      </c>
      <c r="H29" s="15">
        <f>'11 - 2022'!E35-'11 - 2022'!E34</f>
        <v>0</v>
      </c>
      <c r="I29" s="15">
        <f>'11 - 2022'!F35-'11 - 2022'!F34</f>
        <v>0</v>
      </c>
      <c r="J29" s="15">
        <f>'11 - 2022'!G35-'11 - 2022'!G34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</f>
        <v>0</v>
      </c>
      <c r="F30" s="15">
        <f>'11 - 2022'!C36-'11 - 2022'!C35</f>
        <v>0</v>
      </c>
      <c r="G30" s="13">
        <v>0.11799999999999999</v>
      </c>
      <c r="H30" s="15">
        <f>'11 - 2022'!E36-'11 - 2022'!E35</f>
        <v>0</v>
      </c>
      <c r="I30" s="15">
        <f>'11 - 2022'!F36-'11 - 2022'!F35</f>
        <v>0</v>
      </c>
      <c r="J30" s="15">
        <f>'11 - 2022'!G36-'11 - 2022'!G35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</f>
        <v>0</v>
      </c>
      <c r="F31" s="15">
        <f>'11 - 2022'!C37-'11 - 2022'!C36</f>
        <v>0</v>
      </c>
      <c r="G31" s="13">
        <v>0.11799999999999999</v>
      </c>
      <c r="H31" s="15">
        <f>'11 - 2022'!E37-'11 - 2022'!E36</f>
        <v>0</v>
      </c>
      <c r="I31" s="15">
        <f>'11 - 2022'!F37-'11 - 2022'!F36</f>
        <v>0</v>
      </c>
      <c r="J31" s="15">
        <f>'11 - 2022'!G37-'11 - 2022'!G36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zoomScaleNormal="100" workbookViewId="0">
      <selection activeCell="B30" sqref="B30:J30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1" t="s">
        <v>30</v>
      </c>
      <c r="B3" s="91"/>
      <c r="C3" s="91"/>
      <c r="D3" s="91"/>
      <c r="E3" s="91"/>
      <c r="F3" s="91"/>
      <c r="G3" s="91"/>
      <c r="H3" s="91"/>
      <c r="I3" s="91"/>
      <c r="J3" s="91"/>
      <c r="K3" s="49"/>
      <c r="L3" s="49"/>
    </row>
    <row r="4" spans="1:17" ht="16.5" thickBot="1" x14ac:dyDescent="0.3">
      <c r="A4" s="92" t="s">
        <v>38</v>
      </c>
      <c r="B4" s="92"/>
      <c r="C4" s="92"/>
      <c r="D4" s="92"/>
      <c r="E4" s="92"/>
      <c r="F4" s="92"/>
      <c r="G4" s="92"/>
      <c r="H4" s="92"/>
      <c r="I4" s="92"/>
      <c r="J4" s="92"/>
      <c r="K4" s="49"/>
      <c r="L4" s="49"/>
    </row>
    <row r="5" spans="1:17" ht="16.5" thickBot="1" x14ac:dyDescent="0.3">
      <c r="A5" s="50"/>
      <c r="B5" s="93" t="s">
        <v>36</v>
      </c>
      <c r="C5" s="94"/>
      <c r="D5" s="93" t="s">
        <v>0</v>
      </c>
      <c r="E5" s="95"/>
      <c r="F5" s="95"/>
      <c r="G5" s="96"/>
      <c r="H5" s="97" t="s">
        <v>1</v>
      </c>
      <c r="I5" s="98"/>
      <c r="J5" s="25" t="s">
        <v>2</v>
      </c>
      <c r="K5" s="50"/>
      <c r="L5" s="49"/>
    </row>
    <row r="6" spans="1:17" ht="12" customHeight="1" x14ac:dyDescent="0.25">
      <c r="A6" s="51" t="s">
        <v>3</v>
      </c>
      <c r="B6" s="52" t="s">
        <v>33</v>
      </c>
      <c r="C6" s="53" t="s">
        <v>34</v>
      </c>
      <c r="D6" s="53" t="s">
        <v>4</v>
      </c>
      <c r="E6" s="53" t="s">
        <v>5</v>
      </c>
      <c r="F6" s="53" t="s">
        <v>6</v>
      </c>
      <c r="G6" s="54" t="s">
        <v>7</v>
      </c>
      <c r="H6" s="53" t="s">
        <v>28</v>
      </c>
      <c r="I6" s="53" t="s">
        <v>29</v>
      </c>
      <c r="J6" s="53" t="s">
        <v>8</v>
      </c>
      <c r="K6" s="70" t="s">
        <v>31</v>
      </c>
      <c r="L6" s="71" t="s">
        <v>32</v>
      </c>
    </row>
    <row r="7" spans="1:17" s="27" customFormat="1" ht="12.95" customHeight="1" thickBot="1" x14ac:dyDescent="0.3">
      <c r="A7" s="72">
        <v>44865</v>
      </c>
      <c r="B7" s="73">
        <v>733438</v>
      </c>
      <c r="C7" s="74">
        <v>805563</v>
      </c>
      <c r="D7" s="75">
        <v>0.42</v>
      </c>
      <c r="E7" s="76">
        <v>5686.06</v>
      </c>
      <c r="F7" s="77">
        <v>3685.88</v>
      </c>
      <c r="G7" s="77">
        <v>47050.26</v>
      </c>
      <c r="H7" s="73">
        <v>14528</v>
      </c>
      <c r="I7" s="73">
        <v>176040</v>
      </c>
      <c r="J7" s="73">
        <v>61124038</v>
      </c>
      <c r="K7" s="78"/>
      <c r="L7" s="79"/>
      <c r="M7" s="26"/>
    </row>
    <row r="8" spans="1:17" s="29" customFormat="1" ht="12.95" customHeight="1" thickTop="1" x14ac:dyDescent="0.25">
      <c r="A8" s="84">
        <f>A7+1</f>
        <v>44866</v>
      </c>
      <c r="B8" s="85">
        <v>737533</v>
      </c>
      <c r="C8" s="85">
        <v>811658</v>
      </c>
      <c r="D8" s="86">
        <v>0.38</v>
      </c>
      <c r="E8" s="87">
        <v>5708.86</v>
      </c>
      <c r="F8" s="87">
        <v>3696.64</v>
      </c>
      <c r="G8" s="85">
        <v>47079.95</v>
      </c>
      <c r="H8" s="85">
        <v>14528</v>
      </c>
      <c r="I8" s="85">
        <v>176162</v>
      </c>
      <c r="J8" s="85">
        <v>61153249</v>
      </c>
      <c r="K8" s="88"/>
      <c r="L8" s="57"/>
      <c r="M8" s="28"/>
    </row>
    <row r="9" spans="1:17" s="29" customFormat="1" ht="12.95" customHeight="1" x14ac:dyDescent="0.25">
      <c r="A9" s="55">
        <f t="shared" ref="A9:A37" si="0">A8+1</f>
        <v>44867</v>
      </c>
      <c r="B9" s="43">
        <v>741430</v>
      </c>
      <c r="C9" s="41">
        <v>817441</v>
      </c>
      <c r="D9" s="42">
        <v>0.28999999999999998</v>
      </c>
      <c r="E9" s="41">
        <v>5733.73</v>
      </c>
      <c r="F9" s="41">
        <v>3705.73</v>
      </c>
      <c r="G9" s="41">
        <v>47110.61</v>
      </c>
      <c r="H9" s="43">
        <v>14528</v>
      </c>
      <c r="I9" s="43">
        <v>176301</v>
      </c>
      <c r="J9" s="43">
        <v>61181636</v>
      </c>
      <c r="K9" s="56"/>
      <c r="L9" s="58"/>
      <c r="M9" s="28"/>
    </row>
    <row r="10" spans="1:17" s="29" customFormat="1" ht="12.95" customHeight="1" x14ac:dyDescent="0.25">
      <c r="A10" s="55">
        <f t="shared" si="0"/>
        <v>44868</v>
      </c>
      <c r="B10" s="43">
        <v>745537</v>
      </c>
      <c r="C10" s="43">
        <v>823516</v>
      </c>
      <c r="D10" s="42">
        <v>0.73</v>
      </c>
      <c r="E10" s="41">
        <v>5756.05</v>
      </c>
      <c r="F10" s="41">
        <v>3716.3</v>
      </c>
      <c r="G10" s="41">
        <v>47143.8</v>
      </c>
      <c r="H10" s="43">
        <v>14528</v>
      </c>
      <c r="I10" s="43">
        <v>176410</v>
      </c>
      <c r="J10" s="89">
        <v>61207393</v>
      </c>
      <c r="K10" s="56">
        <v>3550</v>
      </c>
      <c r="L10" s="59"/>
      <c r="M10" s="28"/>
    </row>
    <row r="11" spans="1:17" s="29" customFormat="1" ht="12.95" customHeight="1" x14ac:dyDescent="0.25">
      <c r="A11" s="55">
        <f t="shared" si="0"/>
        <v>44869</v>
      </c>
      <c r="B11" s="43">
        <v>749611</v>
      </c>
      <c r="C11" s="43">
        <v>829526</v>
      </c>
      <c r="D11" s="42">
        <v>0.65</v>
      </c>
      <c r="E11" s="41">
        <v>5780.16</v>
      </c>
      <c r="F11" s="41">
        <v>3726.36</v>
      </c>
      <c r="G11" s="41">
        <v>47175.31</v>
      </c>
      <c r="H11" s="43">
        <v>14528</v>
      </c>
      <c r="I11" s="43">
        <v>176549</v>
      </c>
      <c r="J11" s="43">
        <v>61232884</v>
      </c>
      <c r="K11" s="56"/>
      <c r="L11" s="59"/>
      <c r="M11" s="28"/>
    </row>
    <row r="12" spans="1:17" s="29" customFormat="1" ht="12.95" customHeight="1" x14ac:dyDescent="0.2">
      <c r="A12" s="55">
        <f t="shared" si="0"/>
        <v>44870</v>
      </c>
      <c r="B12" s="40">
        <v>753922</v>
      </c>
      <c r="C12" s="40">
        <v>835657</v>
      </c>
      <c r="D12" s="42">
        <v>0.57999999999999996</v>
      </c>
      <c r="E12" s="40">
        <v>5806.51</v>
      </c>
      <c r="F12" s="40">
        <v>3738.01</v>
      </c>
      <c r="G12" s="40">
        <v>47208.13</v>
      </c>
      <c r="H12" s="43">
        <v>14528</v>
      </c>
      <c r="I12" s="40">
        <v>176687</v>
      </c>
      <c r="J12" s="40">
        <v>61257224</v>
      </c>
      <c r="K12" s="56"/>
      <c r="L12" s="59"/>
      <c r="M12" s="28"/>
      <c r="N12" s="30"/>
    </row>
    <row r="13" spans="1:17" s="29" customFormat="1" ht="12.95" customHeight="1" x14ac:dyDescent="0.25">
      <c r="A13" s="55">
        <f t="shared" si="0"/>
        <v>44871</v>
      </c>
      <c r="B13" s="44">
        <v>758187</v>
      </c>
      <c r="C13" s="41">
        <v>841576</v>
      </c>
      <c r="D13" s="42">
        <v>0.5</v>
      </c>
      <c r="E13" s="41">
        <v>5829.31</v>
      </c>
      <c r="F13" s="41">
        <v>3748.1</v>
      </c>
      <c r="G13" s="41">
        <v>47242.76</v>
      </c>
      <c r="H13" s="43">
        <v>14528</v>
      </c>
      <c r="I13" s="41">
        <v>176812</v>
      </c>
      <c r="J13" s="41">
        <v>61280960</v>
      </c>
      <c r="K13" s="56"/>
      <c r="L13" s="60"/>
      <c r="M13" s="28"/>
      <c r="N13" s="31"/>
      <c r="O13" s="31"/>
      <c r="P13" s="31"/>
      <c r="Q13" s="31"/>
    </row>
    <row r="14" spans="1:17" s="29" customFormat="1" ht="12.95" customHeight="1" x14ac:dyDescent="0.25">
      <c r="A14" s="55">
        <f t="shared" si="0"/>
        <v>44872</v>
      </c>
      <c r="B14" s="43">
        <v>762161</v>
      </c>
      <c r="C14" s="43">
        <v>847055</v>
      </c>
      <c r="D14" s="42">
        <v>0.4</v>
      </c>
      <c r="E14" s="41">
        <v>5852.92</v>
      </c>
      <c r="F14" s="41">
        <v>3758.51</v>
      </c>
      <c r="G14" s="41">
        <v>47272.12</v>
      </c>
      <c r="H14" s="43">
        <v>14528</v>
      </c>
      <c r="I14" s="43">
        <v>176938</v>
      </c>
      <c r="J14" s="43">
        <v>61303968</v>
      </c>
      <c r="K14" s="56"/>
      <c r="L14" s="59"/>
      <c r="M14" s="28"/>
      <c r="N14" s="31"/>
      <c r="O14" s="31"/>
      <c r="P14" s="31"/>
      <c r="Q14" s="31"/>
    </row>
    <row r="15" spans="1:17" s="29" customFormat="1" ht="12.95" customHeight="1" x14ac:dyDescent="0.25">
      <c r="A15" s="55">
        <f t="shared" si="0"/>
        <v>44873</v>
      </c>
      <c r="B15" s="43">
        <v>766320</v>
      </c>
      <c r="C15" s="43">
        <v>853038</v>
      </c>
      <c r="D15" s="42">
        <v>0.34</v>
      </c>
      <c r="E15" s="41">
        <v>5876.06</v>
      </c>
      <c r="F15" s="61">
        <v>3768.37</v>
      </c>
      <c r="G15" s="41">
        <v>47301.31</v>
      </c>
      <c r="H15" s="43">
        <v>14528</v>
      </c>
      <c r="I15" s="43">
        <v>177057</v>
      </c>
      <c r="J15" s="43">
        <v>61330392</v>
      </c>
      <c r="K15" s="56"/>
      <c r="L15" s="59"/>
      <c r="M15" s="28"/>
      <c r="N15" s="31"/>
      <c r="O15" s="31"/>
      <c r="P15" s="31"/>
      <c r="Q15" s="31"/>
    </row>
    <row r="16" spans="1:17" s="29" customFormat="1" ht="12.95" customHeight="1" x14ac:dyDescent="0.25">
      <c r="A16" s="55">
        <f t="shared" si="0"/>
        <v>44874</v>
      </c>
      <c r="B16" s="90">
        <v>770432</v>
      </c>
      <c r="C16" s="43">
        <v>859009</v>
      </c>
      <c r="D16" s="42">
        <v>0.8</v>
      </c>
      <c r="E16" s="41">
        <v>5896.61</v>
      </c>
      <c r="F16" s="61">
        <v>3779.35</v>
      </c>
      <c r="G16" s="41">
        <v>47332.57</v>
      </c>
      <c r="H16" s="43">
        <v>14528</v>
      </c>
      <c r="I16" s="43">
        <v>177165</v>
      </c>
      <c r="J16" s="43">
        <v>61354592</v>
      </c>
      <c r="K16" s="56">
        <v>3700</v>
      </c>
      <c r="L16" s="59"/>
      <c r="M16" s="28"/>
      <c r="N16" s="31"/>
      <c r="O16" s="31"/>
      <c r="P16" s="31"/>
      <c r="Q16" s="31"/>
    </row>
    <row r="17" spans="1:19" s="29" customFormat="1" ht="12.95" customHeight="1" x14ac:dyDescent="0.25">
      <c r="A17" s="55">
        <f t="shared" si="0"/>
        <v>44875</v>
      </c>
      <c r="B17" s="41">
        <v>774694</v>
      </c>
      <c r="C17" s="41">
        <v>865033</v>
      </c>
      <c r="D17" s="42">
        <v>0.75</v>
      </c>
      <c r="E17" s="41">
        <v>5926.26</v>
      </c>
      <c r="F17" s="61">
        <v>3790.19</v>
      </c>
      <c r="G17" s="41">
        <v>47366.080000000002</v>
      </c>
      <c r="H17" s="43">
        <v>14528</v>
      </c>
      <c r="I17" s="41">
        <v>177286</v>
      </c>
      <c r="J17" s="41">
        <v>61378021</v>
      </c>
      <c r="K17" s="56"/>
      <c r="L17" s="59"/>
      <c r="M17" s="28"/>
      <c r="N17" s="31"/>
      <c r="O17" s="31"/>
      <c r="P17" s="31"/>
      <c r="Q17" s="31"/>
    </row>
    <row r="18" spans="1:19" s="29" customFormat="1" ht="12.95" customHeight="1" x14ac:dyDescent="0.25">
      <c r="A18" s="55">
        <f t="shared" si="0"/>
        <v>44876</v>
      </c>
      <c r="B18" s="43">
        <v>778793</v>
      </c>
      <c r="C18" s="43">
        <v>871071</v>
      </c>
      <c r="D18" s="42">
        <v>0.6</v>
      </c>
      <c r="E18" s="41">
        <v>5950.54</v>
      </c>
      <c r="F18" s="41">
        <v>3800.76</v>
      </c>
      <c r="G18" s="41">
        <v>47399.11</v>
      </c>
      <c r="H18" s="43">
        <v>14528</v>
      </c>
      <c r="I18" s="43">
        <v>177407</v>
      </c>
      <c r="J18" s="43">
        <v>61403784</v>
      </c>
      <c r="K18" s="56"/>
      <c r="L18" s="59"/>
      <c r="M18" s="28"/>
      <c r="N18" s="31"/>
      <c r="O18" s="22"/>
      <c r="P18" s="31"/>
      <c r="Q18" s="31"/>
    </row>
    <row r="19" spans="1:19" s="29" customFormat="1" ht="12.95" customHeight="1" x14ac:dyDescent="0.25">
      <c r="A19" s="55">
        <f t="shared" si="0"/>
        <v>44877</v>
      </c>
      <c r="B19" s="43">
        <v>782940</v>
      </c>
      <c r="C19" s="43">
        <v>877132</v>
      </c>
      <c r="D19" s="42">
        <v>0.55000000000000004</v>
      </c>
      <c r="E19" s="41">
        <v>5975.33</v>
      </c>
      <c r="F19" s="41">
        <v>3811.17</v>
      </c>
      <c r="G19" s="41">
        <v>47431.33</v>
      </c>
      <c r="H19" s="43">
        <v>14528</v>
      </c>
      <c r="I19" s="43">
        <v>177533</v>
      </c>
      <c r="J19" s="43">
        <v>61428726</v>
      </c>
      <c r="K19" s="56"/>
      <c r="L19" s="59"/>
      <c r="M19" s="28"/>
      <c r="N19" s="31"/>
      <c r="O19" s="22"/>
      <c r="P19" s="31"/>
      <c r="Q19" s="31"/>
    </row>
    <row r="20" spans="1:19" s="29" customFormat="1" ht="12.95" customHeight="1" x14ac:dyDescent="0.25">
      <c r="A20" s="55">
        <f t="shared" si="0"/>
        <v>44878</v>
      </c>
      <c r="B20" s="46">
        <v>786936</v>
      </c>
      <c r="C20" s="46">
        <v>883127</v>
      </c>
      <c r="D20" s="42">
        <v>0.5</v>
      </c>
      <c r="E20" s="43">
        <v>5998.56</v>
      </c>
      <c r="F20" s="43">
        <v>3821.72</v>
      </c>
      <c r="G20" s="47">
        <v>47461.18</v>
      </c>
      <c r="H20" s="43">
        <v>14528</v>
      </c>
      <c r="I20" s="46">
        <v>177664</v>
      </c>
      <c r="J20" s="46">
        <v>61454642</v>
      </c>
      <c r="K20" s="56"/>
      <c r="L20" s="62"/>
      <c r="M20" s="28"/>
      <c r="N20" s="32"/>
      <c r="O20" s="31"/>
      <c r="P20" s="31"/>
      <c r="Q20" s="31"/>
    </row>
    <row r="21" spans="1:19" s="29" customFormat="1" ht="12.95" customHeight="1" x14ac:dyDescent="0.25">
      <c r="A21" s="55">
        <f t="shared" si="0"/>
        <v>44879</v>
      </c>
      <c r="B21" s="46">
        <v>791007</v>
      </c>
      <c r="C21" s="46">
        <v>889109</v>
      </c>
      <c r="D21" s="42">
        <v>0.4</v>
      </c>
      <c r="E21" s="47">
        <v>6021.72</v>
      </c>
      <c r="F21" s="41">
        <v>3830.69</v>
      </c>
      <c r="G21" s="47">
        <v>47491.17</v>
      </c>
      <c r="H21" s="43">
        <v>14528</v>
      </c>
      <c r="I21" s="46">
        <v>177768</v>
      </c>
      <c r="J21" s="46">
        <v>61482365</v>
      </c>
      <c r="K21" s="56"/>
      <c r="L21" s="62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5">
        <f t="shared" si="0"/>
        <v>44880</v>
      </c>
      <c r="B22" s="43">
        <v>795080</v>
      </c>
      <c r="C22" s="90">
        <v>895242</v>
      </c>
      <c r="D22" s="42">
        <v>0.35</v>
      </c>
      <c r="E22" s="41">
        <v>6045.54</v>
      </c>
      <c r="F22" s="41">
        <v>3841.11</v>
      </c>
      <c r="G22" s="47">
        <v>47528.86</v>
      </c>
      <c r="H22" s="43">
        <v>14528</v>
      </c>
      <c r="I22" s="47">
        <v>177879</v>
      </c>
      <c r="J22" s="46">
        <v>61508622</v>
      </c>
      <c r="K22" s="56"/>
      <c r="L22" s="62"/>
      <c r="M22" s="28"/>
      <c r="N22" s="32"/>
      <c r="O22" s="32"/>
      <c r="P22" s="31"/>
      <c r="Q22" s="31"/>
    </row>
    <row r="23" spans="1:19" s="29" customFormat="1" ht="12.95" customHeight="1" x14ac:dyDescent="0.25">
      <c r="A23" s="55">
        <f t="shared" si="0"/>
        <v>44881</v>
      </c>
      <c r="B23" s="46">
        <v>799103</v>
      </c>
      <c r="C23" s="46">
        <v>901044</v>
      </c>
      <c r="D23" s="42">
        <v>0.3</v>
      </c>
      <c r="E23" s="47">
        <v>6066.18</v>
      </c>
      <c r="F23" s="41">
        <v>3851.18</v>
      </c>
      <c r="G23" s="47">
        <v>47558.17</v>
      </c>
      <c r="H23" s="43">
        <v>14528</v>
      </c>
      <c r="I23" s="46">
        <v>177982</v>
      </c>
      <c r="J23" s="46">
        <v>61532905</v>
      </c>
      <c r="K23" s="56"/>
      <c r="L23" s="62"/>
      <c r="M23" s="28"/>
      <c r="N23" s="32"/>
      <c r="O23" s="31"/>
      <c r="P23" s="31"/>
      <c r="Q23" s="31"/>
    </row>
    <row r="24" spans="1:19" s="29" customFormat="1" ht="12.95" customHeight="1" x14ac:dyDescent="0.25">
      <c r="A24" s="55">
        <f t="shared" si="0"/>
        <v>44882</v>
      </c>
      <c r="B24" s="46">
        <v>803217</v>
      </c>
      <c r="C24" s="46">
        <v>907203</v>
      </c>
      <c r="D24" s="42">
        <v>0.8</v>
      </c>
      <c r="E24" s="47">
        <v>6089.78</v>
      </c>
      <c r="F24" s="41">
        <v>3861.81</v>
      </c>
      <c r="G24" s="47">
        <v>47586.41</v>
      </c>
      <c r="H24" s="43">
        <v>14528</v>
      </c>
      <c r="I24" s="46">
        <v>178099</v>
      </c>
      <c r="J24" s="46">
        <v>61558804</v>
      </c>
      <c r="K24" s="56">
        <v>4200</v>
      </c>
      <c r="L24" s="63"/>
      <c r="M24" s="28"/>
      <c r="N24" s="32"/>
      <c r="O24" s="32"/>
      <c r="P24" s="31"/>
      <c r="Q24" s="31"/>
    </row>
    <row r="25" spans="1:19" s="29" customFormat="1" ht="12.95" customHeight="1" x14ac:dyDescent="0.25">
      <c r="A25" s="55">
        <f t="shared" si="0"/>
        <v>44883</v>
      </c>
      <c r="B25" s="47">
        <v>807287</v>
      </c>
      <c r="C25" s="47">
        <v>913393</v>
      </c>
      <c r="D25" s="42">
        <v>0.74</v>
      </c>
      <c r="E25" s="47">
        <v>6115.15</v>
      </c>
      <c r="F25" s="41">
        <v>3872.74</v>
      </c>
      <c r="G25" s="47">
        <v>47618.03</v>
      </c>
      <c r="H25" s="43">
        <v>14528</v>
      </c>
      <c r="I25" s="46">
        <v>178227</v>
      </c>
      <c r="J25" s="46">
        <v>61584425</v>
      </c>
      <c r="K25" s="64"/>
      <c r="L25" s="63"/>
      <c r="M25" s="28"/>
      <c r="N25" s="32"/>
      <c r="O25" s="32"/>
      <c r="P25" s="31"/>
      <c r="Q25" s="31"/>
    </row>
    <row r="26" spans="1:19" s="29" customFormat="1" ht="12.95" customHeight="1" x14ac:dyDescent="0.2">
      <c r="A26" s="55">
        <f t="shared" si="0"/>
        <v>44884</v>
      </c>
      <c r="B26" s="47">
        <v>811389</v>
      </c>
      <c r="C26" s="47">
        <v>919542</v>
      </c>
      <c r="D26" s="45">
        <v>0.64</v>
      </c>
      <c r="E26" s="47">
        <v>6141.78</v>
      </c>
      <c r="F26" s="41">
        <v>3884.01</v>
      </c>
      <c r="G26" s="47">
        <v>47652.36</v>
      </c>
      <c r="H26" s="43">
        <v>14528</v>
      </c>
      <c r="I26" s="46">
        <v>178354</v>
      </c>
      <c r="J26" s="46">
        <v>61609581</v>
      </c>
      <c r="K26" s="56"/>
      <c r="L26" s="63"/>
      <c r="M26" s="28"/>
      <c r="N26" s="32"/>
      <c r="O26" s="32"/>
      <c r="P26" s="31"/>
      <c r="Q26" s="31"/>
    </row>
    <row r="27" spans="1:19" s="29" customFormat="1" ht="12.95" customHeight="1" x14ac:dyDescent="0.25">
      <c r="A27" s="55">
        <f t="shared" si="0"/>
        <v>44885</v>
      </c>
      <c r="B27" s="46">
        <v>815365</v>
      </c>
      <c r="C27" s="46">
        <v>925438</v>
      </c>
      <c r="D27" s="42">
        <v>0.57999999999999996</v>
      </c>
      <c r="E27" s="47">
        <v>6166.2</v>
      </c>
      <c r="F27" s="41">
        <v>3894.18</v>
      </c>
      <c r="G27" s="47">
        <v>47685.36</v>
      </c>
      <c r="H27" s="43">
        <v>14528</v>
      </c>
      <c r="I27" s="46">
        <v>178480</v>
      </c>
      <c r="J27" s="46">
        <v>61633721</v>
      </c>
      <c r="K27" s="65"/>
      <c r="L27" s="62"/>
      <c r="M27" s="28"/>
    </row>
    <row r="28" spans="1:19" s="29" customFormat="1" ht="12.95" customHeight="1" x14ac:dyDescent="0.25">
      <c r="A28" s="55">
        <f t="shared" si="0"/>
        <v>44886</v>
      </c>
      <c r="B28" s="46">
        <v>819390</v>
      </c>
      <c r="C28" s="46">
        <v>931232</v>
      </c>
      <c r="D28" s="42">
        <v>0.5</v>
      </c>
      <c r="E28" s="47">
        <v>6191.83</v>
      </c>
      <c r="F28" s="41">
        <v>3904.68</v>
      </c>
      <c r="G28" s="47">
        <v>47714.43</v>
      </c>
      <c r="H28" s="43">
        <v>14528</v>
      </c>
      <c r="I28" s="46">
        <v>178598</v>
      </c>
      <c r="J28" s="46">
        <v>61658313</v>
      </c>
      <c r="K28" s="56"/>
      <c r="L28" s="62"/>
      <c r="M28" s="28"/>
    </row>
    <row r="29" spans="1:19" s="29" customFormat="1" ht="12.95" customHeight="1" x14ac:dyDescent="0.25">
      <c r="A29" s="55">
        <f t="shared" si="0"/>
        <v>44887</v>
      </c>
      <c r="B29" s="46">
        <v>823404</v>
      </c>
      <c r="C29" s="46">
        <v>937116</v>
      </c>
      <c r="D29" s="42">
        <v>0.42</v>
      </c>
      <c r="E29" s="47">
        <v>6214.16</v>
      </c>
      <c r="F29" s="41">
        <v>3913.88</v>
      </c>
      <c r="G29" s="47">
        <v>47745.35</v>
      </c>
      <c r="H29" s="43">
        <v>14528</v>
      </c>
      <c r="I29" s="46">
        <v>178706</v>
      </c>
      <c r="J29" s="46">
        <v>61679850</v>
      </c>
      <c r="K29" s="56"/>
      <c r="L29" s="62"/>
      <c r="M29" s="28"/>
      <c r="N29" s="30"/>
    </row>
    <row r="30" spans="1:19" s="29" customFormat="1" ht="12.95" customHeight="1" x14ac:dyDescent="0.25">
      <c r="A30" s="55">
        <f t="shared" si="0"/>
        <v>44888</v>
      </c>
      <c r="B30" s="46">
        <v>827424</v>
      </c>
      <c r="C30" s="46">
        <v>942602</v>
      </c>
      <c r="D30" s="42">
        <v>0.35</v>
      </c>
      <c r="E30" s="47">
        <v>6238.38</v>
      </c>
      <c r="F30" s="41">
        <v>3921.8</v>
      </c>
      <c r="G30" s="47">
        <v>47774.28</v>
      </c>
      <c r="H30" s="43">
        <v>14528</v>
      </c>
      <c r="I30" s="46">
        <v>178817</v>
      </c>
      <c r="J30" s="46">
        <v>61699215</v>
      </c>
      <c r="K30" s="56"/>
      <c r="L30" s="62"/>
      <c r="M30" s="28"/>
    </row>
    <row r="31" spans="1:19" s="29" customFormat="1" ht="12.95" customHeight="1" x14ac:dyDescent="0.25">
      <c r="A31" s="55">
        <f t="shared" si="0"/>
        <v>44889</v>
      </c>
      <c r="B31" s="46"/>
      <c r="C31" s="46"/>
      <c r="D31" s="42"/>
      <c r="E31" s="47"/>
      <c r="F31" s="41"/>
      <c r="G31" s="47"/>
      <c r="H31" s="43"/>
      <c r="I31" s="46"/>
      <c r="J31" s="46"/>
      <c r="K31" s="56"/>
      <c r="L31" s="62"/>
      <c r="M31" s="28"/>
      <c r="N31" s="30"/>
      <c r="O31" s="30"/>
    </row>
    <row r="32" spans="1:19" s="29" customFormat="1" ht="12.95" customHeight="1" x14ac:dyDescent="0.25">
      <c r="A32" s="55">
        <f t="shared" si="0"/>
        <v>44890</v>
      </c>
      <c r="B32" s="46"/>
      <c r="C32" s="46"/>
      <c r="D32" s="42"/>
      <c r="E32" s="47"/>
      <c r="F32" s="41"/>
      <c r="G32" s="47"/>
      <c r="H32" s="43"/>
      <c r="I32" s="46"/>
      <c r="J32" s="46"/>
      <c r="K32" s="56"/>
      <c r="L32" s="62"/>
      <c r="M32" s="28"/>
      <c r="N32" s="30"/>
      <c r="O32" s="30"/>
    </row>
    <row r="33" spans="1:16" s="29" customFormat="1" ht="12.95" customHeight="1" x14ac:dyDescent="0.25">
      <c r="A33" s="55">
        <f t="shared" si="0"/>
        <v>44891</v>
      </c>
      <c r="B33" s="46"/>
      <c r="C33" s="46"/>
      <c r="D33" s="42"/>
      <c r="E33" s="47"/>
      <c r="F33" s="41"/>
      <c r="G33" s="47"/>
      <c r="H33" s="43"/>
      <c r="I33" s="46"/>
      <c r="J33" s="46"/>
      <c r="K33" s="56"/>
      <c r="L33" s="62"/>
      <c r="M33" s="34"/>
      <c r="N33" s="30"/>
      <c r="O33" s="30"/>
    </row>
    <row r="34" spans="1:16" s="29" customFormat="1" ht="12.95" customHeight="1" x14ac:dyDescent="0.25">
      <c r="A34" s="55">
        <f t="shared" si="0"/>
        <v>44892</v>
      </c>
      <c r="B34" s="46"/>
      <c r="C34" s="46"/>
      <c r="D34" s="42"/>
      <c r="E34" s="47"/>
      <c r="F34" s="41"/>
      <c r="G34" s="47"/>
      <c r="H34" s="43"/>
      <c r="I34" s="47"/>
      <c r="J34" s="47"/>
      <c r="K34" s="56"/>
      <c r="L34" s="66"/>
      <c r="M34" s="34"/>
      <c r="N34" s="30"/>
      <c r="P34" s="30"/>
    </row>
    <row r="35" spans="1:16" s="29" customFormat="1" ht="12.95" customHeight="1" x14ac:dyDescent="0.25">
      <c r="A35" s="55">
        <f>A34+1</f>
        <v>44893</v>
      </c>
      <c r="B35" s="43"/>
      <c r="C35" s="48"/>
      <c r="D35" s="42"/>
      <c r="E35" s="47"/>
      <c r="F35" s="41"/>
      <c r="G35" s="41"/>
      <c r="H35" s="43"/>
      <c r="I35" s="43"/>
      <c r="J35" s="43"/>
      <c r="K35" s="56"/>
      <c r="L35" s="62"/>
      <c r="M35" s="28"/>
      <c r="N35" s="30"/>
      <c r="O35" s="30"/>
    </row>
    <row r="36" spans="1:16" s="29" customFormat="1" ht="12.95" customHeight="1" x14ac:dyDescent="0.25">
      <c r="A36" s="55">
        <f t="shared" si="0"/>
        <v>44894</v>
      </c>
      <c r="B36" s="43"/>
      <c r="C36" s="48"/>
      <c r="D36" s="42"/>
      <c r="E36" s="47"/>
      <c r="F36" s="41"/>
      <c r="G36" s="41"/>
      <c r="H36" s="43"/>
      <c r="I36" s="43"/>
      <c r="J36" s="43"/>
      <c r="K36" s="56"/>
      <c r="L36" s="67"/>
      <c r="M36" s="28"/>
      <c r="N36" s="30"/>
      <c r="O36" s="30"/>
    </row>
    <row r="37" spans="1:16" s="29" customFormat="1" ht="12.95" customHeight="1" x14ac:dyDescent="0.25">
      <c r="A37" s="55">
        <f t="shared" si="0"/>
        <v>44895</v>
      </c>
      <c r="B37" s="43"/>
      <c r="C37" s="48"/>
      <c r="D37" s="42"/>
      <c r="E37" s="47"/>
      <c r="F37" s="41"/>
      <c r="G37" s="41"/>
      <c r="H37" s="43"/>
      <c r="I37" s="43"/>
      <c r="J37" s="43"/>
      <c r="K37" s="56"/>
      <c r="L37" s="62"/>
      <c r="M37" s="28"/>
      <c r="N37" s="30"/>
      <c r="O37" s="30"/>
    </row>
    <row r="38" spans="1:16" s="29" customFormat="1" ht="12.95" customHeight="1" x14ac:dyDescent="0.25">
      <c r="A38" s="35" t="s">
        <v>35</v>
      </c>
      <c r="B38" s="36">
        <f>B37-B7</f>
        <v>-733438</v>
      </c>
      <c r="C38" s="36">
        <f>C37-C7</f>
        <v>-805563</v>
      </c>
      <c r="D38" s="36"/>
      <c r="E38" s="36">
        <f t="shared" ref="E38:J38" si="1">E37-E7</f>
        <v>-5686.06</v>
      </c>
      <c r="F38" s="36">
        <f t="shared" si="1"/>
        <v>-3685.88</v>
      </c>
      <c r="G38" s="36">
        <f t="shared" si="1"/>
        <v>-47050.26</v>
      </c>
      <c r="H38" s="36">
        <f t="shared" si="1"/>
        <v>-14528</v>
      </c>
      <c r="I38" s="36">
        <f t="shared" si="1"/>
        <v>-176040</v>
      </c>
      <c r="J38" s="36">
        <f t="shared" si="1"/>
        <v>-61124038</v>
      </c>
      <c r="K38" s="36">
        <f>SUM(K7:K37)</f>
        <v>11450</v>
      </c>
      <c r="L38" s="49"/>
      <c r="M38" s="23"/>
      <c r="N38" s="30"/>
      <c r="O38" s="30"/>
    </row>
    <row r="39" spans="1:16" s="38" customFormat="1" x14ac:dyDescent="0.25">
      <c r="A39" s="49"/>
      <c r="B39" s="49"/>
      <c r="C39" s="36"/>
      <c r="D39" s="49"/>
      <c r="E39" s="68"/>
      <c r="F39" s="68"/>
      <c r="G39" s="68"/>
      <c r="H39" s="37">
        <f>H38*219.969</f>
        <v>-3195709.6319999998</v>
      </c>
      <c r="I39" s="36">
        <f>I38*219.969</f>
        <v>-38723342.759999998</v>
      </c>
      <c r="J39" s="68"/>
      <c r="K39" s="49"/>
      <c r="L39" s="49"/>
      <c r="M39" s="23"/>
    </row>
    <row r="40" spans="1:16" s="38" customFormat="1" x14ac:dyDescent="0.25">
      <c r="A40" s="49"/>
      <c r="B40" s="49"/>
      <c r="C40" s="49"/>
      <c r="D40" s="49"/>
      <c r="E40" s="49"/>
      <c r="F40" s="49"/>
      <c r="G40" s="49"/>
      <c r="H40" s="69" t="s">
        <v>37</v>
      </c>
      <c r="I40" s="49"/>
      <c r="J40" s="49"/>
      <c r="K40" s="49"/>
      <c r="L40" s="49"/>
    </row>
    <row r="41" spans="1:16" x14ac:dyDescent="0.25">
      <c r="A41" s="80"/>
      <c r="B41" s="81">
        <f>B32-B10</f>
        <v>-745537</v>
      </c>
      <c r="C41" s="81">
        <f>C32-C10</f>
        <v>-823516</v>
      </c>
      <c r="D41" s="80"/>
      <c r="E41" s="81" t="e">
        <f>E32-#REF!</f>
        <v>#REF!</v>
      </c>
      <c r="F41" s="81">
        <f>F32-F10</f>
        <v>-3716.3</v>
      </c>
      <c r="G41" s="81">
        <f>G32-G10</f>
        <v>-47143.8</v>
      </c>
      <c r="H41" s="81">
        <f>H32-H10</f>
        <v>-14528</v>
      </c>
      <c r="I41" s="81">
        <f t="shared" ref="I41:J41" si="2">I32-I10</f>
        <v>-176410</v>
      </c>
      <c r="J41" s="81">
        <f t="shared" si="2"/>
        <v>-61207393</v>
      </c>
      <c r="K41" s="80"/>
      <c r="L41" s="80"/>
    </row>
    <row r="42" spans="1:16" x14ac:dyDescent="0.25">
      <c r="A42" s="49"/>
      <c r="B42" s="49"/>
      <c r="C42" s="49"/>
      <c r="D42" s="49"/>
      <c r="E42" s="49"/>
      <c r="F42" s="49"/>
      <c r="G42" s="49"/>
      <c r="H42" s="49"/>
      <c r="I42" s="37">
        <f>I41*219.969</f>
        <v>-38804731.289999999</v>
      </c>
      <c r="J42" s="49">
        <v>768611</v>
      </c>
      <c r="K42" s="49"/>
      <c r="L42" s="49"/>
    </row>
    <row r="43" spans="1:16" x14ac:dyDescent="0.25">
      <c r="A43" s="49"/>
      <c r="B43" s="49"/>
      <c r="C43" s="68">
        <f>C41+B41</f>
        <v>-1569053</v>
      </c>
      <c r="D43" s="49"/>
      <c r="E43" s="49"/>
      <c r="F43" s="49"/>
      <c r="G43" s="49"/>
      <c r="H43" s="49"/>
      <c r="I43" s="49">
        <v>450276.54300000001</v>
      </c>
      <c r="J43" s="49"/>
      <c r="K43" s="49"/>
      <c r="L43" s="49"/>
    </row>
    <row r="44" spans="1:16" x14ac:dyDescent="0.25">
      <c r="A44" s="49"/>
      <c r="B44" s="49"/>
      <c r="C44" s="49">
        <v>178662</v>
      </c>
      <c r="D44" s="49"/>
      <c r="E44" s="49"/>
      <c r="F44" s="49"/>
      <c r="G44" s="49"/>
      <c r="H44" s="49"/>
      <c r="I44" s="49"/>
      <c r="J44" s="82">
        <f>SUM(J42-J41)/J41</f>
        <v>-1.0125574863154194</v>
      </c>
      <c r="K44" s="49"/>
      <c r="L44" s="49"/>
    </row>
    <row r="45" spans="1:16" x14ac:dyDescent="0.25">
      <c r="A45" s="49"/>
      <c r="B45" s="49"/>
      <c r="C45" s="83">
        <f>SUM(C44-C43)/C43</f>
        <v>-1.1138661345410257</v>
      </c>
      <c r="D45" s="49"/>
      <c r="E45" s="49"/>
      <c r="F45" s="49"/>
      <c r="G45" s="49"/>
      <c r="H45" s="49"/>
      <c r="I45" s="82">
        <f>SUM(I43-I42)/I42</f>
        <v>-1.0116036505867014</v>
      </c>
      <c r="J45" s="49"/>
      <c r="K45" s="49"/>
      <c r="L45" s="49"/>
    </row>
    <row r="46" spans="1:16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6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1:16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spans="1:12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11 - 2022</vt:lpstr>
      <vt:lpstr>'11 - 2022'!Print_Area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2022-11-23T05:37:25Z</dcterms:modified>
</cp:coreProperties>
</file>