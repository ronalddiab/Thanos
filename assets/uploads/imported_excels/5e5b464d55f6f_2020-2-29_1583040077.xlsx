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7" i="3"/>
  <c r="K7" i="3"/>
  <c r="I7" i="3"/>
  <c r="G7" i="3"/>
  <c r="E7" i="3"/>
  <c r="L6" i="3"/>
  <c r="K6" i="3"/>
  <c r="I6" i="3"/>
  <c r="G6" i="3"/>
  <c r="E6" i="3"/>
  <c r="L5" i="3"/>
  <c r="K5" i="3"/>
  <c r="I5" i="3"/>
  <c r="G5" i="3"/>
  <c r="E5" i="3"/>
  <c r="L4" i="3"/>
  <c r="K4" i="3"/>
  <c r="I4" i="3"/>
  <c r="G4" i="3"/>
  <c r="E4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J4" i="2"/>
  <c r="I4" i="2"/>
  <c r="H4" i="2"/>
  <c r="F4" i="2"/>
  <c r="E4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<sst xmlns="http://schemas.openxmlformats.org/spreadsheetml/2006/main" count="105" uniqueCount="36">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</sst>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P9" sqref="P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18.930000000000291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v>0</v>
      </c>
      <c r="F3" s="24">
        <v>0.11799999999999999</v>
      </c>
      <c r="G3" s="26">
        <v>0</v>
      </c>
      <c r="H3" s="24">
        <v>0.99</v>
      </c>
      <c r="I3" s="26">
        <v>0</v>
      </c>
      <c r="J3" s="24">
        <v>8.1000000000000003E-2</v>
      </c>
      <c r="K3" s="26">
        <v>0</v>
      </c>
      <c r="L3" s="26">
        <v>0</v>
      </c>
      <c r="M3" s="25">
        <v>4.393629424766913</v>
      </c>
      <c r="N3" s="51"/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0</v>
      </c>
      <c r="F4" s="24">
        <v>0.11799999999999999</v>
      </c>
      <c r="G4" s="26">
        <f>'03 - 2020'!D7-'03 - 2020'!D6+'03 - 2020'!E7-'03 - 2020'!E6</f>
        <v>0</v>
      </c>
      <c r="H4" s="24">
        <v>0.99</v>
      </c>
      <c r="I4" s="26">
        <f>'03 - 2020'!F7-'03 - 2020'!F6+'03 - 2020'!G7-'03 - 2020'!G6</f>
        <v>0</v>
      </c>
      <c r="J4" s="24">
        <v>8.1000000000000003E-2</v>
      </c>
      <c r="K4" s="26">
        <f>'03 - 2020'!H7-'03 - 2020'!H6+'03 - 2020'!I7-'03 - 2020'!I6</f>
        <v>0</v>
      </c>
      <c r="L4" s="26">
        <f>'03 - 2020'!I7-'03 - 2020'!I6+'03 - 2020'!J7-'03 - 2020'!J6</f>
        <v>0</v>
      </c>
      <c r="M4" s="25">
        <v>4.393629424766913</v>
      </c>
      <c r="N4" s="51"/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'03 - 2020'!B8-'03 - 2020'!B7+'03 - 2020'!C8-'03 - 2020'!C7</f>
        <v>0</v>
      </c>
      <c r="F5" s="24">
        <v>0.11799999999999999</v>
      </c>
      <c r="G5" s="26">
        <f>'03 - 2020'!D8-'03 - 2020'!D7+'03 - 2020'!E8-'03 - 2020'!E7</f>
        <v>0</v>
      </c>
      <c r="H5" s="24">
        <v>0.99</v>
      </c>
      <c r="I5" s="26">
        <f>'03 - 2020'!F8-'03 - 2020'!F7+'03 - 2020'!G8-'03 - 2020'!G7</f>
        <v>0</v>
      </c>
      <c r="J5" s="24">
        <v>8.1000000000000003E-2</v>
      </c>
      <c r="K5" s="26">
        <f>'03 - 2020'!H8-'03 - 2020'!H7+'03 - 2020'!I8-'03 - 2020'!I7</f>
        <v>0</v>
      </c>
      <c r="L5" s="26">
        <f>'03 - 2020'!I8-'03 - 2020'!I7+'03 - 2020'!J8-'03 - 2020'!J7</f>
        <v>0</v>
      </c>
      <c r="M5" s="25">
        <v>4.393629424766913</v>
      </c>
      <c r="N5" s="51"/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0</v>
      </c>
      <c r="F6" s="24">
        <v>0.11799999999999999</v>
      </c>
      <c r="G6" s="26">
        <f>'03 - 2020'!D9-'03 - 2020'!D8+'03 - 2020'!E9-'03 - 2020'!E8</f>
        <v>0</v>
      </c>
      <c r="H6" s="24">
        <v>0.99</v>
      </c>
      <c r="I6" s="26">
        <f>'03 - 2020'!F9-'03 - 2020'!F8+'03 - 2020'!G9-'03 - 2020'!G8</f>
        <v>0</v>
      </c>
      <c r="J6" s="24">
        <v>8.1000000000000003E-2</v>
      </c>
      <c r="K6" s="26">
        <f>'03 - 2020'!H9-'03 - 2020'!H8+'03 - 2020'!I9-'03 - 2020'!I8</f>
        <v>0</v>
      </c>
      <c r="L6" s="26">
        <f>'03 - 2020'!I9-'03 - 2020'!I8+'03 - 2020'!J9-'03 - 2020'!J8</f>
        <v>0</v>
      </c>
      <c r="M6" s="25">
        <v>4.393629424766913</v>
      </c>
      <c r="N6" s="51"/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'03 - 2020'!B10-'03 - 2020'!B9+'03 - 2020'!C10-'03 - 2020'!C9</f>
        <v>0</v>
      </c>
      <c r="F7" s="24">
        <v>0.11799999999999999</v>
      </c>
      <c r="G7" s="26">
        <f>'03 - 2020'!D10-'03 - 2020'!D9+'03 - 2020'!E10-'03 - 2020'!E9</f>
        <v>0</v>
      </c>
      <c r="H7" s="24">
        <v>0.99</v>
      </c>
      <c r="I7" s="26">
        <f>'03 - 2020'!F10-'03 - 2020'!F9+'03 - 2020'!G10-'03 - 2020'!G9</f>
        <v>0</v>
      </c>
      <c r="J7" s="24">
        <v>8.1000000000000003E-2</v>
      </c>
      <c r="K7" s="26">
        <f>'03 - 2020'!H10-'03 - 2020'!H9+'03 - 2020'!I10-'03 - 2020'!I9</f>
        <v>0</v>
      </c>
      <c r="L7" s="26">
        <f>'03 - 2020'!I10-'03 - 2020'!I9+'03 - 2020'!J10-'03 - 2020'!J9</f>
        <v>0</v>
      </c>
      <c r="M7" s="25">
        <v>4.393629424766913</v>
      </c>
      <c r="N7" s="51"/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0</v>
      </c>
      <c r="F8" s="24">
        <v>0.11799999999999999</v>
      </c>
      <c r="G8" s="26">
        <f>'03 - 2020'!D11-'03 - 2020'!D10+'03 - 2020'!E11-'03 - 2020'!E10</f>
        <v>0</v>
      </c>
      <c r="H8" s="24">
        <v>0.99</v>
      </c>
      <c r="I8" s="26">
        <f>'03 - 2020'!F11-'03 - 2020'!F10+'03 - 2020'!G11-'03 - 2020'!G10</f>
        <v>0</v>
      </c>
      <c r="J8" s="24">
        <v>8.1000000000000003E-2</v>
      </c>
      <c r="K8" s="26">
        <f>'03 - 2020'!H11-'03 - 2020'!H10+'03 - 2020'!I11-'03 - 2020'!I10</f>
        <v>0</v>
      </c>
      <c r="L8" s="26">
        <f>'03 - 2020'!I11-'03 - 2020'!I10+'03 - 2020'!J11-'03 - 2020'!J10</f>
        <v>0</v>
      </c>
      <c r="M8" s="25">
        <v>4.393629424766913</v>
      </c>
      <c r="N8" s="51"/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'03 - 2020'!B12-'03 - 2020'!B11+'03 - 2020'!C12-'03 - 2020'!C11</f>
        <v>0</v>
      </c>
      <c r="F9" s="24">
        <v>0.11799999999999999</v>
      </c>
      <c r="G9" s="26">
        <f>'03 - 2020'!D12-'03 - 2020'!D11+'03 - 2020'!E12-'03 - 2020'!E11</f>
        <v>0</v>
      </c>
      <c r="H9" s="24">
        <v>0.99</v>
      </c>
      <c r="I9" s="26">
        <f>'03 - 2020'!F12-'03 - 2020'!F11+'03 - 2020'!G12-'03 - 2020'!G11</f>
        <v>0</v>
      </c>
      <c r="J9" s="24">
        <v>8.1000000000000003E-2</v>
      </c>
      <c r="K9" s="26">
        <f>'03 - 2020'!H12-'03 - 2020'!H11+'03 - 2020'!I12-'03 - 2020'!I11</f>
        <v>0</v>
      </c>
      <c r="L9" s="26">
        <f>'03 - 2020'!I12-'03 - 2020'!I11+'03 - 2020'!J12-'03 - 2020'!J11</f>
        <v>0</v>
      </c>
      <c r="M9" s="25">
        <v>4.393629424766913</v>
      </c>
      <c r="N9" s="51"/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0</v>
      </c>
      <c r="F10" s="24">
        <v>0.11799999999999999</v>
      </c>
      <c r="G10" s="26">
        <f>'03 - 2020'!D13-'03 - 2020'!D12+'03 - 2020'!E13-'03 - 2020'!E12</f>
        <v>0</v>
      </c>
      <c r="H10" s="24">
        <v>0.99</v>
      </c>
      <c r="I10" s="26">
        <f>'03 - 2020'!F13-'03 - 2020'!F12+'03 - 2020'!G13-'03 - 2020'!G12</f>
        <v>0</v>
      </c>
      <c r="J10" s="24">
        <v>8.1000000000000003E-2</v>
      </c>
      <c r="K10" s="26">
        <f>'03 - 2020'!H13-'03 - 2020'!H12+'03 - 2020'!I13-'03 - 2020'!I12</f>
        <v>0</v>
      </c>
      <c r="L10" s="26">
        <f>'03 - 2020'!I13-'03 - 2020'!I12+'03 - 2020'!J13-'03 - 2020'!J12</f>
        <v>0</v>
      </c>
      <c r="M10" s="25">
        <v>4.393629424766913</v>
      </c>
      <c r="N10" s="51"/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0</v>
      </c>
      <c r="F11" s="24">
        <v>0.11799999999999999</v>
      </c>
      <c r="G11" s="26">
        <f>'03 - 2020'!D14-'03 - 2020'!D13+'03 - 2020'!E14-'03 - 2020'!E13</f>
        <v>0</v>
      </c>
      <c r="H11" s="24">
        <v>0.99</v>
      </c>
      <c r="I11" s="26">
        <f>'03 - 2020'!F14-'03 - 2020'!F13+'03 - 2020'!G14-'03 - 2020'!G13</f>
        <v>0</v>
      </c>
      <c r="J11" s="24">
        <v>8.1000000000000003E-2</v>
      </c>
      <c r="K11" s="26">
        <f>'03 - 2020'!H14-'03 - 2020'!H13+'03 - 2020'!I14-'03 - 2020'!I13</f>
        <v>0</v>
      </c>
      <c r="L11" s="26">
        <f>'03 - 2020'!I14-'03 - 2020'!I13+'03 - 2020'!J14-'03 - 2020'!J13</f>
        <v>0</v>
      </c>
      <c r="M11" s="25">
        <v>4.393629424766913</v>
      </c>
      <c r="N11" s="51"/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0</v>
      </c>
      <c r="F12" s="24">
        <v>0.11799999999999999</v>
      </c>
      <c r="G12" s="26">
        <f>'03 - 2020'!D15-'03 - 2020'!D14+'03 - 2020'!E15-'03 - 2020'!E14</f>
        <v>0</v>
      </c>
      <c r="H12" s="24">
        <v>0.99</v>
      </c>
      <c r="I12" s="26">
        <f>'03 - 2020'!F15-'03 - 2020'!F14+'03 - 2020'!G15-'03 - 2020'!G14</f>
        <v>0</v>
      </c>
      <c r="J12" s="24">
        <v>8.1000000000000003E-2</v>
      </c>
      <c r="K12" s="26">
        <f>'03 - 2020'!H15-'03 - 2020'!H14+'03 - 2020'!I15-'03 - 2020'!I14</f>
        <v>0</v>
      </c>
      <c r="L12" s="26">
        <f>'03 - 2020'!I15-'03 - 2020'!I14+'03 - 2020'!J15-'03 - 2020'!J14</f>
        <v>0</v>
      </c>
      <c r="M12" s="25">
        <v>4.393629424766913</v>
      </c>
      <c r="N12" s="52"/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'03 - 2020'!B16-'03 - 2020'!B15+'03 - 2020'!C16-'03 - 2020'!C15</f>
        <v>0</v>
      </c>
      <c r="F13" s="24">
        <v>0.11799999999999999</v>
      </c>
      <c r="G13" s="26">
        <f>'03 - 2020'!D16-'03 - 2020'!D15+'03 - 2020'!E16-'03 - 2020'!E15</f>
        <v>0</v>
      </c>
      <c r="H13" s="24">
        <v>0.99</v>
      </c>
      <c r="I13" s="26">
        <f>'03 - 2020'!F16-'03 - 2020'!F15+'03 - 2020'!G16-'03 - 2020'!G15</f>
        <v>0</v>
      </c>
      <c r="J13" s="24">
        <v>8.1000000000000003E-2</v>
      </c>
      <c r="K13" s="26">
        <f>'03 - 2020'!H16-'03 - 2020'!H15+'03 - 2020'!I16-'03 - 2020'!I15</f>
        <v>0</v>
      </c>
      <c r="L13" s="26">
        <f>'03 - 2020'!I16-'03 - 2020'!I15+'03 - 2020'!J16-'03 - 2020'!J15</f>
        <v>0</v>
      </c>
      <c r="M13" s="25">
        <v>4.393629424766913</v>
      </c>
      <c r="N13" s="52"/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'03 - 2020'!B17-'03 - 2020'!B16+'03 - 2020'!C17-'03 - 2020'!C16</f>
        <v>0</v>
      </c>
      <c r="F14" s="24">
        <v>0.11799999999999999</v>
      </c>
      <c r="G14" s="26">
        <f>'03 - 2020'!D17-'03 - 2020'!D16+'03 - 2020'!E17-'03 - 2020'!E16</f>
        <v>0</v>
      </c>
      <c r="H14" s="24">
        <v>0.99</v>
      </c>
      <c r="I14" s="26">
        <f>'03 - 2020'!F17-'03 - 2020'!F16+'03 - 2020'!G17-'03 - 2020'!G16</f>
        <v>0</v>
      </c>
      <c r="J14" s="24">
        <v>8.1000000000000003E-2</v>
      </c>
      <c r="K14" s="26">
        <f>'03 - 2020'!H17-'03 - 2020'!H16+'03 - 2020'!I17-'03 - 2020'!I16</f>
        <v>0</v>
      </c>
      <c r="L14" s="26">
        <f>'03 - 2020'!I17-'03 - 2020'!I16+'03 - 2020'!J17-'03 - 2020'!J16</f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13" sqref="N12:O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13.5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v>0</v>
      </c>
      <c r="F3" s="26">
        <v>0</v>
      </c>
      <c r="G3" s="24">
        <v>0.11799999999999999</v>
      </c>
      <c r="H3" s="26">
        <v>0</v>
      </c>
      <c r="I3" s="26">
        <v>0</v>
      </c>
      <c r="J3" s="26">
        <v>0</v>
      </c>
      <c r="K3" s="24">
        <v>0.74</v>
      </c>
      <c r="L3" s="51"/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0</v>
      </c>
      <c r="F4" s="26">
        <f>'03 - 2020'!C7-'03 - 2020'!C6</f>
        <v>0</v>
      </c>
      <c r="G4" s="24">
        <v>0.11799999999999999</v>
      </c>
      <c r="H4" s="26">
        <f>'03 - 2020'!E7-'03 - 2020'!E6</f>
        <v>0</v>
      </c>
      <c r="I4" s="26">
        <f>'03 - 2020'!F7-'03 - 2020'!F6</f>
        <v>0</v>
      </c>
      <c r="J4" s="26">
        <f>'03 - 2020'!G7-'03 - 2020'!G6</f>
        <v>0</v>
      </c>
      <c r="K4" s="24">
        <v>0.74</v>
      </c>
      <c r="L4" s="51"/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</f>
        <v>0</v>
      </c>
      <c r="F5" s="26">
        <f>'03 - 2020'!C8-'03 - 2020'!C7</f>
        <v>0</v>
      </c>
      <c r="G5" s="24">
        <v>0.11799999999999999</v>
      </c>
      <c r="H5" s="26">
        <f>'03 - 2020'!E8-'03 - 2020'!E7</f>
        <v>0</v>
      </c>
      <c r="I5" s="26">
        <f>'03 - 2020'!F8-'03 - 2020'!F7</f>
        <v>0</v>
      </c>
      <c r="J5" s="26">
        <f>'03 - 2020'!G8-'03 - 2020'!G7</f>
        <v>0</v>
      </c>
      <c r="K5" s="24">
        <v>0.74</v>
      </c>
      <c r="L5" s="51"/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0</v>
      </c>
      <c r="F6" s="26">
        <f>'03 - 2020'!C9-'03 - 2020'!C8</f>
        <v>0</v>
      </c>
      <c r="G6" s="24">
        <v>0.11799999999999999</v>
      </c>
      <c r="H6" s="26">
        <f>'03 - 2020'!E9-'03 - 2020'!E8</f>
        <v>0</v>
      </c>
      <c r="I6" s="26">
        <f>'03 - 2020'!F9-'03 - 2020'!F8</f>
        <v>0</v>
      </c>
      <c r="J6" s="26">
        <f>'03 - 2020'!G9-'03 - 2020'!G8</f>
        <v>0</v>
      </c>
      <c r="K6" s="24">
        <v>0.74</v>
      </c>
      <c r="L6" s="51"/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</f>
        <v>0</v>
      </c>
      <c r="F7" s="26">
        <f>'03 - 2020'!C10-'03 - 2020'!C9</f>
        <v>0</v>
      </c>
      <c r="G7" s="24">
        <v>0.11799999999999999</v>
      </c>
      <c r="H7" s="26">
        <f>'03 - 2020'!E10-'03 - 2020'!E9</f>
        <v>0</v>
      </c>
      <c r="I7" s="26">
        <f>'03 - 2020'!F10-'03 - 2020'!F9</f>
        <v>0</v>
      </c>
      <c r="J7" s="26">
        <f>'03 - 2020'!G10-'03 - 2020'!G9</f>
        <v>0</v>
      </c>
      <c r="K7" s="24">
        <v>0.74</v>
      </c>
      <c r="L7" s="51"/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0</v>
      </c>
      <c r="F8" s="26">
        <f>'03 - 2020'!C11-'03 - 2020'!C10</f>
        <v>0</v>
      </c>
      <c r="G8" s="24">
        <v>0.11799999999999999</v>
      </c>
      <c r="H8" s="26">
        <f>'03 - 2020'!E11-'03 - 2020'!E10</f>
        <v>0</v>
      </c>
      <c r="I8" s="26">
        <f>'03 - 2020'!F11-'03 - 2020'!F10</f>
        <v>0</v>
      </c>
      <c r="J8" s="26">
        <f>'03 - 2020'!G11-'03 - 2020'!G10</f>
        <v>0</v>
      </c>
      <c r="K8" s="24">
        <v>0.74</v>
      </c>
      <c r="L8" s="51"/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</f>
        <v>0</v>
      </c>
      <c r="F9" s="26">
        <f>'03 - 2020'!C12-'03 - 2020'!C11</f>
        <v>0</v>
      </c>
      <c r="G9" s="24">
        <v>0.11799999999999999</v>
      </c>
      <c r="H9" s="26">
        <f>'03 - 2020'!E12-'03 - 2020'!E11</f>
        <v>0</v>
      </c>
      <c r="I9" s="26">
        <f>'03 - 2020'!F12-'03 - 2020'!F11</f>
        <v>0</v>
      </c>
      <c r="J9" s="26">
        <f>'03 - 2020'!G12-'03 - 2020'!G11</f>
        <v>0</v>
      </c>
      <c r="K9" s="24">
        <v>0.74</v>
      </c>
      <c r="L9" s="51"/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0</v>
      </c>
      <c r="F10" s="26">
        <f>'03 - 2020'!C13-'03 - 2020'!C12</f>
        <v>0</v>
      </c>
      <c r="G10" s="24">
        <v>0.11799999999999999</v>
      </c>
      <c r="H10" s="26">
        <f>'03 - 2020'!E13-'03 - 2020'!E12</f>
        <v>0</v>
      </c>
      <c r="I10" s="26">
        <f>'03 - 2020'!F13-'03 - 2020'!F12</f>
        <v>0</v>
      </c>
      <c r="J10" s="26">
        <f>'03 - 2020'!G13-'03 - 2020'!G12</f>
        <v>0</v>
      </c>
      <c r="K10" s="24">
        <v>0.74</v>
      </c>
      <c r="L10" s="51"/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0</v>
      </c>
      <c r="F11" s="26">
        <f>'03 - 2020'!C14-'03 - 2020'!C13</f>
        <v>0</v>
      </c>
      <c r="G11" s="24">
        <v>0.11799999999999999</v>
      </c>
      <c r="H11" s="26">
        <f>'03 - 2020'!E14-'03 - 2020'!E13</f>
        <v>0</v>
      </c>
      <c r="I11" s="26">
        <f>'03 - 2020'!F14-'03 - 2020'!F13</f>
        <v>0</v>
      </c>
      <c r="J11" s="26">
        <f>'03 - 2020'!G14-'03 - 2020'!G13</f>
        <v>0</v>
      </c>
      <c r="K11" s="24">
        <v>0.74</v>
      </c>
      <c r="L11" s="51"/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0</v>
      </c>
      <c r="F12" s="26">
        <f>'03 - 2020'!C15-'03 - 2020'!C14</f>
        <v>0</v>
      </c>
      <c r="G12" s="24">
        <v>0.11799999999999999</v>
      </c>
      <c r="H12" s="26">
        <f>'03 - 2020'!E15-'03 - 2020'!E14</f>
        <v>0</v>
      </c>
      <c r="I12" s="26">
        <f>'03 - 2020'!F15-'03 - 2020'!F14</f>
        <v>0</v>
      </c>
      <c r="J12" s="26">
        <f>'03 - 2020'!G15-'03 - 2020'!G14</f>
        <v>0</v>
      </c>
      <c r="K12" s="24">
        <v>0.74</v>
      </c>
      <c r="L12" s="26"/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</f>
        <v>0</v>
      </c>
      <c r="F13" s="26">
        <f>'03 - 2020'!C16-'03 - 2020'!C15</f>
        <v>0</v>
      </c>
      <c r="G13" s="24">
        <v>0.11799999999999999</v>
      </c>
      <c r="H13" s="26">
        <f>'03 - 2020'!E16-'03 - 2020'!E15</f>
        <v>0</v>
      </c>
      <c r="I13" s="26">
        <f>'03 - 2020'!F16-'03 - 2020'!F15</f>
        <v>0</v>
      </c>
      <c r="J13" s="26">
        <f>'03 - 2020'!G16-'03 - 2020'!G15</f>
        <v>0</v>
      </c>
      <c r="K13" s="24">
        <v>0.74</v>
      </c>
      <c r="L13" s="26"/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f>'03 - 2020'!B17-'03 - 2020'!B16</f>
        <v>0</v>
      </c>
      <c r="F14" s="26">
        <f>'03 - 2020'!C17-'03 - 2020'!C16</f>
        <v>0</v>
      </c>
      <c r="G14" s="24">
        <v>0.11799999999999999</v>
      </c>
      <c r="H14" s="26">
        <f>'03 - 2020'!E17-'03 - 2020'!E16</f>
        <v>0</v>
      </c>
      <c r="I14" s="26">
        <f>'03 - 2020'!F17-'03 - 2020'!F16</f>
        <v>0</v>
      </c>
      <c r="J14" s="26">
        <f>'03 - 2020'!G17-'03 - 2020'!G16</f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zoomScaleNormal="100" workbookViewId="0">
      <selection activeCell="J15" sqref="J1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1" t="s">
        <v>35</v>
      </c>
      <c r="B1" s="61"/>
      <c r="C1" s="61"/>
      <c r="D1" s="61"/>
      <c r="E1" s="61"/>
      <c r="F1" s="61"/>
      <c r="G1" s="61"/>
      <c r="H1" s="61"/>
      <c r="I1" s="61"/>
      <c r="J1" s="61"/>
      <c r="K1" s="24"/>
      <c r="L1" s="24"/>
    </row>
    <row r="2" spans="1:16" ht="16.5" thickBot="1" x14ac:dyDescent="0.3">
      <c r="A2" s="2"/>
      <c r="B2" s="62">
        <v>19</v>
      </c>
      <c r="C2" s="63"/>
      <c r="D2" s="62" t="s">
        <v>0</v>
      </c>
      <c r="E2" s="64"/>
      <c r="F2" s="64"/>
      <c r="G2" s="65"/>
      <c r="H2" s="66" t="s">
        <v>1</v>
      </c>
      <c r="I2" s="67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8">
        <v>621646</v>
      </c>
      <c r="D4" s="57">
        <v>0.8</v>
      </c>
      <c r="E4" s="29">
        <v>10249.07</v>
      </c>
      <c r="F4" s="29">
        <v>1977.24</v>
      </c>
      <c r="G4" s="29">
        <v>17775.02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/>
      <c r="C6" s="19"/>
      <c r="D6" s="16"/>
      <c r="E6" s="23"/>
      <c r="F6" s="23"/>
      <c r="G6" s="23"/>
      <c r="H6" s="19"/>
      <c r="I6" s="15"/>
      <c r="J6" s="15"/>
      <c r="K6" s="18"/>
      <c r="L6" s="33"/>
    </row>
    <row r="7" spans="1:16" ht="12.75" customHeight="1" x14ac:dyDescent="0.25">
      <c r="A7" s="48">
        <f t="shared" ref="A7:A35" si="0">A6+1</f>
        <v>43893</v>
      </c>
      <c r="B7" s="15"/>
      <c r="C7" s="15"/>
      <c r="D7" s="16"/>
      <c r="E7" s="23"/>
      <c r="F7" s="23"/>
      <c r="G7" s="23"/>
      <c r="H7" s="19"/>
      <c r="I7" s="15"/>
      <c r="J7" s="15"/>
      <c r="K7" s="18"/>
      <c r="L7" s="33"/>
    </row>
    <row r="8" spans="1:16" ht="12.75" customHeight="1" x14ac:dyDescent="0.25">
      <c r="A8" s="48">
        <f t="shared" si="0"/>
        <v>43894</v>
      </c>
      <c r="B8" s="15"/>
      <c r="C8" s="15"/>
      <c r="D8" s="16"/>
      <c r="E8" s="23"/>
      <c r="F8" s="23"/>
      <c r="G8" s="23"/>
      <c r="H8" s="19"/>
      <c r="I8" s="15"/>
      <c r="J8" s="15"/>
      <c r="K8" s="18"/>
      <c r="L8" s="33"/>
    </row>
    <row r="9" spans="1:16" ht="12.75" customHeight="1" x14ac:dyDescent="0.25">
      <c r="A9" s="48">
        <f t="shared" si="0"/>
        <v>43895</v>
      </c>
      <c r="B9" s="15"/>
      <c r="C9" s="15"/>
      <c r="D9" s="16"/>
      <c r="E9" s="23"/>
      <c r="F9" s="23"/>
      <c r="G9" s="23"/>
      <c r="H9" s="15"/>
      <c r="I9" s="15"/>
      <c r="J9" s="15"/>
      <c r="K9" s="18"/>
      <c r="L9" s="33"/>
    </row>
    <row r="10" spans="1:16" ht="12.75" customHeight="1" x14ac:dyDescent="0.25">
      <c r="A10" s="48">
        <f t="shared" si="0"/>
        <v>43896</v>
      </c>
      <c r="B10" s="15"/>
      <c r="C10" s="15"/>
      <c r="D10" s="16"/>
      <c r="E10" s="23"/>
      <c r="F10" s="23"/>
      <c r="G10" s="23"/>
      <c r="H10" s="15"/>
      <c r="I10" s="17"/>
      <c r="J10" s="17"/>
      <c r="K10" s="18"/>
      <c r="L10" s="33"/>
    </row>
    <row r="11" spans="1:16" ht="12.75" customHeight="1" x14ac:dyDescent="0.25">
      <c r="A11" s="48">
        <f t="shared" si="0"/>
        <v>43897</v>
      </c>
      <c r="B11" s="15"/>
      <c r="C11" s="15"/>
      <c r="D11" s="16"/>
      <c r="E11" s="23"/>
      <c r="F11" s="23"/>
      <c r="G11" s="17"/>
      <c r="H11" s="15"/>
      <c r="I11" s="15"/>
      <c r="J11" s="15"/>
      <c r="K11" s="27"/>
      <c r="L11" s="33"/>
    </row>
    <row r="12" spans="1:16" ht="12.75" customHeight="1" x14ac:dyDescent="0.25">
      <c r="A12" s="48">
        <f t="shared" si="0"/>
        <v>43898</v>
      </c>
      <c r="B12" s="19"/>
      <c r="C12" s="15"/>
      <c r="D12" s="16"/>
      <c r="E12" s="23"/>
      <c r="F12" s="23"/>
      <c r="G12" s="17"/>
      <c r="H12" s="15"/>
      <c r="I12" s="15"/>
      <c r="J12" s="15"/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/>
      <c r="C13" s="15"/>
      <c r="D13" s="16"/>
      <c r="E13" s="23"/>
      <c r="F13" s="23"/>
      <c r="G13" s="17"/>
      <c r="H13" s="15"/>
      <c r="I13" s="15"/>
      <c r="J13" s="15"/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/>
      <c r="C14" s="17"/>
      <c r="D14" s="28"/>
      <c r="E14" s="23"/>
      <c r="F14" s="23"/>
      <c r="G14" s="17"/>
      <c r="H14" s="15"/>
      <c r="I14" s="17"/>
      <c r="J14" s="17"/>
      <c r="K14" s="18"/>
      <c r="L14" s="33"/>
    </row>
    <row r="15" spans="1:16" ht="12.75" customHeight="1" x14ac:dyDescent="0.25">
      <c r="A15" s="48">
        <f t="shared" si="0"/>
        <v>43901</v>
      </c>
      <c r="B15" s="15"/>
      <c r="C15" s="15"/>
      <c r="D15" s="16"/>
      <c r="E15" s="23"/>
      <c r="F15" s="23"/>
      <c r="G15" s="17"/>
      <c r="H15" s="15"/>
      <c r="I15" s="15"/>
      <c r="J15" s="15"/>
      <c r="K15" s="18"/>
      <c r="L15" s="33"/>
    </row>
    <row r="16" spans="1:16" ht="12.75" customHeight="1" x14ac:dyDescent="0.25">
      <c r="A16" s="48">
        <f t="shared" si="0"/>
        <v>43902</v>
      </c>
      <c r="B16" s="15"/>
      <c r="C16" s="15"/>
      <c r="D16" s="16"/>
      <c r="E16" s="23"/>
      <c r="F16" s="23"/>
      <c r="G16" s="17"/>
      <c r="H16" s="15"/>
      <c r="I16" s="15"/>
      <c r="J16" s="15"/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-17775.02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3950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2020-03-01T05:19:41Z</dcterms:modified>
</cp:coreProperties>
</file>