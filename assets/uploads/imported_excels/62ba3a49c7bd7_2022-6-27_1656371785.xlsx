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0" i="4" l="1"/>
  <c r="Y11" i="4"/>
  <c r="Y12" i="4"/>
  <c r="Y13" i="4"/>
  <c r="K18" i="4" l="1"/>
  <c r="H9" i="4" l="1"/>
  <c r="K7" i="9" l="1"/>
  <c r="G4" i="3" l="1"/>
  <c r="AA5" i="4"/>
  <c r="AA4" i="4"/>
  <c r="Y4" i="4" l="1"/>
  <c r="T7" i="2" l="1"/>
  <c r="T10" i="2" s="1"/>
  <c r="T16" i="2" s="1"/>
  <c r="T18" i="2" s="1"/>
  <c r="T20" i="2" s="1"/>
  <c r="T30" i="2" s="1"/>
  <c r="T31" i="2" s="1"/>
  <c r="T32" i="2" s="1"/>
  <c r="R6" i="2"/>
  <c r="R7" i="2" s="1"/>
  <c r="R8" i="2" s="1"/>
  <c r="R9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4" i="2"/>
  <c r="P8" i="2"/>
  <c r="P17" i="2" s="1"/>
  <c r="P18" i="2" s="1"/>
  <c r="P19" i="2" s="1"/>
  <c r="P20" i="2" s="1"/>
  <c r="P26" i="2" s="1"/>
  <c r="P28" i="2" s="1"/>
  <c r="P29" i="2" s="1"/>
  <c r="P30" i="2" s="1"/>
  <c r="P31" i="2" s="1"/>
  <c r="P32" i="2" s="1"/>
  <c r="N30" i="2"/>
  <c r="N31" i="2" s="1"/>
  <c r="N32" i="2" s="1"/>
  <c r="L30" i="2"/>
  <c r="L31" i="2" s="1"/>
  <c r="L32" i="2" s="1"/>
  <c r="J30" i="2"/>
  <c r="J31" i="2" s="1"/>
  <c r="J32" i="2" s="1"/>
  <c r="H30" i="2"/>
  <c r="H31" i="2" s="1"/>
  <c r="H32" i="2" s="1"/>
  <c r="F30" i="2"/>
  <c r="F31" i="2" s="1"/>
  <c r="F32" i="2" s="1"/>
  <c r="D30" i="2"/>
  <c r="D31" i="2" s="1"/>
  <c r="D32" i="2" s="1"/>
  <c r="B30" i="2"/>
  <c r="B31" i="2" s="1"/>
  <c r="B32" i="2" s="1"/>
  <c r="J2" i="1"/>
  <c r="M2" i="1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U64" i="10" s="1"/>
  <c r="S2" i="1"/>
  <c r="P2" i="1"/>
  <c r="G2" i="1"/>
  <c r="I2" i="4"/>
  <c r="T2" i="1" l="1"/>
  <c r="U2" i="1" s="1"/>
  <c r="D2" i="1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3" i="4" l="1"/>
  <c r="F3" i="4"/>
  <c r="H3" i="4"/>
  <c r="H33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I14" i="4" s="1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K19" i="4"/>
  <c r="M19" i="4"/>
  <c r="O19" i="4"/>
  <c r="Q19" i="4"/>
  <c r="S19" i="4"/>
  <c r="W19" i="4"/>
  <c r="D20" i="4"/>
  <c r="F20" i="4"/>
  <c r="I20" i="4" s="1"/>
  <c r="K20" i="4"/>
  <c r="M20" i="4"/>
  <c r="O20" i="4"/>
  <c r="Q20" i="4"/>
  <c r="S20" i="4"/>
  <c r="W20" i="4"/>
  <c r="D21" i="4"/>
  <c r="F21" i="4"/>
  <c r="I21" i="4" s="1"/>
  <c r="K21" i="4"/>
  <c r="M21" i="4"/>
  <c r="O21" i="4"/>
  <c r="Q21" i="4"/>
  <c r="S21" i="4"/>
  <c r="W21" i="4"/>
  <c r="D22" i="4"/>
  <c r="F22" i="4"/>
  <c r="I22" i="4" s="1"/>
  <c r="K22" i="4"/>
  <c r="M22" i="4"/>
  <c r="O22" i="4"/>
  <c r="Q22" i="4"/>
  <c r="S22" i="4"/>
  <c r="W22" i="4"/>
  <c r="D23" i="4"/>
  <c r="F23" i="4"/>
  <c r="I23" i="4" s="1"/>
  <c r="K23" i="4"/>
  <c r="M23" i="4"/>
  <c r="O23" i="4"/>
  <c r="Q23" i="4"/>
  <c r="S23" i="4"/>
  <c r="W23" i="4"/>
  <c r="D24" i="4"/>
  <c r="F24" i="4"/>
  <c r="I24" i="4" s="1"/>
  <c r="K24" i="4"/>
  <c r="M24" i="4"/>
  <c r="O24" i="4"/>
  <c r="Q24" i="4"/>
  <c r="S24" i="4"/>
  <c r="W24" i="4"/>
  <c r="D25" i="4"/>
  <c r="F25" i="4"/>
  <c r="I25" i="4" s="1"/>
  <c r="K25" i="4"/>
  <c r="M25" i="4"/>
  <c r="O25" i="4"/>
  <c r="Q25" i="4"/>
  <c r="S25" i="4"/>
  <c r="W25" i="4"/>
  <c r="D26" i="4"/>
  <c r="F26" i="4"/>
  <c r="I26" i="4" s="1"/>
  <c r="K26" i="4"/>
  <c r="M26" i="4"/>
  <c r="O26" i="4"/>
  <c r="Q26" i="4"/>
  <c r="S26" i="4"/>
  <c r="W26" i="4"/>
  <c r="D27" i="4"/>
  <c r="F27" i="4"/>
  <c r="I27" i="4" s="1"/>
  <c r="K27" i="4"/>
  <c r="M27" i="4"/>
  <c r="O27" i="4"/>
  <c r="Q27" i="4"/>
  <c r="S27" i="4"/>
  <c r="W27" i="4"/>
  <c r="D28" i="4"/>
  <c r="F28" i="4"/>
  <c r="I28" i="4" s="1"/>
  <c r="K28" i="4"/>
  <c r="M28" i="4"/>
  <c r="O28" i="4"/>
  <c r="Q28" i="4"/>
  <c r="S28" i="4"/>
  <c r="W28" i="4"/>
  <c r="D29" i="4"/>
  <c r="F29" i="4"/>
  <c r="I29" i="4" s="1"/>
  <c r="K29" i="4"/>
  <c r="M29" i="4"/>
  <c r="O29" i="4"/>
  <c r="Q29" i="4"/>
  <c r="S29" i="4"/>
  <c r="W29" i="4"/>
  <c r="D30" i="4"/>
  <c r="F30" i="4"/>
  <c r="I30" i="4" s="1"/>
  <c r="K30" i="4"/>
  <c r="M30" i="4"/>
  <c r="O30" i="4"/>
  <c r="Q30" i="4"/>
  <c r="S30" i="4"/>
  <c r="W30" i="4"/>
  <c r="D31" i="4"/>
  <c r="F31" i="4"/>
  <c r="I31" i="4" s="1"/>
  <c r="K31" i="4"/>
  <c r="M31" i="4"/>
  <c r="O31" i="4"/>
  <c r="Q31" i="4"/>
  <c r="S31" i="4"/>
  <c r="W31" i="4"/>
  <c r="D32" i="4"/>
  <c r="F32" i="4"/>
  <c r="I32" i="4" s="1"/>
  <c r="K32" i="4"/>
  <c r="M32" i="4"/>
  <c r="O32" i="4"/>
  <c r="Q32" i="4"/>
  <c r="S32" i="4"/>
  <c r="W32" i="4"/>
  <c r="B33" i="4"/>
  <c r="T33" i="4"/>
  <c r="U33" i="4"/>
  <c r="C4" i="2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X32" i="4" l="1"/>
  <c r="Z19" i="4"/>
  <c r="Z16" i="4"/>
  <c r="Z22" i="4"/>
  <c r="X9" i="4"/>
  <c r="Y9" i="4" s="1"/>
  <c r="X24" i="4"/>
  <c r="Y24" i="4" s="1"/>
  <c r="X6" i="4"/>
  <c r="Y6" i="4" s="1"/>
  <c r="Z4" i="4"/>
  <c r="K33" i="4"/>
  <c r="I4" i="4"/>
  <c r="F33" i="4"/>
  <c r="D33" i="4"/>
  <c r="Z30" i="4"/>
  <c r="Z27" i="4"/>
  <c r="Z12" i="4"/>
  <c r="Z9" i="4"/>
  <c r="Z24" i="4"/>
  <c r="Z6" i="4"/>
  <c r="Z23" i="4"/>
  <c r="Z5" i="4"/>
  <c r="Z20" i="4"/>
  <c r="S33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X8" i="4"/>
  <c r="Y8" i="4" s="1"/>
  <c r="X22" i="4"/>
  <c r="Y22" i="4" s="1"/>
  <c r="X17" i="4"/>
  <c r="Y17" i="4" s="1"/>
  <c r="O33" i="4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M33" i="4"/>
  <c r="X21" i="4"/>
  <c r="Y21" i="4" s="1"/>
  <c r="X18" i="4"/>
  <c r="Y18" i="4" s="1"/>
  <c r="X15" i="4"/>
  <c r="Y15" i="4" s="1"/>
  <c r="X27" i="4"/>
  <c r="Y27" i="4" s="1"/>
  <c r="X12" i="4"/>
  <c r="X29" i="4"/>
  <c r="Y29" i="4" s="1"/>
  <c r="X19" i="4"/>
  <c r="Y19" i="4" s="1"/>
  <c r="X14" i="4"/>
  <c r="Y14" i="4" s="1"/>
  <c r="X16" i="4"/>
  <c r="Y16" i="4" s="1"/>
  <c r="X11" i="4"/>
  <c r="X23" i="4"/>
  <c r="Y23" i="4" s="1"/>
  <c r="X10" i="4"/>
  <c r="X25" i="4"/>
  <c r="Y25" i="4" s="1"/>
  <c r="X20" i="4"/>
  <c r="Y20" i="4" s="1"/>
  <c r="X7" i="4"/>
  <c r="Y7" i="4" s="1"/>
  <c r="X4" i="4"/>
  <c r="Z3" i="4"/>
  <c r="I3" i="4"/>
  <c r="Y32" i="4"/>
  <c r="W33" i="4"/>
  <c r="X5" i="4"/>
  <c r="Y5" i="4" s="1"/>
  <c r="X3" i="4"/>
  <c r="Q3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2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AA30" i="4" l="1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25" i="4"/>
  <c r="AA19" i="4"/>
  <c r="AA13" i="4"/>
  <c r="AA7" i="4"/>
  <c r="I33" i="4"/>
  <c r="X33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Z33" i="4"/>
  <c r="AE16" i="1"/>
  <c r="AA33" i="4" l="1"/>
  <c r="Y33" i="4"/>
  <c r="AE7" i="1"/>
  <c r="AE8" i="1" l="1"/>
  <c r="Q7" i="2"/>
  <c r="AC6" i="8" s="1"/>
  <c r="Q8" i="2"/>
  <c r="M4" i="2" l="1"/>
  <c r="M5" i="2"/>
  <c r="M6" i="2"/>
  <c r="M7" i="2"/>
  <c r="M3" i="2"/>
  <c r="AE17" i="1" l="1"/>
  <c r="Q9" i="2"/>
  <c r="M8" i="2"/>
  <c r="C5" i="2"/>
  <c r="I3" i="11"/>
  <c r="AE18" i="1" l="1"/>
  <c r="Q10" i="2"/>
  <c r="M9" i="2"/>
  <c r="C6" i="2"/>
  <c r="AE19" i="1" l="1"/>
  <c r="Q11" i="2"/>
  <c r="M10" i="2"/>
  <c r="C7" i="2"/>
  <c r="K4" i="2"/>
  <c r="K5" i="2"/>
  <c r="AA4" i="8" s="1"/>
  <c r="K6" i="2"/>
  <c r="AA5" i="8" s="1"/>
  <c r="K7" i="2"/>
  <c r="AA6" i="8" s="1"/>
  <c r="K8" i="2"/>
  <c r="AA7" i="8" s="1"/>
  <c r="K9" i="2"/>
  <c r="AA8" i="8" s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" i="2"/>
  <c r="AA3" i="8" l="1"/>
  <c r="K33" i="2"/>
  <c r="AA9" i="8"/>
  <c r="AE20" i="1"/>
  <c r="Q12" i="2"/>
  <c r="M11" i="2"/>
  <c r="AA10" i="8" s="1"/>
  <c r="C8" i="2"/>
  <c r="I16" i="11"/>
  <c r="I19" i="11"/>
  <c r="K3" i="11"/>
  <c r="AE21" i="1" l="1"/>
  <c r="Q13" i="2"/>
  <c r="M12" i="2"/>
  <c r="AA11" i="8" s="1"/>
  <c r="C9" i="2"/>
  <c r="K16" i="11"/>
  <c r="N94" i="10"/>
  <c r="N93" i="10"/>
  <c r="M94" i="10"/>
  <c r="M93" i="10"/>
  <c r="AE22" i="1" l="1"/>
  <c r="Q14" i="2"/>
  <c r="AC13" i="8" s="1"/>
  <c r="M13" i="2"/>
  <c r="AA12" i="8" s="1"/>
  <c r="C10" i="2"/>
  <c r="N9" i="10"/>
  <c r="AE23" i="1" l="1"/>
  <c r="Q15" i="2"/>
  <c r="AC14" i="8" s="1"/>
  <c r="M14" i="2"/>
  <c r="AA13" i="8" s="1"/>
  <c r="C11" i="2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AE24" i="1" l="1"/>
  <c r="Q16" i="2"/>
  <c r="M15" i="2"/>
  <c r="AA14" i="8" s="1"/>
  <c r="C12" i="2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G32" i="2"/>
  <c r="I31" i="2"/>
  <c r="O31" i="2"/>
  <c r="AB30" i="8" s="1"/>
  <c r="E32" i="2"/>
  <c r="U31" i="2"/>
  <c r="U32" i="2"/>
  <c r="O32" i="2"/>
  <c r="AB31" i="8" s="1"/>
  <c r="I32" i="2"/>
  <c r="G31" i="2"/>
  <c r="E31" i="2"/>
  <c r="G31" i="1" l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Q17" i="2"/>
  <c r="M16" i="2"/>
  <c r="AA15" i="8" s="1"/>
  <c r="C13" i="2"/>
  <c r="T31" i="1"/>
  <c r="U31" i="1" s="1"/>
  <c r="J32" i="3"/>
  <c r="K32" i="3" s="1"/>
  <c r="J31" i="3"/>
  <c r="K31" i="3" s="1"/>
  <c r="T32" i="1"/>
  <c r="U32" i="1" s="1"/>
  <c r="U27" i="2"/>
  <c r="AE26" i="1" l="1"/>
  <c r="Q18" i="2"/>
  <c r="M17" i="2"/>
  <c r="AA16" i="8" s="1"/>
  <c r="C14" i="2"/>
  <c r="AE27" i="1" l="1"/>
  <c r="Q19" i="2"/>
  <c r="M18" i="2"/>
  <c r="AA17" i="8" s="1"/>
  <c r="C15" i="2"/>
  <c r="Q3" i="2"/>
  <c r="Q4" i="2"/>
  <c r="Q5" i="2"/>
  <c r="AE28" i="1" l="1"/>
  <c r="Q20" i="2"/>
  <c r="M19" i="2"/>
  <c r="AA18" i="8" s="1"/>
  <c r="C16" i="2"/>
  <c r="AE30" i="8" l="1"/>
  <c r="I30" i="9" s="1"/>
  <c r="AE31" i="8"/>
  <c r="I31" i="9" s="1"/>
  <c r="AE29" i="1"/>
  <c r="Q21" i="2"/>
  <c r="M20" i="2"/>
  <c r="AA19" i="8" s="1"/>
  <c r="C17" i="2"/>
  <c r="AE30" i="1" l="1"/>
  <c r="Q22" i="2"/>
  <c r="M21" i="2"/>
  <c r="AA20" i="8" s="1"/>
  <c r="C18" i="2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3" i="1" l="1"/>
  <c r="AG33" i="1"/>
  <c r="AA33" i="1"/>
  <c r="AE32" i="1"/>
  <c r="AE31" i="1"/>
  <c r="AE33" i="1" s="1"/>
  <c r="Q23" i="2"/>
  <c r="M22" i="2"/>
  <c r="AA21" i="8" s="1"/>
  <c r="C19" i="2"/>
  <c r="F3" i="8"/>
  <c r="E3" i="3"/>
  <c r="E33" i="3" s="1"/>
  <c r="Y3" i="1"/>
  <c r="Y33" i="1" s="1"/>
  <c r="G29" i="9"/>
  <c r="Q24" i="2" l="1"/>
  <c r="M23" i="2"/>
  <c r="AA22" i="8" s="1"/>
  <c r="C20" i="2"/>
  <c r="O71" i="10"/>
  <c r="Q25" i="2" l="1"/>
  <c r="M24" i="2"/>
  <c r="AA23" i="8" s="1"/>
  <c r="C21" i="2"/>
  <c r="Q26" i="2" l="1"/>
  <c r="M25" i="2"/>
  <c r="AA24" i="8" s="1"/>
  <c r="C22" i="2"/>
  <c r="M71" i="10"/>
  <c r="Q27" i="2" l="1"/>
  <c r="M26" i="2"/>
  <c r="AA25" i="8" s="1"/>
  <c r="C23" i="2"/>
  <c r="Q28" i="2" l="1"/>
  <c r="M27" i="2"/>
  <c r="AA26" i="8" s="1"/>
  <c r="C24" i="2"/>
  <c r="Q29" i="2" l="1"/>
  <c r="M28" i="2"/>
  <c r="AA27" i="8" s="1"/>
  <c r="C25" i="2"/>
  <c r="Q30" i="2" l="1"/>
  <c r="M29" i="2"/>
  <c r="AA28" i="8" s="1"/>
  <c r="C26" i="2"/>
  <c r="Q31" i="2" l="1"/>
  <c r="AC30" i="8" s="1"/>
  <c r="Q32" i="2"/>
  <c r="AC31" i="8" s="1"/>
  <c r="M30" i="2"/>
  <c r="AA29" i="8" s="1"/>
  <c r="C27" i="2"/>
  <c r="M32" i="2" l="1"/>
  <c r="M31" i="2"/>
  <c r="AA30" i="8" s="1"/>
  <c r="C28" i="2"/>
  <c r="C3" i="2"/>
  <c r="E3" i="2"/>
  <c r="G3" i="2"/>
  <c r="I3" i="2"/>
  <c r="O3" i="2"/>
  <c r="S4" i="2"/>
  <c r="AC3" i="8" s="1"/>
  <c r="U3" i="2"/>
  <c r="U4" i="2"/>
  <c r="U5" i="2"/>
  <c r="AA31" i="8" l="1"/>
  <c r="M33" i="2"/>
  <c r="C29" i="2"/>
  <c r="I4" i="2"/>
  <c r="I5" i="2"/>
  <c r="O4" i="2"/>
  <c r="O5" i="2"/>
  <c r="AB4" i="8" s="1"/>
  <c r="G4" i="2"/>
  <c r="G5" i="2"/>
  <c r="S5" i="2"/>
  <c r="AC4" i="8" l="1"/>
  <c r="AB3" i="8"/>
  <c r="C30" i="2"/>
  <c r="E4" i="2"/>
  <c r="E5" i="2"/>
  <c r="Z4" i="8" s="1"/>
  <c r="E4" i="9" s="1"/>
  <c r="Z3" i="8" l="1"/>
  <c r="E3" i="9" s="1"/>
  <c r="C32" i="2"/>
  <c r="C31" i="2"/>
  <c r="Z30" i="8" s="1"/>
  <c r="E30" i="9" s="1"/>
  <c r="E20" i="2"/>
  <c r="G20" i="2"/>
  <c r="I20" i="2"/>
  <c r="O20" i="2"/>
  <c r="AB19" i="8" s="1"/>
  <c r="U20" i="2"/>
  <c r="S20" i="2"/>
  <c r="AC19" i="8" s="1"/>
  <c r="Z31" i="8" l="1"/>
  <c r="E31" i="9" s="1"/>
  <c r="C33" i="2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U15" i="2"/>
  <c r="O15" i="2"/>
  <c r="AB14" i="8" s="1"/>
  <c r="I15" i="2"/>
  <c r="G15" i="2"/>
  <c r="O10" i="1" l="1"/>
  <c r="U9" i="8" s="1"/>
  <c r="O14" i="1" l="1"/>
  <c r="U13" i="8" s="1"/>
  <c r="G15" i="3"/>
  <c r="G14" i="8" s="1"/>
  <c r="G14" i="3"/>
  <c r="G13" i="8" s="1"/>
  <c r="I14" i="2"/>
  <c r="U14" i="2"/>
  <c r="O14" i="2"/>
  <c r="AB13" i="8" s="1"/>
  <c r="O13" i="2"/>
  <c r="AB12" i="8" s="1"/>
  <c r="G14" i="2"/>
  <c r="E14" i="2"/>
  <c r="G25" i="3"/>
  <c r="G24" i="8" s="1"/>
  <c r="G26" i="3"/>
  <c r="G25" i="8" s="1"/>
  <c r="G27" i="3"/>
  <c r="G26" i="8" s="1"/>
  <c r="Z13" i="8" l="1"/>
  <c r="E13" i="9" s="1"/>
  <c r="E15" i="2"/>
  <c r="Z14" i="8" s="1"/>
  <c r="E14" i="9" s="1"/>
  <c r="G25" i="2"/>
  <c r="R4" i="1" l="1"/>
  <c r="W3" i="8" s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R3" i="8" s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G26" i="1" l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U30" i="2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L33" i="1"/>
  <c r="S5" i="1"/>
  <c r="R33" i="1"/>
  <c r="O33" i="1"/>
  <c r="I33" i="1"/>
  <c r="F33" i="1"/>
  <c r="C33" i="1"/>
  <c r="P5" i="1"/>
  <c r="P33" i="1" s="1"/>
  <c r="M5" i="1"/>
  <c r="J5" i="1"/>
  <c r="J33" i="1" s="1"/>
  <c r="G5" i="1"/>
  <c r="D5" i="1"/>
  <c r="G16" i="3"/>
  <c r="G15" i="8" s="1"/>
  <c r="G17" i="3"/>
  <c r="G16" i="8" s="1"/>
  <c r="G18" i="3"/>
  <c r="G17" i="8" s="1"/>
  <c r="G33" i="1" l="1"/>
  <c r="D33" i="1"/>
  <c r="M33" i="1"/>
  <c r="S33" i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U8" i="2"/>
  <c r="O8" i="2"/>
  <c r="AB7" i="8" s="1"/>
  <c r="I8" i="2"/>
  <c r="G8" i="2"/>
  <c r="E8" i="2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s="1"/>
  <c r="T14" i="1" l="1"/>
  <c r="U14" i="1" s="1"/>
  <c r="E11" i="2" l="1"/>
  <c r="I19" i="2" l="1"/>
  <c r="G10" i="2" l="1"/>
  <c r="C4" i="3" l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E6" i="2"/>
  <c r="O6" i="2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E7" i="2"/>
  <c r="G7" i="2"/>
  <c r="I7" i="2"/>
  <c r="O7" i="2"/>
  <c r="AB6" i="8" s="1"/>
  <c r="Q6" i="2"/>
  <c r="G6" i="2"/>
  <c r="I6" i="2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AC22" i="8" s="1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U6" i="2"/>
  <c r="U7" i="2"/>
  <c r="U9" i="2"/>
  <c r="I7" i="3"/>
  <c r="H6" i="8" s="1"/>
  <c r="AD6" i="8" s="1"/>
  <c r="G9" i="3"/>
  <c r="G8" i="8" s="1"/>
  <c r="G7" i="3"/>
  <c r="G6" i="8" s="1"/>
  <c r="C10" i="3"/>
  <c r="E9" i="8" s="1"/>
  <c r="C9" i="3"/>
  <c r="E8" i="8" s="1"/>
  <c r="E9" i="2"/>
  <c r="O9" i="2"/>
  <c r="AB8" i="8" s="1"/>
  <c r="I9" i="2"/>
  <c r="G9" i="2"/>
  <c r="O10" i="2"/>
  <c r="AB9" i="8" s="1"/>
  <c r="I10" i="2"/>
  <c r="I10" i="3"/>
  <c r="H9" i="8" s="1"/>
  <c r="I9" i="3"/>
  <c r="H8" i="8" s="1"/>
  <c r="U10" i="2"/>
  <c r="O11" i="2"/>
  <c r="AB10" i="8" s="1"/>
  <c r="G10" i="3"/>
  <c r="G9" i="8" s="1"/>
  <c r="U12" i="2"/>
  <c r="U11" i="2"/>
  <c r="O12" i="2"/>
  <c r="AB11" i="8" s="1"/>
  <c r="I12" i="3"/>
  <c r="H11" i="8" s="1"/>
  <c r="I11" i="3"/>
  <c r="H10" i="8" s="1"/>
  <c r="G12" i="3"/>
  <c r="G11" i="8" s="1"/>
  <c r="G11" i="3"/>
  <c r="G10" i="8" s="1"/>
  <c r="E12" i="2"/>
  <c r="E10" i="2"/>
  <c r="U13" i="2"/>
  <c r="I13" i="3"/>
  <c r="H12" i="8" s="1"/>
  <c r="E13" i="2"/>
  <c r="I17" i="2"/>
  <c r="I16" i="2"/>
  <c r="G13" i="3"/>
  <c r="G12" i="8" s="1"/>
  <c r="I16" i="3"/>
  <c r="H15" i="8" s="1"/>
  <c r="I17" i="3"/>
  <c r="H16" i="8" s="1"/>
  <c r="E16" i="2"/>
  <c r="G16" i="2"/>
  <c r="O16" i="2"/>
  <c r="AB15" i="8" s="1"/>
  <c r="O19" i="2"/>
  <c r="AB18" i="8" s="1"/>
  <c r="E17" i="2"/>
  <c r="U16" i="2"/>
  <c r="E18" i="2"/>
  <c r="G18" i="2"/>
  <c r="G17" i="2"/>
  <c r="O17" i="2"/>
  <c r="AB16" i="8" s="1"/>
  <c r="E19" i="2"/>
  <c r="G19" i="2"/>
  <c r="U17" i="2"/>
  <c r="U18" i="2"/>
  <c r="U19" i="2"/>
  <c r="G21" i="2"/>
  <c r="U22" i="2"/>
  <c r="U21" i="2"/>
  <c r="U23" i="2"/>
  <c r="E21" i="2"/>
  <c r="U24" i="2"/>
  <c r="U25" i="2"/>
  <c r="U26" i="2"/>
  <c r="U28" i="2"/>
  <c r="U29" i="2"/>
  <c r="E29" i="2"/>
  <c r="G29" i="2"/>
  <c r="I29" i="2"/>
  <c r="O29" i="2"/>
  <c r="AB28" i="8" s="1"/>
  <c r="E30" i="2"/>
  <c r="G30" i="2"/>
  <c r="I30" i="2"/>
  <c r="O30" i="2"/>
  <c r="AB29" i="8" s="1"/>
  <c r="I18" i="3"/>
  <c r="H17" i="8" s="1"/>
  <c r="I19" i="3"/>
  <c r="H18" i="8" s="1"/>
  <c r="I21" i="3"/>
  <c r="H20" i="8" s="1"/>
  <c r="G19" i="3"/>
  <c r="G18" i="8" s="1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O21" i="2"/>
  <c r="AB20" i="8" s="1"/>
  <c r="O22" i="2"/>
  <c r="AB21" i="8" s="1"/>
  <c r="I23" i="2"/>
  <c r="I22" i="2"/>
  <c r="I21" i="2"/>
  <c r="G24" i="2"/>
  <c r="G22" i="2"/>
  <c r="E22" i="2"/>
  <c r="G23" i="2"/>
  <c r="E23" i="2"/>
  <c r="I25" i="3"/>
  <c r="H24" i="8" s="1"/>
  <c r="G24" i="3"/>
  <c r="G23" i="8" s="1"/>
  <c r="O23" i="2"/>
  <c r="AB22" i="8" s="1"/>
  <c r="I24" i="2"/>
  <c r="E24" i="2"/>
  <c r="O25" i="2"/>
  <c r="AB24" i="8" s="1"/>
  <c r="O24" i="2"/>
  <c r="AB23" i="8" s="1"/>
  <c r="I25" i="2"/>
  <c r="I26" i="2"/>
  <c r="E25" i="2"/>
  <c r="E26" i="2"/>
  <c r="E27" i="2"/>
  <c r="E28" i="2"/>
  <c r="O26" i="2"/>
  <c r="AB25" i="8" s="1"/>
  <c r="I28" i="2"/>
  <c r="I27" i="2"/>
  <c r="G27" i="2"/>
  <c r="G26" i="2"/>
  <c r="I27" i="3"/>
  <c r="H26" i="8" s="1"/>
  <c r="I26" i="3"/>
  <c r="H25" i="8" s="1"/>
  <c r="O27" i="2"/>
  <c r="AB26" i="8" s="1"/>
  <c r="G28" i="2"/>
  <c r="I29" i="3"/>
  <c r="H28" i="8" s="1"/>
  <c r="I28" i="3"/>
  <c r="H27" i="8" s="1"/>
  <c r="O28" i="2"/>
  <c r="AB27" i="8" s="1"/>
  <c r="I30" i="3"/>
  <c r="H29" i="8" s="1"/>
  <c r="G28" i="3"/>
  <c r="G27" i="8" s="1"/>
  <c r="G29" i="3"/>
  <c r="G28" i="8" s="1"/>
  <c r="Z22" i="8" l="1"/>
  <c r="E22" i="9" s="1"/>
  <c r="Z26" i="8"/>
  <c r="E26" i="9" s="1"/>
  <c r="Z6" i="8"/>
  <c r="E6" i="9" s="1"/>
  <c r="Z20" i="8"/>
  <c r="E20" i="9" s="1"/>
  <c r="Z8" i="8"/>
  <c r="AD9" i="8"/>
  <c r="AC8" i="8"/>
  <c r="E33" i="2"/>
  <c r="AB5" i="8"/>
  <c r="H4" i="8"/>
  <c r="AD4" i="8" s="1"/>
  <c r="I33" i="3"/>
  <c r="AD8" i="8"/>
  <c r="U33" i="2"/>
  <c r="AC5" i="8"/>
  <c r="Q33" i="2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I18" i="2"/>
  <c r="Z17" i="8" s="1"/>
  <c r="T11" i="1"/>
  <c r="U11" i="1" s="1"/>
  <c r="O18" i="2"/>
  <c r="AB17" i="8" s="1"/>
  <c r="I11" i="2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E8" i="9" l="1"/>
  <c r="E5" i="9"/>
  <c r="S33" i="2"/>
  <c r="E16" i="9"/>
  <c r="O33" i="2"/>
  <c r="G33" i="3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I12" i="2"/>
  <c r="I13" i="2"/>
  <c r="C22" i="11"/>
  <c r="D22" i="11" s="1"/>
  <c r="G11" i="2"/>
  <c r="U4" i="1"/>
  <c r="T12" i="1"/>
  <c r="U12" i="1" s="1"/>
  <c r="Y2" i="8"/>
  <c r="E2" i="9" s="1"/>
  <c r="I33" i="2" l="1"/>
  <c r="Z10" i="8"/>
  <c r="E10" i="9" s="1"/>
  <c r="AE4" i="8"/>
  <c r="I4" i="9"/>
  <c r="G12" i="2"/>
  <c r="Z11" i="8" s="1"/>
  <c r="E11" i="9" s="1"/>
  <c r="G13" i="2"/>
  <c r="Z12" i="8" s="1"/>
  <c r="E12" i="9" s="1"/>
  <c r="G33" i="2" l="1"/>
  <c r="T30" i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3" i="1" s="1"/>
  <c r="U29" i="1" l="1"/>
  <c r="U33" i="1" s="1"/>
  <c r="K26" i="11" l="1"/>
  <c r="C7" i="11" s="1"/>
  <c r="D7" i="11" l="1"/>
  <c r="C5" i="11"/>
  <c r="D5" i="11" s="1"/>
  <c r="C6" i="11"/>
  <c r="D6" i="11" s="1"/>
  <c r="J4" i="3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E13" i="8" s="1"/>
  <c r="AD13" i="8" s="1"/>
  <c r="J11" i="3"/>
  <c r="C13" i="3"/>
  <c r="E12" i="8" s="1"/>
  <c r="AD12" i="8" s="1"/>
  <c r="C15" i="3" l="1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3" i="3" s="1"/>
  <c r="J29" i="3"/>
  <c r="K29" i="3" s="1"/>
  <c r="E29" i="8" l="1"/>
  <c r="AD29" i="8" s="1"/>
  <c r="AE27" i="8"/>
  <c r="I27" i="9" s="1"/>
  <c r="J30" i="3"/>
  <c r="J33" i="3" s="1"/>
  <c r="AE28" i="8" l="1"/>
  <c r="I28" i="9"/>
  <c r="K30" i="3"/>
  <c r="K33" i="3" s="1"/>
  <c r="AE29" i="8" l="1"/>
  <c r="I29" i="9" s="1"/>
  <c r="G13" i="9" l="1"/>
  <c r="G3" i="9"/>
  <c r="G7" i="9"/>
  <c r="G10" i="9"/>
  <c r="G8" i="9"/>
  <c r="G9" i="9"/>
  <c r="G6" i="9"/>
  <c r="C3" i="5"/>
  <c r="C33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<sst xmlns="http://schemas.openxmlformats.org/spreadsheetml/2006/main" count="511" uniqueCount="150">
  <si>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</si>
  <si>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</si>
  <si>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</si>
  <si>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</si>
  <si>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</si>
  <si>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</si>
  <si>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</si>
  <si>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</si>
  <si>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</si>
  <si>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</si>
  <si>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</si>
  <si>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</si>
  <si>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</si>
  <si>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</si>
  <si>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</si>
  <si>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</si>
  <si>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</si>
  <si>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</si>
  <si>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</si>
  <si>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</si>
  <si>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</si>
  <si>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</si>
  <si>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</si>
  <si>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</si>
  <si>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</si>
  <si>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</si>
  <si>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</si>
  <si>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</si>
  <si>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</si>
  <si>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</si>
  <si>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</si>
  <si>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</si>
  <si>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</si>
  <si>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</si>
  <si>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</si>
  <si>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</si>
  <si>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</si>
  <si>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</si>
  <si>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</si>
  <si>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</si>
  <si>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</si>
  <si>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</si>
  <si>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</si>
  <si>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</si>
  <si>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</si>
  <si>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</si>
  <si>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</si>
  <si>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</si>
  <si>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</si>
  <si>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</si>
  <si>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</si>
  <si>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</si>
  <si>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</si>
  <si>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</si>
  <si>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</si>
  <si>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</si>
  <si>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</si>
  <si>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</si>
  <si>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</si>
  <si>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</si>
  <si>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</si>
  <si>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</si>
  <si>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</si>
  <si>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</si>
  <si>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</si>
  <si>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</si>
  <si>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</si>
  <si>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</si>
  <si>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</si>
  <si>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</si>
  <si>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</si>
  <si>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</si>
  <si>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</si>
  <si>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</si>
  <si>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</si>
  <si>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</si>
  <si>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</si>
  <si>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</si>
  <si>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</si>
  <si>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</si>
  <si>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</si>
  <si>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</si>
  <si>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</si>
  <si>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</si>
  <si>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</si>
  <si>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</si>
  <si>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</si>
  <si>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</si>
  <si>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</si>
  <si>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</si>
  <si>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</si>
  <si>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</si>
  <si>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</si>
  <si>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</si>
  <si>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</si>
  <si>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</si>
  <si>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</si>
  <si>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</si>
  <si>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</si>
  <si>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</si>
  <si>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</si>
  <si>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</si>
  <si>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</si>
  <si>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</si>
  <si>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</si>
  <si>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</si>
  <si>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</si>
  <si>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</si>
  <si>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</si>
  <si>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</si>
  <si>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</si>
  <si>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</si>
  <si>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</si>
  <si>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</si>
  <si>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</si>
  <si>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</si>
  <si>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</si>
  <si>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</si>
  <si>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</si>
  <si>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</si>
  <si>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</si>
  <si>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</si>
  <si>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</si>
  <si>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</si>
  <si>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</si>
  <si>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</si>
  <si>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</si>
  <si>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</si>
  <si>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</si>
  <si>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</si>
  <si>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</si>
  <si>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</si>
  <si>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</si>
  <si>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</si>
  <si>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</si>
  <si>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</si>
  <si>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</si>
  <si>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</si>
  <si>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</si>
  <si>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</si>
  <si>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</si>
  <si>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</si>
  <si>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</si>
  <si>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</si>
  <si>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</si>
  <si>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</si>
  <si>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</si>
  <si>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Energy Monthly Statement April 2022</t>
  </si>
  <si>
    <t>Acutal till Apr. 2022</t>
  </si>
  <si>
    <t>Acutal till    May.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</si>
</sst>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3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70" fontId="7" fillId="0" borderId="1" xfId="0" applyNumberFormat="1" applyFont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K26" sqref="F26:K27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6" width="12.5703125" style="13" customWidth="1"/>
    <col min="7" max="7" width="12.140625" style="13" customWidth="1"/>
    <col min="8" max="11" width="11.5703125" style="13"/>
  </cols>
  <sheetData>
    <row r="1" spans="1:14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0" t="s">
        <v>48</v>
      </c>
      <c r="F1" s="50" t="s">
        <v>49</v>
      </c>
      <c r="G1" s="50" t="s">
        <v>74</v>
      </c>
      <c r="H1" s="50" t="s">
        <v>75</v>
      </c>
      <c r="I1" s="50" t="s">
        <v>50</v>
      </c>
      <c r="J1" s="50" t="s">
        <v>51</v>
      </c>
      <c r="K1" s="50" t="s">
        <v>52</v>
      </c>
    </row>
    <row r="2" spans="1:14" x14ac:dyDescent="0.2">
      <c r="A2" s="48" t="s">
        <v>53</v>
      </c>
      <c r="B2" s="53">
        <v>1</v>
      </c>
      <c r="C2" s="53">
        <v>6</v>
      </c>
      <c r="D2" s="53">
        <v>2022</v>
      </c>
      <c r="E2" s="3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69269.459831999993</v>
      </c>
      <c r="F2" s="139">
        <v>1.27</v>
      </c>
      <c r="G2" s="37">
        <f>Gas!C3*0.9147</f>
        <v>2396.5139999999997</v>
      </c>
      <c r="H2" s="140">
        <v>3.65</v>
      </c>
      <c r="I2" s="141">
        <f>Submetering!H2+Submetering!AD2+Submetering!AE2</f>
        <v>826</v>
      </c>
      <c r="J2" s="142">
        <v>10.029999999999999</v>
      </c>
      <c r="K2" s="37">
        <f>ELECT.!B3</f>
        <v>155</v>
      </c>
    </row>
    <row r="3" spans="1:14" x14ac:dyDescent="0.2">
      <c r="A3" s="48" t="s">
        <v>53</v>
      </c>
      <c r="B3" s="53">
        <f>B2+1</f>
        <v>2</v>
      </c>
      <c r="C3" s="53">
        <v>6</v>
      </c>
      <c r="D3" s="53">
        <v>2022</v>
      </c>
      <c r="E3" s="3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79908.366735999996</v>
      </c>
      <c r="F3" s="139">
        <v>1.27</v>
      </c>
      <c r="G3" s="37">
        <f>Gas!C4*0.9147</f>
        <v>2564.8188</v>
      </c>
      <c r="H3" s="140">
        <v>3.65</v>
      </c>
      <c r="I3" s="142">
        <f>Submetering!H3+Submetering!AD3+Submetering!AE3</f>
        <v>826</v>
      </c>
      <c r="J3" s="142">
        <v>10.029999999999999</v>
      </c>
      <c r="K3" s="37">
        <f>ELECT.!B4</f>
        <v>160</v>
      </c>
    </row>
    <row r="4" spans="1:14" x14ac:dyDescent="0.2">
      <c r="A4" s="48" t="s">
        <v>53</v>
      </c>
      <c r="B4" s="53">
        <f t="shared" ref="B4:B31" si="0">B3+1</f>
        <v>3</v>
      </c>
      <c r="C4" s="53">
        <v>6</v>
      </c>
      <c r="D4" s="53">
        <v>2022</v>
      </c>
      <c r="E4" s="3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58575.036032000004</v>
      </c>
      <c r="F4" s="139">
        <v>1.27</v>
      </c>
      <c r="G4" s="37">
        <f>Gas!C5*0.9147</f>
        <v>2503.5338999999999</v>
      </c>
      <c r="H4" s="140">
        <v>3.65</v>
      </c>
      <c r="I4" s="142">
        <f>Submetering!H4+Submetering!AD4+Submetering!AE4</f>
        <v>855.99999999999989</v>
      </c>
      <c r="J4" s="142">
        <v>10.029999999999999</v>
      </c>
      <c r="K4" s="37">
        <f>ELECT.!B5</f>
        <v>276</v>
      </c>
    </row>
    <row r="5" spans="1:14" x14ac:dyDescent="0.2">
      <c r="A5" s="48" t="s">
        <v>53</v>
      </c>
      <c r="B5" s="53">
        <f t="shared" si="0"/>
        <v>4</v>
      </c>
      <c r="C5" s="53">
        <v>6</v>
      </c>
      <c r="D5" s="53">
        <v>2022</v>
      </c>
      <c r="E5" s="3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73065.192159999991</v>
      </c>
      <c r="F5" s="139">
        <v>1.27</v>
      </c>
      <c r="G5" s="37">
        <f>Gas!C6*0.9147</f>
        <v>1746.1623</v>
      </c>
      <c r="H5" s="140">
        <v>3.65</v>
      </c>
      <c r="I5" s="142">
        <f>Submetering!H5+Submetering!AD5+Submetering!AE5</f>
        <v>1016</v>
      </c>
      <c r="J5" s="142">
        <v>10.029999999999999</v>
      </c>
      <c r="K5" s="37">
        <f>ELECT.!B6</f>
        <v>235</v>
      </c>
    </row>
    <row r="6" spans="1:14" x14ac:dyDescent="0.2">
      <c r="A6" s="48" t="s">
        <v>53</v>
      </c>
      <c r="B6" s="53">
        <f t="shared" si="0"/>
        <v>5</v>
      </c>
      <c r="C6" s="53">
        <v>6</v>
      </c>
      <c r="D6" s="53">
        <v>2022</v>
      </c>
      <c r="E6" s="3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64503.578384000008</v>
      </c>
      <c r="F6" s="139">
        <v>1.27</v>
      </c>
      <c r="G6" s="37">
        <f>Gas!C7*0.9147</f>
        <v>2008.6812</v>
      </c>
      <c r="H6" s="140">
        <v>3.65</v>
      </c>
      <c r="I6" s="142">
        <f>Submetering!H6+Submetering!AD6+Submetering!AE6</f>
        <v>836</v>
      </c>
      <c r="J6" s="142">
        <v>10.029999999999999</v>
      </c>
      <c r="K6" s="37">
        <f>ELECT.!B7</f>
        <v>209</v>
      </c>
    </row>
    <row r="7" spans="1:14" x14ac:dyDescent="0.2">
      <c r="A7" s="48" t="s">
        <v>53</v>
      </c>
      <c r="B7" s="53">
        <f t="shared" si="0"/>
        <v>6</v>
      </c>
      <c r="C7" s="53">
        <v>6</v>
      </c>
      <c r="D7" s="53">
        <v>2022</v>
      </c>
      <c r="E7" s="3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82770.447740000003</v>
      </c>
      <c r="F7" s="139">
        <v>1.27</v>
      </c>
      <c r="G7" s="37">
        <f>Gas!C8*0.9147</f>
        <v>2317.8498</v>
      </c>
      <c r="H7" s="140">
        <v>3.65</v>
      </c>
      <c r="I7" s="142">
        <f>Submetering!H7+Submetering!AD7+Submetering!AE7</f>
        <v>895.99999999999989</v>
      </c>
      <c r="J7" s="142">
        <v>10.029999999999999</v>
      </c>
      <c r="K7" s="37">
        <f>ELECT.!B8</f>
        <v>224</v>
      </c>
    </row>
    <row r="8" spans="1:14" x14ac:dyDescent="0.2">
      <c r="A8" s="48" t="s">
        <v>53</v>
      </c>
      <c r="B8" s="53">
        <f t="shared" si="0"/>
        <v>7</v>
      </c>
      <c r="C8" s="53">
        <v>6</v>
      </c>
      <c r="D8" s="53">
        <v>2022</v>
      </c>
      <c r="E8" s="3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55490.678879999999</v>
      </c>
      <c r="F8" s="139">
        <v>1.27</v>
      </c>
      <c r="G8" s="37">
        <f>Gas!C9*0.9147</f>
        <v>2405.6610000000001</v>
      </c>
      <c r="H8" s="140">
        <v>3.65</v>
      </c>
      <c r="I8" s="142">
        <f>Submetering!H8+Submetering!AD8+Submetering!AE8</f>
        <v>976</v>
      </c>
      <c r="J8" s="142">
        <v>10.029999999999999</v>
      </c>
      <c r="K8" s="37">
        <f>ELECT.!B9</f>
        <v>228</v>
      </c>
    </row>
    <row r="9" spans="1:14" x14ac:dyDescent="0.2">
      <c r="A9" s="48" t="s">
        <v>53</v>
      </c>
      <c r="B9" s="53">
        <f t="shared" si="0"/>
        <v>8</v>
      </c>
      <c r="C9" s="53">
        <v>6</v>
      </c>
      <c r="D9" s="53">
        <v>2022</v>
      </c>
      <c r="E9" s="3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81587.915739999997</v>
      </c>
      <c r="F9" s="139">
        <v>1.27</v>
      </c>
      <c r="G9" s="37">
        <f>Gas!C10*0.9147</f>
        <v>1856.8409999999999</v>
      </c>
      <c r="H9" s="140">
        <v>3.65</v>
      </c>
      <c r="I9" s="142">
        <f>Submetering!H9+Submetering!AD9+Submetering!AE9</f>
        <v>976.00000000000023</v>
      </c>
      <c r="J9" s="142">
        <v>10.029999999999999</v>
      </c>
      <c r="K9" s="37">
        <f>ELECT.!B10</f>
        <v>230</v>
      </c>
      <c r="N9" t="s">
        <v>12</v>
      </c>
    </row>
    <row r="10" spans="1:14" x14ac:dyDescent="0.2">
      <c r="A10" s="48" t="s">
        <v>53</v>
      </c>
      <c r="B10" s="53">
        <f t="shared" si="0"/>
        <v>9</v>
      </c>
      <c r="C10" s="53">
        <v>6</v>
      </c>
      <c r="D10" s="53">
        <v>2022</v>
      </c>
      <c r="E10" s="3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82504.456031999987</v>
      </c>
      <c r="F10" s="139">
        <v>1.27</v>
      </c>
      <c r="G10" s="37">
        <f>Gas!C11*0.9147</f>
        <v>1736.1006</v>
      </c>
      <c r="H10" s="140">
        <v>3.65</v>
      </c>
      <c r="I10" s="142">
        <f>Submetering!H10+Submetering!AD10+Submetering!AE10</f>
        <v>976.00000000000023</v>
      </c>
      <c r="J10" s="142">
        <v>10.029999999999999</v>
      </c>
      <c r="K10" s="37">
        <f>ELECT.!B11</f>
        <v>221</v>
      </c>
    </row>
    <row r="11" spans="1:14" x14ac:dyDescent="0.2">
      <c r="A11" s="48" t="s">
        <v>53</v>
      </c>
      <c r="B11" s="53">
        <f t="shared" si="0"/>
        <v>10</v>
      </c>
      <c r="C11" s="53">
        <v>6</v>
      </c>
      <c r="D11" s="53">
        <v>2022</v>
      </c>
      <c r="E11" s="3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64404.338772000003</v>
      </c>
      <c r="F11" s="139">
        <v>1.27</v>
      </c>
      <c r="G11" s="37">
        <f>Gas!C12*0.9147</f>
        <v>2093.7482999999997</v>
      </c>
      <c r="H11" s="140">
        <v>3.65</v>
      </c>
      <c r="I11" s="142">
        <f>Submetering!H11+Submetering!AD11+Submetering!AE11</f>
        <v>865.99999999999989</v>
      </c>
      <c r="J11" s="142">
        <v>10.029999999999999</v>
      </c>
      <c r="K11" s="37">
        <f>ELECT.!B12</f>
        <v>223</v>
      </c>
    </row>
    <row r="12" spans="1:14" x14ac:dyDescent="0.2">
      <c r="A12" s="48" t="s">
        <v>53</v>
      </c>
      <c r="B12" s="53">
        <f t="shared" si="0"/>
        <v>11</v>
      </c>
      <c r="C12" s="53">
        <v>6</v>
      </c>
      <c r="D12" s="53">
        <v>2022</v>
      </c>
      <c r="E12" s="3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64334.137043999996</v>
      </c>
      <c r="F12" s="139">
        <v>1.27</v>
      </c>
      <c r="G12" s="37">
        <f>Gas!C13*0.9147</f>
        <v>2321.5086000000001</v>
      </c>
      <c r="H12" s="140">
        <v>3.65</v>
      </c>
      <c r="I12" s="142">
        <f>Submetering!H12+Submetering!AD12+Submetering!AE12</f>
        <v>876</v>
      </c>
      <c r="J12" s="142">
        <v>10.029999999999999</v>
      </c>
      <c r="K12" s="37">
        <f>ELECT.!B13</f>
        <v>182</v>
      </c>
    </row>
    <row r="13" spans="1:14" x14ac:dyDescent="0.2">
      <c r="A13" s="48" t="s">
        <v>53</v>
      </c>
      <c r="B13" s="53">
        <f t="shared" si="0"/>
        <v>12</v>
      </c>
      <c r="C13" s="53">
        <v>6</v>
      </c>
      <c r="D13" s="53">
        <v>2022</v>
      </c>
      <c r="E13" s="3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89651.863263999985</v>
      </c>
      <c r="F13" s="139">
        <v>1.27</v>
      </c>
      <c r="G13" s="37">
        <f>Gas!C14*0.9147</f>
        <v>1489.1315999999999</v>
      </c>
      <c r="H13" s="140">
        <v>3.65</v>
      </c>
      <c r="I13" s="142">
        <f>Submetering!H13+Submetering!AD13+Submetering!AE13</f>
        <v>856</v>
      </c>
      <c r="J13" s="142">
        <v>10.029999999999999</v>
      </c>
      <c r="K13" s="37">
        <f>ELECT.!B14</f>
        <v>205</v>
      </c>
    </row>
    <row r="14" spans="1:14" x14ac:dyDescent="0.2">
      <c r="A14" s="48" t="s">
        <v>53</v>
      </c>
      <c r="B14" s="53">
        <f t="shared" si="0"/>
        <v>13</v>
      </c>
      <c r="C14" s="53">
        <v>6</v>
      </c>
      <c r="D14" s="53">
        <v>2022</v>
      </c>
      <c r="E14" s="3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63450.000663999999</v>
      </c>
      <c r="F14" s="139">
        <v>1.27</v>
      </c>
      <c r="G14" s="37">
        <f>Gas!C15*0.9147</f>
        <v>2486.1545999999998</v>
      </c>
      <c r="H14" s="140">
        <v>3.65</v>
      </c>
      <c r="I14" s="142">
        <f>Submetering!H14+Submetering!AD14+Submetering!AE14</f>
        <v>706</v>
      </c>
      <c r="J14" s="142">
        <v>10.029999999999999</v>
      </c>
      <c r="K14" s="37">
        <f>ELECT.!B15</f>
        <v>245</v>
      </c>
    </row>
    <row r="15" spans="1:14" x14ac:dyDescent="0.2">
      <c r="A15" s="48" t="s">
        <v>53</v>
      </c>
      <c r="B15" s="53">
        <f t="shared" si="0"/>
        <v>14</v>
      </c>
      <c r="C15" s="53">
        <v>6</v>
      </c>
      <c r="D15" s="53">
        <v>2022</v>
      </c>
      <c r="E15" s="3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66172.874292000008</v>
      </c>
      <c r="F15" s="139">
        <v>1.27</v>
      </c>
      <c r="G15" s="37">
        <f>Gas!C16*0.9147</f>
        <v>1935.5051999999998</v>
      </c>
      <c r="H15" s="140">
        <v>3.65</v>
      </c>
      <c r="I15" s="142">
        <f>Submetering!H15+Submetering!AD15+Submetering!AE15</f>
        <v>836</v>
      </c>
      <c r="J15" s="142">
        <v>10.029999999999999</v>
      </c>
      <c r="K15" s="37">
        <f>ELECT.!B16</f>
        <v>172</v>
      </c>
    </row>
    <row r="16" spans="1:14" x14ac:dyDescent="0.2">
      <c r="A16" s="48" t="s">
        <v>53</v>
      </c>
      <c r="B16" s="53">
        <f t="shared" si="0"/>
        <v>15</v>
      </c>
      <c r="C16" s="53">
        <v>6</v>
      </c>
      <c r="D16" s="53">
        <v>2022</v>
      </c>
      <c r="E16" s="3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69113.588423999987</v>
      </c>
      <c r="F16" s="139">
        <v>1.27</v>
      </c>
      <c r="G16" s="37">
        <f>Gas!C17*0.9147</f>
        <v>1899.8318999999999</v>
      </c>
      <c r="H16" s="140">
        <v>3.65</v>
      </c>
      <c r="I16" s="142">
        <f>Submetering!H16+Submetering!AD16+Submetering!AE16</f>
        <v>846.00000000000011</v>
      </c>
      <c r="J16" s="142">
        <v>10.029999999999999</v>
      </c>
      <c r="K16" s="37">
        <f>ELECT.!B17</f>
        <v>180</v>
      </c>
    </row>
    <row r="17" spans="1:13" x14ac:dyDescent="0.2">
      <c r="A17" s="48" t="s">
        <v>53</v>
      </c>
      <c r="B17" s="53">
        <f t="shared" si="0"/>
        <v>16</v>
      </c>
      <c r="C17" s="53">
        <v>6</v>
      </c>
      <c r="D17" s="53">
        <v>2022</v>
      </c>
      <c r="E17" s="3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84755.108712000001</v>
      </c>
      <c r="F17" s="139">
        <v>1.27</v>
      </c>
      <c r="G17" s="37">
        <f>Gas!C18*0.9147</f>
        <v>2045.2692</v>
      </c>
      <c r="H17" s="140">
        <v>3.65</v>
      </c>
      <c r="I17" s="142">
        <f>Submetering!H17+Submetering!AD17+Submetering!AE17</f>
        <v>846.00000000000011</v>
      </c>
      <c r="J17" s="142">
        <v>10.029999999999999</v>
      </c>
      <c r="K17" s="37">
        <f>ELECT.!B18</f>
        <v>201</v>
      </c>
    </row>
    <row r="18" spans="1:13" x14ac:dyDescent="0.2">
      <c r="A18" s="48" t="s">
        <v>53</v>
      </c>
      <c r="B18" s="53">
        <f t="shared" si="0"/>
        <v>17</v>
      </c>
      <c r="C18" s="53">
        <v>6</v>
      </c>
      <c r="D18" s="53">
        <v>2022</v>
      </c>
      <c r="E18" s="3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66471.788363999993</v>
      </c>
      <c r="F18" s="139">
        <v>1.27</v>
      </c>
      <c r="G18" s="37">
        <f>Gas!C19*0.9147</f>
        <v>1945.5668999999998</v>
      </c>
      <c r="H18" s="140">
        <v>3.65</v>
      </c>
      <c r="I18" s="142">
        <f>Submetering!H18+Submetering!AD18+Submetering!AE18</f>
        <v>986.00000000000011</v>
      </c>
      <c r="J18" s="142">
        <v>10.029999999999999</v>
      </c>
      <c r="K18" s="37">
        <f>ELECT.!B19</f>
        <v>200</v>
      </c>
    </row>
    <row r="19" spans="1:13" x14ac:dyDescent="0.2">
      <c r="A19" s="48" t="s">
        <v>53</v>
      </c>
      <c r="B19" s="53">
        <f t="shared" si="0"/>
        <v>18</v>
      </c>
      <c r="C19" s="53">
        <v>6</v>
      </c>
      <c r="D19" s="53">
        <v>2022</v>
      </c>
      <c r="E19" s="3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73342.667895999999</v>
      </c>
      <c r="F19" s="139">
        <v>1.27</v>
      </c>
      <c r="G19" s="37">
        <f>Gas!C20*0.9147</f>
        <v>1048.2462</v>
      </c>
      <c r="H19" s="140">
        <v>3.65</v>
      </c>
      <c r="I19" s="142">
        <f>Submetering!H19+Submetering!AD19+Submetering!AE19</f>
        <v>786</v>
      </c>
      <c r="J19" s="142">
        <v>10.029999999999999</v>
      </c>
      <c r="K19" s="37">
        <f>ELECT.!B20</f>
        <v>169</v>
      </c>
    </row>
    <row r="20" spans="1:13" x14ac:dyDescent="0.2">
      <c r="A20" s="48" t="s">
        <v>53</v>
      </c>
      <c r="B20" s="53">
        <f t="shared" si="0"/>
        <v>19</v>
      </c>
      <c r="C20" s="53">
        <v>6</v>
      </c>
      <c r="D20" s="53">
        <v>2022</v>
      </c>
      <c r="E20" s="3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69985.743907999989</v>
      </c>
      <c r="F20" s="139">
        <v>1.27</v>
      </c>
      <c r="G20" s="37">
        <f>Gas!C21*0.9147</f>
        <v>1516.5726</v>
      </c>
      <c r="H20" s="140">
        <v>3.65</v>
      </c>
      <c r="I20" s="142">
        <f>Submetering!H20+Submetering!AD20+Submetering!AE20</f>
        <v>746</v>
      </c>
      <c r="J20" s="142">
        <v>10.029999999999999</v>
      </c>
      <c r="K20" s="37">
        <f>ELECT.!B21</f>
        <v>300</v>
      </c>
    </row>
    <row r="21" spans="1:13" x14ac:dyDescent="0.2">
      <c r="A21" s="48" t="s">
        <v>53</v>
      </c>
      <c r="B21" s="53">
        <f t="shared" si="0"/>
        <v>20</v>
      </c>
      <c r="C21" s="53">
        <v>6</v>
      </c>
      <c r="D21" s="53">
        <v>2022</v>
      </c>
      <c r="E21" s="3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84675.790399999998</v>
      </c>
      <c r="F21" s="139">
        <v>1.27</v>
      </c>
      <c r="G21" s="37">
        <f>Gas!C22*0.9147</f>
        <v>1207.404</v>
      </c>
      <c r="H21" s="140">
        <v>3.65</v>
      </c>
      <c r="I21" s="142">
        <f>Submetering!H21+Submetering!AD21+Submetering!AE21</f>
        <v>746</v>
      </c>
      <c r="J21" s="142">
        <v>10.029999999999999</v>
      </c>
      <c r="K21" s="37">
        <f>ELECT.!B22</f>
        <v>324</v>
      </c>
    </row>
    <row r="22" spans="1:13" x14ac:dyDescent="0.2">
      <c r="A22" s="48" t="s">
        <v>53</v>
      </c>
      <c r="B22" s="53">
        <f t="shared" si="0"/>
        <v>21</v>
      </c>
      <c r="C22" s="53">
        <v>6</v>
      </c>
      <c r="D22" s="53">
        <v>2022</v>
      </c>
      <c r="E22" s="3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56810.774584000006</v>
      </c>
      <c r="F22" s="139">
        <v>1.27</v>
      </c>
      <c r="G22" s="37">
        <f>Gas!C23*0.9147</f>
        <v>1716.8918999999999</v>
      </c>
      <c r="H22" s="140">
        <v>3.65</v>
      </c>
      <c r="I22" s="142">
        <f>Submetering!H22+Submetering!AD22+Submetering!AE22</f>
        <v>796</v>
      </c>
      <c r="J22" s="142">
        <v>10.029999999999999</v>
      </c>
      <c r="K22" s="37">
        <f>ELECT.!B23</f>
        <v>324</v>
      </c>
    </row>
    <row r="23" spans="1:13" x14ac:dyDescent="0.2">
      <c r="A23" s="48" t="s">
        <v>53</v>
      </c>
      <c r="B23" s="53">
        <f t="shared" si="0"/>
        <v>22</v>
      </c>
      <c r="C23" s="53">
        <v>6</v>
      </c>
      <c r="D23" s="53">
        <v>2022</v>
      </c>
      <c r="E23" s="3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72057.308296000003</v>
      </c>
      <c r="F23" s="139">
        <v>1.27</v>
      </c>
      <c r="G23" s="37">
        <f>Gas!C24*0.9147</f>
        <v>2389.1963999999998</v>
      </c>
      <c r="H23" s="140">
        <v>3.65</v>
      </c>
      <c r="I23" s="142">
        <f>Submetering!H23+Submetering!AD23+Submetering!AE23</f>
        <v>796</v>
      </c>
      <c r="J23" s="142">
        <v>10.029999999999999</v>
      </c>
      <c r="K23" s="37">
        <f>ELECT.!B24</f>
        <v>137</v>
      </c>
    </row>
    <row r="24" spans="1:13" x14ac:dyDescent="0.2">
      <c r="A24" s="48" t="s">
        <v>53</v>
      </c>
      <c r="B24" s="53">
        <f t="shared" si="0"/>
        <v>23</v>
      </c>
      <c r="C24" s="53">
        <v>6</v>
      </c>
      <c r="D24" s="53">
        <v>2022</v>
      </c>
      <c r="E24" s="3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65295.501511999995</v>
      </c>
      <c r="F24" s="139">
        <v>1.27</v>
      </c>
      <c r="G24" s="37">
        <f>Gas!C25*0.9147</f>
        <v>2119.3598999999999</v>
      </c>
      <c r="H24" s="140">
        <v>3.65</v>
      </c>
      <c r="I24" s="142">
        <f>Submetering!H24+Submetering!AD24+Submetering!AE24</f>
        <v>726</v>
      </c>
      <c r="J24" s="142">
        <v>10.029999999999999</v>
      </c>
      <c r="K24" s="37">
        <f>ELECT.!B25</f>
        <v>200</v>
      </c>
    </row>
    <row r="25" spans="1:13" x14ac:dyDescent="0.2">
      <c r="A25" s="48" t="s">
        <v>53</v>
      </c>
      <c r="B25" s="53">
        <f t="shared" si="0"/>
        <v>24</v>
      </c>
      <c r="C25" s="53">
        <v>6</v>
      </c>
      <c r="D25" s="53">
        <v>2022</v>
      </c>
      <c r="E25" s="3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85437.013547999988</v>
      </c>
      <c r="F25" s="139">
        <v>1.27</v>
      </c>
      <c r="G25" s="37">
        <f>Gas!C26*0.9147</f>
        <v>2076.3689999999997</v>
      </c>
      <c r="H25" s="140">
        <v>3.65</v>
      </c>
      <c r="I25" s="142">
        <f>Submetering!H25+Submetering!AD25+Submetering!AE25</f>
        <v>806</v>
      </c>
      <c r="J25" s="142">
        <v>10.029999999999999</v>
      </c>
      <c r="K25" s="37">
        <f>ELECT.!B26</f>
        <v>240</v>
      </c>
    </row>
    <row r="26" spans="1:13" x14ac:dyDescent="0.2">
      <c r="A26" s="48" t="s">
        <v>53</v>
      </c>
      <c r="B26" s="53">
        <f>B25+1</f>
        <v>25</v>
      </c>
      <c r="C26" s="53">
        <v>6</v>
      </c>
      <c r="D26" s="53">
        <v>2022</v>
      </c>
      <c r="E26" s="3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76871.431731999997</v>
      </c>
      <c r="F26" s="139">
        <v>1.27</v>
      </c>
      <c r="G26" s="37">
        <f>Gas!C27*0.9147</f>
        <v>1608.9573</v>
      </c>
      <c r="H26" s="140">
        <v>3.65</v>
      </c>
      <c r="I26" s="142">
        <f>Submetering!H26+Submetering!AD26+Submetering!AE26</f>
        <v>1056</v>
      </c>
      <c r="J26" s="142">
        <v>10.029999999999999</v>
      </c>
      <c r="K26" s="37">
        <f>ELECT.!B27</f>
        <v>169</v>
      </c>
      <c r="M26" s="26" t="s">
        <v>12</v>
      </c>
    </row>
    <row r="27" spans="1:13" x14ac:dyDescent="0.2">
      <c r="A27" s="48" t="s">
        <v>53</v>
      </c>
      <c r="B27" s="53">
        <f t="shared" si="0"/>
        <v>26</v>
      </c>
      <c r="C27" s="53">
        <v>6</v>
      </c>
      <c r="D27" s="53">
        <v>2022</v>
      </c>
      <c r="E27" s="3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71821.114371999982</v>
      </c>
      <c r="F27" s="139">
        <v>1.27</v>
      </c>
      <c r="G27" s="37">
        <f>Gas!C28*0.9147</f>
        <v>1931.8463999999999</v>
      </c>
      <c r="H27" s="140">
        <v>3.65</v>
      </c>
      <c r="I27" s="142">
        <f>Submetering!H27+Submetering!AD27+Submetering!AE27</f>
        <v>726</v>
      </c>
      <c r="J27" s="142">
        <v>10.029999999999999</v>
      </c>
      <c r="K27" s="37">
        <f>ELECT.!B28</f>
        <v>213</v>
      </c>
    </row>
    <row r="28" spans="1:13" x14ac:dyDescent="0.2">
      <c r="A28" s="48" t="s">
        <v>53</v>
      </c>
      <c r="B28" s="53">
        <f t="shared" si="0"/>
        <v>27</v>
      </c>
      <c r="C28" s="53">
        <v>6</v>
      </c>
      <c r="D28" s="53">
        <v>2022</v>
      </c>
      <c r="E28" s="3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67567.020124000002</v>
      </c>
      <c r="F28" s="139">
        <v>1.27</v>
      </c>
      <c r="G28" s="37">
        <f>Gas!C29*0.9147</f>
        <v>0</v>
      </c>
      <c r="H28" s="140">
        <v>3.65</v>
      </c>
      <c r="I28" s="142">
        <f>Submetering!H28+Submetering!AD28+Submetering!AE28</f>
        <v>876.00000000000011</v>
      </c>
      <c r="J28" s="142">
        <v>10.029999999999999</v>
      </c>
      <c r="K28" s="37">
        <f>ELECT.!B29</f>
        <v>286</v>
      </c>
    </row>
    <row r="29" spans="1:13" x14ac:dyDescent="0.2">
      <c r="A29" s="48" t="s">
        <v>53</v>
      </c>
      <c r="B29" s="53">
        <f t="shared" si="0"/>
        <v>28</v>
      </c>
      <c r="C29" s="53">
        <v>6</v>
      </c>
      <c r="D29" s="53">
        <v>2022</v>
      </c>
      <c r="E29" s="3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0">
        <v>1.27</v>
      </c>
      <c r="G29" s="37">
        <f>Gas!C30*0.9147</f>
        <v>0</v>
      </c>
      <c r="H29" s="140">
        <v>3.65</v>
      </c>
      <c r="I29" s="142">
        <f>Submetering!H29+Submetering!AD29+Submetering!AE29</f>
        <v>-194</v>
      </c>
      <c r="J29" s="142">
        <v>10.029999999999999</v>
      </c>
      <c r="K29" s="37">
        <f>ELECT.!B30</f>
        <v>0</v>
      </c>
    </row>
    <row r="30" spans="1:13" x14ac:dyDescent="0.2">
      <c r="A30" s="48" t="s">
        <v>53</v>
      </c>
      <c r="B30" s="53">
        <f t="shared" si="0"/>
        <v>29</v>
      </c>
      <c r="C30" s="53">
        <v>6</v>
      </c>
      <c r="D30" s="53">
        <v>2022</v>
      </c>
      <c r="E30" s="3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0">
        <v>1.27</v>
      </c>
      <c r="G30" s="37">
        <f>Gas!C31*0.9147</f>
        <v>0</v>
      </c>
      <c r="H30" s="140">
        <v>3.65</v>
      </c>
      <c r="I30" s="142">
        <f>Submetering!H30+Submetering!AD30+Submetering!AE30</f>
        <v>-194</v>
      </c>
      <c r="J30" s="142">
        <v>10.029999999999999</v>
      </c>
      <c r="K30" s="37">
        <f>ELECT.!B31</f>
        <v>0</v>
      </c>
    </row>
    <row r="31" spans="1:13" x14ac:dyDescent="0.2">
      <c r="A31" s="48" t="s">
        <v>53</v>
      </c>
      <c r="B31" s="53">
        <f t="shared" si="0"/>
        <v>30</v>
      </c>
      <c r="C31" s="53">
        <v>6</v>
      </c>
      <c r="D31" s="53">
        <v>2022</v>
      </c>
      <c r="E31" s="3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0">
        <v>1.27</v>
      </c>
      <c r="G31" s="37">
        <f>Gas!C32*0.9147</f>
        <v>0</v>
      </c>
      <c r="H31" s="140">
        <v>3.65</v>
      </c>
      <c r="I31" s="142">
        <f>Submetering!H31+Submetering!AD31+Submetering!AE31</f>
        <v>-194</v>
      </c>
      <c r="J31" s="142">
        <v>10.029999999999999</v>
      </c>
      <c r="K31" s="37">
        <f>ELECT.!B32</f>
        <v>0</v>
      </c>
    </row>
    <row r="32" spans="1:13" x14ac:dyDescent="0.2">
      <c r="E32" s="37"/>
      <c r="F32" s="140"/>
      <c r="G32" s="37"/>
      <c r="H32" s="140"/>
      <c r="I32" s="142"/>
      <c r="J32" s="142"/>
      <c r="K32" s="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G42" sqref="G42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17" width="12.5703125" style="37" customWidth="1"/>
    <col min="18" max="21" width="12.5703125" style="38" customWidth="1"/>
    <col min="22" max="22" width="13.140625" style="38" customWidth="1"/>
    <col min="23" max="23" width="12.5703125" style="38" customWidth="1"/>
    <col min="24" max="25" width="11.5703125" style="35"/>
    <col min="27" max="27" width="13.7109375" bestFit="1" customWidth="1"/>
    <col min="28" max="28" width="13.5703125" bestFit="1" customWidth="1"/>
    <col min="30" max="30" width="15.5703125" customWidth="1"/>
  </cols>
  <sheetData>
    <row r="1" spans="1:31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2" t="s">
        <v>64</v>
      </c>
      <c r="F1" s="52" t="s">
        <v>65</v>
      </c>
      <c r="G1" s="52" t="s">
        <v>66</v>
      </c>
      <c r="H1" s="52" t="s">
        <v>67</v>
      </c>
      <c r="I1" s="52" t="s">
        <v>57</v>
      </c>
      <c r="J1" s="52" t="s">
        <v>56</v>
      </c>
      <c r="K1" s="52" t="s">
        <v>55</v>
      </c>
      <c r="L1" s="52" t="s">
        <v>58</v>
      </c>
      <c r="M1" s="52" t="s">
        <v>59</v>
      </c>
      <c r="N1" s="52" t="s">
        <v>60</v>
      </c>
      <c r="O1" s="52" t="s">
        <v>61</v>
      </c>
      <c r="P1" s="52" t="s">
        <v>62</v>
      </c>
      <c r="Q1" s="52" t="s">
        <v>76</v>
      </c>
      <c r="R1" s="54" t="s">
        <v>68</v>
      </c>
      <c r="S1" s="54" t="s">
        <v>69</v>
      </c>
      <c r="T1" s="54" t="s">
        <v>70</v>
      </c>
      <c r="U1" s="54" t="s">
        <v>71</v>
      </c>
      <c r="V1" s="54" t="s">
        <v>72</v>
      </c>
      <c r="W1" s="54" t="s">
        <v>73</v>
      </c>
      <c r="X1" s="49" t="s">
        <v>52</v>
      </c>
      <c r="Y1" s="128" t="s">
        <v>128</v>
      </c>
      <c r="Z1" s="34" t="s">
        <v>129</v>
      </c>
      <c r="AA1" s="34" t="s">
        <v>130</v>
      </c>
      <c r="AB1" s="34" t="s">
        <v>131</v>
      </c>
      <c r="AC1" s="34" t="s">
        <v>132</v>
      </c>
      <c r="AD1" s="129" t="s">
        <v>133</v>
      </c>
      <c r="AE1" s="129" t="s">
        <v>134</v>
      </c>
    </row>
    <row r="2" spans="1:31" x14ac:dyDescent="0.2">
      <c r="A2" s="48" t="s">
        <v>53</v>
      </c>
      <c r="B2" s="53">
        <v>1</v>
      </c>
      <c r="C2" s="53">
        <v>6</v>
      </c>
      <c r="D2" s="53">
        <v>2022</v>
      </c>
      <c r="E2" s="37">
        <f>Water!C3</f>
        <v>1020</v>
      </c>
      <c r="F2" s="37">
        <f>Water!E3</f>
        <v>480</v>
      </c>
      <c r="G2" s="37">
        <f>Water!G3</f>
        <v>507.59999999999997</v>
      </c>
      <c r="H2" s="37">
        <f>Water!I3</f>
        <v>6.0209999999999999</v>
      </c>
      <c r="I2" s="37">
        <f>ELECT.!F3</f>
        <v>19825</v>
      </c>
      <c r="J2" s="37">
        <f>ELECT.!H3</f>
        <v>52401</v>
      </c>
      <c r="K2" s="37">
        <f>ELECT.!K3</f>
        <v>10750</v>
      </c>
      <c r="L2" s="37">
        <f>ELECT.!M3</f>
        <v>6661</v>
      </c>
      <c r="M2" s="37">
        <f>ELECT.!O3</f>
        <v>8574</v>
      </c>
      <c r="N2" s="37">
        <f>ELECT.!Q3</f>
        <v>14287</v>
      </c>
      <c r="O2" s="37">
        <f>ELECT.!S3</f>
        <v>10742</v>
      </c>
      <c r="P2" s="37">
        <f>ELECT.!W3*2</f>
        <v>22856</v>
      </c>
      <c r="Q2" s="37">
        <f>ELECT.!D3</f>
        <v>480</v>
      </c>
      <c r="R2" s="38">
        <f>BTU!C3</f>
        <v>12.533999999999651</v>
      </c>
      <c r="S2" s="38">
        <f>BTU!F3</f>
        <v>2.956000000000131</v>
      </c>
      <c r="T2" s="38">
        <f>BTU!I3</f>
        <v>8</v>
      </c>
      <c r="U2" s="38">
        <f>BTU!O3</f>
        <v>1.3699999999998909</v>
      </c>
      <c r="V2" s="38">
        <f>BTU!L3</f>
        <v>2.0200000000004366</v>
      </c>
      <c r="W2" s="38">
        <f>BTU!R3</f>
        <v>1.1499999999996362</v>
      </c>
      <c r="X2" s="35">
        <f>ELECT.!B3</f>
        <v>155</v>
      </c>
      <c r="Y2" s="35">
        <f>I2+J2-(K2+L2+M2+N2+O2+P2)</f>
        <v>-1644</v>
      </c>
      <c r="Z2">
        <f>'Mall, Citadel, Rotana'!C3+'Mall, Citadel, Rotana'!E3+'Mall, Citadel, Rotana'!G3+'Mall, Citadel, Rotana'!I3</f>
        <v>1403</v>
      </c>
      <c r="AA2">
        <f>'Mall, Citadel, Rotana'!K3+'Mall, Citadel, Rotana'!M3</f>
        <v>362</v>
      </c>
      <c r="AB2">
        <f>'Mall, Citadel, Rotana'!O3</f>
        <v>3</v>
      </c>
      <c r="AC2">
        <f>'Mall, Citadel, Rotana'!Q3+'Mall, Citadel, Rotana'!S3</f>
        <v>256</v>
      </c>
      <c r="AD2" s="35">
        <f>(E2-H2-194)*0.1318</f>
        <v>108.07323220000001</v>
      </c>
      <c r="AE2" s="35">
        <f>E2-H2-AD2-194</f>
        <v>711.90576780000004</v>
      </c>
    </row>
    <row r="3" spans="1:31" x14ac:dyDescent="0.2">
      <c r="A3" s="48" t="s">
        <v>53</v>
      </c>
      <c r="B3" s="53">
        <f>B2+1</f>
        <v>2</v>
      </c>
      <c r="C3" s="53">
        <v>6</v>
      </c>
      <c r="D3" s="53">
        <v>2022</v>
      </c>
      <c r="E3" s="37">
        <f>Water!C4</f>
        <v>1020</v>
      </c>
      <c r="F3" s="37">
        <f>Water!E4</f>
        <v>480</v>
      </c>
      <c r="G3" s="37">
        <f>Water!G4</f>
        <v>507.59999999999997</v>
      </c>
      <c r="H3" s="37">
        <f>Water!I4</f>
        <v>6.0209999999999999</v>
      </c>
      <c r="I3" s="37">
        <f>ELECT.!F4</f>
        <v>24005</v>
      </c>
      <c r="J3" s="37">
        <f>ELECT.!H4</f>
        <v>59214</v>
      </c>
      <c r="K3" s="37">
        <f>ELECT.!K4</f>
        <v>12064</v>
      </c>
      <c r="L3" s="37">
        <f>ELECT.!M4</f>
        <v>7776</v>
      </c>
      <c r="M3" s="37">
        <f>ELECT.!O4</f>
        <v>20406</v>
      </c>
      <c r="N3" s="37">
        <f>ELECT.!Q4</f>
        <v>13822</v>
      </c>
      <c r="O3" s="37">
        <f>ELECT.!S4</f>
        <v>12216</v>
      </c>
      <c r="P3" s="37">
        <f>ELECT.!W4*2</f>
        <v>25888</v>
      </c>
      <c r="Q3" s="37">
        <f>ELECT.!D4</f>
        <v>640</v>
      </c>
      <c r="R3" s="142">
        <f>BTU!C4</f>
        <v>13.179000000000087</v>
      </c>
      <c r="S3" s="142">
        <f>BTU!F4</f>
        <v>3.6059999999997672</v>
      </c>
      <c r="T3" s="142">
        <f>BTU!I4</f>
        <v>8</v>
      </c>
      <c r="U3" s="142">
        <f>BTU!O4</f>
        <v>1.4159999999997126</v>
      </c>
      <c r="V3" s="142">
        <f>BTU!L4</f>
        <v>2.4599999999991269</v>
      </c>
      <c r="W3" s="142">
        <f>BTU!R4</f>
        <v>1.2899999999999636</v>
      </c>
      <c r="X3" s="35">
        <f>ELECT.!B4</f>
        <v>160</v>
      </c>
      <c r="Y3" s="35">
        <f t="shared" ref="Y3:Y31" si="0">I3+J3-(K3+L3+M3+N3+O3+P3)</f>
        <v>-8953</v>
      </c>
      <c r="Z3">
        <f>'Mall, Citadel, Rotana'!C4+'Mall, Citadel, Rotana'!E4+'Mall, Citadel, Rotana'!G4+'Mall, Citadel, Rotana'!I4</f>
        <v>1532</v>
      </c>
      <c r="AA3">
        <f>'Mall, Citadel, Rotana'!K4+'Mall, Citadel, Rotana'!M4</f>
        <v>427</v>
      </c>
      <c r="AB3">
        <f>'Mall, Citadel, Rotana'!O4</f>
        <v>4</v>
      </c>
      <c r="AC3">
        <f>'Mall, Citadel, Rotana'!Q4+'Mall, Citadel, Rotana'!S4</f>
        <v>264</v>
      </c>
      <c r="AD3" s="35">
        <f t="shared" ref="AD3:AD31" si="1">(E3-H3-194)*0.1318</f>
        <v>108.07323220000001</v>
      </c>
      <c r="AE3" s="35">
        <f t="shared" ref="AE3:AE31" si="2">E3-H3-AD3-194</f>
        <v>711.90576780000004</v>
      </c>
    </row>
    <row r="4" spans="1:31" x14ac:dyDescent="0.2">
      <c r="A4" s="48" t="s">
        <v>53</v>
      </c>
      <c r="B4" s="53">
        <f t="shared" ref="B4:B31" si="3">B3+1</f>
        <v>3</v>
      </c>
      <c r="C4" s="53">
        <v>6</v>
      </c>
      <c r="D4" s="53">
        <v>2022</v>
      </c>
      <c r="E4" s="37">
        <f>Water!C5</f>
        <v>1050</v>
      </c>
      <c r="F4" s="37">
        <f>Water!E5</f>
        <v>500</v>
      </c>
      <c r="G4" s="37">
        <f>Water!G5</f>
        <v>550.79999999999995</v>
      </c>
      <c r="H4" s="37">
        <f>Water!I5</f>
        <v>3.996</v>
      </c>
      <c r="I4" s="37">
        <f>ELECT.!F5</f>
        <v>16297</v>
      </c>
      <c r="J4" s="37">
        <f>ELECT.!H5</f>
        <v>44641</v>
      </c>
      <c r="K4" s="37">
        <f>ELECT.!K5</f>
        <v>8726</v>
      </c>
      <c r="L4" s="37">
        <f>ELECT.!M5</f>
        <v>5467</v>
      </c>
      <c r="M4" s="37">
        <f>ELECT.!O5</f>
        <v>10650</v>
      </c>
      <c r="N4" s="37">
        <f>ELECT.!Q5</f>
        <v>11171</v>
      </c>
      <c r="O4" s="37">
        <f>ELECT.!S5</f>
        <v>9398</v>
      </c>
      <c r="P4" s="37">
        <f>ELECT.!W5*2</f>
        <v>18750</v>
      </c>
      <c r="Q4" s="37">
        <f>ELECT.!D5</f>
        <v>480</v>
      </c>
      <c r="R4" s="142">
        <f>BTU!C5</f>
        <v>12.169999999998254</v>
      </c>
      <c r="S4" s="142">
        <f>BTU!F5</f>
        <v>2.2560000000003129</v>
      </c>
      <c r="T4" s="142">
        <f>BTU!I5</f>
        <v>7</v>
      </c>
      <c r="U4" s="142">
        <f>BTU!O5</f>
        <v>1.4800000000000182</v>
      </c>
      <c r="V4" s="142">
        <f>BTU!L5</f>
        <v>2.2700000000004366</v>
      </c>
      <c r="W4" s="142">
        <f>BTU!R5</f>
        <v>1.4499999999998181</v>
      </c>
      <c r="X4" s="35">
        <f>ELECT.!B5</f>
        <v>276</v>
      </c>
      <c r="Y4" s="35">
        <f t="shared" si="0"/>
        <v>-3224</v>
      </c>
      <c r="Z4">
        <f>'Mall, Citadel, Rotana'!C5+'Mall, Citadel, Rotana'!E5+'Mall, Citadel, Rotana'!G5+'Mall, Citadel, Rotana'!I5</f>
        <v>1226</v>
      </c>
      <c r="AA4">
        <f>'Mall, Citadel, Rotana'!K5+'Mall, Citadel, Rotana'!M5</f>
        <v>228</v>
      </c>
      <c r="AB4">
        <f>'Mall, Citadel, Rotana'!O5</f>
        <v>3</v>
      </c>
      <c r="AC4">
        <f>'Mall, Citadel, Rotana'!Q5+'Mall, Citadel, Rotana'!S5</f>
        <v>109</v>
      </c>
      <c r="AD4" s="35">
        <f t="shared" si="1"/>
        <v>112.29412719999999</v>
      </c>
      <c r="AE4" s="35">
        <f t="shared" si="2"/>
        <v>739.70987279999986</v>
      </c>
    </row>
    <row r="5" spans="1:31" x14ac:dyDescent="0.2">
      <c r="A5" s="48" t="s">
        <v>53</v>
      </c>
      <c r="B5" s="53">
        <f t="shared" si="3"/>
        <v>4</v>
      </c>
      <c r="C5" s="53">
        <v>6</v>
      </c>
      <c r="D5" s="53">
        <v>2022</v>
      </c>
      <c r="E5" s="37">
        <f>Water!C6</f>
        <v>1210</v>
      </c>
      <c r="F5" s="37">
        <f>Water!E6</f>
        <v>530</v>
      </c>
      <c r="G5" s="37">
        <f>Water!G6</f>
        <v>413.1</v>
      </c>
      <c r="H5" s="37">
        <f>Water!I6</f>
        <v>5.13</v>
      </c>
      <c r="I5" s="37">
        <f>ELECT.!F6</f>
        <v>21626</v>
      </c>
      <c r="J5" s="37">
        <f>ELECT.!H6</f>
        <v>54235</v>
      </c>
      <c r="K5" s="37">
        <f>ELECT.!K6</f>
        <v>10308</v>
      </c>
      <c r="L5" s="37">
        <f>ELECT.!M6</f>
        <v>6534</v>
      </c>
      <c r="M5" s="37">
        <f>ELECT.!O6</f>
        <v>14894</v>
      </c>
      <c r="N5" s="37">
        <f>ELECT.!Q6</f>
        <v>13956</v>
      </c>
      <c r="O5" s="37">
        <f>ELECT.!S6</f>
        <v>11278</v>
      </c>
      <c r="P5" s="37">
        <f>ELECT.!W6*2</f>
        <v>22662</v>
      </c>
      <c r="Q5" s="37">
        <f>ELECT.!D6</f>
        <v>480</v>
      </c>
      <c r="R5" s="142">
        <f>BTU!C6</f>
        <v>13.445999999999913</v>
      </c>
      <c r="S5" s="142">
        <f>BTU!F6</f>
        <v>2.0230000000001382</v>
      </c>
      <c r="T5" s="142">
        <f>BTU!I6</f>
        <v>7</v>
      </c>
      <c r="U5" s="142">
        <f>BTU!O6</f>
        <v>1.5309999999999491</v>
      </c>
      <c r="V5" s="142">
        <f>BTU!L6</f>
        <v>2.3500000000003638</v>
      </c>
      <c r="W5" s="142">
        <f>BTU!R6</f>
        <v>1.5600000000004002</v>
      </c>
      <c r="X5" s="35">
        <f>ELECT.!B6</f>
        <v>235</v>
      </c>
      <c r="Y5" s="35">
        <f t="shared" si="0"/>
        <v>-3771</v>
      </c>
      <c r="Z5">
        <f>'Mall, Citadel, Rotana'!C6+'Mall, Citadel, Rotana'!E6+'Mall, Citadel, Rotana'!G6+'Mall, Citadel, Rotana'!I6</f>
        <v>1362</v>
      </c>
      <c r="AA5">
        <f>'Mall, Citadel, Rotana'!K6+'Mall, Citadel, Rotana'!M6</f>
        <v>252</v>
      </c>
      <c r="AB5">
        <f>'Mall, Citadel, Rotana'!O6</f>
        <v>3</v>
      </c>
      <c r="AC5">
        <f>'Mall, Citadel, Rotana'!Q6+'Mall, Citadel, Rotana'!S6</f>
        <v>115</v>
      </c>
      <c r="AD5" s="35">
        <f t="shared" si="1"/>
        <v>133.23266599999999</v>
      </c>
      <c r="AE5" s="35">
        <f t="shared" si="2"/>
        <v>877.63733400000001</v>
      </c>
    </row>
    <row r="6" spans="1:31" x14ac:dyDescent="0.2">
      <c r="A6" s="48" t="s">
        <v>53</v>
      </c>
      <c r="B6" s="53">
        <f t="shared" si="3"/>
        <v>5</v>
      </c>
      <c r="C6" s="53">
        <v>6</v>
      </c>
      <c r="D6" s="53">
        <v>2022</v>
      </c>
      <c r="E6" s="37">
        <f>Water!C7</f>
        <v>1030</v>
      </c>
      <c r="F6" s="37">
        <f>Water!E7</f>
        <v>550</v>
      </c>
      <c r="G6" s="37">
        <f>Water!G7</f>
        <v>729</v>
      </c>
      <c r="H6" s="37">
        <f>Water!I7</f>
        <v>5.4269999999999996</v>
      </c>
      <c r="I6" s="37">
        <f>ELECT.!F7</f>
        <v>19401</v>
      </c>
      <c r="J6" s="37">
        <f>ELECT.!H7</f>
        <v>47850</v>
      </c>
      <c r="K6" s="37">
        <f>ELECT.!K7</f>
        <v>9798</v>
      </c>
      <c r="L6" s="37">
        <f>ELECT.!M7</f>
        <v>5879</v>
      </c>
      <c r="M6" s="37">
        <f>ELECT.!O7</f>
        <v>13342</v>
      </c>
      <c r="N6" s="37">
        <f>ELECT.!Q7</f>
        <v>12512</v>
      </c>
      <c r="O6" s="37">
        <f>ELECT.!S7</f>
        <v>9892</v>
      </c>
      <c r="P6" s="37">
        <f>ELECT.!W7*2</f>
        <v>19584</v>
      </c>
      <c r="Q6" s="37">
        <f>ELECT.!D7</f>
        <v>800</v>
      </c>
      <c r="R6" s="142">
        <f>BTU!C7</f>
        <v>13.582000000002154</v>
      </c>
      <c r="S6" s="142">
        <f>BTU!F7</f>
        <v>2.5299999999997453</v>
      </c>
      <c r="T6" s="142">
        <f>BTU!I7</f>
        <v>8</v>
      </c>
      <c r="U6" s="142">
        <f>BTU!O7</f>
        <v>1.4660000000003492</v>
      </c>
      <c r="V6" s="142">
        <f>BTU!L7</f>
        <v>2.2199999999993452</v>
      </c>
      <c r="W6" s="142">
        <f>BTU!R7</f>
        <v>1.5399999999999636</v>
      </c>
      <c r="X6" s="35">
        <f>ELECT.!B7</f>
        <v>209</v>
      </c>
      <c r="Y6" s="35">
        <f t="shared" si="0"/>
        <v>-3756</v>
      </c>
      <c r="Z6">
        <f>'Mall, Citadel, Rotana'!C7+'Mall, Citadel, Rotana'!E7+'Mall, Citadel, Rotana'!G7+'Mall, Citadel, Rotana'!I7</f>
        <v>1342</v>
      </c>
      <c r="AA6">
        <f>'Mall, Citadel, Rotana'!K7+'Mall, Citadel, Rotana'!M7</f>
        <v>406</v>
      </c>
      <c r="AB6">
        <f>'Mall, Citadel, Rotana'!O7</f>
        <v>3</v>
      </c>
      <c r="AC6">
        <f>'Mall, Citadel, Rotana'!Q7+'Mall, Citadel, Rotana'!S7</f>
        <v>119</v>
      </c>
      <c r="AD6" s="35">
        <f t="shared" si="1"/>
        <v>109.46952140000002</v>
      </c>
      <c r="AE6" s="35">
        <f t="shared" si="2"/>
        <v>721.10347860000002</v>
      </c>
    </row>
    <row r="7" spans="1:31" x14ac:dyDescent="0.2">
      <c r="A7" s="48" t="s">
        <v>53</v>
      </c>
      <c r="B7" s="53">
        <f t="shared" si="3"/>
        <v>6</v>
      </c>
      <c r="C7" s="53">
        <v>6</v>
      </c>
      <c r="D7" s="53">
        <v>2022</v>
      </c>
      <c r="E7" s="37">
        <f>Water!C8</f>
        <v>1090</v>
      </c>
      <c r="F7" s="37">
        <f>Water!E8</f>
        <v>490</v>
      </c>
      <c r="G7" s="37">
        <f>Water!G8</f>
        <v>502.2</v>
      </c>
      <c r="H7" s="37">
        <f>Water!I8</f>
        <v>5.2649999999999997</v>
      </c>
      <c r="I7" s="37">
        <f>ELECT.!F8</f>
        <v>25415</v>
      </c>
      <c r="J7" s="37">
        <f>ELECT.!H8</f>
        <v>60132</v>
      </c>
      <c r="K7" s="37">
        <f>ELECT.!K8</f>
        <v>11828</v>
      </c>
      <c r="L7" s="37">
        <f>ELECT.!M8</f>
        <v>7994</v>
      </c>
      <c r="M7" s="37">
        <f>ELECT.!O8</f>
        <v>17222</v>
      </c>
      <c r="N7" s="37">
        <f>ELECT.!Q8</f>
        <v>15376</v>
      </c>
      <c r="O7" s="37">
        <f>ELECT.!S8</f>
        <v>12323</v>
      </c>
      <c r="P7" s="37">
        <f>ELECT.!W8*2</f>
        <v>25162</v>
      </c>
      <c r="Q7" s="37">
        <f>ELECT.!D8</f>
        <v>640</v>
      </c>
      <c r="R7" s="142">
        <f>BTU!C8</f>
        <v>19.066999999999098</v>
      </c>
      <c r="S7" s="142">
        <f>BTU!F8</f>
        <v>4.2899999999999636</v>
      </c>
      <c r="T7" s="142">
        <f>BTU!I8</f>
        <v>12</v>
      </c>
      <c r="U7" s="142">
        <f>BTU!O8</f>
        <v>2.2770000000000437</v>
      </c>
      <c r="V7" s="142">
        <f>BTU!L8</f>
        <v>3.6000000000003638</v>
      </c>
      <c r="W7" s="142">
        <f>BTU!R8</f>
        <v>0.59000000000014552</v>
      </c>
      <c r="X7" s="35">
        <f>ELECT.!B8</f>
        <v>224</v>
      </c>
      <c r="Y7" s="35">
        <f t="shared" si="0"/>
        <v>-4358</v>
      </c>
      <c r="Z7">
        <f>'Mall, Citadel, Rotana'!C8+'Mall, Citadel, Rotana'!E8+'Mall, Citadel, Rotana'!G8+'Mall, Citadel, Rotana'!I8</f>
        <v>1250</v>
      </c>
      <c r="AA7">
        <f>'Mall, Citadel, Rotana'!K8+'Mall, Citadel, Rotana'!M8</f>
        <v>347</v>
      </c>
      <c r="AB7">
        <f>'Mall, Citadel, Rotana'!O8</f>
        <v>3</v>
      </c>
      <c r="AC7">
        <f>'Mall, Citadel, Rotana'!Q8+'Mall, Citadel, Rotana'!S8</f>
        <v>0</v>
      </c>
      <c r="AD7" s="35">
        <f t="shared" si="1"/>
        <v>117.39887299999998</v>
      </c>
      <c r="AE7" s="35">
        <f t="shared" si="2"/>
        <v>773.33612699999992</v>
      </c>
    </row>
    <row r="8" spans="1:31" x14ac:dyDescent="0.2">
      <c r="A8" s="48" t="s">
        <v>53</v>
      </c>
      <c r="B8" s="53">
        <f t="shared" si="3"/>
        <v>7</v>
      </c>
      <c r="C8" s="53">
        <v>6</v>
      </c>
      <c r="D8" s="53">
        <v>2022</v>
      </c>
      <c r="E8" s="37">
        <f>Water!C9</f>
        <v>1170</v>
      </c>
      <c r="F8" s="37">
        <f>Water!E9</f>
        <v>580</v>
      </c>
      <c r="G8" s="37">
        <f>Water!G9</f>
        <v>548.1</v>
      </c>
      <c r="H8" s="37">
        <f>Water!I9</f>
        <v>5.5620000000000003</v>
      </c>
      <c r="I8" s="37">
        <f>ELECT.!F9</f>
        <v>17177</v>
      </c>
      <c r="J8" s="37">
        <f>ELECT.!H9</f>
        <v>40825</v>
      </c>
      <c r="K8" s="37">
        <f>ELECT.!K9</f>
        <v>8656</v>
      </c>
      <c r="L8" s="37">
        <f>ELECT.!M9</f>
        <v>5452</v>
      </c>
      <c r="M8" s="37">
        <f>ELECT.!O9</f>
        <v>11552</v>
      </c>
      <c r="N8" s="37">
        <f>ELECT.!Q9</f>
        <v>10142</v>
      </c>
      <c r="O8" s="37">
        <f>ELECT.!S9</f>
        <v>8298</v>
      </c>
      <c r="P8" s="37">
        <f>ELECT.!W9*2</f>
        <v>17222</v>
      </c>
      <c r="Q8" s="37">
        <f>ELECT.!D9</f>
        <v>640</v>
      </c>
      <c r="R8" s="142">
        <f>BTU!C9</f>
        <v>9.0580000000009022</v>
      </c>
      <c r="S8" s="142">
        <f>BTU!F9</f>
        <v>2.2529999999997017</v>
      </c>
      <c r="T8" s="142">
        <f>BTU!I9</f>
        <v>5</v>
      </c>
      <c r="U8" s="142">
        <f>BTU!O9</f>
        <v>0.89899999999988722</v>
      </c>
      <c r="V8" s="142">
        <f>BTU!L9</f>
        <v>1.2800000000006548</v>
      </c>
      <c r="W8" s="142">
        <f>BTU!R9</f>
        <v>3.4499999999998181</v>
      </c>
      <c r="X8" s="35">
        <f>ELECT.!B9</f>
        <v>228</v>
      </c>
      <c r="Y8" s="35">
        <f t="shared" si="0"/>
        <v>-3320</v>
      </c>
      <c r="Z8">
        <f>'Mall, Citadel, Rotana'!C9+'Mall, Citadel, Rotana'!E9+'Mall, Citadel, Rotana'!G9+'Mall, Citadel, Rotana'!I9</f>
        <v>1536</v>
      </c>
      <c r="AA8">
        <f>'Mall, Citadel, Rotana'!K9+'Mall, Citadel, Rotana'!M9</f>
        <v>344</v>
      </c>
      <c r="AB8">
        <f>'Mall, Citadel, Rotana'!O9</f>
        <v>4</v>
      </c>
      <c r="AC8">
        <f>'Mall, Citadel, Rotana'!Q9+'Mall, Citadel, Rotana'!S9</f>
        <v>-115</v>
      </c>
      <c r="AD8" s="35">
        <f t="shared" si="1"/>
        <v>127.90372840000002</v>
      </c>
      <c r="AE8" s="35">
        <f t="shared" si="2"/>
        <v>842.53427160000001</v>
      </c>
    </row>
    <row r="9" spans="1:31" x14ac:dyDescent="0.2">
      <c r="A9" s="48" t="s">
        <v>53</v>
      </c>
      <c r="B9" s="53">
        <f t="shared" si="3"/>
        <v>8</v>
      </c>
      <c r="C9" s="53">
        <v>6</v>
      </c>
      <c r="D9" s="53">
        <v>2022</v>
      </c>
      <c r="E9" s="37">
        <f>Water!C10</f>
        <v>1170</v>
      </c>
      <c r="F9" s="37">
        <f>Water!E10</f>
        <v>630</v>
      </c>
      <c r="G9" s="37">
        <f>Water!G10</f>
        <v>583.20000000000005</v>
      </c>
      <c r="H9" s="37">
        <f>Water!I10</f>
        <v>6.1559999999999997</v>
      </c>
      <c r="I9" s="37">
        <f>ELECT.!F10</f>
        <v>24528</v>
      </c>
      <c r="J9" s="37">
        <f>ELECT.!H10</f>
        <v>59407</v>
      </c>
      <c r="K9" s="37">
        <f>ELECT.!K10</f>
        <v>11474</v>
      </c>
      <c r="L9" s="37">
        <f>ELECT.!M10</f>
        <v>7608</v>
      </c>
      <c r="M9" s="37">
        <f>ELECT.!O10</f>
        <v>16712</v>
      </c>
      <c r="N9" s="37">
        <f>ELECT.!Q10</f>
        <v>21392</v>
      </c>
      <c r="O9" s="37">
        <f>ELECT.!S10</f>
        <v>11959</v>
      </c>
      <c r="P9" s="37">
        <f>ELECT.!W10*2</f>
        <v>56926</v>
      </c>
      <c r="Q9" s="37">
        <f>ELECT.!D10</f>
        <v>640</v>
      </c>
      <c r="R9" s="142">
        <f>BTU!C10</f>
        <v>11.935999999997875</v>
      </c>
      <c r="S9" s="142">
        <f>BTU!F10</f>
        <v>2.86200000000008</v>
      </c>
      <c r="T9" s="142">
        <f>BTU!I10</f>
        <v>7</v>
      </c>
      <c r="U9" s="142">
        <f>BTU!O10</f>
        <v>1.3579999999997199</v>
      </c>
      <c r="V9" s="142">
        <f>BTU!L10</f>
        <v>2.1099999999987631</v>
      </c>
      <c r="W9" s="142">
        <f>BTU!R10</f>
        <v>1.2700000000004366</v>
      </c>
      <c r="X9" s="35">
        <f>ELECT.!B10</f>
        <v>230</v>
      </c>
      <c r="Y9" s="35">
        <f t="shared" si="0"/>
        <v>-42136</v>
      </c>
      <c r="Z9">
        <f>'Mall, Citadel, Rotana'!C10+'Mall, Citadel, Rotana'!E10+'Mall, Citadel, Rotana'!G10+'Mall, Citadel, Rotana'!I10</f>
        <v>1384</v>
      </c>
      <c r="AA9">
        <f>'Mall, Citadel, Rotana'!K10+'Mall, Citadel, Rotana'!M10</f>
        <v>470</v>
      </c>
      <c r="AB9">
        <f>'Mall, Citadel, Rotana'!O10</f>
        <v>3</v>
      </c>
      <c r="AC9">
        <f>'Mall, Citadel, Rotana'!Q10+'Mall, Citadel, Rotana'!S10</f>
        <v>105</v>
      </c>
      <c r="AD9" s="35">
        <f t="shared" si="1"/>
        <v>127.82543920000001</v>
      </c>
      <c r="AE9" s="35">
        <f t="shared" si="2"/>
        <v>842.01856080000016</v>
      </c>
    </row>
    <row r="10" spans="1:31" x14ac:dyDescent="0.2">
      <c r="A10" s="48" t="s">
        <v>53</v>
      </c>
      <c r="B10" s="53">
        <f t="shared" si="3"/>
        <v>9</v>
      </c>
      <c r="C10" s="53">
        <v>6</v>
      </c>
      <c r="D10" s="53">
        <v>2022</v>
      </c>
      <c r="E10" s="37">
        <f>Water!C11</f>
        <v>1170</v>
      </c>
      <c r="F10" s="37">
        <f>Water!E11</f>
        <v>630</v>
      </c>
      <c r="G10" s="37">
        <f>Water!G11</f>
        <v>583.20000000000005</v>
      </c>
      <c r="H10" s="37">
        <f>Water!I11</f>
        <v>6.1559999999999997</v>
      </c>
      <c r="I10" s="37">
        <f>ELECT.!F11</f>
        <v>24861</v>
      </c>
      <c r="J10" s="37">
        <f>ELECT.!H11</f>
        <v>61172</v>
      </c>
      <c r="K10" s="37">
        <f>ELECT.!K11</f>
        <v>11820</v>
      </c>
      <c r="L10" s="37">
        <f>ELECT.!M11</f>
        <v>7833</v>
      </c>
      <c r="M10" s="37">
        <f>ELECT.!O11</f>
        <v>16832</v>
      </c>
      <c r="N10" s="37">
        <f>ELECT.!Q11</f>
        <v>9363</v>
      </c>
      <c r="O10" s="37">
        <f>ELECT.!S11</f>
        <v>12044</v>
      </c>
      <c r="P10" s="37">
        <f>ELECT.!W11*2</f>
        <v>6604</v>
      </c>
      <c r="Q10" s="37">
        <f>ELECT.!D11</f>
        <v>480</v>
      </c>
      <c r="R10" s="142">
        <f>BTU!C11</f>
        <v>13.729000000002998</v>
      </c>
      <c r="S10" s="142">
        <f>BTU!F11</f>
        <v>3.4900000000006912</v>
      </c>
      <c r="T10" s="142">
        <f>BTU!I11</f>
        <v>9</v>
      </c>
      <c r="U10" s="142">
        <f>BTU!O11</f>
        <v>1.6020000000003165</v>
      </c>
      <c r="V10" s="142">
        <f>BTU!L11</f>
        <v>2.4600000000009459</v>
      </c>
      <c r="W10" s="142">
        <f>BTU!R11</f>
        <v>2.0999999999994543</v>
      </c>
      <c r="X10" s="35">
        <f>ELECT.!B11</f>
        <v>221</v>
      </c>
      <c r="Y10" s="35">
        <f t="shared" si="0"/>
        <v>21537</v>
      </c>
      <c r="Z10">
        <f>'Mall, Citadel, Rotana'!C11+'Mall, Citadel, Rotana'!E11+'Mall, Citadel, Rotana'!G11+'Mall, Citadel, Rotana'!I11</f>
        <v>1262</v>
      </c>
      <c r="AA10">
        <f>'Mall, Citadel, Rotana'!K11+'Mall, Citadel, Rotana'!M11</f>
        <v>464</v>
      </c>
      <c r="AB10">
        <f>'Mall, Citadel, Rotana'!O11</f>
        <v>3</v>
      </c>
      <c r="AC10">
        <f>'Mall, Citadel, Rotana'!Q11+'Mall, Citadel, Rotana'!S11</f>
        <v>120</v>
      </c>
      <c r="AD10" s="35">
        <f t="shared" si="1"/>
        <v>127.82543920000001</v>
      </c>
      <c r="AE10" s="35">
        <f t="shared" si="2"/>
        <v>842.01856080000016</v>
      </c>
    </row>
    <row r="11" spans="1:31" x14ac:dyDescent="0.2">
      <c r="A11" s="48" t="s">
        <v>53</v>
      </c>
      <c r="B11" s="53">
        <f t="shared" si="3"/>
        <v>10</v>
      </c>
      <c r="C11" s="53">
        <v>6</v>
      </c>
      <c r="D11" s="53">
        <v>2022</v>
      </c>
      <c r="E11" s="37">
        <f>Water!C12</f>
        <v>1060</v>
      </c>
      <c r="F11" s="37">
        <f>Water!E12</f>
        <v>260</v>
      </c>
      <c r="G11" s="37">
        <f>Water!G12</f>
        <v>480.6</v>
      </c>
      <c r="H11" s="37">
        <f>Water!I12</f>
        <v>3.8340000000000001</v>
      </c>
      <c r="I11" s="37">
        <f>ELECT.!F12</f>
        <v>19544</v>
      </c>
      <c r="J11" s="37">
        <f>ELECT.!H12</f>
        <v>47685</v>
      </c>
      <c r="K11" s="37">
        <f>ELECT.!K12</f>
        <v>8970</v>
      </c>
      <c r="L11" s="37">
        <f>ELECT.!M12</f>
        <v>5998</v>
      </c>
      <c r="M11" s="37">
        <f>ELECT.!O12</f>
        <v>13344</v>
      </c>
      <c r="N11" s="37">
        <f>ELECT.!Q12</f>
        <v>11960</v>
      </c>
      <c r="O11" s="37">
        <f>ELECT.!S12</f>
        <v>9287</v>
      </c>
      <c r="P11" s="37">
        <f>ELECT.!W12*2</f>
        <v>8896</v>
      </c>
      <c r="Q11" s="37">
        <f>ELECT.!D12</f>
        <v>960</v>
      </c>
      <c r="R11" s="142">
        <f>BTU!C12</f>
        <v>12.347999999998137</v>
      </c>
      <c r="S11" s="142">
        <f>BTU!F12</f>
        <v>1.6889999999993961</v>
      </c>
      <c r="T11" s="142">
        <f>BTU!I12</f>
        <v>7</v>
      </c>
      <c r="U11" s="142">
        <f>BTU!O12</f>
        <v>1.4459999999999127</v>
      </c>
      <c r="V11" s="142">
        <f>BTU!L12</f>
        <v>1.9699999999993452</v>
      </c>
      <c r="W11" s="142">
        <f>BTU!R12</f>
        <v>2.1000000000003638</v>
      </c>
      <c r="X11" s="35">
        <f>ELECT.!B12</f>
        <v>223</v>
      </c>
      <c r="Y11" s="35">
        <f t="shared" si="0"/>
        <v>8774</v>
      </c>
      <c r="Z11">
        <f>'Mall, Citadel, Rotana'!C12+'Mall, Citadel, Rotana'!E12+'Mall, Citadel, Rotana'!G12+'Mall, Citadel, Rotana'!I12</f>
        <v>1355</v>
      </c>
      <c r="AA11">
        <f>'Mall, Citadel, Rotana'!K12+'Mall, Citadel, Rotana'!M12</f>
        <v>195</v>
      </c>
      <c r="AB11">
        <f>'Mall, Citadel, Rotana'!O12</f>
        <v>3</v>
      </c>
      <c r="AC11">
        <f>'Mall, Citadel, Rotana'!Q12+'Mall, Citadel, Rotana'!S12</f>
        <v>121</v>
      </c>
      <c r="AD11" s="35">
        <f t="shared" si="1"/>
        <v>113.63347879999999</v>
      </c>
      <c r="AE11" s="35">
        <f t="shared" si="2"/>
        <v>748.53252119999991</v>
      </c>
    </row>
    <row r="12" spans="1:31" x14ac:dyDescent="0.2">
      <c r="A12" s="48" t="s">
        <v>53</v>
      </c>
      <c r="B12" s="53">
        <f t="shared" si="3"/>
        <v>11</v>
      </c>
      <c r="C12" s="53">
        <v>6</v>
      </c>
      <c r="D12" s="53">
        <v>2022</v>
      </c>
      <c r="E12" s="37">
        <f>Water!C13</f>
        <v>1070</v>
      </c>
      <c r="F12" s="37">
        <f>Water!E13</f>
        <v>450</v>
      </c>
      <c r="G12" s="37">
        <f>Water!G13</f>
        <v>572.4</v>
      </c>
      <c r="H12" s="37">
        <f>Water!I13</f>
        <v>5.9399999999999995</v>
      </c>
      <c r="I12" s="37">
        <f>ELECT.!F13</f>
        <v>19496</v>
      </c>
      <c r="J12" s="37">
        <f>ELECT.!H13</f>
        <v>47369</v>
      </c>
      <c r="K12" s="37">
        <f>ELECT.!K13</f>
        <v>9100</v>
      </c>
      <c r="L12" s="37">
        <f>ELECT.!M13</f>
        <v>6039</v>
      </c>
      <c r="M12" s="37">
        <f>ELECT.!O13</f>
        <v>13290</v>
      </c>
      <c r="N12" s="37">
        <f>ELECT.!Q13</f>
        <v>12060</v>
      </c>
      <c r="O12" s="37">
        <f>ELECT.!S13</f>
        <v>9541</v>
      </c>
      <c r="P12" s="37">
        <f>ELECT.!W13*2</f>
        <v>20150</v>
      </c>
      <c r="Q12" s="37">
        <f>ELECT.!D13</f>
        <v>480</v>
      </c>
      <c r="R12" s="142">
        <f>BTU!C13</f>
        <v>19.306000000000495</v>
      </c>
      <c r="S12" s="142">
        <f>BTU!F13</f>
        <v>2.8000000000001819</v>
      </c>
      <c r="T12" s="142">
        <f>BTU!I13</f>
        <v>11</v>
      </c>
      <c r="U12" s="142">
        <f>BTU!O13</f>
        <v>1.9659999999998945</v>
      </c>
      <c r="V12" s="142">
        <f>BTU!L13</f>
        <v>3.5200000000004366</v>
      </c>
      <c r="W12" s="142">
        <f>BTU!R13</f>
        <v>1.5799999999999272</v>
      </c>
      <c r="X12" s="35">
        <f>ELECT.!B13</f>
        <v>182</v>
      </c>
      <c r="Y12" s="35">
        <f t="shared" si="0"/>
        <v>-3315</v>
      </c>
      <c r="Z12">
        <f>'Mall, Citadel, Rotana'!C13+'Mall, Citadel, Rotana'!E13+'Mall, Citadel, Rotana'!G13+'Mall, Citadel, Rotana'!I13</f>
        <v>1223</v>
      </c>
      <c r="AA12">
        <f>'Mall, Citadel, Rotana'!K13+'Mall, Citadel, Rotana'!M13</f>
        <v>262</v>
      </c>
      <c r="AB12">
        <f>'Mall, Citadel, Rotana'!O13</f>
        <v>3</v>
      </c>
      <c r="AC12">
        <f>'Mall, Citadel, Rotana'!Q13+'Mall, Citadel, Rotana'!S13</f>
        <v>118</v>
      </c>
      <c r="AD12" s="35">
        <f t="shared" si="1"/>
        <v>114.673908</v>
      </c>
      <c r="AE12" s="35">
        <f t="shared" si="2"/>
        <v>755.38609199999996</v>
      </c>
    </row>
    <row r="13" spans="1:31" x14ac:dyDescent="0.2">
      <c r="A13" s="48" t="s">
        <v>53</v>
      </c>
      <c r="B13" s="53">
        <f t="shared" si="3"/>
        <v>12</v>
      </c>
      <c r="C13" s="53">
        <v>6</v>
      </c>
      <c r="D13" s="53">
        <v>2022</v>
      </c>
      <c r="E13" s="37">
        <f>Water!C14</f>
        <v>1050</v>
      </c>
      <c r="F13" s="37">
        <f>Water!E14</f>
        <v>450</v>
      </c>
      <c r="G13" s="37">
        <f>Water!G14</f>
        <v>488.7</v>
      </c>
      <c r="H13" s="37">
        <f>Water!I14</f>
        <v>6.4530000000000003</v>
      </c>
      <c r="I13" s="37">
        <f>ELECT.!F14</f>
        <v>27513</v>
      </c>
      <c r="J13" s="37">
        <f>ELECT.!H14</f>
        <v>65371</v>
      </c>
      <c r="K13" s="37">
        <f>ELECT.!K14</f>
        <v>12712</v>
      </c>
      <c r="L13" s="37">
        <f>ELECT.!M14</f>
        <v>8723</v>
      </c>
      <c r="M13" s="37">
        <f>ELECT.!O14</f>
        <v>18542</v>
      </c>
      <c r="N13" s="37">
        <f>ELECT.!Q14</f>
        <v>16444</v>
      </c>
      <c r="O13" s="37">
        <f>ELECT.!S14</f>
        <v>11052</v>
      </c>
      <c r="P13" s="37">
        <f>ELECT.!W14*2</f>
        <v>27744</v>
      </c>
      <c r="Q13" s="37">
        <f>ELECT.!D14</f>
        <v>960</v>
      </c>
      <c r="R13" s="142">
        <f>BTU!C14</f>
        <v>11.757000000001426</v>
      </c>
      <c r="S13" s="142">
        <f>BTU!F14</f>
        <v>3.2979999999997744</v>
      </c>
      <c r="T13" s="142">
        <f>BTU!I14</f>
        <v>7</v>
      </c>
      <c r="U13" s="142">
        <f>BTU!O14</f>
        <v>1.2890000000002146</v>
      </c>
      <c r="V13" s="142">
        <f>BTU!L14</f>
        <v>1.9500000000007276</v>
      </c>
      <c r="W13" s="142">
        <f>BTU!R14</f>
        <v>1.3400000000001455</v>
      </c>
      <c r="X13" s="35">
        <f>ELECT.!B14</f>
        <v>205</v>
      </c>
      <c r="Y13" s="35">
        <f t="shared" si="0"/>
        <v>-2333</v>
      </c>
      <c r="Z13">
        <f>'Mall, Citadel, Rotana'!C14+'Mall, Citadel, Rotana'!E14+'Mall, Citadel, Rotana'!G14+'Mall, Citadel, Rotana'!I14</f>
        <v>1508</v>
      </c>
      <c r="AA13">
        <f>'Mall, Citadel, Rotana'!K14+'Mall, Citadel, Rotana'!M14</f>
        <v>321</v>
      </c>
      <c r="AB13">
        <f>'Mall, Citadel, Rotana'!O14</f>
        <v>4</v>
      </c>
      <c r="AC13">
        <f>'Mall, Citadel, Rotana'!Q14+'Mall, Citadel, Rotana'!S14</f>
        <v>112</v>
      </c>
      <c r="AD13" s="35">
        <f t="shared" si="1"/>
        <v>111.9702946</v>
      </c>
      <c r="AE13" s="35">
        <f t="shared" si="2"/>
        <v>737.57670540000004</v>
      </c>
    </row>
    <row r="14" spans="1:31" x14ac:dyDescent="0.2">
      <c r="A14" s="48" t="s">
        <v>53</v>
      </c>
      <c r="B14" s="53">
        <f t="shared" si="3"/>
        <v>13</v>
      </c>
      <c r="C14" s="53">
        <v>6</v>
      </c>
      <c r="D14" s="53">
        <v>2022</v>
      </c>
      <c r="E14" s="37">
        <f>Water!C15</f>
        <v>900</v>
      </c>
      <c r="F14" s="37">
        <f>Water!E15</f>
        <v>450</v>
      </c>
      <c r="G14" s="37">
        <f>Water!G15</f>
        <v>510.3</v>
      </c>
      <c r="H14" s="37">
        <f>Water!I15</f>
        <v>5.6970000000000001</v>
      </c>
      <c r="I14" s="37">
        <f>ELECT.!F15</f>
        <v>19518</v>
      </c>
      <c r="J14" s="37">
        <f>ELECT.!H15</f>
        <v>46549</v>
      </c>
      <c r="K14" s="37">
        <f>ELECT.!K15</f>
        <v>9846</v>
      </c>
      <c r="L14" s="37">
        <f>ELECT.!M15</f>
        <v>6489</v>
      </c>
      <c r="M14" s="37">
        <f>ELECT.!O15</f>
        <v>12870</v>
      </c>
      <c r="N14" s="37">
        <f>ELECT.!Q15</f>
        <v>11452</v>
      </c>
      <c r="O14" s="37">
        <f>ELECT.!S15</f>
        <v>11624</v>
      </c>
      <c r="P14" s="37">
        <f>ELECT.!W15*2</f>
        <v>19922</v>
      </c>
      <c r="Q14" s="37">
        <f>ELECT.!D15</f>
        <v>800</v>
      </c>
      <c r="R14" s="142">
        <f>BTU!C15</f>
        <v>9.9759999999987485</v>
      </c>
      <c r="S14" s="142">
        <f>BTU!F15</f>
        <v>2.2300000000004729</v>
      </c>
      <c r="T14" s="142">
        <f>BTU!I15</f>
        <v>6</v>
      </c>
      <c r="U14" s="142">
        <f>BTU!O15</f>
        <v>1.0090000000000146</v>
      </c>
      <c r="V14" s="142">
        <f>BTU!L15</f>
        <v>1.4099999999998545</v>
      </c>
      <c r="W14" s="142">
        <f>BTU!R15</f>
        <v>4.9600000000000364</v>
      </c>
      <c r="X14" s="35">
        <f>ELECT.!B15</f>
        <v>245</v>
      </c>
      <c r="Y14" s="35">
        <f t="shared" si="0"/>
        <v>-6136</v>
      </c>
      <c r="Z14">
        <f>'Mall, Citadel, Rotana'!C15+'Mall, Citadel, Rotana'!E15+'Mall, Citadel, Rotana'!G15+'Mall, Citadel, Rotana'!I15</f>
        <v>1352</v>
      </c>
      <c r="AA14">
        <f>'Mall, Citadel, Rotana'!K15+'Mall, Citadel, Rotana'!M15</f>
        <v>450</v>
      </c>
      <c r="AB14">
        <f>'Mall, Citadel, Rotana'!O15</f>
        <v>3</v>
      </c>
      <c r="AC14">
        <f>'Mall, Citadel, Rotana'!Q15+'Mall, Citadel, Rotana'!S15</f>
        <v>46</v>
      </c>
      <c r="AD14" s="35">
        <f t="shared" si="1"/>
        <v>92.299935399999995</v>
      </c>
      <c r="AE14" s="35">
        <f t="shared" si="2"/>
        <v>608.00306460000002</v>
      </c>
    </row>
    <row r="15" spans="1:31" x14ac:dyDescent="0.2">
      <c r="A15" s="48" t="s">
        <v>53</v>
      </c>
      <c r="B15" s="53">
        <f t="shared" si="3"/>
        <v>14</v>
      </c>
      <c r="C15" s="53">
        <v>6</v>
      </c>
      <c r="D15" s="53">
        <v>2022</v>
      </c>
      <c r="E15" s="37">
        <f>Water!C16</f>
        <v>1030</v>
      </c>
      <c r="F15" s="37">
        <f>Water!E16</f>
        <v>410</v>
      </c>
      <c r="G15" s="37">
        <f>Water!G16</f>
        <v>494.1</v>
      </c>
      <c r="H15" s="37">
        <f>Water!I16</f>
        <v>5.0490000000000004</v>
      </c>
      <c r="I15" s="37">
        <f>ELECT.!F16</f>
        <v>20058</v>
      </c>
      <c r="J15" s="37">
        <f>ELECT.!H16</f>
        <v>48920</v>
      </c>
      <c r="K15" s="37">
        <f>ELECT.!K16</f>
        <v>10098</v>
      </c>
      <c r="L15" s="37">
        <f>ELECT.!M16</f>
        <v>6451</v>
      </c>
      <c r="M15" s="37">
        <f>ELECT.!O16</f>
        <v>13402</v>
      </c>
      <c r="N15" s="37">
        <f>ELECT.!Q16</f>
        <v>11965</v>
      </c>
      <c r="O15" s="37">
        <f>ELECT.!S16</f>
        <v>9633</v>
      </c>
      <c r="P15" s="37">
        <f>ELECT.!W16*2</f>
        <v>21230</v>
      </c>
      <c r="Q15" s="37">
        <f>ELECT.!D16</f>
        <v>800</v>
      </c>
      <c r="R15" s="142">
        <f>BTU!C16</f>
        <v>12.320999999999913</v>
      </c>
      <c r="S15" s="142">
        <f>BTU!F16</f>
        <v>3.3599999999996726</v>
      </c>
      <c r="T15" s="142">
        <f>BTU!I16</f>
        <v>8</v>
      </c>
      <c r="U15" s="142">
        <f>BTU!O16</f>
        <v>1.5029999999997017</v>
      </c>
      <c r="V15" s="142">
        <f>BTU!L16</f>
        <v>2.2999999999992724</v>
      </c>
      <c r="W15" s="142">
        <f>BTU!R16</f>
        <v>1.7599999999993088</v>
      </c>
      <c r="X15" s="35">
        <f>ELECT.!B16</f>
        <v>172</v>
      </c>
      <c r="Y15" s="35">
        <f t="shared" si="0"/>
        <v>-3801</v>
      </c>
      <c r="Z15">
        <f>'Mall, Citadel, Rotana'!C16+'Mall, Citadel, Rotana'!E16+'Mall, Citadel, Rotana'!G16+'Mall, Citadel, Rotana'!I16</f>
        <v>1359</v>
      </c>
      <c r="AA15">
        <f>'Mall, Citadel, Rotana'!K16+'Mall, Citadel, Rotana'!M16</f>
        <v>417</v>
      </c>
      <c r="AB15">
        <f>'Mall, Citadel, Rotana'!O16</f>
        <v>3</v>
      </c>
      <c r="AC15">
        <f>'Mall, Citadel, Rotana'!Q16+'Mall, Citadel, Rotana'!S16</f>
        <v>154</v>
      </c>
      <c r="AD15" s="35">
        <f t="shared" si="1"/>
        <v>109.51934180000001</v>
      </c>
      <c r="AE15" s="35">
        <f t="shared" si="2"/>
        <v>721.43165820000002</v>
      </c>
    </row>
    <row r="16" spans="1:31" x14ac:dyDescent="0.2">
      <c r="A16" s="48" t="s">
        <v>53</v>
      </c>
      <c r="B16" s="53">
        <f t="shared" si="3"/>
        <v>15</v>
      </c>
      <c r="C16" s="53">
        <v>6</v>
      </c>
      <c r="D16" s="53">
        <v>2022</v>
      </c>
      <c r="E16" s="37">
        <f>Water!C17</f>
        <v>1040</v>
      </c>
      <c r="F16" s="37">
        <f>Water!E17</f>
        <v>480</v>
      </c>
      <c r="G16" s="37">
        <f>Water!G17</f>
        <v>483.3</v>
      </c>
      <c r="H16" s="37">
        <f>Water!I17</f>
        <v>5.7240000000000002</v>
      </c>
      <c r="I16" s="37">
        <f>ELECT.!F17</f>
        <v>20998</v>
      </c>
      <c r="J16" s="37">
        <f>ELECT.!H17</f>
        <v>50797</v>
      </c>
      <c r="K16" s="37">
        <f>ELECT.!K17</f>
        <v>10182</v>
      </c>
      <c r="L16" s="37">
        <f>ELECT.!M17</f>
        <v>6726</v>
      </c>
      <c r="M16" s="37">
        <f>ELECT.!O17</f>
        <v>14110</v>
      </c>
      <c r="N16" s="37">
        <f>ELECT.!Q17</f>
        <v>12502</v>
      </c>
      <c r="O16" s="37">
        <f>ELECT.!S17</f>
        <v>10202</v>
      </c>
      <c r="P16" s="37">
        <f>ELECT.!W17*2</f>
        <v>21984</v>
      </c>
      <c r="Q16" s="37">
        <f>ELECT.!D17</f>
        <v>640</v>
      </c>
      <c r="R16" s="142">
        <f>BTU!C17</f>
        <v>12.970000000001164</v>
      </c>
      <c r="S16" s="142">
        <f>BTU!F17</f>
        <v>3.261000000000422</v>
      </c>
      <c r="T16" s="142">
        <f>BTU!I17</f>
        <v>8</v>
      </c>
      <c r="U16" s="142">
        <f>BTU!O17</f>
        <v>1.456000000000131</v>
      </c>
      <c r="V16" s="142">
        <f>BTU!L17</f>
        <v>2.319999999999709</v>
      </c>
      <c r="W16" s="142">
        <f>BTU!R17</f>
        <v>2.0600000000004002</v>
      </c>
      <c r="X16" s="35">
        <f>ELECT.!B17</f>
        <v>180</v>
      </c>
      <c r="Y16" s="35">
        <f t="shared" si="0"/>
        <v>-3911</v>
      </c>
      <c r="Z16">
        <f>'Mall, Citadel, Rotana'!C17+'Mall, Citadel, Rotana'!E17+'Mall, Citadel, Rotana'!G17+'Mall, Citadel, Rotana'!I17</f>
        <v>1385</v>
      </c>
      <c r="AA16">
        <f>'Mall, Citadel, Rotana'!K17+'Mall, Citadel, Rotana'!M17</f>
        <v>348</v>
      </c>
      <c r="AB16">
        <f>'Mall, Citadel, Rotana'!O17</f>
        <v>3</v>
      </c>
      <c r="AC16">
        <f>'Mall, Citadel, Rotana'!Q17+'Mall, Citadel, Rotana'!S17</f>
        <v>0</v>
      </c>
      <c r="AD16" s="35">
        <f t="shared" si="1"/>
        <v>110.7483768</v>
      </c>
      <c r="AE16" s="35">
        <f t="shared" si="2"/>
        <v>729.52762320000011</v>
      </c>
    </row>
    <row r="17" spans="1:31" x14ac:dyDescent="0.2">
      <c r="A17" s="48" t="s">
        <v>53</v>
      </c>
      <c r="B17" s="53">
        <f t="shared" si="3"/>
        <v>16</v>
      </c>
      <c r="C17" s="53">
        <v>6</v>
      </c>
      <c r="D17" s="53">
        <v>2022</v>
      </c>
      <c r="E17" s="37">
        <f>Water!C18</f>
        <v>1040</v>
      </c>
      <c r="F17" s="37">
        <f>Water!E18</f>
        <v>470</v>
      </c>
      <c r="G17" s="37">
        <f>Water!G18</f>
        <v>575.1</v>
      </c>
      <c r="H17" s="37">
        <f>Water!I18</f>
        <v>5.7240000000000002</v>
      </c>
      <c r="I17" s="37">
        <f>ELECT.!F18</f>
        <v>25538</v>
      </c>
      <c r="J17" s="37">
        <f>ELECT.!H18</f>
        <v>62587</v>
      </c>
      <c r="K17" s="37">
        <f>ELECT.!K18</f>
        <v>5991</v>
      </c>
      <c r="L17" s="37">
        <f>ELECT.!M18</f>
        <v>7898</v>
      </c>
      <c r="M17" s="37">
        <f>ELECT.!O18</f>
        <v>17406</v>
      </c>
      <c r="N17" s="37">
        <f>ELECT.!Q18</f>
        <v>15487</v>
      </c>
      <c r="O17" s="37">
        <f>ELECT.!S18</f>
        <v>12986</v>
      </c>
      <c r="P17" s="37">
        <f>ELECT.!W18*2</f>
        <v>26732</v>
      </c>
      <c r="Q17" s="37">
        <f>ELECT.!D18</f>
        <v>640</v>
      </c>
      <c r="R17" s="142">
        <f>BTU!C18</f>
        <v>13.22899999999936</v>
      </c>
      <c r="S17" s="142">
        <f>BTU!F18</f>
        <v>3.2609999999995125</v>
      </c>
      <c r="T17" s="142">
        <f>BTU!I18</f>
        <v>8</v>
      </c>
      <c r="U17" s="142">
        <f>BTU!O18</f>
        <v>1.5839999999998327</v>
      </c>
      <c r="V17" s="142">
        <f>BTU!L18</f>
        <v>2.3000000000010914</v>
      </c>
      <c r="W17" s="142">
        <f>BTU!R18</f>
        <v>3.1300000000001091</v>
      </c>
      <c r="X17" s="35">
        <f>ELECT.!B18</f>
        <v>201</v>
      </c>
      <c r="Y17" s="35">
        <f t="shared" si="0"/>
        <v>1625</v>
      </c>
      <c r="Z17">
        <f>'Mall, Citadel, Rotana'!C18+'Mall, Citadel, Rotana'!E18+'Mall, Citadel, Rotana'!G18+'Mall, Citadel, Rotana'!I18</f>
        <v>1529</v>
      </c>
      <c r="AA17">
        <f>'Mall, Citadel, Rotana'!K18+'Mall, Citadel, Rotana'!M18</f>
        <v>433</v>
      </c>
      <c r="AB17">
        <f>'Mall, Citadel, Rotana'!O18</f>
        <v>3</v>
      </c>
      <c r="AC17">
        <f>'Mall, Citadel, Rotana'!Q18+'Mall, Citadel, Rotana'!S18</f>
        <v>0</v>
      </c>
      <c r="AD17" s="35">
        <f t="shared" si="1"/>
        <v>110.7483768</v>
      </c>
      <c r="AE17" s="35">
        <f t="shared" si="2"/>
        <v>729.52762320000011</v>
      </c>
    </row>
    <row r="18" spans="1:31" x14ac:dyDescent="0.2">
      <c r="A18" s="48" t="s">
        <v>53</v>
      </c>
      <c r="B18" s="53">
        <f t="shared" si="3"/>
        <v>17</v>
      </c>
      <c r="C18" s="53">
        <v>6</v>
      </c>
      <c r="D18" s="53">
        <v>2022</v>
      </c>
      <c r="E18" s="37">
        <f>Water!C19</f>
        <v>1180</v>
      </c>
      <c r="F18" s="37">
        <f>Water!E19</f>
        <v>460</v>
      </c>
      <c r="G18" s="37">
        <f>Water!G19</f>
        <v>585.9</v>
      </c>
      <c r="H18" s="37">
        <f>Water!I19</f>
        <v>4.7519999999999998</v>
      </c>
      <c r="I18" s="37">
        <f>ELECT.!F19</f>
        <v>19775</v>
      </c>
      <c r="J18" s="37">
        <f>ELECT.!H19</f>
        <v>49122</v>
      </c>
      <c r="K18" s="37">
        <f>ELECT.!K19</f>
        <v>9024</v>
      </c>
      <c r="L18" s="37">
        <f>ELECT.!M19</f>
        <v>5847</v>
      </c>
      <c r="M18" s="37">
        <f>ELECT.!O19</f>
        <v>13746</v>
      </c>
      <c r="N18" s="37">
        <f>ELECT.!Q19</f>
        <v>12267</v>
      </c>
      <c r="O18" s="37">
        <f>ELECT.!S19</f>
        <v>10047</v>
      </c>
      <c r="P18" s="37">
        <f>ELECT.!W19*2</f>
        <v>21374</v>
      </c>
      <c r="Q18" s="37">
        <f>ELECT.!D19</f>
        <v>480</v>
      </c>
      <c r="R18" s="142">
        <f>BTU!C19</f>
        <v>14.298999999999069</v>
      </c>
      <c r="S18" s="142">
        <f>BTU!F19</f>
        <v>2.4030000000002474</v>
      </c>
      <c r="T18" s="142">
        <f>BTU!I19</f>
        <v>7</v>
      </c>
      <c r="U18" s="142">
        <f>BTU!O19</f>
        <v>1.5270000000000437</v>
      </c>
      <c r="V18" s="142">
        <f>BTU!L19</f>
        <v>2.4799999999995634</v>
      </c>
      <c r="W18" s="142">
        <f>BTU!R19</f>
        <v>1.0900000000001455</v>
      </c>
      <c r="X18" s="35">
        <f>ELECT.!B19</f>
        <v>200</v>
      </c>
      <c r="Y18" s="35">
        <f t="shared" si="0"/>
        <v>-3408</v>
      </c>
      <c r="Z18">
        <f>'Mall, Citadel, Rotana'!C19+'Mall, Citadel, Rotana'!E19+'Mall, Citadel, Rotana'!G19+'Mall, Citadel, Rotana'!I19</f>
        <v>1229</v>
      </c>
      <c r="AA18">
        <f>'Mall, Citadel, Rotana'!K19+'Mall, Citadel, Rotana'!M19</f>
        <v>234</v>
      </c>
      <c r="AB18">
        <f>'Mall, Citadel, Rotana'!O19</f>
        <v>3</v>
      </c>
      <c r="AC18">
        <f>'Mall, Citadel, Rotana'!Q19+'Mall, Citadel, Rotana'!S19</f>
        <v>0</v>
      </c>
      <c r="AD18" s="35">
        <f t="shared" si="1"/>
        <v>129.3284864</v>
      </c>
      <c r="AE18" s="35">
        <f t="shared" si="2"/>
        <v>851.91951360000007</v>
      </c>
    </row>
    <row r="19" spans="1:31" x14ac:dyDescent="0.2">
      <c r="A19" s="48" t="s">
        <v>53</v>
      </c>
      <c r="B19" s="53">
        <f t="shared" si="3"/>
        <v>18</v>
      </c>
      <c r="C19" s="53">
        <v>6</v>
      </c>
      <c r="D19" s="53">
        <v>2022</v>
      </c>
      <c r="E19" s="37">
        <f>Water!C20</f>
        <v>980</v>
      </c>
      <c r="F19" s="37">
        <f>Water!E20</f>
        <v>450</v>
      </c>
      <c r="G19" s="37">
        <f>Water!G20</f>
        <v>510.3</v>
      </c>
      <c r="H19" s="37">
        <f>Water!I20</f>
        <v>4.968</v>
      </c>
      <c r="I19" s="37">
        <f>ELECT.!F20</f>
        <v>21732</v>
      </c>
      <c r="J19" s="37">
        <f>ELECT.!H20</f>
        <v>54342</v>
      </c>
      <c r="K19" s="37">
        <f>ELECT.!K20</f>
        <v>9266</v>
      </c>
      <c r="L19" s="37">
        <f>ELECT.!M20</f>
        <v>6496</v>
      </c>
      <c r="M19" s="37">
        <f>ELECT.!O20</f>
        <v>15060</v>
      </c>
      <c r="N19" s="37">
        <f>ELECT.!Q20</f>
        <v>12846</v>
      </c>
      <c r="O19" s="37">
        <f>ELECT.!S20</f>
        <v>10768</v>
      </c>
      <c r="P19" s="37">
        <f>ELECT.!W20*2</f>
        <v>24226</v>
      </c>
      <c r="Q19" s="37">
        <f>ELECT.!D20</f>
        <v>640</v>
      </c>
      <c r="R19" s="142">
        <f>BTU!C20</f>
        <v>11.01299999999901</v>
      </c>
      <c r="S19" s="142">
        <f>BTU!F20</f>
        <v>1.5420000000003711</v>
      </c>
      <c r="T19" s="142">
        <f>BTU!I20</f>
        <v>6</v>
      </c>
      <c r="U19" s="142">
        <f>BTU!O20</f>
        <v>1.11200000000008</v>
      </c>
      <c r="V19" s="142">
        <f>BTU!L20</f>
        <v>1.6000000000003638</v>
      </c>
      <c r="W19" s="142">
        <f>BTU!R20</f>
        <v>2.6499999999996362</v>
      </c>
      <c r="X19" s="35">
        <f>ELECT.!B20</f>
        <v>169</v>
      </c>
      <c r="Y19" s="35">
        <f t="shared" si="0"/>
        <v>-2588</v>
      </c>
      <c r="Z19">
        <f>'Mall, Citadel, Rotana'!C20+'Mall, Citadel, Rotana'!E20+'Mall, Citadel, Rotana'!G20+'Mall, Citadel, Rotana'!I20</f>
        <v>1398</v>
      </c>
      <c r="AA19">
        <f>'Mall, Citadel, Rotana'!K20+'Mall, Citadel, Rotana'!M20</f>
        <v>272</v>
      </c>
      <c r="AB19">
        <f>'Mall, Citadel, Rotana'!O20</f>
        <v>4</v>
      </c>
      <c r="AC19">
        <f>'Mall, Citadel, Rotana'!Q20+'Mall, Citadel, Rotana'!S20</f>
        <v>0</v>
      </c>
      <c r="AD19" s="35">
        <f t="shared" si="1"/>
        <v>102.9400176</v>
      </c>
      <c r="AE19" s="35">
        <f t="shared" si="2"/>
        <v>678.09198240000001</v>
      </c>
    </row>
    <row r="20" spans="1:31" x14ac:dyDescent="0.2">
      <c r="A20" s="48" t="s">
        <v>53</v>
      </c>
      <c r="B20" s="53">
        <f t="shared" si="3"/>
        <v>19</v>
      </c>
      <c r="C20" s="53">
        <v>6</v>
      </c>
      <c r="D20" s="53">
        <v>2022</v>
      </c>
      <c r="E20" s="37">
        <f>Water!C21</f>
        <v>940</v>
      </c>
      <c r="F20" s="37">
        <f>Water!E21</f>
        <v>470</v>
      </c>
      <c r="G20" s="37">
        <f>Water!G21</f>
        <v>410.4</v>
      </c>
      <c r="H20" s="37">
        <f>Water!I21</f>
        <v>5.0759999999999996</v>
      </c>
      <c r="I20" s="37">
        <f>ELECT.!F21</f>
        <v>20987</v>
      </c>
      <c r="J20" s="37">
        <f>ELECT.!H21</f>
        <v>52748</v>
      </c>
      <c r="K20" s="37">
        <f>ELECT.!K21</f>
        <v>10202</v>
      </c>
      <c r="L20" s="37">
        <f>ELECT.!M21</f>
        <v>6533</v>
      </c>
      <c r="M20" s="37">
        <f>ELECT.!O21</f>
        <v>14258</v>
      </c>
      <c r="N20" s="37">
        <f>ELECT.!Q21</f>
        <v>9781</v>
      </c>
      <c r="O20" s="37">
        <f>ELECT.!S21</f>
        <v>10643</v>
      </c>
      <c r="P20" s="37">
        <f>ELECT.!W21*2</f>
        <v>23244</v>
      </c>
      <c r="Q20" s="37">
        <f>ELECT.!D21</f>
        <v>640</v>
      </c>
      <c r="R20" s="142">
        <f>BTU!C21</f>
        <v>20.429000000000087</v>
      </c>
      <c r="S20" s="142">
        <f>BTU!F21</f>
        <v>4.7459999999991851</v>
      </c>
      <c r="T20" s="142">
        <f>BTU!I21</f>
        <v>11</v>
      </c>
      <c r="U20" s="142">
        <f>BTU!O21</f>
        <v>2.3479999999999563</v>
      </c>
      <c r="V20" s="142">
        <f>BTU!L21</f>
        <v>4.2999999999992724</v>
      </c>
      <c r="W20" s="142">
        <f>BTU!R21</f>
        <v>1.8699999999998909</v>
      </c>
      <c r="X20" s="35">
        <f>ELECT.!B21</f>
        <v>300</v>
      </c>
      <c r="Y20" s="35">
        <f t="shared" si="0"/>
        <v>-926</v>
      </c>
      <c r="Z20">
        <f>'Mall, Citadel, Rotana'!C21+'Mall, Citadel, Rotana'!E21+'Mall, Citadel, Rotana'!G21+'Mall, Citadel, Rotana'!I21</f>
        <v>1360</v>
      </c>
      <c r="AA20">
        <f>'Mall, Citadel, Rotana'!K21+'Mall, Citadel, Rotana'!M21</f>
        <v>398</v>
      </c>
      <c r="AB20">
        <f>'Mall, Citadel, Rotana'!O21</f>
        <v>3</v>
      </c>
      <c r="AC20">
        <f>'Mall, Citadel, Rotana'!Q21+'Mall, Citadel, Rotana'!S21</f>
        <v>1014</v>
      </c>
      <c r="AD20" s="35">
        <f t="shared" si="1"/>
        <v>97.653783199999992</v>
      </c>
      <c r="AE20" s="35">
        <f t="shared" si="2"/>
        <v>643.27021679999996</v>
      </c>
    </row>
    <row r="21" spans="1:31" x14ac:dyDescent="0.2">
      <c r="A21" s="48" t="s">
        <v>53</v>
      </c>
      <c r="B21" s="53">
        <f t="shared" si="3"/>
        <v>20</v>
      </c>
      <c r="C21" s="53">
        <v>6</v>
      </c>
      <c r="D21" s="53">
        <v>2022</v>
      </c>
      <c r="E21" s="37">
        <f>Water!C22</f>
        <v>940</v>
      </c>
      <c r="F21" s="37">
        <f>Water!E22</f>
        <v>500</v>
      </c>
      <c r="G21" s="37">
        <f>Water!G22</f>
        <v>410.4</v>
      </c>
      <c r="H21" s="37">
        <f>Water!I22</f>
        <v>5.0759999999999996</v>
      </c>
      <c r="I21" s="37">
        <f>ELECT.!F22</f>
        <v>25290</v>
      </c>
      <c r="J21" s="37">
        <f>ELECT.!H22</f>
        <v>62556</v>
      </c>
      <c r="K21" s="37">
        <f>ELECT.!K22</f>
        <v>11842</v>
      </c>
      <c r="L21" s="37">
        <f>ELECT.!M22</f>
        <v>7919</v>
      </c>
      <c r="M21" s="37">
        <f>ELECT.!O22</f>
        <v>17160</v>
      </c>
      <c r="N21" s="37">
        <f>ELECT.!Q22</f>
        <v>18534</v>
      </c>
      <c r="O21" s="37">
        <f>ELECT.!S22</f>
        <v>12328</v>
      </c>
      <c r="P21" s="37">
        <f>ELECT.!W22*2</f>
        <v>27772</v>
      </c>
      <c r="Q21" s="37">
        <f>ELECT.!D22</f>
        <v>480</v>
      </c>
      <c r="R21" s="142">
        <f>BTU!C22</f>
        <v>8.1190000000024156</v>
      </c>
      <c r="S21" s="142">
        <f>BTU!F22</f>
        <v>2.5760000000000218</v>
      </c>
      <c r="T21" s="142">
        <f>BTU!I22</f>
        <v>4</v>
      </c>
      <c r="U21" s="142">
        <f>BTU!O22</f>
        <v>0.97499999999990905</v>
      </c>
      <c r="V21" s="142">
        <f>BTU!L22</f>
        <v>1.430000000000291</v>
      </c>
      <c r="W21" s="142">
        <f>BTU!R22</f>
        <v>1.2600000000002183</v>
      </c>
      <c r="X21" s="35">
        <f>ELECT.!B22</f>
        <v>324</v>
      </c>
      <c r="Y21" s="35">
        <f t="shared" si="0"/>
        <v>-7709</v>
      </c>
      <c r="Z21">
        <f>'Mall, Citadel, Rotana'!C22+'Mall, Citadel, Rotana'!E22+'Mall, Citadel, Rotana'!G22+'Mall, Citadel, Rotana'!I22</f>
        <v>1361</v>
      </c>
      <c r="AA21">
        <f>'Mall, Citadel, Rotana'!K22+'Mall, Citadel, Rotana'!M22</f>
        <v>347</v>
      </c>
      <c r="AB21">
        <f>'Mall, Citadel, Rotana'!O22</f>
        <v>3</v>
      </c>
      <c r="AC21">
        <f>'Mall, Citadel, Rotana'!Q22+'Mall, Citadel, Rotana'!S22</f>
        <v>244</v>
      </c>
      <c r="AD21" s="35">
        <f t="shared" si="1"/>
        <v>97.653783199999992</v>
      </c>
      <c r="AE21" s="35">
        <f t="shared" si="2"/>
        <v>643.27021679999996</v>
      </c>
    </row>
    <row r="22" spans="1:31" x14ac:dyDescent="0.2">
      <c r="A22" s="48" t="s">
        <v>53</v>
      </c>
      <c r="B22" s="53">
        <f t="shared" si="3"/>
        <v>21</v>
      </c>
      <c r="C22" s="53">
        <v>6</v>
      </c>
      <c r="D22" s="53">
        <v>2022</v>
      </c>
      <c r="E22" s="37">
        <f>Water!C23</f>
        <v>990</v>
      </c>
      <c r="F22" s="37">
        <f>Water!E23</f>
        <v>380</v>
      </c>
      <c r="G22" s="37">
        <f>Water!G23</f>
        <v>529.20000000000005</v>
      </c>
      <c r="H22" s="37">
        <f>Water!I23</f>
        <v>4.266</v>
      </c>
      <c r="I22" s="37">
        <f>ELECT.!F23</f>
        <v>16958</v>
      </c>
      <c r="J22" s="37">
        <f>ELECT.!H23</f>
        <v>42415</v>
      </c>
      <c r="K22" s="37">
        <f>ELECT.!K23</f>
        <v>8696</v>
      </c>
      <c r="L22" s="37">
        <f>ELECT.!M23</f>
        <v>5353</v>
      </c>
      <c r="M22" s="37">
        <f>ELECT.!O23</f>
        <v>11432</v>
      </c>
      <c r="N22" s="37">
        <f>ELECT.!Q23</f>
        <v>10097</v>
      </c>
      <c r="O22" s="37">
        <f>ELECT.!S23</f>
        <v>8298</v>
      </c>
      <c r="P22" s="37">
        <f>ELECT.!W23*2</f>
        <v>18728</v>
      </c>
      <c r="Q22" s="37">
        <f>ELECT.!D23</f>
        <v>640</v>
      </c>
      <c r="R22" s="142">
        <f>BTU!C23</f>
        <v>20.114999999997963</v>
      </c>
      <c r="S22" s="142">
        <f>BTU!F23</f>
        <v>3.1000000000003638</v>
      </c>
      <c r="T22" s="142">
        <f>BTU!I23</f>
        <v>4</v>
      </c>
      <c r="U22" s="142">
        <f>BTU!O23</f>
        <v>0.87700000000040745</v>
      </c>
      <c r="V22" s="142">
        <f>BTU!L23</f>
        <v>1.8899999999994179</v>
      </c>
      <c r="W22" s="142">
        <f>BTU!R23</f>
        <v>2.2299999999995634</v>
      </c>
      <c r="X22" s="35">
        <f>ELECT.!B23</f>
        <v>324</v>
      </c>
      <c r="Y22" s="35">
        <f t="shared" si="0"/>
        <v>-3231</v>
      </c>
      <c r="Z22">
        <f>'Mall, Citadel, Rotana'!C23+'Mall, Citadel, Rotana'!E23+'Mall, Citadel, Rotana'!G23+'Mall, Citadel, Rotana'!I23</f>
        <v>1204</v>
      </c>
      <c r="AA22">
        <f>'Mall, Citadel, Rotana'!K23+'Mall, Citadel, Rotana'!M23</f>
        <v>346</v>
      </c>
      <c r="AB22">
        <f>'Mall, Citadel, Rotana'!O23</f>
        <v>3</v>
      </c>
      <c r="AC22">
        <f>'Mall, Citadel, Rotana'!Q23+'Mall, Citadel, Rotana'!S23</f>
        <v>256</v>
      </c>
      <c r="AD22" s="35">
        <f t="shared" si="1"/>
        <v>104.35054120000001</v>
      </c>
      <c r="AE22" s="35">
        <f t="shared" si="2"/>
        <v>687.38345879999997</v>
      </c>
    </row>
    <row r="23" spans="1:31" x14ac:dyDescent="0.2">
      <c r="A23" s="48" t="s">
        <v>53</v>
      </c>
      <c r="B23" s="53">
        <f t="shared" si="3"/>
        <v>22</v>
      </c>
      <c r="C23" s="53">
        <v>6</v>
      </c>
      <c r="D23" s="53">
        <v>2022</v>
      </c>
      <c r="E23" s="37">
        <f>Water!C24</f>
        <v>990</v>
      </c>
      <c r="F23" s="37">
        <f>Water!E24</f>
        <v>430</v>
      </c>
      <c r="G23" s="37">
        <f>Water!G24</f>
        <v>399.6</v>
      </c>
      <c r="H23" s="37">
        <f>Water!I24</f>
        <v>4.4279999999999999</v>
      </c>
      <c r="I23" s="37">
        <f>ELECT.!F24</f>
        <v>21916</v>
      </c>
      <c r="J23" s="37">
        <f>ELECT.!H24</f>
        <v>53353</v>
      </c>
      <c r="K23" s="37">
        <f>ELECT.!K24</f>
        <v>10450</v>
      </c>
      <c r="L23" s="37">
        <f>ELECT.!M24</f>
        <v>6824</v>
      </c>
      <c r="M23" s="37">
        <f>ELECT.!O24</f>
        <v>14916</v>
      </c>
      <c r="N23" s="37">
        <f>ELECT.!Q24</f>
        <v>12966</v>
      </c>
      <c r="O23" s="37">
        <f>ELECT.!S24</f>
        <v>10396</v>
      </c>
      <c r="P23" s="37">
        <f>ELECT.!W24*2</f>
        <v>23598</v>
      </c>
      <c r="Q23" s="37">
        <f>ELECT.!D24</f>
        <v>640</v>
      </c>
      <c r="R23" s="142">
        <f>BTU!C24</f>
        <v>6.625</v>
      </c>
      <c r="S23" s="142">
        <f>BTU!F24</f>
        <v>3.7409999999999854</v>
      </c>
      <c r="T23" s="142">
        <f>BTU!I24</f>
        <v>11</v>
      </c>
      <c r="U23" s="142">
        <f>BTU!O24</f>
        <v>2.5989999999997053</v>
      </c>
      <c r="V23" s="142">
        <f>BTU!L24</f>
        <v>2.6499999999996362</v>
      </c>
      <c r="W23" s="142">
        <f>BTU!R24</f>
        <v>2.0300000000006548</v>
      </c>
      <c r="X23" s="35">
        <f>ELECT.!B24</f>
        <v>137</v>
      </c>
      <c r="Y23" s="35">
        <f t="shared" si="0"/>
        <v>-3881</v>
      </c>
      <c r="Z23">
        <f>'Mall, Citadel, Rotana'!C24+'Mall, Citadel, Rotana'!E24+'Mall, Citadel, Rotana'!G24+'Mall, Citadel, Rotana'!I24</f>
        <v>1549</v>
      </c>
      <c r="AA23">
        <f>'Mall, Citadel, Rotana'!K24+'Mall, Citadel, Rotana'!M24</f>
        <v>409</v>
      </c>
      <c r="AB23">
        <f>'Mall, Citadel, Rotana'!O24</f>
        <v>3</v>
      </c>
      <c r="AC23">
        <f>'Mall, Citadel, Rotana'!Q24+'Mall, Citadel, Rotana'!S24</f>
        <v>246</v>
      </c>
      <c r="AD23" s="35">
        <f t="shared" si="1"/>
        <v>104.32918960000001</v>
      </c>
      <c r="AE23" s="35">
        <f t="shared" si="2"/>
        <v>687.24281040000005</v>
      </c>
    </row>
    <row r="24" spans="1:31" x14ac:dyDescent="0.2">
      <c r="A24" s="48" t="s">
        <v>53</v>
      </c>
      <c r="B24" s="53">
        <f t="shared" si="3"/>
        <v>23</v>
      </c>
      <c r="C24" s="53">
        <v>6</v>
      </c>
      <c r="D24" s="53">
        <v>2022</v>
      </c>
      <c r="E24" s="37">
        <f>Water!C25</f>
        <v>920</v>
      </c>
      <c r="F24" s="37">
        <f>Water!E25</f>
        <v>500</v>
      </c>
      <c r="G24" s="37">
        <f>Water!G25</f>
        <v>467.1</v>
      </c>
      <c r="H24" s="37">
        <f>Water!I25</f>
        <v>4.9139999999999997</v>
      </c>
      <c r="I24" s="37">
        <f>ELECT.!F25</f>
        <v>19917</v>
      </c>
      <c r="J24" s="37">
        <f>ELECT.!H25</f>
        <v>48275</v>
      </c>
      <c r="K24" s="37">
        <f>ELECT.!K25</f>
        <v>9178</v>
      </c>
      <c r="L24" s="37">
        <f>ELECT.!M25</f>
        <v>6162</v>
      </c>
      <c r="M24" s="37">
        <f>ELECT.!O25</f>
        <v>13552</v>
      </c>
      <c r="N24" s="37">
        <f>ELECT.!Q25</f>
        <v>11911</v>
      </c>
      <c r="O24" s="37">
        <f>ELECT.!S25</f>
        <v>9410</v>
      </c>
      <c r="P24" s="37">
        <f>ELECT.!W25*2</f>
        <v>21308</v>
      </c>
      <c r="Q24" s="37">
        <f>ELECT.!D25</f>
        <v>640</v>
      </c>
      <c r="R24" s="142">
        <f>BTU!C25</f>
        <v>6.3950000000004366</v>
      </c>
      <c r="S24" s="142">
        <f>BTU!F25</f>
        <v>1.9160000000001673</v>
      </c>
      <c r="T24" s="142">
        <f>BTU!I25</f>
        <v>5</v>
      </c>
      <c r="U24" s="142">
        <f>BTU!O25</f>
        <v>0.8160000000002583</v>
      </c>
      <c r="V24" s="142">
        <f>BTU!L25</f>
        <v>1</v>
      </c>
      <c r="W24" s="142">
        <f>BTU!R25</f>
        <v>1.1499999999996362</v>
      </c>
      <c r="X24" s="35">
        <f>ELECT.!B25</f>
        <v>200</v>
      </c>
      <c r="Y24" s="35">
        <f t="shared" si="0"/>
        <v>-3329</v>
      </c>
      <c r="Z24">
        <f>'Mall, Citadel, Rotana'!C25+'Mall, Citadel, Rotana'!E25+'Mall, Citadel, Rotana'!G25+'Mall, Citadel, Rotana'!I25</f>
        <v>1381</v>
      </c>
      <c r="AA24">
        <f>'Mall, Citadel, Rotana'!K25+'Mall, Citadel, Rotana'!M25</f>
        <v>347</v>
      </c>
      <c r="AB24">
        <f>'Mall, Citadel, Rotana'!O25</f>
        <v>4</v>
      </c>
      <c r="AC24">
        <f>'Mall, Citadel, Rotana'!Q25+'Mall, Citadel, Rotana'!S25</f>
        <v>251</v>
      </c>
      <c r="AD24" s="35">
        <f t="shared" si="1"/>
        <v>95.039134799999999</v>
      </c>
      <c r="AE24" s="35">
        <f t="shared" si="2"/>
        <v>626.04686519999996</v>
      </c>
    </row>
    <row r="25" spans="1:31" x14ac:dyDescent="0.2">
      <c r="A25" s="48" t="s">
        <v>53</v>
      </c>
      <c r="B25" s="53">
        <f t="shared" si="3"/>
        <v>24</v>
      </c>
      <c r="C25" s="53">
        <v>6</v>
      </c>
      <c r="D25" s="53">
        <v>2022</v>
      </c>
      <c r="E25" s="37">
        <f>Water!C26</f>
        <v>1000</v>
      </c>
      <c r="F25" s="37">
        <f>Water!E26</f>
        <v>460</v>
      </c>
      <c r="G25" s="37">
        <f>Water!G26</f>
        <v>510.3</v>
      </c>
      <c r="H25" s="37">
        <f>Water!I26</f>
        <v>3.8609999999999998</v>
      </c>
      <c r="I25" s="37">
        <f>ELECT.!F26</f>
        <v>26119</v>
      </c>
      <c r="J25" s="37">
        <f>ELECT.!H26</f>
        <v>62185</v>
      </c>
      <c r="K25" s="37">
        <f>ELECT.!K26</f>
        <v>9668</v>
      </c>
      <c r="L25" s="37">
        <f>ELECT.!M26</f>
        <v>7951</v>
      </c>
      <c r="M25" s="37">
        <f>ELECT.!O26</f>
        <v>17942</v>
      </c>
      <c r="N25" s="37">
        <f>ELECT.!Q26</f>
        <v>15977</v>
      </c>
      <c r="O25" s="37">
        <f>ELECT.!S26</f>
        <v>12167</v>
      </c>
      <c r="P25" s="37">
        <f>ELECT.!W26*2</f>
        <v>27930</v>
      </c>
      <c r="Q25" s="37">
        <f>ELECT.!D26</f>
        <v>800</v>
      </c>
      <c r="R25" s="142">
        <f>BTU!C26</f>
        <v>12.707999999998719</v>
      </c>
      <c r="S25" s="142">
        <f>BTU!F26</f>
        <v>2.0599999999994907</v>
      </c>
      <c r="T25" s="142">
        <f>BTU!I26</f>
        <v>6</v>
      </c>
      <c r="U25" s="142">
        <f>BTU!O26</f>
        <v>1.5679999999997563</v>
      </c>
      <c r="V25" s="142">
        <f>BTU!L26</f>
        <v>2.1400000000012369</v>
      </c>
      <c r="W25" s="142">
        <f>BTU!R26</f>
        <v>2.2300000000004729</v>
      </c>
      <c r="X25" s="35">
        <f>ELECT.!B26</f>
        <v>240</v>
      </c>
      <c r="Y25" s="35">
        <f t="shared" si="0"/>
        <v>-3331</v>
      </c>
      <c r="Z25">
        <f>'Mall, Citadel, Rotana'!C26+'Mall, Citadel, Rotana'!E26+'Mall, Citadel, Rotana'!G26+'Mall, Citadel, Rotana'!I26</f>
        <v>1388</v>
      </c>
      <c r="AA25">
        <f>'Mall, Citadel, Rotana'!K26+'Mall, Citadel, Rotana'!M26</f>
        <v>222</v>
      </c>
      <c r="AB25">
        <f>'Mall, Citadel, Rotana'!O26</f>
        <v>3</v>
      </c>
      <c r="AC25">
        <f>'Mall, Citadel, Rotana'!Q26+'Mall, Citadel, Rotana'!S26</f>
        <v>0</v>
      </c>
      <c r="AD25" s="35">
        <f t="shared" si="1"/>
        <v>105.7219202</v>
      </c>
      <c r="AE25" s="35">
        <f t="shared" si="2"/>
        <v>696.41707980000001</v>
      </c>
    </row>
    <row r="26" spans="1:31" x14ac:dyDescent="0.2">
      <c r="A26" s="48" t="s">
        <v>53</v>
      </c>
      <c r="B26" s="53">
        <f>B25+1</f>
        <v>25</v>
      </c>
      <c r="C26" s="53">
        <v>6</v>
      </c>
      <c r="D26" s="53">
        <v>2022</v>
      </c>
      <c r="E26" s="37">
        <f>Water!C27</f>
        <v>1250</v>
      </c>
      <c r="F26" s="37">
        <f>Water!E27</f>
        <v>510</v>
      </c>
      <c r="G26" s="37">
        <f>Water!G27</f>
        <v>607.5</v>
      </c>
      <c r="H26" s="37">
        <f>Water!I27</f>
        <v>4.4820000000000002</v>
      </c>
      <c r="I26" s="37">
        <f>ELECT.!F27</f>
        <v>22596</v>
      </c>
      <c r="J26" s="37">
        <f>ELECT.!H27</f>
        <v>56846</v>
      </c>
      <c r="K26" s="37">
        <f>ELECT.!K27</f>
        <v>8676</v>
      </c>
      <c r="L26" s="37">
        <f>ELECT.!M27</f>
        <v>7114</v>
      </c>
      <c r="M26" s="37">
        <f>ELECT.!O27</f>
        <v>15254</v>
      </c>
      <c r="N26" s="37">
        <f>ELECT.!Q27</f>
        <v>14459</v>
      </c>
      <c r="O26" s="37">
        <f>ELECT.!S27</f>
        <v>11325</v>
      </c>
      <c r="P26" s="37">
        <f>ELECT.!W27*2</f>
        <v>25598</v>
      </c>
      <c r="Q26" s="37">
        <f>ELECT.!D27</f>
        <v>800</v>
      </c>
      <c r="R26" s="142">
        <f>BTU!C27</f>
        <v>14.051000000003114</v>
      </c>
      <c r="S26" s="142">
        <f>BTU!F27</f>
        <v>2.3600000000005821</v>
      </c>
      <c r="T26" s="142">
        <f>BTU!I27</f>
        <v>7</v>
      </c>
      <c r="U26" s="142">
        <f>BTU!O27</f>
        <v>1.5300000000002001</v>
      </c>
      <c r="V26" s="142">
        <f>BTU!L27</f>
        <v>2.4599999999991269</v>
      </c>
      <c r="W26" s="142">
        <f>BTU!R27</f>
        <v>2.0099999999993088</v>
      </c>
      <c r="X26" s="35">
        <f>ELECT.!B27</f>
        <v>169</v>
      </c>
      <c r="Y26" s="35">
        <f t="shared" si="0"/>
        <v>-2984</v>
      </c>
      <c r="Z26">
        <f>'Mall, Citadel, Rotana'!C27+'Mall, Citadel, Rotana'!E27+'Mall, Citadel, Rotana'!G27+'Mall, Citadel, Rotana'!I27</f>
        <v>1245</v>
      </c>
      <c r="AA26">
        <f>'Mall, Citadel, Rotana'!K27+'Mall, Citadel, Rotana'!M27</f>
        <v>321</v>
      </c>
      <c r="AB26">
        <f>'Mall, Citadel, Rotana'!O27</f>
        <v>3</v>
      </c>
      <c r="AC26">
        <f>'Mall, Citadel, Rotana'!Q27+'Mall, Citadel, Rotana'!S27</f>
        <v>-96</v>
      </c>
      <c r="AD26" s="35">
        <f t="shared" si="1"/>
        <v>138.5900724</v>
      </c>
      <c r="AE26" s="35">
        <f t="shared" si="2"/>
        <v>912.92792759999998</v>
      </c>
    </row>
    <row r="27" spans="1:31" x14ac:dyDescent="0.2">
      <c r="A27" s="48" t="s">
        <v>53</v>
      </c>
      <c r="B27" s="53">
        <f t="shared" si="3"/>
        <v>26</v>
      </c>
      <c r="C27" s="53">
        <v>6</v>
      </c>
      <c r="D27" s="53">
        <v>2022</v>
      </c>
      <c r="E27" s="37">
        <f>Water!C28</f>
        <v>920</v>
      </c>
      <c r="F27" s="37">
        <f>Water!E28</f>
        <v>510</v>
      </c>
      <c r="G27" s="37">
        <f>Water!G28</f>
        <v>510.3</v>
      </c>
      <c r="H27" s="37">
        <f>Water!I28</f>
        <v>4.4279999999999999</v>
      </c>
      <c r="I27" s="37">
        <f>ELECT.!F28</f>
        <v>21071</v>
      </c>
      <c r="J27" s="37">
        <f>ELECT.!H28</f>
        <v>53771</v>
      </c>
      <c r="K27" s="37">
        <f>ELECT.!K28</f>
        <v>9598</v>
      </c>
      <c r="L27" s="37">
        <f>ELECT.!M28</f>
        <v>6788</v>
      </c>
      <c r="M27" s="37">
        <f>ELECT.!O28</f>
        <v>14124</v>
      </c>
      <c r="N27" s="37">
        <f>ELECT.!Q28</f>
        <v>13247</v>
      </c>
      <c r="O27" s="37">
        <f>ELECT.!S28</f>
        <v>10477</v>
      </c>
      <c r="P27" s="37">
        <f>ELECT.!W28*2</f>
        <v>24106</v>
      </c>
      <c r="Q27" s="37">
        <f>ELECT.!D28</f>
        <v>800</v>
      </c>
      <c r="R27" s="142">
        <f>BTU!C28</f>
        <v>12.698999999996886</v>
      </c>
      <c r="S27" s="142">
        <f>BTU!F28</f>
        <v>2.8930000000000291</v>
      </c>
      <c r="T27" s="142">
        <f>BTU!I28</f>
        <v>8</v>
      </c>
      <c r="U27" s="142">
        <f>BTU!O28</f>
        <v>1.6469999999999345</v>
      </c>
      <c r="V27" s="142">
        <f>BTU!L28</f>
        <v>2.2299999999995634</v>
      </c>
      <c r="W27" s="142">
        <f>BTU!R28</f>
        <v>2.1100000000005821</v>
      </c>
      <c r="X27" s="35">
        <f>ELECT.!B28</f>
        <v>213</v>
      </c>
      <c r="Y27" s="35">
        <f t="shared" si="0"/>
        <v>-3498</v>
      </c>
      <c r="Z27">
        <f>'Mall, Citadel, Rotana'!C28+'Mall, Citadel, Rotana'!E28+'Mall, Citadel, Rotana'!G28+'Mall, Citadel, Rotana'!I28</f>
        <v>1685</v>
      </c>
      <c r="AA27">
        <f>'Mall, Citadel, Rotana'!K28+'Mall, Citadel, Rotana'!M28</f>
        <v>351</v>
      </c>
      <c r="AB27">
        <f>'Mall, Citadel, Rotana'!O28</f>
        <v>3</v>
      </c>
      <c r="AC27">
        <f>'Mall, Citadel, Rotana'!Q28+'Mall, Citadel, Rotana'!S28</f>
        <v>0</v>
      </c>
      <c r="AD27" s="35">
        <f t="shared" si="1"/>
        <v>95.103189600000007</v>
      </c>
      <c r="AE27" s="35">
        <f t="shared" si="2"/>
        <v>626.46881039999994</v>
      </c>
    </row>
    <row r="28" spans="1:31" x14ac:dyDescent="0.2">
      <c r="A28" s="48" t="s">
        <v>53</v>
      </c>
      <c r="B28" s="53">
        <f t="shared" si="3"/>
        <v>27</v>
      </c>
      <c r="C28" s="53">
        <v>6</v>
      </c>
      <c r="D28" s="53">
        <v>2022</v>
      </c>
      <c r="E28" s="37">
        <f>Water!C29</f>
        <v>1070</v>
      </c>
      <c r="F28" s="37">
        <f>Water!E29</f>
        <v>490</v>
      </c>
      <c r="G28" s="37">
        <f>Water!G29</f>
        <v>521.1</v>
      </c>
      <c r="H28" s="37">
        <f>Water!I29</f>
        <v>5.5620000000000003</v>
      </c>
      <c r="I28" s="37">
        <f>ELECT.!F29</f>
        <v>19689</v>
      </c>
      <c r="J28" s="37">
        <f>ELECT.!H29</f>
        <v>50434</v>
      </c>
      <c r="K28" s="37">
        <f>ELECT.!K29</f>
        <v>10138</v>
      </c>
      <c r="L28" s="37">
        <f>ELECT.!M29</f>
        <v>6205</v>
      </c>
      <c r="M28" s="37">
        <f>ELECT.!O29</f>
        <v>13306</v>
      </c>
      <c r="N28" s="37">
        <f>ELECT.!Q29</f>
        <v>12550</v>
      </c>
      <c r="O28" s="37">
        <f>ELECT.!S29</f>
        <v>9633</v>
      </c>
      <c r="P28" s="37">
        <f>ELECT.!W29*2</f>
        <v>22128</v>
      </c>
      <c r="Q28" s="37">
        <f>ELECT.!D29</f>
        <v>640</v>
      </c>
      <c r="R28" s="142">
        <f>BTU!C29</f>
        <v>12.999000000003434</v>
      </c>
      <c r="S28" s="142">
        <f>BTU!F29</f>
        <v>3.3959999999997308</v>
      </c>
      <c r="T28" s="142">
        <f>BTU!I29</f>
        <v>7</v>
      </c>
      <c r="U28" s="142">
        <f>BTU!O29</f>
        <v>1.6179999999999382</v>
      </c>
      <c r="V28" s="142">
        <f>BTU!L29</f>
        <v>2.320000000001528</v>
      </c>
      <c r="W28" s="142">
        <f>BTU!R29</f>
        <v>1.3699999999998909</v>
      </c>
      <c r="X28" s="35">
        <f>ELECT.!B29</f>
        <v>286</v>
      </c>
      <c r="Y28" s="35">
        <f t="shared" si="0"/>
        <v>-3837</v>
      </c>
      <c r="Z28">
        <f>'Mall, Citadel, Rotana'!C29+'Mall, Citadel, Rotana'!E29+'Mall, Citadel, Rotana'!G29+'Mall, Citadel, Rotana'!I29</f>
        <v>1229</v>
      </c>
      <c r="AA28">
        <f>'Mall, Citadel, Rotana'!K29+'Mall, Citadel, Rotana'!M29</f>
        <v>405</v>
      </c>
      <c r="AB28">
        <f>'Mall, Citadel, Rotana'!O29</f>
        <v>3</v>
      </c>
      <c r="AC28">
        <f>'Mall, Citadel, Rotana'!Q29+'Mall, Citadel, Rotana'!S29</f>
        <v>0</v>
      </c>
      <c r="AD28" s="35">
        <f t="shared" si="1"/>
        <v>114.72372840000001</v>
      </c>
      <c r="AE28" s="35">
        <f t="shared" si="2"/>
        <v>755.71427160000007</v>
      </c>
    </row>
    <row r="29" spans="1:31" x14ac:dyDescent="0.2">
      <c r="A29" s="48" t="s">
        <v>53</v>
      </c>
      <c r="B29" s="53">
        <f t="shared" si="3"/>
        <v>28</v>
      </c>
      <c r="C29" s="53">
        <v>6</v>
      </c>
      <c r="D29" s="53">
        <v>2022</v>
      </c>
      <c r="E29" s="37">
        <f>Water!C30</f>
        <v>0</v>
      </c>
      <c r="F29" s="37">
        <f>Water!E30</f>
        <v>0</v>
      </c>
      <c r="G29" s="37">
        <f>Water!G30</f>
        <v>0</v>
      </c>
      <c r="H29" s="37">
        <f>Water!I30</f>
        <v>0</v>
      </c>
      <c r="I29" s="37" t="str">
        <f>ELECT.!F30</f>
        <v>0</v>
      </c>
      <c r="J29" s="37" t="str">
        <f>ELECT.!H30</f>
        <v>0</v>
      </c>
      <c r="K29" s="37">
        <f>ELECT.!K30</f>
        <v>0</v>
      </c>
      <c r="L29" s="37" t="str">
        <f>ELECT.!M30</f>
        <v>0</v>
      </c>
      <c r="M29" s="37">
        <f>ELECT.!O30</f>
        <v>0</v>
      </c>
      <c r="N29" s="37" t="str">
        <f>ELECT.!Q30</f>
        <v>0</v>
      </c>
      <c r="O29" s="37" t="str">
        <f>ELECT.!S30</f>
        <v>0</v>
      </c>
      <c r="P29" s="37">
        <f>ELECT.!W30*2</f>
        <v>0</v>
      </c>
      <c r="Q29" s="37">
        <f>ELECT.!D30</f>
        <v>0</v>
      </c>
      <c r="R29" s="142" t="str">
        <f>BTU!C30</f>
        <v>0</v>
      </c>
      <c r="S29" s="142" t="str">
        <f>BTU!F30</f>
        <v>0</v>
      </c>
      <c r="T29" s="142" t="str">
        <f>BTU!I30</f>
        <v>0</v>
      </c>
      <c r="U29" s="142" t="str">
        <f>BTU!O30</f>
        <v>0</v>
      </c>
      <c r="V29" s="142" t="str">
        <f>BTU!L30</f>
        <v>0</v>
      </c>
      <c r="W29" s="142" t="str">
        <f>BTU!R30</f>
        <v>0</v>
      </c>
      <c r="X29" s="35">
        <f>ELECT.!B30</f>
        <v>0</v>
      </c>
      <c r="Y29" s="3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5">
        <f t="shared" si="1"/>
        <v>-25.569199999999999</v>
      </c>
      <c r="AE29" s="35">
        <f t="shared" si="2"/>
        <v>-168.4308</v>
      </c>
    </row>
    <row r="30" spans="1:31" x14ac:dyDescent="0.2">
      <c r="A30" s="48" t="s">
        <v>53</v>
      </c>
      <c r="B30" s="53">
        <f t="shared" si="3"/>
        <v>29</v>
      </c>
      <c r="C30" s="53">
        <v>6</v>
      </c>
      <c r="D30" s="53">
        <v>2022</v>
      </c>
      <c r="E30" s="37">
        <f>Water!C31</f>
        <v>0</v>
      </c>
      <c r="F30" s="37">
        <f>Water!E31</f>
        <v>0</v>
      </c>
      <c r="G30" s="37">
        <f>Water!G31</f>
        <v>0</v>
      </c>
      <c r="H30" s="37">
        <f>Water!I31</f>
        <v>0</v>
      </c>
      <c r="I30" s="37">
        <f>ELECT.!F31</f>
        <v>0</v>
      </c>
      <c r="J30" s="37">
        <f>ELECT.!H31</f>
        <v>0</v>
      </c>
      <c r="K30" s="37">
        <f>ELECT.!K31</f>
        <v>0</v>
      </c>
      <c r="L30" s="37">
        <f>ELECT.!M31</f>
        <v>0</v>
      </c>
      <c r="M30" s="37">
        <f>ELECT.!O31</f>
        <v>0</v>
      </c>
      <c r="N30" s="37">
        <f>ELECT.!Q31</f>
        <v>0</v>
      </c>
      <c r="O30" s="37">
        <f>ELECT.!S31</f>
        <v>0</v>
      </c>
      <c r="P30" s="37">
        <f>ELECT.!W31*2</f>
        <v>0</v>
      </c>
      <c r="Q30" s="37">
        <f>ELECT.!D31</f>
        <v>0</v>
      </c>
      <c r="R30" s="142">
        <f>BTU!C31</f>
        <v>0</v>
      </c>
      <c r="S30" s="142">
        <f>BTU!F31</f>
        <v>0</v>
      </c>
      <c r="T30" s="142">
        <f>BTU!I31</f>
        <v>0</v>
      </c>
      <c r="U30" s="142">
        <f>BTU!O31</f>
        <v>0</v>
      </c>
      <c r="V30" s="142">
        <f>BTU!L31</f>
        <v>0</v>
      </c>
      <c r="W30" s="142">
        <f>BTU!R31</f>
        <v>0</v>
      </c>
      <c r="X30" s="35">
        <f>ELECT.!B31</f>
        <v>0</v>
      </c>
      <c r="Y30" s="3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5">
        <f t="shared" si="1"/>
        <v>-25.569199999999999</v>
      </c>
      <c r="AE30" s="35">
        <f t="shared" si="2"/>
        <v>-168.4308</v>
      </c>
    </row>
    <row r="31" spans="1:31" x14ac:dyDescent="0.2">
      <c r="A31" s="48" t="s">
        <v>53</v>
      </c>
      <c r="B31" s="53">
        <f t="shared" si="3"/>
        <v>30</v>
      </c>
      <c r="C31" s="53">
        <v>6</v>
      </c>
      <c r="D31" s="53">
        <v>2022</v>
      </c>
      <c r="E31" s="37">
        <f>Water!C32</f>
        <v>0</v>
      </c>
      <c r="F31" s="37">
        <f>Water!E32</f>
        <v>0</v>
      </c>
      <c r="G31" s="37">
        <f>Water!G32</f>
        <v>0</v>
      </c>
      <c r="H31" s="37">
        <f>Water!I32</f>
        <v>0</v>
      </c>
      <c r="I31" s="37">
        <f>ELECT.!F32</f>
        <v>0</v>
      </c>
      <c r="J31" s="37">
        <f>ELECT.!H32</f>
        <v>0</v>
      </c>
      <c r="K31" s="37">
        <f>ELECT.!K32</f>
        <v>0</v>
      </c>
      <c r="L31" s="37">
        <f>ELECT.!M32</f>
        <v>0</v>
      </c>
      <c r="M31" s="37">
        <f>ELECT.!O32</f>
        <v>0</v>
      </c>
      <c r="N31" s="37">
        <f>ELECT.!Q32</f>
        <v>0</v>
      </c>
      <c r="O31" s="37">
        <f>ELECT.!S32</f>
        <v>0</v>
      </c>
      <c r="P31" s="37">
        <f>ELECT.!W32*2</f>
        <v>0</v>
      </c>
      <c r="Q31" s="37">
        <f>ELECT.!D32</f>
        <v>0</v>
      </c>
      <c r="R31" s="142">
        <f>BTU!C32</f>
        <v>0</v>
      </c>
      <c r="S31" s="142">
        <f>BTU!F32</f>
        <v>0</v>
      </c>
      <c r="T31" s="142">
        <f>BTU!I32</f>
        <v>0</v>
      </c>
      <c r="U31" s="142">
        <f>BTU!O32</f>
        <v>0</v>
      </c>
      <c r="V31" s="142">
        <f>BTU!L32</f>
        <v>0</v>
      </c>
      <c r="W31" s="142">
        <f>BTU!R32</f>
        <v>0</v>
      </c>
      <c r="X31" s="35">
        <f>ELECT.!B32</f>
        <v>0</v>
      </c>
      <c r="Y31" s="3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5">
        <f t="shared" si="1"/>
        <v>-25.569199999999999</v>
      </c>
      <c r="AE31" s="35">
        <f t="shared" si="2"/>
        <v>-168.4308</v>
      </c>
    </row>
    <row r="32" spans="1:31" x14ac:dyDescent="0.2">
      <c r="R32" s="142"/>
      <c r="S32" s="142"/>
      <c r="T32" s="142"/>
      <c r="U32" s="142"/>
      <c r="V32" s="142"/>
      <c r="W32" s="142"/>
      <c r="AD32" s="35"/>
      <c r="AE32" s="35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A29" sqref="A29:XFD29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44712</v>
      </c>
      <c r="B2" s="32">
        <v>47087</v>
      </c>
      <c r="C2" s="14"/>
      <c r="D2" s="32">
        <v>40638</v>
      </c>
      <c r="E2" s="14"/>
      <c r="F2" s="32">
        <v>21687</v>
      </c>
      <c r="G2" s="14"/>
      <c r="H2" s="32">
        <v>255299</v>
      </c>
      <c r="I2" s="14"/>
      <c r="J2" s="32">
        <v>316404</v>
      </c>
      <c r="K2" s="14"/>
      <c r="L2" s="32">
        <v>26171</v>
      </c>
      <c r="M2" s="14"/>
      <c r="N2" s="32">
        <v>226036</v>
      </c>
      <c r="O2" s="14"/>
      <c r="P2" s="32">
        <v>154366</v>
      </c>
      <c r="Q2" s="14"/>
      <c r="R2" s="32">
        <v>55047</v>
      </c>
      <c r="S2" s="14"/>
      <c r="T2" s="32">
        <v>3997</v>
      </c>
      <c r="U2" s="14"/>
    </row>
    <row r="3" spans="1:24" ht="13.5" thickBot="1" x14ac:dyDescent="0.25">
      <c r="A3" s="9">
        <v>44713</v>
      </c>
      <c r="B3" s="32">
        <v>47092</v>
      </c>
      <c r="C3" s="14">
        <f>(B3-B2)*800/5</f>
        <v>800</v>
      </c>
      <c r="D3" s="32">
        <v>40641</v>
      </c>
      <c r="E3" s="14">
        <f>(D3-D2)*800/5</f>
        <v>480</v>
      </c>
      <c r="F3" s="32">
        <v>21692</v>
      </c>
      <c r="G3" s="14">
        <f>(F3-F2)*100/5</f>
        <v>100</v>
      </c>
      <c r="H3" s="32">
        <v>255322</v>
      </c>
      <c r="I3" s="14">
        <f>(H3-H2)</f>
        <v>23</v>
      </c>
      <c r="J3" s="32">
        <v>316586</v>
      </c>
      <c r="K3" s="14">
        <f>(J3-J2)</f>
        <v>182</v>
      </c>
      <c r="L3" s="32">
        <v>26174</v>
      </c>
      <c r="M3" s="14">
        <f>(L3-L2)*300/5</f>
        <v>180</v>
      </c>
      <c r="N3" s="32">
        <v>226039</v>
      </c>
      <c r="O3" s="14">
        <f>N3-N2</f>
        <v>3</v>
      </c>
      <c r="P3" s="32">
        <v>154622</v>
      </c>
      <c r="Q3" s="14">
        <f t="shared" ref="Q3:Q32" si="0">P3-P2</f>
        <v>256</v>
      </c>
      <c r="R3" s="32">
        <v>55047</v>
      </c>
      <c r="S3" s="14">
        <v>0</v>
      </c>
      <c r="T3" s="32">
        <v>3998</v>
      </c>
      <c r="U3" s="14">
        <f>(T3-T2)*800/5</f>
        <v>160</v>
      </c>
    </row>
    <row r="4" spans="1:24" ht="13.5" thickBot="1" x14ac:dyDescent="0.25">
      <c r="A4" s="9">
        <v>44714</v>
      </c>
      <c r="B4" s="32">
        <v>47097</v>
      </c>
      <c r="C4" s="14">
        <f>(B4-B3)*800/5</f>
        <v>800</v>
      </c>
      <c r="D4" s="32">
        <v>40645</v>
      </c>
      <c r="E4" s="14">
        <f t="shared" ref="E4:E32" si="1">(D4-D3)*800/5</f>
        <v>640</v>
      </c>
      <c r="F4" s="32">
        <v>21695</v>
      </c>
      <c r="G4" s="14">
        <f t="shared" ref="G4:G32" si="2">(F4-F3)*100/5</f>
        <v>60</v>
      </c>
      <c r="H4" s="32">
        <v>255354</v>
      </c>
      <c r="I4" s="14">
        <f t="shared" ref="I4:I32" si="3">(H4-H3)</f>
        <v>32</v>
      </c>
      <c r="J4" s="32">
        <v>316773</v>
      </c>
      <c r="K4" s="14">
        <f t="shared" ref="K4:K32" si="4">(J4-J3)</f>
        <v>187</v>
      </c>
      <c r="L4" s="32">
        <v>26178</v>
      </c>
      <c r="M4" s="14">
        <f t="shared" ref="M4:M32" si="5">(L4-L3)*300/5</f>
        <v>240</v>
      </c>
      <c r="N4" s="32">
        <v>226043</v>
      </c>
      <c r="O4" s="14">
        <f t="shared" ref="O4:O32" si="6">N4-N3</f>
        <v>4</v>
      </c>
      <c r="P4" s="32">
        <v>154886</v>
      </c>
      <c r="Q4" s="14">
        <f t="shared" si="0"/>
        <v>264</v>
      </c>
      <c r="R4" s="1">
        <f>R3</f>
        <v>55047</v>
      </c>
      <c r="S4" s="14">
        <f t="shared" ref="S4:S32" si="7">R4-R3</f>
        <v>0</v>
      </c>
      <c r="T4" s="32">
        <v>3999</v>
      </c>
      <c r="U4" s="14">
        <f t="shared" ref="U4:U32" si="8">(T4-T3)*800/5</f>
        <v>160</v>
      </c>
    </row>
    <row r="5" spans="1:24" ht="13.5" thickBot="1" x14ac:dyDescent="0.25">
      <c r="A5" s="9">
        <v>44715</v>
      </c>
      <c r="B5" s="32">
        <v>47101</v>
      </c>
      <c r="C5" s="14">
        <f t="shared" ref="C5:C32" si="9">(B5-B4)*800/5</f>
        <v>640</v>
      </c>
      <c r="D5" s="32">
        <v>40648</v>
      </c>
      <c r="E5" s="14">
        <f t="shared" si="1"/>
        <v>480</v>
      </c>
      <c r="F5" s="32">
        <v>21699</v>
      </c>
      <c r="G5" s="14">
        <f t="shared" si="2"/>
        <v>80</v>
      </c>
      <c r="H5" s="32">
        <v>255380</v>
      </c>
      <c r="I5" s="14">
        <f t="shared" si="3"/>
        <v>26</v>
      </c>
      <c r="J5" s="32">
        <v>316881</v>
      </c>
      <c r="K5" s="14">
        <f t="shared" si="4"/>
        <v>108</v>
      </c>
      <c r="L5" s="32">
        <v>26180</v>
      </c>
      <c r="M5" s="14">
        <f t="shared" si="5"/>
        <v>120</v>
      </c>
      <c r="N5" s="32">
        <v>226046</v>
      </c>
      <c r="O5" s="14">
        <f t="shared" si="6"/>
        <v>3</v>
      </c>
      <c r="P5" s="32">
        <v>154995</v>
      </c>
      <c r="Q5" s="14">
        <f t="shared" si="0"/>
        <v>109</v>
      </c>
      <c r="R5" s="1">
        <v>55047</v>
      </c>
      <c r="S5" s="14">
        <f t="shared" si="7"/>
        <v>0</v>
      </c>
      <c r="T5" s="32">
        <v>3999</v>
      </c>
      <c r="U5" s="14">
        <f t="shared" si="8"/>
        <v>0</v>
      </c>
    </row>
    <row r="6" spans="1:24" ht="13.5" thickBot="1" x14ac:dyDescent="0.25">
      <c r="A6" s="9">
        <v>44716</v>
      </c>
      <c r="B6" s="32">
        <v>47106</v>
      </c>
      <c r="C6" s="14">
        <f t="shared" si="9"/>
        <v>800</v>
      </c>
      <c r="D6" s="32">
        <v>40651</v>
      </c>
      <c r="E6" s="14">
        <f t="shared" si="1"/>
        <v>480</v>
      </c>
      <c r="F6" s="32">
        <v>21702</v>
      </c>
      <c r="G6" s="14">
        <f t="shared" si="2"/>
        <v>60</v>
      </c>
      <c r="H6" s="32">
        <v>255402</v>
      </c>
      <c r="I6" s="14">
        <f t="shared" si="3"/>
        <v>22</v>
      </c>
      <c r="J6" s="32">
        <v>317013</v>
      </c>
      <c r="K6" s="14">
        <f t="shared" si="4"/>
        <v>132</v>
      </c>
      <c r="L6" s="32">
        <v>26182</v>
      </c>
      <c r="M6" s="14">
        <f t="shared" si="5"/>
        <v>120</v>
      </c>
      <c r="N6" s="32">
        <v>226049</v>
      </c>
      <c r="O6" s="14">
        <f t="shared" si="6"/>
        <v>3</v>
      </c>
      <c r="P6" s="32">
        <v>155110</v>
      </c>
      <c r="Q6" s="14">
        <f t="shared" si="0"/>
        <v>115</v>
      </c>
      <c r="R6" s="1">
        <f t="shared" ref="R6:R32" si="10">R5</f>
        <v>55047</v>
      </c>
      <c r="S6" s="14">
        <v>0</v>
      </c>
      <c r="T6" s="32">
        <v>4000</v>
      </c>
      <c r="U6" s="14">
        <f t="shared" si="8"/>
        <v>160</v>
      </c>
    </row>
    <row r="7" spans="1:24" ht="13.5" thickBot="1" x14ac:dyDescent="0.25">
      <c r="A7" s="9">
        <v>44717</v>
      </c>
      <c r="B7" s="32">
        <v>47111</v>
      </c>
      <c r="C7" s="14">
        <f t="shared" si="9"/>
        <v>800</v>
      </c>
      <c r="D7" s="32">
        <v>40654</v>
      </c>
      <c r="E7" s="14">
        <f t="shared" si="1"/>
        <v>480</v>
      </c>
      <c r="F7" s="32">
        <v>21704</v>
      </c>
      <c r="G7" s="14">
        <f t="shared" si="2"/>
        <v>40</v>
      </c>
      <c r="H7" s="32">
        <v>255424</v>
      </c>
      <c r="I7" s="14">
        <f t="shared" si="3"/>
        <v>22</v>
      </c>
      <c r="J7" s="32">
        <v>317179</v>
      </c>
      <c r="K7" s="14">
        <f t="shared" si="4"/>
        <v>166</v>
      </c>
      <c r="L7" s="32">
        <v>26186</v>
      </c>
      <c r="M7" s="14">
        <f t="shared" si="5"/>
        <v>240</v>
      </c>
      <c r="N7" s="32">
        <v>226052</v>
      </c>
      <c r="O7" s="14">
        <f t="shared" si="6"/>
        <v>3</v>
      </c>
      <c r="P7" s="32">
        <v>155229</v>
      </c>
      <c r="Q7" s="14">
        <f t="shared" si="0"/>
        <v>119</v>
      </c>
      <c r="R7" s="1">
        <f t="shared" si="10"/>
        <v>55047</v>
      </c>
      <c r="S7" s="14">
        <v>0</v>
      </c>
      <c r="T7" s="32">
        <f t="shared" ref="T7:T32" si="11">T6</f>
        <v>4000</v>
      </c>
      <c r="U7" s="14">
        <f t="shared" si="8"/>
        <v>0</v>
      </c>
    </row>
    <row r="8" spans="1:24" ht="13.5" thickBot="1" x14ac:dyDescent="0.25">
      <c r="A8" s="9">
        <v>44718</v>
      </c>
      <c r="B8" s="32">
        <v>47115</v>
      </c>
      <c r="C8" s="14">
        <f t="shared" si="9"/>
        <v>640</v>
      </c>
      <c r="D8" s="32">
        <v>40657</v>
      </c>
      <c r="E8" s="14">
        <f t="shared" si="1"/>
        <v>480</v>
      </c>
      <c r="F8" s="32">
        <v>21709</v>
      </c>
      <c r="G8" s="14">
        <f t="shared" si="2"/>
        <v>100</v>
      </c>
      <c r="H8" s="32">
        <v>255454</v>
      </c>
      <c r="I8" s="14">
        <f t="shared" si="3"/>
        <v>30</v>
      </c>
      <c r="J8" s="32">
        <v>317346</v>
      </c>
      <c r="K8" s="14">
        <f t="shared" si="4"/>
        <v>167</v>
      </c>
      <c r="L8" s="32">
        <v>26189</v>
      </c>
      <c r="M8" s="14">
        <f t="shared" si="5"/>
        <v>180</v>
      </c>
      <c r="N8" s="32">
        <v>226055</v>
      </c>
      <c r="O8" s="14">
        <f t="shared" si="6"/>
        <v>3</v>
      </c>
      <c r="P8" s="32">
        <f t="shared" ref="P8:P32" si="12">P7</f>
        <v>155229</v>
      </c>
      <c r="Q8" s="14">
        <f t="shared" si="0"/>
        <v>0</v>
      </c>
      <c r="R8" s="1">
        <f t="shared" si="10"/>
        <v>55047</v>
      </c>
      <c r="S8" s="14">
        <f>R8-R7</f>
        <v>0</v>
      </c>
      <c r="T8" s="32">
        <v>4001</v>
      </c>
      <c r="U8" s="14">
        <f t="shared" si="8"/>
        <v>160</v>
      </c>
    </row>
    <row r="9" spans="1:24" ht="13.5" thickBot="1" x14ac:dyDescent="0.25">
      <c r="A9" s="9">
        <v>44719</v>
      </c>
      <c r="B9" s="32">
        <v>47120</v>
      </c>
      <c r="C9" s="14">
        <f t="shared" si="9"/>
        <v>800</v>
      </c>
      <c r="D9" s="32">
        <v>40661</v>
      </c>
      <c r="E9" s="14">
        <f t="shared" si="1"/>
        <v>640</v>
      </c>
      <c r="F9" s="32">
        <v>21712</v>
      </c>
      <c r="G9" s="14">
        <f t="shared" si="2"/>
        <v>60</v>
      </c>
      <c r="H9" s="32">
        <v>255490</v>
      </c>
      <c r="I9" s="14">
        <f t="shared" si="3"/>
        <v>36</v>
      </c>
      <c r="J9" s="32">
        <v>317510</v>
      </c>
      <c r="K9" s="14">
        <f t="shared" si="4"/>
        <v>164</v>
      </c>
      <c r="L9" s="32">
        <v>26192</v>
      </c>
      <c r="M9" s="14">
        <f t="shared" si="5"/>
        <v>180</v>
      </c>
      <c r="N9" s="32">
        <v>226059</v>
      </c>
      <c r="O9" s="14">
        <f t="shared" si="6"/>
        <v>4</v>
      </c>
      <c r="P9" s="32">
        <v>155114</v>
      </c>
      <c r="Q9" s="14">
        <f t="shared" si="0"/>
        <v>-115</v>
      </c>
      <c r="R9" s="1">
        <f t="shared" si="10"/>
        <v>55047</v>
      </c>
      <c r="S9" s="14">
        <f>R9-R8</f>
        <v>0</v>
      </c>
      <c r="T9" s="32">
        <v>4002</v>
      </c>
      <c r="U9" s="14">
        <f t="shared" si="8"/>
        <v>160</v>
      </c>
    </row>
    <row r="10" spans="1:24" ht="13.5" thickBot="1" x14ac:dyDescent="0.25">
      <c r="A10" s="9">
        <v>44720</v>
      </c>
      <c r="B10" s="32">
        <v>47125</v>
      </c>
      <c r="C10" s="14">
        <f t="shared" si="9"/>
        <v>800</v>
      </c>
      <c r="D10" s="32">
        <v>40664</v>
      </c>
      <c r="E10" s="14">
        <f t="shared" si="1"/>
        <v>480</v>
      </c>
      <c r="F10" s="32">
        <v>21716</v>
      </c>
      <c r="G10" s="14">
        <f t="shared" si="2"/>
        <v>80</v>
      </c>
      <c r="H10" s="32">
        <v>255514</v>
      </c>
      <c r="I10" s="14">
        <f t="shared" si="3"/>
        <v>24</v>
      </c>
      <c r="J10" s="32">
        <v>317680</v>
      </c>
      <c r="K10" s="14">
        <f t="shared" si="4"/>
        <v>170</v>
      </c>
      <c r="L10" s="32">
        <v>26197</v>
      </c>
      <c r="M10" s="14">
        <f t="shared" si="5"/>
        <v>300</v>
      </c>
      <c r="N10" s="32">
        <v>226062</v>
      </c>
      <c r="O10" s="14">
        <f t="shared" si="6"/>
        <v>3</v>
      </c>
      <c r="P10" s="32">
        <v>155219</v>
      </c>
      <c r="Q10" s="14">
        <f t="shared" si="0"/>
        <v>105</v>
      </c>
      <c r="R10" s="1">
        <v>55047</v>
      </c>
      <c r="S10" s="14">
        <f>R10-R9</f>
        <v>0</v>
      </c>
      <c r="T10" s="32">
        <f t="shared" si="11"/>
        <v>4002</v>
      </c>
      <c r="U10" s="14">
        <f t="shared" si="8"/>
        <v>0</v>
      </c>
    </row>
    <row r="11" spans="1:24" ht="13.5" thickBot="1" x14ac:dyDescent="0.25">
      <c r="A11" s="9">
        <v>44721</v>
      </c>
      <c r="B11" s="32">
        <v>47129</v>
      </c>
      <c r="C11" s="14">
        <f t="shared" si="9"/>
        <v>640</v>
      </c>
      <c r="D11" s="32">
        <v>40667</v>
      </c>
      <c r="E11" s="14">
        <f t="shared" si="1"/>
        <v>480</v>
      </c>
      <c r="F11" s="32">
        <v>21723</v>
      </c>
      <c r="G11" s="14">
        <f t="shared" si="2"/>
        <v>140</v>
      </c>
      <c r="H11" s="32">
        <v>255516</v>
      </c>
      <c r="I11" s="14">
        <f t="shared" si="3"/>
        <v>2</v>
      </c>
      <c r="J11" s="32">
        <v>317844</v>
      </c>
      <c r="K11" s="14">
        <f t="shared" si="4"/>
        <v>164</v>
      </c>
      <c r="L11" s="32">
        <v>26202</v>
      </c>
      <c r="M11" s="14">
        <f t="shared" si="5"/>
        <v>300</v>
      </c>
      <c r="N11" s="32">
        <v>226065</v>
      </c>
      <c r="O11" s="14">
        <f t="shared" si="6"/>
        <v>3</v>
      </c>
      <c r="P11" s="32">
        <v>155339</v>
      </c>
      <c r="Q11" s="14">
        <f t="shared" si="0"/>
        <v>120</v>
      </c>
      <c r="R11" s="1">
        <f t="shared" si="10"/>
        <v>55047</v>
      </c>
      <c r="S11" s="14">
        <f t="shared" si="7"/>
        <v>0</v>
      </c>
      <c r="T11" s="32">
        <v>4003</v>
      </c>
      <c r="U11" s="14">
        <f t="shared" si="8"/>
        <v>160</v>
      </c>
    </row>
    <row r="12" spans="1:24" ht="13.5" thickBot="1" x14ac:dyDescent="0.25">
      <c r="A12" s="9">
        <v>44722</v>
      </c>
      <c r="B12" s="32">
        <v>47134</v>
      </c>
      <c r="C12" s="14">
        <f t="shared" si="9"/>
        <v>800</v>
      </c>
      <c r="D12" s="32">
        <v>40670</v>
      </c>
      <c r="E12" s="14">
        <f t="shared" si="1"/>
        <v>480</v>
      </c>
      <c r="F12" s="32">
        <v>21724</v>
      </c>
      <c r="G12" s="14">
        <f t="shared" si="2"/>
        <v>20</v>
      </c>
      <c r="H12" s="32">
        <v>255571</v>
      </c>
      <c r="I12" s="14">
        <f t="shared" si="3"/>
        <v>55</v>
      </c>
      <c r="J12" s="32">
        <v>317979</v>
      </c>
      <c r="K12" s="14">
        <f t="shared" si="4"/>
        <v>135</v>
      </c>
      <c r="L12" s="32">
        <v>26203</v>
      </c>
      <c r="M12" s="14">
        <f t="shared" si="5"/>
        <v>60</v>
      </c>
      <c r="N12" s="32">
        <v>226068</v>
      </c>
      <c r="O12" s="14">
        <f t="shared" si="6"/>
        <v>3</v>
      </c>
      <c r="P12" s="32">
        <v>155460</v>
      </c>
      <c r="Q12" s="14">
        <f t="shared" si="0"/>
        <v>121</v>
      </c>
      <c r="R12" s="1">
        <f t="shared" si="10"/>
        <v>55047</v>
      </c>
      <c r="S12" s="14">
        <f t="shared" si="7"/>
        <v>0</v>
      </c>
      <c r="T12" s="32">
        <v>4004</v>
      </c>
      <c r="U12" s="14">
        <f t="shared" si="8"/>
        <v>160</v>
      </c>
    </row>
    <row r="13" spans="1:24" ht="13.5" thickBot="1" x14ac:dyDescent="0.25">
      <c r="A13" s="9">
        <v>44723</v>
      </c>
      <c r="B13" s="32">
        <v>47138</v>
      </c>
      <c r="C13" s="14">
        <f t="shared" si="9"/>
        <v>640</v>
      </c>
      <c r="D13" s="32">
        <v>40673</v>
      </c>
      <c r="E13" s="14">
        <f t="shared" si="1"/>
        <v>480</v>
      </c>
      <c r="F13" s="32">
        <v>21727</v>
      </c>
      <c r="G13" s="14">
        <f t="shared" si="2"/>
        <v>60</v>
      </c>
      <c r="H13" s="32">
        <v>255614</v>
      </c>
      <c r="I13" s="14">
        <f t="shared" si="3"/>
        <v>43</v>
      </c>
      <c r="J13" s="32">
        <v>318121</v>
      </c>
      <c r="K13" s="14">
        <f t="shared" si="4"/>
        <v>142</v>
      </c>
      <c r="L13" s="32">
        <v>26205</v>
      </c>
      <c r="M13" s="14">
        <f t="shared" si="5"/>
        <v>120</v>
      </c>
      <c r="N13" s="32">
        <v>226071</v>
      </c>
      <c r="O13" s="14">
        <f t="shared" si="6"/>
        <v>3</v>
      </c>
      <c r="P13" s="32">
        <v>155578</v>
      </c>
      <c r="Q13" s="14">
        <f t="shared" si="0"/>
        <v>118</v>
      </c>
      <c r="R13" s="1">
        <f t="shared" si="10"/>
        <v>55047</v>
      </c>
      <c r="S13" s="14">
        <f t="shared" si="7"/>
        <v>0</v>
      </c>
      <c r="T13" s="32">
        <v>4005</v>
      </c>
      <c r="U13" s="14">
        <f t="shared" si="8"/>
        <v>160</v>
      </c>
    </row>
    <row r="14" spans="1:24" ht="13.5" thickBot="1" x14ac:dyDescent="0.25">
      <c r="A14" s="9">
        <v>44724</v>
      </c>
      <c r="B14" s="32">
        <v>47143</v>
      </c>
      <c r="C14" s="14">
        <f t="shared" si="9"/>
        <v>800</v>
      </c>
      <c r="D14" s="32">
        <v>40677</v>
      </c>
      <c r="E14" s="14">
        <f t="shared" si="1"/>
        <v>640</v>
      </c>
      <c r="F14" s="32">
        <v>21730</v>
      </c>
      <c r="G14" s="14">
        <f t="shared" si="2"/>
        <v>60</v>
      </c>
      <c r="H14" s="32">
        <v>255622</v>
      </c>
      <c r="I14" s="14">
        <f t="shared" si="3"/>
        <v>8</v>
      </c>
      <c r="J14" s="32">
        <v>318202</v>
      </c>
      <c r="K14" s="14">
        <f t="shared" si="4"/>
        <v>81</v>
      </c>
      <c r="L14" s="32">
        <v>26209</v>
      </c>
      <c r="M14" s="14">
        <f t="shared" si="5"/>
        <v>240</v>
      </c>
      <c r="N14" s="32">
        <v>226075</v>
      </c>
      <c r="O14" s="14">
        <f t="shared" si="6"/>
        <v>4</v>
      </c>
      <c r="P14" s="32">
        <v>155690</v>
      </c>
      <c r="Q14" s="14">
        <f t="shared" si="0"/>
        <v>112</v>
      </c>
      <c r="R14" s="1">
        <f t="shared" si="10"/>
        <v>55047</v>
      </c>
      <c r="S14" s="14">
        <v>0</v>
      </c>
      <c r="T14" s="32">
        <v>4006</v>
      </c>
      <c r="U14" s="14">
        <f t="shared" si="8"/>
        <v>160</v>
      </c>
    </row>
    <row r="15" spans="1:24" ht="13.5" thickBot="1" x14ac:dyDescent="0.25">
      <c r="A15" s="9">
        <v>44725</v>
      </c>
      <c r="B15" s="32">
        <v>47148</v>
      </c>
      <c r="C15" s="14">
        <f t="shared" si="9"/>
        <v>800</v>
      </c>
      <c r="D15" s="32">
        <v>40680</v>
      </c>
      <c r="E15" s="14">
        <f t="shared" si="1"/>
        <v>480</v>
      </c>
      <c r="F15" s="32">
        <v>21733</v>
      </c>
      <c r="G15" s="14">
        <f t="shared" ref="G15" si="13">(F15-F14)*100/5</f>
        <v>60</v>
      </c>
      <c r="H15" s="32">
        <v>255634</v>
      </c>
      <c r="I15" s="14">
        <f t="shared" ref="I15" si="14">(H15-H14)</f>
        <v>12</v>
      </c>
      <c r="J15" s="32">
        <v>318472</v>
      </c>
      <c r="K15" s="14">
        <f t="shared" si="4"/>
        <v>270</v>
      </c>
      <c r="L15" s="32">
        <v>26212</v>
      </c>
      <c r="M15" s="14">
        <f t="shared" si="5"/>
        <v>180</v>
      </c>
      <c r="N15" s="32">
        <v>226078</v>
      </c>
      <c r="O15" s="14">
        <f t="shared" ref="O15" si="15">N15-N14</f>
        <v>3</v>
      </c>
      <c r="P15" s="32">
        <v>155736</v>
      </c>
      <c r="Q15" s="14">
        <f t="shared" si="0"/>
        <v>46</v>
      </c>
      <c r="R15" s="1">
        <f t="shared" si="10"/>
        <v>55047</v>
      </c>
      <c r="S15" s="14">
        <v>0</v>
      </c>
      <c r="T15" s="32">
        <v>4006</v>
      </c>
      <c r="U15" s="14">
        <f t="shared" ref="U15" si="16">(T15-T14)*800/5</f>
        <v>0</v>
      </c>
      <c r="X15" t="s">
        <v>12</v>
      </c>
    </row>
    <row r="16" spans="1:24" ht="13.5" thickBot="1" x14ac:dyDescent="0.25">
      <c r="A16" s="9">
        <v>44726</v>
      </c>
      <c r="B16" s="32">
        <v>47153</v>
      </c>
      <c r="C16" s="14">
        <f t="shared" si="9"/>
        <v>800</v>
      </c>
      <c r="D16" s="32">
        <v>40683</v>
      </c>
      <c r="E16" s="14">
        <f t="shared" si="1"/>
        <v>480</v>
      </c>
      <c r="F16" s="32">
        <v>21736</v>
      </c>
      <c r="G16" s="14">
        <f t="shared" si="2"/>
        <v>60</v>
      </c>
      <c r="H16" s="32">
        <v>255653</v>
      </c>
      <c r="I16" s="14">
        <f t="shared" si="3"/>
        <v>19</v>
      </c>
      <c r="J16" s="32">
        <v>318649</v>
      </c>
      <c r="K16" s="14">
        <f t="shared" si="4"/>
        <v>177</v>
      </c>
      <c r="L16" s="32">
        <v>26216</v>
      </c>
      <c r="M16" s="14">
        <f t="shared" si="5"/>
        <v>240</v>
      </c>
      <c r="N16" s="32">
        <v>226081</v>
      </c>
      <c r="O16" s="14">
        <f t="shared" si="6"/>
        <v>3</v>
      </c>
      <c r="P16" s="32">
        <v>155890</v>
      </c>
      <c r="Q16" s="14">
        <f t="shared" si="0"/>
        <v>154</v>
      </c>
      <c r="R16" s="1">
        <f t="shared" si="10"/>
        <v>55047</v>
      </c>
      <c r="S16" s="14">
        <f t="shared" si="7"/>
        <v>0</v>
      </c>
      <c r="T16" s="32">
        <f t="shared" si="11"/>
        <v>4006</v>
      </c>
      <c r="U16" s="14">
        <f t="shared" si="8"/>
        <v>0</v>
      </c>
      <c r="W16" t="s">
        <v>12</v>
      </c>
    </row>
    <row r="17" spans="1:23" ht="13.5" thickBot="1" x14ac:dyDescent="0.25">
      <c r="A17" s="9">
        <v>44727</v>
      </c>
      <c r="B17" s="32">
        <v>47158</v>
      </c>
      <c r="C17" s="14">
        <f t="shared" si="9"/>
        <v>800</v>
      </c>
      <c r="D17" s="32">
        <v>40686</v>
      </c>
      <c r="E17" s="14">
        <f t="shared" si="1"/>
        <v>480</v>
      </c>
      <c r="F17" s="32">
        <v>21740</v>
      </c>
      <c r="G17" s="14">
        <f t="shared" si="2"/>
        <v>80</v>
      </c>
      <c r="H17" s="32">
        <v>255678</v>
      </c>
      <c r="I17" s="14">
        <f t="shared" si="3"/>
        <v>25</v>
      </c>
      <c r="J17" s="32">
        <v>318817</v>
      </c>
      <c r="K17" s="14">
        <f t="shared" si="4"/>
        <v>168</v>
      </c>
      <c r="L17" s="32">
        <v>26219</v>
      </c>
      <c r="M17" s="14">
        <f t="shared" si="5"/>
        <v>180</v>
      </c>
      <c r="N17" s="32">
        <v>226084</v>
      </c>
      <c r="O17" s="14">
        <f t="shared" si="6"/>
        <v>3</v>
      </c>
      <c r="P17" s="32">
        <f t="shared" si="12"/>
        <v>155890</v>
      </c>
      <c r="Q17" s="14">
        <f t="shared" si="0"/>
        <v>0</v>
      </c>
      <c r="R17" s="1">
        <f t="shared" si="10"/>
        <v>55047</v>
      </c>
      <c r="S17" s="14">
        <f>S16</f>
        <v>0</v>
      </c>
      <c r="T17" s="32">
        <v>4007</v>
      </c>
      <c r="U17" s="14">
        <f t="shared" si="8"/>
        <v>160</v>
      </c>
    </row>
    <row r="18" spans="1:23" ht="13.5" thickBot="1" x14ac:dyDescent="0.25">
      <c r="A18" s="9">
        <v>44728</v>
      </c>
      <c r="B18" s="32">
        <v>47163</v>
      </c>
      <c r="C18" s="14">
        <f t="shared" si="9"/>
        <v>800</v>
      </c>
      <c r="D18" s="32">
        <v>40690</v>
      </c>
      <c r="E18" s="14">
        <f t="shared" si="1"/>
        <v>640</v>
      </c>
      <c r="F18" s="32">
        <v>21743</v>
      </c>
      <c r="G18" s="14">
        <f t="shared" si="2"/>
        <v>60</v>
      </c>
      <c r="H18" s="32">
        <v>255707</v>
      </c>
      <c r="I18" s="14">
        <f t="shared" si="3"/>
        <v>29</v>
      </c>
      <c r="J18" s="32">
        <v>319010</v>
      </c>
      <c r="K18" s="14">
        <f t="shared" si="4"/>
        <v>193</v>
      </c>
      <c r="L18" s="32">
        <v>26223</v>
      </c>
      <c r="M18" s="14">
        <f t="shared" si="5"/>
        <v>240</v>
      </c>
      <c r="N18" s="32">
        <v>226087</v>
      </c>
      <c r="O18" s="14">
        <f t="shared" si="6"/>
        <v>3</v>
      </c>
      <c r="P18" s="32">
        <f t="shared" si="12"/>
        <v>155890</v>
      </c>
      <c r="Q18" s="14">
        <f t="shared" si="0"/>
        <v>0</v>
      </c>
      <c r="R18" s="1">
        <f t="shared" si="10"/>
        <v>55047</v>
      </c>
      <c r="S18" s="14">
        <f t="shared" si="7"/>
        <v>0</v>
      </c>
      <c r="T18" s="32">
        <f t="shared" si="11"/>
        <v>4007</v>
      </c>
      <c r="U18" s="14">
        <f t="shared" si="8"/>
        <v>0</v>
      </c>
    </row>
    <row r="19" spans="1:23" ht="13.5" thickBot="1" x14ac:dyDescent="0.25">
      <c r="A19" s="9">
        <v>44729</v>
      </c>
      <c r="B19" s="32">
        <v>47167</v>
      </c>
      <c r="C19" s="14">
        <f t="shared" si="9"/>
        <v>640</v>
      </c>
      <c r="D19" s="32">
        <v>40693</v>
      </c>
      <c r="E19" s="14">
        <f t="shared" si="1"/>
        <v>480</v>
      </c>
      <c r="F19" s="32">
        <v>21747</v>
      </c>
      <c r="G19" s="14">
        <f t="shared" si="2"/>
        <v>80</v>
      </c>
      <c r="H19" s="32">
        <v>255736</v>
      </c>
      <c r="I19" s="14">
        <f t="shared" si="3"/>
        <v>29</v>
      </c>
      <c r="J19" s="32">
        <v>319124</v>
      </c>
      <c r="K19" s="14">
        <f t="shared" si="4"/>
        <v>114</v>
      </c>
      <c r="L19" s="32">
        <v>26225</v>
      </c>
      <c r="M19" s="14">
        <f t="shared" si="5"/>
        <v>120</v>
      </c>
      <c r="N19" s="32">
        <v>226090</v>
      </c>
      <c r="O19" s="14">
        <f t="shared" si="6"/>
        <v>3</v>
      </c>
      <c r="P19" s="32">
        <f t="shared" si="12"/>
        <v>155890</v>
      </c>
      <c r="Q19" s="14">
        <f t="shared" si="0"/>
        <v>0</v>
      </c>
      <c r="R19" s="1">
        <f t="shared" si="10"/>
        <v>55047</v>
      </c>
      <c r="S19" s="14">
        <f t="shared" si="7"/>
        <v>0</v>
      </c>
      <c r="T19" s="32">
        <v>4008</v>
      </c>
      <c r="U19" s="14">
        <f t="shared" si="8"/>
        <v>160</v>
      </c>
      <c r="W19" t="s">
        <v>12</v>
      </c>
    </row>
    <row r="20" spans="1:23" ht="13.5" thickBot="1" x14ac:dyDescent="0.25">
      <c r="A20" s="9">
        <v>44730</v>
      </c>
      <c r="B20" s="32">
        <v>47172</v>
      </c>
      <c r="C20" s="14">
        <f t="shared" si="9"/>
        <v>800</v>
      </c>
      <c r="D20" s="32">
        <v>40696</v>
      </c>
      <c r="E20" s="14">
        <f t="shared" si="1"/>
        <v>480</v>
      </c>
      <c r="F20" s="32">
        <v>21752</v>
      </c>
      <c r="G20" s="14">
        <f t="shared" si="2"/>
        <v>100</v>
      </c>
      <c r="H20" s="32">
        <v>255754</v>
      </c>
      <c r="I20" s="14">
        <f t="shared" si="3"/>
        <v>18</v>
      </c>
      <c r="J20" s="32">
        <v>319276</v>
      </c>
      <c r="K20" s="14">
        <f t="shared" si="4"/>
        <v>152</v>
      </c>
      <c r="L20" s="32">
        <v>26227</v>
      </c>
      <c r="M20" s="14">
        <f t="shared" si="5"/>
        <v>120</v>
      </c>
      <c r="N20" s="32">
        <v>226094</v>
      </c>
      <c r="O20" s="14">
        <f t="shared" si="6"/>
        <v>4</v>
      </c>
      <c r="P20" s="32">
        <f t="shared" si="12"/>
        <v>155890</v>
      </c>
      <c r="Q20" s="14">
        <f t="shared" si="0"/>
        <v>0</v>
      </c>
      <c r="R20" s="1">
        <f t="shared" si="10"/>
        <v>55047</v>
      </c>
      <c r="S20" s="14">
        <f t="shared" si="7"/>
        <v>0</v>
      </c>
      <c r="T20" s="32">
        <f t="shared" si="11"/>
        <v>4008</v>
      </c>
      <c r="U20" s="14">
        <f t="shared" si="8"/>
        <v>0</v>
      </c>
    </row>
    <row r="21" spans="1:23" ht="13.5" thickBot="1" x14ac:dyDescent="0.25">
      <c r="A21" s="9">
        <v>44731</v>
      </c>
      <c r="B21" s="32">
        <v>47177</v>
      </c>
      <c r="C21" s="14">
        <f t="shared" si="9"/>
        <v>800</v>
      </c>
      <c r="D21" s="32">
        <v>40699</v>
      </c>
      <c r="E21" s="14">
        <f t="shared" si="1"/>
        <v>480</v>
      </c>
      <c r="F21" s="32">
        <v>21755</v>
      </c>
      <c r="G21" s="14">
        <f t="shared" si="2"/>
        <v>60</v>
      </c>
      <c r="H21" s="32">
        <v>255774</v>
      </c>
      <c r="I21" s="14">
        <f t="shared" si="3"/>
        <v>20</v>
      </c>
      <c r="J21" s="32">
        <v>319434</v>
      </c>
      <c r="K21" s="14">
        <f t="shared" si="4"/>
        <v>158</v>
      </c>
      <c r="L21" s="32">
        <v>26231</v>
      </c>
      <c r="M21" s="14">
        <f t="shared" si="5"/>
        <v>240</v>
      </c>
      <c r="N21" s="32">
        <v>226097</v>
      </c>
      <c r="O21" s="14">
        <f t="shared" si="6"/>
        <v>3</v>
      </c>
      <c r="P21" s="32">
        <v>156904</v>
      </c>
      <c r="Q21" s="14">
        <f t="shared" si="0"/>
        <v>1014</v>
      </c>
      <c r="R21" s="1">
        <f t="shared" si="10"/>
        <v>55047</v>
      </c>
      <c r="S21" s="14">
        <f t="shared" si="7"/>
        <v>0</v>
      </c>
      <c r="T21" s="32">
        <v>4009</v>
      </c>
      <c r="U21" s="14">
        <f t="shared" si="8"/>
        <v>160</v>
      </c>
    </row>
    <row r="22" spans="1:23" ht="13.5" thickBot="1" x14ac:dyDescent="0.25">
      <c r="A22" s="9">
        <v>44732</v>
      </c>
      <c r="B22" s="32">
        <v>47182</v>
      </c>
      <c r="C22" s="14">
        <f t="shared" si="9"/>
        <v>800</v>
      </c>
      <c r="D22" s="32">
        <v>40702</v>
      </c>
      <c r="E22" s="14">
        <f t="shared" si="1"/>
        <v>480</v>
      </c>
      <c r="F22" s="32">
        <v>21758</v>
      </c>
      <c r="G22" s="14">
        <f t="shared" si="2"/>
        <v>60</v>
      </c>
      <c r="H22" s="32">
        <v>255795</v>
      </c>
      <c r="I22" s="14">
        <f t="shared" si="3"/>
        <v>21</v>
      </c>
      <c r="J22" s="32">
        <v>319601</v>
      </c>
      <c r="K22" s="14">
        <f t="shared" si="4"/>
        <v>167</v>
      </c>
      <c r="L22" s="32">
        <v>26234</v>
      </c>
      <c r="M22" s="14">
        <f t="shared" si="5"/>
        <v>180</v>
      </c>
      <c r="N22" s="32">
        <v>226100</v>
      </c>
      <c r="O22" s="14">
        <f t="shared" si="6"/>
        <v>3</v>
      </c>
      <c r="P22" s="32">
        <v>157148</v>
      </c>
      <c r="Q22" s="14">
        <f t="shared" si="0"/>
        <v>244</v>
      </c>
      <c r="R22" s="1">
        <f t="shared" si="10"/>
        <v>55047</v>
      </c>
      <c r="S22" s="14">
        <f t="shared" si="7"/>
        <v>0</v>
      </c>
      <c r="T22" s="32">
        <v>4009</v>
      </c>
      <c r="U22" s="14">
        <f t="shared" si="8"/>
        <v>0</v>
      </c>
    </row>
    <row r="23" spans="1:23" ht="13.5" thickBot="1" x14ac:dyDescent="0.25">
      <c r="A23" s="9">
        <v>44733</v>
      </c>
      <c r="B23" s="32">
        <v>47186</v>
      </c>
      <c r="C23" s="14">
        <f t="shared" si="9"/>
        <v>640</v>
      </c>
      <c r="D23" s="32">
        <v>40705</v>
      </c>
      <c r="E23" s="14">
        <f t="shared" si="1"/>
        <v>480</v>
      </c>
      <c r="F23" s="32">
        <v>21761</v>
      </c>
      <c r="G23" s="14">
        <f t="shared" si="2"/>
        <v>60</v>
      </c>
      <c r="H23" s="32">
        <v>255819</v>
      </c>
      <c r="I23" s="14">
        <f t="shared" si="3"/>
        <v>24</v>
      </c>
      <c r="J23" s="32">
        <v>319767</v>
      </c>
      <c r="K23" s="14">
        <f t="shared" si="4"/>
        <v>166</v>
      </c>
      <c r="L23" s="32">
        <v>26237</v>
      </c>
      <c r="M23" s="14">
        <f t="shared" si="5"/>
        <v>180</v>
      </c>
      <c r="N23" s="32">
        <v>226103</v>
      </c>
      <c r="O23" s="14">
        <f t="shared" si="6"/>
        <v>3</v>
      </c>
      <c r="P23" s="32">
        <v>157404</v>
      </c>
      <c r="Q23" s="14">
        <f t="shared" si="0"/>
        <v>256</v>
      </c>
      <c r="R23" s="1">
        <f t="shared" si="10"/>
        <v>55047</v>
      </c>
      <c r="S23" s="14">
        <f t="shared" si="7"/>
        <v>0</v>
      </c>
      <c r="T23" s="32">
        <v>4010</v>
      </c>
      <c r="U23" s="14">
        <f t="shared" si="8"/>
        <v>160</v>
      </c>
    </row>
    <row r="24" spans="1:23" s="132" customFormat="1" ht="13.5" thickBot="1" x14ac:dyDescent="0.25">
      <c r="A24" s="9">
        <v>44734</v>
      </c>
      <c r="B24" s="32">
        <v>47191</v>
      </c>
      <c r="C24" s="14">
        <f t="shared" si="9"/>
        <v>800</v>
      </c>
      <c r="D24" s="32">
        <v>40709</v>
      </c>
      <c r="E24" s="14">
        <f t="shared" si="1"/>
        <v>640</v>
      </c>
      <c r="F24" s="32">
        <v>21764</v>
      </c>
      <c r="G24" s="14">
        <f t="shared" si="2"/>
        <v>60</v>
      </c>
      <c r="H24" s="32">
        <v>255868</v>
      </c>
      <c r="I24" s="14">
        <f t="shared" si="3"/>
        <v>49</v>
      </c>
      <c r="J24" s="32">
        <v>319936</v>
      </c>
      <c r="K24" s="14">
        <f t="shared" si="4"/>
        <v>169</v>
      </c>
      <c r="L24" s="32">
        <v>26241</v>
      </c>
      <c r="M24" s="14">
        <f t="shared" si="5"/>
        <v>240</v>
      </c>
      <c r="N24" s="32">
        <v>226106</v>
      </c>
      <c r="O24" s="14">
        <f t="shared" si="6"/>
        <v>3</v>
      </c>
      <c r="P24" s="32">
        <v>157650</v>
      </c>
      <c r="Q24" s="14">
        <f t="shared" si="0"/>
        <v>246</v>
      </c>
      <c r="R24" s="1">
        <f t="shared" si="10"/>
        <v>55047</v>
      </c>
      <c r="S24" s="14">
        <f t="shared" si="7"/>
        <v>0</v>
      </c>
      <c r="T24" s="32">
        <v>4011</v>
      </c>
      <c r="U24" s="14">
        <f t="shared" si="8"/>
        <v>160</v>
      </c>
    </row>
    <row r="25" spans="1:23" ht="13.5" thickBot="1" x14ac:dyDescent="0.25">
      <c r="A25" s="9">
        <v>44735</v>
      </c>
      <c r="B25" s="32">
        <v>47196</v>
      </c>
      <c r="C25" s="14">
        <f t="shared" si="9"/>
        <v>800</v>
      </c>
      <c r="D25" s="32">
        <v>40712</v>
      </c>
      <c r="E25" s="14">
        <f t="shared" si="1"/>
        <v>480</v>
      </c>
      <c r="F25" s="32">
        <v>21768</v>
      </c>
      <c r="G25" s="14">
        <f t="shared" si="2"/>
        <v>80</v>
      </c>
      <c r="H25" s="32">
        <v>255889</v>
      </c>
      <c r="I25" s="14">
        <f t="shared" si="3"/>
        <v>21</v>
      </c>
      <c r="J25" s="32">
        <v>320103</v>
      </c>
      <c r="K25" s="14">
        <f t="shared" si="4"/>
        <v>167</v>
      </c>
      <c r="L25" s="32">
        <v>26244</v>
      </c>
      <c r="M25" s="14">
        <f t="shared" si="5"/>
        <v>180</v>
      </c>
      <c r="N25" s="32">
        <v>226110</v>
      </c>
      <c r="O25" s="14">
        <f t="shared" si="6"/>
        <v>4</v>
      </c>
      <c r="P25" s="32">
        <v>157901</v>
      </c>
      <c r="Q25" s="14">
        <f t="shared" si="0"/>
        <v>251</v>
      </c>
      <c r="R25" s="1">
        <f t="shared" si="10"/>
        <v>55047</v>
      </c>
      <c r="S25" s="14">
        <f t="shared" si="7"/>
        <v>0</v>
      </c>
      <c r="T25" s="32">
        <v>4011</v>
      </c>
      <c r="U25" s="14">
        <f t="shared" si="8"/>
        <v>0</v>
      </c>
      <c r="V25" t="s">
        <v>12</v>
      </c>
    </row>
    <row r="26" spans="1:23" ht="12.75" customHeight="1" thickBot="1" x14ac:dyDescent="0.25">
      <c r="A26" s="9">
        <v>44736</v>
      </c>
      <c r="B26" s="32">
        <v>47201</v>
      </c>
      <c r="C26" s="14">
        <f t="shared" si="9"/>
        <v>800</v>
      </c>
      <c r="D26" s="32">
        <v>40715</v>
      </c>
      <c r="E26" s="14">
        <f t="shared" si="1"/>
        <v>480</v>
      </c>
      <c r="F26" s="32">
        <v>21772</v>
      </c>
      <c r="G26" s="14">
        <f t="shared" si="2"/>
        <v>80</v>
      </c>
      <c r="H26" s="32">
        <v>255917</v>
      </c>
      <c r="I26" s="14">
        <f t="shared" si="3"/>
        <v>28</v>
      </c>
      <c r="J26" s="32">
        <v>320205</v>
      </c>
      <c r="K26" s="14">
        <f t="shared" si="4"/>
        <v>102</v>
      </c>
      <c r="L26" s="32">
        <v>26246</v>
      </c>
      <c r="M26" s="14">
        <f t="shared" si="5"/>
        <v>120</v>
      </c>
      <c r="N26" s="32">
        <v>226113</v>
      </c>
      <c r="O26" s="14">
        <f t="shared" si="6"/>
        <v>3</v>
      </c>
      <c r="P26" s="32">
        <f t="shared" si="12"/>
        <v>157901</v>
      </c>
      <c r="Q26" s="14">
        <f t="shared" si="0"/>
        <v>0</v>
      </c>
      <c r="R26" s="1">
        <f t="shared" si="10"/>
        <v>55047</v>
      </c>
      <c r="S26" s="14">
        <f t="shared" si="7"/>
        <v>0</v>
      </c>
      <c r="T26" s="32">
        <v>4012</v>
      </c>
      <c r="U26" s="14">
        <f t="shared" si="8"/>
        <v>160</v>
      </c>
      <c r="W26" t="s">
        <v>12</v>
      </c>
    </row>
    <row r="27" spans="1:23" ht="13.5" thickBot="1" x14ac:dyDescent="0.25">
      <c r="A27" s="9">
        <v>44737</v>
      </c>
      <c r="B27" s="32">
        <v>47205</v>
      </c>
      <c r="C27" s="14">
        <f t="shared" si="9"/>
        <v>640</v>
      </c>
      <c r="D27" s="32">
        <v>40718</v>
      </c>
      <c r="E27" s="14">
        <f t="shared" si="1"/>
        <v>480</v>
      </c>
      <c r="F27" s="32">
        <v>21776</v>
      </c>
      <c r="G27" s="14">
        <f t="shared" si="2"/>
        <v>80</v>
      </c>
      <c r="H27" s="32">
        <v>255962</v>
      </c>
      <c r="I27" s="14">
        <f t="shared" si="3"/>
        <v>45</v>
      </c>
      <c r="J27" s="32">
        <v>320346</v>
      </c>
      <c r="K27" s="14">
        <f t="shared" si="4"/>
        <v>141</v>
      </c>
      <c r="L27" s="32">
        <v>26249</v>
      </c>
      <c r="M27" s="14">
        <f t="shared" si="5"/>
        <v>180</v>
      </c>
      <c r="N27" s="32">
        <v>226116</v>
      </c>
      <c r="O27" s="14">
        <f t="shared" si="6"/>
        <v>3</v>
      </c>
      <c r="P27" s="32">
        <v>157805</v>
      </c>
      <c r="Q27" s="14">
        <f t="shared" si="0"/>
        <v>-96</v>
      </c>
      <c r="R27" s="1">
        <f t="shared" si="10"/>
        <v>55047</v>
      </c>
      <c r="S27" s="14">
        <f t="shared" si="7"/>
        <v>0</v>
      </c>
      <c r="T27" s="32">
        <v>4012</v>
      </c>
      <c r="U27" s="14">
        <f>(T27-T26)*800/5</f>
        <v>0</v>
      </c>
    </row>
    <row r="28" spans="1:23" ht="13.5" thickBot="1" x14ac:dyDescent="0.25">
      <c r="A28" s="9">
        <v>44738</v>
      </c>
      <c r="B28" s="32">
        <v>47210</v>
      </c>
      <c r="C28" s="14">
        <f t="shared" si="9"/>
        <v>800</v>
      </c>
      <c r="D28" s="32">
        <v>40723</v>
      </c>
      <c r="E28" s="14">
        <f t="shared" si="1"/>
        <v>800</v>
      </c>
      <c r="F28" s="32">
        <v>21779</v>
      </c>
      <c r="G28" s="14">
        <f t="shared" si="2"/>
        <v>60</v>
      </c>
      <c r="H28" s="32">
        <v>255987</v>
      </c>
      <c r="I28" s="14">
        <f t="shared" si="3"/>
        <v>25</v>
      </c>
      <c r="J28" s="32">
        <v>320517</v>
      </c>
      <c r="K28" s="14">
        <f t="shared" si="4"/>
        <v>171</v>
      </c>
      <c r="L28" s="32">
        <v>26252</v>
      </c>
      <c r="M28" s="14">
        <f t="shared" si="5"/>
        <v>180</v>
      </c>
      <c r="N28" s="32">
        <v>226119</v>
      </c>
      <c r="O28" s="14">
        <f t="shared" si="6"/>
        <v>3</v>
      </c>
      <c r="P28" s="32">
        <f t="shared" si="12"/>
        <v>157805</v>
      </c>
      <c r="Q28" s="14">
        <f t="shared" si="0"/>
        <v>0</v>
      </c>
      <c r="R28" s="1">
        <f t="shared" si="10"/>
        <v>55047</v>
      </c>
      <c r="S28" s="15">
        <f t="shared" si="7"/>
        <v>0</v>
      </c>
      <c r="T28" s="32">
        <v>4013</v>
      </c>
      <c r="U28" s="14">
        <f t="shared" si="8"/>
        <v>160</v>
      </c>
    </row>
    <row r="29" spans="1:23" ht="13.5" thickBot="1" x14ac:dyDescent="0.25">
      <c r="A29" s="9">
        <v>44739</v>
      </c>
      <c r="B29" s="32">
        <v>47215</v>
      </c>
      <c r="C29" s="14">
        <f t="shared" si="9"/>
        <v>800</v>
      </c>
      <c r="D29" s="32">
        <v>40725</v>
      </c>
      <c r="E29" s="14">
        <f t="shared" si="1"/>
        <v>320</v>
      </c>
      <c r="F29" s="32">
        <v>21783</v>
      </c>
      <c r="G29" s="14">
        <f t="shared" si="2"/>
        <v>80</v>
      </c>
      <c r="H29" s="32">
        <v>256016</v>
      </c>
      <c r="I29" s="14">
        <f t="shared" si="3"/>
        <v>29</v>
      </c>
      <c r="J29" s="32">
        <v>320682</v>
      </c>
      <c r="K29" s="14">
        <f t="shared" si="4"/>
        <v>165</v>
      </c>
      <c r="L29" s="32">
        <v>26256</v>
      </c>
      <c r="M29" s="14">
        <f t="shared" si="5"/>
        <v>240</v>
      </c>
      <c r="N29" s="32">
        <v>226122</v>
      </c>
      <c r="O29" s="14">
        <f t="shared" si="6"/>
        <v>3</v>
      </c>
      <c r="P29" s="32">
        <f t="shared" si="12"/>
        <v>157805</v>
      </c>
      <c r="Q29" s="14">
        <f t="shared" si="0"/>
        <v>0</v>
      </c>
      <c r="R29" s="1">
        <f t="shared" si="10"/>
        <v>55047</v>
      </c>
      <c r="S29" s="14">
        <f t="shared" si="7"/>
        <v>0</v>
      </c>
      <c r="T29" s="32">
        <v>4013</v>
      </c>
      <c r="U29" s="14">
        <f t="shared" si="8"/>
        <v>0</v>
      </c>
    </row>
    <row r="30" spans="1:23" ht="13.5" thickBot="1" x14ac:dyDescent="0.25">
      <c r="A30" s="9">
        <v>44740</v>
      </c>
      <c r="B30" s="32">
        <f t="shared" ref="B29:B32" si="17">B29</f>
        <v>47215</v>
      </c>
      <c r="C30" s="14">
        <f t="shared" si="9"/>
        <v>0</v>
      </c>
      <c r="D30" s="32">
        <f t="shared" ref="D29:D32" si="18">D29</f>
        <v>40725</v>
      </c>
      <c r="E30" s="14">
        <f t="shared" si="1"/>
        <v>0</v>
      </c>
      <c r="F30" s="32">
        <f t="shared" ref="F29:F32" si="19">F29</f>
        <v>21783</v>
      </c>
      <c r="G30" s="14">
        <f t="shared" si="2"/>
        <v>0</v>
      </c>
      <c r="H30" s="32">
        <f t="shared" ref="H29:H32" si="20">H29</f>
        <v>256016</v>
      </c>
      <c r="I30" s="14">
        <f t="shared" si="3"/>
        <v>0</v>
      </c>
      <c r="J30" s="32">
        <f t="shared" ref="J29:J32" si="21">J29</f>
        <v>320682</v>
      </c>
      <c r="K30" s="14">
        <f t="shared" si="4"/>
        <v>0</v>
      </c>
      <c r="L30" s="32">
        <f t="shared" ref="L29:L32" si="22">L29</f>
        <v>26256</v>
      </c>
      <c r="M30" s="14">
        <f t="shared" si="5"/>
        <v>0</v>
      </c>
      <c r="N30" s="32">
        <f t="shared" ref="N29:N32" si="23">N29</f>
        <v>226122</v>
      </c>
      <c r="O30" s="14">
        <f t="shared" si="6"/>
        <v>0</v>
      </c>
      <c r="P30" s="32">
        <f t="shared" si="12"/>
        <v>157805</v>
      </c>
      <c r="Q30" s="14">
        <f t="shared" si="0"/>
        <v>0</v>
      </c>
      <c r="R30" s="1">
        <f t="shared" si="10"/>
        <v>55047</v>
      </c>
      <c r="S30" s="14">
        <f t="shared" si="7"/>
        <v>0</v>
      </c>
      <c r="T30" s="32">
        <f t="shared" si="11"/>
        <v>4013</v>
      </c>
      <c r="U30" s="14">
        <f t="shared" si="8"/>
        <v>0</v>
      </c>
    </row>
    <row r="31" spans="1:23" ht="13.5" thickBot="1" x14ac:dyDescent="0.25">
      <c r="A31" s="9">
        <v>44741</v>
      </c>
      <c r="B31" s="32">
        <f t="shared" si="17"/>
        <v>47215</v>
      </c>
      <c r="C31" s="14">
        <f t="shared" si="9"/>
        <v>0</v>
      </c>
      <c r="D31" s="32">
        <f t="shared" si="18"/>
        <v>40725</v>
      </c>
      <c r="E31" s="14">
        <f t="shared" si="1"/>
        <v>0</v>
      </c>
      <c r="F31" s="32">
        <f t="shared" si="19"/>
        <v>21783</v>
      </c>
      <c r="G31" s="14">
        <f t="shared" si="2"/>
        <v>0</v>
      </c>
      <c r="H31" s="32">
        <f t="shared" si="20"/>
        <v>256016</v>
      </c>
      <c r="I31" s="14">
        <f t="shared" si="3"/>
        <v>0</v>
      </c>
      <c r="J31" s="32">
        <f t="shared" si="21"/>
        <v>320682</v>
      </c>
      <c r="K31" s="14">
        <f t="shared" si="4"/>
        <v>0</v>
      </c>
      <c r="L31" s="32">
        <f t="shared" si="22"/>
        <v>26256</v>
      </c>
      <c r="M31" s="14">
        <f t="shared" si="5"/>
        <v>0</v>
      </c>
      <c r="N31" s="32">
        <f t="shared" si="23"/>
        <v>226122</v>
      </c>
      <c r="O31" s="14">
        <f t="shared" si="6"/>
        <v>0</v>
      </c>
      <c r="P31" s="32">
        <f t="shared" si="12"/>
        <v>157805</v>
      </c>
      <c r="Q31" s="14">
        <f t="shared" si="0"/>
        <v>0</v>
      </c>
      <c r="R31" s="1">
        <f t="shared" si="10"/>
        <v>55047</v>
      </c>
      <c r="S31" s="14">
        <v>0</v>
      </c>
      <c r="T31" s="32">
        <f t="shared" si="11"/>
        <v>4013</v>
      </c>
      <c r="U31" s="14">
        <f t="shared" si="8"/>
        <v>0</v>
      </c>
    </row>
    <row r="32" spans="1:23" ht="13.5" thickBot="1" x14ac:dyDescent="0.25">
      <c r="A32" s="9">
        <v>44742</v>
      </c>
      <c r="B32" s="32">
        <f t="shared" si="17"/>
        <v>47215</v>
      </c>
      <c r="C32" s="14">
        <f t="shared" si="9"/>
        <v>0</v>
      </c>
      <c r="D32" s="32">
        <f t="shared" si="18"/>
        <v>40725</v>
      </c>
      <c r="E32" s="14">
        <f t="shared" si="1"/>
        <v>0</v>
      </c>
      <c r="F32" s="32">
        <f t="shared" si="19"/>
        <v>21783</v>
      </c>
      <c r="G32" s="14">
        <f t="shared" si="2"/>
        <v>0</v>
      </c>
      <c r="H32" s="32">
        <f t="shared" si="20"/>
        <v>256016</v>
      </c>
      <c r="I32" s="14">
        <f t="shared" si="3"/>
        <v>0</v>
      </c>
      <c r="J32" s="32">
        <f t="shared" si="21"/>
        <v>320682</v>
      </c>
      <c r="K32" s="14">
        <f t="shared" si="4"/>
        <v>0</v>
      </c>
      <c r="L32" s="32">
        <f t="shared" si="22"/>
        <v>26256</v>
      </c>
      <c r="M32" s="14">
        <f t="shared" si="5"/>
        <v>0</v>
      </c>
      <c r="N32" s="32">
        <f t="shared" si="23"/>
        <v>226122</v>
      </c>
      <c r="O32" s="14">
        <f t="shared" si="6"/>
        <v>0</v>
      </c>
      <c r="P32" s="32">
        <f t="shared" si="12"/>
        <v>157805</v>
      </c>
      <c r="Q32" s="14">
        <f t="shared" si="0"/>
        <v>0</v>
      </c>
      <c r="R32" s="1">
        <f t="shared" si="10"/>
        <v>55047</v>
      </c>
      <c r="S32" s="14">
        <f t="shared" si="7"/>
        <v>0</v>
      </c>
      <c r="T32" s="32">
        <f t="shared" si="11"/>
        <v>4013</v>
      </c>
      <c r="U32" s="14">
        <f t="shared" si="8"/>
        <v>0</v>
      </c>
    </row>
    <row r="33" spans="1:21" ht="16.5" thickBot="1" x14ac:dyDescent="0.3">
      <c r="A33" s="14" t="s">
        <v>23</v>
      </c>
      <c r="B33" s="1"/>
      <c r="C33" s="14">
        <f>SUM(C3:C32)</f>
        <v>20480</v>
      </c>
      <c r="D33" s="11"/>
      <c r="E33" s="14">
        <f>SUM(E3:E32)</f>
        <v>13920</v>
      </c>
      <c r="F33" s="11"/>
      <c r="G33" s="14">
        <f>SUM(G3:G32)</f>
        <v>1920</v>
      </c>
      <c r="H33" s="11"/>
      <c r="I33" s="14">
        <f>SUM(I3:I32)</f>
        <v>717</v>
      </c>
      <c r="J33" s="11"/>
      <c r="K33" s="14">
        <f>SUM(K3:K32)</f>
        <v>4278</v>
      </c>
      <c r="L33" s="11"/>
      <c r="M33" s="14">
        <f>SUM(M3:M32)</f>
        <v>5100</v>
      </c>
      <c r="N33" s="33"/>
      <c r="O33" s="14">
        <f>SUM(O3:O32)</f>
        <v>86</v>
      </c>
      <c r="P33" s="32"/>
      <c r="Q33" s="14">
        <f>SUM(Q3:Q32)</f>
        <v>3439</v>
      </c>
      <c r="R33" s="1"/>
      <c r="S33" s="14">
        <f>SUM(S3:S32)</f>
        <v>0</v>
      </c>
      <c r="T33" s="1"/>
      <c r="U33" s="14">
        <f>SUM(U3:U32)</f>
        <v>2560</v>
      </c>
    </row>
    <row r="34" spans="1:21" x14ac:dyDescent="0.2">
      <c r="N34" s="17"/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abSelected="1" zoomScaleNormal="100" zoomScaleSheetLayoutView="110" workbookViewId="0">
      <pane ySplit="1" topLeftCell="A2" activePane="bottomLeft" state="frozen"/>
      <selection pane="bottomLeft" activeCell="A29" sqref="A29:XFD29"/>
    </sheetView>
  </sheetViews>
  <sheetFormatPr defaultColWidth="23" defaultRowHeight="15.75" x14ac:dyDescent="0.25"/>
  <cols>
    <col min="1" max="1" width="20.7109375" style="23" bestFit="1" customWidth="1"/>
    <col min="2" max="2" width="14.85546875" style="41" bestFit="1" customWidth="1"/>
    <col min="3" max="3" width="15.28515625" style="41" bestFit="1" customWidth="1"/>
    <col min="4" max="4" width="11.5703125" style="41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9" style="22" bestFit="1" customWidth="1"/>
    <col min="24" max="24" width="10.7109375" style="22" bestFit="1" customWidth="1"/>
    <col min="25" max="25" width="12.2851562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9" t="s">
        <v>54</v>
      </c>
      <c r="C1" s="42" t="s">
        <v>63</v>
      </c>
      <c r="D1" s="4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44712</v>
      </c>
      <c r="B2" s="39">
        <v>152</v>
      </c>
      <c r="C2" s="145">
        <v>19676</v>
      </c>
      <c r="D2" s="39"/>
      <c r="E2" s="146">
        <v>31095578</v>
      </c>
      <c r="F2" s="39"/>
      <c r="G2" s="147">
        <v>99640821</v>
      </c>
      <c r="H2" s="39"/>
      <c r="I2" s="148">
        <f t="shared" ref="I2" si="0">F2+H2</f>
        <v>0</v>
      </c>
      <c r="J2" s="146">
        <v>9920947</v>
      </c>
      <c r="K2" s="39"/>
      <c r="L2" s="149">
        <v>94732</v>
      </c>
      <c r="M2" s="39"/>
      <c r="N2" s="146">
        <v>6646256</v>
      </c>
      <c r="O2" s="39"/>
      <c r="P2" s="149">
        <v>6636256</v>
      </c>
      <c r="Q2" s="39"/>
      <c r="R2" s="146">
        <v>21222233</v>
      </c>
      <c r="S2" s="39"/>
      <c r="T2" s="146">
        <v>0</v>
      </c>
      <c r="U2" s="150"/>
      <c r="V2" s="146">
        <v>9158946</v>
      </c>
      <c r="W2" s="39"/>
      <c r="X2" s="19"/>
      <c r="Y2" s="151"/>
      <c r="Z2" s="168"/>
      <c r="AA2" s="168"/>
    </row>
    <row r="3" spans="1:27" ht="16.5" thickBot="1" x14ac:dyDescent="0.3">
      <c r="A3" s="9">
        <v>44713</v>
      </c>
      <c r="B3" s="39">
        <v>155</v>
      </c>
      <c r="C3" s="145">
        <v>19679</v>
      </c>
      <c r="D3" s="39">
        <f>IF((C3-C2)&lt;0,"0",(C3-C2))*160</f>
        <v>480</v>
      </c>
      <c r="E3" s="146">
        <v>31115403</v>
      </c>
      <c r="F3" s="39">
        <f>IF((E3-E2)&lt;0,"0",(E3-E2))</f>
        <v>19825</v>
      </c>
      <c r="G3" s="147">
        <v>99693222</v>
      </c>
      <c r="H3" s="39">
        <f>IF((G3-G2)&lt;0,"0",(G3-G2))</f>
        <v>52401</v>
      </c>
      <c r="I3" s="19">
        <f>F3+H3</f>
        <v>72226</v>
      </c>
      <c r="J3" s="146">
        <v>9926322</v>
      </c>
      <c r="K3" s="39">
        <f>(IF((J3-J2)&lt;L90,"0",(J3-J2)))*2</f>
        <v>10750</v>
      </c>
      <c r="L3" s="149">
        <v>101393</v>
      </c>
      <c r="M3" s="39">
        <f>IF((L3-L2)&lt;0,"0",(L3-L2))</f>
        <v>6661</v>
      </c>
      <c r="N3" s="146">
        <v>6650543</v>
      </c>
      <c r="O3" s="39">
        <f>(IF((N3-N2)&lt;P90,"0",(N3-N2)))*2</f>
        <v>8574</v>
      </c>
      <c r="P3" s="149">
        <v>6650543</v>
      </c>
      <c r="Q3" s="39">
        <f>IF((P3-P2)&lt;0,"0",(P3-P2))</f>
        <v>14287</v>
      </c>
      <c r="R3" s="146">
        <v>21232975</v>
      </c>
      <c r="S3" s="39">
        <f>IF((R3-R2)&lt;0,"0",(R3-R2))</f>
        <v>10742</v>
      </c>
      <c r="T3" s="146">
        <v>0</v>
      </c>
      <c r="U3" s="150"/>
      <c r="V3" s="146">
        <v>9170374</v>
      </c>
      <c r="W3" s="39">
        <f>IF((V3-V2)&lt;0,"0",(V3-V2))</f>
        <v>11428</v>
      </c>
      <c r="X3" s="19">
        <f>K3+M3+O3+Q3+S3+U3+W3</f>
        <v>62442</v>
      </c>
      <c r="Y3" s="151">
        <f>I3-X3</f>
        <v>9784</v>
      </c>
      <c r="Z3" s="3">
        <f>(0.93352*(W3+S3)+0.5568*(Q3+O3))*0.26</f>
        <v>8690.5372320000006</v>
      </c>
      <c r="AA3" s="3">
        <f>SUM(Z1:Z3)</f>
        <v>8690.5372320000006</v>
      </c>
    </row>
    <row r="4" spans="1:27" ht="16.5" thickBot="1" x14ac:dyDescent="0.3">
      <c r="A4" s="9">
        <v>44714</v>
      </c>
      <c r="B4" s="39">
        <v>160</v>
      </c>
      <c r="C4" s="145">
        <v>19683</v>
      </c>
      <c r="D4" s="39">
        <f t="shared" ref="D4:D29" si="1">IF((C4-C3)&lt;0,"0",(C4-C3))*160</f>
        <v>640</v>
      </c>
      <c r="E4" s="146">
        <v>31139408</v>
      </c>
      <c r="F4" s="39">
        <f t="shared" ref="F4:F29" si="2">IF((E4-E3)&lt;0,"0",(E4-E3))</f>
        <v>24005</v>
      </c>
      <c r="G4" s="147">
        <v>99752436</v>
      </c>
      <c r="H4" s="39">
        <f t="shared" ref="H4:H32" si="3">IF((G4-G3)&lt;0,"0",(G4-G3))</f>
        <v>59214</v>
      </c>
      <c r="I4" s="148">
        <f t="shared" ref="I4:I30" si="4">F4+H4</f>
        <v>83219</v>
      </c>
      <c r="J4" s="146">
        <v>9932354</v>
      </c>
      <c r="K4" s="39">
        <f>(IF((J4-J3)&lt;L92,"0",(J4-J3)))*2</f>
        <v>12064</v>
      </c>
      <c r="L4" s="149">
        <v>109169</v>
      </c>
      <c r="M4" s="39">
        <f t="shared" ref="M4:M29" si="5">IF((L4-L3)&lt;0,"0",(L4-L3))</f>
        <v>7776</v>
      </c>
      <c r="N4" s="146">
        <v>6660746</v>
      </c>
      <c r="O4" s="39">
        <f>(IF((N4-N3)&lt;P92,"0",(N4-N3)))*2</f>
        <v>20406</v>
      </c>
      <c r="P4" s="149">
        <v>6664365</v>
      </c>
      <c r="Q4" s="39">
        <f t="shared" ref="Q4:Q29" si="6">IF((P4-P3)&lt;0,"0",(P4-P3))</f>
        <v>13822</v>
      </c>
      <c r="R4" s="146">
        <v>21245191</v>
      </c>
      <c r="S4" s="39">
        <f t="shared" ref="S4:S29" si="7">IF((R4-R3)&lt;0,"0",(R4-R3))</f>
        <v>12216</v>
      </c>
      <c r="T4" s="146">
        <v>0</v>
      </c>
      <c r="U4" s="150"/>
      <c r="V4" s="146">
        <v>9183318</v>
      </c>
      <c r="W4" s="39">
        <f t="shared" ref="W4:W29" si="8">IF((V4-V3)&lt;0,"0",(V4-V3))</f>
        <v>12944</v>
      </c>
      <c r="X4" s="19">
        <f t="shared" ref="X4:X30" si="9">K4+M4+O4+Q4+S4+U4+W4</f>
        <v>79228</v>
      </c>
      <c r="Y4" s="151">
        <f t="shared" ref="Y4:Y30" si="10">I4-X4</f>
        <v>3991</v>
      </c>
      <c r="Z4" s="3">
        <f t="shared" ref="Z4:Z30" si="11">(0.93352*(W4+S4)+0.5568*(Q4+O4))*0.26</f>
        <v>11061.833536</v>
      </c>
      <c r="AA4" s="3">
        <f>SUM(Z1:Z4)</f>
        <v>19752.370768000001</v>
      </c>
    </row>
    <row r="5" spans="1:27" ht="16.5" thickBot="1" x14ac:dyDescent="0.3">
      <c r="A5" s="9">
        <v>44715</v>
      </c>
      <c r="B5" s="39">
        <v>276</v>
      </c>
      <c r="C5" s="145">
        <v>19686</v>
      </c>
      <c r="D5" s="39">
        <f t="shared" si="1"/>
        <v>480</v>
      </c>
      <c r="E5" s="146">
        <v>31155705</v>
      </c>
      <c r="F5" s="39">
        <f t="shared" si="2"/>
        <v>16297</v>
      </c>
      <c r="G5" s="147">
        <v>99797077</v>
      </c>
      <c r="H5" s="39">
        <f t="shared" si="3"/>
        <v>44641</v>
      </c>
      <c r="I5" s="148">
        <f t="shared" si="4"/>
        <v>60938</v>
      </c>
      <c r="J5" s="146">
        <v>9936717</v>
      </c>
      <c r="K5" s="39">
        <f t="shared" ref="K5:K29" si="12">(IF((J5-J4)&lt;0,"0",(J5-J4)))*2</f>
        <v>8726</v>
      </c>
      <c r="L5" s="149">
        <v>114636</v>
      </c>
      <c r="M5" s="39">
        <f t="shared" si="5"/>
        <v>5467</v>
      </c>
      <c r="N5" s="146">
        <v>6666071</v>
      </c>
      <c r="O5" s="39">
        <f t="shared" ref="O5:O29" si="13">(IF((N5-N4)&lt;0,"0",(N5-N4)))*2</f>
        <v>10650</v>
      </c>
      <c r="P5" s="149">
        <v>6675536</v>
      </c>
      <c r="Q5" s="39">
        <f t="shared" si="6"/>
        <v>11171</v>
      </c>
      <c r="R5" s="146">
        <v>21254589</v>
      </c>
      <c r="S5" s="39">
        <f t="shared" si="7"/>
        <v>9398</v>
      </c>
      <c r="T5" s="146">
        <v>0</v>
      </c>
      <c r="U5" s="150"/>
      <c r="V5" s="146">
        <v>9192693</v>
      </c>
      <c r="W5" s="39">
        <f t="shared" si="8"/>
        <v>9375</v>
      </c>
      <c r="X5" s="19">
        <f t="shared" si="9"/>
        <v>54787</v>
      </c>
      <c r="Y5" s="151">
        <f t="shared" si="10"/>
        <v>6151</v>
      </c>
      <c r="Z5" s="3">
        <f t="shared" si="11"/>
        <v>7715.4749775999999</v>
      </c>
      <c r="AA5" s="3">
        <f>SUM(Z1:Z5)</f>
        <v>27467.8457456</v>
      </c>
    </row>
    <row r="6" spans="1:27" ht="16.5" thickBot="1" x14ac:dyDescent="0.3">
      <c r="A6" s="9">
        <v>44716</v>
      </c>
      <c r="B6" s="39">
        <v>235</v>
      </c>
      <c r="C6" s="145">
        <v>19689</v>
      </c>
      <c r="D6" s="39">
        <f t="shared" si="1"/>
        <v>480</v>
      </c>
      <c r="E6" s="146">
        <v>31177331</v>
      </c>
      <c r="F6" s="39">
        <f t="shared" si="2"/>
        <v>21626</v>
      </c>
      <c r="G6" s="147">
        <v>99851312</v>
      </c>
      <c r="H6" s="39">
        <f t="shared" si="3"/>
        <v>54235</v>
      </c>
      <c r="I6" s="148">
        <f t="shared" si="4"/>
        <v>75861</v>
      </c>
      <c r="J6" s="146">
        <v>9941871</v>
      </c>
      <c r="K6" s="39">
        <f t="shared" si="12"/>
        <v>10308</v>
      </c>
      <c r="L6" s="149">
        <v>121170</v>
      </c>
      <c r="M6" s="39">
        <f t="shared" si="5"/>
        <v>6534</v>
      </c>
      <c r="N6" s="146">
        <v>6673518</v>
      </c>
      <c r="O6" s="39">
        <f t="shared" si="13"/>
        <v>14894</v>
      </c>
      <c r="P6" s="149">
        <v>6689492</v>
      </c>
      <c r="Q6" s="39">
        <f t="shared" si="6"/>
        <v>13956</v>
      </c>
      <c r="R6" s="146">
        <v>21265867</v>
      </c>
      <c r="S6" s="39">
        <f t="shared" si="7"/>
        <v>11278</v>
      </c>
      <c r="T6" s="146">
        <v>0</v>
      </c>
      <c r="U6" s="150"/>
      <c r="V6" s="146">
        <v>9204024</v>
      </c>
      <c r="W6" s="39">
        <f t="shared" si="8"/>
        <v>11331</v>
      </c>
      <c r="X6" s="19">
        <f t="shared" si="9"/>
        <v>68301</v>
      </c>
      <c r="Y6" s="151">
        <f t="shared" si="10"/>
        <v>7560</v>
      </c>
      <c r="Z6" s="3">
        <f t="shared" si="11"/>
        <v>9664.1047567999994</v>
      </c>
      <c r="AA6" s="3">
        <f>SUM(Z1:Z6)</f>
        <v>37131.950502399995</v>
      </c>
    </row>
    <row r="7" spans="1:27" ht="16.5" thickBot="1" x14ac:dyDescent="0.3">
      <c r="A7" s="9">
        <v>44717</v>
      </c>
      <c r="B7" s="39">
        <v>209</v>
      </c>
      <c r="C7" s="145">
        <v>19694</v>
      </c>
      <c r="D7" s="39">
        <f t="shared" si="1"/>
        <v>800</v>
      </c>
      <c r="E7" s="146">
        <v>31196732</v>
      </c>
      <c r="F7" s="39">
        <f t="shared" si="2"/>
        <v>19401</v>
      </c>
      <c r="G7" s="147">
        <v>99899162</v>
      </c>
      <c r="H7" s="39">
        <f t="shared" si="3"/>
        <v>47850</v>
      </c>
      <c r="I7" s="148">
        <f t="shared" si="4"/>
        <v>67251</v>
      </c>
      <c r="J7" s="146">
        <v>9946770</v>
      </c>
      <c r="K7" s="39">
        <f t="shared" si="12"/>
        <v>9798</v>
      </c>
      <c r="L7" s="149">
        <v>127049</v>
      </c>
      <c r="M7" s="39">
        <f t="shared" si="5"/>
        <v>5879</v>
      </c>
      <c r="N7" s="146">
        <v>6680189</v>
      </c>
      <c r="O7" s="39">
        <f t="shared" si="13"/>
        <v>13342</v>
      </c>
      <c r="P7" s="149">
        <v>6702004</v>
      </c>
      <c r="Q7" s="39">
        <f t="shared" si="6"/>
        <v>12512</v>
      </c>
      <c r="R7" s="146">
        <v>21275759</v>
      </c>
      <c r="S7" s="39">
        <f t="shared" si="7"/>
        <v>9892</v>
      </c>
      <c r="T7" s="146">
        <v>0</v>
      </c>
      <c r="U7" s="150"/>
      <c r="V7" s="146">
        <v>9213816</v>
      </c>
      <c r="W7" s="39">
        <f t="shared" si="8"/>
        <v>9792</v>
      </c>
      <c r="X7" s="19">
        <f t="shared" si="9"/>
        <v>61215</v>
      </c>
      <c r="Y7" s="151">
        <f t="shared" si="10"/>
        <v>6036</v>
      </c>
      <c r="Z7" s="3">
        <f t="shared" si="11"/>
        <v>8520.4378687999997</v>
      </c>
      <c r="AA7" s="3">
        <f>SUM(Z1:Z7)</f>
        <v>45652.388371199995</v>
      </c>
    </row>
    <row r="8" spans="1:27" ht="16.5" thickBot="1" x14ac:dyDescent="0.3">
      <c r="A8" s="9">
        <v>44718</v>
      </c>
      <c r="B8" s="39">
        <v>224</v>
      </c>
      <c r="C8" s="145">
        <v>19698</v>
      </c>
      <c r="D8" s="39">
        <f t="shared" si="1"/>
        <v>640</v>
      </c>
      <c r="E8" s="146">
        <v>31222147</v>
      </c>
      <c r="F8" s="39">
        <f t="shared" si="2"/>
        <v>25415</v>
      </c>
      <c r="G8" s="147">
        <v>99959294</v>
      </c>
      <c r="H8" s="39">
        <f t="shared" si="3"/>
        <v>60132</v>
      </c>
      <c r="I8" s="148">
        <f t="shared" si="4"/>
        <v>85547</v>
      </c>
      <c r="J8" s="146">
        <v>9952684</v>
      </c>
      <c r="K8" s="39">
        <f t="shared" si="12"/>
        <v>11828</v>
      </c>
      <c r="L8" s="149">
        <v>135043</v>
      </c>
      <c r="M8" s="39">
        <f t="shared" si="5"/>
        <v>7994</v>
      </c>
      <c r="N8" s="146">
        <v>6688800</v>
      </c>
      <c r="O8" s="39">
        <f t="shared" si="13"/>
        <v>17222</v>
      </c>
      <c r="P8" s="149">
        <v>6717380</v>
      </c>
      <c r="Q8" s="39">
        <f t="shared" si="6"/>
        <v>15376</v>
      </c>
      <c r="R8" s="146">
        <v>21288082</v>
      </c>
      <c r="S8" s="39">
        <f t="shared" si="7"/>
        <v>12323</v>
      </c>
      <c r="T8" s="146">
        <v>0</v>
      </c>
      <c r="U8" s="150"/>
      <c r="V8" s="146">
        <v>9226397</v>
      </c>
      <c r="W8" s="39">
        <f t="shared" si="8"/>
        <v>12581</v>
      </c>
      <c r="X8" s="19">
        <f t="shared" si="9"/>
        <v>77324</v>
      </c>
      <c r="Y8" s="151">
        <f t="shared" si="10"/>
        <v>8223</v>
      </c>
      <c r="Z8" s="3">
        <f t="shared" si="11"/>
        <v>10763.7266048</v>
      </c>
      <c r="AA8" s="3">
        <f>SUM(Z1:Z8)</f>
        <v>56416.114975999997</v>
      </c>
    </row>
    <row r="9" spans="1:27" ht="16.5" thickBot="1" x14ac:dyDescent="0.3">
      <c r="A9" s="9">
        <v>44719</v>
      </c>
      <c r="B9" s="39">
        <v>228</v>
      </c>
      <c r="C9" s="145">
        <v>19702</v>
      </c>
      <c r="D9" s="39">
        <f t="shared" si="1"/>
        <v>640</v>
      </c>
      <c r="E9" s="146">
        <v>31239324</v>
      </c>
      <c r="F9" s="39">
        <f t="shared" si="2"/>
        <v>17177</v>
      </c>
      <c r="G9" s="147">
        <v>120</v>
      </c>
      <c r="H9" s="39">
        <f>(G9-G8)+99999999</f>
        <v>40825</v>
      </c>
      <c r="I9" s="148">
        <f t="shared" si="4"/>
        <v>58002</v>
      </c>
      <c r="J9" s="146">
        <v>9957012</v>
      </c>
      <c r="K9" s="39">
        <f t="shared" si="12"/>
        <v>8656</v>
      </c>
      <c r="L9" s="149">
        <v>140495</v>
      </c>
      <c r="M9" s="39">
        <f t="shared" si="5"/>
        <v>5452</v>
      </c>
      <c r="N9" s="146">
        <v>6694576</v>
      </c>
      <c r="O9" s="39">
        <f t="shared" si="13"/>
        <v>11552</v>
      </c>
      <c r="P9" s="149">
        <v>6727522</v>
      </c>
      <c r="Q9" s="39">
        <f t="shared" si="6"/>
        <v>10142</v>
      </c>
      <c r="R9" s="146">
        <v>21296380</v>
      </c>
      <c r="S9" s="39">
        <f t="shared" si="7"/>
        <v>8298</v>
      </c>
      <c r="T9" s="146">
        <v>0</v>
      </c>
      <c r="U9" s="150"/>
      <c r="V9" s="146">
        <v>9235008</v>
      </c>
      <c r="W9" s="39">
        <f t="shared" si="8"/>
        <v>8611</v>
      </c>
      <c r="X9" s="19">
        <f t="shared" si="9"/>
        <v>52711</v>
      </c>
      <c r="Y9" s="151">
        <f t="shared" si="10"/>
        <v>5291</v>
      </c>
      <c r="Z9" s="3">
        <f t="shared" si="11"/>
        <v>7244.6683088</v>
      </c>
      <c r="AA9" s="3">
        <f>SUM(Z1:Z9)</f>
        <v>63660.783284799996</v>
      </c>
    </row>
    <row r="10" spans="1:27" ht="16.5" thickBot="1" x14ac:dyDescent="0.3">
      <c r="A10" s="9">
        <v>44720</v>
      </c>
      <c r="B10" s="39">
        <v>230</v>
      </c>
      <c r="C10" s="145">
        <v>19706</v>
      </c>
      <c r="D10" s="39">
        <f t="shared" si="1"/>
        <v>640</v>
      </c>
      <c r="E10" s="146">
        <v>31263852</v>
      </c>
      <c r="F10" s="39">
        <f t="shared" si="2"/>
        <v>24528</v>
      </c>
      <c r="G10" s="147">
        <v>59527</v>
      </c>
      <c r="H10" s="39">
        <f t="shared" si="3"/>
        <v>59407</v>
      </c>
      <c r="I10" s="148">
        <f t="shared" si="4"/>
        <v>83935</v>
      </c>
      <c r="J10" s="146">
        <v>9962749</v>
      </c>
      <c r="K10" s="39">
        <f t="shared" si="12"/>
        <v>11474</v>
      </c>
      <c r="L10" s="149">
        <v>148103</v>
      </c>
      <c r="M10" s="39">
        <f t="shared" si="5"/>
        <v>7608</v>
      </c>
      <c r="N10" s="146">
        <v>6702932</v>
      </c>
      <c r="O10" s="39">
        <f t="shared" si="13"/>
        <v>16712</v>
      </c>
      <c r="P10" s="149">
        <v>6748914</v>
      </c>
      <c r="Q10" s="39">
        <f t="shared" si="6"/>
        <v>21392</v>
      </c>
      <c r="R10" s="146">
        <v>21308339</v>
      </c>
      <c r="S10" s="39">
        <f t="shared" si="7"/>
        <v>11959</v>
      </c>
      <c r="T10" s="146">
        <v>0</v>
      </c>
      <c r="U10" s="150"/>
      <c r="V10" s="146">
        <v>9263471</v>
      </c>
      <c r="W10" s="39">
        <f t="shared" si="8"/>
        <v>28463</v>
      </c>
      <c r="X10" s="19">
        <f t="shared" si="9"/>
        <v>97608</v>
      </c>
      <c r="Y10" s="151">
        <f t="shared" si="10"/>
        <v>-13673</v>
      </c>
      <c r="Z10" s="3">
        <f t="shared" si="11"/>
        <v>15327.2736864</v>
      </c>
      <c r="AA10" s="3">
        <f>SUM(Z1:Z10)</f>
        <v>78988.0569712</v>
      </c>
    </row>
    <row r="11" spans="1:27" ht="15.75" customHeight="1" thickBot="1" x14ac:dyDescent="0.3">
      <c r="A11" s="9">
        <v>44721</v>
      </c>
      <c r="B11" s="39">
        <v>221</v>
      </c>
      <c r="C11" s="145">
        <v>19709</v>
      </c>
      <c r="D11" s="39">
        <f t="shared" si="1"/>
        <v>480</v>
      </c>
      <c r="E11" s="146">
        <v>31288713</v>
      </c>
      <c r="F11" s="39">
        <f t="shared" si="2"/>
        <v>24861</v>
      </c>
      <c r="G11" s="147">
        <v>120699</v>
      </c>
      <c r="H11" s="39">
        <f t="shared" si="3"/>
        <v>61172</v>
      </c>
      <c r="I11" s="148">
        <f t="shared" si="4"/>
        <v>86033</v>
      </c>
      <c r="J11" s="146">
        <v>9968659</v>
      </c>
      <c r="K11" s="39">
        <f t="shared" si="12"/>
        <v>11820</v>
      </c>
      <c r="L11" s="149">
        <v>155936</v>
      </c>
      <c r="M11" s="39">
        <f t="shared" si="5"/>
        <v>7833</v>
      </c>
      <c r="N11" s="146">
        <v>6711348</v>
      </c>
      <c r="O11" s="39">
        <f t="shared" si="13"/>
        <v>16832</v>
      </c>
      <c r="P11" s="149">
        <v>6758277</v>
      </c>
      <c r="Q11" s="39">
        <f t="shared" si="6"/>
        <v>9363</v>
      </c>
      <c r="R11" s="146">
        <v>21320383</v>
      </c>
      <c r="S11" s="39">
        <f t="shared" si="7"/>
        <v>12044</v>
      </c>
      <c r="T11" s="146">
        <v>0</v>
      </c>
      <c r="U11" s="150"/>
      <c r="V11" s="146">
        <v>9266773</v>
      </c>
      <c r="W11" s="39">
        <f t="shared" si="8"/>
        <v>3302</v>
      </c>
      <c r="X11" s="19">
        <f t="shared" si="9"/>
        <v>61194</v>
      </c>
      <c r="Y11" s="151">
        <f t="shared" si="10"/>
        <v>24839</v>
      </c>
      <c r="Z11" s="3">
        <f t="shared" si="11"/>
        <v>7516.9052192000008</v>
      </c>
      <c r="AA11" s="3">
        <f>SUM(Z1:Z11)</f>
        <v>86504.962190399994</v>
      </c>
    </row>
    <row r="12" spans="1:27" ht="16.5" thickBot="1" x14ac:dyDescent="0.3">
      <c r="A12" s="9">
        <v>44722</v>
      </c>
      <c r="B12" s="39">
        <v>223</v>
      </c>
      <c r="C12" s="145">
        <v>19715</v>
      </c>
      <c r="D12" s="39">
        <f t="shared" si="1"/>
        <v>960</v>
      </c>
      <c r="E12" s="146">
        <v>31308257</v>
      </c>
      <c r="F12" s="39">
        <f t="shared" si="2"/>
        <v>19544</v>
      </c>
      <c r="G12" s="147">
        <v>168384</v>
      </c>
      <c r="H12" s="39">
        <f t="shared" si="3"/>
        <v>47685</v>
      </c>
      <c r="I12" s="148">
        <f t="shared" si="4"/>
        <v>67229</v>
      </c>
      <c r="J12" s="146">
        <v>9973144</v>
      </c>
      <c r="K12" s="39">
        <f t="shared" si="12"/>
        <v>8970</v>
      </c>
      <c r="L12" s="149">
        <v>161934</v>
      </c>
      <c r="M12" s="39">
        <f t="shared" si="5"/>
        <v>5998</v>
      </c>
      <c r="N12" s="146">
        <v>6718020</v>
      </c>
      <c r="O12" s="39">
        <f t="shared" si="13"/>
        <v>13344</v>
      </c>
      <c r="P12" s="149">
        <v>6770237</v>
      </c>
      <c r="Q12" s="39">
        <f t="shared" si="6"/>
        <v>11960</v>
      </c>
      <c r="R12" s="146">
        <v>21329670</v>
      </c>
      <c r="S12" s="39">
        <f t="shared" si="7"/>
        <v>9287</v>
      </c>
      <c r="T12" s="146">
        <v>0</v>
      </c>
      <c r="U12" s="150"/>
      <c r="V12" s="146">
        <v>9271221</v>
      </c>
      <c r="W12" s="39">
        <f t="shared" si="8"/>
        <v>4448</v>
      </c>
      <c r="X12" s="19">
        <f t="shared" si="9"/>
        <v>54007</v>
      </c>
      <c r="Y12" s="151">
        <f t="shared" si="10"/>
        <v>13222</v>
      </c>
      <c r="Z12" s="3">
        <f t="shared" si="11"/>
        <v>6996.902744</v>
      </c>
      <c r="AA12" s="3">
        <f>SUM(Z1:Z12)</f>
        <v>93501.8649344</v>
      </c>
    </row>
    <row r="13" spans="1:27" ht="16.5" thickBot="1" x14ac:dyDescent="0.3">
      <c r="A13" s="9">
        <v>44723</v>
      </c>
      <c r="B13" s="39">
        <v>182</v>
      </c>
      <c r="C13" s="145">
        <v>19718</v>
      </c>
      <c r="D13" s="39">
        <f t="shared" ref="D13" si="14">IF((C13-C12)&lt;0,"0",(C13-C12))*160</f>
        <v>480</v>
      </c>
      <c r="E13" s="146">
        <v>31327753</v>
      </c>
      <c r="F13" s="39">
        <f t="shared" ref="F13" si="15">IF((E13-E12)&lt;0,"0",(E13-E12))</f>
        <v>19496</v>
      </c>
      <c r="G13" s="147">
        <v>215753</v>
      </c>
      <c r="H13" s="39">
        <f t="shared" si="3"/>
        <v>47369</v>
      </c>
      <c r="I13" s="148">
        <f t="shared" ref="I13" si="16">F13+H13</f>
        <v>66865</v>
      </c>
      <c r="J13" s="146">
        <v>9977694</v>
      </c>
      <c r="K13" s="39">
        <f t="shared" ref="K13" si="17">(IF((J13-J12)&lt;0,"0",(J13-J12)))*2</f>
        <v>9100</v>
      </c>
      <c r="L13" s="149">
        <v>167973</v>
      </c>
      <c r="M13" s="39">
        <f t="shared" ref="M13" si="18">IF((L13-L12)&lt;0,"0",(L13-L12))</f>
        <v>6039</v>
      </c>
      <c r="N13" s="146">
        <v>6724665</v>
      </c>
      <c r="O13" s="39">
        <f t="shared" ref="O13" si="19">(IF((N13-N12)&lt;0,"0",(N13-N12)))*2</f>
        <v>13290</v>
      </c>
      <c r="P13" s="149">
        <v>6782297</v>
      </c>
      <c r="Q13" s="39">
        <f t="shared" ref="Q13" si="20">IF((P13-P12)&lt;0,"0",(P13-P12))</f>
        <v>12060</v>
      </c>
      <c r="R13" s="146">
        <v>21339211</v>
      </c>
      <c r="S13" s="39">
        <f t="shared" ref="S13" si="21">IF((R13-R12)&lt;0,"0",(R13-R12))</f>
        <v>9541</v>
      </c>
      <c r="T13" s="146">
        <v>0</v>
      </c>
      <c r="U13" s="150"/>
      <c r="V13" s="146">
        <v>9281296</v>
      </c>
      <c r="W13" s="39">
        <f t="shared" ref="W13" si="22">IF((V13-V12)&lt;0,"0",(V13-V12))</f>
        <v>10075</v>
      </c>
      <c r="X13" s="19">
        <f t="shared" ref="X13" si="23">K13+M13+O13+Q13+S13+U13+W13</f>
        <v>60105</v>
      </c>
      <c r="Y13" s="151">
        <f t="shared" si="10"/>
        <v>6760</v>
      </c>
      <c r="Z13" s="3">
        <f t="shared" ref="Z13" si="24">(0.93352*(W13+S13)+0.5568*(Q13+O13))*0.26</f>
        <v>8430.9701631999997</v>
      </c>
      <c r="AA13" s="3">
        <f>SUM(Z1:Z13)</f>
        <v>101932.83509760001</v>
      </c>
    </row>
    <row r="14" spans="1:27" ht="16.5" thickBot="1" x14ac:dyDescent="0.3">
      <c r="A14" s="9">
        <v>44724</v>
      </c>
      <c r="B14" s="39">
        <v>205</v>
      </c>
      <c r="C14" s="145">
        <v>19724</v>
      </c>
      <c r="D14" s="39">
        <f t="shared" si="1"/>
        <v>960</v>
      </c>
      <c r="E14" s="146">
        <v>31355266</v>
      </c>
      <c r="F14" s="39">
        <f t="shared" si="2"/>
        <v>27513</v>
      </c>
      <c r="G14" s="147">
        <v>281124</v>
      </c>
      <c r="H14" s="39">
        <f t="shared" si="3"/>
        <v>65371</v>
      </c>
      <c r="I14" s="148">
        <f t="shared" si="4"/>
        <v>92884</v>
      </c>
      <c r="J14" s="146">
        <v>9984050</v>
      </c>
      <c r="K14" s="39">
        <f t="shared" si="12"/>
        <v>12712</v>
      </c>
      <c r="L14" s="149">
        <v>176696</v>
      </c>
      <c r="M14" s="39">
        <f t="shared" si="5"/>
        <v>8723</v>
      </c>
      <c r="N14" s="146">
        <v>6733936</v>
      </c>
      <c r="O14" s="39">
        <f t="shared" si="13"/>
        <v>18542</v>
      </c>
      <c r="P14" s="149">
        <v>6798741</v>
      </c>
      <c r="Q14" s="39">
        <f t="shared" si="6"/>
        <v>16444</v>
      </c>
      <c r="R14" s="146">
        <v>21350263</v>
      </c>
      <c r="S14" s="39">
        <f>IF((R14-R13)&lt;0,"0",(R14-R13))</f>
        <v>11052</v>
      </c>
      <c r="T14" s="146">
        <v>0</v>
      </c>
      <c r="U14" s="150"/>
      <c r="V14" s="146">
        <v>9295168</v>
      </c>
      <c r="W14" s="39">
        <f t="shared" si="8"/>
        <v>13872</v>
      </c>
      <c r="X14" s="19">
        <f t="shared" si="9"/>
        <v>81345</v>
      </c>
      <c r="Y14" s="151">
        <f t="shared" si="10"/>
        <v>11539</v>
      </c>
      <c r="Z14" s="3">
        <f t="shared" si="11"/>
        <v>11114.286892800003</v>
      </c>
      <c r="AA14" s="3">
        <f>SUM(Z1:Z14)</f>
        <v>113047.12199040002</v>
      </c>
    </row>
    <row r="15" spans="1:27" ht="16.5" thickBot="1" x14ac:dyDescent="0.3">
      <c r="A15" s="9">
        <v>44725</v>
      </c>
      <c r="B15" s="39">
        <v>245</v>
      </c>
      <c r="C15" s="145">
        <v>19729</v>
      </c>
      <c r="D15" s="39">
        <f t="shared" si="1"/>
        <v>800</v>
      </c>
      <c r="E15" s="146">
        <v>31374784</v>
      </c>
      <c r="F15" s="39">
        <f t="shared" si="2"/>
        <v>19518</v>
      </c>
      <c r="G15" s="147">
        <v>327673</v>
      </c>
      <c r="H15" s="39">
        <f t="shared" si="3"/>
        <v>46549</v>
      </c>
      <c r="I15" s="148">
        <f t="shared" si="4"/>
        <v>66067</v>
      </c>
      <c r="J15" s="146">
        <v>9988973</v>
      </c>
      <c r="K15" s="39">
        <f t="shared" si="12"/>
        <v>9846</v>
      </c>
      <c r="L15" s="149">
        <v>183185</v>
      </c>
      <c r="M15" s="39">
        <f t="shared" si="5"/>
        <v>6489</v>
      </c>
      <c r="N15" s="146">
        <v>6740371</v>
      </c>
      <c r="O15" s="39">
        <f t="shared" si="13"/>
        <v>12870</v>
      </c>
      <c r="P15" s="149">
        <v>6810193</v>
      </c>
      <c r="Q15" s="39">
        <f t="shared" si="6"/>
        <v>11452</v>
      </c>
      <c r="R15" s="146">
        <v>21361887</v>
      </c>
      <c r="S15" s="39">
        <f>IF((R15-R14)&lt;0,"0",(R15-R14))</f>
        <v>11624</v>
      </c>
      <c r="T15" s="146">
        <v>0</v>
      </c>
      <c r="U15" s="150"/>
      <c r="V15" s="146">
        <v>9305129</v>
      </c>
      <c r="W15" s="39">
        <f t="shared" si="8"/>
        <v>9961</v>
      </c>
      <c r="X15" s="19">
        <f t="shared" si="9"/>
        <v>62242</v>
      </c>
      <c r="Y15" s="151">
        <f t="shared" si="10"/>
        <v>3825</v>
      </c>
      <c r="Z15" s="3">
        <f t="shared" si="11"/>
        <v>8760.0548880000006</v>
      </c>
      <c r="AA15" s="3">
        <f>SUM(Z1:Z15)</f>
        <v>121807.17687840002</v>
      </c>
    </row>
    <row r="16" spans="1:27" ht="16.5" thickBot="1" x14ac:dyDescent="0.3">
      <c r="A16" s="9">
        <v>44726</v>
      </c>
      <c r="B16" s="39">
        <v>172</v>
      </c>
      <c r="C16" s="145">
        <v>19734</v>
      </c>
      <c r="D16" s="39">
        <f t="shared" si="1"/>
        <v>800</v>
      </c>
      <c r="E16" s="146">
        <v>31394842</v>
      </c>
      <c r="F16" s="39">
        <f t="shared" si="2"/>
        <v>20058</v>
      </c>
      <c r="G16" s="147">
        <v>376593</v>
      </c>
      <c r="H16" s="39">
        <f t="shared" si="3"/>
        <v>48920</v>
      </c>
      <c r="I16" s="148">
        <f t="shared" si="4"/>
        <v>68978</v>
      </c>
      <c r="J16" s="146">
        <v>9994022</v>
      </c>
      <c r="K16" s="39">
        <f t="shared" si="12"/>
        <v>10098</v>
      </c>
      <c r="L16" s="149">
        <v>189636</v>
      </c>
      <c r="M16" s="39">
        <f t="shared" si="5"/>
        <v>6451</v>
      </c>
      <c r="N16" s="146">
        <v>6747072</v>
      </c>
      <c r="O16" s="39">
        <f t="shared" si="13"/>
        <v>13402</v>
      </c>
      <c r="P16" s="149">
        <v>6822158</v>
      </c>
      <c r="Q16" s="39">
        <f t="shared" si="6"/>
        <v>11965</v>
      </c>
      <c r="R16" s="146">
        <v>21371520</v>
      </c>
      <c r="S16" s="39">
        <f t="shared" si="7"/>
        <v>9633</v>
      </c>
      <c r="T16" s="146">
        <v>0</v>
      </c>
      <c r="U16" s="150"/>
      <c r="V16" s="146">
        <v>9315744</v>
      </c>
      <c r="W16" s="39">
        <f t="shared" si="8"/>
        <v>10615</v>
      </c>
      <c r="X16" s="19">
        <f t="shared" si="9"/>
        <v>62164</v>
      </c>
      <c r="Y16" s="151">
        <f t="shared" si="10"/>
        <v>6814</v>
      </c>
      <c r="Z16" s="3">
        <f t="shared" si="11"/>
        <v>8586.8272256</v>
      </c>
      <c r="AA16" s="3">
        <f>SUM(Z1:Z16)</f>
        <v>130394.00410400002</v>
      </c>
    </row>
    <row r="17" spans="1:27" s="131" customFormat="1" ht="16.5" thickBot="1" x14ac:dyDescent="0.3">
      <c r="A17" s="9">
        <v>44727</v>
      </c>
      <c r="B17" s="39">
        <v>180</v>
      </c>
      <c r="C17" s="145">
        <v>19738</v>
      </c>
      <c r="D17" s="39">
        <f t="shared" si="1"/>
        <v>640</v>
      </c>
      <c r="E17" s="146">
        <v>31415840</v>
      </c>
      <c r="F17" s="39">
        <f t="shared" si="2"/>
        <v>20998</v>
      </c>
      <c r="G17" s="147">
        <v>427390</v>
      </c>
      <c r="H17" s="39">
        <f t="shared" si="3"/>
        <v>50797</v>
      </c>
      <c r="I17" s="152">
        <f t="shared" si="4"/>
        <v>71795</v>
      </c>
      <c r="J17" s="146">
        <v>9999113</v>
      </c>
      <c r="K17" s="130">
        <f t="shared" si="12"/>
        <v>10182</v>
      </c>
      <c r="L17" s="149">
        <v>196362</v>
      </c>
      <c r="M17" s="130">
        <f t="shared" si="5"/>
        <v>6726</v>
      </c>
      <c r="N17" s="146">
        <v>6754127</v>
      </c>
      <c r="O17" s="130">
        <f t="shared" si="13"/>
        <v>14110</v>
      </c>
      <c r="P17" s="149">
        <v>6834660</v>
      </c>
      <c r="Q17" s="130">
        <f t="shared" si="6"/>
        <v>12502</v>
      </c>
      <c r="R17" s="146">
        <v>21381722</v>
      </c>
      <c r="S17" s="130">
        <f t="shared" si="7"/>
        <v>10202</v>
      </c>
      <c r="T17" s="153">
        <v>0</v>
      </c>
      <c r="U17" s="150"/>
      <c r="V17" s="146">
        <v>9326736</v>
      </c>
      <c r="W17" s="130">
        <f t="shared" si="8"/>
        <v>10992</v>
      </c>
      <c r="X17" s="19">
        <f t="shared" si="9"/>
        <v>64714</v>
      </c>
      <c r="Y17" s="154">
        <f t="shared" si="10"/>
        <v>7081</v>
      </c>
      <c r="Z17" s="155">
        <f t="shared" si="11"/>
        <v>8996.6719647999998</v>
      </c>
      <c r="AA17" s="3">
        <f>SUM(Z1:Z17)</f>
        <v>139390.67606880004</v>
      </c>
    </row>
    <row r="18" spans="1:27" s="131" customFormat="1" ht="16.5" thickBot="1" x14ac:dyDescent="0.3">
      <c r="A18" s="9">
        <v>44728</v>
      </c>
      <c r="B18" s="39">
        <v>201</v>
      </c>
      <c r="C18" s="145">
        <v>19742</v>
      </c>
      <c r="D18" s="39">
        <f t="shared" si="1"/>
        <v>640</v>
      </c>
      <c r="E18" s="146">
        <v>31441378</v>
      </c>
      <c r="F18" s="39">
        <f t="shared" si="2"/>
        <v>25538</v>
      </c>
      <c r="G18" s="147">
        <v>489977</v>
      </c>
      <c r="H18" s="39">
        <f t="shared" si="3"/>
        <v>62587</v>
      </c>
      <c r="I18" s="152">
        <f t="shared" si="4"/>
        <v>88125</v>
      </c>
      <c r="J18" s="146">
        <v>5105</v>
      </c>
      <c r="K18" s="130">
        <f>(J18-J17)+9999999</f>
        <v>5991</v>
      </c>
      <c r="L18" s="149">
        <v>204260</v>
      </c>
      <c r="M18" s="130">
        <f t="shared" si="5"/>
        <v>7898</v>
      </c>
      <c r="N18" s="146">
        <v>6762830</v>
      </c>
      <c r="O18" s="130">
        <f t="shared" si="13"/>
        <v>17406</v>
      </c>
      <c r="P18" s="149">
        <v>6850147</v>
      </c>
      <c r="Q18" s="130">
        <f t="shared" si="6"/>
        <v>15487</v>
      </c>
      <c r="R18" s="146">
        <v>21394708</v>
      </c>
      <c r="S18" s="130">
        <f t="shared" si="7"/>
        <v>12986</v>
      </c>
      <c r="T18" s="153">
        <v>0</v>
      </c>
      <c r="U18" s="150"/>
      <c r="V18" s="146">
        <v>9340102</v>
      </c>
      <c r="W18" s="130">
        <f t="shared" si="8"/>
        <v>13366</v>
      </c>
      <c r="X18" s="19">
        <f t="shared" si="9"/>
        <v>73134</v>
      </c>
      <c r="Y18" s="154">
        <f t="shared" si="10"/>
        <v>14991</v>
      </c>
      <c r="Z18" s="155">
        <f t="shared" si="11"/>
        <v>11157.8847744</v>
      </c>
      <c r="AA18" s="3">
        <f>SUM(Z1:Z18)</f>
        <v>150548.56084320004</v>
      </c>
    </row>
    <row r="19" spans="1:27" s="131" customFormat="1" ht="16.5" thickBot="1" x14ac:dyDescent="0.3">
      <c r="A19" s="9">
        <v>44729</v>
      </c>
      <c r="B19" s="39">
        <v>200</v>
      </c>
      <c r="C19" s="145">
        <v>19745</v>
      </c>
      <c r="D19" s="39">
        <f t="shared" si="1"/>
        <v>480</v>
      </c>
      <c r="E19" s="146">
        <v>31461153</v>
      </c>
      <c r="F19" s="39">
        <f t="shared" si="2"/>
        <v>19775</v>
      </c>
      <c r="G19" s="147">
        <v>539099</v>
      </c>
      <c r="H19" s="39">
        <f t="shared" si="3"/>
        <v>49122</v>
      </c>
      <c r="I19" s="152">
        <f t="shared" si="4"/>
        <v>68897</v>
      </c>
      <c r="J19" s="146">
        <v>9617</v>
      </c>
      <c r="K19" s="130">
        <f t="shared" si="12"/>
        <v>9024</v>
      </c>
      <c r="L19" s="149">
        <v>210107</v>
      </c>
      <c r="M19" s="130">
        <f t="shared" si="5"/>
        <v>5847</v>
      </c>
      <c r="N19" s="146">
        <v>6769703</v>
      </c>
      <c r="O19" s="130">
        <f t="shared" si="13"/>
        <v>13746</v>
      </c>
      <c r="P19" s="149">
        <v>6862414</v>
      </c>
      <c r="Q19" s="130">
        <f t="shared" si="6"/>
        <v>12267</v>
      </c>
      <c r="R19" s="146">
        <v>21404755</v>
      </c>
      <c r="S19" s="130">
        <f t="shared" si="7"/>
        <v>10047</v>
      </c>
      <c r="T19" s="153">
        <v>0</v>
      </c>
      <c r="U19" s="150"/>
      <c r="V19" s="146">
        <v>9350789</v>
      </c>
      <c r="W19" s="130">
        <f t="shared" si="8"/>
        <v>10687</v>
      </c>
      <c r="X19" s="19">
        <f t="shared" si="9"/>
        <v>61618</v>
      </c>
      <c r="Y19" s="154">
        <f t="shared" si="10"/>
        <v>7279</v>
      </c>
      <c r="Z19" s="155">
        <f t="shared" si="11"/>
        <v>8798.3069407999992</v>
      </c>
      <c r="AA19" s="3">
        <f>SUM(Z1:Z19)</f>
        <v>159346.86778400003</v>
      </c>
    </row>
    <row r="20" spans="1:27" s="131" customFormat="1" ht="16.5" thickBot="1" x14ac:dyDescent="0.3">
      <c r="A20" s="9">
        <v>44730</v>
      </c>
      <c r="B20" s="39">
        <v>169</v>
      </c>
      <c r="C20" s="145">
        <v>19749</v>
      </c>
      <c r="D20" s="39">
        <f t="shared" si="1"/>
        <v>640</v>
      </c>
      <c r="E20" s="146">
        <v>31482885</v>
      </c>
      <c r="F20" s="39">
        <f t="shared" si="2"/>
        <v>21732</v>
      </c>
      <c r="G20" s="147">
        <v>593441</v>
      </c>
      <c r="H20" s="39">
        <f t="shared" si="3"/>
        <v>54342</v>
      </c>
      <c r="I20" s="152">
        <f t="shared" si="4"/>
        <v>76074</v>
      </c>
      <c r="J20" s="146">
        <v>14250</v>
      </c>
      <c r="K20" s="130">
        <f t="shared" si="12"/>
        <v>9266</v>
      </c>
      <c r="L20" s="149">
        <v>216603</v>
      </c>
      <c r="M20" s="130">
        <f t="shared" si="5"/>
        <v>6496</v>
      </c>
      <c r="N20" s="146">
        <v>6777233</v>
      </c>
      <c r="O20" s="130">
        <f t="shared" si="13"/>
        <v>15060</v>
      </c>
      <c r="P20" s="149">
        <v>6875260</v>
      </c>
      <c r="Q20" s="130">
        <f t="shared" si="6"/>
        <v>12846</v>
      </c>
      <c r="R20" s="146">
        <v>21415523</v>
      </c>
      <c r="S20" s="130">
        <f t="shared" si="7"/>
        <v>10768</v>
      </c>
      <c r="T20" s="153">
        <v>0</v>
      </c>
      <c r="U20" s="150"/>
      <c r="V20" s="146">
        <v>9362902</v>
      </c>
      <c r="W20" s="130">
        <f t="shared" si="8"/>
        <v>12113</v>
      </c>
      <c r="X20" s="19">
        <f t="shared" si="9"/>
        <v>66549</v>
      </c>
      <c r="Y20" s="154">
        <f t="shared" si="10"/>
        <v>9525</v>
      </c>
      <c r="Z20" s="155">
        <f t="shared" si="11"/>
        <v>9593.4622992000004</v>
      </c>
      <c r="AA20" s="3">
        <f>SUM(Z1:Z20)</f>
        <v>168940.33008320004</v>
      </c>
    </row>
    <row r="21" spans="1:27" s="131" customFormat="1" ht="16.5" thickBot="1" x14ac:dyDescent="0.3">
      <c r="A21" s="9">
        <v>44731</v>
      </c>
      <c r="B21" s="39">
        <v>300</v>
      </c>
      <c r="C21" s="145">
        <v>19753</v>
      </c>
      <c r="D21" s="39">
        <f t="shared" si="1"/>
        <v>640</v>
      </c>
      <c r="E21" s="146">
        <v>31503872</v>
      </c>
      <c r="F21" s="39">
        <f t="shared" si="2"/>
        <v>20987</v>
      </c>
      <c r="G21" s="147">
        <v>646189</v>
      </c>
      <c r="H21" s="39">
        <f t="shared" si="3"/>
        <v>52748</v>
      </c>
      <c r="I21" s="152">
        <f t="shared" si="4"/>
        <v>73735</v>
      </c>
      <c r="J21" s="146">
        <v>19351</v>
      </c>
      <c r="K21" s="130">
        <f t="shared" si="12"/>
        <v>10202</v>
      </c>
      <c r="L21" s="149">
        <v>223136</v>
      </c>
      <c r="M21" s="130">
        <f t="shared" si="5"/>
        <v>6533</v>
      </c>
      <c r="N21" s="146">
        <v>6784362</v>
      </c>
      <c r="O21" s="130">
        <f t="shared" si="13"/>
        <v>14258</v>
      </c>
      <c r="P21" s="149">
        <v>6885041</v>
      </c>
      <c r="Q21" s="130">
        <f t="shared" si="6"/>
        <v>9781</v>
      </c>
      <c r="R21" s="146">
        <v>21426166</v>
      </c>
      <c r="S21" s="130">
        <f t="shared" si="7"/>
        <v>10643</v>
      </c>
      <c r="T21" s="153">
        <v>0</v>
      </c>
      <c r="U21" s="150"/>
      <c r="V21" s="146">
        <v>9374524</v>
      </c>
      <c r="W21" s="130">
        <f t="shared" si="8"/>
        <v>11622</v>
      </c>
      <c r="X21" s="19">
        <f t="shared" si="9"/>
        <v>63039</v>
      </c>
      <c r="Y21" s="154">
        <f t="shared" si="10"/>
        <v>10696</v>
      </c>
      <c r="Z21" s="155">
        <f t="shared" si="11"/>
        <v>8884.131879999999</v>
      </c>
      <c r="AA21" s="3">
        <f>SUM(Z1:Z21)</f>
        <v>177824.46196320004</v>
      </c>
    </row>
    <row r="22" spans="1:27" ht="16.5" thickBot="1" x14ac:dyDescent="0.3">
      <c r="A22" s="9">
        <v>44732</v>
      </c>
      <c r="B22" s="39">
        <v>324</v>
      </c>
      <c r="C22" s="145">
        <v>19756</v>
      </c>
      <c r="D22" s="39">
        <f t="shared" si="1"/>
        <v>480</v>
      </c>
      <c r="E22" s="146">
        <v>31529162</v>
      </c>
      <c r="F22" s="39">
        <f t="shared" si="2"/>
        <v>25290</v>
      </c>
      <c r="G22" s="147">
        <v>708745</v>
      </c>
      <c r="H22" s="39">
        <f t="shared" si="3"/>
        <v>62556</v>
      </c>
      <c r="I22" s="148">
        <f t="shared" si="4"/>
        <v>87846</v>
      </c>
      <c r="J22" s="146">
        <v>25272</v>
      </c>
      <c r="K22" s="39">
        <f t="shared" si="12"/>
        <v>11842</v>
      </c>
      <c r="L22" s="149">
        <v>231055</v>
      </c>
      <c r="M22" s="39">
        <f t="shared" si="5"/>
        <v>7919</v>
      </c>
      <c r="N22" s="146">
        <v>6792942</v>
      </c>
      <c r="O22" s="39">
        <f t="shared" si="13"/>
        <v>17160</v>
      </c>
      <c r="P22" s="149">
        <v>6903575</v>
      </c>
      <c r="Q22" s="39">
        <f t="shared" si="6"/>
        <v>18534</v>
      </c>
      <c r="R22" s="146">
        <v>21438494</v>
      </c>
      <c r="S22" s="39">
        <f t="shared" si="7"/>
        <v>12328</v>
      </c>
      <c r="T22" s="146">
        <v>0</v>
      </c>
      <c r="U22" s="150"/>
      <c r="V22" s="146">
        <v>9388410</v>
      </c>
      <c r="W22" s="39">
        <f t="shared" si="8"/>
        <v>13886</v>
      </c>
      <c r="X22" s="19">
        <f t="shared" si="9"/>
        <v>81669</v>
      </c>
      <c r="Y22" s="151">
        <f t="shared" si="10"/>
        <v>6177</v>
      </c>
      <c r="Z22" s="3">
        <f t="shared" si="11"/>
        <v>11529.885244800002</v>
      </c>
      <c r="AA22" s="3">
        <f>SUM(Z1:Z22)</f>
        <v>189354.34720800005</v>
      </c>
    </row>
    <row r="23" spans="1:27" ht="16.5" thickBot="1" x14ac:dyDescent="0.3">
      <c r="A23" s="9">
        <v>44733</v>
      </c>
      <c r="B23" s="39">
        <v>324</v>
      </c>
      <c r="C23" s="145">
        <v>19760</v>
      </c>
      <c r="D23" s="39">
        <f t="shared" si="1"/>
        <v>640</v>
      </c>
      <c r="E23" s="146">
        <v>31546120</v>
      </c>
      <c r="F23" s="39">
        <f t="shared" si="2"/>
        <v>16958</v>
      </c>
      <c r="G23" s="147">
        <v>751160</v>
      </c>
      <c r="H23" s="39">
        <f t="shared" si="3"/>
        <v>42415</v>
      </c>
      <c r="I23" s="148">
        <f t="shared" si="4"/>
        <v>59373</v>
      </c>
      <c r="J23" s="146">
        <v>29620</v>
      </c>
      <c r="K23" s="39">
        <f t="shared" si="12"/>
        <v>8696</v>
      </c>
      <c r="L23" s="149">
        <v>236408</v>
      </c>
      <c r="M23" s="39">
        <f t="shared" si="5"/>
        <v>5353</v>
      </c>
      <c r="N23" s="146">
        <v>6798658</v>
      </c>
      <c r="O23" s="39">
        <f t="shared" si="13"/>
        <v>11432</v>
      </c>
      <c r="P23" s="149">
        <v>6913672</v>
      </c>
      <c r="Q23" s="39">
        <f t="shared" si="6"/>
        <v>10097</v>
      </c>
      <c r="R23" s="146">
        <v>21446792</v>
      </c>
      <c r="S23" s="39">
        <f t="shared" si="7"/>
        <v>8298</v>
      </c>
      <c r="T23" s="146">
        <v>0</v>
      </c>
      <c r="U23" s="150"/>
      <c r="V23" s="146">
        <v>9397774</v>
      </c>
      <c r="W23" s="39">
        <f t="shared" si="8"/>
        <v>9364</v>
      </c>
      <c r="X23" s="19">
        <f t="shared" si="9"/>
        <v>53240</v>
      </c>
      <c r="Y23" s="151">
        <f t="shared" si="10"/>
        <v>6133</v>
      </c>
      <c r="Z23" s="3">
        <f t="shared" si="11"/>
        <v>7403.5461344000005</v>
      </c>
      <c r="AA23" s="3">
        <f>SUM(Z1:Z23)</f>
        <v>196757.89334240006</v>
      </c>
    </row>
    <row r="24" spans="1:27" ht="16.5" thickBot="1" x14ac:dyDescent="0.3">
      <c r="A24" s="9">
        <v>44734</v>
      </c>
      <c r="B24" s="39">
        <v>137</v>
      </c>
      <c r="C24" s="145">
        <v>19764</v>
      </c>
      <c r="D24" s="39">
        <f t="shared" si="1"/>
        <v>640</v>
      </c>
      <c r="E24" s="146">
        <v>31568036</v>
      </c>
      <c r="F24" s="39">
        <f t="shared" si="2"/>
        <v>21916</v>
      </c>
      <c r="G24" s="147">
        <v>804513</v>
      </c>
      <c r="H24" s="39">
        <f t="shared" si="3"/>
        <v>53353</v>
      </c>
      <c r="I24" s="148">
        <f t="shared" si="4"/>
        <v>75269</v>
      </c>
      <c r="J24" s="146">
        <v>34845</v>
      </c>
      <c r="K24" s="39">
        <f t="shared" si="12"/>
        <v>10450</v>
      </c>
      <c r="L24" s="149">
        <v>243232</v>
      </c>
      <c r="M24" s="39">
        <f t="shared" si="5"/>
        <v>6824</v>
      </c>
      <c r="N24" s="146">
        <v>6806116</v>
      </c>
      <c r="O24" s="39">
        <f t="shared" si="13"/>
        <v>14916</v>
      </c>
      <c r="P24" s="149">
        <v>6926638</v>
      </c>
      <c r="Q24" s="39">
        <f t="shared" si="6"/>
        <v>12966</v>
      </c>
      <c r="R24" s="146">
        <v>21457188</v>
      </c>
      <c r="S24" s="39">
        <f t="shared" si="7"/>
        <v>10396</v>
      </c>
      <c r="T24" s="146">
        <v>0</v>
      </c>
      <c r="U24" s="150"/>
      <c r="V24" s="146">
        <v>9409573</v>
      </c>
      <c r="W24" s="39">
        <f t="shared" si="8"/>
        <v>11799</v>
      </c>
      <c r="X24" s="19">
        <f t="shared" si="9"/>
        <v>67351</v>
      </c>
      <c r="Y24" s="151">
        <f t="shared" si="10"/>
        <v>7918</v>
      </c>
      <c r="Z24" s="3">
        <f t="shared" si="11"/>
        <v>9423.48524</v>
      </c>
      <c r="AA24" s="3">
        <f>SUM(Z1:Z24)</f>
        <v>206181.37858240007</v>
      </c>
    </row>
    <row r="25" spans="1:27" ht="16.5" thickBot="1" x14ac:dyDescent="0.3">
      <c r="A25" s="9">
        <v>44735</v>
      </c>
      <c r="B25" s="39">
        <v>200</v>
      </c>
      <c r="C25" s="145">
        <v>19768</v>
      </c>
      <c r="D25" s="39">
        <f t="shared" si="1"/>
        <v>640</v>
      </c>
      <c r="E25" s="146">
        <v>31587953</v>
      </c>
      <c r="F25" s="39">
        <f t="shared" si="2"/>
        <v>19917</v>
      </c>
      <c r="G25" s="147">
        <v>852788</v>
      </c>
      <c r="H25" s="39">
        <f t="shared" si="3"/>
        <v>48275</v>
      </c>
      <c r="I25" s="148">
        <f t="shared" si="4"/>
        <v>68192</v>
      </c>
      <c r="J25" s="146">
        <v>39434</v>
      </c>
      <c r="K25" s="39">
        <f t="shared" si="12"/>
        <v>9178</v>
      </c>
      <c r="L25" s="149">
        <v>249394</v>
      </c>
      <c r="M25" s="39">
        <f t="shared" si="5"/>
        <v>6162</v>
      </c>
      <c r="N25" s="146">
        <v>6812892</v>
      </c>
      <c r="O25" s="39">
        <f t="shared" si="13"/>
        <v>13552</v>
      </c>
      <c r="P25" s="149">
        <v>6938549</v>
      </c>
      <c r="Q25" s="39">
        <f t="shared" si="6"/>
        <v>11911</v>
      </c>
      <c r="R25" s="146">
        <v>21466598</v>
      </c>
      <c r="S25" s="39">
        <f t="shared" si="7"/>
        <v>9410</v>
      </c>
      <c r="T25" s="146">
        <v>0</v>
      </c>
      <c r="U25" s="150"/>
      <c r="V25" s="146">
        <v>9420227</v>
      </c>
      <c r="W25" s="39">
        <f t="shared" si="8"/>
        <v>10654</v>
      </c>
      <c r="X25" s="19">
        <f t="shared" si="9"/>
        <v>60867</v>
      </c>
      <c r="Y25" s="151">
        <f t="shared" si="10"/>
        <v>7325</v>
      </c>
      <c r="Z25" s="3">
        <f t="shared" si="11"/>
        <v>8556.0653567999998</v>
      </c>
      <c r="AA25" s="3">
        <f>SUM(Z1:Z25)</f>
        <v>214737.44393920008</v>
      </c>
    </row>
    <row r="26" spans="1:27" ht="16.5" thickBot="1" x14ac:dyDescent="0.3">
      <c r="A26" s="9">
        <v>44736</v>
      </c>
      <c r="B26" s="39">
        <v>240</v>
      </c>
      <c r="C26" s="145">
        <v>19773</v>
      </c>
      <c r="D26" s="39">
        <f t="shared" si="1"/>
        <v>800</v>
      </c>
      <c r="E26" s="146">
        <v>31614072</v>
      </c>
      <c r="F26" s="39">
        <f t="shared" si="2"/>
        <v>26119</v>
      </c>
      <c r="G26" s="147">
        <v>914973</v>
      </c>
      <c r="H26" s="39">
        <f t="shared" si="3"/>
        <v>62185</v>
      </c>
      <c r="I26" s="148">
        <f t="shared" si="4"/>
        <v>88304</v>
      </c>
      <c r="J26" s="146">
        <v>44268</v>
      </c>
      <c r="K26" s="39">
        <f t="shared" si="12"/>
        <v>9668</v>
      </c>
      <c r="L26" s="149">
        <v>257345</v>
      </c>
      <c r="M26" s="39">
        <f t="shared" si="5"/>
        <v>7951</v>
      </c>
      <c r="N26" s="146">
        <v>6821863</v>
      </c>
      <c r="O26" s="39">
        <f t="shared" si="13"/>
        <v>17942</v>
      </c>
      <c r="P26" s="149">
        <v>6954526</v>
      </c>
      <c r="Q26" s="39">
        <f t="shared" si="6"/>
        <v>15977</v>
      </c>
      <c r="R26" s="146">
        <v>21478765</v>
      </c>
      <c r="S26" s="39">
        <f t="shared" si="7"/>
        <v>12167</v>
      </c>
      <c r="T26" s="146">
        <v>0</v>
      </c>
      <c r="U26" s="150"/>
      <c r="V26" s="146">
        <v>9434192</v>
      </c>
      <c r="W26" s="39">
        <f t="shared" si="8"/>
        <v>13965</v>
      </c>
      <c r="X26" s="19">
        <f t="shared" si="9"/>
        <v>77670</v>
      </c>
      <c r="Y26" s="151">
        <f t="shared" si="10"/>
        <v>10634</v>
      </c>
      <c r="Z26" s="3">
        <f t="shared" si="11"/>
        <v>11253.019398400002</v>
      </c>
      <c r="AA26" s="3">
        <f>SUM(Z1:Z26)</f>
        <v>225990.46333760009</v>
      </c>
    </row>
    <row r="27" spans="1:27" ht="16.5" thickBot="1" x14ac:dyDescent="0.3">
      <c r="A27" s="9">
        <v>44737</v>
      </c>
      <c r="B27" s="39">
        <v>169</v>
      </c>
      <c r="C27" s="145">
        <v>19778</v>
      </c>
      <c r="D27" s="39">
        <f t="shared" si="1"/>
        <v>800</v>
      </c>
      <c r="E27" s="146">
        <v>31636668</v>
      </c>
      <c r="F27" s="39">
        <f t="shared" si="2"/>
        <v>22596</v>
      </c>
      <c r="G27" s="147">
        <v>971819</v>
      </c>
      <c r="H27" s="39">
        <f t="shared" si="3"/>
        <v>56846</v>
      </c>
      <c r="I27" s="148">
        <f t="shared" si="4"/>
        <v>79442</v>
      </c>
      <c r="J27" s="146">
        <v>48606</v>
      </c>
      <c r="K27" s="39">
        <f t="shared" si="12"/>
        <v>8676</v>
      </c>
      <c r="L27" s="149">
        <v>264459</v>
      </c>
      <c r="M27" s="39">
        <f t="shared" si="5"/>
        <v>7114</v>
      </c>
      <c r="N27" s="146">
        <v>6829490</v>
      </c>
      <c r="O27" s="39">
        <f t="shared" si="13"/>
        <v>15254</v>
      </c>
      <c r="P27" s="149">
        <v>6968985</v>
      </c>
      <c r="Q27" s="39">
        <f t="shared" si="6"/>
        <v>14459</v>
      </c>
      <c r="R27" s="146">
        <v>21490090</v>
      </c>
      <c r="S27" s="39">
        <f t="shared" si="7"/>
        <v>11325</v>
      </c>
      <c r="T27" s="146">
        <v>0</v>
      </c>
      <c r="U27" s="150"/>
      <c r="V27" s="146">
        <v>9446991</v>
      </c>
      <c r="W27" s="39">
        <f t="shared" si="8"/>
        <v>12799</v>
      </c>
      <c r="X27" s="19">
        <f t="shared" si="9"/>
        <v>69627</v>
      </c>
      <c r="Y27" s="151">
        <f t="shared" si="10"/>
        <v>9815</v>
      </c>
      <c r="Z27" s="3">
        <f t="shared" si="11"/>
        <v>10156.753068800001</v>
      </c>
      <c r="AA27" s="3">
        <f>SUM(Z1:Z27)</f>
        <v>236147.21640640008</v>
      </c>
    </row>
    <row r="28" spans="1:27" ht="16.5" thickBot="1" x14ac:dyDescent="0.3">
      <c r="A28" s="9">
        <v>44738</v>
      </c>
      <c r="B28" s="39">
        <v>213</v>
      </c>
      <c r="C28" s="145">
        <v>19783</v>
      </c>
      <c r="D28" s="39">
        <f t="shared" si="1"/>
        <v>800</v>
      </c>
      <c r="E28" s="146">
        <v>31657739</v>
      </c>
      <c r="F28" s="39">
        <f t="shared" si="2"/>
        <v>21071</v>
      </c>
      <c r="G28" s="147">
        <v>1025590</v>
      </c>
      <c r="H28" s="39">
        <f t="shared" si="3"/>
        <v>53771</v>
      </c>
      <c r="I28" s="148">
        <f t="shared" si="4"/>
        <v>74842</v>
      </c>
      <c r="J28" s="146">
        <v>53405</v>
      </c>
      <c r="K28" s="39">
        <f t="shared" si="12"/>
        <v>9598</v>
      </c>
      <c r="L28" s="149">
        <v>271247</v>
      </c>
      <c r="M28" s="39">
        <f t="shared" si="5"/>
        <v>6788</v>
      </c>
      <c r="N28" s="146">
        <v>6836552</v>
      </c>
      <c r="O28" s="39">
        <f t="shared" si="13"/>
        <v>14124</v>
      </c>
      <c r="P28" s="149">
        <v>6982232</v>
      </c>
      <c r="Q28" s="39">
        <f t="shared" si="6"/>
        <v>13247</v>
      </c>
      <c r="R28" s="146">
        <v>21500567</v>
      </c>
      <c r="S28" s="39">
        <f t="shared" si="7"/>
        <v>10477</v>
      </c>
      <c r="T28" s="146">
        <v>0</v>
      </c>
      <c r="U28" s="150"/>
      <c r="V28" s="146">
        <v>9459044</v>
      </c>
      <c r="W28" s="39">
        <f t="shared" si="8"/>
        <v>12053</v>
      </c>
      <c r="X28" s="19">
        <f t="shared" si="9"/>
        <v>66287</v>
      </c>
      <c r="Y28" s="151">
        <f t="shared" si="10"/>
        <v>8555</v>
      </c>
      <c r="Z28" s="3">
        <f t="shared" si="11"/>
        <v>9430.8183840000002</v>
      </c>
      <c r="AA28" s="3">
        <f>SUM(Z1:Z28)</f>
        <v>245578.0347904001</v>
      </c>
    </row>
    <row r="29" spans="1:27" ht="16.5" thickBot="1" x14ac:dyDescent="0.3">
      <c r="A29" s="9">
        <v>44739</v>
      </c>
      <c r="B29" s="39">
        <v>286</v>
      </c>
      <c r="C29" s="145">
        <v>19787</v>
      </c>
      <c r="D29" s="39">
        <f t="shared" si="1"/>
        <v>640</v>
      </c>
      <c r="E29" s="146">
        <v>31677428</v>
      </c>
      <c r="F29" s="39">
        <f t="shared" si="2"/>
        <v>19689</v>
      </c>
      <c r="G29" s="147">
        <v>1076024</v>
      </c>
      <c r="H29" s="39">
        <f t="shared" si="3"/>
        <v>50434</v>
      </c>
      <c r="I29" s="148">
        <f t="shared" si="4"/>
        <v>70123</v>
      </c>
      <c r="J29" s="146">
        <v>58474</v>
      </c>
      <c r="K29" s="39">
        <f t="shared" si="12"/>
        <v>10138</v>
      </c>
      <c r="L29" s="149">
        <v>277452</v>
      </c>
      <c r="M29" s="39">
        <f t="shared" si="5"/>
        <v>6205</v>
      </c>
      <c r="N29" s="146">
        <v>6843205</v>
      </c>
      <c r="O29" s="39">
        <f t="shared" si="13"/>
        <v>13306</v>
      </c>
      <c r="P29" s="149">
        <v>6994782</v>
      </c>
      <c r="Q29" s="39">
        <f t="shared" si="6"/>
        <v>12550</v>
      </c>
      <c r="R29" s="146">
        <v>21510200</v>
      </c>
      <c r="S29" s="39">
        <f t="shared" si="7"/>
        <v>9633</v>
      </c>
      <c r="T29" s="146">
        <v>0</v>
      </c>
      <c r="U29" s="150"/>
      <c r="V29" s="146">
        <v>9470108</v>
      </c>
      <c r="W29" s="39">
        <f t="shared" si="8"/>
        <v>11064</v>
      </c>
      <c r="X29" s="19">
        <f t="shared" si="9"/>
        <v>62896</v>
      </c>
      <c r="Y29" s="151">
        <f t="shared" si="10"/>
        <v>7227</v>
      </c>
      <c r="Z29" s="3">
        <f t="shared" si="11"/>
        <v>8766.5979024000007</v>
      </c>
      <c r="AA29" s="3">
        <f>SUM(Z1:Z29)</f>
        <v>254344.63269280011</v>
      </c>
    </row>
    <row r="30" spans="1:27" ht="16.5" thickBot="1" x14ac:dyDescent="0.3">
      <c r="A30" s="9">
        <v>44740</v>
      </c>
      <c r="B30" s="39"/>
      <c r="C30" s="145"/>
      <c r="D30" s="39">
        <f>IF((C30-C29)&lt;0,"0",(C30-C29))*160</f>
        <v>0</v>
      </c>
      <c r="E30" s="146"/>
      <c r="F30" s="39" t="str">
        <f>IF((E30-E29)&lt;0,"0",(E30-E29))</f>
        <v>0</v>
      </c>
      <c r="G30" s="147"/>
      <c r="H30" s="39" t="str">
        <f t="shared" si="3"/>
        <v>0</v>
      </c>
      <c r="I30" s="148">
        <f t="shared" si="4"/>
        <v>0</v>
      </c>
      <c r="J30" s="146"/>
      <c r="K30" s="39">
        <f>(IF((J30-J29)&lt;0,"0",(J30-J29)))*2</f>
        <v>0</v>
      </c>
      <c r="L30" s="149"/>
      <c r="M30" s="39" t="str">
        <f>IF((L30-L29)&lt;0,"0",(L30-L29))</f>
        <v>0</v>
      </c>
      <c r="N30" s="146"/>
      <c r="O30" s="39">
        <f>(IF((N30-N29)&lt;0,"0",(N30-N29)))*2</f>
        <v>0</v>
      </c>
      <c r="P30" s="149"/>
      <c r="Q30" s="39" t="str">
        <f>IF((P30-P29)&lt;0,"0",(P30-P29))</f>
        <v>0</v>
      </c>
      <c r="R30" s="146"/>
      <c r="S30" s="39" t="str">
        <f>IF((R30-R29)&lt;0,"0",(R30-R29))</f>
        <v>0</v>
      </c>
      <c r="T30" s="146">
        <v>0</v>
      </c>
      <c r="U30" s="150"/>
      <c r="V30" s="146"/>
      <c r="W30" s="39" t="str">
        <f>IF((V30-V29)&lt;0,"0",(V30-V29))</f>
        <v>0</v>
      </c>
      <c r="X30" s="19">
        <f t="shared" si="9"/>
        <v>0</v>
      </c>
      <c r="Y30" s="151">
        <f t="shared" si="10"/>
        <v>0</v>
      </c>
      <c r="Z30" s="3">
        <f t="shared" si="11"/>
        <v>0</v>
      </c>
      <c r="AA30" s="3">
        <f>SUM(Z1:Z30)</f>
        <v>254344.63269280011</v>
      </c>
    </row>
    <row r="31" spans="1:27" ht="16.5" thickBot="1" x14ac:dyDescent="0.3">
      <c r="A31" s="9">
        <v>44741</v>
      </c>
      <c r="B31" s="39"/>
      <c r="C31" s="145"/>
      <c r="D31" s="39">
        <f t="shared" ref="D31:D32" si="25">IF((C31-C30)&lt;0,"0",(C31-C30))*160</f>
        <v>0</v>
      </c>
      <c r="E31" s="146"/>
      <c r="F31" s="39">
        <f t="shared" ref="F31:F32" si="26">IF((E31-E30)&lt;0,"0",(E31-E30))</f>
        <v>0</v>
      </c>
      <c r="G31" s="147"/>
      <c r="H31" s="39">
        <f t="shared" si="3"/>
        <v>0</v>
      </c>
      <c r="I31" s="148">
        <f t="shared" ref="I31:I32" si="27">F31+H31</f>
        <v>0</v>
      </c>
      <c r="J31" s="146"/>
      <c r="K31" s="39">
        <f t="shared" ref="K31:K32" si="28">(IF((J31-J30)&lt;0,"0",(J31-J30)))*2</f>
        <v>0</v>
      </c>
      <c r="L31" s="149"/>
      <c r="M31" s="39">
        <f t="shared" ref="M31:M32" si="29">IF((L31-L30)&lt;0,"0",(L31-L30))</f>
        <v>0</v>
      </c>
      <c r="N31" s="146"/>
      <c r="O31" s="39">
        <f t="shared" ref="O31:O32" si="30">(IF((N31-N30)&lt;0,"0",(N31-N30)))*2</f>
        <v>0</v>
      </c>
      <c r="P31" s="149"/>
      <c r="Q31" s="39">
        <f t="shared" ref="Q31:Q32" si="31">IF((P31-P30)&lt;0,"0",(P31-P30))</f>
        <v>0</v>
      </c>
      <c r="R31" s="146"/>
      <c r="S31" s="39">
        <f t="shared" ref="S31:S32" si="32">IF((R31-R30)&lt;0,"0",(R31-R30))</f>
        <v>0</v>
      </c>
      <c r="T31" s="146">
        <v>0</v>
      </c>
      <c r="U31" s="150"/>
      <c r="V31" s="146"/>
      <c r="W31" s="39">
        <f t="shared" ref="W31:W32" si="33">IF((V31-V30)&lt;0,"0",(V31-V30))</f>
        <v>0</v>
      </c>
      <c r="X31" s="19">
        <f t="shared" ref="X31:X32" si="34">K31+M31+O31+Q31+S31+U31+W31</f>
        <v>0</v>
      </c>
      <c r="Y31" s="151">
        <f t="shared" ref="Y31:Y32" si="35">I31-X31</f>
        <v>0</v>
      </c>
      <c r="Z31" s="3">
        <f t="shared" ref="Z31:Z32" si="36">(0.93352*(W31+S31)+0.5568*(Q31+O31))*0.26</f>
        <v>0</v>
      </c>
      <c r="AA31" s="3">
        <f>SUM(Z1:Z31)</f>
        <v>254344.63269280011</v>
      </c>
    </row>
    <row r="32" spans="1:27" ht="16.5" thickBot="1" x14ac:dyDescent="0.3">
      <c r="A32" s="9">
        <v>44742</v>
      </c>
      <c r="B32" s="39"/>
      <c r="C32" s="145"/>
      <c r="D32" s="39">
        <f t="shared" si="25"/>
        <v>0</v>
      </c>
      <c r="E32" s="146"/>
      <c r="F32" s="39">
        <f t="shared" si="26"/>
        <v>0</v>
      </c>
      <c r="G32" s="147"/>
      <c r="H32" s="39">
        <f t="shared" si="3"/>
        <v>0</v>
      </c>
      <c r="I32" s="148">
        <f t="shared" si="27"/>
        <v>0</v>
      </c>
      <c r="J32" s="146"/>
      <c r="K32" s="39">
        <f t="shared" si="28"/>
        <v>0</v>
      </c>
      <c r="L32" s="149"/>
      <c r="M32" s="39">
        <f t="shared" si="29"/>
        <v>0</v>
      </c>
      <c r="N32" s="146"/>
      <c r="O32" s="39">
        <f t="shared" si="30"/>
        <v>0</v>
      </c>
      <c r="P32" s="149"/>
      <c r="Q32" s="39">
        <f t="shared" si="31"/>
        <v>0</v>
      </c>
      <c r="R32" s="146"/>
      <c r="S32" s="39">
        <f t="shared" si="32"/>
        <v>0</v>
      </c>
      <c r="T32" s="146">
        <v>0</v>
      </c>
      <c r="U32" s="150"/>
      <c r="V32" s="146"/>
      <c r="W32" s="39">
        <f t="shared" si="33"/>
        <v>0</v>
      </c>
      <c r="X32" s="19">
        <f t="shared" si="34"/>
        <v>0</v>
      </c>
      <c r="Y32" s="151">
        <f t="shared" si="35"/>
        <v>0</v>
      </c>
      <c r="Z32" s="3">
        <f t="shared" si="36"/>
        <v>0</v>
      </c>
      <c r="AA32" s="3">
        <f>SUM(Z1:Z32)</f>
        <v>254344.63269280011</v>
      </c>
    </row>
    <row r="33" spans="1:27" ht="16.5" thickBot="1" x14ac:dyDescent="0.3">
      <c r="A33" s="137" t="s">
        <v>23</v>
      </c>
      <c r="B33" s="137">
        <f>SUM(B3:B32)</f>
        <v>5908</v>
      </c>
      <c r="C33" s="137">
        <v>0</v>
      </c>
      <c r="D33" s="137">
        <f>SUM(D3:D32)</f>
        <v>17760</v>
      </c>
      <c r="E33" s="56">
        <v>0</v>
      </c>
      <c r="F33" s="56">
        <f>SUM(F3:F32)</f>
        <v>581850</v>
      </c>
      <c r="G33" s="56">
        <v>0</v>
      </c>
      <c r="H33" s="56">
        <f>SUM(H3:H32)</f>
        <v>1435202</v>
      </c>
      <c r="I33" s="56">
        <f>SUM(I3:I32)</f>
        <v>2017052</v>
      </c>
      <c r="J33" s="56">
        <v>0</v>
      </c>
      <c r="K33" s="56">
        <f>SUM(K2:K32)</f>
        <v>269061</v>
      </c>
      <c r="L33" s="56">
        <v>0</v>
      </c>
      <c r="M33" s="56">
        <f>SUM(M3:M32)</f>
        <v>182720</v>
      </c>
      <c r="N33" s="56">
        <v>0</v>
      </c>
      <c r="O33" s="56">
        <f>SUM(O3:O32)</f>
        <v>393898</v>
      </c>
      <c r="P33" s="56">
        <v>0</v>
      </c>
      <c r="Q33" s="56">
        <f>SUM(Q3:Q32)</f>
        <v>358526</v>
      </c>
      <c r="R33" s="56">
        <v>0</v>
      </c>
      <c r="S33" s="56">
        <f>SUM(S3:S32)</f>
        <v>287967</v>
      </c>
      <c r="T33" s="56">
        <f>SUM(T3:T32)</f>
        <v>0</v>
      </c>
      <c r="U33" s="56">
        <f>SUM(U3:U32)</f>
        <v>0</v>
      </c>
      <c r="V33" s="56">
        <v>0</v>
      </c>
      <c r="W33" s="56">
        <f>SUM(W3:W32)</f>
        <v>311162</v>
      </c>
      <c r="X33" s="56">
        <f>SUM(X3:X32)</f>
        <v>1803334</v>
      </c>
      <c r="Y33" s="56">
        <f>SUM(Y3:Y32)</f>
        <v>213718</v>
      </c>
      <c r="Z33" s="56">
        <f>SUM(Z3:Z32)</f>
        <v>254344.63269280011</v>
      </c>
      <c r="AA33" s="56">
        <f>SUM(AA3:AA32)</f>
        <v>4313124.2181664007</v>
      </c>
    </row>
    <row r="35" spans="1:27" x14ac:dyDescent="0.25">
      <c r="H35" s="166"/>
    </row>
    <row r="36" spans="1:27" x14ac:dyDescent="0.25">
      <c r="D36" s="164"/>
      <c r="H36" s="166"/>
    </row>
    <row r="37" spans="1:27" x14ac:dyDescent="0.25">
      <c r="E37" s="166"/>
      <c r="F37" s="166"/>
    </row>
    <row r="39" spans="1:27" x14ac:dyDescent="0.25">
      <c r="E39" s="166"/>
      <c r="H39" s="166"/>
      <c r="L39" s="166"/>
    </row>
    <row r="42" spans="1:27" x14ac:dyDescent="0.25">
      <c r="J42" s="166"/>
    </row>
    <row r="44" spans="1:27" ht="15" x14ac:dyDescent="0.2">
      <c r="A44" s="22"/>
      <c r="B44" s="40"/>
      <c r="C44" s="40"/>
      <c r="D44" s="40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A29" sqref="A29:XFD29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3" t="s">
        <v>25</v>
      </c>
      <c r="J1" s="3" t="s">
        <v>23</v>
      </c>
      <c r="K1" s="3" t="s">
        <v>29</v>
      </c>
    </row>
    <row r="2" spans="1:14" ht="16.5" thickBot="1" x14ac:dyDescent="0.3">
      <c r="A2" s="9">
        <v>44712</v>
      </c>
      <c r="B2" s="3">
        <v>450168</v>
      </c>
      <c r="C2" s="39"/>
      <c r="D2" s="3">
        <v>8793</v>
      </c>
      <c r="E2" s="39"/>
      <c r="F2" s="3">
        <v>9318800</v>
      </c>
      <c r="G2" s="39"/>
      <c r="H2" s="3">
        <v>793767</v>
      </c>
      <c r="I2" s="44"/>
      <c r="J2" s="19"/>
      <c r="K2" s="20"/>
    </row>
    <row r="3" spans="1:14" ht="16.5" thickBot="1" x14ac:dyDescent="0.3">
      <c r="A3" s="9">
        <v>44713</v>
      </c>
      <c r="B3" s="3">
        <v>450270</v>
      </c>
      <c r="C3" s="39">
        <f t="shared" ref="C3:E18" si="0">(IF((B3-B2)&lt;0,"0",(B3-B2)))*10</f>
        <v>1020</v>
      </c>
      <c r="D3" s="3">
        <v>8841</v>
      </c>
      <c r="E3" s="39">
        <f t="shared" si="0"/>
        <v>480</v>
      </c>
      <c r="F3" s="3">
        <v>9337600</v>
      </c>
      <c r="G3" s="39">
        <f>(IF((F3-F2)&lt;0,"0",(F3-F2)))*0.027</f>
        <v>507.59999999999997</v>
      </c>
      <c r="H3" s="3">
        <v>793990</v>
      </c>
      <c r="I3" s="44">
        <f>(IF((H3-H2)&lt;0,"0",(H3-H2)))*0.027</f>
        <v>6.0209999999999999</v>
      </c>
      <c r="J3" s="19">
        <f>C3+E3+G3+I3</f>
        <v>2013.6209999999999</v>
      </c>
      <c r="K3" s="20">
        <f>J3*5.86</f>
        <v>11799.81906</v>
      </c>
    </row>
    <row r="4" spans="1:14" ht="16.5" thickBot="1" x14ac:dyDescent="0.3">
      <c r="A4" s="9">
        <v>44714</v>
      </c>
      <c r="B4" s="3">
        <v>450372</v>
      </c>
      <c r="C4" s="39">
        <f t="shared" si="0"/>
        <v>1020</v>
      </c>
      <c r="D4" s="3">
        <v>8889</v>
      </c>
      <c r="E4" s="39">
        <f t="shared" si="0"/>
        <v>480</v>
      </c>
      <c r="F4" s="3">
        <v>9356400</v>
      </c>
      <c r="G4" s="39">
        <f>(IF((F4-F3)&lt;0,"0",(F4-F3)))*0.027</f>
        <v>507.59999999999997</v>
      </c>
      <c r="H4" s="3">
        <v>794213</v>
      </c>
      <c r="I4" s="44">
        <f>(IF((H4-H3)&lt;0,"0",(H4-H3)))*0.027</f>
        <v>6.0209999999999999</v>
      </c>
      <c r="J4" s="19">
        <f t="shared" ref="J4:J32" si="1">C4+E4+G4+I4</f>
        <v>2013.6209999999999</v>
      </c>
      <c r="K4" s="20">
        <f t="shared" ref="K4:K32" si="2">J4*5.86</f>
        <v>11799.81906</v>
      </c>
    </row>
    <row r="5" spans="1:14" ht="16.5" thickBot="1" x14ac:dyDescent="0.3">
      <c r="A5" s="9">
        <v>44715</v>
      </c>
      <c r="B5" s="3">
        <v>450477</v>
      </c>
      <c r="C5" s="39">
        <f t="shared" si="0"/>
        <v>1050</v>
      </c>
      <c r="D5" s="3">
        <v>8939</v>
      </c>
      <c r="E5" s="39">
        <f t="shared" si="0"/>
        <v>500</v>
      </c>
      <c r="F5" s="3">
        <v>9376800</v>
      </c>
      <c r="G5" s="39">
        <f t="shared" ref="G5:G32" si="3">(IF((F5-F4)&lt;0,"0",(F5-F4)))*0.027</f>
        <v>550.79999999999995</v>
      </c>
      <c r="H5" s="3">
        <v>794361</v>
      </c>
      <c r="I5" s="44">
        <f t="shared" ref="I5:I32" si="4">(IF((H5-H4)&lt;0,"0",(H5-H4)))*0.027</f>
        <v>3.996</v>
      </c>
      <c r="J5" s="19">
        <f t="shared" si="1"/>
        <v>2104.7960000000003</v>
      </c>
      <c r="K5" s="20">
        <f t="shared" si="2"/>
        <v>12334.104560000002</v>
      </c>
    </row>
    <row r="6" spans="1:14" ht="16.5" thickBot="1" x14ac:dyDescent="0.3">
      <c r="A6" s="9">
        <v>44716</v>
      </c>
      <c r="B6" s="3">
        <v>450598</v>
      </c>
      <c r="C6" s="39">
        <f t="shared" si="0"/>
        <v>1210</v>
      </c>
      <c r="D6" s="3">
        <v>8992</v>
      </c>
      <c r="E6" s="39">
        <f t="shared" si="0"/>
        <v>530</v>
      </c>
      <c r="F6" s="3">
        <v>9392100</v>
      </c>
      <c r="G6" s="39">
        <f t="shared" si="3"/>
        <v>413.1</v>
      </c>
      <c r="H6" s="3">
        <v>794551</v>
      </c>
      <c r="I6" s="44">
        <f t="shared" si="4"/>
        <v>5.13</v>
      </c>
      <c r="J6" s="19">
        <f t="shared" si="1"/>
        <v>2158.23</v>
      </c>
      <c r="K6" s="20">
        <f t="shared" si="2"/>
        <v>12647.227800000001</v>
      </c>
    </row>
    <row r="7" spans="1:14" ht="16.5" thickBot="1" x14ac:dyDescent="0.3">
      <c r="A7" s="9">
        <v>44717</v>
      </c>
      <c r="B7" s="3">
        <v>450701</v>
      </c>
      <c r="C7" s="39">
        <f t="shared" si="0"/>
        <v>1030</v>
      </c>
      <c r="D7" s="3">
        <v>9047</v>
      </c>
      <c r="E7" s="39">
        <f t="shared" si="0"/>
        <v>550</v>
      </c>
      <c r="F7" s="3">
        <v>9419100</v>
      </c>
      <c r="G7" s="39">
        <f t="shared" si="3"/>
        <v>729</v>
      </c>
      <c r="H7" s="3">
        <v>794752</v>
      </c>
      <c r="I7" s="44">
        <f t="shared" si="4"/>
        <v>5.4269999999999996</v>
      </c>
      <c r="J7" s="19">
        <f t="shared" si="1"/>
        <v>2314.4270000000001</v>
      </c>
      <c r="K7" s="20">
        <f t="shared" si="2"/>
        <v>13562.542220000001</v>
      </c>
      <c r="L7" t="s">
        <v>12</v>
      </c>
      <c r="N7" t="s">
        <v>12</v>
      </c>
    </row>
    <row r="8" spans="1:14" ht="16.5" thickBot="1" x14ac:dyDescent="0.3">
      <c r="A8" s="9">
        <v>44718</v>
      </c>
      <c r="B8" s="3">
        <v>450810</v>
      </c>
      <c r="C8" s="39">
        <f t="shared" si="0"/>
        <v>1090</v>
      </c>
      <c r="D8" s="3">
        <v>9096</v>
      </c>
      <c r="E8" s="39">
        <f t="shared" si="0"/>
        <v>490</v>
      </c>
      <c r="F8" s="3">
        <v>9437700</v>
      </c>
      <c r="G8" s="39">
        <f t="shared" si="3"/>
        <v>502.2</v>
      </c>
      <c r="H8" s="3">
        <v>794947</v>
      </c>
      <c r="I8" s="44">
        <f t="shared" si="4"/>
        <v>5.2649999999999997</v>
      </c>
      <c r="J8" s="19">
        <f t="shared" si="1"/>
        <v>2087.4649999999997</v>
      </c>
      <c r="K8" s="20">
        <f t="shared" si="2"/>
        <v>12232.544899999999</v>
      </c>
    </row>
    <row r="9" spans="1:14" ht="16.5" thickBot="1" x14ac:dyDescent="0.3">
      <c r="A9" s="9">
        <v>44719</v>
      </c>
      <c r="B9" s="3">
        <v>450927</v>
      </c>
      <c r="C9" s="39">
        <f t="shared" ref="C9:C32" si="5">(IF((B9-B8)&lt;0,"0",(B9-B8)))*10</f>
        <v>1170</v>
      </c>
      <c r="D9" s="3">
        <v>9154</v>
      </c>
      <c r="E9" s="39">
        <f t="shared" si="0"/>
        <v>580</v>
      </c>
      <c r="F9" s="3">
        <v>9458000</v>
      </c>
      <c r="G9" s="39">
        <f t="shared" si="3"/>
        <v>548.1</v>
      </c>
      <c r="H9" s="3">
        <v>795153</v>
      </c>
      <c r="I9" s="44">
        <f t="shared" si="4"/>
        <v>5.5620000000000003</v>
      </c>
      <c r="J9" s="19">
        <f t="shared" si="1"/>
        <v>2303.6619999999998</v>
      </c>
      <c r="K9" s="20">
        <f t="shared" si="2"/>
        <v>13499.45932</v>
      </c>
    </row>
    <row r="10" spans="1:14" ht="16.5" thickBot="1" x14ac:dyDescent="0.3">
      <c r="A10" s="9">
        <v>44720</v>
      </c>
      <c r="B10" s="3">
        <v>451044</v>
      </c>
      <c r="C10" s="39">
        <f>(IF((B10-B9)&lt;0,"0",(B10-B9)))*10</f>
        <v>1170</v>
      </c>
      <c r="D10" s="3">
        <v>9217</v>
      </c>
      <c r="E10" s="39">
        <f t="shared" si="0"/>
        <v>630</v>
      </c>
      <c r="F10" s="3">
        <v>9479600</v>
      </c>
      <c r="G10" s="39">
        <f t="shared" si="3"/>
        <v>583.20000000000005</v>
      </c>
      <c r="H10" s="3">
        <v>795381</v>
      </c>
      <c r="I10" s="44">
        <f t="shared" si="4"/>
        <v>6.1559999999999997</v>
      </c>
      <c r="J10" s="19">
        <f t="shared" si="1"/>
        <v>2389.3559999999998</v>
      </c>
      <c r="K10" s="20">
        <f t="shared" si="2"/>
        <v>14001.62616</v>
      </c>
    </row>
    <row r="11" spans="1:14" ht="16.5" thickBot="1" x14ac:dyDescent="0.3">
      <c r="A11" s="9">
        <v>44721</v>
      </c>
      <c r="B11" s="3">
        <v>451161</v>
      </c>
      <c r="C11" s="39">
        <f t="shared" si="5"/>
        <v>1170</v>
      </c>
      <c r="D11" s="3">
        <v>9280</v>
      </c>
      <c r="E11" s="39">
        <f t="shared" si="0"/>
        <v>630</v>
      </c>
      <c r="F11" s="3">
        <v>9501200</v>
      </c>
      <c r="G11" s="39">
        <f t="shared" si="3"/>
        <v>583.20000000000005</v>
      </c>
      <c r="H11" s="3">
        <v>795609</v>
      </c>
      <c r="I11" s="44">
        <f t="shared" si="4"/>
        <v>6.1559999999999997</v>
      </c>
      <c r="J11" s="19">
        <f t="shared" si="1"/>
        <v>2389.3559999999998</v>
      </c>
      <c r="K11" s="20">
        <f t="shared" si="2"/>
        <v>14001.62616</v>
      </c>
      <c r="N11" t="s">
        <v>12</v>
      </c>
    </row>
    <row r="12" spans="1:14" ht="16.5" thickBot="1" x14ac:dyDescent="0.3">
      <c r="A12" s="9">
        <v>44722</v>
      </c>
      <c r="B12" s="3">
        <v>451267</v>
      </c>
      <c r="C12" s="39">
        <f t="shared" si="5"/>
        <v>1060</v>
      </c>
      <c r="D12" s="3">
        <v>9306</v>
      </c>
      <c r="E12" s="39">
        <f t="shared" si="0"/>
        <v>260</v>
      </c>
      <c r="F12" s="3">
        <v>9519000</v>
      </c>
      <c r="G12" s="39">
        <f t="shared" si="3"/>
        <v>480.6</v>
      </c>
      <c r="H12" s="3">
        <v>795751</v>
      </c>
      <c r="I12" s="44">
        <f t="shared" si="4"/>
        <v>3.8340000000000001</v>
      </c>
      <c r="J12" s="19">
        <f t="shared" si="1"/>
        <v>1804.434</v>
      </c>
      <c r="K12" s="20">
        <f t="shared" si="2"/>
        <v>10573.98324</v>
      </c>
    </row>
    <row r="13" spans="1:14" ht="16.5" thickBot="1" x14ac:dyDescent="0.3">
      <c r="A13" s="9">
        <v>44723</v>
      </c>
      <c r="B13" s="3">
        <v>451374</v>
      </c>
      <c r="C13" s="39">
        <f t="shared" si="5"/>
        <v>1070</v>
      </c>
      <c r="D13" s="3">
        <v>9351</v>
      </c>
      <c r="E13" s="39">
        <f t="shared" si="0"/>
        <v>450</v>
      </c>
      <c r="F13" s="3">
        <v>9540200</v>
      </c>
      <c r="G13" s="39">
        <f t="shared" si="3"/>
        <v>572.4</v>
      </c>
      <c r="H13" s="3">
        <v>795971</v>
      </c>
      <c r="I13" s="44">
        <f t="shared" si="4"/>
        <v>5.9399999999999995</v>
      </c>
      <c r="J13" s="19">
        <f t="shared" si="1"/>
        <v>2098.34</v>
      </c>
      <c r="K13" s="20">
        <f t="shared" si="2"/>
        <v>12296.272400000002</v>
      </c>
    </row>
    <row r="14" spans="1:14" ht="16.5" thickBot="1" x14ac:dyDescent="0.3">
      <c r="A14" s="9">
        <v>44724</v>
      </c>
      <c r="B14" s="3">
        <v>451479</v>
      </c>
      <c r="C14" s="39">
        <f t="shared" si="5"/>
        <v>1050</v>
      </c>
      <c r="D14" s="3">
        <v>9396</v>
      </c>
      <c r="E14" s="39">
        <f t="shared" si="0"/>
        <v>450</v>
      </c>
      <c r="F14" s="3">
        <v>9558300</v>
      </c>
      <c r="G14" s="39">
        <f t="shared" si="3"/>
        <v>488.7</v>
      </c>
      <c r="H14" s="3">
        <v>796210</v>
      </c>
      <c r="I14" s="44">
        <f t="shared" si="4"/>
        <v>6.4530000000000003</v>
      </c>
      <c r="J14" s="19">
        <f t="shared" si="1"/>
        <v>1995.153</v>
      </c>
      <c r="K14" s="20">
        <f t="shared" si="2"/>
        <v>11691.596580000001</v>
      </c>
    </row>
    <row r="15" spans="1:14" ht="16.5" thickBot="1" x14ac:dyDescent="0.3">
      <c r="A15" s="9">
        <v>44725</v>
      </c>
      <c r="B15" s="3">
        <v>451569</v>
      </c>
      <c r="C15" s="39">
        <f t="shared" si="5"/>
        <v>900</v>
      </c>
      <c r="D15" s="3">
        <v>9441</v>
      </c>
      <c r="E15" s="39">
        <f t="shared" si="0"/>
        <v>450</v>
      </c>
      <c r="F15" s="3">
        <v>9577200</v>
      </c>
      <c r="G15" s="39">
        <f t="shared" si="3"/>
        <v>510.3</v>
      </c>
      <c r="H15" s="3">
        <v>796421</v>
      </c>
      <c r="I15" s="44">
        <f t="shared" si="4"/>
        <v>5.6970000000000001</v>
      </c>
      <c r="J15" s="19">
        <f t="shared" si="1"/>
        <v>1865.9969999999998</v>
      </c>
      <c r="K15" s="20">
        <f t="shared" si="2"/>
        <v>10934.74242</v>
      </c>
    </row>
    <row r="16" spans="1:14" ht="16.5" thickBot="1" x14ac:dyDescent="0.3">
      <c r="A16" s="9">
        <v>44726</v>
      </c>
      <c r="B16" s="3">
        <v>451672</v>
      </c>
      <c r="C16" s="39">
        <f t="shared" si="5"/>
        <v>1030</v>
      </c>
      <c r="D16" s="3">
        <v>9482</v>
      </c>
      <c r="E16" s="39">
        <f t="shared" si="0"/>
        <v>410</v>
      </c>
      <c r="F16" s="3">
        <v>9595500</v>
      </c>
      <c r="G16" s="39">
        <f t="shared" si="3"/>
        <v>494.1</v>
      </c>
      <c r="H16" s="3">
        <v>796608</v>
      </c>
      <c r="I16" s="44">
        <f t="shared" si="4"/>
        <v>5.0490000000000004</v>
      </c>
      <c r="J16" s="19">
        <f t="shared" si="1"/>
        <v>1939.1489999999999</v>
      </c>
      <c r="K16" s="20">
        <f t="shared" si="2"/>
        <v>11363.413140000001</v>
      </c>
    </row>
    <row r="17" spans="1:25" ht="16.5" thickBot="1" x14ac:dyDescent="0.3">
      <c r="A17" s="9">
        <v>44727</v>
      </c>
      <c r="B17" s="3">
        <v>451776</v>
      </c>
      <c r="C17" s="39">
        <f t="shared" si="5"/>
        <v>1040</v>
      </c>
      <c r="D17" s="3">
        <v>9530</v>
      </c>
      <c r="E17" s="39">
        <f t="shared" si="0"/>
        <v>480</v>
      </c>
      <c r="F17" s="3">
        <v>9613400</v>
      </c>
      <c r="G17" s="39">
        <f t="shared" si="3"/>
        <v>483.3</v>
      </c>
      <c r="H17" s="3">
        <v>796820</v>
      </c>
      <c r="I17" s="44">
        <f t="shared" si="4"/>
        <v>5.7240000000000002</v>
      </c>
      <c r="J17" s="19">
        <f t="shared" si="1"/>
        <v>2009.0239999999999</v>
      </c>
      <c r="K17" s="20">
        <f t="shared" si="2"/>
        <v>11772.880639999999</v>
      </c>
      <c r="P17" t="s">
        <v>12</v>
      </c>
      <c r="R17" t="s">
        <v>12</v>
      </c>
    </row>
    <row r="18" spans="1:25" ht="16.5" thickBot="1" x14ac:dyDescent="0.3">
      <c r="A18" s="9">
        <v>44728</v>
      </c>
      <c r="B18" s="3">
        <v>451880</v>
      </c>
      <c r="C18" s="39">
        <f t="shared" si="5"/>
        <v>1040</v>
      </c>
      <c r="D18" s="3">
        <v>9577</v>
      </c>
      <c r="E18" s="39">
        <f t="shared" si="0"/>
        <v>470</v>
      </c>
      <c r="F18" s="3">
        <v>9634700</v>
      </c>
      <c r="G18" s="39">
        <f t="shared" si="3"/>
        <v>575.1</v>
      </c>
      <c r="H18" s="3">
        <v>797032</v>
      </c>
      <c r="I18" s="44">
        <f t="shared" si="4"/>
        <v>5.7240000000000002</v>
      </c>
      <c r="J18" s="19">
        <f t="shared" si="1"/>
        <v>2090.8240000000001</v>
      </c>
      <c r="K18" s="20">
        <f t="shared" si="2"/>
        <v>12252.228640000001</v>
      </c>
      <c r="Q18" t="s">
        <v>43</v>
      </c>
    </row>
    <row r="19" spans="1:25" ht="16.5" thickBot="1" x14ac:dyDescent="0.3">
      <c r="A19" s="9">
        <v>44729</v>
      </c>
      <c r="B19" s="3">
        <v>451998</v>
      </c>
      <c r="C19" s="39">
        <f t="shared" si="5"/>
        <v>1180</v>
      </c>
      <c r="D19" s="3">
        <v>9623</v>
      </c>
      <c r="E19" s="39">
        <f t="shared" ref="E19:E32" si="6">(IF((D19-D18)&lt;0,"0",(D19-D18)))*10</f>
        <v>460</v>
      </c>
      <c r="F19" s="3">
        <v>9656400</v>
      </c>
      <c r="G19" s="39">
        <f t="shared" si="3"/>
        <v>585.9</v>
      </c>
      <c r="H19" s="3">
        <v>797208</v>
      </c>
      <c r="I19" s="44">
        <f t="shared" si="4"/>
        <v>4.7519999999999998</v>
      </c>
      <c r="J19" s="19">
        <f t="shared" si="1"/>
        <v>2230.652</v>
      </c>
      <c r="K19" s="20">
        <f t="shared" si="2"/>
        <v>13071.620720000001</v>
      </c>
      <c r="Q19" t="s">
        <v>12</v>
      </c>
    </row>
    <row r="20" spans="1:25" ht="16.5" thickBot="1" x14ac:dyDescent="0.3">
      <c r="A20" s="9">
        <v>44730</v>
      </c>
      <c r="B20" s="3">
        <v>452096</v>
      </c>
      <c r="C20" s="39">
        <f t="shared" si="5"/>
        <v>980</v>
      </c>
      <c r="D20" s="3">
        <v>9668</v>
      </c>
      <c r="E20" s="39">
        <f t="shared" si="6"/>
        <v>450</v>
      </c>
      <c r="F20" s="3">
        <v>9675300</v>
      </c>
      <c r="G20" s="39">
        <f t="shared" si="3"/>
        <v>510.3</v>
      </c>
      <c r="H20" s="3">
        <v>797392</v>
      </c>
      <c r="I20" s="44">
        <f t="shared" si="4"/>
        <v>4.968</v>
      </c>
      <c r="J20" s="19">
        <f t="shared" si="1"/>
        <v>1945.268</v>
      </c>
      <c r="K20" s="20">
        <f t="shared" si="2"/>
        <v>11399.270480000001</v>
      </c>
    </row>
    <row r="21" spans="1:25" ht="16.5" thickBot="1" x14ac:dyDescent="0.3">
      <c r="A21" s="9">
        <v>44731</v>
      </c>
      <c r="B21" s="3">
        <v>452190</v>
      </c>
      <c r="C21" s="39">
        <f t="shared" si="5"/>
        <v>940</v>
      </c>
      <c r="D21" s="3">
        <v>9715</v>
      </c>
      <c r="E21" s="39">
        <f t="shared" si="6"/>
        <v>470</v>
      </c>
      <c r="F21" s="3">
        <v>9690500</v>
      </c>
      <c r="G21" s="39">
        <f t="shared" si="3"/>
        <v>410.4</v>
      </c>
      <c r="H21" s="3">
        <v>797580</v>
      </c>
      <c r="I21" s="44">
        <f t="shared" si="4"/>
        <v>5.0759999999999996</v>
      </c>
      <c r="J21" s="19">
        <f t="shared" si="1"/>
        <v>1825.4760000000001</v>
      </c>
      <c r="K21" s="20">
        <f t="shared" si="2"/>
        <v>10697.289360000001</v>
      </c>
    </row>
    <row r="22" spans="1:25" ht="16.5" thickBot="1" x14ac:dyDescent="0.3">
      <c r="A22" s="9">
        <v>44732</v>
      </c>
      <c r="B22" s="3">
        <v>452284</v>
      </c>
      <c r="C22" s="39">
        <f t="shared" si="5"/>
        <v>940</v>
      </c>
      <c r="D22" s="3">
        <v>9765</v>
      </c>
      <c r="E22" s="39">
        <f t="shared" si="6"/>
        <v>500</v>
      </c>
      <c r="F22" s="3">
        <v>9705700</v>
      </c>
      <c r="G22" s="39">
        <f t="shared" si="3"/>
        <v>410.4</v>
      </c>
      <c r="H22" s="3">
        <v>797768</v>
      </c>
      <c r="I22" s="44">
        <f t="shared" si="4"/>
        <v>5.0759999999999996</v>
      </c>
      <c r="J22" s="19">
        <f t="shared" si="1"/>
        <v>1855.4760000000001</v>
      </c>
      <c r="K22" s="20">
        <f t="shared" si="2"/>
        <v>10873.089360000002</v>
      </c>
      <c r="P22" t="s">
        <v>12</v>
      </c>
      <c r="S22" s="26" t="s">
        <v>12</v>
      </c>
    </row>
    <row r="23" spans="1:25" ht="16.5" thickBot="1" x14ac:dyDescent="0.3">
      <c r="A23" s="9">
        <v>44733</v>
      </c>
      <c r="B23" s="3">
        <v>452383</v>
      </c>
      <c r="C23" s="39">
        <f t="shared" si="5"/>
        <v>990</v>
      </c>
      <c r="D23" s="3">
        <v>9803</v>
      </c>
      <c r="E23" s="39">
        <f t="shared" si="6"/>
        <v>380</v>
      </c>
      <c r="F23" s="3">
        <v>9725300</v>
      </c>
      <c r="G23" s="39">
        <f t="shared" si="3"/>
        <v>529.20000000000005</v>
      </c>
      <c r="H23" s="3">
        <v>797926</v>
      </c>
      <c r="I23" s="44">
        <f t="shared" si="4"/>
        <v>4.266</v>
      </c>
      <c r="J23" s="19">
        <f t="shared" si="1"/>
        <v>1903.4660000000001</v>
      </c>
      <c r="K23" s="20">
        <f t="shared" si="2"/>
        <v>11154.310760000002</v>
      </c>
      <c r="Q23" t="s">
        <v>12</v>
      </c>
    </row>
    <row r="24" spans="1:25" ht="16.5" thickBot="1" x14ac:dyDescent="0.3">
      <c r="A24" s="9">
        <v>44734</v>
      </c>
      <c r="B24" s="3">
        <v>452482</v>
      </c>
      <c r="C24" s="39">
        <f t="shared" si="5"/>
        <v>990</v>
      </c>
      <c r="D24" s="3">
        <v>9846</v>
      </c>
      <c r="E24" s="39">
        <f t="shared" si="6"/>
        <v>430</v>
      </c>
      <c r="F24" s="3">
        <v>9740100</v>
      </c>
      <c r="G24" s="39">
        <f t="shared" si="3"/>
        <v>399.6</v>
      </c>
      <c r="H24" s="3">
        <v>798090</v>
      </c>
      <c r="I24" s="44">
        <f t="shared" si="4"/>
        <v>4.4279999999999999</v>
      </c>
      <c r="J24" s="19">
        <f t="shared" si="1"/>
        <v>1824.028</v>
      </c>
      <c r="K24" s="20">
        <f t="shared" si="2"/>
        <v>10688.80408</v>
      </c>
    </row>
    <row r="25" spans="1:25" ht="17.25" customHeight="1" thickBot="1" x14ac:dyDescent="0.4">
      <c r="A25" s="9">
        <v>44735</v>
      </c>
      <c r="B25" s="3">
        <v>452574</v>
      </c>
      <c r="C25" s="39">
        <f t="shared" si="5"/>
        <v>920</v>
      </c>
      <c r="D25" s="3">
        <v>9896</v>
      </c>
      <c r="E25" s="39">
        <f t="shared" si="6"/>
        <v>500</v>
      </c>
      <c r="F25" s="3">
        <v>9757400</v>
      </c>
      <c r="G25" s="39">
        <f t="shared" si="3"/>
        <v>467.1</v>
      </c>
      <c r="H25" s="3">
        <v>798272</v>
      </c>
      <c r="I25" s="44">
        <f t="shared" si="4"/>
        <v>4.9139999999999997</v>
      </c>
      <c r="J25" s="19">
        <f t="shared" si="1"/>
        <v>1892.0139999999999</v>
      </c>
      <c r="K25" s="20">
        <f t="shared" si="2"/>
        <v>11087.20204</v>
      </c>
      <c r="Y25" s="55"/>
    </row>
    <row r="26" spans="1:25" ht="16.5" thickBot="1" x14ac:dyDescent="0.3">
      <c r="A26" s="9">
        <v>44736</v>
      </c>
      <c r="B26" s="3">
        <v>452674</v>
      </c>
      <c r="C26" s="39">
        <f t="shared" si="5"/>
        <v>1000</v>
      </c>
      <c r="D26" s="3">
        <v>9942</v>
      </c>
      <c r="E26" s="39">
        <f t="shared" si="6"/>
        <v>460</v>
      </c>
      <c r="F26" s="3">
        <v>9776300</v>
      </c>
      <c r="G26" s="39">
        <f t="shared" si="3"/>
        <v>510.3</v>
      </c>
      <c r="H26" s="3">
        <v>798415</v>
      </c>
      <c r="I26" s="44">
        <f t="shared" si="4"/>
        <v>3.8609999999999998</v>
      </c>
      <c r="J26" s="19">
        <f t="shared" si="1"/>
        <v>1974.1610000000001</v>
      </c>
      <c r="K26" s="20">
        <f t="shared" si="2"/>
        <v>11568.583460000002</v>
      </c>
      <c r="L26" t="s">
        <v>12</v>
      </c>
    </row>
    <row r="27" spans="1:25" ht="16.5" thickBot="1" x14ac:dyDescent="0.3">
      <c r="A27" s="9">
        <v>44737</v>
      </c>
      <c r="B27" s="3">
        <v>452799</v>
      </c>
      <c r="C27" s="39">
        <f t="shared" si="5"/>
        <v>1250</v>
      </c>
      <c r="D27" s="3">
        <v>9993</v>
      </c>
      <c r="E27" s="39">
        <f t="shared" si="6"/>
        <v>510</v>
      </c>
      <c r="F27" s="3">
        <v>9798800</v>
      </c>
      <c r="G27" s="39">
        <f t="shared" si="3"/>
        <v>607.5</v>
      </c>
      <c r="H27" s="3">
        <v>798581</v>
      </c>
      <c r="I27" s="44">
        <f t="shared" si="4"/>
        <v>4.4820000000000002</v>
      </c>
      <c r="J27" s="19">
        <f t="shared" si="1"/>
        <v>2371.982</v>
      </c>
      <c r="K27" s="20">
        <f t="shared" si="2"/>
        <v>13899.81452</v>
      </c>
      <c r="O27" t="s">
        <v>12</v>
      </c>
    </row>
    <row r="28" spans="1:25" ht="16.5" thickBot="1" x14ac:dyDescent="0.3">
      <c r="A28" s="9">
        <v>44738</v>
      </c>
      <c r="B28" s="3">
        <v>452891</v>
      </c>
      <c r="C28" s="39">
        <f t="shared" si="5"/>
        <v>920</v>
      </c>
      <c r="D28" s="3">
        <v>10044</v>
      </c>
      <c r="E28" s="39">
        <f t="shared" si="6"/>
        <v>510</v>
      </c>
      <c r="F28" s="3">
        <v>9817700</v>
      </c>
      <c r="G28" s="39">
        <f t="shared" si="3"/>
        <v>510.3</v>
      </c>
      <c r="H28" s="3">
        <v>798745</v>
      </c>
      <c r="I28" s="44">
        <f t="shared" si="4"/>
        <v>4.4279999999999999</v>
      </c>
      <c r="J28" s="19">
        <f t="shared" si="1"/>
        <v>1944.7280000000001</v>
      </c>
      <c r="K28" s="20">
        <f t="shared" si="2"/>
        <v>11396.106080000001</v>
      </c>
    </row>
    <row r="29" spans="1:25" ht="16.5" thickBot="1" x14ac:dyDescent="0.3">
      <c r="A29" s="9">
        <v>44739</v>
      </c>
      <c r="B29" s="3">
        <v>452998</v>
      </c>
      <c r="C29" s="39">
        <f t="shared" si="5"/>
        <v>1070</v>
      </c>
      <c r="D29" s="3">
        <v>10093</v>
      </c>
      <c r="E29" s="39">
        <f t="shared" si="6"/>
        <v>490</v>
      </c>
      <c r="F29" s="3">
        <v>9837000</v>
      </c>
      <c r="G29" s="39">
        <f t="shared" si="3"/>
        <v>521.1</v>
      </c>
      <c r="H29" s="3">
        <v>798951</v>
      </c>
      <c r="I29" s="44">
        <f t="shared" si="4"/>
        <v>5.5620000000000003</v>
      </c>
      <c r="J29" s="19">
        <f t="shared" si="1"/>
        <v>2086.6619999999998</v>
      </c>
      <c r="K29" s="20">
        <f t="shared" si="2"/>
        <v>12227.839319999999</v>
      </c>
    </row>
    <row r="30" spans="1:25" ht="16.5" thickBot="1" x14ac:dyDescent="0.3">
      <c r="A30" s="9">
        <v>44740</v>
      </c>
      <c r="B30" s="3"/>
      <c r="C30" s="39">
        <f t="shared" si="5"/>
        <v>0</v>
      </c>
      <c r="D30" s="3"/>
      <c r="E30" s="39">
        <f t="shared" si="6"/>
        <v>0</v>
      </c>
      <c r="F30" s="3"/>
      <c r="G30" s="39">
        <f t="shared" si="3"/>
        <v>0</v>
      </c>
      <c r="H30" s="3"/>
      <c r="I30" s="44">
        <f t="shared" si="4"/>
        <v>0</v>
      </c>
      <c r="J30" s="19">
        <f t="shared" si="1"/>
        <v>0</v>
      </c>
      <c r="K30" s="20">
        <f t="shared" si="2"/>
        <v>0</v>
      </c>
    </row>
    <row r="31" spans="1:25" ht="16.5" thickBot="1" x14ac:dyDescent="0.3">
      <c r="A31" s="9">
        <v>44741</v>
      </c>
      <c r="B31" s="3"/>
      <c r="C31" s="39">
        <f t="shared" si="5"/>
        <v>0</v>
      </c>
      <c r="D31" s="3"/>
      <c r="E31" s="39">
        <f t="shared" si="6"/>
        <v>0</v>
      </c>
      <c r="F31" s="3"/>
      <c r="G31" s="39">
        <f t="shared" si="3"/>
        <v>0</v>
      </c>
      <c r="H31" s="3"/>
      <c r="I31" s="44">
        <f t="shared" si="4"/>
        <v>0</v>
      </c>
      <c r="J31" s="19">
        <f t="shared" si="1"/>
        <v>0</v>
      </c>
      <c r="K31" s="20">
        <f t="shared" si="2"/>
        <v>0</v>
      </c>
    </row>
    <row r="32" spans="1:25" ht="16.5" thickBot="1" x14ac:dyDescent="0.3">
      <c r="A32" s="9">
        <v>44742</v>
      </c>
      <c r="B32" s="3"/>
      <c r="C32" s="39">
        <f t="shared" si="5"/>
        <v>0</v>
      </c>
      <c r="D32" s="3"/>
      <c r="E32" s="39">
        <f t="shared" si="6"/>
        <v>0</v>
      </c>
      <c r="F32" s="3"/>
      <c r="G32" s="39">
        <f t="shared" si="3"/>
        <v>0</v>
      </c>
      <c r="H32" s="3"/>
      <c r="I32" s="44">
        <f t="shared" si="4"/>
        <v>0</v>
      </c>
      <c r="J32" s="19">
        <f t="shared" si="1"/>
        <v>0</v>
      </c>
      <c r="K32" s="20">
        <f t="shared" si="2"/>
        <v>0</v>
      </c>
    </row>
    <row r="33" spans="1:11" ht="16.5" thickBot="1" x14ac:dyDescent="0.3">
      <c r="A33" s="56" t="s">
        <v>23</v>
      </c>
      <c r="B33" s="3"/>
      <c r="C33" s="56">
        <f>SUM(C3:C32)</f>
        <v>28300</v>
      </c>
      <c r="D33" s="3"/>
      <c r="E33" s="56">
        <f>SUM(E3:E32)</f>
        <v>13000</v>
      </c>
      <c r="F33" s="3"/>
      <c r="G33" s="56">
        <f>SUM(G3:G32)</f>
        <v>13991.399999999998</v>
      </c>
      <c r="H33" s="3"/>
      <c r="I33" s="56">
        <f>SUM(I3:I32)</f>
        <v>139.96800000000002</v>
      </c>
      <c r="J33" s="56">
        <f>SUM(J3:J32)</f>
        <v>55431.368000000002</v>
      </c>
      <c r="K33" s="56">
        <f>SUM(K3:K32)</f>
        <v>324827.81647999992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ySplit="1" topLeftCell="A2" activePane="bottomLeft" state="frozen"/>
      <selection pane="bottomLeft" activeCell="B29" sqref="B29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6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44712</v>
      </c>
      <c r="B2" s="133">
        <v>18301254</v>
      </c>
      <c r="C2" s="45"/>
    </row>
    <row r="3" spans="1:9" ht="24" thickBot="1" x14ac:dyDescent="0.4">
      <c r="A3" s="9">
        <v>44713</v>
      </c>
      <c r="B3" s="133">
        <v>18303874</v>
      </c>
      <c r="C3" s="45">
        <f>IF((B3-B2)&lt;0,"0",(B3-B2))</f>
        <v>2620</v>
      </c>
    </row>
    <row r="4" spans="1:9" ht="24" thickBot="1" x14ac:dyDescent="0.4">
      <c r="A4" s="9">
        <v>44714</v>
      </c>
      <c r="B4" s="133">
        <v>18306678</v>
      </c>
      <c r="C4" s="45">
        <f t="shared" ref="C4:C32" si="0">IF((B4-B3)&lt;0,"0",(B4-B3))</f>
        <v>2804</v>
      </c>
    </row>
    <row r="5" spans="1:9" ht="24" thickBot="1" x14ac:dyDescent="0.4">
      <c r="A5" s="9">
        <v>44715</v>
      </c>
      <c r="B5" s="133">
        <v>18309415</v>
      </c>
      <c r="C5" s="45">
        <f t="shared" si="0"/>
        <v>2737</v>
      </c>
    </row>
    <row r="6" spans="1:9" ht="24" thickBot="1" x14ac:dyDescent="0.4">
      <c r="A6" s="9">
        <v>44716</v>
      </c>
      <c r="B6" s="133">
        <v>18311324</v>
      </c>
      <c r="C6" s="45">
        <f t="shared" si="0"/>
        <v>1909</v>
      </c>
    </row>
    <row r="7" spans="1:9" ht="24" thickBot="1" x14ac:dyDescent="0.4">
      <c r="A7" s="9">
        <v>44717</v>
      </c>
      <c r="B7" s="133">
        <v>18313520</v>
      </c>
      <c r="C7" s="45">
        <f t="shared" si="0"/>
        <v>2196</v>
      </c>
    </row>
    <row r="8" spans="1:9" ht="24" thickBot="1" x14ac:dyDescent="0.4">
      <c r="A8" s="9">
        <v>44718</v>
      </c>
      <c r="B8" s="133">
        <v>18316054</v>
      </c>
      <c r="C8" s="45">
        <f t="shared" si="0"/>
        <v>2534</v>
      </c>
    </row>
    <row r="9" spans="1:9" ht="24" thickBot="1" x14ac:dyDescent="0.4">
      <c r="A9" s="9">
        <v>44719</v>
      </c>
      <c r="B9" s="133">
        <v>18318684</v>
      </c>
      <c r="C9" s="45">
        <f t="shared" si="0"/>
        <v>2630</v>
      </c>
    </row>
    <row r="10" spans="1:9" ht="24" thickBot="1" x14ac:dyDescent="0.4">
      <c r="A10" s="9">
        <v>44720</v>
      </c>
      <c r="B10" s="133">
        <v>18320714</v>
      </c>
      <c r="C10" s="45">
        <f t="shared" si="0"/>
        <v>2030</v>
      </c>
    </row>
    <row r="11" spans="1:9" ht="24" thickBot="1" x14ac:dyDescent="0.4">
      <c r="A11" s="9">
        <v>44721</v>
      </c>
      <c r="B11" s="133">
        <v>18322612</v>
      </c>
      <c r="C11" s="45">
        <f t="shared" si="0"/>
        <v>1898</v>
      </c>
    </row>
    <row r="12" spans="1:9" ht="24" thickBot="1" x14ac:dyDescent="0.4">
      <c r="A12" s="9">
        <v>44722</v>
      </c>
      <c r="B12" s="133">
        <v>18324901</v>
      </c>
      <c r="C12" s="45">
        <f t="shared" si="0"/>
        <v>2289</v>
      </c>
    </row>
    <row r="13" spans="1:9" ht="24" thickBot="1" x14ac:dyDescent="0.4">
      <c r="A13" s="9">
        <v>44723</v>
      </c>
      <c r="B13" s="133">
        <v>18327439</v>
      </c>
      <c r="C13" s="45">
        <f t="shared" si="0"/>
        <v>2538</v>
      </c>
    </row>
    <row r="14" spans="1:9" ht="24" thickBot="1" x14ac:dyDescent="0.4">
      <c r="A14" s="9">
        <v>44724</v>
      </c>
      <c r="B14" s="133">
        <v>18329067</v>
      </c>
      <c r="C14" s="45">
        <f t="shared" si="0"/>
        <v>1628</v>
      </c>
    </row>
    <row r="15" spans="1:9" ht="24" thickBot="1" x14ac:dyDescent="0.4">
      <c r="A15" s="9">
        <v>44725</v>
      </c>
      <c r="B15" s="133">
        <v>18331785</v>
      </c>
      <c r="C15" s="45">
        <f t="shared" si="0"/>
        <v>2718</v>
      </c>
      <c r="I15" t="s">
        <v>12</v>
      </c>
    </row>
    <row r="16" spans="1:9" ht="26.25" customHeight="1" thickBot="1" x14ac:dyDescent="0.4">
      <c r="A16" s="9">
        <v>44726</v>
      </c>
      <c r="B16" s="133">
        <v>18333901</v>
      </c>
      <c r="C16" s="45">
        <f t="shared" si="0"/>
        <v>2116</v>
      </c>
      <c r="F16" s="156"/>
    </row>
    <row r="17" spans="1:9" ht="25.5" customHeight="1" thickBot="1" x14ac:dyDescent="0.4">
      <c r="A17" s="9">
        <v>44727</v>
      </c>
      <c r="B17" s="133">
        <v>18335978</v>
      </c>
      <c r="C17" s="45">
        <f t="shared" si="0"/>
        <v>2077</v>
      </c>
    </row>
    <row r="18" spans="1:9" ht="24" thickBot="1" x14ac:dyDescent="0.4">
      <c r="A18" s="9">
        <v>44728</v>
      </c>
      <c r="B18" s="133">
        <v>18338214</v>
      </c>
      <c r="C18" s="45">
        <f t="shared" si="0"/>
        <v>2236</v>
      </c>
      <c r="I18" s="35"/>
    </row>
    <row r="19" spans="1:9" ht="24" thickBot="1" x14ac:dyDescent="0.4">
      <c r="A19" s="9">
        <v>44729</v>
      </c>
      <c r="B19" s="133">
        <v>18340341</v>
      </c>
      <c r="C19" s="45">
        <f t="shared" si="0"/>
        <v>2127</v>
      </c>
    </row>
    <row r="20" spans="1:9" ht="24" thickBot="1" x14ac:dyDescent="0.4">
      <c r="A20" s="9">
        <v>44730</v>
      </c>
      <c r="B20" s="133">
        <v>18341487</v>
      </c>
      <c r="C20" s="45">
        <f t="shared" si="0"/>
        <v>1146</v>
      </c>
    </row>
    <row r="21" spans="1:9" ht="24" thickBot="1" x14ac:dyDescent="0.4">
      <c r="A21" s="9">
        <v>44731</v>
      </c>
      <c r="B21" s="133">
        <v>18343145</v>
      </c>
      <c r="C21" s="45">
        <f t="shared" si="0"/>
        <v>1658</v>
      </c>
    </row>
    <row r="22" spans="1:9" ht="24" thickBot="1" x14ac:dyDescent="0.4">
      <c r="A22" s="9">
        <v>44732</v>
      </c>
      <c r="B22" s="133">
        <v>18344465</v>
      </c>
      <c r="C22" s="45">
        <f t="shared" si="0"/>
        <v>1320</v>
      </c>
    </row>
    <row r="23" spans="1:9" ht="24" thickBot="1" x14ac:dyDescent="0.4">
      <c r="A23" s="9">
        <v>44733</v>
      </c>
      <c r="B23" s="133">
        <v>18346342</v>
      </c>
      <c r="C23" s="45">
        <f t="shared" si="0"/>
        <v>1877</v>
      </c>
      <c r="F23" t="s">
        <v>12</v>
      </c>
    </row>
    <row r="24" spans="1:9" ht="24" thickBot="1" x14ac:dyDescent="0.4">
      <c r="A24" s="9">
        <v>44734</v>
      </c>
      <c r="B24" s="133">
        <v>18348954</v>
      </c>
      <c r="C24" s="45">
        <f t="shared" si="0"/>
        <v>2612</v>
      </c>
      <c r="E24" t="s">
        <v>12</v>
      </c>
    </row>
    <row r="25" spans="1:9" ht="24" thickBot="1" x14ac:dyDescent="0.4">
      <c r="A25" s="9">
        <v>44735</v>
      </c>
      <c r="B25" s="133">
        <v>18351271</v>
      </c>
      <c r="C25" s="45">
        <f t="shared" si="0"/>
        <v>2317</v>
      </c>
    </row>
    <row r="26" spans="1:9" ht="24" thickBot="1" x14ac:dyDescent="0.4">
      <c r="A26" s="9">
        <v>44736</v>
      </c>
      <c r="B26" s="133">
        <v>18353541</v>
      </c>
      <c r="C26" s="45">
        <f t="shared" si="0"/>
        <v>2270</v>
      </c>
    </row>
    <row r="27" spans="1:9" ht="24" thickBot="1" x14ac:dyDescent="0.4">
      <c r="A27" s="9">
        <v>44737</v>
      </c>
      <c r="B27" s="133">
        <v>18355300</v>
      </c>
      <c r="C27" s="45">
        <f t="shared" si="0"/>
        <v>1759</v>
      </c>
    </row>
    <row r="28" spans="1:9" ht="24" thickBot="1" x14ac:dyDescent="0.4">
      <c r="A28" s="9">
        <v>44738</v>
      </c>
      <c r="B28" s="133">
        <v>18357412</v>
      </c>
      <c r="C28" s="45">
        <f t="shared" si="0"/>
        <v>2112</v>
      </c>
      <c r="I28" t="s">
        <v>12</v>
      </c>
    </row>
    <row r="29" spans="1:9" ht="24" thickBot="1" x14ac:dyDescent="0.4">
      <c r="A29" s="9">
        <v>44739</v>
      </c>
      <c r="B29" s="133"/>
      <c r="C29" s="45" t="str">
        <f t="shared" si="0"/>
        <v>0</v>
      </c>
    </row>
    <row r="30" spans="1:9" ht="24" thickBot="1" x14ac:dyDescent="0.4">
      <c r="A30" s="9">
        <v>44740</v>
      </c>
      <c r="B30" s="133"/>
      <c r="C30" s="45">
        <f t="shared" si="0"/>
        <v>0</v>
      </c>
    </row>
    <row r="31" spans="1:9" ht="24" thickBot="1" x14ac:dyDescent="0.4">
      <c r="A31" s="9">
        <v>44741</v>
      </c>
      <c r="B31" s="133"/>
      <c r="C31" s="45">
        <f t="shared" si="0"/>
        <v>0</v>
      </c>
    </row>
    <row r="32" spans="1:9" ht="24" thickBot="1" x14ac:dyDescent="0.4">
      <c r="A32" s="9">
        <v>44742</v>
      </c>
      <c r="B32" s="133"/>
      <c r="C32" s="45">
        <f t="shared" si="0"/>
        <v>0</v>
      </c>
    </row>
    <row r="33" spans="1:3" ht="24" thickBot="1" x14ac:dyDescent="0.4">
      <c r="A33" s="135" t="s">
        <v>138</v>
      </c>
      <c r="B33" s="135"/>
      <c r="C33" s="135">
        <f>SUM(C3:C32)</f>
        <v>56158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90" zoomScaleNormal="90" workbookViewId="0">
      <pane ySplit="1" topLeftCell="A2" activePane="bottomLeft" state="frozen"/>
      <selection pane="bottomLeft" activeCell="A29" sqref="A29:XFD29"/>
    </sheetView>
  </sheetViews>
  <sheetFormatPr defaultRowHeight="12.75" x14ac:dyDescent="0.2"/>
  <cols>
    <col min="1" max="1" width="20.85546875" bestFit="1" customWidth="1"/>
    <col min="2" max="2" width="12.85546875" style="162" bestFit="1" customWidth="1"/>
    <col min="3" max="3" width="14.85546875" style="36" customWidth="1"/>
    <col min="4" max="4" width="10.7109375" customWidth="1"/>
    <col min="5" max="5" width="11.28515625" customWidth="1"/>
    <col min="6" max="6" width="14.5703125" style="36" customWidth="1"/>
    <col min="7" max="7" width="10.7109375" customWidth="1"/>
    <col min="8" max="8" width="13.5703125" customWidth="1"/>
    <col min="9" max="9" width="12.85546875" style="36" bestFit="1" customWidth="1"/>
    <col min="10" max="10" width="10.7109375" customWidth="1"/>
    <col min="11" max="11" width="13.42578125" customWidth="1"/>
    <col min="12" max="12" width="12.42578125" style="36" customWidth="1"/>
    <col min="13" max="13" width="10.7109375" customWidth="1"/>
    <col min="14" max="14" width="11.28515625" bestFit="1" customWidth="1"/>
    <col min="15" max="15" width="12.42578125" style="36" customWidth="1"/>
    <col min="16" max="16" width="10.7109375" customWidth="1"/>
    <col min="17" max="17" width="11.7109375" customWidth="1"/>
    <col min="18" max="18" width="11.28515625" style="36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6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9" t="s">
        <v>1</v>
      </c>
      <c r="C1" s="43" t="s">
        <v>2</v>
      </c>
      <c r="D1" s="27" t="s">
        <v>3</v>
      </c>
      <c r="E1" s="3" t="s">
        <v>4</v>
      </c>
      <c r="F1" s="43" t="s">
        <v>2</v>
      </c>
      <c r="G1" s="27" t="s">
        <v>3</v>
      </c>
      <c r="H1" s="3" t="s">
        <v>5</v>
      </c>
      <c r="I1" s="43" t="s">
        <v>6</v>
      </c>
      <c r="J1" s="27" t="s">
        <v>3</v>
      </c>
      <c r="K1" s="3" t="s">
        <v>7</v>
      </c>
      <c r="L1" s="43" t="s">
        <v>6</v>
      </c>
      <c r="M1" s="27" t="s">
        <v>3</v>
      </c>
      <c r="N1" s="4" t="s">
        <v>8</v>
      </c>
      <c r="O1" s="43" t="s">
        <v>6</v>
      </c>
      <c r="P1" s="27" t="s">
        <v>3</v>
      </c>
      <c r="Q1" s="4" t="s">
        <v>9</v>
      </c>
      <c r="R1" s="43" t="s">
        <v>6</v>
      </c>
      <c r="S1" s="27" t="s">
        <v>3</v>
      </c>
      <c r="T1" s="5" t="s">
        <v>10</v>
      </c>
      <c r="U1" s="29" t="s">
        <v>11</v>
      </c>
      <c r="W1" s="169" t="s">
        <v>140</v>
      </c>
      <c r="X1" s="170"/>
      <c r="Y1" s="170"/>
      <c r="Z1" s="170"/>
      <c r="AA1" s="171"/>
      <c r="AB1" s="172" t="s">
        <v>142</v>
      </c>
      <c r="AC1" s="170"/>
      <c r="AD1" s="172" t="s">
        <v>143</v>
      </c>
      <c r="AE1" s="170"/>
      <c r="AF1" s="169" t="s">
        <v>144</v>
      </c>
      <c r="AG1" s="170"/>
    </row>
    <row r="2" spans="1:33" ht="16.5" thickBot="1" x14ac:dyDescent="0.25">
      <c r="A2" s="9">
        <v>44712</v>
      </c>
      <c r="B2" s="160">
        <v>23502.538</v>
      </c>
      <c r="C2" s="44"/>
      <c r="D2" s="28">
        <f t="shared" ref="D2" si="0">C2*1.9*1000</f>
        <v>0</v>
      </c>
      <c r="E2" s="160">
        <v>4237.6909999999998</v>
      </c>
      <c r="F2" s="44"/>
      <c r="G2" s="28">
        <f t="shared" ref="G2" si="1">F2*1.9*1000</f>
        <v>0</v>
      </c>
      <c r="H2" s="160">
        <v>5319</v>
      </c>
      <c r="I2" s="44"/>
      <c r="J2" s="28">
        <f t="shared" ref="J2" si="2">I2*1.9*1000</f>
        <v>0</v>
      </c>
      <c r="K2" s="7">
        <v>13972.91</v>
      </c>
      <c r="L2" s="44"/>
      <c r="M2" s="28">
        <f t="shared" ref="M2" si="3">L2*1.9*1000</f>
        <v>0</v>
      </c>
      <c r="N2" s="160">
        <v>3559.3270000000002</v>
      </c>
      <c r="O2" s="44"/>
      <c r="P2" s="28">
        <f t="shared" ref="P2" si="4">O2*1.9*1000</f>
        <v>0</v>
      </c>
      <c r="Q2" s="160">
        <v>5353.8</v>
      </c>
      <c r="R2" s="44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57">
        <v>44712</v>
      </c>
      <c r="X2" s="158">
        <v>177190</v>
      </c>
      <c r="Y2" s="163"/>
      <c r="Z2" s="158">
        <v>9314</v>
      </c>
      <c r="AA2" s="163"/>
      <c r="AB2" s="158">
        <v>28</v>
      </c>
      <c r="AC2" s="163"/>
      <c r="AD2" s="158">
        <v>495</v>
      </c>
      <c r="AE2" s="163"/>
      <c r="AF2" s="158">
        <v>7566</v>
      </c>
      <c r="AG2" s="163"/>
    </row>
    <row r="3" spans="1:33" ht="16.5" thickBot="1" x14ac:dyDescent="0.25">
      <c r="A3" s="9">
        <v>44713</v>
      </c>
      <c r="B3" s="160">
        <v>23515.072</v>
      </c>
      <c r="C3" s="44">
        <f t="shared" ref="C3" si="8">IF((B3-B2)&lt;0,"0",(B3-B2))</f>
        <v>12.533999999999651</v>
      </c>
      <c r="D3" s="28">
        <f t="shared" ref="D3" si="9">C3*1.9*1000</f>
        <v>23814.599999999333</v>
      </c>
      <c r="E3" s="1">
        <v>4240.6469999999999</v>
      </c>
      <c r="F3" s="44">
        <f t="shared" ref="F3" si="10">IF((E3-E2)&lt;0,"0",(E3-E2))</f>
        <v>2.956000000000131</v>
      </c>
      <c r="G3" s="28">
        <f t="shared" ref="G3" si="11">F3*1.9*1000</f>
        <v>5616.4000000002479</v>
      </c>
      <c r="H3" s="1">
        <v>5327</v>
      </c>
      <c r="I3" s="44">
        <f t="shared" ref="I3" si="12">IF((H3-H2)&lt;0,"0",(H3-H2))</f>
        <v>8</v>
      </c>
      <c r="J3" s="28">
        <f t="shared" ref="J3" si="13">I3*1.9*1000</f>
        <v>15200</v>
      </c>
      <c r="K3" s="7">
        <v>13974.93</v>
      </c>
      <c r="L3" s="44">
        <f t="shared" ref="L3" si="14">IF((K3-K2)&lt;0,"0",(K3-K2))</f>
        <v>2.0200000000004366</v>
      </c>
      <c r="M3" s="28">
        <f t="shared" ref="M3" si="15">L3*1.9*1000</f>
        <v>3838.000000000829</v>
      </c>
      <c r="N3" s="7">
        <v>3560.6970000000001</v>
      </c>
      <c r="O3" s="44">
        <f t="shared" ref="O3" si="16">IF((N3-N2)&lt;0,"0",(N3-N2))</f>
        <v>1.3699999999998909</v>
      </c>
      <c r="P3" s="28">
        <f t="shared" ref="P3" si="17">O3*1.9*1000</f>
        <v>2602.9999999997922</v>
      </c>
      <c r="Q3" s="7">
        <v>5354.95</v>
      </c>
      <c r="R3" s="44">
        <f t="shared" ref="R3" si="18">IF((Q3-Q2)&lt;0,"0",(Q3-Q2))</f>
        <v>1.1499999999996362</v>
      </c>
      <c r="S3" s="28">
        <f t="shared" ref="S3" si="19">R3*1.9*1000</f>
        <v>2184.9999999993088</v>
      </c>
      <c r="T3" s="8">
        <f>C3+F3+I3+L3+O3+R3</f>
        <v>28.029999999999745</v>
      </c>
      <c r="U3" s="30">
        <f t="shared" ref="U3" si="20">T3*1.9*1000</f>
        <v>53256.999999999513</v>
      </c>
      <c r="W3" s="157">
        <v>44713</v>
      </c>
      <c r="X3" s="158">
        <v>177418</v>
      </c>
      <c r="Y3" s="163">
        <f t="shared" ref="Y3:AG31" si="21">IF((X3-X2)&lt;0,"0",(X3-X2))</f>
        <v>228</v>
      </c>
      <c r="Z3" s="158">
        <v>9319</v>
      </c>
      <c r="AA3" s="163">
        <f t="shared" si="21"/>
        <v>5</v>
      </c>
      <c r="AB3" s="158">
        <v>28</v>
      </c>
      <c r="AC3" s="163">
        <f t="shared" si="21"/>
        <v>0</v>
      </c>
      <c r="AD3" s="158">
        <v>496</v>
      </c>
      <c r="AE3" s="163">
        <f t="shared" si="21"/>
        <v>1</v>
      </c>
      <c r="AF3" s="158">
        <v>7578</v>
      </c>
      <c r="AG3" s="163">
        <f t="shared" si="21"/>
        <v>12</v>
      </c>
    </row>
    <row r="4" spans="1:33" ht="16.5" thickBot="1" x14ac:dyDescent="0.25">
      <c r="A4" s="9">
        <v>44714</v>
      </c>
      <c r="B4" s="160">
        <v>23528.251</v>
      </c>
      <c r="C4" s="44">
        <f t="shared" ref="C4:C32" si="22">IF((B4-B3)&lt;0,"0",(B4-B3))</f>
        <v>13.179000000000087</v>
      </c>
      <c r="D4" s="28">
        <f t="shared" ref="D4:D32" si="23">C4*1.9*1000</f>
        <v>25040.100000000166</v>
      </c>
      <c r="E4" s="160">
        <v>4244.2529999999997</v>
      </c>
      <c r="F4" s="44">
        <f t="shared" ref="F4:F32" si="24">IF((E4-E3)&lt;0,"0",(E4-E3))</f>
        <v>3.6059999999997672</v>
      </c>
      <c r="G4" s="28">
        <f t="shared" ref="G4:G32" si="25">F4*1.9*1000</f>
        <v>6851.3999999995576</v>
      </c>
      <c r="H4" s="160">
        <v>5335</v>
      </c>
      <c r="I4" s="44">
        <f t="shared" ref="I4:I32" si="26">IF((H4-H3)&lt;0,"0",(H4-H3))</f>
        <v>8</v>
      </c>
      <c r="J4" s="28">
        <f t="shared" ref="J4:J32" si="27">I4*1.9*1000</f>
        <v>15200</v>
      </c>
      <c r="K4" s="7">
        <v>13977.39</v>
      </c>
      <c r="L4" s="44">
        <f t="shared" ref="L4:L32" si="28">IF((K4-K3)&lt;0,"0",(K4-K3))</f>
        <v>2.4599999999991269</v>
      </c>
      <c r="M4" s="28">
        <f t="shared" ref="M4:M32" si="29">L4*1.9*1000</f>
        <v>4673.9999999983411</v>
      </c>
      <c r="N4" s="160">
        <v>3562.1129999999998</v>
      </c>
      <c r="O4" s="44">
        <f t="shared" ref="O4:O32" si="30">IF((N4-N3)&lt;0,"0",(N4-N3))</f>
        <v>1.4159999999997126</v>
      </c>
      <c r="P4" s="28">
        <f t="shared" ref="P4:P32" si="31">O4*1.9*1000</f>
        <v>2690.3999999994535</v>
      </c>
      <c r="Q4" s="160">
        <v>5356.24</v>
      </c>
      <c r="R4" s="44">
        <f t="shared" ref="R4:R32" si="32">IF((Q4-Q3)&lt;0,"0",(Q4-Q3))</f>
        <v>1.2899999999999636</v>
      </c>
      <c r="S4" s="28">
        <f t="shared" ref="S4:S32" si="33">R4*1.9*1000</f>
        <v>2450.9999999999309</v>
      </c>
      <c r="T4" s="8">
        <f>C4+F4+I4+L4+O4+R4</f>
        <v>29.950999999998658</v>
      </c>
      <c r="U4" s="30">
        <f t="shared" ref="U4:U32" si="34">T4*1.9*1000</f>
        <v>56906.899999997448</v>
      </c>
      <c r="W4" s="157">
        <v>44714</v>
      </c>
      <c r="X4" s="158">
        <v>177662</v>
      </c>
      <c r="Y4" s="163">
        <f t="shared" si="21"/>
        <v>244</v>
      </c>
      <c r="Z4" s="158">
        <v>9325</v>
      </c>
      <c r="AA4" s="163">
        <f t="shared" si="21"/>
        <v>6</v>
      </c>
      <c r="AB4" s="158">
        <v>28</v>
      </c>
      <c r="AC4" s="163">
        <f t="shared" si="21"/>
        <v>0</v>
      </c>
      <c r="AD4" s="158">
        <v>497</v>
      </c>
      <c r="AE4" s="163">
        <f t="shared" si="21"/>
        <v>1</v>
      </c>
      <c r="AF4" s="158">
        <v>7590</v>
      </c>
      <c r="AG4" s="163">
        <f t="shared" si="21"/>
        <v>12</v>
      </c>
    </row>
    <row r="5" spans="1:33" ht="16.5" thickBot="1" x14ac:dyDescent="0.25">
      <c r="A5" s="9">
        <v>44715</v>
      </c>
      <c r="B5" s="160">
        <v>23540.420999999998</v>
      </c>
      <c r="C5" s="44">
        <f t="shared" si="22"/>
        <v>12.169999999998254</v>
      </c>
      <c r="D5" s="28">
        <f t="shared" si="23"/>
        <v>23122.999999996679</v>
      </c>
      <c r="E5" s="160">
        <v>4246.509</v>
      </c>
      <c r="F5" s="44">
        <f t="shared" si="24"/>
        <v>2.2560000000003129</v>
      </c>
      <c r="G5" s="28">
        <f t="shared" si="25"/>
        <v>4286.4000000005944</v>
      </c>
      <c r="H5" s="160">
        <v>5342</v>
      </c>
      <c r="I5" s="44">
        <f t="shared" si="26"/>
        <v>7</v>
      </c>
      <c r="J5" s="28">
        <f t="shared" si="27"/>
        <v>13299.999999999998</v>
      </c>
      <c r="K5" s="7">
        <v>13979.66</v>
      </c>
      <c r="L5" s="44">
        <f t="shared" si="28"/>
        <v>2.2700000000004366</v>
      </c>
      <c r="M5" s="28">
        <f t="shared" si="29"/>
        <v>4313.0000000008295</v>
      </c>
      <c r="N5" s="160">
        <v>3563.5929999999998</v>
      </c>
      <c r="O5" s="44">
        <f t="shared" si="30"/>
        <v>1.4800000000000182</v>
      </c>
      <c r="P5" s="28">
        <f t="shared" si="31"/>
        <v>2812.0000000000346</v>
      </c>
      <c r="Q5" s="160">
        <v>5357.69</v>
      </c>
      <c r="R5" s="44">
        <f t="shared" si="32"/>
        <v>1.4499999999998181</v>
      </c>
      <c r="S5" s="28">
        <f t="shared" si="33"/>
        <v>2754.9999999996544</v>
      </c>
      <c r="T5" s="8">
        <f>C5+F5+I5+L5+O5+R5</f>
        <v>26.625999999998839</v>
      </c>
      <c r="U5" s="30">
        <f t="shared" si="34"/>
        <v>50589.399999997797</v>
      </c>
      <c r="W5" s="157">
        <v>44715</v>
      </c>
      <c r="X5" s="158">
        <v>177890</v>
      </c>
      <c r="Y5" s="163">
        <f t="shared" si="21"/>
        <v>228</v>
      </c>
      <c r="Z5" s="158">
        <v>9331</v>
      </c>
      <c r="AA5" s="163">
        <f t="shared" si="21"/>
        <v>6</v>
      </c>
      <c r="AB5" s="158">
        <v>28</v>
      </c>
      <c r="AC5" s="163">
        <f t="shared" si="21"/>
        <v>0</v>
      </c>
      <c r="AD5" s="158">
        <v>500</v>
      </c>
      <c r="AE5" s="163">
        <f t="shared" si="21"/>
        <v>3</v>
      </c>
      <c r="AF5" s="158">
        <v>7604</v>
      </c>
      <c r="AG5" s="163">
        <f t="shared" si="21"/>
        <v>14</v>
      </c>
    </row>
    <row r="6" spans="1:33" ht="16.5" thickBot="1" x14ac:dyDescent="0.25">
      <c r="A6" s="9">
        <v>44716</v>
      </c>
      <c r="B6" s="160">
        <v>23553.866999999998</v>
      </c>
      <c r="C6" s="44">
        <f t="shared" si="22"/>
        <v>13.445999999999913</v>
      </c>
      <c r="D6" s="28">
        <f t="shared" si="23"/>
        <v>25547.399999999834</v>
      </c>
      <c r="E6" s="160">
        <v>4248.5320000000002</v>
      </c>
      <c r="F6" s="44">
        <f t="shared" si="24"/>
        <v>2.0230000000001382</v>
      </c>
      <c r="G6" s="28">
        <f t="shared" si="25"/>
        <v>3843.7000000002627</v>
      </c>
      <c r="H6" s="160">
        <v>5349</v>
      </c>
      <c r="I6" s="44">
        <f t="shared" si="26"/>
        <v>7</v>
      </c>
      <c r="J6" s="28">
        <f t="shared" si="27"/>
        <v>13299.999999999998</v>
      </c>
      <c r="K6" s="7">
        <v>13982.01</v>
      </c>
      <c r="L6" s="44">
        <f t="shared" si="28"/>
        <v>2.3500000000003638</v>
      </c>
      <c r="M6" s="28">
        <f t="shared" si="29"/>
        <v>4465.0000000006912</v>
      </c>
      <c r="N6" s="160">
        <v>3565.1239999999998</v>
      </c>
      <c r="O6" s="44">
        <f t="shared" si="30"/>
        <v>1.5309999999999491</v>
      </c>
      <c r="P6" s="28">
        <f t="shared" si="31"/>
        <v>2908.8999999999032</v>
      </c>
      <c r="Q6" s="160">
        <v>5359.25</v>
      </c>
      <c r="R6" s="44">
        <f t="shared" si="32"/>
        <v>1.5600000000004002</v>
      </c>
      <c r="S6" s="28">
        <f t="shared" si="33"/>
        <v>2964.0000000007603</v>
      </c>
      <c r="T6" s="8">
        <f t="shared" ref="T6:T32" si="35">C6+F6+I6+L6+O6+R6</f>
        <v>27.910000000000764</v>
      </c>
      <c r="U6" s="30">
        <f t="shared" si="34"/>
        <v>53029.000000001448</v>
      </c>
      <c r="W6" s="157">
        <v>44716</v>
      </c>
      <c r="X6" s="158">
        <v>178154</v>
      </c>
      <c r="Y6" s="163">
        <f t="shared" si="21"/>
        <v>264</v>
      </c>
      <c r="Z6" s="158">
        <v>9338</v>
      </c>
      <c r="AA6" s="163">
        <f t="shared" si="21"/>
        <v>7</v>
      </c>
      <c r="AB6" s="158">
        <v>28</v>
      </c>
      <c r="AC6" s="163">
        <f t="shared" si="21"/>
        <v>0</v>
      </c>
      <c r="AD6" s="158">
        <v>503</v>
      </c>
      <c r="AE6" s="163">
        <f t="shared" si="21"/>
        <v>3</v>
      </c>
      <c r="AF6" s="158">
        <v>7616</v>
      </c>
      <c r="AG6" s="163">
        <f t="shared" si="21"/>
        <v>12</v>
      </c>
    </row>
    <row r="7" spans="1:33" ht="16.5" thickBot="1" x14ac:dyDescent="0.25">
      <c r="A7" s="9">
        <v>44717</v>
      </c>
      <c r="B7" s="160">
        <v>23567.449000000001</v>
      </c>
      <c r="C7" s="44">
        <f t="shared" si="22"/>
        <v>13.582000000002154</v>
      </c>
      <c r="D7" s="28">
        <f t="shared" si="23"/>
        <v>25805.800000004092</v>
      </c>
      <c r="E7" s="160">
        <v>4251.0619999999999</v>
      </c>
      <c r="F7" s="44">
        <f t="shared" si="24"/>
        <v>2.5299999999997453</v>
      </c>
      <c r="G7" s="28">
        <f t="shared" si="25"/>
        <v>4806.9999999995161</v>
      </c>
      <c r="H7" s="160">
        <v>5357</v>
      </c>
      <c r="I7" s="44">
        <f t="shared" si="26"/>
        <v>8</v>
      </c>
      <c r="J7" s="28">
        <f t="shared" si="27"/>
        <v>15200</v>
      </c>
      <c r="K7" s="7">
        <v>13984.23</v>
      </c>
      <c r="L7" s="44">
        <f t="shared" si="28"/>
        <v>2.2199999999993452</v>
      </c>
      <c r="M7" s="28">
        <f t="shared" si="29"/>
        <v>4217.9999999987558</v>
      </c>
      <c r="N7" s="160">
        <v>3566.59</v>
      </c>
      <c r="O7" s="44">
        <f t="shared" si="30"/>
        <v>1.4660000000003492</v>
      </c>
      <c r="P7" s="28">
        <f t="shared" si="31"/>
        <v>2785.4000000006636</v>
      </c>
      <c r="Q7" s="160">
        <v>5360.79</v>
      </c>
      <c r="R7" s="44">
        <f t="shared" si="32"/>
        <v>1.5399999999999636</v>
      </c>
      <c r="S7" s="28">
        <f t="shared" si="33"/>
        <v>2925.9999999999309</v>
      </c>
      <c r="T7" s="8">
        <f t="shared" si="35"/>
        <v>29.338000000001557</v>
      </c>
      <c r="U7" s="30">
        <f t="shared" si="34"/>
        <v>55742.200000002951</v>
      </c>
      <c r="W7" s="157">
        <v>44717</v>
      </c>
      <c r="X7" s="158">
        <v>178412</v>
      </c>
      <c r="Y7" s="163">
        <f t="shared" si="21"/>
        <v>258</v>
      </c>
      <c r="Z7" s="158">
        <v>9344</v>
      </c>
      <c r="AA7" s="163">
        <f t="shared" si="21"/>
        <v>6</v>
      </c>
      <c r="AB7" s="158">
        <v>28.1</v>
      </c>
      <c r="AC7" s="163">
        <f t="shared" si="21"/>
        <v>0.10000000000000142</v>
      </c>
      <c r="AD7" s="158">
        <v>506</v>
      </c>
      <c r="AE7" s="163">
        <f t="shared" si="21"/>
        <v>3</v>
      </c>
      <c r="AF7" s="158">
        <v>7629</v>
      </c>
      <c r="AG7" s="163">
        <f t="shared" si="21"/>
        <v>13</v>
      </c>
    </row>
    <row r="8" spans="1:33" ht="16.5" thickBot="1" x14ac:dyDescent="0.25">
      <c r="A8" s="9">
        <v>44718</v>
      </c>
      <c r="B8" s="160">
        <v>23586.516</v>
      </c>
      <c r="C8" s="44">
        <f t="shared" si="22"/>
        <v>19.066999999999098</v>
      </c>
      <c r="D8" s="28">
        <f t="shared" si="23"/>
        <v>36227.299999998286</v>
      </c>
      <c r="E8" s="160">
        <v>4255.3519999999999</v>
      </c>
      <c r="F8" s="44">
        <f t="shared" si="24"/>
        <v>4.2899999999999636</v>
      </c>
      <c r="G8" s="28">
        <f t="shared" si="25"/>
        <v>8150.9999999999309</v>
      </c>
      <c r="H8" s="160">
        <v>5369</v>
      </c>
      <c r="I8" s="44">
        <f t="shared" si="26"/>
        <v>12</v>
      </c>
      <c r="J8" s="28">
        <f t="shared" si="27"/>
        <v>22799.999999999996</v>
      </c>
      <c r="K8" s="7">
        <v>13987.83</v>
      </c>
      <c r="L8" s="44">
        <f t="shared" si="28"/>
        <v>3.6000000000003638</v>
      </c>
      <c r="M8" s="28">
        <f t="shared" si="29"/>
        <v>6840.0000000006912</v>
      </c>
      <c r="N8" s="160">
        <v>3568.8670000000002</v>
      </c>
      <c r="O8" s="44">
        <f t="shared" si="30"/>
        <v>2.2770000000000437</v>
      </c>
      <c r="P8" s="28">
        <f t="shared" si="31"/>
        <v>4326.300000000082</v>
      </c>
      <c r="Q8" s="160">
        <v>5361.38</v>
      </c>
      <c r="R8" s="44">
        <f t="shared" si="32"/>
        <v>0.59000000000014552</v>
      </c>
      <c r="S8" s="28">
        <f t="shared" si="33"/>
        <v>1121.0000000002765</v>
      </c>
      <c r="T8" s="8">
        <f t="shared" si="35"/>
        <v>41.823999999999614</v>
      </c>
      <c r="U8" s="30">
        <f t="shared" si="34"/>
        <v>79465.599999999264</v>
      </c>
      <c r="W8" s="157">
        <v>44718</v>
      </c>
      <c r="X8" s="158">
        <v>178811</v>
      </c>
      <c r="Y8" s="163">
        <f t="shared" si="21"/>
        <v>399</v>
      </c>
      <c r="Z8" s="158">
        <v>9350</v>
      </c>
      <c r="AA8" s="163">
        <f t="shared" si="21"/>
        <v>6</v>
      </c>
      <c r="AB8" s="158">
        <v>28</v>
      </c>
      <c r="AC8" s="163" t="str">
        <f t="shared" si="21"/>
        <v>0</v>
      </c>
      <c r="AD8" s="158">
        <v>509</v>
      </c>
      <c r="AE8" s="163">
        <f t="shared" si="21"/>
        <v>3</v>
      </c>
      <c r="AF8" s="158">
        <v>7643</v>
      </c>
      <c r="AG8" s="163">
        <f t="shared" si="21"/>
        <v>14</v>
      </c>
    </row>
    <row r="9" spans="1:33" ht="16.5" thickBot="1" x14ac:dyDescent="0.25">
      <c r="A9" s="9">
        <v>44719</v>
      </c>
      <c r="B9" s="160">
        <v>23595.574000000001</v>
      </c>
      <c r="C9" s="44">
        <f t="shared" si="22"/>
        <v>9.0580000000009022</v>
      </c>
      <c r="D9" s="28">
        <f t="shared" si="23"/>
        <v>17210.200000001714</v>
      </c>
      <c r="E9" s="160">
        <v>4257.6049999999996</v>
      </c>
      <c r="F9" s="44">
        <f t="shared" si="24"/>
        <v>2.2529999999997017</v>
      </c>
      <c r="G9" s="28">
        <f t="shared" si="25"/>
        <v>4280.6999999994332</v>
      </c>
      <c r="H9" s="160">
        <v>5374</v>
      </c>
      <c r="I9" s="44">
        <f t="shared" si="26"/>
        <v>5</v>
      </c>
      <c r="J9" s="28">
        <f t="shared" si="27"/>
        <v>9500</v>
      </c>
      <c r="K9" s="7">
        <v>13989.11</v>
      </c>
      <c r="L9" s="44">
        <f t="shared" si="28"/>
        <v>1.2800000000006548</v>
      </c>
      <c r="M9" s="28">
        <f t="shared" si="29"/>
        <v>2432.0000000012442</v>
      </c>
      <c r="N9" s="160">
        <v>3569.7660000000001</v>
      </c>
      <c r="O9" s="44">
        <f t="shared" si="30"/>
        <v>0.89899999999988722</v>
      </c>
      <c r="P9" s="28">
        <f t="shared" si="31"/>
        <v>1708.0999999997857</v>
      </c>
      <c r="Q9" s="160">
        <v>5364.83</v>
      </c>
      <c r="R9" s="44">
        <f t="shared" si="32"/>
        <v>3.4499999999998181</v>
      </c>
      <c r="S9" s="28">
        <f t="shared" si="33"/>
        <v>6554.9999999996544</v>
      </c>
      <c r="T9" s="8">
        <f t="shared" si="35"/>
        <v>21.940000000000964</v>
      </c>
      <c r="U9" s="30">
        <f t="shared" si="34"/>
        <v>41686.000000001834</v>
      </c>
      <c r="W9" s="157">
        <v>44719</v>
      </c>
      <c r="X9" s="158">
        <v>178944</v>
      </c>
      <c r="Y9" s="163">
        <f t="shared" si="21"/>
        <v>133</v>
      </c>
      <c r="Z9" s="158">
        <v>9355</v>
      </c>
      <c r="AA9" s="163">
        <f t="shared" si="21"/>
        <v>5</v>
      </c>
      <c r="AB9" s="158">
        <v>28</v>
      </c>
      <c r="AC9" s="163">
        <f t="shared" si="21"/>
        <v>0</v>
      </c>
      <c r="AD9" s="158">
        <v>511</v>
      </c>
      <c r="AE9" s="163">
        <f t="shared" si="21"/>
        <v>2</v>
      </c>
      <c r="AF9" s="158">
        <v>7659</v>
      </c>
      <c r="AG9" s="163">
        <f t="shared" si="21"/>
        <v>16</v>
      </c>
    </row>
    <row r="10" spans="1:33" ht="16.5" thickBot="1" x14ac:dyDescent="0.25">
      <c r="A10" s="9">
        <v>44720</v>
      </c>
      <c r="B10" s="160">
        <v>23607.51</v>
      </c>
      <c r="C10" s="44">
        <f t="shared" si="22"/>
        <v>11.935999999997875</v>
      </c>
      <c r="D10" s="28">
        <f t="shared" si="23"/>
        <v>22678.399999995963</v>
      </c>
      <c r="E10" s="160">
        <v>4260.4669999999996</v>
      </c>
      <c r="F10" s="44">
        <f t="shared" si="24"/>
        <v>2.86200000000008</v>
      </c>
      <c r="G10" s="28">
        <f t="shared" si="25"/>
        <v>5437.8000000001521</v>
      </c>
      <c r="H10" s="160">
        <v>5381</v>
      </c>
      <c r="I10" s="44">
        <f t="shared" si="26"/>
        <v>7</v>
      </c>
      <c r="J10" s="28">
        <f t="shared" si="27"/>
        <v>13299.999999999998</v>
      </c>
      <c r="K10" s="7">
        <v>13991.22</v>
      </c>
      <c r="L10" s="44">
        <f t="shared" si="28"/>
        <v>2.1099999999987631</v>
      </c>
      <c r="M10" s="28">
        <f t="shared" si="29"/>
        <v>4008.9999999976494</v>
      </c>
      <c r="N10" s="160">
        <v>3571.1239999999998</v>
      </c>
      <c r="O10" s="44">
        <f>IF((N10-N9)&lt;0,"0",(N10-N9))</f>
        <v>1.3579999999997199</v>
      </c>
      <c r="P10" s="28">
        <f t="shared" si="31"/>
        <v>2580.1999999994678</v>
      </c>
      <c r="Q10" s="160">
        <v>5366.1</v>
      </c>
      <c r="R10" s="44">
        <f t="shared" si="32"/>
        <v>1.2700000000004366</v>
      </c>
      <c r="S10" s="28">
        <f t="shared" si="33"/>
        <v>2413.0000000008295</v>
      </c>
      <c r="T10" s="8">
        <f t="shared" si="35"/>
        <v>26.535999999996875</v>
      </c>
      <c r="U10" s="30">
        <f t="shared" si="34"/>
        <v>50418.399999994057</v>
      </c>
      <c r="W10" s="157">
        <v>44720</v>
      </c>
      <c r="X10" s="158">
        <v>179193</v>
      </c>
      <c r="Y10" s="163">
        <f t="shared" si="21"/>
        <v>249</v>
      </c>
      <c r="Z10" s="158">
        <v>9360</v>
      </c>
      <c r="AA10" s="163">
        <f t="shared" si="21"/>
        <v>5</v>
      </c>
      <c r="AB10" s="158">
        <v>28.1</v>
      </c>
      <c r="AC10" s="163">
        <f t="shared" si="21"/>
        <v>0.10000000000000142</v>
      </c>
      <c r="AD10" s="158">
        <v>512</v>
      </c>
      <c r="AE10" s="163">
        <f t="shared" si="21"/>
        <v>1</v>
      </c>
      <c r="AF10" s="158">
        <v>7673</v>
      </c>
      <c r="AG10" s="163">
        <f t="shared" si="21"/>
        <v>14</v>
      </c>
    </row>
    <row r="11" spans="1:33" ht="16.5" thickBot="1" x14ac:dyDescent="0.25">
      <c r="A11" s="9">
        <v>44721</v>
      </c>
      <c r="B11" s="160">
        <v>23621.239000000001</v>
      </c>
      <c r="C11" s="44">
        <f t="shared" si="22"/>
        <v>13.729000000002998</v>
      </c>
      <c r="D11" s="28">
        <f t="shared" si="23"/>
        <v>26085.100000005696</v>
      </c>
      <c r="E11" s="160">
        <v>4263.9570000000003</v>
      </c>
      <c r="F11" s="44">
        <f t="shared" si="24"/>
        <v>3.4900000000006912</v>
      </c>
      <c r="G11" s="28">
        <f t="shared" si="25"/>
        <v>6631.0000000013133</v>
      </c>
      <c r="H11" s="160">
        <v>5390</v>
      </c>
      <c r="I11" s="44">
        <f t="shared" si="26"/>
        <v>9</v>
      </c>
      <c r="J11" s="28">
        <f t="shared" si="27"/>
        <v>17099.999999999996</v>
      </c>
      <c r="K11" s="7">
        <v>13993.68</v>
      </c>
      <c r="L11" s="44">
        <f t="shared" si="28"/>
        <v>2.4600000000009459</v>
      </c>
      <c r="M11" s="28">
        <f t="shared" si="29"/>
        <v>4674.0000000017972</v>
      </c>
      <c r="N11" s="160">
        <v>3572.7260000000001</v>
      </c>
      <c r="O11" s="44">
        <f t="shared" si="30"/>
        <v>1.6020000000003165</v>
      </c>
      <c r="P11" s="28">
        <f t="shared" si="31"/>
        <v>3043.8000000006014</v>
      </c>
      <c r="Q11" s="160">
        <v>5368.2</v>
      </c>
      <c r="R11" s="44">
        <f t="shared" si="32"/>
        <v>2.0999999999994543</v>
      </c>
      <c r="S11" s="28">
        <f t="shared" si="33"/>
        <v>3989.9999999989627</v>
      </c>
      <c r="T11" s="8">
        <f t="shared" si="35"/>
        <v>32.381000000004406</v>
      </c>
      <c r="U11" s="30">
        <f t="shared" si="34"/>
        <v>61523.900000008369</v>
      </c>
      <c r="W11" s="157">
        <v>44721</v>
      </c>
      <c r="X11" s="158">
        <v>179501</v>
      </c>
      <c r="Y11" s="163">
        <f t="shared" si="21"/>
        <v>308</v>
      </c>
      <c r="Z11" s="158">
        <v>9370</v>
      </c>
      <c r="AA11" s="163">
        <f t="shared" si="21"/>
        <v>10</v>
      </c>
      <c r="AB11" s="158">
        <v>28.2</v>
      </c>
      <c r="AC11" s="163">
        <f t="shared" si="21"/>
        <v>9.9999999999997868E-2</v>
      </c>
      <c r="AD11" s="158">
        <v>513</v>
      </c>
      <c r="AE11" s="163">
        <f t="shared" si="21"/>
        <v>1</v>
      </c>
      <c r="AF11" s="158">
        <v>7690</v>
      </c>
      <c r="AG11" s="163">
        <f t="shared" si="21"/>
        <v>17</v>
      </c>
    </row>
    <row r="12" spans="1:33" ht="16.5" thickBot="1" x14ac:dyDescent="0.25">
      <c r="A12" s="9">
        <v>44722</v>
      </c>
      <c r="B12" s="160">
        <v>23633.587</v>
      </c>
      <c r="C12" s="44">
        <f t="shared" si="22"/>
        <v>12.347999999998137</v>
      </c>
      <c r="D12" s="28">
        <f t="shared" si="23"/>
        <v>23461.199999996461</v>
      </c>
      <c r="E12" s="160">
        <v>4265.6459999999997</v>
      </c>
      <c r="F12" s="44">
        <f t="shared" si="24"/>
        <v>1.6889999999993961</v>
      </c>
      <c r="G12" s="28">
        <f t="shared" si="25"/>
        <v>3209.0999999988521</v>
      </c>
      <c r="H12" s="160">
        <v>5397</v>
      </c>
      <c r="I12" s="44">
        <f t="shared" si="26"/>
        <v>7</v>
      </c>
      <c r="J12" s="28">
        <f t="shared" si="27"/>
        <v>13299.999999999998</v>
      </c>
      <c r="K12" s="7">
        <v>13995.65</v>
      </c>
      <c r="L12" s="44">
        <f t="shared" si="28"/>
        <v>1.9699999999993452</v>
      </c>
      <c r="M12" s="28">
        <f t="shared" si="29"/>
        <v>3742.9999999987554</v>
      </c>
      <c r="N12" s="160">
        <v>3574.172</v>
      </c>
      <c r="O12" s="44">
        <f t="shared" si="30"/>
        <v>1.4459999999999127</v>
      </c>
      <c r="P12" s="28">
        <f t="shared" si="31"/>
        <v>2747.3999999998341</v>
      </c>
      <c r="Q12" s="160">
        <v>5370.3</v>
      </c>
      <c r="R12" s="44">
        <f t="shared" si="32"/>
        <v>2.1000000000003638</v>
      </c>
      <c r="S12" s="28">
        <f t="shared" si="33"/>
        <v>3990.0000000006912</v>
      </c>
      <c r="T12" s="8">
        <f t="shared" si="35"/>
        <v>26.552999999997155</v>
      </c>
      <c r="U12" s="30">
        <f t="shared" si="34"/>
        <v>50450.699999994591</v>
      </c>
      <c r="W12" s="157">
        <v>44722</v>
      </c>
      <c r="X12" s="158">
        <v>179797</v>
      </c>
      <c r="Y12" s="163">
        <f t="shared" si="21"/>
        <v>296</v>
      </c>
      <c r="Z12" s="158">
        <v>9377</v>
      </c>
      <c r="AA12" s="163">
        <f t="shared" si="21"/>
        <v>7</v>
      </c>
      <c r="AB12" s="158">
        <v>28.2</v>
      </c>
      <c r="AC12" s="163">
        <f t="shared" si="21"/>
        <v>0</v>
      </c>
      <c r="AD12" s="158">
        <v>514</v>
      </c>
      <c r="AE12" s="163">
        <f t="shared" si="21"/>
        <v>1</v>
      </c>
      <c r="AF12" s="158">
        <v>7708</v>
      </c>
      <c r="AG12" s="163">
        <f t="shared" si="21"/>
        <v>18</v>
      </c>
    </row>
    <row r="13" spans="1:33" ht="16.5" thickBot="1" x14ac:dyDescent="0.25">
      <c r="A13" s="9">
        <v>44723</v>
      </c>
      <c r="B13" s="160">
        <v>23652.893</v>
      </c>
      <c r="C13" s="44">
        <f t="shared" si="22"/>
        <v>19.306000000000495</v>
      </c>
      <c r="D13" s="28">
        <f t="shared" si="23"/>
        <v>36681.40000000094</v>
      </c>
      <c r="E13" s="160">
        <v>4268.4459999999999</v>
      </c>
      <c r="F13" s="44">
        <f t="shared" si="24"/>
        <v>2.8000000000001819</v>
      </c>
      <c r="G13" s="28">
        <f t="shared" si="25"/>
        <v>5320.0000000003456</v>
      </c>
      <c r="H13" s="160">
        <v>5408</v>
      </c>
      <c r="I13" s="44">
        <f t="shared" si="26"/>
        <v>11</v>
      </c>
      <c r="J13" s="28">
        <f t="shared" si="27"/>
        <v>20900</v>
      </c>
      <c r="K13" s="7">
        <v>13999.17</v>
      </c>
      <c r="L13" s="44">
        <f t="shared" si="28"/>
        <v>3.5200000000004366</v>
      </c>
      <c r="M13" s="28">
        <f t="shared" si="29"/>
        <v>6688.0000000008295</v>
      </c>
      <c r="N13" s="160">
        <v>3576.1379999999999</v>
      </c>
      <c r="O13" s="44">
        <f t="shared" si="30"/>
        <v>1.9659999999998945</v>
      </c>
      <c r="P13" s="28">
        <f t="shared" si="31"/>
        <v>3735.3999999997995</v>
      </c>
      <c r="Q13" s="160">
        <v>5371.88</v>
      </c>
      <c r="R13" s="44">
        <f t="shared" si="32"/>
        <v>1.5799999999999272</v>
      </c>
      <c r="S13" s="28">
        <f t="shared" si="33"/>
        <v>3001.9999999998618</v>
      </c>
      <c r="T13" s="8">
        <f t="shared" si="35"/>
        <v>40.172000000000935</v>
      </c>
      <c r="U13" s="30">
        <f t="shared" si="34"/>
        <v>76326.800000001764</v>
      </c>
      <c r="W13" s="157">
        <v>44723</v>
      </c>
      <c r="X13" s="158">
        <v>180218</v>
      </c>
      <c r="Y13" s="163">
        <f t="shared" si="21"/>
        <v>421</v>
      </c>
      <c r="Z13" s="158">
        <v>9389</v>
      </c>
      <c r="AA13" s="163">
        <f t="shared" si="21"/>
        <v>12</v>
      </c>
      <c r="AB13" s="158">
        <v>28</v>
      </c>
      <c r="AC13" s="163" t="str">
        <f t="shared" si="21"/>
        <v>0</v>
      </c>
      <c r="AD13" s="158">
        <v>522</v>
      </c>
      <c r="AE13" s="163">
        <f t="shared" si="21"/>
        <v>8</v>
      </c>
      <c r="AF13" s="158">
        <v>7721</v>
      </c>
      <c r="AG13" s="163">
        <f t="shared" si="21"/>
        <v>13</v>
      </c>
    </row>
    <row r="14" spans="1:33" ht="16.5" thickBot="1" x14ac:dyDescent="0.25">
      <c r="A14" s="9">
        <v>44724</v>
      </c>
      <c r="B14" s="160">
        <v>23664.65</v>
      </c>
      <c r="C14" s="44">
        <f t="shared" si="22"/>
        <v>11.757000000001426</v>
      </c>
      <c r="D14" s="28">
        <f t="shared" si="23"/>
        <v>22338.300000002706</v>
      </c>
      <c r="E14" s="160">
        <v>4271.7439999999997</v>
      </c>
      <c r="F14" s="44">
        <f t="shared" si="24"/>
        <v>3.2979999999997744</v>
      </c>
      <c r="G14" s="28">
        <f t="shared" si="25"/>
        <v>6266.1999999995714</v>
      </c>
      <c r="H14" s="160">
        <v>5415</v>
      </c>
      <c r="I14" s="44">
        <f t="shared" si="26"/>
        <v>7</v>
      </c>
      <c r="J14" s="28">
        <f t="shared" si="27"/>
        <v>13299.999999999998</v>
      </c>
      <c r="K14" s="7">
        <v>14001.12</v>
      </c>
      <c r="L14" s="44">
        <f t="shared" si="28"/>
        <v>1.9500000000007276</v>
      </c>
      <c r="M14" s="28">
        <f t="shared" si="29"/>
        <v>3705.000000001382</v>
      </c>
      <c r="N14" s="160">
        <v>3577.4270000000001</v>
      </c>
      <c r="O14" s="44">
        <f>IF((N14-N13)&lt;0,"0",(N14-N13))</f>
        <v>1.2890000000002146</v>
      </c>
      <c r="P14" s="28">
        <f t="shared" si="31"/>
        <v>2449.1000000004078</v>
      </c>
      <c r="Q14" s="160">
        <v>5373.22</v>
      </c>
      <c r="R14" s="44">
        <f t="shared" si="32"/>
        <v>1.3400000000001455</v>
      </c>
      <c r="S14" s="28">
        <f t="shared" si="33"/>
        <v>2546.0000000002765</v>
      </c>
      <c r="T14" s="8">
        <f t="shared" si="35"/>
        <v>26.634000000002288</v>
      </c>
      <c r="U14" s="30">
        <f t="shared" si="34"/>
        <v>50604.60000000435</v>
      </c>
      <c r="W14" s="157">
        <v>44724</v>
      </c>
      <c r="X14" s="158">
        <v>180520</v>
      </c>
      <c r="Y14" s="163">
        <f t="shared" si="21"/>
        <v>302</v>
      </c>
      <c r="Z14" s="158">
        <v>9399</v>
      </c>
      <c r="AA14" s="163">
        <f t="shared" si="21"/>
        <v>10</v>
      </c>
      <c r="AB14" s="158">
        <v>28</v>
      </c>
      <c r="AC14" s="163">
        <f t="shared" si="21"/>
        <v>0</v>
      </c>
      <c r="AD14" s="158">
        <v>525</v>
      </c>
      <c r="AE14" s="163">
        <f t="shared" si="21"/>
        <v>3</v>
      </c>
      <c r="AF14" s="158">
        <v>7734</v>
      </c>
      <c r="AG14" s="163">
        <f t="shared" si="21"/>
        <v>13</v>
      </c>
    </row>
    <row r="15" spans="1:33" ht="16.5" thickBot="1" x14ac:dyDescent="0.25">
      <c r="A15" s="9">
        <v>44725</v>
      </c>
      <c r="B15" s="160">
        <v>23674.626</v>
      </c>
      <c r="C15" s="44">
        <f t="shared" ref="C15" si="36">IF((B15-B14)&lt;0,"0",(B15-B14))</f>
        <v>9.9759999999987485</v>
      </c>
      <c r="D15" s="28">
        <f t="shared" ref="D15" si="37">C15*1.9*1000</f>
        <v>18954.399999997622</v>
      </c>
      <c r="E15" s="160">
        <v>4273.9740000000002</v>
      </c>
      <c r="F15" s="44">
        <f t="shared" ref="F15" si="38">IF((E15-E14)&lt;0,"0",(E15-E14))</f>
        <v>2.2300000000004729</v>
      </c>
      <c r="G15" s="28">
        <f t="shared" ref="G15" si="39">F15*1.9*1000</f>
        <v>4237.0000000008977</v>
      </c>
      <c r="H15" s="160">
        <v>5421</v>
      </c>
      <c r="I15" s="44">
        <f t="shared" ref="I15" si="40">IF((H15-H14)&lt;0,"0",(H15-H14))</f>
        <v>6</v>
      </c>
      <c r="J15" s="28">
        <f t="shared" ref="J15" si="41">I15*1.9*1000</f>
        <v>11399.999999999998</v>
      </c>
      <c r="K15" s="7">
        <v>14002.53</v>
      </c>
      <c r="L15" s="44">
        <f t="shared" ref="L15" si="42">IF((K15-K14)&lt;0,"0",(K15-K14))</f>
        <v>1.4099999999998545</v>
      </c>
      <c r="M15" s="28">
        <f t="shared" ref="M15" si="43">L15*1.9*1000</f>
        <v>2678.9999999997235</v>
      </c>
      <c r="N15" s="160">
        <v>3578.4360000000001</v>
      </c>
      <c r="O15" s="44">
        <f>IF((N15-N14)&lt;0,"0",(N15-N14))</f>
        <v>1.0090000000000146</v>
      </c>
      <c r="P15" s="28">
        <f t="shared" ref="P15" si="44">O15*1.9*1000</f>
        <v>1917.1000000000276</v>
      </c>
      <c r="Q15" s="160">
        <v>5378.18</v>
      </c>
      <c r="R15" s="44">
        <f t="shared" ref="R15" si="45">IF((Q15-Q14)&lt;0,"0",(Q15-Q14))</f>
        <v>4.9600000000000364</v>
      </c>
      <c r="S15" s="28">
        <f t="shared" ref="S15" si="46">R15*1.9*1000</f>
        <v>9424.0000000000691</v>
      </c>
      <c r="T15" s="8">
        <f t="shared" ref="T15" si="47">C15+F15+I15+L15+O15+R15</f>
        <v>25.584999999999127</v>
      </c>
      <c r="U15" s="30">
        <f t="shared" ref="U15" si="48">T15*1.9*1000</f>
        <v>48611.499999998334</v>
      </c>
      <c r="W15" s="157">
        <v>44725</v>
      </c>
      <c r="X15" s="158">
        <v>180623</v>
      </c>
      <c r="Y15" s="163">
        <f t="shared" si="21"/>
        <v>103</v>
      </c>
      <c r="Z15" s="158">
        <v>9399</v>
      </c>
      <c r="AA15" s="163">
        <f t="shared" si="21"/>
        <v>0</v>
      </c>
      <c r="AB15" s="158">
        <v>28.2</v>
      </c>
      <c r="AC15" s="163">
        <f t="shared" si="21"/>
        <v>0.19999999999999929</v>
      </c>
      <c r="AD15" s="158">
        <v>527</v>
      </c>
      <c r="AE15" s="163">
        <f t="shared" si="21"/>
        <v>2</v>
      </c>
      <c r="AF15" s="158">
        <v>7763</v>
      </c>
      <c r="AG15" s="163">
        <f t="shared" si="21"/>
        <v>29</v>
      </c>
    </row>
    <row r="16" spans="1:33" ht="16.5" thickBot="1" x14ac:dyDescent="0.25">
      <c r="A16" s="9">
        <v>44726</v>
      </c>
      <c r="B16" s="160">
        <v>23686.947</v>
      </c>
      <c r="C16" s="44">
        <f t="shared" si="22"/>
        <v>12.320999999999913</v>
      </c>
      <c r="D16" s="28">
        <f t="shared" si="23"/>
        <v>23409.899999999834</v>
      </c>
      <c r="E16" s="160">
        <v>4277.3339999999998</v>
      </c>
      <c r="F16" s="44">
        <f t="shared" si="24"/>
        <v>3.3599999999996726</v>
      </c>
      <c r="G16" s="28">
        <f t="shared" si="25"/>
        <v>6383.9999999993779</v>
      </c>
      <c r="H16" s="160">
        <v>5429</v>
      </c>
      <c r="I16" s="44">
        <f t="shared" si="26"/>
        <v>8</v>
      </c>
      <c r="J16" s="28">
        <f t="shared" si="27"/>
        <v>15200</v>
      </c>
      <c r="K16" s="7">
        <v>14004.83</v>
      </c>
      <c r="L16" s="44">
        <f t="shared" si="28"/>
        <v>2.2999999999992724</v>
      </c>
      <c r="M16" s="28">
        <f t="shared" si="29"/>
        <v>4369.9999999986176</v>
      </c>
      <c r="N16" s="160">
        <v>3579.9389999999999</v>
      </c>
      <c r="O16" s="44">
        <f t="shared" si="30"/>
        <v>1.5029999999997017</v>
      </c>
      <c r="P16" s="28">
        <f t="shared" si="31"/>
        <v>2855.6999999994332</v>
      </c>
      <c r="Q16" s="160">
        <v>5379.94</v>
      </c>
      <c r="R16" s="44">
        <f t="shared" si="32"/>
        <v>1.7599999999993088</v>
      </c>
      <c r="S16" s="28">
        <f t="shared" si="33"/>
        <v>3343.9999999986867</v>
      </c>
      <c r="T16" s="8">
        <f t="shared" si="35"/>
        <v>29.243999999997868</v>
      </c>
      <c r="U16" s="30">
        <f t="shared" si="34"/>
        <v>55563.599999995946</v>
      </c>
      <c r="W16" s="157">
        <v>44726</v>
      </c>
      <c r="X16" s="158">
        <v>180898</v>
      </c>
      <c r="Y16" s="163">
        <f t="shared" si="21"/>
        <v>275</v>
      </c>
      <c r="Z16" s="158">
        <v>9405</v>
      </c>
      <c r="AA16" s="163">
        <f t="shared" si="21"/>
        <v>6</v>
      </c>
      <c r="AB16" s="158">
        <v>28.2</v>
      </c>
      <c r="AC16" s="163">
        <f t="shared" si="21"/>
        <v>0</v>
      </c>
      <c r="AD16" s="158">
        <v>528</v>
      </c>
      <c r="AE16" s="163">
        <f t="shared" si="21"/>
        <v>1</v>
      </c>
      <c r="AF16" s="158">
        <v>7780</v>
      </c>
      <c r="AG16" s="163">
        <f t="shared" si="21"/>
        <v>17</v>
      </c>
    </row>
    <row r="17" spans="1:33" ht="16.5" thickBot="1" x14ac:dyDescent="0.25">
      <c r="A17" s="9">
        <v>44727</v>
      </c>
      <c r="B17" s="160">
        <v>23699.917000000001</v>
      </c>
      <c r="C17" s="44">
        <f t="shared" si="22"/>
        <v>12.970000000001164</v>
      </c>
      <c r="D17" s="28">
        <f t="shared" si="23"/>
        <v>24643.000000002212</v>
      </c>
      <c r="E17" s="160">
        <v>4280.5950000000003</v>
      </c>
      <c r="F17" s="44">
        <f t="shared" si="24"/>
        <v>3.261000000000422</v>
      </c>
      <c r="G17" s="28">
        <f t="shared" si="25"/>
        <v>6195.9000000008009</v>
      </c>
      <c r="H17" s="160">
        <v>5437</v>
      </c>
      <c r="I17" s="44">
        <f t="shared" si="26"/>
        <v>8</v>
      </c>
      <c r="J17" s="28">
        <f t="shared" si="27"/>
        <v>15200</v>
      </c>
      <c r="K17" s="7">
        <v>14007.15</v>
      </c>
      <c r="L17" s="44">
        <f t="shared" si="28"/>
        <v>2.319999999999709</v>
      </c>
      <c r="M17" s="28">
        <f t="shared" si="29"/>
        <v>4407.999999999447</v>
      </c>
      <c r="N17" s="160">
        <v>3581.395</v>
      </c>
      <c r="O17" s="44">
        <f t="shared" si="30"/>
        <v>1.456000000000131</v>
      </c>
      <c r="P17" s="28">
        <f t="shared" si="31"/>
        <v>2766.4000000002488</v>
      </c>
      <c r="Q17" s="160">
        <v>5382</v>
      </c>
      <c r="R17" s="44">
        <f t="shared" si="32"/>
        <v>2.0600000000004002</v>
      </c>
      <c r="S17" s="28">
        <f t="shared" si="33"/>
        <v>3914.0000000007599</v>
      </c>
      <c r="T17" s="8">
        <f t="shared" si="35"/>
        <v>30.067000000001826</v>
      </c>
      <c r="U17" s="30">
        <f t="shared" si="34"/>
        <v>57127.300000003466</v>
      </c>
      <c r="W17" s="157">
        <v>44727</v>
      </c>
      <c r="X17" s="158">
        <v>181128</v>
      </c>
      <c r="Y17" s="163">
        <f t="shared" si="21"/>
        <v>230</v>
      </c>
      <c r="Z17" s="158">
        <v>9410</v>
      </c>
      <c r="AA17" s="163">
        <f t="shared" si="21"/>
        <v>5</v>
      </c>
      <c r="AB17" s="158">
        <v>28.8</v>
      </c>
      <c r="AC17" s="163">
        <f t="shared" si="21"/>
        <v>0.60000000000000142</v>
      </c>
      <c r="AD17" s="158">
        <v>529</v>
      </c>
      <c r="AE17" s="163">
        <f t="shared" si="21"/>
        <v>1</v>
      </c>
      <c r="AF17" s="158">
        <v>7795</v>
      </c>
      <c r="AG17" s="163">
        <f t="shared" si="21"/>
        <v>15</v>
      </c>
    </row>
    <row r="18" spans="1:33" ht="16.5" thickBot="1" x14ac:dyDescent="0.25">
      <c r="A18" s="9">
        <v>44728</v>
      </c>
      <c r="B18" s="160">
        <v>23713.146000000001</v>
      </c>
      <c r="C18" s="44">
        <f t="shared" si="22"/>
        <v>13.22899999999936</v>
      </c>
      <c r="D18" s="28">
        <f t="shared" si="23"/>
        <v>25135.099999998783</v>
      </c>
      <c r="E18" s="160">
        <v>4283.8559999999998</v>
      </c>
      <c r="F18" s="44">
        <f t="shared" si="24"/>
        <v>3.2609999999995125</v>
      </c>
      <c r="G18" s="28">
        <f t="shared" si="25"/>
        <v>6195.8999999990738</v>
      </c>
      <c r="H18" s="160">
        <v>5445</v>
      </c>
      <c r="I18" s="44">
        <f t="shared" si="26"/>
        <v>8</v>
      </c>
      <c r="J18" s="28">
        <f t="shared" si="27"/>
        <v>15200</v>
      </c>
      <c r="K18" s="7">
        <v>14009.45</v>
      </c>
      <c r="L18" s="44">
        <f t="shared" si="28"/>
        <v>2.3000000000010914</v>
      </c>
      <c r="M18" s="28">
        <f t="shared" si="29"/>
        <v>4370.0000000020727</v>
      </c>
      <c r="N18" s="160">
        <v>3582.9789999999998</v>
      </c>
      <c r="O18" s="44">
        <f t="shared" si="30"/>
        <v>1.5839999999998327</v>
      </c>
      <c r="P18" s="28">
        <f t="shared" si="31"/>
        <v>3009.599999999682</v>
      </c>
      <c r="Q18" s="160">
        <v>5385.13</v>
      </c>
      <c r="R18" s="44">
        <f t="shared" si="32"/>
        <v>3.1300000000001091</v>
      </c>
      <c r="S18" s="28">
        <f t="shared" si="33"/>
        <v>5947.0000000002074</v>
      </c>
      <c r="T18" s="8">
        <f t="shared" si="35"/>
        <v>31.503999999999905</v>
      </c>
      <c r="U18" s="30">
        <f t="shared" si="34"/>
        <v>59857.599999999817</v>
      </c>
      <c r="W18" s="157">
        <v>44728</v>
      </c>
      <c r="X18" s="158">
        <v>181401</v>
      </c>
      <c r="Y18" s="163">
        <f t="shared" si="21"/>
        <v>273</v>
      </c>
      <c r="Z18" s="158">
        <v>9415</v>
      </c>
      <c r="AA18" s="163">
        <f t="shared" si="21"/>
        <v>5</v>
      </c>
      <c r="AB18" s="158">
        <v>28.5</v>
      </c>
      <c r="AC18" s="163" t="str">
        <f t="shared" si="21"/>
        <v>0</v>
      </c>
      <c r="AD18" s="158">
        <v>531</v>
      </c>
      <c r="AE18" s="163">
        <f t="shared" si="21"/>
        <v>2</v>
      </c>
      <c r="AF18" s="158">
        <v>7807</v>
      </c>
      <c r="AG18" s="163">
        <f t="shared" si="21"/>
        <v>12</v>
      </c>
    </row>
    <row r="19" spans="1:33" ht="16.5" thickBot="1" x14ac:dyDescent="0.25">
      <c r="A19" s="9">
        <v>44729</v>
      </c>
      <c r="B19" s="160">
        <v>23727.445</v>
      </c>
      <c r="C19" s="44">
        <f t="shared" si="22"/>
        <v>14.298999999999069</v>
      </c>
      <c r="D19" s="28">
        <f t="shared" si="23"/>
        <v>27168.09999999823</v>
      </c>
      <c r="E19" s="160">
        <v>4286.259</v>
      </c>
      <c r="F19" s="44">
        <f t="shared" si="24"/>
        <v>2.4030000000002474</v>
      </c>
      <c r="G19" s="28">
        <f t="shared" si="25"/>
        <v>4565.7000000004691</v>
      </c>
      <c r="H19" s="160">
        <v>5452</v>
      </c>
      <c r="I19" s="44">
        <f t="shared" si="26"/>
        <v>7</v>
      </c>
      <c r="J19" s="28">
        <f t="shared" si="27"/>
        <v>13299.999999999998</v>
      </c>
      <c r="K19" s="7">
        <v>14011.93</v>
      </c>
      <c r="L19" s="44">
        <f t="shared" si="28"/>
        <v>2.4799999999995634</v>
      </c>
      <c r="M19" s="28">
        <f t="shared" si="29"/>
        <v>4711.9999999991705</v>
      </c>
      <c r="N19" s="160">
        <v>3584.5059999999999</v>
      </c>
      <c r="O19" s="44">
        <f t="shared" si="30"/>
        <v>1.5270000000000437</v>
      </c>
      <c r="P19" s="28">
        <f t="shared" si="31"/>
        <v>2901.3000000000825</v>
      </c>
      <c r="Q19" s="160">
        <v>5386.22</v>
      </c>
      <c r="R19" s="44">
        <f t="shared" si="32"/>
        <v>1.0900000000001455</v>
      </c>
      <c r="S19" s="28">
        <f t="shared" si="33"/>
        <v>2071.0000000002765</v>
      </c>
      <c r="T19" s="8">
        <f t="shared" si="35"/>
        <v>28.798999999999069</v>
      </c>
      <c r="U19" s="30">
        <f t="shared" si="34"/>
        <v>54718.09999999823</v>
      </c>
      <c r="W19" s="157">
        <v>44729</v>
      </c>
      <c r="X19" s="158">
        <v>181721</v>
      </c>
      <c r="Y19" s="163">
        <f t="shared" si="21"/>
        <v>320</v>
      </c>
      <c r="Z19" s="158">
        <v>9420</v>
      </c>
      <c r="AA19" s="163">
        <f t="shared" si="21"/>
        <v>5</v>
      </c>
      <c r="AB19" s="158">
        <v>28.7</v>
      </c>
      <c r="AC19" s="163">
        <f t="shared" si="21"/>
        <v>0.19999999999999929</v>
      </c>
      <c r="AD19" s="158">
        <v>532</v>
      </c>
      <c r="AE19" s="163">
        <f t="shared" si="21"/>
        <v>1</v>
      </c>
      <c r="AF19" s="158">
        <v>7823</v>
      </c>
      <c r="AG19" s="163">
        <f t="shared" si="21"/>
        <v>16</v>
      </c>
    </row>
    <row r="20" spans="1:33" ht="16.5" thickBot="1" x14ac:dyDescent="0.25">
      <c r="A20" s="9">
        <v>44730</v>
      </c>
      <c r="B20" s="160">
        <v>23738.457999999999</v>
      </c>
      <c r="C20" s="44">
        <f t="shared" si="22"/>
        <v>11.01299999999901</v>
      </c>
      <c r="D20" s="28">
        <f t="shared" si="23"/>
        <v>20924.69999999812</v>
      </c>
      <c r="E20" s="160">
        <v>4287.8010000000004</v>
      </c>
      <c r="F20" s="44">
        <f t="shared" si="24"/>
        <v>1.5420000000003711</v>
      </c>
      <c r="G20" s="28">
        <f t="shared" si="25"/>
        <v>2929.800000000705</v>
      </c>
      <c r="H20" s="160">
        <v>5458</v>
      </c>
      <c r="I20" s="44">
        <f t="shared" si="26"/>
        <v>6</v>
      </c>
      <c r="J20" s="28">
        <f t="shared" si="27"/>
        <v>11399.999999999998</v>
      </c>
      <c r="K20" s="7">
        <v>14013.53</v>
      </c>
      <c r="L20" s="44">
        <f t="shared" si="28"/>
        <v>1.6000000000003638</v>
      </c>
      <c r="M20" s="28">
        <f t="shared" si="29"/>
        <v>3040.0000000006912</v>
      </c>
      <c r="N20" s="160">
        <v>3585.6179999999999</v>
      </c>
      <c r="O20" s="44">
        <f t="shared" si="30"/>
        <v>1.11200000000008</v>
      </c>
      <c r="P20" s="28">
        <f t="shared" si="31"/>
        <v>2112.8000000001521</v>
      </c>
      <c r="Q20" s="160">
        <v>5388.87</v>
      </c>
      <c r="R20" s="44">
        <f t="shared" si="32"/>
        <v>2.6499999999996362</v>
      </c>
      <c r="S20" s="28">
        <f t="shared" si="33"/>
        <v>5034.9999999993079</v>
      </c>
      <c r="T20" s="8">
        <f t="shared" si="35"/>
        <v>23.916999999999462</v>
      </c>
      <c r="U20" s="30">
        <f t="shared" si="34"/>
        <v>45442.29999999897</v>
      </c>
      <c r="W20" s="157">
        <v>44730</v>
      </c>
      <c r="X20" s="158">
        <v>181870</v>
      </c>
      <c r="Y20" s="163">
        <f t="shared" si="21"/>
        <v>149</v>
      </c>
      <c r="Z20" s="158">
        <v>9423</v>
      </c>
      <c r="AA20" s="163">
        <f t="shared" si="21"/>
        <v>3</v>
      </c>
      <c r="AB20" s="158">
        <v>28.7</v>
      </c>
      <c r="AC20" s="163">
        <f t="shared" si="21"/>
        <v>0</v>
      </c>
      <c r="AD20" s="158">
        <v>533</v>
      </c>
      <c r="AE20" s="163">
        <f t="shared" si="21"/>
        <v>1</v>
      </c>
      <c r="AF20" s="158">
        <v>7823</v>
      </c>
      <c r="AG20" s="163">
        <f t="shared" si="21"/>
        <v>0</v>
      </c>
    </row>
    <row r="21" spans="1:33" ht="16.5" thickBot="1" x14ac:dyDescent="0.25">
      <c r="A21" s="9">
        <v>44731</v>
      </c>
      <c r="B21" s="160">
        <v>23758.886999999999</v>
      </c>
      <c r="C21" s="44">
        <f t="shared" si="22"/>
        <v>20.429000000000087</v>
      </c>
      <c r="D21" s="28">
        <f t="shared" si="23"/>
        <v>38815.100000000166</v>
      </c>
      <c r="E21" s="160">
        <v>4292.5469999999996</v>
      </c>
      <c r="F21" s="44">
        <f t="shared" si="24"/>
        <v>4.7459999999991851</v>
      </c>
      <c r="G21" s="28">
        <f t="shared" si="25"/>
        <v>9017.3999999984517</v>
      </c>
      <c r="H21" s="160">
        <v>5469</v>
      </c>
      <c r="I21" s="44">
        <f t="shared" si="26"/>
        <v>11</v>
      </c>
      <c r="J21" s="28">
        <f t="shared" si="27"/>
        <v>20900</v>
      </c>
      <c r="K21" s="7">
        <v>14017.83</v>
      </c>
      <c r="L21" s="44">
        <f t="shared" si="28"/>
        <v>4.2999999999992724</v>
      </c>
      <c r="M21" s="28">
        <f t="shared" si="29"/>
        <v>8169.9999999986176</v>
      </c>
      <c r="N21" s="160">
        <v>3587.9659999999999</v>
      </c>
      <c r="O21" s="44">
        <f t="shared" si="30"/>
        <v>2.3479999999999563</v>
      </c>
      <c r="P21" s="28">
        <f t="shared" si="31"/>
        <v>4461.1999999999171</v>
      </c>
      <c r="Q21" s="160">
        <v>5390.74</v>
      </c>
      <c r="R21" s="44">
        <f t="shared" si="32"/>
        <v>1.8699999999998909</v>
      </c>
      <c r="S21" s="28">
        <f t="shared" si="33"/>
        <v>3552.9999999997926</v>
      </c>
      <c r="T21" s="8">
        <f t="shared" si="35"/>
        <v>44.692999999998392</v>
      </c>
      <c r="U21" s="30">
        <f t="shared" si="34"/>
        <v>84916.699999996941</v>
      </c>
      <c r="W21" s="157">
        <v>44731</v>
      </c>
      <c r="X21" s="158">
        <v>182278</v>
      </c>
      <c r="Y21" s="163">
        <f t="shared" si="21"/>
        <v>408</v>
      </c>
      <c r="Z21" s="158">
        <v>9432</v>
      </c>
      <c r="AA21" s="163">
        <f t="shared" si="21"/>
        <v>9</v>
      </c>
      <c r="AB21" s="158">
        <v>28.7</v>
      </c>
      <c r="AC21" s="163">
        <f t="shared" si="21"/>
        <v>0</v>
      </c>
      <c r="AD21" s="158">
        <v>534</v>
      </c>
      <c r="AE21" s="163">
        <f t="shared" si="21"/>
        <v>1</v>
      </c>
      <c r="AF21" s="158">
        <v>7852</v>
      </c>
      <c r="AG21" s="163">
        <f t="shared" si="21"/>
        <v>29</v>
      </c>
    </row>
    <row r="22" spans="1:33" ht="16.5" thickBot="1" x14ac:dyDescent="0.25">
      <c r="A22" s="9">
        <v>44732</v>
      </c>
      <c r="B22" s="160">
        <v>23767.006000000001</v>
      </c>
      <c r="C22" s="44">
        <f t="shared" si="22"/>
        <v>8.1190000000024156</v>
      </c>
      <c r="D22" s="28">
        <f t="shared" si="23"/>
        <v>15426.100000004588</v>
      </c>
      <c r="E22" s="160">
        <v>4295.1229999999996</v>
      </c>
      <c r="F22" s="44">
        <f t="shared" si="24"/>
        <v>2.5760000000000218</v>
      </c>
      <c r="G22" s="28">
        <f t="shared" si="25"/>
        <v>4894.4000000000406</v>
      </c>
      <c r="H22" s="160">
        <v>5473</v>
      </c>
      <c r="I22" s="44">
        <f t="shared" si="26"/>
        <v>4</v>
      </c>
      <c r="J22" s="28">
        <f t="shared" si="27"/>
        <v>7600</v>
      </c>
      <c r="K22" s="7">
        <v>14019.26</v>
      </c>
      <c r="L22" s="44">
        <f t="shared" si="28"/>
        <v>1.430000000000291</v>
      </c>
      <c r="M22" s="28">
        <f t="shared" si="29"/>
        <v>2717.000000000553</v>
      </c>
      <c r="N22" s="160">
        <v>3588.9409999999998</v>
      </c>
      <c r="O22" s="44">
        <f t="shared" si="30"/>
        <v>0.97499999999990905</v>
      </c>
      <c r="P22" s="28">
        <f t="shared" si="31"/>
        <v>1852.499999999827</v>
      </c>
      <c r="Q22" s="160">
        <v>5392</v>
      </c>
      <c r="R22" s="44">
        <f t="shared" si="32"/>
        <v>1.2600000000002183</v>
      </c>
      <c r="S22" s="28">
        <f t="shared" si="33"/>
        <v>2394.0000000004143</v>
      </c>
      <c r="T22" s="8">
        <f t="shared" si="35"/>
        <v>18.360000000002856</v>
      </c>
      <c r="U22" s="30">
        <f t="shared" si="34"/>
        <v>34884.000000005421</v>
      </c>
      <c r="W22" s="157">
        <v>44732</v>
      </c>
      <c r="X22" s="158">
        <v>182450</v>
      </c>
      <c r="Y22" s="163">
        <f t="shared" si="21"/>
        <v>172</v>
      </c>
      <c r="Z22" s="158">
        <v>9436</v>
      </c>
      <c r="AA22" s="163">
        <f t="shared" si="21"/>
        <v>4</v>
      </c>
      <c r="AB22" s="158">
        <v>28.7</v>
      </c>
      <c r="AC22" s="163">
        <f t="shared" si="21"/>
        <v>0</v>
      </c>
      <c r="AD22" s="158">
        <v>541</v>
      </c>
      <c r="AE22" s="163">
        <f t="shared" si="21"/>
        <v>7</v>
      </c>
      <c r="AF22" s="158">
        <v>7862</v>
      </c>
      <c r="AG22" s="163">
        <f t="shared" si="21"/>
        <v>10</v>
      </c>
    </row>
    <row r="23" spans="1:33" ht="16.5" thickBot="1" x14ac:dyDescent="0.25">
      <c r="A23" s="9">
        <v>44733</v>
      </c>
      <c r="B23" s="160">
        <v>23787.120999999999</v>
      </c>
      <c r="C23" s="44">
        <f t="shared" si="22"/>
        <v>20.114999999997963</v>
      </c>
      <c r="D23" s="28">
        <f t="shared" si="23"/>
        <v>38218.499999996129</v>
      </c>
      <c r="E23" s="160">
        <v>4298.223</v>
      </c>
      <c r="F23" s="44">
        <f t="shared" si="24"/>
        <v>3.1000000000003638</v>
      </c>
      <c r="G23" s="28">
        <f t="shared" si="25"/>
        <v>5890.0000000006903</v>
      </c>
      <c r="H23" s="160">
        <v>5477</v>
      </c>
      <c r="I23" s="44">
        <f t="shared" si="26"/>
        <v>4</v>
      </c>
      <c r="J23" s="28">
        <f t="shared" si="27"/>
        <v>7600</v>
      </c>
      <c r="K23" s="7">
        <v>14021.15</v>
      </c>
      <c r="L23" s="44">
        <f t="shared" si="28"/>
        <v>1.8899999999994179</v>
      </c>
      <c r="M23" s="28">
        <f t="shared" si="29"/>
        <v>3590.9999999988941</v>
      </c>
      <c r="N23" s="160">
        <v>3589.8180000000002</v>
      </c>
      <c r="O23" s="44">
        <f t="shared" si="30"/>
        <v>0.87700000000040745</v>
      </c>
      <c r="P23" s="28">
        <f t="shared" si="31"/>
        <v>1666.3000000007742</v>
      </c>
      <c r="Q23" s="160">
        <v>5394.23</v>
      </c>
      <c r="R23" s="44">
        <f t="shared" si="32"/>
        <v>2.2299999999995634</v>
      </c>
      <c r="S23" s="28">
        <f t="shared" si="33"/>
        <v>4236.9999999991705</v>
      </c>
      <c r="T23" s="8">
        <f t="shared" si="35"/>
        <v>32.211999999997715</v>
      </c>
      <c r="U23" s="30">
        <f t="shared" si="34"/>
        <v>61202.799999995652</v>
      </c>
      <c r="W23" s="157">
        <v>44733</v>
      </c>
      <c r="X23" s="158">
        <v>182663</v>
      </c>
      <c r="Y23" s="163">
        <f t="shared" si="21"/>
        <v>213</v>
      </c>
      <c r="Z23" s="158">
        <v>9443</v>
      </c>
      <c r="AA23" s="163">
        <f t="shared" si="21"/>
        <v>7</v>
      </c>
      <c r="AB23" s="158">
        <v>28.7</v>
      </c>
      <c r="AC23" s="163">
        <f t="shared" si="21"/>
        <v>0</v>
      </c>
      <c r="AD23" s="158">
        <v>542</v>
      </c>
      <c r="AE23" s="163">
        <f t="shared" si="21"/>
        <v>1</v>
      </c>
      <c r="AF23" s="158">
        <v>7871</v>
      </c>
      <c r="AG23" s="163">
        <f t="shared" si="21"/>
        <v>9</v>
      </c>
    </row>
    <row r="24" spans="1:33" ht="16.5" thickBot="1" x14ac:dyDescent="0.25">
      <c r="A24" s="9">
        <v>44734</v>
      </c>
      <c r="B24" s="160">
        <v>23793.745999999999</v>
      </c>
      <c r="C24" s="44">
        <f t="shared" si="22"/>
        <v>6.625</v>
      </c>
      <c r="D24" s="28">
        <f t="shared" si="23"/>
        <v>12587.499999999998</v>
      </c>
      <c r="E24" s="160">
        <v>4301.9639999999999</v>
      </c>
      <c r="F24" s="44">
        <f t="shared" si="24"/>
        <v>3.7409999999999854</v>
      </c>
      <c r="G24" s="28">
        <f t="shared" si="25"/>
        <v>7107.8999999999724</v>
      </c>
      <c r="H24" s="160">
        <v>5488</v>
      </c>
      <c r="I24" s="44">
        <f t="shared" si="26"/>
        <v>11</v>
      </c>
      <c r="J24" s="28">
        <f t="shared" si="27"/>
        <v>20900</v>
      </c>
      <c r="K24" s="7">
        <v>14023.8</v>
      </c>
      <c r="L24" s="44">
        <f t="shared" si="28"/>
        <v>2.6499999999996362</v>
      </c>
      <c r="M24" s="28">
        <f t="shared" si="29"/>
        <v>5034.9999999993079</v>
      </c>
      <c r="N24" s="160">
        <v>3592.4169999999999</v>
      </c>
      <c r="O24" s="44">
        <f t="shared" si="30"/>
        <v>2.5989999999997053</v>
      </c>
      <c r="P24" s="28">
        <f t="shared" si="31"/>
        <v>4938.0999999994401</v>
      </c>
      <c r="Q24" s="160">
        <v>5396.26</v>
      </c>
      <c r="R24" s="44">
        <f t="shared" si="32"/>
        <v>2.0300000000006548</v>
      </c>
      <c r="S24" s="28">
        <f t="shared" si="33"/>
        <v>3857.0000000012442</v>
      </c>
      <c r="T24" s="8">
        <f t="shared" si="35"/>
        <v>28.644999999999982</v>
      </c>
      <c r="U24" s="30">
        <f t="shared" si="34"/>
        <v>54425.499999999964</v>
      </c>
      <c r="W24" s="157">
        <v>44734</v>
      </c>
      <c r="X24" s="158">
        <v>183017</v>
      </c>
      <c r="Y24" s="163">
        <f t="shared" si="21"/>
        <v>354</v>
      </c>
      <c r="Z24" s="158">
        <v>9446</v>
      </c>
      <c r="AA24" s="163">
        <f t="shared" si="21"/>
        <v>3</v>
      </c>
      <c r="AB24" s="158">
        <v>28.7</v>
      </c>
      <c r="AC24" s="163">
        <f t="shared" si="21"/>
        <v>0</v>
      </c>
      <c r="AD24" s="158">
        <v>545</v>
      </c>
      <c r="AE24" s="163">
        <f t="shared" si="21"/>
        <v>3</v>
      </c>
      <c r="AF24" s="158">
        <v>7882</v>
      </c>
      <c r="AG24" s="163">
        <f t="shared" si="21"/>
        <v>11</v>
      </c>
    </row>
    <row r="25" spans="1:33" ht="16.5" thickBot="1" x14ac:dyDescent="0.25">
      <c r="A25" s="9">
        <v>44735</v>
      </c>
      <c r="B25" s="160">
        <v>23800.141</v>
      </c>
      <c r="C25" s="44">
        <f t="shared" si="22"/>
        <v>6.3950000000004366</v>
      </c>
      <c r="D25" s="28">
        <f t="shared" si="23"/>
        <v>12150.500000000829</v>
      </c>
      <c r="E25" s="160">
        <v>4303.88</v>
      </c>
      <c r="F25" s="44">
        <f t="shared" si="24"/>
        <v>1.9160000000001673</v>
      </c>
      <c r="G25" s="28">
        <f t="shared" si="25"/>
        <v>3640.4000000003175</v>
      </c>
      <c r="H25" s="160">
        <v>5493</v>
      </c>
      <c r="I25" s="44">
        <f t="shared" si="26"/>
        <v>5</v>
      </c>
      <c r="J25" s="28">
        <f t="shared" si="27"/>
        <v>9500</v>
      </c>
      <c r="K25" s="7">
        <v>14024.8</v>
      </c>
      <c r="L25" s="44">
        <f t="shared" si="28"/>
        <v>1</v>
      </c>
      <c r="M25" s="28">
        <f t="shared" si="29"/>
        <v>1900</v>
      </c>
      <c r="N25" s="160">
        <v>3593.2330000000002</v>
      </c>
      <c r="O25" s="44">
        <f t="shared" si="30"/>
        <v>0.8160000000002583</v>
      </c>
      <c r="P25" s="28">
        <f t="shared" si="31"/>
        <v>1550.4000000004908</v>
      </c>
      <c r="Q25" s="160">
        <v>5397.41</v>
      </c>
      <c r="R25" s="44">
        <f t="shared" si="32"/>
        <v>1.1499999999996362</v>
      </c>
      <c r="S25" s="28">
        <f t="shared" si="33"/>
        <v>2184.9999999993088</v>
      </c>
      <c r="T25" s="8">
        <f t="shared" si="35"/>
        <v>16.277000000000498</v>
      </c>
      <c r="U25" s="30">
        <f t="shared" si="34"/>
        <v>30926.300000000945</v>
      </c>
      <c r="W25" s="157">
        <v>44735</v>
      </c>
      <c r="X25" s="158">
        <v>183164</v>
      </c>
      <c r="Y25" s="163">
        <f t="shared" si="21"/>
        <v>147</v>
      </c>
      <c r="Z25" s="158">
        <v>9448</v>
      </c>
      <c r="AA25" s="163">
        <f t="shared" si="21"/>
        <v>2</v>
      </c>
      <c r="AB25" s="158">
        <v>28.8</v>
      </c>
      <c r="AC25" s="163">
        <f t="shared" si="21"/>
        <v>0.10000000000000142</v>
      </c>
      <c r="AD25" s="158">
        <v>546</v>
      </c>
      <c r="AE25" s="163">
        <f t="shared" si="21"/>
        <v>1</v>
      </c>
      <c r="AF25" s="158">
        <v>7898</v>
      </c>
      <c r="AG25" s="163">
        <f t="shared" si="21"/>
        <v>16</v>
      </c>
    </row>
    <row r="26" spans="1:33" ht="16.5" thickBot="1" x14ac:dyDescent="0.25">
      <c r="A26" s="9">
        <v>44736</v>
      </c>
      <c r="B26" s="160">
        <v>23812.848999999998</v>
      </c>
      <c r="C26" s="44">
        <f t="shared" si="22"/>
        <v>12.707999999998719</v>
      </c>
      <c r="D26" s="28">
        <f t="shared" si="23"/>
        <v>24145.199999997567</v>
      </c>
      <c r="E26" s="160">
        <v>4305.9399999999996</v>
      </c>
      <c r="F26" s="44">
        <f t="shared" si="24"/>
        <v>2.0599999999994907</v>
      </c>
      <c r="G26" s="28">
        <f t="shared" si="25"/>
        <v>3913.9999999990318</v>
      </c>
      <c r="H26" s="160">
        <v>5499</v>
      </c>
      <c r="I26" s="44">
        <f t="shared" si="26"/>
        <v>6</v>
      </c>
      <c r="J26" s="28">
        <f t="shared" si="27"/>
        <v>11399.999999999998</v>
      </c>
      <c r="K26" s="7">
        <v>14026.94</v>
      </c>
      <c r="L26" s="44">
        <f>IF((K26-K25)&lt;0,"0",(K26-K25))</f>
        <v>2.1400000000012369</v>
      </c>
      <c r="M26" s="28">
        <f t="shared" si="29"/>
        <v>4066.0000000023501</v>
      </c>
      <c r="N26" s="160">
        <v>3594.8009999999999</v>
      </c>
      <c r="O26" s="44">
        <f t="shared" si="30"/>
        <v>1.5679999999997563</v>
      </c>
      <c r="P26" s="28">
        <f t="shared" si="31"/>
        <v>2979.1999999995369</v>
      </c>
      <c r="Q26" s="160">
        <v>5399.64</v>
      </c>
      <c r="R26" s="44">
        <f t="shared" si="32"/>
        <v>2.2300000000004729</v>
      </c>
      <c r="S26" s="28">
        <f t="shared" si="33"/>
        <v>4237.0000000008977</v>
      </c>
      <c r="T26" s="8">
        <f t="shared" si="35"/>
        <v>26.705999999999676</v>
      </c>
      <c r="U26" s="30">
        <f t="shared" si="34"/>
        <v>50741.399999999383</v>
      </c>
      <c r="V26" t="s">
        <v>12</v>
      </c>
      <c r="W26" s="157">
        <v>44736</v>
      </c>
      <c r="X26" s="158">
        <v>183430</v>
      </c>
      <c r="Y26" s="163">
        <f t="shared" si="21"/>
        <v>266</v>
      </c>
      <c r="Z26" s="158">
        <v>9457</v>
      </c>
      <c r="AA26" s="163">
        <f t="shared" si="21"/>
        <v>9</v>
      </c>
      <c r="AB26" s="158">
        <v>29</v>
      </c>
      <c r="AC26" s="163">
        <f t="shared" si="21"/>
        <v>0.19999999999999929</v>
      </c>
      <c r="AD26" s="158">
        <v>548</v>
      </c>
      <c r="AE26" s="163">
        <f t="shared" si="21"/>
        <v>2</v>
      </c>
      <c r="AF26" s="158">
        <v>7915</v>
      </c>
      <c r="AG26" s="163">
        <f t="shared" si="21"/>
        <v>17</v>
      </c>
    </row>
    <row r="27" spans="1:33" ht="16.5" thickBot="1" x14ac:dyDescent="0.25">
      <c r="A27" s="9">
        <v>44737</v>
      </c>
      <c r="B27" s="160">
        <v>23826.9</v>
      </c>
      <c r="C27" s="44">
        <f t="shared" si="22"/>
        <v>14.051000000003114</v>
      </c>
      <c r="D27" s="28">
        <f t="shared" si="23"/>
        <v>26696.900000005913</v>
      </c>
      <c r="E27" s="160">
        <v>4308.3</v>
      </c>
      <c r="F27" s="44">
        <f t="shared" si="24"/>
        <v>2.3600000000005821</v>
      </c>
      <c r="G27" s="28">
        <f t="shared" si="25"/>
        <v>4484.0000000011059</v>
      </c>
      <c r="H27" s="160">
        <v>5506</v>
      </c>
      <c r="I27" s="44">
        <f t="shared" si="26"/>
        <v>7</v>
      </c>
      <c r="J27" s="28">
        <f t="shared" si="27"/>
        <v>13299.999999999998</v>
      </c>
      <c r="K27" s="7">
        <v>14029.4</v>
      </c>
      <c r="L27" s="44">
        <f t="shared" si="28"/>
        <v>2.4599999999991269</v>
      </c>
      <c r="M27" s="28">
        <f t="shared" si="29"/>
        <v>4673.9999999983411</v>
      </c>
      <c r="N27" s="160">
        <v>3596.3310000000001</v>
      </c>
      <c r="O27" s="44">
        <f t="shared" si="30"/>
        <v>1.5300000000002001</v>
      </c>
      <c r="P27" s="28">
        <f t="shared" si="31"/>
        <v>2907.0000000003802</v>
      </c>
      <c r="Q27" s="160">
        <v>5401.65</v>
      </c>
      <c r="R27" s="44">
        <f t="shared" si="32"/>
        <v>2.0099999999993088</v>
      </c>
      <c r="S27" s="28">
        <f t="shared" si="33"/>
        <v>3818.9999999986862</v>
      </c>
      <c r="T27" s="8">
        <f t="shared" si="35"/>
        <v>29.411000000002332</v>
      </c>
      <c r="U27" s="30">
        <f t="shared" si="34"/>
        <v>55880.900000004433</v>
      </c>
      <c r="V27" t="s">
        <v>12</v>
      </c>
      <c r="W27" s="157">
        <v>44737</v>
      </c>
      <c r="X27" s="158">
        <v>183752</v>
      </c>
      <c r="Y27" s="163">
        <f t="shared" si="21"/>
        <v>322</v>
      </c>
      <c r="Z27" s="158">
        <v>9462</v>
      </c>
      <c r="AA27" s="163">
        <f t="shared" si="21"/>
        <v>5</v>
      </c>
      <c r="AB27" s="158">
        <v>29</v>
      </c>
      <c r="AC27" s="163">
        <f t="shared" si="21"/>
        <v>0</v>
      </c>
      <c r="AD27" s="158">
        <v>549</v>
      </c>
      <c r="AE27" s="163">
        <f t="shared" si="21"/>
        <v>1</v>
      </c>
      <c r="AF27" s="158">
        <v>7934</v>
      </c>
      <c r="AG27" s="163">
        <f t="shared" si="21"/>
        <v>19</v>
      </c>
    </row>
    <row r="28" spans="1:33" ht="16.5" thickBot="1" x14ac:dyDescent="0.25">
      <c r="A28" s="9">
        <v>44738</v>
      </c>
      <c r="B28" s="160">
        <v>23839.598999999998</v>
      </c>
      <c r="C28" s="44">
        <f t="shared" si="22"/>
        <v>12.698999999996886</v>
      </c>
      <c r="D28" s="28">
        <f t="shared" si="23"/>
        <v>24128.09999999408</v>
      </c>
      <c r="E28" s="160">
        <v>4311.1930000000002</v>
      </c>
      <c r="F28" s="44">
        <f t="shared" si="24"/>
        <v>2.8930000000000291</v>
      </c>
      <c r="G28" s="28">
        <f t="shared" si="25"/>
        <v>5496.7000000000544</v>
      </c>
      <c r="H28" s="160">
        <v>5514</v>
      </c>
      <c r="I28" s="44">
        <f t="shared" si="26"/>
        <v>8</v>
      </c>
      <c r="J28" s="28">
        <f t="shared" si="27"/>
        <v>15200</v>
      </c>
      <c r="K28" s="7">
        <v>14031.63</v>
      </c>
      <c r="L28" s="44">
        <f t="shared" si="28"/>
        <v>2.2299999999995634</v>
      </c>
      <c r="M28" s="28">
        <f t="shared" si="29"/>
        <v>4236.9999999991705</v>
      </c>
      <c r="N28" s="160">
        <v>3597.9780000000001</v>
      </c>
      <c r="O28" s="44">
        <f t="shared" si="30"/>
        <v>1.6469999999999345</v>
      </c>
      <c r="P28" s="28">
        <f t="shared" si="31"/>
        <v>3129.2999999998756</v>
      </c>
      <c r="Q28" s="160">
        <v>5403.76</v>
      </c>
      <c r="R28" s="44">
        <f t="shared" si="32"/>
        <v>2.1100000000005821</v>
      </c>
      <c r="S28" s="28">
        <f t="shared" si="33"/>
        <v>4009.0000000011059</v>
      </c>
      <c r="T28" s="8">
        <f t="shared" si="35"/>
        <v>29.578999999996995</v>
      </c>
      <c r="U28" s="30">
        <f t="shared" si="34"/>
        <v>56200.099999994287</v>
      </c>
      <c r="W28" s="157">
        <v>44738</v>
      </c>
      <c r="X28" s="158">
        <v>184014</v>
      </c>
      <c r="Y28" s="163">
        <f t="shared" si="21"/>
        <v>262</v>
      </c>
      <c r="Z28" s="158">
        <v>9467</v>
      </c>
      <c r="AA28" s="163">
        <f t="shared" si="21"/>
        <v>5</v>
      </c>
      <c r="AB28" s="158">
        <v>29</v>
      </c>
      <c r="AC28" s="163">
        <f t="shared" si="21"/>
        <v>0</v>
      </c>
      <c r="AD28" s="158">
        <v>552</v>
      </c>
      <c r="AE28" s="163">
        <f t="shared" si="21"/>
        <v>3</v>
      </c>
      <c r="AF28" s="158">
        <v>7949</v>
      </c>
      <c r="AG28" s="163">
        <f t="shared" si="21"/>
        <v>15</v>
      </c>
    </row>
    <row r="29" spans="1:33" ht="16.5" thickBot="1" x14ac:dyDescent="0.25">
      <c r="A29" s="9">
        <v>44739</v>
      </c>
      <c r="B29" s="160">
        <v>23852.598000000002</v>
      </c>
      <c r="C29" s="44">
        <f t="shared" si="22"/>
        <v>12.999000000003434</v>
      </c>
      <c r="D29" s="28">
        <f t="shared" si="23"/>
        <v>24698.100000006521</v>
      </c>
      <c r="E29" s="160">
        <v>4314.5889999999999</v>
      </c>
      <c r="F29" s="44">
        <f t="shared" si="24"/>
        <v>3.3959999999997308</v>
      </c>
      <c r="G29" s="28">
        <f t="shared" si="25"/>
        <v>6452.3999999994885</v>
      </c>
      <c r="H29" s="160">
        <v>5521</v>
      </c>
      <c r="I29" s="44">
        <f t="shared" si="26"/>
        <v>7</v>
      </c>
      <c r="J29" s="28">
        <f t="shared" si="27"/>
        <v>13299.999999999998</v>
      </c>
      <c r="K29" s="7">
        <v>14033.95</v>
      </c>
      <c r="L29" s="44">
        <f t="shared" si="28"/>
        <v>2.320000000001528</v>
      </c>
      <c r="M29" s="28">
        <f t="shared" si="29"/>
        <v>4408.0000000029031</v>
      </c>
      <c r="N29" s="160">
        <v>3599.596</v>
      </c>
      <c r="O29" s="44">
        <f t="shared" si="30"/>
        <v>1.6179999999999382</v>
      </c>
      <c r="P29" s="28">
        <f t="shared" si="31"/>
        <v>3074.199999999882</v>
      </c>
      <c r="Q29" s="160">
        <v>5405.13</v>
      </c>
      <c r="R29" s="44">
        <f t="shared" si="32"/>
        <v>1.3699999999998909</v>
      </c>
      <c r="S29" s="28">
        <f t="shared" si="33"/>
        <v>2602.9999999997922</v>
      </c>
      <c r="T29" s="8">
        <f t="shared" si="35"/>
        <v>28.703000000004522</v>
      </c>
      <c r="U29" s="30">
        <f t="shared" si="34"/>
        <v>54535.70000000859</v>
      </c>
      <c r="W29" s="157">
        <v>44739</v>
      </c>
      <c r="X29" s="158">
        <v>184270</v>
      </c>
      <c r="Y29" s="163">
        <f t="shared" si="21"/>
        <v>256</v>
      </c>
      <c r="Z29" s="158">
        <v>9473</v>
      </c>
      <c r="AA29" s="163">
        <f t="shared" si="21"/>
        <v>6</v>
      </c>
      <c r="AB29" s="158">
        <v>29</v>
      </c>
      <c r="AC29" s="163">
        <f t="shared" si="21"/>
        <v>0</v>
      </c>
      <c r="AD29" s="158">
        <v>555</v>
      </c>
      <c r="AE29" s="163">
        <f t="shared" si="21"/>
        <v>3</v>
      </c>
      <c r="AF29" s="158">
        <v>7965</v>
      </c>
      <c r="AG29" s="163">
        <f t="shared" si="21"/>
        <v>16</v>
      </c>
    </row>
    <row r="30" spans="1:33" ht="16.5" thickBot="1" x14ac:dyDescent="0.25">
      <c r="A30" s="9">
        <v>44740</v>
      </c>
      <c r="B30" s="160"/>
      <c r="C30" s="44" t="str">
        <f t="shared" si="22"/>
        <v>0</v>
      </c>
      <c r="D30" s="28">
        <f t="shared" si="23"/>
        <v>0</v>
      </c>
      <c r="E30" s="160"/>
      <c r="F30" s="44" t="str">
        <f t="shared" si="24"/>
        <v>0</v>
      </c>
      <c r="G30" s="28">
        <f t="shared" si="25"/>
        <v>0</v>
      </c>
      <c r="H30" s="160"/>
      <c r="I30" s="44" t="str">
        <f t="shared" si="26"/>
        <v>0</v>
      </c>
      <c r="J30" s="28">
        <f t="shared" si="27"/>
        <v>0</v>
      </c>
      <c r="K30" s="7"/>
      <c r="L30" s="44" t="str">
        <f t="shared" si="28"/>
        <v>0</v>
      </c>
      <c r="M30" s="28">
        <f t="shared" si="29"/>
        <v>0</v>
      </c>
      <c r="N30" s="160"/>
      <c r="O30" s="44" t="str">
        <f t="shared" si="30"/>
        <v>0</v>
      </c>
      <c r="P30" s="28">
        <f t="shared" si="31"/>
        <v>0</v>
      </c>
      <c r="Q30" s="160"/>
      <c r="R30" s="44" t="str">
        <f t="shared" si="32"/>
        <v>0</v>
      </c>
      <c r="S30" s="28">
        <f t="shared" si="33"/>
        <v>0</v>
      </c>
      <c r="T30" s="8">
        <f t="shared" si="35"/>
        <v>0</v>
      </c>
      <c r="U30" s="30">
        <f t="shared" si="34"/>
        <v>0</v>
      </c>
      <c r="W30" s="157">
        <v>44740</v>
      </c>
      <c r="X30" s="158"/>
      <c r="Y30" s="163" t="str">
        <f t="shared" si="21"/>
        <v>0</v>
      </c>
      <c r="Z30" s="158"/>
      <c r="AA30" s="163" t="str">
        <f t="shared" si="21"/>
        <v>0</v>
      </c>
      <c r="AB30" s="158"/>
      <c r="AC30" s="163" t="str">
        <f t="shared" si="21"/>
        <v>0</v>
      </c>
      <c r="AD30" s="158"/>
      <c r="AE30" s="163" t="str">
        <f t="shared" si="21"/>
        <v>0</v>
      </c>
      <c r="AF30" s="158"/>
      <c r="AG30" s="163" t="str">
        <f t="shared" si="21"/>
        <v>0</v>
      </c>
    </row>
    <row r="31" spans="1:33" ht="16.5" thickBot="1" x14ac:dyDescent="0.25">
      <c r="A31" s="9">
        <v>44741</v>
      </c>
      <c r="B31" s="160"/>
      <c r="C31" s="44">
        <f t="shared" si="22"/>
        <v>0</v>
      </c>
      <c r="D31" s="28">
        <f t="shared" si="23"/>
        <v>0</v>
      </c>
      <c r="E31" s="160"/>
      <c r="F31" s="44">
        <f t="shared" si="24"/>
        <v>0</v>
      </c>
      <c r="G31" s="28">
        <f t="shared" si="25"/>
        <v>0</v>
      </c>
      <c r="H31" s="160"/>
      <c r="I31" s="44">
        <f t="shared" si="26"/>
        <v>0</v>
      </c>
      <c r="J31" s="28">
        <f t="shared" si="27"/>
        <v>0</v>
      </c>
      <c r="K31" s="7"/>
      <c r="L31" s="44">
        <f t="shared" si="28"/>
        <v>0</v>
      </c>
      <c r="M31" s="28">
        <f t="shared" si="29"/>
        <v>0</v>
      </c>
      <c r="N31" s="160"/>
      <c r="O31" s="44">
        <f t="shared" si="30"/>
        <v>0</v>
      </c>
      <c r="P31" s="28">
        <f t="shared" si="31"/>
        <v>0</v>
      </c>
      <c r="Q31" s="160"/>
      <c r="R31" s="44">
        <f t="shared" si="32"/>
        <v>0</v>
      </c>
      <c r="S31" s="28">
        <f t="shared" si="33"/>
        <v>0</v>
      </c>
      <c r="T31" s="8">
        <f t="shared" si="35"/>
        <v>0</v>
      </c>
      <c r="U31" s="30">
        <f t="shared" si="34"/>
        <v>0</v>
      </c>
      <c r="W31" s="157">
        <v>44741</v>
      </c>
      <c r="X31" s="158"/>
      <c r="Y31" s="163">
        <f t="shared" si="21"/>
        <v>0</v>
      </c>
      <c r="Z31" s="158"/>
      <c r="AA31" s="163">
        <f t="shared" si="21"/>
        <v>0</v>
      </c>
      <c r="AB31" s="158"/>
      <c r="AC31" s="163">
        <f t="shared" si="21"/>
        <v>0</v>
      </c>
      <c r="AD31" s="158"/>
      <c r="AE31" s="163">
        <f t="shared" si="21"/>
        <v>0</v>
      </c>
      <c r="AF31" s="158"/>
      <c r="AG31" s="163">
        <f t="shared" si="21"/>
        <v>0</v>
      </c>
    </row>
    <row r="32" spans="1:33" ht="16.5" thickBot="1" x14ac:dyDescent="0.25">
      <c r="A32" s="9">
        <v>44742</v>
      </c>
      <c r="B32" s="160"/>
      <c r="C32" s="44">
        <f t="shared" si="22"/>
        <v>0</v>
      </c>
      <c r="D32" s="28">
        <f t="shared" si="23"/>
        <v>0</v>
      </c>
      <c r="E32" s="160"/>
      <c r="F32" s="44">
        <f t="shared" si="24"/>
        <v>0</v>
      </c>
      <c r="G32" s="28">
        <f t="shared" si="25"/>
        <v>0</v>
      </c>
      <c r="H32" s="160"/>
      <c r="I32" s="44">
        <f t="shared" si="26"/>
        <v>0</v>
      </c>
      <c r="J32" s="28">
        <f t="shared" si="27"/>
        <v>0</v>
      </c>
      <c r="K32" s="7"/>
      <c r="L32" s="44">
        <f t="shared" si="28"/>
        <v>0</v>
      </c>
      <c r="M32" s="28">
        <f t="shared" si="29"/>
        <v>0</v>
      </c>
      <c r="N32" s="160"/>
      <c r="O32" s="44">
        <f t="shared" si="30"/>
        <v>0</v>
      </c>
      <c r="P32" s="28">
        <f t="shared" si="31"/>
        <v>0</v>
      </c>
      <c r="Q32" s="160"/>
      <c r="R32" s="44">
        <f t="shared" si="32"/>
        <v>0</v>
      </c>
      <c r="S32" s="28">
        <f t="shared" si="33"/>
        <v>0</v>
      </c>
      <c r="T32" s="8">
        <f t="shared" si="35"/>
        <v>0</v>
      </c>
      <c r="U32" s="30">
        <f t="shared" si="34"/>
        <v>0</v>
      </c>
      <c r="W32" s="157">
        <v>44742</v>
      </c>
      <c r="X32" s="158"/>
      <c r="Y32" s="163">
        <f t="shared" ref="Y32" si="49">IF((X32-X31)&lt;0,"0",(X32-X31))</f>
        <v>0</v>
      </c>
      <c r="Z32" s="158"/>
      <c r="AA32" s="163">
        <f t="shared" ref="AA32" si="50">IF((Z32-Z31)&lt;0,"0",(Z32-Z31))</f>
        <v>0</v>
      </c>
      <c r="AB32" s="158"/>
      <c r="AC32" s="163">
        <f t="shared" ref="AC32" si="51">IF((AB32-AB31)&lt;0,"0",(AB32-AB31))</f>
        <v>0</v>
      </c>
      <c r="AD32" s="158"/>
      <c r="AE32" s="163">
        <f t="shared" ref="AE32" si="52">IF((AD32-AD31)&lt;0,"0",(AD32-AD31))</f>
        <v>0</v>
      </c>
      <c r="AF32" s="158"/>
      <c r="AG32" s="163">
        <f t="shared" ref="AG32" si="53">IF((AF32-AF31)&lt;0,"0",(AF32-AF31))</f>
        <v>0</v>
      </c>
    </row>
    <row r="33" spans="1:33" s="22" customFormat="1" ht="16.5" thickBot="1" x14ac:dyDescent="0.25">
      <c r="A33" s="161" t="s">
        <v>23</v>
      </c>
      <c r="B33" s="161"/>
      <c r="C33" s="44">
        <f>SUM(C2:C32)</f>
        <v>350.06000000000131</v>
      </c>
      <c r="D33" s="137">
        <f>SUM(D3:D32)</f>
        <v>665114.00000000244</v>
      </c>
      <c r="E33" s="137"/>
      <c r="F33" s="44">
        <f>SUM(F2:F32)</f>
        <v>76.898000000000138</v>
      </c>
      <c r="G33" s="137">
        <f>SUM(G3:G32)</f>
        <v>146106.20000000022</v>
      </c>
      <c r="H33" s="137"/>
      <c r="I33" s="44">
        <f>SUM(I2:I32)</f>
        <v>202</v>
      </c>
      <c r="J33" s="137">
        <f>SUM(J3:J32)</f>
        <v>383800</v>
      </c>
      <c r="K33" s="137"/>
      <c r="L33" s="44">
        <f>SUM(L2:L32)</f>
        <v>61.040000000000873</v>
      </c>
      <c r="M33" s="137">
        <f>SUM(M3:M32)</f>
        <v>115976.00000000163</v>
      </c>
      <c r="N33" s="137"/>
      <c r="O33" s="44">
        <f>SUM(O2:O32)</f>
        <v>40.268999999999778</v>
      </c>
      <c r="P33" s="137">
        <f>SUM(P3:P32)</f>
        <v>76511.099999999555</v>
      </c>
      <c r="Q33" s="137"/>
      <c r="R33" s="44">
        <f>SUM(R3:R32)</f>
        <v>51.329999999999927</v>
      </c>
      <c r="S33" s="137">
        <f>SUM(S3:S32)</f>
        <v>97526.999999999854</v>
      </c>
      <c r="T33" s="137">
        <f>SUM(T3:T32)</f>
        <v>781.59700000000203</v>
      </c>
      <c r="U33" s="137">
        <f>SUM(U3:U32)</f>
        <v>1485034.3000000038</v>
      </c>
      <c r="V33"/>
      <c r="W33" s="137" t="s">
        <v>141</v>
      </c>
      <c r="X33" s="137"/>
      <c r="Y33" s="137">
        <f>SUM(Y2:Y32)</f>
        <v>7080</v>
      </c>
      <c r="Z33" s="137"/>
      <c r="AA33" s="137">
        <f>SUM(AA2:AA32)</f>
        <v>159</v>
      </c>
      <c r="AB33" s="137"/>
      <c r="AC33" s="137">
        <f>SUM(AC2:AC32)</f>
        <v>1.6000000000000014</v>
      </c>
      <c r="AD33" s="137"/>
      <c r="AE33" s="137">
        <f>SUM(AE2:AE32)</f>
        <v>60</v>
      </c>
      <c r="AF33" s="137">
        <v>0</v>
      </c>
      <c r="AG33" s="137">
        <f>SUM(AG2:AG32)</f>
        <v>399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2" activePane="bottomLeft" state="frozen"/>
      <selection pane="bottomLeft" activeCell="J5" sqref="J5:J7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7"/>
      <c r="C1" s="58" t="s">
        <v>77</v>
      </c>
      <c r="D1" s="59" t="s">
        <v>78</v>
      </c>
      <c r="E1" s="59" t="s">
        <v>146</v>
      </c>
      <c r="F1" s="59" t="s">
        <v>145</v>
      </c>
      <c r="G1" s="59" t="s">
        <v>91</v>
      </c>
      <c r="H1" s="60" t="s">
        <v>79</v>
      </c>
      <c r="J1" s="58" t="s">
        <v>77</v>
      </c>
      <c r="K1" s="59" t="s">
        <v>78</v>
      </c>
      <c r="L1" s="59" t="s">
        <v>145</v>
      </c>
      <c r="M1" s="59" t="s">
        <v>148</v>
      </c>
      <c r="N1" s="59" t="s">
        <v>91</v>
      </c>
      <c r="O1" s="60" t="s">
        <v>79</v>
      </c>
      <c r="Q1" s="58" t="s">
        <v>77</v>
      </c>
      <c r="R1" s="59" t="s">
        <v>78</v>
      </c>
      <c r="S1" s="59" t="s">
        <v>148</v>
      </c>
      <c r="T1" s="59" t="s">
        <v>149</v>
      </c>
      <c r="U1" s="59" t="s">
        <v>91</v>
      </c>
      <c r="V1" s="60" t="s">
        <v>79</v>
      </c>
    </row>
    <row r="2" spans="2:22" ht="15" x14ac:dyDescent="0.2">
      <c r="B2" s="57"/>
      <c r="C2" s="173">
        <v>6</v>
      </c>
      <c r="D2" s="61" t="s">
        <v>80</v>
      </c>
      <c r="E2" s="62">
        <v>285244</v>
      </c>
      <c r="F2" s="62">
        <v>286287</v>
      </c>
      <c r="G2" s="63">
        <f>F2-E2</f>
        <v>1043</v>
      </c>
      <c r="H2" s="64"/>
      <c r="J2" s="173">
        <v>6</v>
      </c>
      <c r="K2" s="61" t="s">
        <v>80</v>
      </c>
      <c r="L2" s="62">
        <v>286287</v>
      </c>
      <c r="M2" s="62">
        <v>287220</v>
      </c>
      <c r="N2" s="63">
        <f>M2-L2</f>
        <v>933</v>
      </c>
      <c r="O2" s="64"/>
      <c r="Q2" s="173">
        <v>6</v>
      </c>
      <c r="R2" s="61" t="s">
        <v>80</v>
      </c>
      <c r="S2" s="62">
        <v>287220</v>
      </c>
      <c r="T2" s="62">
        <v>287938</v>
      </c>
      <c r="U2" s="63">
        <f t="shared" ref="U2:U4" si="0">IF((T2-S2)&lt;0,"0",(T2-S2))</f>
        <v>718</v>
      </c>
      <c r="V2" s="64"/>
    </row>
    <row r="3" spans="2:22" ht="15" x14ac:dyDescent="0.2">
      <c r="B3" s="57"/>
      <c r="C3" s="180"/>
      <c r="D3" s="61" t="s">
        <v>81</v>
      </c>
      <c r="E3" s="62">
        <v>248873</v>
      </c>
      <c r="F3" s="62">
        <v>249821</v>
      </c>
      <c r="G3" s="63">
        <f t="shared" ref="G3:G43" si="1">F3-E3</f>
        <v>948</v>
      </c>
      <c r="H3" s="64"/>
      <c r="J3" s="180"/>
      <c r="K3" s="61" t="s">
        <v>81</v>
      </c>
      <c r="L3" s="62">
        <v>249821</v>
      </c>
      <c r="M3" s="62">
        <v>250379</v>
      </c>
      <c r="N3" s="63">
        <f t="shared" ref="N3:N60" si="2">M3-L3</f>
        <v>558</v>
      </c>
      <c r="O3" s="64"/>
      <c r="Q3" s="180"/>
      <c r="R3" s="61" t="s">
        <v>81</v>
      </c>
      <c r="S3" s="62">
        <v>250379</v>
      </c>
      <c r="T3" s="62">
        <v>250637</v>
      </c>
      <c r="U3" s="63">
        <f t="shared" si="0"/>
        <v>258</v>
      </c>
      <c r="V3" s="64"/>
    </row>
    <row r="4" spans="2:22" ht="15" x14ac:dyDescent="0.2">
      <c r="B4" s="57"/>
      <c r="C4" s="174"/>
      <c r="D4" s="61" t="s">
        <v>82</v>
      </c>
      <c r="E4" s="62">
        <v>194618</v>
      </c>
      <c r="F4" s="62">
        <v>195288</v>
      </c>
      <c r="G4" s="63">
        <f t="shared" si="1"/>
        <v>670</v>
      </c>
      <c r="H4" s="64"/>
      <c r="J4" s="174"/>
      <c r="K4" s="61" t="s">
        <v>82</v>
      </c>
      <c r="L4" s="62">
        <v>195288</v>
      </c>
      <c r="M4" s="62">
        <v>195771</v>
      </c>
      <c r="N4" s="63">
        <f t="shared" si="2"/>
        <v>483</v>
      </c>
      <c r="O4" s="64"/>
      <c r="Q4" s="174"/>
      <c r="R4" s="61" t="s">
        <v>82</v>
      </c>
      <c r="S4" s="62">
        <v>195771</v>
      </c>
      <c r="T4" s="62">
        <v>196128</v>
      </c>
      <c r="U4" s="63">
        <f t="shared" si="0"/>
        <v>357</v>
      </c>
      <c r="V4" s="64"/>
    </row>
    <row r="5" spans="2:22" ht="15" x14ac:dyDescent="0.2">
      <c r="B5" s="57"/>
      <c r="C5" s="173">
        <v>7</v>
      </c>
      <c r="D5" s="61" t="s">
        <v>80</v>
      </c>
      <c r="E5" s="62">
        <v>250252</v>
      </c>
      <c r="F5" s="62">
        <v>251254</v>
      </c>
      <c r="G5" s="63">
        <f t="shared" si="1"/>
        <v>1002</v>
      </c>
      <c r="H5" s="64"/>
      <c r="J5" s="173">
        <v>7</v>
      </c>
      <c r="K5" s="61" t="s">
        <v>80</v>
      </c>
      <c r="L5" s="62">
        <v>251254</v>
      </c>
      <c r="M5" s="62">
        <v>252555</v>
      </c>
      <c r="N5" s="63">
        <f t="shared" si="2"/>
        <v>1301</v>
      </c>
      <c r="O5" s="64"/>
      <c r="Q5" s="173">
        <v>7</v>
      </c>
      <c r="R5" s="61" t="s">
        <v>80</v>
      </c>
      <c r="S5" s="62">
        <v>252555</v>
      </c>
      <c r="T5" s="62">
        <v>253773</v>
      </c>
      <c r="U5" s="63">
        <f>IF((T5-S5)&lt;0,"0",(T5-S5))</f>
        <v>1218</v>
      </c>
      <c r="V5" s="64"/>
    </row>
    <row r="6" spans="2:22" ht="15" x14ac:dyDescent="0.2">
      <c r="B6" s="57"/>
      <c r="C6" s="180"/>
      <c r="D6" s="61" t="s">
        <v>81</v>
      </c>
      <c r="E6" s="62">
        <v>155059</v>
      </c>
      <c r="F6" s="62">
        <v>156177</v>
      </c>
      <c r="G6" s="63">
        <f t="shared" si="1"/>
        <v>1118</v>
      </c>
      <c r="H6" s="64"/>
      <c r="J6" s="180"/>
      <c r="K6" s="61" t="s">
        <v>81</v>
      </c>
      <c r="L6" s="62">
        <v>156177</v>
      </c>
      <c r="M6" s="62">
        <v>156275</v>
      </c>
      <c r="N6" s="63">
        <f t="shared" si="2"/>
        <v>98</v>
      </c>
      <c r="O6" s="64"/>
      <c r="Q6" s="180"/>
      <c r="R6" s="61" t="s">
        <v>81</v>
      </c>
      <c r="S6" s="62">
        <v>156275</v>
      </c>
      <c r="T6" s="62">
        <v>156465</v>
      </c>
      <c r="U6" s="63">
        <f t="shared" ref="U6:U63" si="3">IF((T6-S6)&lt;0,"0",(T6-S6))</f>
        <v>190</v>
      </c>
      <c r="V6" s="64"/>
    </row>
    <row r="7" spans="2:22" ht="15" x14ac:dyDescent="0.2">
      <c r="B7" s="57"/>
      <c r="C7" s="174"/>
      <c r="D7" s="61" t="s">
        <v>82</v>
      </c>
      <c r="E7" s="62">
        <v>129125</v>
      </c>
      <c r="F7" s="62">
        <v>129451</v>
      </c>
      <c r="G7" s="63">
        <f t="shared" si="1"/>
        <v>326</v>
      </c>
      <c r="H7" s="64"/>
      <c r="J7" s="174"/>
      <c r="K7" s="61" t="s">
        <v>82</v>
      </c>
      <c r="L7" s="62">
        <v>129451</v>
      </c>
      <c r="M7" s="62">
        <v>130019</v>
      </c>
      <c r="N7" s="63">
        <f t="shared" si="2"/>
        <v>568</v>
      </c>
      <c r="O7" s="64"/>
      <c r="Q7" s="174"/>
      <c r="R7" s="61" t="s">
        <v>82</v>
      </c>
      <c r="S7" s="62">
        <v>130019</v>
      </c>
      <c r="T7" s="62">
        <v>130529</v>
      </c>
      <c r="U7" s="63">
        <f t="shared" si="3"/>
        <v>510</v>
      </c>
      <c r="V7" s="64"/>
    </row>
    <row r="8" spans="2:22" ht="15" x14ac:dyDescent="0.2">
      <c r="B8" s="57"/>
      <c r="C8" s="173">
        <v>8</v>
      </c>
      <c r="D8" s="61" t="s">
        <v>80</v>
      </c>
      <c r="E8" s="62">
        <v>77730</v>
      </c>
      <c r="F8" s="62">
        <v>77947</v>
      </c>
      <c r="G8" s="63">
        <f t="shared" si="1"/>
        <v>217</v>
      </c>
      <c r="H8" s="64"/>
      <c r="J8" s="173">
        <v>8</v>
      </c>
      <c r="K8" s="61" t="s">
        <v>80</v>
      </c>
      <c r="L8" s="62">
        <v>77947</v>
      </c>
      <c r="M8" s="62">
        <v>78142</v>
      </c>
      <c r="N8" s="63">
        <f t="shared" si="2"/>
        <v>195</v>
      </c>
      <c r="O8" s="64"/>
      <c r="Q8" s="173">
        <v>8</v>
      </c>
      <c r="R8" s="61" t="s">
        <v>80</v>
      </c>
      <c r="S8" s="62">
        <v>78142</v>
      </c>
      <c r="T8" s="62">
        <v>78348</v>
      </c>
      <c r="U8" s="63">
        <f t="shared" si="3"/>
        <v>206</v>
      </c>
      <c r="V8" s="64"/>
    </row>
    <row r="9" spans="2:22" ht="15" x14ac:dyDescent="0.2">
      <c r="B9" s="57"/>
      <c r="C9" s="180"/>
      <c r="D9" s="61" t="s">
        <v>81</v>
      </c>
      <c r="E9" s="62">
        <v>158</v>
      </c>
      <c r="F9" s="62">
        <v>158</v>
      </c>
      <c r="G9" s="63">
        <f t="shared" si="1"/>
        <v>0</v>
      </c>
      <c r="H9" s="65" t="s">
        <v>12</v>
      </c>
      <c r="J9" s="180"/>
      <c r="K9" s="61" t="s">
        <v>81</v>
      </c>
      <c r="L9" s="62">
        <v>158</v>
      </c>
      <c r="M9" s="62">
        <v>158</v>
      </c>
      <c r="N9" s="63">
        <f t="shared" si="2"/>
        <v>0</v>
      </c>
      <c r="O9" s="65" t="s">
        <v>12</v>
      </c>
      <c r="Q9" s="180"/>
      <c r="R9" s="61" t="s">
        <v>81</v>
      </c>
      <c r="S9" s="62">
        <v>158</v>
      </c>
      <c r="T9" s="62">
        <v>158</v>
      </c>
      <c r="U9" s="63">
        <f t="shared" si="3"/>
        <v>0</v>
      </c>
      <c r="V9" s="65" t="s">
        <v>12</v>
      </c>
    </row>
    <row r="10" spans="2:22" ht="15" x14ac:dyDescent="0.2">
      <c r="B10" s="57"/>
      <c r="C10" s="174"/>
      <c r="D10" s="61" t="s">
        <v>82</v>
      </c>
      <c r="E10" s="62">
        <v>102300</v>
      </c>
      <c r="F10" s="62">
        <v>102920</v>
      </c>
      <c r="G10" s="63">
        <f t="shared" si="1"/>
        <v>620</v>
      </c>
      <c r="H10" s="64"/>
      <c r="J10" s="174"/>
      <c r="K10" s="61" t="s">
        <v>82</v>
      </c>
      <c r="L10" s="62">
        <v>102920</v>
      </c>
      <c r="M10" s="62">
        <v>103570</v>
      </c>
      <c r="N10" s="63">
        <f t="shared" si="2"/>
        <v>650</v>
      </c>
      <c r="O10" s="64"/>
      <c r="Q10" s="174"/>
      <c r="R10" s="61" t="s">
        <v>82</v>
      </c>
      <c r="S10" s="62">
        <v>103570</v>
      </c>
      <c r="T10" s="62">
        <v>104361</v>
      </c>
      <c r="U10" s="63">
        <f t="shared" si="3"/>
        <v>791</v>
      </c>
      <c r="V10" s="64"/>
    </row>
    <row r="11" spans="2:22" ht="15" x14ac:dyDescent="0.2">
      <c r="B11" s="57"/>
      <c r="C11" s="173">
        <v>9</v>
      </c>
      <c r="D11" s="61" t="s">
        <v>80</v>
      </c>
      <c r="E11" s="62">
        <v>34798</v>
      </c>
      <c r="F11" s="62">
        <v>34946</v>
      </c>
      <c r="G11" s="63">
        <f t="shared" si="1"/>
        <v>148</v>
      </c>
      <c r="H11" s="64"/>
      <c r="J11" s="173">
        <v>9</v>
      </c>
      <c r="K11" s="61" t="s">
        <v>80</v>
      </c>
      <c r="L11" s="62">
        <v>34946</v>
      </c>
      <c r="M11" s="62">
        <v>34981</v>
      </c>
      <c r="N11" s="63">
        <f t="shared" si="2"/>
        <v>35</v>
      </c>
      <c r="O11" s="64"/>
      <c r="Q11" s="173">
        <v>9</v>
      </c>
      <c r="R11" s="61" t="s">
        <v>80</v>
      </c>
      <c r="S11" s="62">
        <v>34981</v>
      </c>
      <c r="T11" s="62">
        <v>35075</v>
      </c>
      <c r="U11" s="63">
        <f t="shared" si="3"/>
        <v>94</v>
      </c>
      <c r="V11" s="64"/>
    </row>
    <row r="12" spans="2:22" ht="15" x14ac:dyDescent="0.2">
      <c r="B12" s="57"/>
      <c r="C12" s="180"/>
      <c r="D12" s="61" t="s">
        <v>81</v>
      </c>
      <c r="E12" s="62">
        <v>0</v>
      </c>
      <c r="F12" s="62">
        <v>0</v>
      </c>
      <c r="G12" s="63">
        <f t="shared" si="1"/>
        <v>0</v>
      </c>
      <c r="H12" s="65" t="s">
        <v>12</v>
      </c>
      <c r="J12" s="180"/>
      <c r="K12" s="61" t="s">
        <v>81</v>
      </c>
      <c r="L12" s="62">
        <v>0</v>
      </c>
      <c r="M12" s="62">
        <v>0</v>
      </c>
      <c r="N12" s="63">
        <f t="shared" si="2"/>
        <v>0</v>
      </c>
      <c r="O12" s="65" t="s">
        <v>12</v>
      </c>
      <c r="Q12" s="180"/>
      <c r="R12" s="61" t="s">
        <v>81</v>
      </c>
      <c r="S12" s="62">
        <v>0</v>
      </c>
      <c r="T12" s="62">
        <v>0</v>
      </c>
      <c r="U12" s="63">
        <f t="shared" si="3"/>
        <v>0</v>
      </c>
      <c r="V12" s="65" t="s">
        <v>12</v>
      </c>
    </row>
    <row r="13" spans="2:22" ht="15" x14ac:dyDescent="0.2">
      <c r="B13" s="57"/>
      <c r="C13" s="174"/>
      <c r="D13" s="61" t="s">
        <v>82</v>
      </c>
      <c r="E13" s="62">
        <v>29204</v>
      </c>
      <c r="F13" s="62">
        <v>29310</v>
      </c>
      <c r="G13" s="63">
        <f t="shared" si="1"/>
        <v>106</v>
      </c>
      <c r="H13" s="64"/>
      <c r="I13" s="66"/>
      <c r="J13" s="174"/>
      <c r="K13" s="61" t="s">
        <v>82</v>
      </c>
      <c r="L13" s="62">
        <v>29310</v>
      </c>
      <c r="M13" s="62">
        <v>103570</v>
      </c>
      <c r="N13" s="63">
        <f t="shared" si="2"/>
        <v>74260</v>
      </c>
      <c r="O13" s="64"/>
      <c r="Q13" s="174"/>
      <c r="R13" s="61" t="s">
        <v>82</v>
      </c>
      <c r="S13" s="62">
        <v>29384</v>
      </c>
      <c r="T13" s="62">
        <v>29487</v>
      </c>
      <c r="U13" s="63">
        <f t="shared" si="3"/>
        <v>103</v>
      </c>
      <c r="V13" s="64"/>
    </row>
    <row r="14" spans="2:22" ht="15" x14ac:dyDescent="0.2">
      <c r="B14" s="57"/>
      <c r="C14" s="173">
        <v>10</v>
      </c>
      <c r="D14" s="61" t="s">
        <v>80</v>
      </c>
      <c r="E14" s="62">
        <v>211813</v>
      </c>
      <c r="F14" s="62">
        <v>213986</v>
      </c>
      <c r="G14" s="63">
        <f t="shared" si="1"/>
        <v>2173</v>
      </c>
      <c r="H14" s="64"/>
      <c r="I14" s="67"/>
      <c r="J14" s="173">
        <v>10</v>
      </c>
      <c r="K14" s="61" t="s">
        <v>80</v>
      </c>
      <c r="L14" s="62">
        <v>213986</v>
      </c>
      <c r="M14" s="62">
        <v>216026</v>
      </c>
      <c r="N14" s="63">
        <f t="shared" si="2"/>
        <v>2040</v>
      </c>
      <c r="O14" s="64"/>
      <c r="Q14" s="173">
        <v>10</v>
      </c>
      <c r="R14" s="61" t="s">
        <v>80</v>
      </c>
      <c r="S14" s="62">
        <v>216026</v>
      </c>
      <c r="T14" s="62">
        <v>217872</v>
      </c>
      <c r="U14" s="63">
        <f t="shared" si="3"/>
        <v>1846</v>
      </c>
      <c r="V14" s="64"/>
    </row>
    <row r="15" spans="2:22" ht="15" x14ac:dyDescent="0.2">
      <c r="B15" s="57"/>
      <c r="C15" s="180"/>
      <c r="D15" s="61" t="s">
        <v>81</v>
      </c>
      <c r="E15" s="62">
        <v>8006</v>
      </c>
      <c r="F15" s="62">
        <v>8006</v>
      </c>
      <c r="G15" s="63">
        <f t="shared" si="1"/>
        <v>0</v>
      </c>
      <c r="H15" s="64"/>
      <c r="I15" s="67"/>
      <c r="J15" s="180"/>
      <c r="K15" s="61" t="s">
        <v>81</v>
      </c>
      <c r="L15" s="62">
        <v>8006</v>
      </c>
      <c r="M15" s="62">
        <v>8006</v>
      </c>
      <c r="N15" s="63">
        <f t="shared" si="2"/>
        <v>0</v>
      </c>
      <c r="O15" s="64"/>
      <c r="Q15" s="180"/>
      <c r="R15" s="61" t="s">
        <v>81</v>
      </c>
      <c r="S15" s="62">
        <v>8006</v>
      </c>
      <c r="T15" s="62">
        <v>8006</v>
      </c>
      <c r="U15" s="63">
        <f t="shared" si="3"/>
        <v>0</v>
      </c>
      <c r="V15" s="64"/>
    </row>
    <row r="16" spans="2:22" ht="15" x14ac:dyDescent="0.2">
      <c r="B16" s="57"/>
      <c r="C16" s="174"/>
      <c r="D16" s="61" t="s">
        <v>82</v>
      </c>
      <c r="E16" s="62">
        <v>194420</v>
      </c>
      <c r="F16" s="62">
        <v>196282</v>
      </c>
      <c r="G16" s="63">
        <f t="shared" si="1"/>
        <v>1862</v>
      </c>
      <c r="H16" s="64"/>
      <c r="I16" s="67"/>
      <c r="J16" s="174"/>
      <c r="K16" s="61" t="s">
        <v>82</v>
      </c>
      <c r="L16" s="62">
        <v>196282</v>
      </c>
      <c r="M16" s="62">
        <v>197791</v>
      </c>
      <c r="N16" s="63">
        <f t="shared" si="2"/>
        <v>1509</v>
      </c>
      <c r="O16" s="64"/>
      <c r="Q16" s="174"/>
      <c r="R16" s="61" t="s">
        <v>82</v>
      </c>
      <c r="S16" s="62">
        <v>197791</v>
      </c>
      <c r="T16" s="62">
        <v>198936</v>
      </c>
      <c r="U16" s="63">
        <f t="shared" si="3"/>
        <v>1145</v>
      </c>
      <c r="V16" s="64"/>
    </row>
    <row r="17" spans="2:22" ht="15" x14ac:dyDescent="0.2">
      <c r="B17" s="57"/>
      <c r="C17" s="173">
        <v>11</v>
      </c>
      <c r="D17" s="61" t="s">
        <v>80</v>
      </c>
      <c r="E17" s="63">
        <v>66985</v>
      </c>
      <c r="F17" s="63">
        <v>67492</v>
      </c>
      <c r="G17" s="63">
        <f t="shared" si="1"/>
        <v>507</v>
      </c>
      <c r="H17" s="64"/>
      <c r="I17" s="67"/>
      <c r="J17" s="173">
        <v>11</v>
      </c>
      <c r="K17" s="61" t="s">
        <v>80</v>
      </c>
      <c r="L17" s="63">
        <v>67492</v>
      </c>
      <c r="M17" s="63">
        <v>67541</v>
      </c>
      <c r="N17" s="63">
        <f t="shared" si="2"/>
        <v>49</v>
      </c>
      <c r="O17" s="64"/>
      <c r="Q17" s="173">
        <v>11</v>
      </c>
      <c r="R17" s="61" t="s">
        <v>80</v>
      </c>
      <c r="S17" s="62">
        <v>67541</v>
      </c>
      <c r="T17" s="62">
        <v>68064</v>
      </c>
      <c r="U17" s="63">
        <f t="shared" si="3"/>
        <v>523</v>
      </c>
      <c r="V17" s="64"/>
    </row>
    <row r="18" spans="2:22" ht="15" x14ac:dyDescent="0.2">
      <c r="B18" s="57"/>
      <c r="C18" s="180"/>
      <c r="D18" s="61" t="s">
        <v>81</v>
      </c>
      <c r="E18" s="63">
        <v>222780</v>
      </c>
      <c r="F18" s="63">
        <v>223502</v>
      </c>
      <c r="G18" s="63">
        <f t="shared" si="1"/>
        <v>722</v>
      </c>
      <c r="H18" s="64"/>
      <c r="I18" s="67"/>
      <c r="J18" s="180"/>
      <c r="K18" s="61" t="s">
        <v>81</v>
      </c>
      <c r="L18" s="63">
        <v>223502</v>
      </c>
      <c r="M18" s="63">
        <v>223502</v>
      </c>
      <c r="N18" s="63">
        <f t="shared" si="2"/>
        <v>0</v>
      </c>
      <c r="O18" s="64"/>
      <c r="Q18" s="180"/>
      <c r="R18" s="61" t="s">
        <v>81</v>
      </c>
      <c r="S18" s="62">
        <v>224068</v>
      </c>
      <c r="T18" s="62">
        <v>225269</v>
      </c>
      <c r="U18" s="63">
        <f t="shared" si="3"/>
        <v>1201</v>
      </c>
      <c r="V18" s="64"/>
    </row>
    <row r="19" spans="2:22" ht="15" x14ac:dyDescent="0.2">
      <c r="B19" s="57"/>
      <c r="C19" s="174"/>
      <c r="D19" s="61" t="s">
        <v>82</v>
      </c>
      <c r="E19" s="62">
        <v>31138</v>
      </c>
      <c r="F19" s="62">
        <v>31204</v>
      </c>
      <c r="G19" s="63">
        <f t="shared" si="1"/>
        <v>66</v>
      </c>
      <c r="H19" s="64"/>
      <c r="I19" s="67"/>
      <c r="J19" s="174"/>
      <c r="K19" s="61" t="s">
        <v>82</v>
      </c>
      <c r="L19" s="62">
        <v>31204</v>
      </c>
      <c r="M19" s="62">
        <v>224068</v>
      </c>
      <c r="N19" s="63">
        <f t="shared" si="2"/>
        <v>192864</v>
      </c>
      <c r="O19" s="64"/>
      <c r="Q19" s="174"/>
      <c r="R19" s="61" t="s">
        <v>82</v>
      </c>
      <c r="S19" s="62">
        <v>31252</v>
      </c>
      <c r="T19" s="62">
        <v>31314</v>
      </c>
      <c r="U19" s="63">
        <f t="shared" si="3"/>
        <v>62</v>
      </c>
      <c r="V19" s="64"/>
    </row>
    <row r="20" spans="2:22" ht="15" x14ac:dyDescent="0.2">
      <c r="B20" s="57"/>
      <c r="C20" s="173">
        <v>12</v>
      </c>
      <c r="D20" s="61" t="s">
        <v>80</v>
      </c>
      <c r="E20" s="143">
        <v>146776</v>
      </c>
      <c r="F20" s="143">
        <v>146902</v>
      </c>
      <c r="G20" s="63">
        <f t="shared" si="1"/>
        <v>126</v>
      </c>
      <c r="H20" s="64"/>
      <c r="I20" s="67"/>
      <c r="J20" s="173">
        <v>12</v>
      </c>
      <c r="K20" s="61" t="s">
        <v>80</v>
      </c>
      <c r="L20" s="143">
        <v>146902</v>
      </c>
      <c r="M20" s="143">
        <v>147023</v>
      </c>
      <c r="N20" s="63">
        <f t="shared" si="2"/>
        <v>121</v>
      </c>
      <c r="O20" s="64"/>
      <c r="Q20" s="173">
        <v>12</v>
      </c>
      <c r="R20" s="61" t="s">
        <v>80</v>
      </c>
      <c r="S20" s="62">
        <v>147023</v>
      </c>
      <c r="T20" s="62">
        <v>147148</v>
      </c>
      <c r="U20" s="63">
        <f t="shared" si="3"/>
        <v>125</v>
      </c>
      <c r="V20" s="64"/>
    </row>
    <row r="21" spans="2:22" ht="15" x14ac:dyDescent="0.2">
      <c r="B21" s="57"/>
      <c r="C21" s="180"/>
      <c r="D21" s="61" t="s">
        <v>81</v>
      </c>
      <c r="E21" s="62">
        <v>22614</v>
      </c>
      <c r="F21" s="62">
        <v>23192</v>
      </c>
      <c r="G21" s="63">
        <f t="shared" si="1"/>
        <v>578</v>
      </c>
      <c r="H21" s="64"/>
      <c r="I21" s="68" t="s">
        <v>12</v>
      </c>
      <c r="J21" s="180"/>
      <c r="K21" s="61" t="s">
        <v>81</v>
      </c>
      <c r="L21" s="62">
        <v>23192</v>
      </c>
      <c r="M21" s="62">
        <v>23233</v>
      </c>
      <c r="N21" s="63">
        <f t="shared" si="2"/>
        <v>41</v>
      </c>
      <c r="O21" s="64"/>
      <c r="Q21" s="180"/>
      <c r="R21" s="61" t="s">
        <v>81</v>
      </c>
      <c r="S21" s="62">
        <v>23233</v>
      </c>
      <c r="T21" s="62">
        <v>23301</v>
      </c>
      <c r="U21" s="63">
        <f t="shared" si="3"/>
        <v>68</v>
      </c>
      <c r="V21" s="64"/>
    </row>
    <row r="22" spans="2:22" ht="15" x14ac:dyDescent="0.2">
      <c r="B22" s="57"/>
      <c r="C22" s="174"/>
      <c r="D22" s="61" t="s">
        <v>82</v>
      </c>
      <c r="E22" s="62">
        <v>252574</v>
      </c>
      <c r="F22" s="62">
        <v>254437</v>
      </c>
      <c r="G22" s="63">
        <f t="shared" si="1"/>
        <v>1863</v>
      </c>
      <c r="H22" s="64"/>
      <c r="I22" s="67"/>
      <c r="J22" s="174"/>
      <c r="K22" s="61" t="s">
        <v>82</v>
      </c>
      <c r="L22" s="62">
        <v>254437</v>
      </c>
      <c r="M22" s="62">
        <v>255794</v>
      </c>
      <c r="N22" s="63">
        <f t="shared" si="2"/>
        <v>1357</v>
      </c>
      <c r="O22" s="64"/>
      <c r="Q22" s="174"/>
      <c r="R22" s="61" t="s">
        <v>82</v>
      </c>
      <c r="S22" s="62">
        <v>255794</v>
      </c>
      <c r="T22" s="62">
        <v>256806</v>
      </c>
      <c r="U22" s="63">
        <f t="shared" si="3"/>
        <v>1012</v>
      </c>
      <c r="V22" s="64"/>
    </row>
    <row r="23" spans="2:22" ht="15" x14ac:dyDescent="0.2">
      <c r="B23" s="57"/>
      <c r="C23" s="173">
        <v>14</v>
      </c>
      <c r="D23" s="61" t="s">
        <v>80</v>
      </c>
      <c r="E23" s="62">
        <v>118249</v>
      </c>
      <c r="F23" s="62">
        <v>118453</v>
      </c>
      <c r="G23" s="63">
        <f t="shared" si="1"/>
        <v>204</v>
      </c>
      <c r="H23" s="64"/>
      <c r="I23" s="67"/>
      <c r="J23" s="173">
        <v>14</v>
      </c>
      <c r="K23" s="61" t="s">
        <v>80</v>
      </c>
      <c r="L23" s="62">
        <v>118453</v>
      </c>
      <c r="M23" s="62">
        <v>118666</v>
      </c>
      <c r="N23" s="63">
        <f t="shared" si="2"/>
        <v>213</v>
      </c>
      <c r="O23" s="64"/>
      <c r="Q23" s="173">
        <v>14</v>
      </c>
      <c r="R23" s="61" t="s">
        <v>80</v>
      </c>
      <c r="S23" s="62">
        <v>118666</v>
      </c>
      <c r="T23" s="62">
        <v>119046</v>
      </c>
      <c r="U23" s="63">
        <f t="shared" si="3"/>
        <v>380</v>
      </c>
      <c r="V23" s="64"/>
    </row>
    <row r="24" spans="2:22" ht="15" x14ac:dyDescent="0.2">
      <c r="B24" s="57"/>
      <c r="C24" s="180"/>
      <c r="D24" s="61" t="s">
        <v>81</v>
      </c>
      <c r="E24" s="69">
        <v>32974</v>
      </c>
      <c r="F24" s="69">
        <v>34284</v>
      </c>
      <c r="G24" s="63">
        <f t="shared" si="1"/>
        <v>1310</v>
      </c>
      <c r="H24" s="64"/>
      <c r="I24" s="67"/>
      <c r="J24" s="180"/>
      <c r="K24" s="61" t="s">
        <v>81</v>
      </c>
      <c r="L24" s="69">
        <v>34284</v>
      </c>
      <c r="M24" s="69">
        <v>35057</v>
      </c>
      <c r="N24" s="63">
        <f t="shared" si="2"/>
        <v>773</v>
      </c>
      <c r="O24" s="64"/>
      <c r="Q24" s="180"/>
      <c r="R24" s="61" t="s">
        <v>81</v>
      </c>
      <c r="S24" s="62">
        <v>35057</v>
      </c>
      <c r="T24" s="62">
        <v>35994</v>
      </c>
      <c r="U24" s="63">
        <f t="shared" si="3"/>
        <v>937</v>
      </c>
      <c r="V24" s="64"/>
    </row>
    <row r="25" spans="2:22" ht="15" x14ac:dyDescent="0.2">
      <c r="B25" s="57"/>
      <c r="C25" s="174"/>
      <c r="D25" s="61" t="s">
        <v>82</v>
      </c>
      <c r="E25" s="62">
        <v>1884</v>
      </c>
      <c r="F25" s="62">
        <v>1911</v>
      </c>
      <c r="G25" s="63">
        <f t="shared" si="1"/>
        <v>27</v>
      </c>
      <c r="H25" s="64"/>
      <c r="I25" s="67"/>
      <c r="J25" s="174"/>
      <c r="K25" s="61" t="s">
        <v>82</v>
      </c>
      <c r="L25" s="62">
        <v>1911</v>
      </c>
      <c r="M25" s="62">
        <v>1935</v>
      </c>
      <c r="N25" s="63">
        <f t="shared" si="2"/>
        <v>24</v>
      </c>
      <c r="O25" s="64"/>
      <c r="Q25" s="174"/>
      <c r="R25" s="61" t="s">
        <v>82</v>
      </c>
      <c r="S25" s="62">
        <v>1935</v>
      </c>
      <c r="T25" s="62">
        <v>1968</v>
      </c>
      <c r="U25" s="63">
        <f t="shared" si="3"/>
        <v>33</v>
      </c>
      <c r="V25" s="64"/>
    </row>
    <row r="26" spans="2:22" ht="15" x14ac:dyDescent="0.2">
      <c r="B26" s="57"/>
      <c r="C26" s="173">
        <v>15</v>
      </c>
      <c r="D26" s="61" t="s">
        <v>80</v>
      </c>
      <c r="E26" s="143">
        <v>39352</v>
      </c>
      <c r="F26" s="143">
        <v>39352</v>
      </c>
      <c r="G26" s="63">
        <f t="shared" si="1"/>
        <v>0</v>
      </c>
      <c r="H26" s="64"/>
      <c r="I26" s="68" t="s">
        <v>12</v>
      </c>
      <c r="J26" s="173">
        <v>15</v>
      </c>
      <c r="K26" s="61" t="s">
        <v>80</v>
      </c>
      <c r="L26" s="143">
        <v>39352</v>
      </c>
      <c r="M26" s="143">
        <v>39352</v>
      </c>
      <c r="N26" s="63">
        <f t="shared" si="2"/>
        <v>0</v>
      </c>
      <c r="O26" s="64"/>
      <c r="Q26" s="173">
        <v>15</v>
      </c>
      <c r="R26" s="61" t="s">
        <v>80</v>
      </c>
      <c r="S26" s="62">
        <v>39352</v>
      </c>
      <c r="T26" s="62">
        <v>39357</v>
      </c>
      <c r="U26" s="63">
        <f t="shared" si="3"/>
        <v>5</v>
      </c>
      <c r="V26" s="64"/>
    </row>
    <row r="27" spans="2:22" ht="15" x14ac:dyDescent="0.2">
      <c r="B27" s="57"/>
      <c r="C27" s="180"/>
      <c r="D27" s="61" t="s">
        <v>81</v>
      </c>
      <c r="E27" s="62">
        <v>83536</v>
      </c>
      <c r="F27" s="62">
        <v>84078</v>
      </c>
      <c r="G27" s="63">
        <f t="shared" si="1"/>
        <v>542</v>
      </c>
      <c r="H27" s="64"/>
      <c r="I27" s="68" t="s">
        <v>12</v>
      </c>
      <c r="J27" s="180"/>
      <c r="K27" s="61" t="s">
        <v>81</v>
      </c>
      <c r="L27" s="62">
        <v>84078</v>
      </c>
      <c r="M27" s="62">
        <v>84612</v>
      </c>
      <c r="N27" s="63">
        <f t="shared" si="2"/>
        <v>534</v>
      </c>
      <c r="O27" s="64"/>
      <c r="Q27" s="180"/>
      <c r="R27" s="61" t="s">
        <v>81</v>
      </c>
      <c r="S27" s="62">
        <v>84612</v>
      </c>
      <c r="T27" s="62">
        <v>85079</v>
      </c>
      <c r="U27" s="63">
        <f t="shared" si="3"/>
        <v>467</v>
      </c>
      <c r="V27" s="64"/>
    </row>
    <row r="28" spans="2:22" ht="15" x14ac:dyDescent="0.2">
      <c r="B28" s="57"/>
      <c r="C28" s="174"/>
      <c r="D28" s="61" t="s">
        <v>82</v>
      </c>
      <c r="E28" s="62">
        <v>160978</v>
      </c>
      <c r="F28" s="62">
        <v>162112</v>
      </c>
      <c r="G28" s="63">
        <f t="shared" si="1"/>
        <v>1134</v>
      </c>
      <c r="H28" s="64"/>
      <c r="I28" s="67"/>
      <c r="J28" s="174"/>
      <c r="K28" s="61" t="s">
        <v>82</v>
      </c>
      <c r="L28" s="62">
        <v>162112</v>
      </c>
      <c r="M28" s="62">
        <v>163098</v>
      </c>
      <c r="N28" s="63">
        <f t="shared" si="2"/>
        <v>986</v>
      </c>
      <c r="O28" s="64"/>
      <c r="Q28" s="174"/>
      <c r="R28" s="61" t="s">
        <v>82</v>
      </c>
      <c r="S28" s="62">
        <v>163098</v>
      </c>
      <c r="T28" s="62">
        <v>164130</v>
      </c>
      <c r="U28" s="63">
        <f t="shared" si="3"/>
        <v>1032</v>
      </c>
      <c r="V28" s="64"/>
    </row>
    <row r="29" spans="2:22" ht="15" x14ac:dyDescent="0.2">
      <c r="B29" s="57"/>
      <c r="C29" s="173">
        <v>16</v>
      </c>
      <c r="D29" s="61" t="s">
        <v>80</v>
      </c>
      <c r="E29" s="143">
        <v>97792</v>
      </c>
      <c r="F29" s="143">
        <v>97792</v>
      </c>
      <c r="G29" s="63">
        <f t="shared" si="1"/>
        <v>0</v>
      </c>
      <c r="H29" s="65" t="s">
        <v>12</v>
      </c>
      <c r="I29" s="67"/>
      <c r="J29" s="173">
        <v>16</v>
      </c>
      <c r="K29" s="61" t="s">
        <v>80</v>
      </c>
      <c r="L29" s="143">
        <v>97792</v>
      </c>
      <c r="M29" s="143">
        <v>97792</v>
      </c>
      <c r="N29" s="63">
        <f t="shared" si="2"/>
        <v>0</v>
      </c>
      <c r="O29" s="65" t="s">
        <v>12</v>
      </c>
      <c r="Q29" s="173">
        <v>16</v>
      </c>
      <c r="R29" s="61" t="s">
        <v>80</v>
      </c>
      <c r="S29" s="62">
        <v>97792</v>
      </c>
      <c r="T29" s="62">
        <v>97793</v>
      </c>
      <c r="U29" s="63">
        <f t="shared" si="3"/>
        <v>1</v>
      </c>
      <c r="V29" s="65" t="s">
        <v>12</v>
      </c>
    </row>
    <row r="30" spans="2:22" ht="15" x14ac:dyDescent="0.2">
      <c r="B30" s="57"/>
      <c r="C30" s="180"/>
      <c r="D30" s="61" t="s">
        <v>81</v>
      </c>
      <c r="E30" s="143">
        <v>62805</v>
      </c>
      <c r="F30" s="143">
        <v>63065</v>
      </c>
      <c r="G30" s="63">
        <f t="shared" si="1"/>
        <v>260</v>
      </c>
      <c r="H30" s="64"/>
      <c r="I30" s="67"/>
      <c r="J30" s="180"/>
      <c r="K30" s="61" t="s">
        <v>81</v>
      </c>
      <c r="L30" s="143">
        <v>63065</v>
      </c>
      <c r="M30" s="143">
        <v>63065</v>
      </c>
      <c r="N30" s="63">
        <f t="shared" si="2"/>
        <v>0</v>
      </c>
      <c r="O30" s="64"/>
      <c r="Q30" s="180"/>
      <c r="R30" s="61" t="s">
        <v>81</v>
      </c>
      <c r="S30" s="62">
        <v>63065</v>
      </c>
      <c r="T30" s="62">
        <v>64290</v>
      </c>
      <c r="U30" s="63">
        <f t="shared" si="3"/>
        <v>1225</v>
      </c>
      <c r="V30" s="64"/>
    </row>
    <row r="31" spans="2:22" ht="15" x14ac:dyDescent="0.2">
      <c r="B31" s="57"/>
      <c r="C31" s="174"/>
      <c r="D31" s="61" t="s">
        <v>82</v>
      </c>
      <c r="E31" s="62">
        <v>68544</v>
      </c>
      <c r="F31" s="62">
        <v>68792</v>
      </c>
      <c r="G31" s="63">
        <f t="shared" si="1"/>
        <v>248</v>
      </c>
      <c r="H31" s="70"/>
      <c r="I31" s="67"/>
      <c r="J31" s="174"/>
      <c r="K31" s="61" t="s">
        <v>82</v>
      </c>
      <c r="L31" s="62">
        <v>68792</v>
      </c>
      <c r="M31" s="62">
        <v>69063</v>
      </c>
      <c r="N31" s="63">
        <f t="shared" si="2"/>
        <v>271</v>
      </c>
      <c r="O31" s="70"/>
      <c r="Q31" s="174"/>
      <c r="R31" s="61" t="s">
        <v>82</v>
      </c>
      <c r="S31" s="62">
        <v>69063</v>
      </c>
      <c r="T31" s="62">
        <v>69310</v>
      </c>
      <c r="U31" s="63">
        <f t="shared" si="3"/>
        <v>247</v>
      </c>
      <c r="V31" s="70"/>
    </row>
    <row r="32" spans="2:22" ht="15" x14ac:dyDescent="0.2">
      <c r="B32" s="57"/>
      <c r="C32" s="173">
        <v>17</v>
      </c>
      <c r="D32" s="61" t="s">
        <v>80</v>
      </c>
      <c r="E32" s="62">
        <v>35909</v>
      </c>
      <c r="F32" s="62">
        <v>36079</v>
      </c>
      <c r="G32" s="63">
        <f t="shared" si="1"/>
        <v>170</v>
      </c>
      <c r="H32" s="64"/>
      <c r="I32" s="67"/>
      <c r="J32" s="173">
        <v>17</v>
      </c>
      <c r="K32" s="61" t="s">
        <v>80</v>
      </c>
      <c r="L32" s="62">
        <v>36079</v>
      </c>
      <c r="M32" s="62">
        <v>36262</v>
      </c>
      <c r="N32" s="63">
        <f t="shared" si="2"/>
        <v>183</v>
      </c>
      <c r="O32" s="64"/>
      <c r="Q32" s="173">
        <v>17</v>
      </c>
      <c r="R32" s="61" t="s">
        <v>80</v>
      </c>
      <c r="S32" s="62">
        <v>36262</v>
      </c>
      <c r="T32" s="62">
        <v>36565</v>
      </c>
      <c r="U32" s="63">
        <f t="shared" si="3"/>
        <v>303</v>
      </c>
      <c r="V32" s="64"/>
    </row>
    <row r="33" spans="2:22" ht="15" x14ac:dyDescent="0.2">
      <c r="B33" s="57"/>
      <c r="C33" s="180"/>
      <c r="D33" s="61" t="s">
        <v>81</v>
      </c>
      <c r="E33" s="62">
        <v>64277</v>
      </c>
      <c r="F33" s="62">
        <v>64324</v>
      </c>
      <c r="G33" s="63">
        <f t="shared" si="1"/>
        <v>47</v>
      </c>
      <c r="H33" s="64"/>
      <c r="I33" s="67"/>
      <c r="J33" s="180"/>
      <c r="K33" s="61" t="s">
        <v>81</v>
      </c>
      <c r="L33" s="62">
        <v>64324</v>
      </c>
      <c r="M33" s="62">
        <v>64324</v>
      </c>
      <c r="N33" s="63">
        <f t="shared" si="2"/>
        <v>0</v>
      </c>
      <c r="O33" s="64"/>
      <c r="Q33" s="180"/>
      <c r="R33" s="61" t="s">
        <v>81</v>
      </c>
      <c r="S33" s="62">
        <v>64324</v>
      </c>
      <c r="T33" s="62">
        <v>64324</v>
      </c>
      <c r="U33" s="63">
        <f t="shared" si="3"/>
        <v>0</v>
      </c>
      <c r="V33" s="64"/>
    </row>
    <row r="34" spans="2:22" ht="15" x14ac:dyDescent="0.2">
      <c r="B34" s="57"/>
      <c r="C34" s="174"/>
      <c r="D34" s="61" t="s">
        <v>82</v>
      </c>
      <c r="E34" s="62">
        <v>11959</v>
      </c>
      <c r="F34" s="62">
        <v>12066</v>
      </c>
      <c r="G34" s="63">
        <f t="shared" si="1"/>
        <v>107</v>
      </c>
      <c r="H34" s="70"/>
      <c r="I34" s="67"/>
      <c r="J34" s="174"/>
      <c r="K34" s="61" t="s">
        <v>82</v>
      </c>
      <c r="L34" s="62">
        <v>12066</v>
      </c>
      <c r="M34" s="62">
        <v>12083</v>
      </c>
      <c r="N34" s="63">
        <f t="shared" si="2"/>
        <v>17</v>
      </c>
      <c r="O34" s="70"/>
      <c r="Q34" s="174"/>
      <c r="R34" s="61" t="s">
        <v>82</v>
      </c>
      <c r="S34" s="62">
        <v>12083</v>
      </c>
      <c r="T34" s="62">
        <v>12130</v>
      </c>
      <c r="U34" s="63">
        <f t="shared" si="3"/>
        <v>47</v>
      </c>
      <c r="V34" s="70"/>
    </row>
    <row r="35" spans="2:22" ht="15" x14ac:dyDescent="0.2">
      <c r="B35" s="57"/>
      <c r="C35" s="173">
        <v>18</v>
      </c>
      <c r="D35" s="61" t="s">
        <v>80</v>
      </c>
      <c r="E35" s="62">
        <v>250002</v>
      </c>
      <c r="F35" s="62">
        <v>250831</v>
      </c>
      <c r="G35" s="63">
        <f t="shared" si="1"/>
        <v>829</v>
      </c>
      <c r="H35" s="70"/>
      <c r="I35" s="67"/>
      <c r="J35" s="173">
        <v>18</v>
      </c>
      <c r="K35" s="61" t="s">
        <v>80</v>
      </c>
      <c r="L35" s="62">
        <v>250831</v>
      </c>
      <c r="M35" s="62">
        <v>252397</v>
      </c>
      <c r="N35" s="63">
        <f t="shared" si="2"/>
        <v>1566</v>
      </c>
      <c r="O35" s="70"/>
      <c r="P35" s="156"/>
      <c r="Q35" s="173">
        <v>18</v>
      </c>
      <c r="R35" s="61" t="s">
        <v>80</v>
      </c>
      <c r="S35" s="62">
        <v>252397</v>
      </c>
      <c r="T35" s="62">
        <v>253723</v>
      </c>
      <c r="U35" s="63">
        <f t="shared" si="3"/>
        <v>1326</v>
      </c>
      <c r="V35" s="70"/>
    </row>
    <row r="36" spans="2:22" ht="15" x14ac:dyDescent="0.2">
      <c r="B36" s="57"/>
      <c r="C36" s="180"/>
      <c r="D36" s="61" t="s">
        <v>81</v>
      </c>
      <c r="E36" s="69">
        <v>18064</v>
      </c>
      <c r="F36" s="69">
        <v>19306</v>
      </c>
      <c r="G36" s="63">
        <f t="shared" si="1"/>
        <v>1242</v>
      </c>
      <c r="H36" s="64"/>
      <c r="I36" s="67"/>
      <c r="J36" s="180"/>
      <c r="K36" s="61" t="s">
        <v>81</v>
      </c>
      <c r="L36" s="69">
        <v>19306</v>
      </c>
      <c r="M36" s="69">
        <v>19306</v>
      </c>
      <c r="N36" s="63">
        <f t="shared" si="2"/>
        <v>0</v>
      </c>
      <c r="O36" s="64"/>
      <c r="P36" s="165"/>
      <c r="Q36" s="180"/>
      <c r="R36" s="61" t="s">
        <v>81</v>
      </c>
      <c r="S36" s="62">
        <v>19306</v>
      </c>
      <c r="T36" s="62">
        <v>19334</v>
      </c>
      <c r="U36" s="63">
        <f t="shared" si="3"/>
        <v>28</v>
      </c>
      <c r="V36" s="64"/>
    </row>
    <row r="37" spans="2:22" ht="15" x14ac:dyDescent="0.2">
      <c r="B37" s="57"/>
      <c r="C37" s="174"/>
      <c r="D37" s="61" t="s">
        <v>82</v>
      </c>
      <c r="E37" s="62">
        <v>89012</v>
      </c>
      <c r="F37" s="62">
        <v>90135</v>
      </c>
      <c r="G37" s="63">
        <f t="shared" si="1"/>
        <v>1123</v>
      </c>
      <c r="H37" s="64"/>
      <c r="I37" s="67"/>
      <c r="J37" s="174"/>
      <c r="K37" s="61" t="s">
        <v>82</v>
      </c>
      <c r="L37" s="62">
        <v>90135</v>
      </c>
      <c r="M37" s="62">
        <v>91798</v>
      </c>
      <c r="N37" s="63">
        <f t="shared" si="2"/>
        <v>1663</v>
      </c>
      <c r="O37" s="64"/>
      <c r="Q37" s="174"/>
      <c r="R37" s="61" t="s">
        <v>82</v>
      </c>
      <c r="S37" s="62">
        <v>91798</v>
      </c>
      <c r="T37" s="62">
        <v>93299</v>
      </c>
      <c r="U37" s="63">
        <f t="shared" si="3"/>
        <v>1501</v>
      </c>
      <c r="V37" s="64"/>
    </row>
    <row r="38" spans="2:22" ht="15" x14ac:dyDescent="0.2">
      <c r="B38" s="57"/>
      <c r="C38" s="173">
        <v>19</v>
      </c>
      <c r="D38" s="61" t="s">
        <v>80</v>
      </c>
      <c r="E38" s="62">
        <v>22878</v>
      </c>
      <c r="F38" s="62">
        <v>23189</v>
      </c>
      <c r="G38" s="63">
        <f t="shared" si="1"/>
        <v>311</v>
      </c>
      <c r="H38" s="64"/>
      <c r="I38" s="67"/>
      <c r="J38" s="173">
        <v>19</v>
      </c>
      <c r="K38" s="61" t="s">
        <v>80</v>
      </c>
      <c r="L38" s="62">
        <v>23189</v>
      </c>
      <c r="M38" s="62">
        <v>23446</v>
      </c>
      <c r="N38" s="63">
        <f t="shared" si="2"/>
        <v>257</v>
      </c>
      <c r="O38" s="64"/>
      <c r="Q38" s="173">
        <v>19</v>
      </c>
      <c r="R38" s="61" t="s">
        <v>80</v>
      </c>
      <c r="S38" s="62">
        <v>23446</v>
      </c>
      <c r="T38" s="62">
        <v>23840</v>
      </c>
      <c r="U38" s="63">
        <f t="shared" si="3"/>
        <v>394</v>
      </c>
      <c r="V38" s="64"/>
    </row>
    <row r="39" spans="2:22" ht="15" x14ac:dyDescent="0.2">
      <c r="B39" s="57"/>
      <c r="C39" s="180"/>
      <c r="D39" s="61" t="s">
        <v>81</v>
      </c>
      <c r="E39" s="143">
        <v>84350</v>
      </c>
      <c r="F39" s="143">
        <v>84498</v>
      </c>
      <c r="G39" s="63">
        <f t="shared" si="1"/>
        <v>148</v>
      </c>
      <c r="H39" s="70"/>
      <c r="I39" s="67"/>
      <c r="J39" s="180"/>
      <c r="K39" s="61" t="s">
        <v>81</v>
      </c>
      <c r="L39" s="143">
        <v>84498</v>
      </c>
      <c r="M39" s="143">
        <v>84652</v>
      </c>
      <c r="N39" s="63">
        <f t="shared" si="2"/>
        <v>154</v>
      </c>
      <c r="O39" s="70"/>
      <c r="Q39" s="180"/>
      <c r="R39" s="61" t="s">
        <v>81</v>
      </c>
      <c r="S39" s="62">
        <v>84652</v>
      </c>
      <c r="T39" s="62">
        <v>84843</v>
      </c>
      <c r="U39" s="63">
        <f t="shared" si="3"/>
        <v>191</v>
      </c>
      <c r="V39" s="70"/>
    </row>
    <row r="40" spans="2:22" ht="15" x14ac:dyDescent="0.2">
      <c r="B40" s="57"/>
      <c r="C40" s="174"/>
      <c r="D40" s="61" t="s">
        <v>82</v>
      </c>
      <c r="E40" s="62">
        <v>53053</v>
      </c>
      <c r="F40" s="62">
        <v>53053</v>
      </c>
      <c r="G40" s="63">
        <f t="shared" si="1"/>
        <v>0</v>
      </c>
      <c r="H40" s="64"/>
      <c r="I40" s="67"/>
      <c r="J40" s="174"/>
      <c r="K40" s="61" t="s">
        <v>82</v>
      </c>
      <c r="L40" s="62">
        <v>53053</v>
      </c>
      <c r="M40" s="62">
        <v>53053</v>
      </c>
      <c r="N40" s="63">
        <f t="shared" si="2"/>
        <v>0</v>
      </c>
      <c r="O40" s="64"/>
      <c r="Q40" s="174"/>
      <c r="R40" s="61" t="s">
        <v>82</v>
      </c>
      <c r="S40" s="62">
        <v>53053</v>
      </c>
      <c r="T40" s="62">
        <v>53053</v>
      </c>
      <c r="U40" s="63">
        <f t="shared" si="3"/>
        <v>0</v>
      </c>
      <c r="V40" s="64"/>
    </row>
    <row r="41" spans="2:22" ht="15" x14ac:dyDescent="0.2">
      <c r="B41" s="57"/>
      <c r="C41" s="173">
        <v>20</v>
      </c>
      <c r="D41" s="61" t="s">
        <v>80</v>
      </c>
      <c r="E41" s="62">
        <v>120636</v>
      </c>
      <c r="F41" s="62">
        <v>121085</v>
      </c>
      <c r="G41" s="63">
        <f t="shared" si="1"/>
        <v>449</v>
      </c>
      <c r="H41" s="64"/>
      <c r="I41" s="67"/>
      <c r="J41" s="173">
        <v>20</v>
      </c>
      <c r="K41" s="61" t="s">
        <v>80</v>
      </c>
      <c r="L41" s="62">
        <v>121085</v>
      </c>
      <c r="M41" s="62">
        <v>121525</v>
      </c>
      <c r="N41" s="63">
        <f t="shared" si="2"/>
        <v>440</v>
      </c>
      <c r="O41" s="64"/>
      <c r="Q41" s="173">
        <v>20</v>
      </c>
      <c r="R41" s="61" t="s">
        <v>80</v>
      </c>
      <c r="S41" s="62">
        <v>121525</v>
      </c>
      <c r="T41" s="62">
        <v>121869</v>
      </c>
      <c r="U41" s="63">
        <f t="shared" si="3"/>
        <v>344</v>
      </c>
      <c r="V41" s="64"/>
    </row>
    <row r="42" spans="2:22" ht="15" x14ac:dyDescent="0.2">
      <c r="B42" s="57"/>
      <c r="C42" s="180"/>
      <c r="D42" s="61" t="s">
        <v>81</v>
      </c>
      <c r="E42" s="143">
        <v>70567</v>
      </c>
      <c r="F42" s="143">
        <v>70767</v>
      </c>
      <c r="G42" s="63">
        <f t="shared" si="1"/>
        <v>200</v>
      </c>
      <c r="H42" s="64"/>
      <c r="J42" s="180"/>
      <c r="K42" s="61" t="s">
        <v>81</v>
      </c>
      <c r="L42" s="143">
        <v>70767</v>
      </c>
      <c r="M42" s="143">
        <v>70914</v>
      </c>
      <c r="N42" s="63">
        <f t="shared" si="2"/>
        <v>147</v>
      </c>
      <c r="O42" s="64"/>
      <c r="Q42" s="180"/>
      <c r="R42" s="61" t="s">
        <v>81</v>
      </c>
      <c r="S42" s="62">
        <v>70914</v>
      </c>
      <c r="T42" s="62">
        <v>71994</v>
      </c>
      <c r="U42" s="63">
        <f t="shared" si="3"/>
        <v>1080</v>
      </c>
      <c r="V42" s="64"/>
    </row>
    <row r="43" spans="2:22" ht="15" x14ac:dyDescent="0.2">
      <c r="B43" s="57"/>
      <c r="C43" s="174"/>
      <c r="D43" s="61" t="s">
        <v>82</v>
      </c>
      <c r="E43" s="62">
        <v>3402</v>
      </c>
      <c r="F43" s="62">
        <v>3416</v>
      </c>
      <c r="G43" s="63">
        <f t="shared" si="1"/>
        <v>14</v>
      </c>
      <c r="H43" s="64"/>
      <c r="J43" s="174"/>
      <c r="K43" s="61" t="s">
        <v>82</v>
      </c>
      <c r="L43" s="62">
        <v>3416</v>
      </c>
      <c r="M43" s="62">
        <v>3418</v>
      </c>
      <c r="N43" s="63">
        <f t="shared" si="2"/>
        <v>2</v>
      </c>
      <c r="O43" s="64"/>
      <c r="Q43" s="174"/>
      <c r="R43" s="61" t="s">
        <v>82</v>
      </c>
      <c r="S43" s="62">
        <v>3418</v>
      </c>
      <c r="T43" s="62">
        <v>3456</v>
      </c>
      <c r="U43" s="63">
        <f t="shared" si="3"/>
        <v>38</v>
      </c>
      <c r="V43" s="64"/>
    </row>
    <row r="44" spans="2:22" ht="15" x14ac:dyDescent="0.2">
      <c r="B44" s="57"/>
      <c r="C44" s="71"/>
      <c r="D44" s="72"/>
      <c r="E44" s="72"/>
      <c r="F44" s="72"/>
      <c r="G44" s="72"/>
      <c r="H44" s="74"/>
      <c r="J44" s="71"/>
      <c r="K44" s="72"/>
      <c r="L44" s="72"/>
      <c r="M44" s="72"/>
      <c r="N44" s="72"/>
      <c r="O44" s="74"/>
      <c r="Q44" s="71"/>
      <c r="R44" s="72"/>
      <c r="S44" s="72"/>
      <c r="T44" s="72"/>
      <c r="U44" s="72">
        <f t="shared" si="3"/>
        <v>0</v>
      </c>
      <c r="V44" s="74"/>
    </row>
    <row r="45" spans="2:22" ht="15" x14ac:dyDescent="0.2">
      <c r="B45" s="57"/>
      <c r="C45" s="173">
        <v>21</v>
      </c>
      <c r="D45" s="75" t="s">
        <v>83</v>
      </c>
      <c r="E45" s="62">
        <v>3769</v>
      </c>
      <c r="F45" s="62">
        <v>3779</v>
      </c>
      <c r="G45" s="63">
        <f t="shared" ref="G45:G50" si="4">F45-E45</f>
        <v>10</v>
      </c>
      <c r="H45" s="65" t="s">
        <v>12</v>
      </c>
      <c r="J45" s="173">
        <v>21</v>
      </c>
      <c r="K45" s="75" t="s">
        <v>83</v>
      </c>
      <c r="L45" s="62">
        <v>3779</v>
      </c>
      <c r="M45" s="62">
        <v>3792</v>
      </c>
      <c r="N45" s="63">
        <f t="shared" si="2"/>
        <v>13</v>
      </c>
      <c r="O45" s="65" t="s">
        <v>12</v>
      </c>
      <c r="Q45" s="173">
        <v>21</v>
      </c>
      <c r="R45" s="75" t="s">
        <v>83</v>
      </c>
      <c r="S45" s="62">
        <v>3792</v>
      </c>
      <c r="T45" s="62">
        <v>3794</v>
      </c>
      <c r="U45" s="63">
        <f t="shared" si="3"/>
        <v>2</v>
      </c>
      <c r="V45" s="65" t="s">
        <v>12</v>
      </c>
    </row>
    <row r="46" spans="2:22" ht="15" x14ac:dyDescent="0.2">
      <c r="B46" s="57"/>
      <c r="C46" s="180"/>
      <c r="D46" s="75" t="s">
        <v>82</v>
      </c>
      <c r="E46" s="62">
        <v>44244</v>
      </c>
      <c r="F46" s="62">
        <v>44962</v>
      </c>
      <c r="G46" s="63">
        <f t="shared" si="4"/>
        <v>718</v>
      </c>
      <c r="H46" s="64"/>
      <c r="J46" s="180"/>
      <c r="K46" s="75" t="s">
        <v>82</v>
      </c>
      <c r="L46" s="62">
        <v>44962</v>
      </c>
      <c r="M46" s="62">
        <v>45639</v>
      </c>
      <c r="N46" s="63">
        <f t="shared" si="2"/>
        <v>677</v>
      </c>
      <c r="O46" s="64"/>
      <c r="Q46" s="180"/>
      <c r="R46" s="75" t="s">
        <v>82</v>
      </c>
      <c r="S46" s="62">
        <v>45639</v>
      </c>
      <c r="T46" s="62">
        <v>45855</v>
      </c>
      <c r="U46" s="63">
        <f t="shared" si="3"/>
        <v>216</v>
      </c>
      <c r="V46" s="64"/>
    </row>
    <row r="47" spans="2:22" ht="15" x14ac:dyDescent="0.2">
      <c r="B47" s="57"/>
      <c r="C47" s="173">
        <v>22</v>
      </c>
      <c r="D47" s="75" t="s">
        <v>83</v>
      </c>
      <c r="E47" s="76">
        <v>13711</v>
      </c>
      <c r="F47" s="76">
        <v>13737</v>
      </c>
      <c r="G47" s="63">
        <f t="shared" si="4"/>
        <v>26</v>
      </c>
      <c r="H47" s="64"/>
      <c r="I47" t="s">
        <v>12</v>
      </c>
      <c r="J47" s="173">
        <v>22</v>
      </c>
      <c r="K47" s="75" t="s">
        <v>83</v>
      </c>
      <c r="L47" s="76">
        <v>13737</v>
      </c>
      <c r="M47" s="76">
        <v>13759</v>
      </c>
      <c r="N47" s="63">
        <f t="shared" si="2"/>
        <v>22</v>
      </c>
      <c r="O47" s="64"/>
      <c r="Q47" s="173">
        <v>22</v>
      </c>
      <c r="R47" s="75" t="s">
        <v>83</v>
      </c>
      <c r="S47" s="62">
        <v>13759</v>
      </c>
      <c r="T47" s="62">
        <v>13770</v>
      </c>
      <c r="U47" s="63">
        <f t="shared" si="3"/>
        <v>11</v>
      </c>
      <c r="V47" s="64"/>
    </row>
    <row r="48" spans="2:22" ht="15" x14ac:dyDescent="0.2">
      <c r="B48" s="57"/>
      <c r="C48" s="180"/>
      <c r="D48" s="75" t="s">
        <v>82</v>
      </c>
      <c r="E48" s="76">
        <v>20778</v>
      </c>
      <c r="F48" s="76">
        <v>20919</v>
      </c>
      <c r="G48" s="63">
        <f t="shared" si="4"/>
        <v>141</v>
      </c>
      <c r="H48" s="64"/>
      <c r="J48" s="180"/>
      <c r="K48" s="75" t="s">
        <v>82</v>
      </c>
      <c r="L48" s="76">
        <v>20919</v>
      </c>
      <c r="M48" s="76">
        <v>21064</v>
      </c>
      <c r="N48" s="63">
        <f t="shared" si="2"/>
        <v>145</v>
      </c>
      <c r="O48" s="64"/>
      <c r="Q48" s="180"/>
      <c r="R48" s="75" t="s">
        <v>82</v>
      </c>
      <c r="S48" s="62">
        <v>21064</v>
      </c>
      <c r="T48" s="62">
        <v>21207</v>
      </c>
      <c r="U48" s="63">
        <f t="shared" si="3"/>
        <v>143</v>
      </c>
      <c r="V48" s="64"/>
    </row>
    <row r="49" spans="1:22" ht="15" x14ac:dyDescent="0.2">
      <c r="B49" s="57"/>
      <c r="C49" s="173">
        <v>23</v>
      </c>
      <c r="D49" s="61" t="s">
        <v>83</v>
      </c>
      <c r="E49" s="62"/>
      <c r="F49" s="76"/>
      <c r="G49" s="63">
        <f t="shared" si="4"/>
        <v>0</v>
      </c>
      <c r="H49" s="64"/>
      <c r="J49" s="173">
        <v>23</v>
      </c>
      <c r="K49" s="61" t="s">
        <v>83</v>
      </c>
      <c r="L49" s="76"/>
      <c r="M49" s="76"/>
      <c r="N49" s="63">
        <f t="shared" si="2"/>
        <v>0</v>
      </c>
      <c r="O49" s="64"/>
      <c r="Q49" s="173">
        <v>23</v>
      </c>
      <c r="R49" s="61" t="s">
        <v>83</v>
      </c>
      <c r="S49" s="62"/>
      <c r="T49" s="62"/>
      <c r="U49" s="63">
        <f t="shared" si="3"/>
        <v>0</v>
      </c>
      <c r="V49" s="64"/>
    </row>
    <row r="50" spans="1:22" ht="15" x14ac:dyDescent="0.2">
      <c r="B50" s="57"/>
      <c r="C50" s="180"/>
      <c r="D50" s="61" t="s">
        <v>82</v>
      </c>
      <c r="E50" s="62"/>
      <c r="F50" s="76"/>
      <c r="G50" s="63">
        <f t="shared" si="4"/>
        <v>0</v>
      </c>
      <c r="H50" s="64"/>
      <c r="J50" s="180"/>
      <c r="K50" s="61" t="s">
        <v>82</v>
      </c>
      <c r="L50" s="76"/>
      <c r="M50" s="76"/>
      <c r="N50" s="63">
        <f t="shared" si="2"/>
        <v>0</v>
      </c>
      <c r="O50" s="64"/>
      <c r="Q50" s="180"/>
      <c r="R50" s="61" t="s">
        <v>82</v>
      </c>
      <c r="S50" s="62"/>
      <c r="T50" s="62"/>
      <c r="U50" s="63">
        <f t="shared" si="3"/>
        <v>0</v>
      </c>
      <c r="V50" s="64"/>
    </row>
    <row r="51" spans="1:22" ht="15" x14ac:dyDescent="0.2">
      <c r="B51" s="57"/>
      <c r="C51" s="77"/>
      <c r="D51" s="72"/>
      <c r="E51" s="73"/>
      <c r="F51" s="73"/>
      <c r="G51" s="73"/>
      <c r="H51" s="74"/>
      <c r="J51" s="77"/>
      <c r="K51" s="72"/>
      <c r="L51" s="73"/>
      <c r="M51" s="73"/>
      <c r="N51" s="73"/>
      <c r="O51" s="74"/>
      <c r="Q51" s="77"/>
      <c r="R51" s="72"/>
      <c r="S51" s="73"/>
      <c r="T51" s="73"/>
      <c r="U51" s="72">
        <f t="shared" si="3"/>
        <v>0</v>
      </c>
      <c r="V51" s="74"/>
    </row>
    <row r="52" spans="1:22" ht="15" x14ac:dyDescent="0.2">
      <c r="B52" s="57"/>
      <c r="C52" s="181">
        <v>24</v>
      </c>
      <c r="D52" s="61" t="s">
        <v>84</v>
      </c>
      <c r="E52" s="143">
        <v>251533</v>
      </c>
      <c r="F52" s="143">
        <v>252472</v>
      </c>
      <c r="G52" s="63">
        <f t="shared" ref="G52:G60" si="5">F52-E52</f>
        <v>939</v>
      </c>
      <c r="H52" s="78"/>
      <c r="J52" s="181">
        <v>24</v>
      </c>
      <c r="K52" s="61" t="s">
        <v>84</v>
      </c>
      <c r="L52" s="143">
        <v>252472</v>
      </c>
      <c r="M52" s="143">
        <v>253528</v>
      </c>
      <c r="N52" s="63">
        <f t="shared" si="2"/>
        <v>1056</v>
      </c>
      <c r="O52" s="78"/>
      <c r="Q52" s="181">
        <v>24</v>
      </c>
      <c r="R52" s="61" t="s">
        <v>84</v>
      </c>
      <c r="S52" s="62">
        <v>253528</v>
      </c>
      <c r="T52" s="62">
        <v>254504</v>
      </c>
      <c r="U52" s="63">
        <f t="shared" si="3"/>
        <v>976</v>
      </c>
      <c r="V52" s="78"/>
    </row>
    <row r="53" spans="1:22" ht="15" x14ac:dyDescent="0.2">
      <c r="B53" s="57"/>
      <c r="C53" s="182"/>
      <c r="D53" s="61" t="s">
        <v>85</v>
      </c>
      <c r="E53" s="143">
        <v>539540</v>
      </c>
      <c r="F53" s="143">
        <v>539991</v>
      </c>
      <c r="G53" s="63">
        <f t="shared" si="5"/>
        <v>451</v>
      </c>
      <c r="H53" s="70"/>
      <c r="J53" s="182"/>
      <c r="K53" s="61" t="s">
        <v>85</v>
      </c>
      <c r="L53" s="143">
        <v>539991</v>
      </c>
      <c r="M53" s="143">
        <v>540445</v>
      </c>
      <c r="N53" s="63">
        <f t="shared" si="2"/>
        <v>454</v>
      </c>
      <c r="O53" s="70"/>
      <c r="Q53" s="182"/>
      <c r="R53" s="61" t="s">
        <v>85</v>
      </c>
      <c r="S53" s="62">
        <v>540445</v>
      </c>
      <c r="T53" s="62">
        <v>540901</v>
      </c>
      <c r="U53" s="63">
        <f t="shared" si="3"/>
        <v>456</v>
      </c>
      <c r="V53" s="70"/>
    </row>
    <row r="54" spans="1:22" ht="15" x14ac:dyDescent="0.2">
      <c r="B54" s="57"/>
      <c r="C54" s="183"/>
      <c r="D54" s="61" t="s">
        <v>84</v>
      </c>
      <c r="E54" s="143">
        <v>34567</v>
      </c>
      <c r="F54" s="143">
        <v>34567</v>
      </c>
      <c r="G54" s="63">
        <f t="shared" si="5"/>
        <v>0</v>
      </c>
      <c r="H54" s="79" t="s">
        <v>12</v>
      </c>
      <c r="J54" s="183"/>
      <c r="K54" s="61" t="s">
        <v>84</v>
      </c>
      <c r="L54" s="143">
        <v>34567</v>
      </c>
      <c r="M54" s="143">
        <v>34567</v>
      </c>
      <c r="N54" s="63">
        <f t="shared" si="2"/>
        <v>0</v>
      </c>
      <c r="O54" s="79" t="s">
        <v>12</v>
      </c>
      <c r="Q54" s="183"/>
      <c r="R54" s="61" t="s">
        <v>84</v>
      </c>
      <c r="S54" s="62">
        <v>34567</v>
      </c>
      <c r="T54" s="62">
        <v>34567</v>
      </c>
      <c r="U54" s="63">
        <f t="shared" si="3"/>
        <v>0</v>
      </c>
      <c r="V54" s="79" t="s">
        <v>12</v>
      </c>
    </row>
    <row r="55" spans="1:22" ht="15" x14ac:dyDescent="0.2">
      <c r="B55" s="57"/>
      <c r="C55" s="173">
        <v>25</v>
      </c>
      <c r="D55" s="61" t="s">
        <v>84</v>
      </c>
      <c r="E55" s="76">
        <v>330</v>
      </c>
      <c r="F55" s="76">
        <v>330</v>
      </c>
      <c r="G55" s="63">
        <f t="shared" si="5"/>
        <v>0</v>
      </c>
      <c r="H55" s="64"/>
      <c r="J55" s="173">
        <v>25</v>
      </c>
      <c r="K55" s="61" t="s">
        <v>84</v>
      </c>
      <c r="L55" s="76">
        <v>330</v>
      </c>
      <c r="M55" s="76">
        <v>330</v>
      </c>
      <c r="N55" s="63">
        <f t="shared" si="2"/>
        <v>0</v>
      </c>
      <c r="O55" s="64"/>
      <c r="Q55" s="173">
        <v>25</v>
      </c>
      <c r="R55" s="61" t="s">
        <v>84</v>
      </c>
      <c r="S55" s="62">
        <v>330</v>
      </c>
      <c r="T55" s="62">
        <v>330</v>
      </c>
      <c r="U55" s="63">
        <f t="shared" si="3"/>
        <v>0</v>
      </c>
      <c r="V55" s="64"/>
    </row>
    <row r="56" spans="1:22" ht="15" x14ac:dyDescent="0.2">
      <c r="B56" s="57"/>
      <c r="C56" s="174"/>
      <c r="D56" s="61" t="s">
        <v>85</v>
      </c>
      <c r="E56" s="76">
        <v>3</v>
      </c>
      <c r="F56" s="76">
        <v>3</v>
      </c>
      <c r="G56" s="63">
        <f t="shared" si="5"/>
        <v>0</v>
      </c>
      <c r="H56" s="64"/>
      <c r="J56" s="174"/>
      <c r="K56" s="61" t="s">
        <v>85</v>
      </c>
      <c r="L56" s="76">
        <v>3</v>
      </c>
      <c r="M56" s="76">
        <v>3</v>
      </c>
      <c r="N56" s="63">
        <f t="shared" si="2"/>
        <v>0</v>
      </c>
      <c r="O56" s="64"/>
      <c r="Q56" s="174"/>
      <c r="R56" s="61" t="s">
        <v>85</v>
      </c>
      <c r="S56" s="62">
        <v>3</v>
      </c>
      <c r="T56" s="62">
        <v>3</v>
      </c>
      <c r="U56" s="63">
        <f t="shared" si="3"/>
        <v>0</v>
      </c>
      <c r="V56" s="64"/>
    </row>
    <row r="57" spans="1:22" ht="15" x14ac:dyDescent="0.2">
      <c r="B57" s="57"/>
      <c r="C57" s="173">
        <v>26</v>
      </c>
      <c r="D57" s="61" t="s">
        <v>84</v>
      </c>
      <c r="E57" s="62">
        <v>730301</v>
      </c>
      <c r="F57" s="62">
        <v>733920</v>
      </c>
      <c r="G57" s="63">
        <f t="shared" si="5"/>
        <v>3619</v>
      </c>
      <c r="H57" s="64"/>
      <c r="J57" s="173">
        <v>26</v>
      </c>
      <c r="K57" s="61" t="s">
        <v>84</v>
      </c>
      <c r="L57" s="62">
        <v>733920</v>
      </c>
      <c r="M57" s="62">
        <v>737028</v>
      </c>
      <c r="N57" s="63">
        <f t="shared" si="2"/>
        <v>3108</v>
      </c>
      <c r="O57" s="64"/>
      <c r="Q57" s="173">
        <v>26</v>
      </c>
      <c r="R57" s="61" t="s">
        <v>84</v>
      </c>
      <c r="S57" s="62">
        <v>737028</v>
      </c>
      <c r="T57" s="62">
        <v>740310</v>
      </c>
      <c r="U57" s="63">
        <f t="shared" si="3"/>
        <v>3282</v>
      </c>
      <c r="V57" s="64"/>
    </row>
    <row r="58" spans="1:22" ht="15" x14ac:dyDescent="0.2">
      <c r="A58" s="67"/>
      <c r="B58" s="57"/>
      <c r="C58" s="174"/>
      <c r="D58" s="61" t="s">
        <v>85</v>
      </c>
      <c r="E58" s="62">
        <v>804405</v>
      </c>
      <c r="F58" s="62">
        <v>808835</v>
      </c>
      <c r="G58" s="63">
        <f t="shared" si="5"/>
        <v>4430</v>
      </c>
      <c r="H58" s="70"/>
      <c r="I58" s="67"/>
      <c r="J58" s="174"/>
      <c r="K58" s="61" t="s">
        <v>85</v>
      </c>
      <c r="L58" s="62">
        <v>808835</v>
      </c>
      <c r="M58" s="62">
        <v>812807</v>
      </c>
      <c r="N58" s="63">
        <f t="shared" si="2"/>
        <v>3972</v>
      </c>
      <c r="O58" s="70"/>
      <c r="Q58" s="174"/>
      <c r="R58" s="61" t="s">
        <v>85</v>
      </c>
      <c r="S58" s="62">
        <v>812807</v>
      </c>
      <c r="T58" s="62">
        <v>816379</v>
      </c>
      <c r="U58" s="63">
        <f t="shared" si="3"/>
        <v>3572</v>
      </c>
      <c r="V58" s="70"/>
    </row>
    <row r="59" spans="1:22" ht="15" x14ac:dyDescent="0.2">
      <c r="A59" s="67"/>
      <c r="B59" s="57"/>
      <c r="C59" s="173">
        <v>27</v>
      </c>
      <c r="D59" s="61" t="s">
        <v>84</v>
      </c>
      <c r="E59" s="62">
        <v>247819</v>
      </c>
      <c r="F59" s="62">
        <v>249147</v>
      </c>
      <c r="G59" s="63">
        <f t="shared" si="5"/>
        <v>1328</v>
      </c>
      <c r="H59" s="64"/>
      <c r="I59" s="67"/>
      <c r="J59" s="173">
        <v>27</v>
      </c>
      <c r="K59" s="61" t="s">
        <v>84</v>
      </c>
      <c r="L59" s="62">
        <v>249147</v>
      </c>
      <c r="M59" s="62">
        <v>250138</v>
      </c>
      <c r="N59" s="63">
        <f t="shared" si="2"/>
        <v>991</v>
      </c>
      <c r="O59" s="64"/>
      <c r="Q59" s="173">
        <v>27</v>
      </c>
      <c r="R59" s="61" t="s">
        <v>84</v>
      </c>
      <c r="S59" s="62">
        <v>250138</v>
      </c>
      <c r="T59" s="62">
        <v>251124</v>
      </c>
      <c r="U59" s="63">
        <f t="shared" si="3"/>
        <v>986</v>
      </c>
      <c r="V59" s="64"/>
    </row>
    <row r="60" spans="1:22" ht="15" x14ac:dyDescent="0.2">
      <c r="A60" s="67"/>
      <c r="B60" s="57"/>
      <c r="C60" s="174"/>
      <c r="D60" s="61" t="s">
        <v>85</v>
      </c>
      <c r="E60" s="62">
        <v>104997</v>
      </c>
      <c r="F60" s="62">
        <v>106037</v>
      </c>
      <c r="G60" s="63">
        <f t="shared" si="5"/>
        <v>1040</v>
      </c>
      <c r="H60" s="64"/>
      <c r="I60" s="67"/>
      <c r="J60" s="174"/>
      <c r="K60" s="61" t="s">
        <v>85</v>
      </c>
      <c r="L60" s="62">
        <v>106037</v>
      </c>
      <c r="M60" s="62">
        <v>106368</v>
      </c>
      <c r="N60" s="63">
        <f t="shared" si="2"/>
        <v>331</v>
      </c>
      <c r="O60" s="64"/>
      <c r="Q60" s="174"/>
      <c r="R60" s="61" t="s">
        <v>85</v>
      </c>
      <c r="S60" s="62">
        <v>106368</v>
      </c>
      <c r="T60" s="62">
        <v>106703</v>
      </c>
      <c r="U60" s="63">
        <f t="shared" si="3"/>
        <v>335</v>
      </c>
      <c r="V60" s="64"/>
    </row>
    <row r="61" spans="1:22" ht="15" x14ac:dyDescent="0.2">
      <c r="A61" s="67"/>
      <c r="B61" s="57"/>
      <c r="C61" s="71"/>
      <c r="D61" s="72"/>
      <c r="E61" s="62"/>
      <c r="F61" s="62"/>
      <c r="G61" s="80"/>
      <c r="H61" s="74"/>
      <c r="I61" s="67"/>
      <c r="J61" s="71"/>
      <c r="K61" s="72"/>
      <c r="L61" s="62"/>
      <c r="M61" s="62"/>
      <c r="N61" s="80"/>
      <c r="O61" s="74"/>
      <c r="Q61" s="71"/>
      <c r="R61" s="72"/>
      <c r="S61" s="72"/>
      <c r="T61" s="72"/>
      <c r="U61" s="72">
        <f t="shared" si="3"/>
        <v>0</v>
      </c>
      <c r="V61" s="74"/>
    </row>
    <row r="62" spans="1:22" ht="15" x14ac:dyDescent="0.2">
      <c r="A62" s="67"/>
      <c r="B62" s="57"/>
      <c r="C62" s="173">
        <v>28</v>
      </c>
      <c r="D62" s="175" t="s">
        <v>86</v>
      </c>
      <c r="E62" s="62"/>
      <c r="F62" s="62"/>
      <c r="G62" s="63"/>
      <c r="H62" s="177" t="s">
        <v>87</v>
      </c>
      <c r="I62" s="67"/>
      <c r="J62" s="173">
        <v>28</v>
      </c>
      <c r="K62" s="175" t="s">
        <v>86</v>
      </c>
      <c r="L62" s="62"/>
      <c r="M62" s="62"/>
      <c r="N62" s="63"/>
      <c r="O62" s="177" t="s">
        <v>87</v>
      </c>
      <c r="Q62" s="173">
        <v>28</v>
      </c>
      <c r="R62" s="175" t="s">
        <v>86</v>
      </c>
      <c r="S62" s="62"/>
      <c r="T62" s="62"/>
      <c r="U62" s="63">
        <f t="shared" si="3"/>
        <v>0</v>
      </c>
      <c r="V62" s="177" t="s">
        <v>87</v>
      </c>
    </row>
    <row r="63" spans="1:22" ht="15" x14ac:dyDescent="0.2">
      <c r="A63" s="67"/>
      <c r="B63" s="57"/>
      <c r="C63" s="174"/>
      <c r="D63" s="176"/>
      <c r="E63" s="62"/>
      <c r="F63" s="62"/>
      <c r="G63" s="63"/>
      <c r="H63" s="178"/>
      <c r="I63" s="67"/>
      <c r="J63" s="174"/>
      <c r="K63" s="176"/>
      <c r="L63" s="62"/>
      <c r="M63" s="62"/>
      <c r="N63" s="63"/>
      <c r="O63" s="178"/>
      <c r="Q63" s="174"/>
      <c r="R63" s="176"/>
      <c r="S63" s="62"/>
      <c r="T63" s="62"/>
      <c r="U63" s="63">
        <f t="shared" si="3"/>
        <v>0</v>
      </c>
      <c r="V63" s="178"/>
    </row>
    <row r="64" spans="1:22" x14ac:dyDescent="0.2">
      <c r="A64" s="67"/>
      <c r="B64" s="57"/>
      <c r="C64" s="179" t="s">
        <v>88</v>
      </c>
      <c r="D64" s="179"/>
      <c r="E64" s="179"/>
      <c r="F64" s="179"/>
      <c r="G64" s="81">
        <f>SUM(G2:G63)</f>
        <v>35162</v>
      </c>
      <c r="H64" s="82"/>
      <c r="I64" s="67"/>
      <c r="J64" s="179" t="s">
        <v>88</v>
      </c>
      <c r="K64" s="179"/>
      <c r="L64" s="179"/>
      <c r="M64" s="179"/>
      <c r="N64" s="81">
        <f>SUM(N2:N63)</f>
        <v>295061</v>
      </c>
      <c r="O64" s="82"/>
      <c r="Q64" s="179" t="s">
        <v>88</v>
      </c>
      <c r="R64" s="179"/>
      <c r="S64" s="179"/>
      <c r="T64" s="179"/>
      <c r="U64" s="81">
        <f>SUM(U2:U63)</f>
        <v>29985</v>
      </c>
      <c r="V64" s="82"/>
    </row>
    <row r="68" spans="1:15" ht="13.5" thickBot="1" x14ac:dyDescent="0.25">
      <c r="A68" s="83"/>
      <c r="B68" s="83"/>
      <c r="C68" s="83"/>
      <c r="D68" s="84" t="s">
        <v>12</v>
      </c>
      <c r="E68" s="83"/>
      <c r="F68" s="83"/>
      <c r="G68" s="83"/>
      <c r="H68" s="83"/>
    </row>
    <row r="69" spans="1:15" ht="13.5" thickBot="1" x14ac:dyDescent="0.25">
      <c r="A69" s="85"/>
      <c r="B69" s="187">
        <v>44621</v>
      </c>
      <c r="C69" s="188"/>
      <c r="D69" s="188"/>
      <c r="E69" s="189"/>
      <c r="F69" s="85"/>
      <c r="G69" s="187">
        <v>44652</v>
      </c>
      <c r="H69" s="188"/>
      <c r="I69" s="188"/>
      <c r="J69" s="189"/>
      <c r="K69" s="85"/>
      <c r="L69" s="184" t="s">
        <v>25</v>
      </c>
      <c r="M69" s="185"/>
      <c r="N69" s="185"/>
      <c r="O69" s="186"/>
    </row>
    <row r="70" spans="1:15" ht="13.5" thickBot="1" x14ac:dyDescent="0.25">
      <c r="A70" s="83"/>
      <c r="B70" s="144" t="s">
        <v>139</v>
      </c>
      <c r="C70" s="144">
        <v>30</v>
      </c>
      <c r="D70" s="144" t="s">
        <v>89</v>
      </c>
      <c r="E70" s="144" t="s">
        <v>90</v>
      </c>
      <c r="F70" s="83"/>
      <c r="G70" s="144" t="s">
        <v>139</v>
      </c>
      <c r="H70" s="144">
        <v>30</v>
      </c>
      <c r="I70" s="144" t="s">
        <v>89</v>
      </c>
      <c r="J70" s="144" t="s">
        <v>90</v>
      </c>
      <c r="K70" s="83"/>
      <c r="L70" s="86" t="s">
        <v>77</v>
      </c>
      <c r="M70" s="86">
        <v>30</v>
      </c>
      <c r="N70" s="86" t="s">
        <v>89</v>
      </c>
      <c r="O70" s="86" t="s">
        <v>90</v>
      </c>
    </row>
    <row r="71" spans="1:15" ht="15.75" thickBot="1" x14ac:dyDescent="0.25">
      <c r="A71" s="83"/>
      <c r="B71" s="87">
        <v>6</v>
      </c>
      <c r="C71" s="88">
        <v>97486</v>
      </c>
      <c r="D71" s="89">
        <v>58986</v>
      </c>
      <c r="E71" s="90">
        <v>78917</v>
      </c>
      <c r="F71" s="83"/>
      <c r="G71" s="87">
        <v>6</v>
      </c>
      <c r="H71" s="88">
        <v>98168</v>
      </c>
      <c r="I71" s="89">
        <v>59277</v>
      </c>
      <c r="J71" s="90">
        <v>78918</v>
      </c>
      <c r="K71" s="83"/>
      <c r="L71" s="86">
        <v>6</v>
      </c>
      <c r="M71" s="91">
        <f>H71-C71</f>
        <v>682</v>
      </c>
      <c r="N71" s="91">
        <f>I71-D71</f>
        <v>291</v>
      </c>
      <c r="O71" s="91">
        <f>J71-E71</f>
        <v>1</v>
      </c>
    </row>
    <row r="72" spans="1:15" ht="15.75" thickBot="1" x14ac:dyDescent="0.25">
      <c r="A72" s="83"/>
      <c r="B72" s="87">
        <v>7</v>
      </c>
      <c r="C72" s="88">
        <v>101340</v>
      </c>
      <c r="D72" s="89">
        <v>105704</v>
      </c>
      <c r="E72" s="90">
        <v>67291</v>
      </c>
      <c r="F72" s="83"/>
      <c r="G72" s="87">
        <v>7</v>
      </c>
      <c r="H72" s="88">
        <v>101305</v>
      </c>
      <c r="I72" s="89">
        <v>105850</v>
      </c>
      <c r="J72" s="90">
        <v>67398</v>
      </c>
      <c r="K72" s="83"/>
      <c r="L72" s="86">
        <v>7</v>
      </c>
      <c r="M72" s="91">
        <f t="shared" ref="M72:O94" si="6">H72-C72</f>
        <v>-35</v>
      </c>
      <c r="N72" s="91">
        <f t="shared" si="6"/>
        <v>146</v>
      </c>
      <c r="O72" s="91">
        <f t="shared" si="6"/>
        <v>107</v>
      </c>
    </row>
    <row r="73" spans="1:15" ht="15.75" thickBot="1" x14ac:dyDescent="0.25">
      <c r="A73" s="83"/>
      <c r="B73" s="87">
        <v>8</v>
      </c>
      <c r="C73" s="88">
        <v>118672</v>
      </c>
      <c r="D73" s="89">
        <v>262723</v>
      </c>
      <c r="E73" s="90">
        <v>112805</v>
      </c>
      <c r="F73" s="83"/>
      <c r="G73" s="87">
        <v>8</v>
      </c>
      <c r="H73" s="88">
        <v>119911</v>
      </c>
      <c r="I73" s="89">
        <v>264475</v>
      </c>
      <c r="J73" s="90">
        <v>113232</v>
      </c>
      <c r="K73" s="83"/>
      <c r="L73" s="86">
        <v>8</v>
      </c>
      <c r="M73" s="91">
        <f t="shared" si="6"/>
        <v>1239</v>
      </c>
      <c r="N73" s="91">
        <f t="shared" si="6"/>
        <v>1752</v>
      </c>
      <c r="O73" s="91">
        <f t="shared" si="6"/>
        <v>427</v>
      </c>
    </row>
    <row r="74" spans="1:15" ht="15.75" thickBot="1" x14ac:dyDescent="0.25">
      <c r="A74" s="83"/>
      <c r="B74" s="87">
        <v>9</v>
      </c>
      <c r="C74" s="88">
        <v>69558</v>
      </c>
      <c r="D74" s="89">
        <v>156119</v>
      </c>
      <c r="E74" s="90">
        <v>163649</v>
      </c>
      <c r="F74" s="83"/>
      <c r="G74" s="87">
        <v>9</v>
      </c>
      <c r="H74" s="88">
        <v>69594</v>
      </c>
      <c r="I74" s="89">
        <v>156516</v>
      </c>
      <c r="J74" s="90">
        <v>164163</v>
      </c>
      <c r="K74" s="83"/>
      <c r="L74" s="86">
        <v>9</v>
      </c>
      <c r="M74" s="91">
        <f t="shared" si="6"/>
        <v>36</v>
      </c>
      <c r="N74" s="91">
        <f t="shared" si="6"/>
        <v>397</v>
      </c>
      <c r="O74" s="91">
        <f t="shared" si="6"/>
        <v>514</v>
      </c>
    </row>
    <row r="75" spans="1:15" ht="15.75" thickBot="1" x14ac:dyDescent="0.25">
      <c r="A75" s="83"/>
      <c r="B75" s="87">
        <v>10</v>
      </c>
      <c r="C75" s="88">
        <v>76770</v>
      </c>
      <c r="D75" s="89">
        <v>124735</v>
      </c>
      <c r="E75" s="90">
        <v>152526</v>
      </c>
      <c r="F75" s="83"/>
      <c r="G75" s="87">
        <v>10</v>
      </c>
      <c r="H75" s="88">
        <v>77326</v>
      </c>
      <c r="I75" s="89">
        <v>125459</v>
      </c>
      <c r="J75" s="90">
        <v>153548</v>
      </c>
      <c r="K75" s="83"/>
      <c r="L75" s="86">
        <v>10</v>
      </c>
      <c r="M75" s="91">
        <f t="shared" si="6"/>
        <v>556</v>
      </c>
      <c r="N75" s="91">
        <f t="shared" si="6"/>
        <v>724</v>
      </c>
      <c r="O75" s="91">
        <f t="shared" si="6"/>
        <v>1022</v>
      </c>
    </row>
    <row r="76" spans="1:15" ht="15.75" thickBot="1" x14ac:dyDescent="0.25">
      <c r="A76" s="83"/>
      <c r="B76" s="87">
        <v>11</v>
      </c>
      <c r="C76" s="88">
        <v>161458</v>
      </c>
      <c r="D76" s="89">
        <v>188097</v>
      </c>
      <c r="E76" s="90">
        <v>214320</v>
      </c>
      <c r="F76" s="83"/>
      <c r="G76" s="87">
        <v>11</v>
      </c>
      <c r="H76" s="88">
        <v>161862</v>
      </c>
      <c r="I76" s="89">
        <v>188559</v>
      </c>
      <c r="J76" s="90">
        <v>214407</v>
      </c>
      <c r="K76" s="83"/>
      <c r="L76" s="86">
        <v>11</v>
      </c>
      <c r="M76" s="91">
        <f t="shared" si="6"/>
        <v>404</v>
      </c>
      <c r="N76" s="91">
        <f t="shared" si="6"/>
        <v>462</v>
      </c>
      <c r="O76" s="91">
        <f t="shared" si="6"/>
        <v>87</v>
      </c>
    </row>
    <row r="77" spans="1:15" ht="15.75" thickBot="1" x14ac:dyDescent="0.25">
      <c r="A77" s="83"/>
      <c r="B77" s="87">
        <v>12</v>
      </c>
      <c r="C77" s="88">
        <v>155562</v>
      </c>
      <c r="D77" s="89">
        <v>98264</v>
      </c>
      <c r="E77" s="90">
        <v>101210</v>
      </c>
      <c r="F77" s="83"/>
      <c r="G77" s="87">
        <v>12</v>
      </c>
      <c r="H77" s="88">
        <v>156381</v>
      </c>
      <c r="I77" s="89">
        <v>98612</v>
      </c>
      <c r="J77" s="90">
        <v>101404</v>
      </c>
      <c r="K77" s="83"/>
      <c r="L77" s="86">
        <v>12</v>
      </c>
      <c r="M77" s="91">
        <f t="shared" si="6"/>
        <v>819</v>
      </c>
      <c r="N77" s="91">
        <f>I77-D77</f>
        <v>348</v>
      </c>
      <c r="O77" s="91">
        <f t="shared" si="6"/>
        <v>194</v>
      </c>
    </row>
    <row r="78" spans="1:15" ht="15.75" thickBot="1" x14ac:dyDescent="0.25">
      <c r="A78" s="83"/>
      <c r="B78" s="87">
        <v>14</v>
      </c>
      <c r="C78" s="88">
        <v>123670</v>
      </c>
      <c r="D78" s="89">
        <v>48946</v>
      </c>
      <c r="E78" s="90">
        <v>51812</v>
      </c>
      <c r="F78" s="83"/>
      <c r="G78" s="87">
        <v>14</v>
      </c>
      <c r="H78" s="88">
        <v>123678</v>
      </c>
      <c r="I78" s="89">
        <v>49048</v>
      </c>
      <c r="J78" s="90">
        <v>51872</v>
      </c>
      <c r="K78" s="83"/>
      <c r="L78" s="86">
        <v>14</v>
      </c>
      <c r="M78" s="91">
        <f t="shared" si="6"/>
        <v>8</v>
      </c>
      <c r="N78" s="91">
        <f t="shared" si="6"/>
        <v>102</v>
      </c>
      <c r="O78" s="91">
        <f t="shared" si="6"/>
        <v>60</v>
      </c>
    </row>
    <row r="79" spans="1:15" ht="15.75" thickBot="1" x14ac:dyDescent="0.25">
      <c r="A79" s="83"/>
      <c r="B79" s="87">
        <v>15</v>
      </c>
      <c r="C79" s="88">
        <v>175349</v>
      </c>
      <c r="D79" s="89">
        <v>152000</v>
      </c>
      <c r="E79" s="90">
        <v>163655</v>
      </c>
      <c r="F79" s="83"/>
      <c r="G79" s="87">
        <v>15</v>
      </c>
      <c r="H79" s="88">
        <v>175959</v>
      </c>
      <c r="I79" s="89">
        <v>152823</v>
      </c>
      <c r="J79" s="90">
        <v>164362</v>
      </c>
      <c r="K79" s="83"/>
      <c r="L79" s="86">
        <v>15</v>
      </c>
      <c r="M79" s="91">
        <f t="shared" si="6"/>
        <v>610</v>
      </c>
      <c r="N79" s="91">
        <f t="shared" si="6"/>
        <v>823</v>
      </c>
      <c r="O79" s="91">
        <f t="shared" si="6"/>
        <v>707</v>
      </c>
    </row>
    <row r="80" spans="1:15" ht="15.75" thickBot="1" x14ac:dyDescent="0.25">
      <c r="A80" s="83"/>
      <c r="B80" s="87">
        <v>16</v>
      </c>
      <c r="C80" s="88">
        <v>130240</v>
      </c>
      <c r="D80" s="89">
        <v>156516</v>
      </c>
      <c r="E80" s="90">
        <v>220362</v>
      </c>
      <c r="F80" s="83"/>
      <c r="G80" s="87">
        <v>16</v>
      </c>
      <c r="H80" s="88">
        <v>130643</v>
      </c>
      <c r="I80" s="89">
        <v>154261</v>
      </c>
      <c r="J80" s="90">
        <v>220645</v>
      </c>
      <c r="K80" s="83"/>
      <c r="L80" s="86">
        <v>16</v>
      </c>
      <c r="M80" s="91">
        <f t="shared" si="6"/>
        <v>403</v>
      </c>
      <c r="N80" s="91">
        <f t="shared" si="6"/>
        <v>-2255</v>
      </c>
      <c r="O80" s="91">
        <f t="shared" si="6"/>
        <v>283</v>
      </c>
    </row>
    <row r="81" spans="1:15" ht="15.75" thickBot="1" x14ac:dyDescent="0.25">
      <c r="A81" s="83"/>
      <c r="B81" s="87">
        <v>17</v>
      </c>
      <c r="C81" s="88">
        <v>38485</v>
      </c>
      <c r="D81" s="89">
        <v>88500</v>
      </c>
      <c r="E81" s="90">
        <v>203563</v>
      </c>
      <c r="F81" s="83"/>
      <c r="G81" s="87">
        <v>17</v>
      </c>
      <c r="H81" s="88">
        <v>38475</v>
      </c>
      <c r="I81" s="89">
        <v>88658</v>
      </c>
      <c r="J81" s="90">
        <v>303694</v>
      </c>
      <c r="K81" s="83"/>
      <c r="L81" s="86">
        <v>17</v>
      </c>
      <c r="M81" s="91">
        <f t="shared" si="6"/>
        <v>-10</v>
      </c>
      <c r="N81" s="91">
        <f t="shared" si="6"/>
        <v>158</v>
      </c>
      <c r="O81" s="91">
        <f t="shared" si="6"/>
        <v>100131</v>
      </c>
    </row>
    <row r="82" spans="1:15" ht="15.75" thickBot="1" x14ac:dyDescent="0.25">
      <c r="A82" s="83"/>
      <c r="B82" s="87">
        <v>18</v>
      </c>
      <c r="C82" s="88">
        <v>140316</v>
      </c>
      <c r="D82" s="89">
        <v>75400</v>
      </c>
      <c r="E82" s="90">
        <v>165882</v>
      </c>
      <c r="F82" s="83"/>
      <c r="G82" s="87">
        <v>18</v>
      </c>
      <c r="H82" s="88">
        <v>140551</v>
      </c>
      <c r="I82" s="89">
        <v>75529</v>
      </c>
      <c r="J82" s="90">
        <v>166010</v>
      </c>
      <c r="K82" s="83"/>
      <c r="L82" s="86">
        <v>18</v>
      </c>
      <c r="M82" s="91">
        <f t="shared" si="6"/>
        <v>235</v>
      </c>
      <c r="N82" s="91">
        <f t="shared" si="6"/>
        <v>129</v>
      </c>
      <c r="O82" s="91">
        <f t="shared" si="6"/>
        <v>128</v>
      </c>
    </row>
    <row r="83" spans="1:15" ht="15.75" thickBot="1" x14ac:dyDescent="0.25">
      <c r="A83" s="83"/>
      <c r="B83" s="87">
        <v>19</v>
      </c>
      <c r="C83" s="88">
        <v>78220</v>
      </c>
      <c r="D83" s="89">
        <v>175316</v>
      </c>
      <c r="E83" s="90">
        <v>129106</v>
      </c>
      <c r="F83" s="83"/>
      <c r="G83" s="87">
        <v>19</v>
      </c>
      <c r="H83" s="88">
        <v>78392</v>
      </c>
      <c r="I83" s="89">
        <v>175537</v>
      </c>
      <c r="J83" s="90">
        <v>129874</v>
      </c>
      <c r="K83" s="83"/>
      <c r="L83" s="86">
        <v>19</v>
      </c>
      <c r="M83" s="91">
        <f t="shared" si="6"/>
        <v>172</v>
      </c>
      <c r="N83" s="91">
        <f t="shared" si="6"/>
        <v>221</v>
      </c>
      <c r="O83" s="91">
        <f t="shared" si="6"/>
        <v>768</v>
      </c>
    </row>
    <row r="84" spans="1:15" ht="15.75" thickBot="1" x14ac:dyDescent="0.25">
      <c r="A84" s="83"/>
      <c r="B84" s="87">
        <v>20</v>
      </c>
      <c r="C84" s="88">
        <v>146544</v>
      </c>
      <c r="D84" s="89">
        <v>177878</v>
      </c>
      <c r="E84" s="90">
        <v>90767</v>
      </c>
      <c r="F84" s="83"/>
      <c r="G84" s="87">
        <v>20</v>
      </c>
      <c r="H84" s="88">
        <v>147197</v>
      </c>
      <c r="I84" s="89">
        <v>178278</v>
      </c>
      <c r="J84" s="90">
        <v>90916</v>
      </c>
      <c r="K84" s="83"/>
      <c r="L84" s="86">
        <v>20</v>
      </c>
      <c r="M84" s="91">
        <f>H84-C84</f>
        <v>653</v>
      </c>
      <c r="N84" s="91">
        <f t="shared" si="6"/>
        <v>400</v>
      </c>
      <c r="O84" s="91">
        <f t="shared" si="6"/>
        <v>149</v>
      </c>
    </row>
    <row r="85" spans="1:15" ht="15.75" thickBot="1" x14ac:dyDescent="0.25">
      <c r="A85" s="83"/>
      <c r="B85" s="87">
        <v>21</v>
      </c>
      <c r="C85" s="88">
        <v>193818</v>
      </c>
      <c r="D85" s="89">
        <v>92149</v>
      </c>
      <c r="E85" s="90">
        <v>117444</v>
      </c>
      <c r="F85" s="83"/>
      <c r="G85" s="87">
        <v>21</v>
      </c>
      <c r="H85" s="88">
        <v>194011</v>
      </c>
      <c r="I85" s="89">
        <v>92560</v>
      </c>
      <c r="J85" s="90">
        <v>117927</v>
      </c>
      <c r="K85" s="83"/>
      <c r="L85" s="86">
        <v>21</v>
      </c>
      <c r="M85" s="91">
        <f t="shared" si="6"/>
        <v>193</v>
      </c>
      <c r="N85" s="91">
        <f t="shared" si="6"/>
        <v>411</v>
      </c>
      <c r="O85" s="91">
        <f t="shared" si="6"/>
        <v>483</v>
      </c>
    </row>
    <row r="86" spans="1:15" ht="15.75" thickBot="1" x14ac:dyDescent="0.25">
      <c r="A86" s="83"/>
      <c r="B86" s="87">
        <v>22</v>
      </c>
      <c r="C86" s="88">
        <v>141394</v>
      </c>
      <c r="D86" s="89">
        <v>99867</v>
      </c>
      <c r="E86" s="90">
        <v>122717</v>
      </c>
      <c r="F86" s="83"/>
      <c r="G86" s="87">
        <v>22</v>
      </c>
      <c r="H86" s="88">
        <v>141829</v>
      </c>
      <c r="I86" s="89">
        <v>100057</v>
      </c>
      <c r="J86" s="90">
        <v>122868</v>
      </c>
      <c r="K86" s="83"/>
      <c r="L86" s="86">
        <v>22</v>
      </c>
      <c r="M86" s="91">
        <f t="shared" si="6"/>
        <v>435</v>
      </c>
      <c r="N86" s="91">
        <f t="shared" si="6"/>
        <v>190</v>
      </c>
      <c r="O86" s="91">
        <f t="shared" si="6"/>
        <v>151</v>
      </c>
    </row>
    <row r="87" spans="1:15" ht="15.75" thickBot="1" x14ac:dyDescent="0.25">
      <c r="A87" s="83"/>
      <c r="B87" s="87">
        <v>23</v>
      </c>
      <c r="C87" s="88">
        <v>130904</v>
      </c>
      <c r="D87" s="89">
        <v>158900</v>
      </c>
      <c r="E87" s="90">
        <v>297108</v>
      </c>
      <c r="F87" s="83"/>
      <c r="G87" s="87">
        <v>23</v>
      </c>
      <c r="H87" s="88">
        <v>131072</v>
      </c>
      <c r="I87" s="89">
        <v>159329</v>
      </c>
      <c r="J87" s="90">
        <v>298323</v>
      </c>
      <c r="K87" s="83"/>
      <c r="L87" s="86">
        <v>23</v>
      </c>
      <c r="M87" s="91">
        <f t="shared" si="6"/>
        <v>168</v>
      </c>
      <c r="N87" s="91">
        <f t="shared" si="6"/>
        <v>429</v>
      </c>
      <c r="O87" s="91">
        <f t="shared" si="6"/>
        <v>1215</v>
      </c>
    </row>
    <row r="88" spans="1:15" ht="15.75" thickBot="1" x14ac:dyDescent="0.25">
      <c r="A88" s="83"/>
      <c r="B88" s="87">
        <v>24</v>
      </c>
      <c r="C88" s="88">
        <v>81185</v>
      </c>
      <c r="D88" s="89">
        <v>154006</v>
      </c>
      <c r="E88" s="90">
        <v>102235</v>
      </c>
      <c r="F88" s="83"/>
      <c r="G88" s="87">
        <v>24</v>
      </c>
      <c r="H88" s="88">
        <v>81296</v>
      </c>
      <c r="I88" s="89">
        <v>154567</v>
      </c>
      <c r="J88" s="90">
        <v>102421</v>
      </c>
      <c r="K88" s="83"/>
      <c r="L88" s="86">
        <v>24</v>
      </c>
      <c r="M88" s="91">
        <f t="shared" si="6"/>
        <v>111</v>
      </c>
      <c r="N88" s="91">
        <f t="shared" si="6"/>
        <v>561</v>
      </c>
      <c r="O88" s="91">
        <f>J88-E88</f>
        <v>186</v>
      </c>
    </row>
    <row r="89" spans="1:15" ht="15.75" thickBot="1" x14ac:dyDescent="0.25">
      <c r="A89" s="83"/>
      <c r="B89" s="87">
        <v>25</v>
      </c>
      <c r="C89" s="88">
        <v>125230</v>
      </c>
      <c r="D89" s="89">
        <v>181500</v>
      </c>
      <c r="E89" s="90">
        <v>168900</v>
      </c>
      <c r="F89" s="83"/>
      <c r="G89" s="87">
        <v>25</v>
      </c>
      <c r="H89" s="88">
        <v>125845</v>
      </c>
      <c r="I89" s="89">
        <v>181702</v>
      </c>
      <c r="J89" s="90">
        <v>169525</v>
      </c>
      <c r="K89" s="83"/>
      <c r="L89" s="86">
        <v>25</v>
      </c>
      <c r="M89" s="91">
        <f t="shared" si="6"/>
        <v>615</v>
      </c>
      <c r="N89" s="91">
        <f t="shared" si="6"/>
        <v>202</v>
      </c>
      <c r="O89" s="91">
        <f>J89-E89</f>
        <v>625</v>
      </c>
    </row>
    <row r="90" spans="1:15" ht="15.75" thickBot="1" x14ac:dyDescent="0.25">
      <c r="A90" s="83"/>
      <c r="B90" s="87">
        <v>26</v>
      </c>
      <c r="C90" s="88">
        <v>120820</v>
      </c>
      <c r="D90" s="89">
        <v>55769</v>
      </c>
      <c r="E90" s="90">
        <v>58440</v>
      </c>
      <c r="F90" s="83"/>
      <c r="G90" s="87">
        <v>26</v>
      </c>
      <c r="H90" s="88">
        <v>121546</v>
      </c>
      <c r="I90" s="89">
        <v>56644</v>
      </c>
      <c r="J90" s="90">
        <v>59160</v>
      </c>
      <c r="K90" s="83"/>
      <c r="L90" s="86">
        <v>26</v>
      </c>
      <c r="M90" s="91">
        <f t="shared" si="6"/>
        <v>726</v>
      </c>
      <c r="N90" s="91">
        <f t="shared" si="6"/>
        <v>875</v>
      </c>
      <c r="O90" s="91">
        <f t="shared" si="6"/>
        <v>720</v>
      </c>
    </row>
    <row r="91" spans="1:15" ht="15.75" thickBot="1" x14ac:dyDescent="0.25">
      <c r="A91" s="83"/>
      <c r="B91" s="87">
        <v>27</v>
      </c>
      <c r="C91" s="88">
        <v>104462</v>
      </c>
      <c r="D91" s="89">
        <v>113351</v>
      </c>
      <c r="E91" s="90">
        <v>125962</v>
      </c>
      <c r="F91" s="83"/>
      <c r="G91" s="87">
        <v>27</v>
      </c>
      <c r="H91" s="88">
        <v>104060</v>
      </c>
      <c r="I91" s="89">
        <v>113499</v>
      </c>
      <c r="J91" s="90">
        <v>126621</v>
      </c>
      <c r="K91" s="83"/>
      <c r="L91" s="86">
        <v>27</v>
      </c>
      <c r="M91" s="91">
        <f t="shared" si="6"/>
        <v>-402</v>
      </c>
      <c r="N91" s="91">
        <f t="shared" si="6"/>
        <v>148</v>
      </c>
      <c r="O91" s="91">
        <f t="shared" si="6"/>
        <v>659</v>
      </c>
    </row>
    <row r="92" spans="1:15" ht="15.75" thickBot="1" x14ac:dyDescent="0.25">
      <c r="A92" s="83"/>
      <c r="B92" s="87">
        <v>28</v>
      </c>
      <c r="C92" s="88">
        <v>203620</v>
      </c>
      <c r="D92" s="89">
        <v>102988</v>
      </c>
      <c r="E92" s="90">
        <v>112717</v>
      </c>
      <c r="F92" s="83"/>
      <c r="G92" s="87">
        <v>28</v>
      </c>
      <c r="H92" s="88">
        <v>203813</v>
      </c>
      <c r="I92" s="89">
        <v>102210</v>
      </c>
      <c r="J92" s="90">
        <v>113052</v>
      </c>
      <c r="K92" s="83"/>
      <c r="L92" s="86">
        <v>28</v>
      </c>
      <c r="M92" s="91">
        <f t="shared" si="6"/>
        <v>193</v>
      </c>
      <c r="N92" s="91">
        <f t="shared" si="6"/>
        <v>-778</v>
      </c>
      <c r="O92" s="91">
        <f t="shared" si="6"/>
        <v>335</v>
      </c>
    </row>
    <row r="93" spans="1:15" ht="15.75" thickBot="1" x14ac:dyDescent="0.25">
      <c r="A93" s="83"/>
      <c r="B93" s="87">
        <v>29</v>
      </c>
      <c r="C93" s="88"/>
      <c r="D93" s="89">
        <v>86217</v>
      </c>
      <c r="E93" s="90"/>
      <c r="F93" s="83"/>
      <c r="G93" s="87">
        <v>29</v>
      </c>
      <c r="H93" s="88"/>
      <c r="I93" s="89">
        <v>86217</v>
      </c>
      <c r="J93" s="90"/>
      <c r="K93" s="83"/>
      <c r="L93" s="86">
        <v>29</v>
      </c>
      <c r="M93" s="91">
        <f>H93-C93</f>
        <v>0</v>
      </c>
      <c r="N93" s="91">
        <f t="shared" si="6"/>
        <v>0</v>
      </c>
      <c r="O93" s="91"/>
    </row>
    <row r="94" spans="1:15" ht="15.75" thickBot="1" x14ac:dyDescent="0.25">
      <c r="A94" s="83"/>
      <c r="B94" s="87">
        <v>30</v>
      </c>
      <c r="C94" s="88"/>
      <c r="D94" s="89">
        <v>14818</v>
      </c>
      <c r="E94" s="90"/>
      <c r="F94" s="83"/>
      <c r="G94" s="87">
        <v>30</v>
      </c>
      <c r="H94" s="88"/>
      <c r="I94" s="89">
        <v>14818</v>
      </c>
      <c r="J94" s="90"/>
      <c r="K94" s="83"/>
      <c r="L94" s="86">
        <v>30</v>
      </c>
      <c r="M94" s="91">
        <f>H94-C94</f>
        <v>0</v>
      </c>
      <c r="N94" s="91">
        <f t="shared" si="6"/>
        <v>0</v>
      </c>
      <c r="O94" s="83"/>
    </row>
  </sheetData>
  <mergeCells count="78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Q2:Q4"/>
    <mergeCell ref="Q5:Q7"/>
    <mergeCell ref="Q8:Q10"/>
    <mergeCell ref="Q11:Q13"/>
    <mergeCell ref="Q14:Q16"/>
    <mergeCell ref="Q17:Q19"/>
    <mergeCell ref="Q20:Q22"/>
    <mergeCell ref="Q23:Q25"/>
    <mergeCell ref="Q26:Q28"/>
    <mergeCell ref="Q29:Q31"/>
    <mergeCell ref="Q32:Q34"/>
    <mergeCell ref="Q35:Q37"/>
    <mergeCell ref="Q38:Q40"/>
    <mergeCell ref="Q41:Q43"/>
    <mergeCell ref="Q45:Q46"/>
    <mergeCell ref="Q47:Q48"/>
    <mergeCell ref="Q49:Q50"/>
    <mergeCell ref="Q52:Q54"/>
    <mergeCell ref="Q55:Q56"/>
    <mergeCell ref="Q57:Q58"/>
    <mergeCell ref="Q59:Q60"/>
    <mergeCell ref="Q62:Q63"/>
    <mergeCell ref="R62:R63"/>
    <mergeCell ref="V62:V63"/>
    <mergeCell ref="Q64:T64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opLeftCell="A4" zoomScale="112" zoomScaleNormal="112" workbookViewId="0">
      <selection activeCell="E19" sqref="E19:F19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90" t="s">
        <v>147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</row>
    <row r="2" spans="1:13" ht="13.5" thickBot="1" x14ac:dyDescent="0.25">
      <c r="A2" s="95"/>
      <c r="B2" s="96" t="s">
        <v>92</v>
      </c>
      <c r="C2" s="97">
        <f>K8+K9+K14</f>
        <v>-81180595</v>
      </c>
      <c r="D2" s="97">
        <f>C2*1.27</f>
        <v>-103099355.65000001</v>
      </c>
      <c r="E2" s="98"/>
      <c r="F2" s="95"/>
      <c r="G2" s="95"/>
      <c r="H2" s="99" t="s">
        <v>93</v>
      </c>
      <c r="I2" s="100"/>
      <c r="J2" s="100"/>
      <c r="K2" s="100"/>
    </row>
    <row r="3" spans="1:13" ht="13.5" thickBot="1" x14ac:dyDescent="0.25">
      <c r="A3" s="95"/>
      <c r="B3" s="95"/>
      <c r="C3" s="95"/>
      <c r="D3" s="95"/>
      <c r="E3" s="95"/>
      <c r="F3" s="95"/>
      <c r="G3" s="95"/>
      <c r="H3" s="101" t="s">
        <v>94</v>
      </c>
      <c r="I3" s="134">
        <f>ELECT.!E2</f>
        <v>31095578</v>
      </c>
      <c r="J3" s="134">
        <f>ELECT.!E32</f>
        <v>0</v>
      </c>
      <c r="K3" s="167">
        <f>J3-I3</f>
        <v>-31095578</v>
      </c>
    </row>
    <row r="4" spans="1:13" ht="13.5" thickBot="1" x14ac:dyDescent="0.25">
      <c r="A4" s="95"/>
      <c r="B4" s="103" t="s">
        <v>95</v>
      </c>
      <c r="C4" s="104" t="s">
        <v>96</v>
      </c>
      <c r="D4" s="104" t="s">
        <v>97</v>
      </c>
      <c r="E4" s="104"/>
      <c r="F4" s="95"/>
      <c r="G4" s="95"/>
      <c r="H4" s="101" t="s">
        <v>98</v>
      </c>
      <c r="I4" s="102">
        <f>ELECT.!G2</f>
        <v>99640821</v>
      </c>
      <c r="J4" s="134">
        <f>ELECT.!G32</f>
        <v>0</v>
      </c>
      <c r="K4" s="167">
        <f>J4-I4</f>
        <v>-99640821</v>
      </c>
    </row>
    <row r="5" spans="1:13" ht="13.5" thickBot="1" x14ac:dyDescent="0.25">
      <c r="A5" s="95"/>
      <c r="B5" s="101" t="s">
        <v>27</v>
      </c>
      <c r="C5" s="105">
        <f>(K10+K12)*0.842284+K26</f>
        <v>-36452174.645500004</v>
      </c>
      <c r="D5" s="105">
        <f t="shared" ref="D5:D11" si="0">C5*1.27</f>
        <v>-46294261.799785003</v>
      </c>
      <c r="E5" s="106"/>
      <c r="F5" s="95"/>
      <c r="G5" s="95"/>
      <c r="H5" s="101" t="s">
        <v>23</v>
      </c>
      <c r="I5" s="107"/>
      <c r="J5" s="107"/>
      <c r="K5" s="127">
        <f>K3+K4</f>
        <v>-130736399</v>
      </c>
    </row>
    <row r="6" spans="1:13" ht="13.5" thickBot="1" x14ac:dyDescent="0.25">
      <c r="A6" s="95"/>
      <c r="B6" s="101" t="s">
        <v>99</v>
      </c>
      <c r="C6" s="105">
        <f>(K10+K12+K26)*0.1488</f>
        <v>-6352016.8079999993</v>
      </c>
      <c r="D6" s="105">
        <f t="shared" si="0"/>
        <v>-8067061.3461599993</v>
      </c>
      <c r="E6" s="106"/>
      <c r="F6" s="95"/>
      <c r="G6" s="95"/>
      <c r="H6" s="101" t="s">
        <v>100</v>
      </c>
      <c r="I6" s="138">
        <f>ELECT.!J2</f>
        <v>9920947</v>
      </c>
      <c r="J6" s="134">
        <f>ELECT.!J32</f>
        <v>0</v>
      </c>
      <c r="K6" s="167">
        <f>J6-I6</f>
        <v>-9920947</v>
      </c>
      <c r="M6" s="35"/>
    </row>
    <row r="7" spans="1:13" ht="13.5" thickBot="1" x14ac:dyDescent="0.25">
      <c r="A7" s="95"/>
      <c r="B7" s="101" t="s">
        <v>101</v>
      </c>
      <c r="C7" s="105">
        <f>(K6+K7)-(C8+C9+C10+C11+K26)</f>
        <v>-6923399</v>
      </c>
      <c r="D7" s="105">
        <f t="shared" si="0"/>
        <v>-8792716.7300000004</v>
      </c>
      <c r="E7" s="106"/>
      <c r="F7" s="95"/>
      <c r="G7" s="95"/>
      <c r="H7" s="101" t="s">
        <v>102</v>
      </c>
      <c r="I7" s="138">
        <f>ELECT.!L2</f>
        <v>94732</v>
      </c>
      <c r="J7" s="134">
        <f>ELECT.!L32</f>
        <v>0</v>
      </c>
      <c r="K7" s="167">
        <f>J7-I7</f>
        <v>-94732</v>
      </c>
    </row>
    <row r="8" spans="1:13" ht="13.5" thickBot="1" x14ac:dyDescent="0.25">
      <c r="A8" s="95"/>
      <c r="B8" s="101" t="s">
        <v>103</v>
      </c>
      <c r="C8" s="105">
        <f>K21+K22+K23+K24</f>
        <v>31917</v>
      </c>
      <c r="D8" s="105">
        <f t="shared" si="0"/>
        <v>40534.590000000004</v>
      </c>
      <c r="E8" s="106"/>
      <c r="F8" s="95"/>
      <c r="G8" s="95"/>
      <c r="H8" s="101" t="s">
        <v>104</v>
      </c>
      <c r="I8" s="138">
        <f>ELECT.!N2</f>
        <v>6646256</v>
      </c>
      <c r="J8" s="134">
        <f>ELECT.!N32</f>
        <v>0</v>
      </c>
      <c r="K8" s="92">
        <f>(J8-I8)*2</f>
        <v>-13292512</v>
      </c>
    </row>
    <row r="9" spans="1:13" ht="13.5" thickBot="1" x14ac:dyDescent="0.25">
      <c r="A9" s="95"/>
      <c r="B9" s="101" t="s">
        <v>137</v>
      </c>
      <c r="C9" s="105">
        <f>K25+K16+K17</f>
        <v>6924</v>
      </c>
      <c r="D9" s="105">
        <f t="shared" si="0"/>
        <v>8793.48</v>
      </c>
      <c r="E9" s="106"/>
      <c r="F9" s="95"/>
      <c r="G9" s="95"/>
      <c r="H9" s="101" t="s">
        <v>105</v>
      </c>
      <c r="I9" s="138">
        <f>ELECT.!P2</f>
        <v>6636256</v>
      </c>
      <c r="J9" s="134">
        <f>ELECT.!P32</f>
        <v>0</v>
      </c>
      <c r="K9" s="92">
        <f>J9-I9</f>
        <v>-6636256</v>
      </c>
    </row>
    <row r="10" spans="1:13" ht="13.5" thickBot="1" x14ac:dyDescent="0.25">
      <c r="A10" s="95"/>
      <c r="B10" s="101" t="s">
        <v>106</v>
      </c>
      <c r="C10" s="105">
        <f>K18</f>
        <v>13600</v>
      </c>
      <c r="D10" s="105">
        <f t="shared" si="0"/>
        <v>17272</v>
      </c>
      <c r="E10" s="106"/>
      <c r="F10" s="95"/>
      <c r="G10" s="95"/>
      <c r="H10" s="101" t="s">
        <v>107</v>
      </c>
      <c r="I10" s="138">
        <f>ELECT.!R2</f>
        <v>21222233</v>
      </c>
      <c r="J10" s="134">
        <f>ELECT.!R32</f>
        <v>0</v>
      </c>
      <c r="K10" s="92">
        <f>J10-I10</f>
        <v>-21222233</v>
      </c>
    </row>
    <row r="11" spans="1:13" ht="13.5" thickBot="1" x14ac:dyDescent="0.25">
      <c r="A11" s="95"/>
      <c r="B11" s="101" t="s">
        <v>108</v>
      </c>
      <c r="C11" s="105">
        <f>K19+K20</f>
        <v>3439</v>
      </c>
      <c r="D11" s="105">
        <f t="shared" si="0"/>
        <v>4367.53</v>
      </c>
      <c r="E11" s="106"/>
      <c r="F11" s="95"/>
      <c r="G11" s="95"/>
      <c r="H11" s="101" t="s">
        <v>109</v>
      </c>
      <c r="I11" s="108">
        <v>0</v>
      </c>
      <c r="J11" s="134">
        <f>ELECT.!G40</f>
        <v>0</v>
      </c>
      <c r="K11" s="92">
        <f>J11-I11</f>
        <v>0</v>
      </c>
    </row>
    <row r="12" spans="1:13" ht="13.5" thickBot="1" x14ac:dyDescent="0.25">
      <c r="A12" s="95"/>
      <c r="B12" s="95"/>
      <c r="C12" s="109"/>
      <c r="D12" s="109"/>
      <c r="E12" s="109"/>
      <c r="F12" s="95"/>
      <c r="G12" s="95"/>
      <c r="H12" s="101" t="s">
        <v>110</v>
      </c>
      <c r="I12" s="138">
        <f>ELECT.!V2</f>
        <v>9158946</v>
      </c>
      <c r="J12" s="134">
        <f>ELECT.!V32</f>
        <v>0</v>
      </c>
      <c r="K12" s="92">
        <f>(J12-I12)*2</f>
        <v>-18317892</v>
      </c>
    </row>
    <row r="13" spans="1:13" ht="13.5" thickBot="1" x14ac:dyDescent="0.25">
      <c r="A13" s="95"/>
      <c r="B13" s="99" t="s">
        <v>111</v>
      </c>
      <c r="C13" s="106" t="s">
        <v>112</v>
      </c>
      <c r="D13" s="106" t="s">
        <v>97</v>
      </c>
      <c r="E13" s="106"/>
      <c r="F13" s="95"/>
      <c r="G13" s="95"/>
      <c r="H13" s="101" t="s">
        <v>113</v>
      </c>
      <c r="I13" s="110"/>
      <c r="J13" s="111"/>
      <c r="K13" s="112">
        <f>SUM(K6:K12)</f>
        <v>-69484572</v>
      </c>
    </row>
    <row r="14" spans="1:13" ht="13.5" thickBot="1" x14ac:dyDescent="0.25">
      <c r="A14" s="95"/>
      <c r="B14" s="101" t="s">
        <v>42</v>
      </c>
      <c r="C14" s="105">
        <f>K29</f>
        <v>-4501680</v>
      </c>
      <c r="D14" s="113">
        <f t="shared" ref="D14:D22" si="1">C14*10.03</f>
        <v>-45151850.399999999</v>
      </c>
      <c r="E14" s="114"/>
      <c r="F14" s="95"/>
      <c r="G14" s="95"/>
      <c r="H14" s="101" t="s">
        <v>114</v>
      </c>
      <c r="I14" s="110"/>
      <c r="J14" s="111"/>
      <c r="K14" s="93">
        <f>K5-K13</f>
        <v>-61251827</v>
      </c>
    </row>
    <row r="15" spans="1:13" ht="13.5" thickBot="1" x14ac:dyDescent="0.25">
      <c r="A15" s="95"/>
      <c r="B15" s="101" t="s">
        <v>115</v>
      </c>
      <c r="C15" s="115">
        <f>K30</f>
        <v>-21431.708999999999</v>
      </c>
      <c r="D15" s="113">
        <f t="shared" si="1"/>
        <v>-214960.04126999999</v>
      </c>
      <c r="E15" s="114"/>
      <c r="F15" s="95"/>
      <c r="G15" s="95"/>
      <c r="H15" s="95"/>
      <c r="I15" s="95"/>
      <c r="J15" s="95"/>
      <c r="K15" s="95"/>
    </row>
    <row r="16" spans="1:13" ht="13.5" thickBot="1" x14ac:dyDescent="0.25">
      <c r="A16" s="95"/>
      <c r="B16" s="101" t="s">
        <v>99</v>
      </c>
      <c r="C16" s="115">
        <f>(C14-C15-C17-C18-C19-C20-C21)*0.1318</f>
        <v>-591263.80075380008</v>
      </c>
      <c r="D16" s="113">
        <f t="shared" si="1"/>
        <v>-5930375.9215606144</v>
      </c>
      <c r="E16" s="114"/>
      <c r="F16" s="95"/>
      <c r="G16" s="95"/>
      <c r="H16" s="116" t="s">
        <v>136</v>
      </c>
      <c r="I16" s="117">
        <f>'Mall, Citadel, Rotana'!T2</f>
        <v>3997</v>
      </c>
      <c r="J16" s="117">
        <f>'Mall, Citadel, Rotana'!T32</f>
        <v>4013</v>
      </c>
      <c r="K16" s="94">
        <f>(J16-I16)*160</f>
        <v>2560</v>
      </c>
    </row>
    <row r="17" spans="1:11" ht="13.5" thickBot="1" x14ac:dyDescent="0.25">
      <c r="A17" s="95"/>
      <c r="B17" s="101" t="s">
        <v>103</v>
      </c>
      <c r="C17" s="115">
        <v>1420</v>
      </c>
      <c r="D17" s="113">
        <f t="shared" si="1"/>
        <v>14242.599999999999</v>
      </c>
      <c r="E17" s="114"/>
      <c r="F17" s="95"/>
      <c r="G17" s="95"/>
      <c r="H17" s="116" t="s">
        <v>19</v>
      </c>
      <c r="I17" s="117">
        <f>'Mall, Citadel, Rotana'!J2</f>
        <v>316404</v>
      </c>
      <c r="J17" s="117">
        <f>'Mall, Citadel, Rotana'!J32</f>
        <v>320682</v>
      </c>
      <c r="K17" s="94">
        <f>(J17-I17)</f>
        <v>4278</v>
      </c>
    </row>
    <row r="18" spans="1:11" ht="13.5" thickBot="1" x14ac:dyDescent="0.25">
      <c r="A18" s="95"/>
      <c r="B18" s="101" t="s">
        <v>108</v>
      </c>
      <c r="C18" s="115">
        <v>200</v>
      </c>
      <c r="D18" s="113">
        <f t="shared" si="1"/>
        <v>2005.9999999999998</v>
      </c>
      <c r="E18" s="114"/>
      <c r="F18" s="95"/>
      <c r="G18" s="95"/>
      <c r="H18" s="116" t="s">
        <v>20</v>
      </c>
      <c r="I18" s="117">
        <f>'Mall, Citadel, Rotana'!L2</f>
        <v>26171</v>
      </c>
      <c r="J18" s="117">
        <f>'Mall, Citadel, Rotana'!L32</f>
        <v>26256</v>
      </c>
      <c r="K18" s="94">
        <f>(J18-I18)*160</f>
        <v>13600</v>
      </c>
    </row>
    <row r="19" spans="1:11" ht="15.75" thickBot="1" x14ac:dyDescent="0.25">
      <c r="A19" s="95"/>
      <c r="B19" s="101" t="s">
        <v>137</v>
      </c>
      <c r="C19" s="115">
        <v>600</v>
      </c>
      <c r="D19" s="113">
        <f t="shared" si="1"/>
        <v>6018</v>
      </c>
      <c r="E19" s="191" t="s">
        <v>116</v>
      </c>
      <c r="F19" s="192"/>
      <c r="G19" s="95"/>
      <c r="H19" s="116" t="s">
        <v>117</v>
      </c>
      <c r="I19" s="117">
        <f>'Mall, Citadel, Rotana'!P2</f>
        <v>154366</v>
      </c>
      <c r="J19" s="117">
        <f>'Mall, Citadel, Rotana'!P32</f>
        <v>157805</v>
      </c>
      <c r="K19" s="94">
        <f>J19-I19</f>
        <v>3439</v>
      </c>
    </row>
    <row r="20" spans="1:11" ht="13.5" thickBot="1" x14ac:dyDescent="0.25">
      <c r="A20" s="95"/>
      <c r="B20" s="101" t="s">
        <v>106</v>
      </c>
      <c r="C20" s="115">
        <v>600</v>
      </c>
      <c r="D20" s="113">
        <f t="shared" si="1"/>
        <v>6018</v>
      </c>
      <c r="E20" s="114"/>
      <c r="F20" s="95"/>
      <c r="G20" s="95"/>
      <c r="H20" s="116" t="s">
        <v>118</v>
      </c>
      <c r="I20" s="117">
        <f>'Mall, Citadel, Rotana'!R2</f>
        <v>55047</v>
      </c>
      <c r="J20" s="117">
        <f>'Mall, Citadel, Rotana'!R32</f>
        <v>55047</v>
      </c>
      <c r="K20" s="94">
        <f>J20-I20</f>
        <v>0</v>
      </c>
    </row>
    <row r="21" spans="1:11" ht="13.5" thickBot="1" x14ac:dyDescent="0.25">
      <c r="A21" s="95"/>
      <c r="B21" s="101" t="s">
        <v>92</v>
      </c>
      <c r="C21" s="115">
        <v>3000</v>
      </c>
      <c r="D21" s="113">
        <f t="shared" si="1"/>
        <v>30089.999999999996</v>
      </c>
      <c r="E21" s="114"/>
      <c r="F21" s="95"/>
      <c r="G21" s="95"/>
      <c r="H21" s="116" t="s">
        <v>13</v>
      </c>
      <c r="I21" s="117">
        <f>'Mall, Citadel, Rotana'!B2</f>
        <v>47087</v>
      </c>
      <c r="J21" s="117">
        <f>'Mall, Citadel, Rotana'!B32</f>
        <v>47215</v>
      </c>
      <c r="K21" s="94">
        <f>(J21-I21)*120</f>
        <v>15360</v>
      </c>
    </row>
    <row r="22" spans="1:11" ht="13.5" thickBot="1" x14ac:dyDescent="0.25">
      <c r="A22" s="95"/>
      <c r="B22" s="101" t="s">
        <v>119</v>
      </c>
      <c r="C22" s="113">
        <f>C14-(C15+C16+C17+C18+C19+C20+C21)</f>
        <v>-3894804.4902462</v>
      </c>
      <c r="D22" s="113">
        <f t="shared" si="1"/>
        <v>-39064889.037169382</v>
      </c>
      <c r="E22" s="114"/>
      <c r="F22" s="95"/>
      <c r="G22" s="95"/>
      <c r="H22" s="116" t="s">
        <v>15</v>
      </c>
      <c r="I22" s="117">
        <f>'Mall, Citadel, Rotana'!D2</f>
        <v>40638</v>
      </c>
      <c r="J22" s="117">
        <f>'Mall, Citadel, Rotana'!D32</f>
        <v>40725</v>
      </c>
      <c r="K22" s="94">
        <f>(J22-I22)*160</f>
        <v>13920</v>
      </c>
    </row>
    <row r="23" spans="1:11" x14ac:dyDescent="0.2">
      <c r="A23" s="95"/>
      <c r="B23" s="95"/>
      <c r="C23" s="109"/>
      <c r="D23" s="118"/>
      <c r="E23" s="114"/>
      <c r="F23" s="95"/>
      <c r="G23" s="95"/>
      <c r="H23" s="116" t="s">
        <v>17</v>
      </c>
      <c r="I23" s="117">
        <f>'Mall, Citadel, Rotana'!F2</f>
        <v>21687</v>
      </c>
      <c r="J23" s="117">
        <f>'Mall, Citadel, Rotana'!F32</f>
        <v>21783</v>
      </c>
      <c r="K23" s="94">
        <f>(J23-I23)*20</f>
        <v>1920</v>
      </c>
    </row>
    <row r="24" spans="1:11" x14ac:dyDescent="0.2">
      <c r="A24" s="95"/>
      <c r="B24" s="99" t="s">
        <v>120</v>
      </c>
      <c r="C24" s="109"/>
      <c r="D24" s="109"/>
      <c r="E24" s="109"/>
      <c r="F24" s="95"/>
      <c r="G24" s="95"/>
      <c r="H24" s="116" t="s">
        <v>18</v>
      </c>
      <c r="I24" s="117">
        <f>'Mall, Citadel, Rotana'!H2</f>
        <v>255299</v>
      </c>
      <c r="J24" s="117">
        <f>'Mall, Citadel, Rotana'!H32</f>
        <v>256016</v>
      </c>
      <c r="K24" s="94">
        <f>J24-I24</f>
        <v>717</v>
      </c>
    </row>
    <row r="25" spans="1:11" ht="13.5" thickBot="1" x14ac:dyDescent="0.25">
      <c r="A25" s="95"/>
      <c r="B25" s="95"/>
      <c r="C25" s="106" t="s">
        <v>112</v>
      </c>
      <c r="D25" s="106" t="s">
        <v>121</v>
      </c>
      <c r="E25" s="106"/>
      <c r="F25" s="95"/>
      <c r="G25" s="95"/>
      <c r="H25" s="116" t="s">
        <v>122</v>
      </c>
      <c r="I25" s="117">
        <f>'Mall, Citadel, Rotana'!N2</f>
        <v>226036</v>
      </c>
      <c r="J25" s="117">
        <f>'Mall, Citadel, Rotana'!N32</f>
        <v>226122</v>
      </c>
      <c r="K25" s="94">
        <f>J25-I25</f>
        <v>86</v>
      </c>
    </row>
    <row r="26" spans="1:11" ht="13.5" thickBot="1" x14ac:dyDescent="0.25">
      <c r="A26" s="95"/>
      <c r="B26" s="101" t="s">
        <v>42</v>
      </c>
      <c r="C26" s="119">
        <f>K35</f>
        <v>-18301254</v>
      </c>
      <c r="D26" s="105">
        <f>C26*3.65</f>
        <v>-66799577.100000001</v>
      </c>
      <c r="E26" s="106"/>
      <c r="F26" s="95"/>
      <c r="G26" s="95"/>
      <c r="H26" s="116" t="s">
        <v>123</v>
      </c>
      <c r="I26" s="126">
        <f>ELECT.!C2</f>
        <v>19676</v>
      </c>
      <c r="J26" s="126">
        <f>ELECT.!C32</f>
        <v>0</v>
      </c>
      <c r="K26" s="94">
        <f>(J26-I26)*160</f>
        <v>-3148160</v>
      </c>
    </row>
    <row r="27" spans="1:11" ht="13.5" thickBot="1" x14ac:dyDescent="0.25">
      <c r="A27" s="95"/>
      <c r="B27" s="96" t="s">
        <v>124</v>
      </c>
      <c r="C27" s="119">
        <f>C26</f>
        <v>-18301254</v>
      </c>
      <c r="D27" s="105">
        <f>C27*3.65</f>
        <v>-66799577.100000001</v>
      </c>
      <c r="E27" s="106"/>
      <c r="F27" s="95"/>
      <c r="G27" s="95"/>
      <c r="H27" s="99"/>
      <c r="I27" s="120"/>
      <c r="J27" s="95"/>
      <c r="K27" s="95"/>
    </row>
    <row r="28" spans="1:11" x14ac:dyDescent="0.2">
      <c r="A28" s="95"/>
      <c r="B28" s="95"/>
      <c r="C28" s="95"/>
      <c r="D28" s="95"/>
      <c r="E28" s="95"/>
      <c r="F28" s="95"/>
      <c r="G28" s="95"/>
      <c r="H28" s="99" t="s">
        <v>111</v>
      </c>
      <c r="I28" s="120"/>
      <c r="J28" s="95"/>
      <c r="K28" s="95"/>
    </row>
    <row r="29" spans="1:11" x14ac:dyDescent="0.2">
      <c r="A29" s="95"/>
      <c r="B29" s="95"/>
      <c r="C29" s="95"/>
      <c r="D29" s="95"/>
      <c r="E29" s="95"/>
      <c r="F29" s="95"/>
      <c r="G29" s="95" t="s">
        <v>12</v>
      </c>
      <c r="H29" s="116" t="s">
        <v>24</v>
      </c>
      <c r="I29" s="117">
        <f>Water!B2</f>
        <v>450168</v>
      </c>
      <c r="J29" s="117">
        <f>Water!B32</f>
        <v>0</v>
      </c>
      <c r="K29" s="94">
        <f>(J29-I29)*10</f>
        <v>-4501680</v>
      </c>
    </row>
    <row r="30" spans="1:11" x14ac:dyDescent="0.2">
      <c r="A30" s="95"/>
      <c r="B30" s="95"/>
      <c r="C30" s="95"/>
      <c r="D30" s="95"/>
      <c r="E30" s="95"/>
      <c r="F30" s="95"/>
      <c r="G30" s="95"/>
      <c r="H30" s="116" t="s">
        <v>125</v>
      </c>
      <c r="I30" s="117">
        <f>Water!H2</f>
        <v>793767</v>
      </c>
      <c r="J30" s="117">
        <f>Water!H32</f>
        <v>0</v>
      </c>
      <c r="K30" s="94">
        <f>(J30-I30)*0.027</f>
        <v>-21431.708999999999</v>
      </c>
    </row>
    <row r="31" spans="1:11" x14ac:dyDescent="0.2">
      <c r="A31" s="95"/>
      <c r="B31" s="95"/>
      <c r="C31" s="95"/>
      <c r="D31" s="95"/>
      <c r="E31" s="95"/>
      <c r="F31" s="95"/>
      <c r="G31" s="95"/>
      <c r="H31" s="116" t="s">
        <v>126</v>
      </c>
      <c r="I31" s="117">
        <f>Water!D2</f>
        <v>8793</v>
      </c>
      <c r="J31" s="117">
        <f>Water!D32</f>
        <v>0</v>
      </c>
      <c r="K31" s="94">
        <f>(J31-I31)*0.027</f>
        <v>-237.411</v>
      </c>
    </row>
    <row r="32" spans="1:11" x14ac:dyDescent="0.2">
      <c r="A32" s="95"/>
      <c r="B32" s="95"/>
      <c r="C32" s="95"/>
      <c r="D32" s="95"/>
      <c r="E32" s="95"/>
      <c r="F32" s="95"/>
      <c r="G32" s="95"/>
      <c r="H32" s="116" t="s">
        <v>127</v>
      </c>
      <c r="I32" s="117">
        <f>Water!F2</f>
        <v>9318800</v>
      </c>
      <c r="J32" s="117">
        <f>Water!F32</f>
        <v>0</v>
      </c>
      <c r="K32" s="94">
        <f>(J32-I32)*0.027</f>
        <v>-251607.6</v>
      </c>
    </row>
    <row r="33" spans="1:11" x14ac:dyDescent="0.2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</row>
    <row r="34" spans="1:11" x14ac:dyDescent="0.2">
      <c r="A34" s="121"/>
      <c r="B34" s="121"/>
      <c r="C34" s="121"/>
      <c r="D34" s="121"/>
      <c r="E34" s="121"/>
      <c r="F34" s="121"/>
      <c r="G34" s="121"/>
      <c r="H34" s="121" t="s">
        <v>120</v>
      </c>
      <c r="I34" s="121"/>
      <c r="J34" s="121"/>
      <c r="K34" s="121"/>
    </row>
    <row r="35" spans="1:11" x14ac:dyDescent="0.2">
      <c r="A35" s="121"/>
      <c r="B35" s="121"/>
      <c r="C35" s="121"/>
      <c r="D35" s="121"/>
      <c r="E35" s="121"/>
      <c r="F35" s="121"/>
      <c r="G35" s="122"/>
      <c r="H35" s="123" t="s">
        <v>42</v>
      </c>
      <c r="I35" s="124">
        <f>Gas!B2</f>
        <v>18301254</v>
      </c>
      <c r="J35" s="136">
        <f>Gas!B32</f>
        <v>0</v>
      </c>
      <c r="K35" s="125">
        <f>J35-I35</f>
        <v>-18301254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2022-04-01T09:07:25Z</cp:lastPrinted>
  <dcterms:created xsi:type="dcterms:W3CDTF">2017-07-31T14:40:49Z</dcterms:created>
  <dcterms:modified xsi:type="dcterms:W3CDTF">2022-06-27T23:15:32Z</dcterms:modified>
</cp:coreProperties>
</file>