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751962F7-4818-4C69-AA5A-0C3815DCED69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6" i="2" l="1"/>
  <c r="Y15" i="2"/>
  <c r="Y14" i="2"/>
  <c r="AB32" i="2"/>
  <c r="K31" i="3" s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14" i="2" l="1"/>
  <c r="U22" i="2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<sst xmlns="http://schemas.openxmlformats.org/spreadsheetml/2006/main" count="77" uniqueCount="40">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</sst>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topLeftCell="A10" workbookViewId="0">
      <selection activeCell="H39" sqref="H39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2026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2026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2026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2026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2026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2026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2026</v>
      </c>
      <c r="E8" s="96">
        <f>IF('Janauary 2026'!C8&lt;0,"0",'Janauary 2026'!C8)+(IF('Janauary 2026'!E8&lt;0,"0",'Janauary 2026'!E8)-(IF('Janauary 2026'!G8&lt;0,"0",'Janauary 2026'!G8)))</f>
        <v>4008</v>
      </c>
      <c r="F8" s="110">
        <f>('Janauary 2026'!C8*0.27)/('Janauary 2026'!C8+'Janauary 2026'!E8)</f>
        <v>0.23618263473053897</v>
      </c>
      <c r="G8" s="97">
        <f>'Janauary 2026'!U8</f>
        <v>100</v>
      </c>
      <c r="H8" s="113">
        <v>0.62</v>
      </c>
      <c r="I8" s="98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49</v>
      </c>
      <c r="P8" s="100">
        <f>'Janauary 2026'!AD8</f>
        <v>91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2026</v>
      </c>
      <c r="E9" s="96">
        <f>IF('Janauary 2026'!C9&lt;0,"0",'Janauary 2026'!C9)+(IF('Janauary 2026'!E9&lt;0,"0",'Janauary 2026'!E9)-(IF('Janauary 2026'!G9&lt;0,"0",'Janauary 2026'!G9)))</f>
        <v>4251</v>
      </c>
      <c r="F9" s="110">
        <f>('Janauary 2026'!C9*0.27)/('Janauary 2026'!C9+'Janauary 2026'!E9)</f>
        <v>0.24770642201834864</v>
      </c>
      <c r="G9" s="97">
        <f>'Janauary 2026'!U9</f>
        <v>100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50</v>
      </c>
      <c r="P9" s="100">
        <f>'Janauary 2026'!AD9</f>
        <v>88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2026</v>
      </c>
      <c r="E10" s="96">
        <f>IF('Janauary 2026'!C10&lt;0,"0",'Janauary 2026'!C10)+(IF('Janauary 2026'!E10&lt;0,"0",'Janauary 2026'!E10)-(IF('Janauary 2026'!G10&lt;0,"0",'Janauary 2026'!G10)))</f>
        <v>4437</v>
      </c>
      <c r="F10" s="110">
        <f>('Janauary 2026'!C10*0.27)/('Janauary 2026'!C10+'Janauary 2026'!E10)</f>
        <v>0.24328600405679515</v>
      </c>
      <c r="G10" s="97">
        <f>'Janauary 2026'!U10</f>
        <v>100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59</v>
      </c>
      <c r="P10" s="100">
        <f>'Janauary 2026'!AD10</f>
        <v>107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2026</v>
      </c>
      <c r="E11" s="96">
        <f>IF('Janauary 2026'!C11&lt;0,"0",'Janauary 2026'!C11)+(IF('Janauary 2026'!E11&lt;0,"0",'Janauary 2026'!E11)-(IF('Janauary 2026'!G11&lt;0,"0",'Janauary 2026'!G11)))</f>
        <v>4154</v>
      </c>
      <c r="F11" s="110">
        <f>('Janauary 2026'!C11*0.27)/('Janauary 2026'!C11+'Janauary 2026'!E11)</f>
        <v>0.24777082330284064</v>
      </c>
      <c r="G11" s="97">
        <f>'Janauary 2026'!U11</f>
        <v>50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53</v>
      </c>
      <c r="P11" s="100">
        <f>'Janauary 2026'!AD11</f>
        <v>89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2026</v>
      </c>
      <c r="E12" s="96">
        <f>IF('Janauary 2026'!C12&lt;0,"0",'Janauary 2026'!C12)+(IF('Janauary 2026'!E12&lt;0,"0",'Janauary 2026'!E12)-(IF('Janauary 2026'!G12&lt;0,"0",'Janauary 2026'!G12)))</f>
        <v>4055</v>
      </c>
      <c r="F12" s="110">
        <f>('Janauary 2026'!C12*0.27)/('Janauary 2026'!C12+'Janauary 2026'!E12)</f>
        <v>0.22658692971639952</v>
      </c>
      <c r="G12" s="97">
        <f>'Janauary 2026'!U12</f>
        <v>25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54</v>
      </c>
      <c r="P12" s="100">
        <f>'Janauary 2026'!AD12</f>
        <v>70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2026</v>
      </c>
      <c r="E13" s="96">
        <f>IF('Janauary 2026'!C13&lt;0,"0",'Janauary 2026'!C13)+(IF('Janauary 2026'!E13&lt;0,"0",'Janauary 2026'!E13)-(IF('Janauary 2026'!G13&lt;0,"0",'Janauary 2026'!G13)))</f>
        <v>4129</v>
      </c>
      <c r="F13" s="110">
        <f>('Janauary 2026'!C13*0.27)/('Janauary 2026'!C13+'Janauary 2026'!E13)</f>
        <v>0.25410995398401548</v>
      </c>
      <c r="G13" s="97">
        <f>'Janauary 2026'!U13</f>
        <v>50</v>
      </c>
      <c r="H13" s="113">
        <v>0.62</v>
      </c>
      <c r="I13" s="98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73</v>
      </c>
      <c r="P13" s="100">
        <f>'Janauary 2026'!AD13</f>
        <v>88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2026</v>
      </c>
      <c r="E14" s="96">
        <f>IF('Janauary 2026'!C14&lt;0,"0",'Janauary 2026'!C14)+(IF('Janauary 2026'!E14&lt;0,"0",'Janauary 2026'!E14)-(IF('Janauary 2026'!G14&lt;0,"0",'Janauary 2026'!G14)))</f>
        <v>3759</v>
      </c>
      <c r="F14" s="110">
        <f>('Janauary 2026'!C14*0.27)/('Janauary 2026'!C14+'Janauary 2026'!E14)</f>
        <v>0.23882681564245814</v>
      </c>
      <c r="G14" s="97">
        <f>'Janauary 2026'!U14</f>
        <v>75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48</v>
      </c>
      <c r="P14" s="100">
        <f>'Janauary 2026'!AD14</f>
        <v>61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2026</v>
      </c>
      <c r="E15" s="96">
        <f>IF('Janauary 2026'!C15&lt;0,"0",'Janauary 2026'!C15)+(IF('Janauary 2026'!E15&lt;0,"0",'Janauary 2026'!E15)-(IF('Janauary 2026'!G15&lt;0,"0",'Janauary 2026'!G15)))</f>
        <v>3542</v>
      </c>
      <c r="F15" s="110">
        <f>('Janauary 2026'!C15*0.27)/('Janauary 2026'!C15+'Janauary 2026'!E15)</f>
        <v>0.21069452286843593</v>
      </c>
      <c r="G15" s="97">
        <f>'Janauary 2026'!U15</f>
        <v>50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18</v>
      </c>
      <c r="P15" s="100">
        <f>'Janauary 2026'!AD15</f>
        <v>23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2026</v>
      </c>
      <c r="E16" s="96">
        <f>IF('Janauary 2026'!C16&lt;0,"0",'Janauary 2026'!C16)+(IF('Janauary 2026'!E16&lt;0,"0",'Janauary 2026'!E16)-(IF('Janauary 2026'!G16&lt;0,"0",'Janauary 2026'!G16)))</f>
        <v>2452</v>
      </c>
      <c r="F16" s="110">
        <f>('Janauary 2026'!C16*0.27)/('Janauary 2026'!C16+'Janauary 2026'!E16)</f>
        <v>0.19303017944535075</v>
      </c>
      <c r="G16" s="97">
        <f>'Janauary 2026'!U16</f>
        <v>125</v>
      </c>
      <c r="H16" s="113">
        <v>0.62</v>
      </c>
      <c r="I16" s="98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2026</v>
      </c>
      <c r="E17" s="96">
        <f>IF('Janauary 2026'!C17&lt;0,"0",'Janauary 2026'!C17)+(IF('Janauary 2026'!E17&lt;0,"0",'Janauary 2026'!E17)-(IF('Janauary 2026'!G17&lt;0,"0",'Janauary 2026'!G17)))</f>
        <v>1565</v>
      </c>
      <c r="F17" s="110">
        <f>('Janauary 2026'!C17*0.27)/('Janauary 2026'!C17+'Janauary 2026'!E17)</f>
        <v>0.22773162939297126</v>
      </c>
      <c r="G17" s="97">
        <f>'Janauary 2026'!U17</f>
        <v>15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2026</v>
      </c>
      <c r="E18" s="96">
        <f>IF('Janauary 2026'!C18&lt;0,"0",'Janauary 2026'!C18)+(IF('Janauary 2026'!E18&lt;0,"0",'Janauary 2026'!E18)-(IF('Janauary 2026'!G18&lt;0,"0",'Janauary 2026'!G18)))</f>
        <v>1534</v>
      </c>
      <c r="F18" s="110">
        <f>('Janauary 2026'!C18*0.27)/('Janauary 2026'!C18+'Janauary 2026'!E18)</f>
        <v>0.18586701434159061</v>
      </c>
      <c r="G18" s="97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2026</v>
      </c>
      <c r="E19" s="96">
        <f>IF('Janauary 2026'!C19&lt;0,"0",'Janauary 2026'!C19)+(IF('Janauary 2026'!E19&lt;0,"0",'Janauary 2026'!E19)-(IF('Janauary 2026'!G19&lt;0,"0",'Janauary 2026'!G19)))</f>
        <v>1609</v>
      </c>
      <c r="F19" s="110">
        <f>('Janauary 2026'!C19*0.27)/('Janauary 2026'!C19+'Janauary 2026'!E19)</f>
        <v>0.19499067743940335</v>
      </c>
      <c r="G19" s="97">
        <f>'Janauary 2026'!U19</f>
        <v>50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2026</v>
      </c>
      <c r="E20" s="96">
        <f>IF('Janauary 2026'!C20&lt;0,"0",'Janauary 2026'!C20)+(IF('Janauary 2026'!E20&lt;0,"0",'Janauary 2026'!E20)-(IF('Janauary 2026'!G20&lt;0,"0",'Janauary 2026'!G20)))</f>
        <v>0</v>
      </c>
      <c r="F20" s="110" t="e">
        <f>('Janauary 2026'!C20*0.27)/('Janauary 2026'!C20+'Janauary 2026'!E20)</f>
        <v>#DIV/0!</v>
      </c>
      <c r="G20" s="97" t="str">
        <f>'Janauary 2026'!U20</f>
        <v>0</v>
      </c>
      <c r="H20" s="113">
        <v>0.62</v>
      </c>
      <c r="I20" s="98" t="str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2026</v>
      </c>
      <c r="E21" s="96">
        <f>IF('Janauary 2026'!C21&lt;0,"0",'Janauary 2026'!C21)+(IF('Janauary 2026'!E21&lt;0,"0",'Janauary 2026'!E21)-(IF('Janauary 2026'!G21&lt;0,"0",'Janauary 2026'!G21)))</f>
        <v>0</v>
      </c>
      <c r="F21" s="110" t="e">
        <f>('Janauary 2026'!C21*0.27)/('Janauary 2026'!C21+'Janauary 2026'!E21)</f>
        <v>#DIV/0!</v>
      </c>
      <c r="G21" s="97" t="str">
        <f>'Janauary 2026'!U21</f>
        <v>0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2026</v>
      </c>
      <c r="E22" s="96">
        <f>IF('Janauary 2026'!C22&lt;0,"0",'Janauary 2026'!C22)+(IF('Janauary 2026'!E22&lt;0,"0",'Janauary 2026'!E22)-(IF('Janauary 2026'!G22&lt;0,"0",'Janauary 2026'!G22)))</f>
        <v>0</v>
      </c>
      <c r="F22" s="110" t="e">
        <f>('Janauary 2026'!C22*0.27)/('Janauary 2026'!C22+'Janauary 2026'!E22)</f>
        <v>#DIV/0!</v>
      </c>
      <c r="G22" s="97" t="str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2026</v>
      </c>
      <c r="E23" s="96">
        <f>IF('Janauary 2026'!C23&lt;0,"0",'Janauary 2026'!C23)+(IF('Janauary 2026'!E23&lt;0,"0",'Janauary 2026'!E23)-(IF('Janauary 2026'!G23&lt;0,"0",'Janauary 2026'!G23)))</f>
        <v>0</v>
      </c>
      <c r="F23" s="110" t="e">
        <f>('Janauary 2026'!C23*0.27)/('Janauary 2026'!C23+'Janauary 2026'!E23)</f>
        <v>#DIV/0!</v>
      </c>
      <c r="G23" s="97" t="str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2026</v>
      </c>
      <c r="E24" s="96">
        <f>IF('Janauary 2026'!C24&lt;0,"0",'Janauary 2026'!C24)+(IF('Janauary 2026'!E24&lt;0,"0",'Janauary 2026'!E24)-(IF('Janauary 2026'!G24&lt;0,"0",'Janauary 2026'!G24)))</f>
        <v>0</v>
      </c>
      <c r="F24" s="110" t="e">
        <f>('Janauary 2026'!C24*0.27)/('Janauary 2026'!C24+'Janauary 2026'!E24)</f>
        <v>#DIV/0!</v>
      </c>
      <c r="G24" s="97" t="str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2026</v>
      </c>
      <c r="E25" s="96">
        <f>IF('Janauary 2026'!C25&lt;0,"0",'Janauary 2026'!C25)+(IF('Janauary 2026'!E25&lt;0,"0",'Janauary 2026'!E25)-(IF('Janauary 2026'!G25&lt;0,"0",'Janauary 2026'!G25)))</f>
        <v>0</v>
      </c>
      <c r="F25" s="110" t="e">
        <f>('Janauary 2026'!C25*0.27)/('Janauary 2026'!C25+'Janauary 2026'!E25)</f>
        <v>#DIV/0!</v>
      </c>
      <c r="G25" s="97" t="str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2026</v>
      </c>
      <c r="E26" s="96">
        <f>IF('Janauary 2026'!C26&lt;0,"0",'Janauary 2026'!C26)+(IF('Janauary 2026'!E26&lt;0,"0",'Janauary 2026'!E26)-(IF('Janauary 2026'!G26&lt;0,"0",'Janauary 2026'!G26)))</f>
        <v>0</v>
      </c>
      <c r="F26" s="110" t="e">
        <f>('Janauary 2026'!C26*0.27)/('Janauary 2026'!C26+'Janauary 2026'!E26)</f>
        <v>#DIV/0!</v>
      </c>
      <c r="G26" s="97" t="str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2026</v>
      </c>
      <c r="E27" s="96">
        <f>IF('Janauary 2026'!C27&lt;0,"0",'Janauary 2026'!C27)+(IF('Janauary 2026'!E27&lt;0,"0",'Janauary 2026'!E27)-(IF('Janauary 2026'!G27&lt;0,"0",'Janauary 2026'!G27)))</f>
        <v>0</v>
      </c>
      <c r="F27" s="110" t="e">
        <f>('Janauary 2026'!C27*0.27)/('Janauary 2026'!C27+'Janauary 2026'!E27)</f>
        <v>#DIV/0!</v>
      </c>
      <c r="G27" s="97" t="str">
        <f>'Janauary 2026'!U27</f>
        <v>0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2026</v>
      </c>
      <c r="E28" s="96">
        <f>IF('Janauary 2026'!C28&lt;0,"0",'Janauary 2026'!C28)+(IF('Janauary 2026'!E28&lt;0,"0",'Janauary 2026'!E28)-(IF('Janauary 2026'!G28&lt;0,"0",'Janauary 2026'!G28)))</f>
        <v>0</v>
      </c>
      <c r="F28" s="110" t="e">
        <f>('Janauary 2026'!C28*0.27)/('Janauary 2026'!C28+'Janauary 2026'!E28)</f>
        <v>#DIV/0!</v>
      </c>
      <c r="G28" s="97" t="str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2026</v>
      </c>
      <c r="E29" s="96">
        <f>IF('Janauary 2026'!C29&lt;0,"0",'Janauary 2026'!C29)+(IF('Janauary 2026'!E29&lt;0,"0",'Janauary 2026'!E29)-(IF('Janauary 2026'!G29&lt;0,"0",'Janauary 2026'!G29)))</f>
        <v>0</v>
      </c>
      <c r="F29" s="110" t="e">
        <f>('Janauary 2026'!C29*0.27)/('Janauary 2026'!C29+'Janauary 2026'!E29)</f>
        <v>#DIV/0!</v>
      </c>
      <c r="G29" s="97" t="str">
        <f>'Janauary 2026'!U29</f>
        <v>0</v>
      </c>
      <c r="H29" s="113">
        <v>0.62</v>
      </c>
      <c r="I29" s="98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2026</v>
      </c>
      <c r="E30" s="96">
        <f>IF('Janauary 2026'!C30&lt;0,"0",'Janauary 2026'!C30)+(IF('Janauary 2026'!E30&lt;0,"0",'Janauary 2026'!E30)-(IF('Janauary 2026'!G30&lt;0,"0",'Janauary 2026'!G30)))</f>
        <v>0</v>
      </c>
      <c r="F30" s="110" t="e">
        <f>('Janauary 2026'!C30*0.27)/('Janauary 2026'!C30+'Janauary 2026'!E30)</f>
        <v>#DIV/0!</v>
      </c>
      <c r="G30" s="97" t="str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2026</v>
      </c>
      <c r="E31" s="96">
        <f>IF('Janauary 2026'!C32&lt;0,"0",'Janauary 2026'!C32)+(IF('Janauary 2026'!E32&lt;0,"0",'Janauary 2026'!E32)-(IF('Janauary 2026'!G32&lt;0,"0",'Janauary 2026'!G32)))</f>
        <v>0</v>
      </c>
      <c r="F31" s="110" t="e">
        <f>('Janauary 2026'!C32*0.27)/('Janauary 2026'!C32+'Janauary 2026'!E32)</f>
        <v>#DIV/0!</v>
      </c>
      <c r="G31" s="97" t="str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2026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A9" zoomScale="115" zoomScaleNormal="115" workbookViewId="0">
      <selection activeCell="B21" sqref="B21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-49.990000000005239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>
        <f t="shared" si="2"/>
        <v>3506</v>
      </c>
      <c r="D8" s="11">
        <v>1012258</v>
      </c>
      <c r="E8" s="14">
        <f t="shared" si="3"/>
        <v>502</v>
      </c>
      <c r="F8" s="27">
        <v>1704</v>
      </c>
      <c r="G8" s="67">
        <f t="shared" si="4"/>
        <v>0</v>
      </c>
      <c r="H8" s="69">
        <f t="shared" si="5"/>
        <v>4008</v>
      </c>
      <c r="I8" s="73">
        <f t="shared" si="6"/>
        <v>-42022</v>
      </c>
      <c r="J8" s="32">
        <f t="shared" si="0"/>
        <v>242.01000000000204</v>
      </c>
      <c r="K8" s="20">
        <f t="shared" si="7"/>
        <v>46029</v>
      </c>
      <c r="L8" s="33">
        <v>8916</v>
      </c>
      <c r="M8" s="31">
        <v>0</v>
      </c>
      <c r="N8" s="32">
        <f t="shared" si="8"/>
        <v>476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>
        <f t="shared" si="10"/>
        <v>100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49</v>
      </c>
      <c r="AD8" s="18">
        <v>91</v>
      </c>
    </row>
    <row r="9" spans="1:30" ht="20.65" customHeight="1" x14ac:dyDescent="0.2">
      <c r="A9" s="19">
        <v>46030</v>
      </c>
      <c r="B9" s="10">
        <v>1553131</v>
      </c>
      <c r="C9" s="14">
        <f t="shared" si="2"/>
        <v>3900</v>
      </c>
      <c r="D9" s="11">
        <v>1012760</v>
      </c>
      <c r="E9" s="14">
        <f t="shared" si="3"/>
        <v>351</v>
      </c>
      <c r="F9" s="27">
        <v>1704</v>
      </c>
      <c r="G9" s="67">
        <f t="shared" si="4"/>
        <v>0</v>
      </c>
      <c r="H9" s="69">
        <f t="shared" si="5"/>
        <v>4251</v>
      </c>
      <c r="I9" s="73">
        <f t="shared" si="6"/>
        <v>-41779.99</v>
      </c>
      <c r="J9" s="32">
        <f t="shared" si="0"/>
        <v>185.02999999999884</v>
      </c>
      <c r="K9" s="20">
        <f t="shared" si="7"/>
        <v>46030</v>
      </c>
      <c r="L9" s="33">
        <v>8440</v>
      </c>
      <c r="M9" s="31">
        <v>0</v>
      </c>
      <c r="N9" s="32">
        <f t="shared" si="8"/>
        <v>458</v>
      </c>
      <c r="O9" s="85">
        <v>0.79</v>
      </c>
      <c r="P9" s="86">
        <v>0.77</v>
      </c>
      <c r="Q9" s="85">
        <v>0.2</v>
      </c>
      <c r="R9" s="86">
        <v>0.33</v>
      </c>
      <c r="S9" s="38">
        <f t="shared" si="9"/>
        <v>4165</v>
      </c>
      <c r="T9" s="123"/>
      <c r="U9" s="32">
        <f t="shared" si="10"/>
        <v>100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50</v>
      </c>
      <c r="AD9" s="18">
        <v>88</v>
      </c>
    </row>
    <row r="10" spans="1:30" ht="20.65" customHeight="1" x14ac:dyDescent="0.2">
      <c r="A10" s="19">
        <v>46031</v>
      </c>
      <c r="B10" s="10">
        <v>1557031</v>
      </c>
      <c r="C10" s="14">
        <f t="shared" si="2"/>
        <v>3998</v>
      </c>
      <c r="D10" s="11">
        <v>1013111</v>
      </c>
      <c r="E10" s="14">
        <f t="shared" si="3"/>
        <v>439</v>
      </c>
      <c r="F10" s="27">
        <v>1704</v>
      </c>
      <c r="G10" s="67">
        <f t="shared" si="4"/>
        <v>0</v>
      </c>
      <c r="H10" s="69">
        <f t="shared" si="5"/>
        <v>4437</v>
      </c>
      <c r="I10" s="73">
        <f t="shared" si="6"/>
        <v>-41594.959999999999</v>
      </c>
      <c r="J10" s="32">
        <f t="shared" si="0"/>
        <v>-283.97999999999593</v>
      </c>
      <c r="K10" s="20">
        <f t="shared" si="7"/>
        <v>46031</v>
      </c>
      <c r="L10" s="33">
        <v>7982</v>
      </c>
      <c r="M10" s="31">
        <v>0</v>
      </c>
      <c r="N10" s="32">
        <f t="shared" si="8"/>
        <v>547</v>
      </c>
      <c r="O10" s="85">
        <v>0.76</v>
      </c>
      <c r="P10" s="86">
        <v>0.76</v>
      </c>
      <c r="Q10" s="85">
        <v>0.2</v>
      </c>
      <c r="R10" s="86">
        <v>0.33</v>
      </c>
      <c r="S10" s="38">
        <f t="shared" si="9"/>
        <v>4065</v>
      </c>
      <c r="T10" s="123"/>
      <c r="U10" s="32">
        <f t="shared" si="10"/>
        <v>100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59</v>
      </c>
      <c r="AD10" s="18">
        <v>107</v>
      </c>
    </row>
    <row r="11" spans="1:30" ht="20.65" customHeight="1" x14ac:dyDescent="0.2">
      <c r="A11" s="19">
        <v>46032</v>
      </c>
      <c r="B11" s="10">
        <v>1561029</v>
      </c>
      <c r="C11" s="14">
        <f t="shared" si="2"/>
        <v>3812</v>
      </c>
      <c r="D11" s="11">
        <v>1013550</v>
      </c>
      <c r="E11" s="14">
        <f t="shared" si="3"/>
        <v>342</v>
      </c>
      <c r="F11" s="27">
        <v>1704</v>
      </c>
      <c r="G11" s="67">
        <f t="shared" si="4"/>
        <v>0</v>
      </c>
      <c r="H11" s="69">
        <f t="shared" si="5"/>
        <v>4154</v>
      </c>
      <c r="I11" s="73">
        <f t="shared" si="6"/>
        <v>-41878.939999999995</v>
      </c>
      <c r="J11" s="32">
        <f t="shared" si="0"/>
        <v>-99.990000000005239</v>
      </c>
      <c r="K11" s="20">
        <f t="shared" si="7"/>
        <v>46032</v>
      </c>
      <c r="L11" s="33">
        <v>7435</v>
      </c>
      <c r="M11" s="31">
        <v>0</v>
      </c>
      <c r="N11" s="32">
        <f t="shared" si="8"/>
        <v>475</v>
      </c>
      <c r="O11" s="85">
        <v>0.74</v>
      </c>
      <c r="P11" s="86">
        <v>0.74</v>
      </c>
      <c r="Q11" s="85">
        <v>0.2</v>
      </c>
      <c r="R11" s="86">
        <v>0.33</v>
      </c>
      <c r="S11" s="38">
        <f t="shared" si="9"/>
        <v>3965</v>
      </c>
      <c r="T11" s="123"/>
      <c r="U11" s="32">
        <f t="shared" si="10"/>
        <v>50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53</v>
      </c>
      <c r="AD11" s="18">
        <v>89</v>
      </c>
    </row>
    <row r="12" spans="1:30" ht="21.4" customHeight="1" x14ac:dyDescent="0.2">
      <c r="A12" s="19">
        <v>46033</v>
      </c>
      <c r="B12" s="10">
        <v>1564841</v>
      </c>
      <c r="C12" s="14">
        <f t="shared" si="2"/>
        <v>3403</v>
      </c>
      <c r="D12" s="11">
        <v>1013892</v>
      </c>
      <c r="E12" s="14">
        <f t="shared" si="3"/>
        <v>652</v>
      </c>
      <c r="F12" s="27">
        <v>1704</v>
      </c>
      <c r="G12" s="67">
        <f t="shared" si="4"/>
        <v>0</v>
      </c>
      <c r="H12" s="69">
        <f t="shared" si="5"/>
        <v>4055</v>
      </c>
      <c r="I12" s="73">
        <f t="shared" si="6"/>
        <v>-41978.93</v>
      </c>
      <c r="J12" s="32">
        <f t="shared" si="0"/>
        <v>73.010000000002037</v>
      </c>
      <c r="K12" s="20">
        <f t="shared" si="7"/>
        <v>46033</v>
      </c>
      <c r="L12" s="33">
        <v>6960</v>
      </c>
      <c r="M12" s="31">
        <v>0</v>
      </c>
      <c r="N12" s="32">
        <f t="shared" si="8"/>
        <v>498</v>
      </c>
      <c r="O12" s="85">
        <v>0.73</v>
      </c>
      <c r="P12" s="86">
        <v>0.73</v>
      </c>
      <c r="Q12" s="85">
        <v>0.2</v>
      </c>
      <c r="R12" s="86">
        <v>0.33</v>
      </c>
      <c r="S12" s="38">
        <f t="shared" si="9"/>
        <v>3915</v>
      </c>
      <c r="T12" s="123"/>
      <c r="U12" s="32">
        <f t="shared" si="10"/>
        <v>25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54</v>
      </c>
      <c r="AD12" s="18">
        <v>70</v>
      </c>
    </row>
    <row r="13" spans="1:30" ht="20.65" customHeight="1" x14ac:dyDescent="0.2">
      <c r="A13" s="19">
        <v>46034</v>
      </c>
      <c r="B13" s="10">
        <v>1568244</v>
      </c>
      <c r="C13" s="14">
        <f t="shared" si="2"/>
        <v>3886</v>
      </c>
      <c r="D13" s="11">
        <v>1014544</v>
      </c>
      <c r="E13" s="14">
        <f t="shared" si="3"/>
        <v>243</v>
      </c>
      <c r="F13" s="27">
        <v>1704</v>
      </c>
      <c r="G13" s="67">
        <f t="shared" si="4"/>
        <v>0</v>
      </c>
      <c r="H13" s="69">
        <f t="shared" si="5"/>
        <v>4129</v>
      </c>
      <c r="I13" s="73">
        <f t="shared" si="6"/>
        <v>-41905.919999999998</v>
      </c>
      <c r="J13" s="32">
        <f t="shared" si="0"/>
        <v>-371.01000000000204</v>
      </c>
      <c r="K13" s="20">
        <f t="shared" si="7"/>
        <v>46034</v>
      </c>
      <c r="L13" s="33">
        <v>6462</v>
      </c>
      <c r="M13" s="31">
        <v>0</v>
      </c>
      <c r="N13" s="32">
        <f t="shared" si="8"/>
        <v>557</v>
      </c>
      <c r="O13" s="85">
        <v>0.72</v>
      </c>
      <c r="P13" s="86">
        <v>0.73</v>
      </c>
      <c r="Q13" s="85">
        <v>0.2</v>
      </c>
      <c r="R13" s="86">
        <v>0.33</v>
      </c>
      <c r="S13" s="38">
        <f t="shared" si="9"/>
        <v>3890</v>
      </c>
      <c r="T13" s="123"/>
      <c r="U13" s="32">
        <f t="shared" si="10"/>
        <v>50</v>
      </c>
      <c r="V13" s="41">
        <v>40000</v>
      </c>
      <c r="W13" s="32">
        <f t="shared" si="1"/>
        <v>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73</v>
      </c>
      <c r="AD13" s="18">
        <v>88</v>
      </c>
    </row>
    <row r="14" spans="1:30" ht="20.65" customHeight="1" x14ac:dyDescent="0.2">
      <c r="A14" s="19">
        <v>46035</v>
      </c>
      <c r="B14" s="10">
        <v>1572130</v>
      </c>
      <c r="C14" s="14">
        <f t="shared" si="2"/>
        <v>3325</v>
      </c>
      <c r="D14" s="11">
        <v>1014787</v>
      </c>
      <c r="E14" s="14">
        <f t="shared" ref="E14:E32" si="13">IF((D15-D14)&lt;0,"0",D15-D14)</f>
        <v>434</v>
      </c>
      <c r="F14" s="27">
        <v>1704</v>
      </c>
      <c r="G14" s="67">
        <f t="shared" si="4"/>
        <v>0</v>
      </c>
      <c r="H14" s="69">
        <f t="shared" si="5"/>
        <v>3759</v>
      </c>
      <c r="I14" s="73">
        <f t="shared" si="6"/>
        <v>-42276.93</v>
      </c>
      <c r="J14" s="32">
        <f t="shared" si="0"/>
        <v>-217.96999999999389</v>
      </c>
      <c r="K14" s="20">
        <f t="shared" si="7"/>
        <v>46035</v>
      </c>
      <c r="L14" s="33">
        <v>5905</v>
      </c>
      <c r="M14" s="31">
        <v>0</v>
      </c>
      <c r="N14" s="32">
        <f t="shared" si="8"/>
        <v>521</v>
      </c>
      <c r="O14" s="85">
        <v>0.73</v>
      </c>
      <c r="P14" s="86">
        <v>0.7</v>
      </c>
      <c r="Q14" s="85">
        <v>0.2</v>
      </c>
      <c r="R14" s="86">
        <v>0.33</v>
      </c>
      <c r="S14" s="38">
        <f t="shared" si="9"/>
        <v>3840</v>
      </c>
      <c r="T14" s="123"/>
      <c r="U14" s="32">
        <f t="shared" si="10"/>
        <v>75</v>
      </c>
      <c r="V14" s="41">
        <v>40000</v>
      </c>
      <c r="W14" s="32">
        <f t="shared" si="1"/>
        <v>0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48</v>
      </c>
      <c r="AD14" s="18">
        <v>61</v>
      </c>
    </row>
    <row r="15" spans="1:30" ht="20.65" customHeight="1" x14ac:dyDescent="0.2">
      <c r="A15" s="19">
        <v>46036</v>
      </c>
      <c r="B15" s="10">
        <v>1575455</v>
      </c>
      <c r="C15" s="14">
        <f t="shared" si="2"/>
        <v>2764</v>
      </c>
      <c r="D15" s="11">
        <v>1015221</v>
      </c>
      <c r="E15" s="14">
        <f t="shared" si="13"/>
        <v>778</v>
      </c>
      <c r="F15" s="27">
        <v>1704</v>
      </c>
      <c r="G15" s="67">
        <f t="shared" si="4"/>
        <v>0</v>
      </c>
      <c r="H15" s="69">
        <f t="shared" si="5"/>
        <v>3542</v>
      </c>
      <c r="I15" s="73">
        <f t="shared" si="6"/>
        <v>-42494.899999999994</v>
      </c>
      <c r="J15" s="32">
        <f t="shared" si="0"/>
        <v>-1091</v>
      </c>
      <c r="K15" s="20">
        <f t="shared" si="7"/>
        <v>46036</v>
      </c>
      <c r="L15" s="33">
        <v>5384</v>
      </c>
      <c r="M15" s="31">
        <v>0</v>
      </c>
      <c r="N15" s="32">
        <f t="shared" si="8"/>
        <v>498</v>
      </c>
      <c r="O15" s="85">
        <v>0.7</v>
      </c>
      <c r="P15" s="86">
        <v>0.7</v>
      </c>
      <c r="Q15" s="85">
        <v>0.2</v>
      </c>
      <c r="R15" s="86">
        <v>0.33</v>
      </c>
      <c r="S15" s="38">
        <f t="shared" si="9"/>
        <v>3765</v>
      </c>
      <c r="T15" s="123"/>
      <c r="U15" s="32">
        <f t="shared" si="10"/>
        <v>50</v>
      </c>
      <c r="V15" s="41">
        <v>40000</v>
      </c>
      <c r="W15" s="32">
        <f t="shared" si="1"/>
        <v>0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18</v>
      </c>
      <c r="AD15" s="18">
        <v>23</v>
      </c>
    </row>
    <row r="16" spans="1:30" ht="20.65" customHeight="1" x14ac:dyDescent="0.2">
      <c r="A16" s="19">
        <v>46037</v>
      </c>
      <c r="B16" s="10">
        <v>1578219</v>
      </c>
      <c r="C16" s="14">
        <f t="shared" si="2"/>
        <v>1753</v>
      </c>
      <c r="D16" s="11">
        <v>1015999</v>
      </c>
      <c r="E16" s="14">
        <f t="shared" si="13"/>
        <v>699</v>
      </c>
      <c r="F16" s="27">
        <v>1704</v>
      </c>
      <c r="G16" s="67">
        <f t="shared" si="4"/>
        <v>0</v>
      </c>
      <c r="H16" s="69">
        <f t="shared" si="5"/>
        <v>2452</v>
      </c>
      <c r="I16" s="73">
        <f t="shared" si="6"/>
        <v>-43585.899999999994</v>
      </c>
      <c r="J16" s="32">
        <f t="shared" si="0"/>
        <v>-887.97000000000116</v>
      </c>
      <c r="K16" s="20">
        <f t="shared" si="7"/>
        <v>46037</v>
      </c>
      <c r="L16" s="33">
        <v>4886</v>
      </c>
      <c r="M16" s="31">
        <v>0</v>
      </c>
      <c r="N16" s="32">
        <f t="shared" si="8"/>
        <v>264</v>
      </c>
      <c r="O16" s="85">
        <v>0.7</v>
      </c>
      <c r="P16" s="86">
        <v>0.68</v>
      </c>
      <c r="Q16" s="85">
        <v>0.2</v>
      </c>
      <c r="R16" s="86">
        <v>0.33</v>
      </c>
      <c r="S16" s="38">
        <f t="shared" si="9"/>
        <v>3715</v>
      </c>
      <c r="T16" s="123"/>
      <c r="U16" s="32">
        <f t="shared" si="10"/>
        <v>125</v>
      </c>
      <c r="V16" s="41">
        <v>40000</v>
      </c>
      <c r="W16" s="32">
        <f t="shared" si="1"/>
        <v>0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0</v>
      </c>
      <c r="AD16" s="18">
        <v>0</v>
      </c>
    </row>
    <row r="17" spans="1:30" ht="20.65" customHeight="1" x14ac:dyDescent="0.2">
      <c r="A17" s="19">
        <v>46038</v>
      </c>
      <c r="B17" s="10">
        <v>1579972</v>
      </c>
      <c r="C17" s="14">
        <f t="shared" si="2"/>
        <v>1320</v>
      </c>
      <c r="D17" s="11">
        <v>1016698</v>
      </c>
      <c r="E17" s="14">
        <f t="shared" si="13"/>
        <v>245</v>
      </c>
      <c r="F17" s="27">
        <v>1704</v>
      </c>
      <c r="G17" s="67">
        <f t="shared" si="4"/>
        <v>0</v>
      </c>
      <c r="H17" s="69">
        <f t="shared" si="5"/>
        <v>1565</v>
      </c>
      <c r="I17" s="73">
        <f t="shared" si="6"/>
        <v>-44473.869999999995</v>
      </c>
      <c r="J17" s="32">
        <f t="shared" si="0"/>
        <v>-32</v>
      </c>
      <c r="K17" s="20">
        <f t="shared" si="7"/>
        <v>46038</v>
      </c>
      <c r="L17" s="33">
        <v>4622</v>
      </c>
      <c r="M17" s="31">
        <v>0</v>
      </c>
      <c r="N17" s="32">
        <f t="shared" si="8"/>
        <v>0</v>
      </c>
      <c r="O17" s="85">
        <v>0.67</v>
      </c>
      <c r="P17" s="86">
        <v>0.66</v>
      </c>
      <c r="Q17" s="85">
        <v>0.2</v>
      </c>
      <c r="R17" s="86">
        <v>0.33</v>
      </c>
      <c r="S17" s="38">
        <f t="shared" si="9"/>
        <v>3590</v>
      </c>
      <c r="T17" s="123"/>
      <c r="U17" s="32">
        <f t="shared" si="10"/>
        <v>15</v>
      </c>
      <c r="V17" s="41">
        <v>40000</v>
      </c>
      <c r="W17" s="32">
        <f t="shared" si="1"/>
        <v>0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0</v>
      </c>
      <c r="AD17" s="18">
        <v>0</v>
      </c>
    </row>
    <row r="18" spans="1:30" ht="20.65" customHeight="1" x14ac:dyDescent="0.2">
      <c r="A18" s="19">
        <v>46039</v>
      </c>
      <c r="B18" s="10">
        <v>1581292</v>
      </c>
      <c r="C18" s="14">
        <f t="shared" si="2"/>
        <v>1056</v>
      </c>
      <c r="D18" s="11">
        <v>1016943</v>
      </c>
      <c r="E18" s="14">
        <f t="shared" si="13"/>
        <v>478</v>
      </c>
      <c r="F18" s="27">
        <v>1704</v>
      </c>
      <c r="G18" s="67">
        <f t="shared" si="4"/>
        <v>0</v>
      </c>
      <c r="H18" s="69">
        <f t="shared" si="5"/>
        <v>1534</v>
      </c>
      <c r="I18" s="73">
        <f t="shared" si="6"/>
        <v>-44505.869999999995</v>
      </c>
      <c r="J18" s="32">
        <f t="shared" si="0"/>
        <v>74</v>
      </c>
      <c r="K18" s="20">
        <f t="shared" si="7"/>
        <v>46039</v>
      </c>
      <c r="L18" s="33">
        <v>4622</v>
      </c>
      <c r="M18" s="31">
        <v>0</v>
      </c>
      <c r="N18" s="32">
        <f t="shared" si="8"/>
        <v>0</v>
      </c>
      <c r="O18" s="85">
        <v>0.67</v>
      </c>
      <c r="P18" s="86">
        <v>0.66</v>
      </c>
      <c r="Q18" s="85">
        <v>0.2</v>
      </c>
      <c r="R18" s="86">
        <v>0.3</v>
      </c>
      <c r="S18" s="38">
        <f t="shared" si="9"/>
        <v>3575</v>
      </c>
      <c r="T18" s="123"/>
      <c r="U18" s="32">
        <f t="shared" si="10"/>
        <v>0</v>
      </c>
      <c r="V18" s="41">
        <v>40000</v>
      </c>
      <c r="W18" s="32">
        <f t="shared" si="1"/>
        <v>0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0</v>
      </c>
      <c r="AD18" s="18">
        <v>0</v>
      </c>
    </row>
    <row r="19" spans="1:30" ht="20.65" customHeight="1" x14ac:dyDescent="0.2">
      <c r="A19" s="19">
        <v>46040</v>
      </c>
      <c r="B19" s="10">
        <v>1582348</v>
      </c>
      <c r="C19" s="14">
        <f t="shared" si="2"/>
        <v>1162</v>
      </c>
      <c r="D19" s="11">
        <v>1017421</v>
      </c>
      <c r="E19" s="14">
        <f t="shared" si="13"/>
        <v>447</v>
      </c>
      <c r="F19" s="27">
        <v>1704</v>
      </c>
      <c r="G19" s="67">
        <f t="shared" si="4"/>
        <v>0</v>
      </c>
      <c r="H19" s="69">
        <f t="shared" si="5"/>
        <v>1609</v>
      </c>
      <c r="I19" s="73">
        <f t="shared" si="6"/>
        <v>-44431.869999999995</v>
      </c>
      <c r="J19" s="32">
        <f t="shared" si="0"/>
        <v>-1609.9800000000032</v>
      </c>
      <c r="K19" s="20">
        <f t="shared" si="7"/>
        <v>46040</v>
      </c>
      <c r="L19" s="33">
        <v>4622</v>
      </c>
      <c r="M19" s="34">
        <v>0</v>
      </c>
      <c r="N19" s="32">
        <f t="shared" si="8"/>
        <v>0</v>
      </c>
      <c r="O19" s="85">
        <v>0.67</v>
      </c>
      <c r="P19" s="86">
        <v>0.66</v>
      </c>
      <c r="Q19" s="85">
        <v>0.2</v>
      </c>
      <c r="R19" s="86">
        <v>0.3</v>
      </c>
      <c r="S19" s="38">
        <f t="shared" si="9"/>
        <v>3575</v>
      </c>
      <c r="T19" s="123"/>
      <c r="U19" s="32">
        <f t="shared" si="10"/>
        <v>50</v>
      </c>
      <c r="V19" s="41">
        <v>40000</v>
      </c>
      <c r="W19" s="32">
        <f t="shared" si="1"/>
        <v>0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0</v>
      </c>
      <c r="AD19" s="18">
        <v>0</v>
      </c>
    </row>
    <row r="20" spans="1:30" ht="20.65" customHeight="1" x14ac:dyDescent="0.2">
      <c r="A20" s="19">
        <v>46041</v>
      </c>
      <c r="B20" s="10">
        <v>1583510</v>
      </c>
      <c r="C20" s="14" t="str">
        <f t="shared" si="2"/>
        <v>0</v>
      </c>
      <c r="D20" s="11">
        <v>1017868</v>
      </c>
      <c r="E20" s="14" t="str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-46041.85</v>
      </c>
      <c r="J20" s="32">
        <f t="shared" si="0"/>
        <v>-0.15000000000145519</v>
      </c>
      <c r="K20" s="20">
        <f t="shared" si="7"/>
        <v>46041</v>
      </c>
      <c r="L20" s="33">
        <v>4622</v>
      </c>
      <c r="M20" s="34">
        <v>0</v>
      </c>
      <c r="N20" s="32" t="str">
        <f t="shared" si="8"/>
        <v>0</v>
      </c>
      <c r="O20" s="85">
        <v>0.65</v>
      </c>
      <c r="P20" s="86">
        <v>0.66</v>
      </c>
      <c r="Q20" s="85">
        <v>0.2</v>
      </c>
      <c r="R20" s="86">
        <v>0.3</v>
      </c>
      <c r="S20" s="38">
        <f t="shared" si="9"/>
        <v>3525</v>
      </c>
      <c r="T20" s="123"/>
      <c r="U20" s="32" t="str">
        <f t="shared" si="10"/>
        <v>0</v>
      </c>
      <c r="V20" s="41">
        <v>40000</v>
      </c>
      <c r="W20" s="32" t="str">
        <f t="shared" si="1"/>
        <v>0</v>
      </c>
      <c r="X20" s="44">
        <v>61265</v>
      </c>
      <c r="Y20" s="14" t="str">
        <f t="shared" si="11"/>
        <v>0</v>
      </c>
      <c r="Z20" s="47">
        <v>2405</v>
      </c>
      <c r="AA20" s="52"/>
      <c r="AB20" s="32" t="str">
        <f t="shared" si="12"/>
        <v>0</v>
      </c>
      <c r="AC20" s="13">
        <v>0</v>
      </c>
      <c r="AD20" s="18">
        <v>0</v>
      </c>
    </row>
    <row r="21" spans="1:30" ht="20.65" customHeight="1" x14ac:dyDescent="0.2">
      <c r="A21" s="19">
        <v>46042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-46042</v>
      </c>
      <c r="J21" s="32">
        <f t="shared" si="0"/>
        <v>-1</v>
      </c>
      <c r="K21" s="20">
        <f t="shared" si="7"/>
        <v>46042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46043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-46043</v>
      </c>
      <c r="J22" s="32">
        <f t="shared" si="0"/>
        <v>-1</v>
      </c>
      <c r="K22" s="20">
        <f t="shared" si="7"/>
        <v>46043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46044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-46044</v>
      </c>
      <c r="J23" s="32">
        <f t="shared" si="0"/>
        <v>-1</v>
      </c>
      <c r="K23" s="20">
        <f t="shared" si="7"/>
        <v>46044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46045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-46045</v>
      </c>
      <c r="J24" s="32">
        <f t="shared" si="0"/>
        <v>-1</v>
      </c>
      <c r="K24" s="20">
        <f t="shared" si="7"/>
        <v>46045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46046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-46046</v>
      </c>
      <c r="J25" s="32">
        <f t="shared" si="0"/>
        <v>-1</v>
      </c>
      <c r="K25" s="20">
        <f t="shared" si="7"/>
        <v>46046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46047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-46047</v>
      </c>
      <c r="J26" s="32">
        <f t="shared" si="0"/>
        <v>-1</v>
      </c>
      <c r="K26" s="20">
        <f t="shared" si="7"/>
        <v>46047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46048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-46048</v>
      </c>
      <c r="J27" s="32">
        <f t="shared" si="0"/>
        <v>-1</v>
      </c>
      <c r="K27" s="20">
        <f t="shared" si="7"/>
        <v>46048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46049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-46049</v>
      </c>
      <c r="J28" s="32">
        <f t="shared" si="0"/>
        <v>-1</v>
      </c>
      <c r="K28" s="20">
        <f t="shared" si="7"/>
        <v>46049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46050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-46050</v>
      </c>
      <c r="J29" s="32">
        <f t="shared" si="0"/>
        <v>-1</v>
      </c>
      <c r="K29" s="20">
        <f t="shared" si="7"/>
        <v>46050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46051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-46051</v>
      </c>
      <c r="J30" s="32">
        <f>I32-I30</f>
        <v>-2</v>
      </c>
      <c r="K30" s="20">
        <f t="shared" si="7"/>
        <v>46051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46052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-46052</v>
      </c>
      <c r="J31" s="32">
        <f t="shared" ref="J31" si="14">I32-I31</f>
        <v>-1</v>
      </c>
      <c r="K31" s="20">
        <f t="shared" ref="K31" si="15">A31</f>
        <v>46052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:AB32" si="17">IF((Z31-Z33+AA31)=Z31,"0",(Z31-Z33+AA31))</f>
        <v>0</v>
      </c>
      <c r="AC31" s="13"/>
      <c r="AD31" s="18"/>
    </row>
    <row r="32" spans="1:30" ht="20.65" customHeight="1" thickBot="1" x14ac:dyDescent="0.25">
      <c r="A32" s="19">
        <v>46053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-46053</v>
      </c>
      <c r="J32" s="32">
        <f t="shared" si="0"/>
        <v>46053</v>
      </c>
      <c r="K32" s="20">
        <f t="shared" si="7"/>
        <v>46053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7"/>
        <v>0</v>
      </c>
      <c r="AC32" s="13"/>
      <c r="AD32" s="18"/>
    </row>
    <row r="33" spans="1:30" ht="20.65" customHeight="1" thickTop="1" thickBot="1" x14ac:dyDescent="0.25">
      <c r="A33" s="19">
        <v>46054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58249</v>
      </c>
      <c r="D34" s="77"/>
      <c r="E34" s="76">
        <f>SUM(E2:E33)</f>
        <v>8833</v>
      </c>
      <c r="F34" s="78"/>
      <c r="G34" s="76">
        <f>SUM(G2:G33)</f>
        <v>0</v>
      </c>
      <c r="H34" s="77">
        <f>SUM(H2:H33)</f>
        <v>67082</v>
      </c>
      <c r="I34" s="76">
        <f>SUM(I2:I32)</f>
        <v>-1368113.04</v>
      </c>
      <c r="J34" s="76">
        <f>SUM(J2:J33)</f>
        <v>40700.949999999997</v>
      </c>
      <c r="K34" s="75"/>
      <c r="L34" s="77"/>
      <c r="M34" s="77"/>
      <c r="N34" s="76">
        <f>SUM(N2:N33)</f>
        <v>8259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1269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1008</v>
      </c>
      <c r="AD34" s="80">
        <f>SUM(AD2:AD33)</f>
        <v>1809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2026-01-19T06:26:47Z</dcterms:modified>
  <cp:category/>
  <cp:contentStatus/>
</cp:coreProperties>
</file>