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<sst xmlns="http://schemas.openxmlformats.org/spreadsheetml/2006/main" count="142" uniqueCount="63">
  <si>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</si>
  <si>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</si>
  <si>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</si>
  <si>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</si>
  <si>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</si>
  <si>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</si>
  <si>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</si>
  <si>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</si>
  <si>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</si>
  <si>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</si>
  <si>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</si>
  <si>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</si>
  <si>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</si>
  <si>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</si>
  <si>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</si>
  <si>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</si>
  <si>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</si>
  <si>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</si>
  <si>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</si>
  <si>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</si>
  <si>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</si>
  <si>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</si>
  <si>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</si>
  <si>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</si>
  <si>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</si>
  <si>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</si>
  <si>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</si>
  <si>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</si>
  <si>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</si>
  <si>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</si>
  <si>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</si>
  <si>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</si>
  <si>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</si>
  <si>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</si>
  <si>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</si>
  <si>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</si>
  <si>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</si>
  <si>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</si>
  <si>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</si>
  <si>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</si>
  <si>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</si>
  <si>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</si>
  <si>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</si>
  <si>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</si>
  <si>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</si>
  <si>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</si>
  <si>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</si>
  <si>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</si>
  <si>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</si>
  <si>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Feb</t>
  </si>
  <si>
    <t>8814830</t>
  </si>
  <si>
    <t>21180080</t>
  </si>
  <si>
    <t>3940940</t>
  </si>
  <si>
    <t>4462750</t>
  </si>
  <si>
    <t>13260500</t>
  </si>
  <si>
    <t>7913930</t>
  </si>
  <si>
    <t>6822130</t>
  </si>
  <si>
    <t>8559530</t>
  </si>
  <si>
    <t>12355430</t>
  </si>
  <si>
    <t>5390070</t>
  </si>
  <si>
    <t>9757950</t>
  </si>
  <si>
    <t>16373790</t>
  </si>
  <si>
    <t>23059160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</si>
</sst>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1" fontId="7" fillId="2" borderId="7" xfId="0" applyNumberFormat="1" applyFont="1" applyFill="1" applyBorder="1" applyAlignment="1">
      <alignment horizontal="center"/>
    </xf>
    <xf numFmtId="0" fontId="0" fillId="3" borderId="2" xfId="0" quotePrefix="1" applyNumberFormat="1" applyFont="1" applyFill="1" applyBorder="1" applyAlignment="1">
      <alignment horizontal="right" vertic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55190</v>
      </c>
      <c r="F2" s="11">
        <v>5.0000000000000001E-3</v>
      </c>
      <c r="G2" s="12">
        <f>Submetering!R2</f>
        <v>506.866399</v>
      </c>
      <c r="H2" s="11">
        <v>0.52800000000000002</v>
      </c>
      <c r="I2" s="12">
        <f>Hotel!B7</f>
        <v>141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2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2</v>
      </c>
      <c r="D2" s="11">
        <v>2023</v>
      </c>
      <c r="E2" s="4">
        <f>Hotel!Q7</f>
        <v>560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6120</v>
      </c>
      <c r="J2" s="4">
        <f>Hotel!V7</f>
        <v>4070</v>
      </c>
      <c r="K2" s="4">
        <f>Hotel!W7</f>
        <v>3620</v>
      </c>
      <c r="L2" s="4">
        <f>Hotel!X7</f>
        <v>4170</v>
      </c>
      <c r="M2" s="4">
        <f>Hotel!Y7</f>
        <v>5690</v>
      </c>
      <c r="N2" s="4">
        <f>Hotel!Z7</f>
        <v>2440</v>
      </c>
      <c r="O2" s="4">
        <f>Hotel!AA7</f>
        <v>2700</v>
      </c>
      <c r="P2" s="4">
        <f>Hotel!AB7</f>
        <v>6940</v>
      </c>
      <c r="Q2" s="4">
        <f>Hotel!AC7</f>
        <v>13140</v>
      </c>
      <c r="R2" s="4">
        <f>Hotel!AV7*0.00378541*100</f>
        <v>506.866399</v>
      </c>
      <c r="S2" s="4">
        <f>Hotel!B7</f>
        <v>141</v>
      </c>
    </row>
    <row r="3" spans="1:19" x14ac:dyDescent="0.25">
      <c r="A3" s="21" t="s">
        <v>31</v>
      </c>
      <c r="B3" s="2">
        <f>B2+1</f>
        <v>2</v>
      </c>
      <c r="C3" s="3">
        <v>2</v>
      </c>
      <c r="D3" s="11">
        <v>2023</v>
      </c>
      <c r="E3" s="4" t="str">
        <f>Hotel!Q8</f>
        <v>0</v>
      </c>
      <c r="F3" s="4" t="str">
        <f>Hotel!R8</f>
        <v>0</v>
      </c>
      <c r="G3" s="4" t="str">
        <f>Hotel!S8</f>
        <v>0</v>
      </c>
      <c r="H3" s="4" t="str">
        <f>Hotel!T8</f>
        <v>0</v>
      </c>
      <c r="I3" s="4" t="str">
        <f>Hotel!U8</f>
        <v>0</v>
      </c>
      <c r="J3" s="4" t="str">
        <f>Hotel!V8</f>
        <v>0</v>
      </c>
      <c r="K3" s="4" t="str">
        <f>Hotel!W8</f>
        <v>0</v>
      </c>
      <c r="L3" s="4" t="str">
        <f>Hotel!X8</f>
        <v>0</v>
      </c>
      <c r="M3" s="4" t="str">
        <f>Hotel!Y8</f>
        <v>0</v>
      </c>
      <c r="N3" s="4" t="str">
        <f>Hotel!Z8</f>
        <v>0</v>
      </c>
      <c r="O3" s="4" t="str">
        <f>Hotel!AA8</f>
        <v>0</v>
      </c>
      <c r="P3" s="4" t="str">
        <f>Hotel!AB8</f>
        <v>0</v>
      </c>
      <c r="Q3" s="4" t="str">
        <f>Hotel!AC8</f>
        <v>0</v>
      </c>
      <c r="R3" s="4">
        <f>Hotel!AV8*0.00378541*100</f>
        <v>0</v>
      </c>
      <c r="S3" s="4">
        <f>Hotel!B8</f>
        <v>0</v>
      </c>
    </row>
    <row r="4" spans="1:19" x14ac:dyDescent="0.25">
      <c r="A4" s="21" t="s">
        <v>31</v>
      </c>
      <c r="B4" s="2">
        <f t="shared" ref="B4:B29" si="0">B3+1</f>
        <v>3</v>
      </c>
      <c r="C4" s="3">
        <v>2</v>
      </c>
      <c r="D4" s="11">
        <v>2023</v>
      </c>
      <c r="E4" s="4">
        <f>Hotel!Q9</f>
        <v>0</v>
      </c>
      <c r="F4" s="4">
        <f>Hotel!R9</f>
        <v>0</v>
      </c>
      <c r="G4" s="4">
        <f>Hotel!S9</f>
        <v>0</v>
      </c>
      <c r="H4" s="4">
        <f>Hotel!T9</f>
        <v>0</v>
      </c>
      <c r="I4" s="4">
        <f>Hotel!U9</f>
        <v>0</v>
      </c>
      <c r="J4" s="4">
        <f>Hotel!V9</f>
        <v>0</v>
      </c>
      <c r="K4" s="4">
        <f>Hotel!W9</f>
        <v>0</v>
      </c>
      <c r="L4" s="4">
        <f>Hotel!X9</f>
        <v>0</v>
      </c>
      <c r="M4" s="4">
        <f>Hotel!Y9</f>
        <v>0</v>
      </c>
      <c r="N4" s="4">
        <f>Hotel!Z9</f>
        <v>0</v>
      </c>
      <c r="O4" s="4">
        <f>Hotel!AA9</f>
        <v>0</v>
      </c>
      <c r="P4" s="4">
        <f>Hotel!AB9</f>
        <v>0</v>
      </c>
      <c r="Q4" s="4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2</v>
      </c>
      <c r="D5" s="11">
        <v>2023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2</v>
      </c>
      <c r="D6" s="11">
        <v>2023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2</v>
      </c>
      <c r="D7" s="11">
        <v>2023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2</v>
      </c>
      <c r="D8" s="11">
        <v>2023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2</v>
      </c>
      <c r="D9" s="11">
        <v>2023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2</v>
      </c>
      <c r="D10" s="11">
        <v>2023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2</v>
      </c>
      <c r="D11" s="11">
        <v>2023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2</v>
      </c>
      <c r="D12" s="11">
        <v>2023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2</v>
      </c>
      <c r="D13" s="11">
        <v>2023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2</v>
      </c>
      <c r="D14" s="11">
        <v>2023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2</v>
      </c>
      <c r="D15" s="11">
        <v>2023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2</v>
      </c>
      <c r="D16" s="11">
        <v>2023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2</v>
      </c>
      <c r="D17" s="11">
        <v>2023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2</v>
      </c>
      <c r="D18" s="11">
        <v>2023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2</v>
      </c>
      <c r="D19" s="11">
        <v>2023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2</v>
      </c>
      <c r="D20" s="11">
        <v>2023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2</v>
      </c>
      <c r="D21" s="11">
        <v>2023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2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2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2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2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2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2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2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2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2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2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2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J1" zoomScale="93" zoomScaleNormal="93" workbookViewId="0">
      <selection activeCell="AU13" sqref="AU1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44957</v>
      </c>
      <c r="B2" s="61">
        <v>116</v>
      </c>
      <c r="C2" s="62" t="s">
        <v>50</v>
      </c>
      <c r="D2" s="51" t="s">
        <v>51</v>
      </c>
      <c r="E2" s="51" t="s">
        <v>52</v>
      </c>
      <c r="F2" s="51" t="s">
        <v>53</v>
      </c>
      <c r="G2" s="51" t="s">
        <v>54</v>
      </c>
      <c r="H2" s="51" t="s">
        <v>55</v>
      </c>
      <c r="I2" s="51" t="s">
        <v>56</v>
      </c>
      <c r="J2" s="51" t="s">
        <v>57</v>
      </c>
      <c r="K2" s="51" t="s">
        <v>58</v>
      </c>
      <c r="L2" s="51" t="s">
        <v>59</v>
      </c>
      <c r="M2" s="51" t="s">
        <v>60</v>
      </c>
      <c r="N2" s="51" t="s">
        <v>61</v>
      </c>
      <c r="O2" s="51" t="s">
        <v>62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6">
        <v>407070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7" t="s">
        <v>23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Q4" s="69" t="s">
        <v>24</v>
      </c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1"/>
      <c r="AD4" s="28" t="s">
        <v>25</v>
      </c>
      <c r="AF4" s="72" t="s">
        <v>26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29" t="s">
        <v>27</v>
      </c>
      <c r="AU4" s="63" t="s">
        <v>28</v>
      </c>
      <c r="AV4" s="64" t="s">
        <v>29</v>
      </c>
      <c r="AW4" s="64" t="s">
        <v>48</v>
      </c>
      <c r="AX4" s="66" t="s">
        <v>30</v>
      </c>
    </row>
    <row r="5" spans="1:50" ht="15.75" x14ac:dyDescent="0.25">
      <c r="A5" s="30">
        <v>2023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3"/>
      <c r="AV5" s="65"/>
      <c r="AW5" s="65"/>
      <c r="AX5" s="66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6">
        <v>407070</v>
      </c>
    </row>
    <row r="7" spans="1:50" x14ac:dyDescent="0.25">
      <c r="A7" s="23">
        <v>44958</v>
      </c>
      <c r="B7" s="40">
        <v>141</v>
      </c>
      <c r="C7" s="51">
        <v>8815390</v>
      </c>
      <c r="D7" s="51">
        <v>21181850</v>
      </c>
      <c r="E7" s="51">
        <v>3943540</v>
      </c>
      <c r="F7" s="51">
        <v>4464120</v>
      </c>
      <c r="G7" s="51">
        <v>13266620</v>
      </c>
      <c r="H7" s="51">
        <v>7918000</v>
      </c>
      <c r="I7" s="51">
        <v>6825750</v>
      </c>
      <c r="J7" s="51">
        <v>8563700</v>
      </c>
      <c r="K7" s="51">
        <v>12361120</v>
      </c>
      <c r="L7" s="51">
        <v>5392510</v>
      </c>
      <c r="M7" s="51">
        <v>9760650</v>
      </c>
      <c r="N7" s="51">
        <v>16380730</v>
      </c>
      <c r="O7" s="51">
        <v>23072300</v>
      </c>
      <c r="Q7" s="37">
        <f t="shared" ref="Q7:AC7" si="0">IF((C7-C2&lt;0), "0",C7-C2)</f>
        <v>560</v>
      </c>
      <c r="R7" s="37">
        <f t="shared" si="0"/>
        <v>1770</v>
      </c>
      <c r="S7" s="37">
        <f t="shared" si="0"/>
        <v>2600</v>
      </c>
      <c r="T7" s="37">
        <f t="shared" si="0"/>
        <v>1370</v>
      </c>
      <c r="U7" s="37">
        <f t="shared" si="0"/>
        <v>6120</v>
      </c>
      <c r="V7" s="37">
        <f t="shared" si="0"/>
        <v>4070</v>
      </c>
      <c r="W7" s="37">
        <f t="shared" si="0"/>
        <v>3620</v>
      </c>
      <c r="X7" s="37">
        <f t="shared" si="0"/>
        <v>4170</v>
      </c>
      <c r="Y7" s="37">
        <f t="shared" si="0"/>
        <v>5690</v>
      </c>
      <c r="Z7" s="37">
        <f t="shared" si="0"/>
        <v>2440</v>
      </c>
      <c r="AA7" s="37">
        <f t="shared" si="0"/>
        <v>2700</v>
      </c>
      <c r="AB7" s="37">
        <f t="shared" si="0"/>
        <v>6940</v>
      </c>
      <c r="AC7" s="37">
        <f t="shared" si="0"/>
        <v>13140</v>
      </c>
      <c r="AD7" s="34">
        <f>SUM(Q7:AC7)</f>
        <v>55190</v>
      </c>
      <c r="AF7" s="20">
        <f t="shared" ref="AF7:AF36" si="1">Q7*$D$39</f>
        <v>2.8000000000000003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30.6</v>
      </c>
      <c r="AK7" s="20">
        <f t="shared" ref="AK7:AK36" si="6">V7*$D$39</f>
        <v>20.350000000000001</v>
      </c>
      <c r="AL7" s="20">
        <f t="shared" ref="AL7:AL36" si="7">W7*$D$39</f>
        <v>18.100000000000001</v>
      </c>
      <c r="AM7" s="20">
        <f t="shared" ref="AM7:AM36" si="8">X7*$D$39</f>
        <v>20.85</v>
      </c>
      <c r="AN7" s="20">
        <f t="shared" ref="AN7:AN36" si="9">Y7*$D$39</f>
        <v>28.45</v>
      </c>
      <c r="AO7" s="20">
        <f t="shared" ref="AO7:AO36" si="10">Z7*$D$39</f>
        <v>12.200000000000001</v>
      </c>
      <c r="AP7" s="20">
        <f t="shared" ref="AP7:AP36" si="11">AA7*$D$39</f>
        <v>13.5</v>
      </c>
      <c r="AQ7" s="20">
        <f t="shared" ref="AQ7:AQ36" si="12">AB7*$D$39</f>
        <v>34.700000000000003</v>
      </c>
      <c r="AR7" s="20">
        <f t="shared" ref="AR7:AR36" si="13">AC7*$D$39</f>
        <v>65.7</v>
      </c>
      <c r="AS7" s="35">
        <f>SUM(AF7:AR7)</f>
        <v>275.95</v>
      </c>
      <c r="AU7" s="54">
        <v>408409</v>
      </c>
      <c r="AV7" s="37">
        <f>IF((AU7-AU6&lt;0),"0",AU7-AU6)</f>
        <v>1339</v>
      </c>
      <c r="AW7" s="37">
        <f>AV7*100*AV44</f>
        <v>506.866399</v>
      </c>
      <c r="AX7" s="35">
        <f t="shared" ref="AX7:AX35" si="14">AV7*$D$40</f>
        <v>2.6779999999999999</v>
      </c>
    </row>
    <row r="8" spans="1:50" x14ac:dyDescent="0.25">
      <c r="A8" s="23">
        <v>44959</v>
      </c>
      <c r="B8" s="40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Q8" s="37" t="str">
        <f>IF((C8-C7&lt;0), "0",C8-C7)</f>
        <v>0</v>
      </c>
      <c r="R8" s="37" t="str">
        <f t="shared" ref="R8:AC8" si="15">IF((D8-D7&lt;0), "0",D8-D7)</f>
        <v>0</v>
      </c>
      <c r="S8" s="37" t="str">
        <f t="shared" ref="S8:S35" si="16">IF((E8-E7&lt;0), "0",E8-E7)</f>
        <v>0</v>
      </c>
      <c r="T8" s="37" t="str">
        <f t="shared" si="15"/>
        <v>0</v>
      </c>
      <c r="U8" s="37" t="str">
        <f t="shared" si="15"/>
        <v>0</v>
      </c>
      <c r="V8" s="37" t="str">
        <f t="shared" si="15"/>
        <v>0</v>
      </c>
      <c r="W8" s="37" t="str">
        <f t="shared" si="15"/>
        <v>0</v>
      </c>
      <c r="X8" s="37" t="str">
        <f t="shared" si="15"/>
        <v>0</v>
      </c>
      <c r="Y8" s="37" t="str">
        <f t="shared" si="15"/>
        <v>0</v>
      </c>
      <c r="Z8" s="37" t="str">
        <f t="shared" si="15"/>
        <v>0</v>
      </c>
      <c r="AA8" s="37" t="str">
        <f t="shared" si="15"/>
        <v>0</v>
      </c>
      <c r="AB8" s="37" t="str">
        <f t="shared" si="15"/>
        <v>0</v>
      </c>
      <c r="AC8" s="37" t="str">
        <f t="shared" si="15"/>
        <v>0</v>
      </c>
      <c r="AD8" s="35">
        <f>SUM(Q8:AC8)</f>
        <v>0</v>
      </c>
      <c r="AF8" s="20">
        <f t="shared" si="1"/>
        <v>0</v>
      </c>
      <c r="AG8" s="20">
        <f t="shared" si="2"/>
        <v>0</v>
      </c>
      <c r="AH8" s="20">
        <f t="shared" si="3"/>
        <v>0</v>
      </c>
      <c r="AI8" s="20">
        <f t="shared" si="4"/>
        <v>0</v>
      </c>
      <c r="AJ8" s="20">
        <f t="shared" si="5"/>
        <v>0</v>
      </c>
      <c r="AK8" s="20">
        <f t="shared" si="6"/>
        <v>0</v>
      </c>
      <c r="AL8" s="20">
        <f t="shared" si="7"/>
        <v>0</v>
      </c>
      <c r="AM8" s="20">
        <f t="shared" si="8"/>
        <v>0</v>
      </c>
      <c r="AN8" s="20">
        <f t="shared" si="9"/>
        <v>0</v>
      </c>
      <c r="AO8" s="20">
        <f t="shared" si="10"/>
        <v>0</v>
      </c>
      <c r="AP8" s="20">
        <f t="shared" si="11"/>
        <v>0</v>
      </c>
      <c r="AQ8" s="20">
        <f t="shared" si="12"/>
        <v>0</v>
      </c>
      <c r="AR8" s="20">
        <f t="shared" si="13"/>
        <v>0</v>
      </c>
      <c r="AS8" s="35">
        <f>SUM(AF8:AR8)</f>
        <v>0</v>
      </c>
      <c r="AU8" s="55"/>
      <c r="AV8" s="37" t="str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25">
      <c r="A9" s="23">
        <v>44960</v>
      </c>
      <c r="B9" s="4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Q9" s="37">
        <f t="shared" ref="Q9:Q30" si="17">IF((C9-C8&lt;0), "0",C9-C8)</f>
        <v>0</v>
      </c>
      <c r="R9" s="37">
        <f t="shared" ref="R9:R37" si="18">IF((D9-D8&lt;0), "0",D9-D8)</f>
        <v>0</v>
      </c>
      <c r="S9" s="37">
        <f t="shared" si="16"/>
        <v>0</v>
      </c>
      <c r="T9" s="37">
        <f t="shared" ref="T9:T35" si="19">IF((F9-F8&lt;0), "0",F9-F8)</f>
        <v>0</v>
      </c>
      <c r="U9" s="37">
        <f t="shared" ref="U9:U35" si="20">IF((G9-G8&lt;0), "0",G9-G8)</f>
        <v>0</v>
      </c>
      <c r="V9" s="37">
        <f t="shared" ref="V9:V35" si="21">IF((H9-H8&lt;0), "0",H9-H8)</f>
        <v>0</v>
      </c>
      <c r="W9" s="37">
        <f t="shared" ref="W9:W35" si="22">IF((I9-I8&lt;0), "0",I9-I8)</f>
        <v>0</v>
      </c>
      <c r="X9" s="37">
        <f t="shared" ref="X9:X37" si="23">IF((J9-J8&lt;0), "0",J9-J8)</f>
        <v>0</v>
      </c>
      <c r="Y9" s="37">
        <f t="shared" ref="Y9:Y35" si="24">IF((K9-K8&lt;0), "0",K9-K8)</f>
        <v>0</v>
      </c>
      <c r="Z9" s="37">
        <f t="shared" ref="Z9:Z35" si="25">IF((L9-L8&lt;0), "0",L9-L8)</f>
        <v>0</v>
      </c>
      <c r="AA9" s="37">
        <f t="shared" ref="AA9:AA35" si="26">IF((M9-M8&lt;0), "0",M9-M8)</f>
        <v>0</v>
      </c>
      <c r="AB9" s="37">
        <f t="shared" ref="AB9:AB37" si="27">IF((N9-N8&lt;0), "0",N9-N8)</f>
        <v>0</v>
      </c>
      <c r="AC9" s="37">
        <f t="shared" ref="AC9:AC37" si="28">IF((O9-O8&lt;0), "0",O9-O8)</f>
        <v>0</v>
      </c>
      <c r="AD9" s="35">
        <f t="shared" ref="AD9:AD37" si="29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30">SUM(AF9:AR9)</f>
        <v>0</v>
      </c>
      <c r="AU9" s="55"/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44961</v>
      </c>
      <c r="B10" s="40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37">
        <f t="shared" si="17"/>
        <v>0</v>
      </c>
      <c r="R10" s="37">
        <f t="shared" si="18"/>
        <v>0</v>
      </c>
      <c r="S10" s="37">
        <f t="shared" si="16"/>
        <v>0</v>
      </c>
      <c r="T10" s="37">
        <f t="shared" si="19"/>
        <v>0</v>
      </c>
      <c r="U10" s="37">
        <f t="shared" si="20"/>
        <v>0</v>
      </c>
      <c r="V10" s="37">
        <f t="shared" si="21"/>
        <v>0</v>
      </c>
      <c r="W10" s="37">
        <f t="shared" si="22"/>
        <v>0</v>
      </c>
      <c r="X10" s="37">
        <f t="shared" si="23"/>
        <v>0</v>
      </c>
      <c r="Y10" s="37">
        <f t="shared" si="24"/>
        <v>0</v>
      </c>
      <c r="Z10" s="37">
        <f t="shared" si="25"/>
        <v>0</v>
      </c>
      <c r="AA10" s="37">
        <f t="shared" si="26"/>
        <v>0</v>
      </c>
      <c r="AB10" s="37">
        <f t="shared" si="27"/>
        <v>0</v>
      </c>
      <c r="AC10" s="37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54"/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44962</v>
      </c>
      <c r="B11" s="4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54"/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44963</v>
      </c>
      <c r="B12" s="4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55"/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44964</v>
      </c>
      <c r="B13" s="40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60"/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44965</v>
      </c>
      <c r="B14" s="4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49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54"/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44966</v>
      </c>
      <c r="B15" s="40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5"/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44967</v>
      </c>
      <c r="B16" s="4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5"/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44968</v>
      </c>
      <c r="B17" s="4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5"/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44969</v>
      </c>
      <c r="B18" s="40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5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44970</v>
      </c>
      <c r="B19" s="4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5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44971</v>
      </c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5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44972</v>
      </c>
      <c r="B21" s="4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5"/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44973</v>
      </c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44974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5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44975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44976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5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44977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44978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44979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44980</v>
      </c>
      <c r="B29" s="40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9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44981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44982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44983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44984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44985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/>
      <c r="B35" s="40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9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/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560</v>
      </c>
      <c r="R38" s="38">
        <f t="shared" ref="R38:AD38" si="60">SUM(R7:R37)</f>
        <v>1770</v>
      </c>
      <c r="S38" s="38">
        <f t="shared" si="60"/>
        <v>2600</v>
      </c>
      <c r="T38" s="38">
        <f t="shared" si="60"/>
        <v>1370</v>
      </c>
      <c r="U38" s="38">
        <f t="shared" si="60"/>
        <v>6120</v>
      </c>
      <c r="V38" s="38">
        <f t="shared" si="60"/>
        <v>4070</v>
      </c>
      <c r="W38" s="38">
        <f t="shared" si="60"/>
        <v>3620</v>
      </c>
      <c r="X38" s="38">
        <f t="shared" si="60"/>
        <v>4170</v>
      </c>
      <c r="Y38" s="38">
        <f t="shared" si="60"/>
        <v>5690</v>
      </c>
      <c r="Z38" s="38">
        <f t="shared" si="60"/>
        <v>2440</v>
      </c>
      <c r="AA38" s="38">
        <f t="shared" si="60"/>
        <v>2700</v>
      </c>
      <c r="AB38" s="38">
        <f t="shared" si="60"/>
        <v>6940</v>
      </c>
      <c r="AC38" s="38">
        <f t="shared" si="60"/>
        <v>13140</v>
      </c>
      <c r="AD38" s="38">
        <f t="shared" si="60"/>
        <v>55190</v>
      </c>
      <c r="AF38" s="35">
        <f>SUM(AF7:AF37)</f>
        <v>2.8000000000000003</v>
      </c>
      <c r="AG38" s="35">
        <f t="shared" ref="AG38:AS38" si="61">SUM(AG7:AG37)</f>
        <v>8.85</v>
      </c>
      <c r="AH38" s="35">
        <f t="shared" si="61"/>
        <v>13</v>
      </c>
      <c r="AI38" s="35">
        <f t="shared" si="61"/>
        <v>6.8500000000000005</v>
      </c>
      <c r="AJ38" s="35">
        <f t="shared" si="61"/>
        <v>30.6</v>
      </c>
      <c r="AK38" s="35">
        <f t="shared" si="61"/>
        <v>20.350000000000001</v>
      </c>
      <c r="AL38" s="35">
        <f t="shared" si="61"/>
        <v>18.100000000000001</v>
      </c>
      <c r="AM38" s="35">
        <f t="shared" si="61"/>
        <v>20.85</v>
      </c>
      <c r="AN38" s="35">
        <f t="shared" si="61"/>
        <v>28.45</v>
      </c>
      <c r="AO38" s="35">
        <f t="shared" si="61"/>
        <v>12.200000000000001</v>
      </c>
      <c r="AP38" s="35">
        <f t="shared" si="61"/>
        <v>13.5</v>
      </c>
      <c r="AQ38" s="35">
        <f t="shared" si="61"/>
        <v>34.700000000000003</v>
      </c>
      <c r="AR38" s="35">
        <f t="shared" si="61"/>
        <v>65.7</v>
      </c>
      <c r="AS38" s="35">
        <f t="shared" si="61"/>
        <v>275.95</v>
      </c>
      <c r="AU38" s="46"/>
      <c r="AV38" s="34">
        <f>SUM(AV7:AV37)</f>
        <v>1339</v>
      </c>
      <c r="AW38" s="34">
        <f>SUM(AW7:AW37)</f>
        <v>506.866399</v>
      </c>
      <c r="AX38" s="35">
        <f>SUM(AX7:AX37)</f>
        <v>2.6779999999999999</v>
      </c>
    </row>
    <row r="39" spans="1:50" x14ac:dyDescent="0.25">
      <c r="B39" s="39">
        <f>SUM(B7:B37)</f>
        <v>141</v>
      </c>
      <c r="D39">
        <v>5.0000000000000001E-3</v>
      </c>
      <c r="AV39" s="36"/>
      <c r="AW39" s="50">
        <f>AW38/31</f>
        <v>16.350529000000002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2023-02-02T11:57:17Z</dcterms:modified>
</cp:coreProperties>
</file>