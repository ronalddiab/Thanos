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40" documentId="13_ncr:1_{76C55D63-F869-4AF5-AAA3-3D809A91432B}" xr6:coauthVersionLast="47" xr6:coauthVersionMax="47" xr10:uidLastSave="{74A00AEE-832D-490E-B5C9-4F5E86AA09C3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27" l="1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34" i="27"/>
  <c r="L33" i="27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<sst xmlns="http://schemas.openxmlformats.org/spreadsheetml/2006/main" count="71" uniqueCount="33">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</sst>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6" t="s">
        <v>6</v>
      </c>
      <c r="H1" s="137" t="s">
        <v>7</v>
      </c>
      <c r="I1" s="136" t="s">
        <v>8</v>
      </c>
      <c r="J1" s="137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5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2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2722</v>
      </c>
      <c r="J8" s="92">
        <v>0.21186441</v>
      </c>
      <c r="K8" s="11">
        <f>IF('Water, Gas, Diesel'!F12&lt;0,0,'Water, Gas, Diesel'!F12)</f>
        <v>90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2677</v>
      </c>
      <c r="J9" s="92">
        <v>0.21186441</v>
      </c>
      <c r="K9" s="11">
        <f>IF('Water, Gas, Diesel'!F13&lt;0,0,'Water, Gas, Diesel'!F13)</f>
        <v>199</v>
      </c>
      <c r="L9" s="92">
        <v>1.6949000000000001</v>
      </c>
      <c r="M9" s="11">
        <f>Electricity!H15</f>
        <v>36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3179</v>
      </c>
      <c r="J10" s="92">
        <v>0.21186441</v>
      </c>
      <c r="K10" s="11">
        <f>IF('Water, Gas, Diesel'!F14&lt;0,0,'Water, Gas, Diesel'!F14)</f>
        <v>139</v>
      </c>
      <c r="L10" s="92">
        <v>1.6949000000000001</v>
      </c>
      <c r="M10" s="11">
        <f>Electricity!H16</f>
        <v>34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2647</v>
      </c>
      <c r="J11" s="92">
        <v>0.21186441</v>
      </c>
      <c r="K11" s="11">
        <f>IF('Water, Gas, Diesel'!F15&lt;0,0,'Water, Gas, Diesel'!F15)</f>
        <v>161</v>
      </c>
      <c r="L11" s="92">
        <v>1.6949000000000001</v>
      </c>
      <c r="M11" s="11">
        <f>Electricity!H17</f>
        <v>40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3399</v>
      </c>
      <c r="J12" s="92">
        <v>0.21186441</v>
      </c>
      <c r="K12" s="11">
        <f>IF('Water, Gas, Diesel'!F16&lt;0,0,'Water, Gas, Diesel'!F16)</f>
        <v>173</v>
      </c>
      <c r="L12" s="92">
        <v>1.6949000000000001</v>
      </c>
      <c r="M12" s="11">
        <f>Electricity!H18</f>
        <v>61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17970.000000000255</v>
      </c>
      <c r="F13" s="92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2823</v>
      </c>
      <c r="J13" s="92">
        <v>0.21186441</v>
      </c>
      <c r="K13" s="11">
        <f>IF('Water, Gas, Diesel'!F17&lt;0,0,'Water, Gas, Diesel'!F17)</f>
        <v>177</v>
      </c>
      <c r="L13" s="92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21385.000000000218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3047</v>
      </c>
      <c r="J14" s="92">
        <v>0.21186441</v>
      </c>
      <c r="K14" s="11">
        <f>IF('Water, Gas, Diesel'!F18&lt;0,0,'Water, Gas, Diesel'!F18)</f>
        <v>215</v>
      </c>
      <c r="L14" s="92">
        <v>1.6949000000000001</v>
      </c>
      <c r="M14" s="11">
        <f>Electricity!H20</f>
        <v>58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18787.499999998545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3452</v>
      </c>
      <c r="J15" s="92">
        <v>0.21186441</v>
      </c>
      <c r="K15" s="11">
        <f>IF('Water, Gas, Diesel'!F19&lt;0,0,'Water, Gas, Diesel'!F19)</f>
        <v>233</v>
      </c>
      <c r="L15" s="92">
        <v>1.6949000000000001</v>
      </c>
      <c r="M15" s="11">
        <f>Electricity!H21</f>
        <v>63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18442.500000001019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3348</v>
      </c>
      <c r="J16" s="92">
        <v>0.21186441</v>
      </c>
      <c r="K16" s="11">
        <f>IF('Water, Gas, Diesel'!F20&lt;0,0,'Water, Gas, Diesel'!F20)</f>
        <v>205</v>
      </c>
      <c r="L16" s="92">
        <v>1.6949000000000001</v>
      </c>
      <c r="M16" s="11">
        <f>Electricity!H22</f>
        <v>41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17964.999999999236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2848</v>
      </c>
      <c r="J17" s="92">
        <v>0.21186441</v>
      </c>
      <c r="K17" s="11">
        <f>IF('Water, Gas, Diesel'!F21&lt;0,0,'Water, Gas, Diesel'!F21)</f>
        <v>206</v>
      </c>
      <c r="L17" s="92">
        <v>1.6949000000000001</v>
      </c>
      <c r="M17" s="11">
        <f>Electricity!H23</f>
        <v>37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16469.999999999345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2605</v>
      </c>
      <c r="J18" s="92">
        <v>0.21186441</v>
      </c>
      <c r="K18" s="11">
        <f>IF('Water, Gas, Diesel'!F22&lt;0,0,'Water, Gas, Diesel'!F22)</f>
        <v>189</v>
      </c>
      <c r="L18" s="92">
        <v>1.6949000000000001</v>
      </c>
      <c r="M18" s="11">
        <f>Electricity!H24</f>
        <v>45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18412.499999999454</v>
      </c>
      <c r="F19" s="92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1441</v>
      </c>
      <c r="J19" s="92">
        <v>0.21186441</v>
      </c>
      <c r="K19" s="11">
        <f>IF('Water, Gas, Diesel'!F23&lt;0,0,'Water, Gas, Diesel'!F23)</f>
        <v>174</v>
      </c>
      <c r="L19" s="92">
        <v>1.6949000000000001</v>
      </c>
      <c r="M19" s="11">
        <f>Electricity!H25</f>
        <v>43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18634.999999999309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3911</v>
      </c>
      <c r="J20" s="92">
        <v>0.21186441</v>
      </c>
      <c r="K20" s="11">
        <f>IF('Water, Gas, Diesel'!F24&lt;0,0,'Water, Gas, Diesel'!F24)</f>
        <v>185</v>
      </c>
      <c r="L20" s="92">
        <v>1.6949000000000001</v>
      </c>
      <c r="M20" s="11">
        <f>Electricity!H26</f>
        <v>53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18224.999999997635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2917</v>
      </c>
      <c r="J21" s="92">
        <v>0.21186441</v>
      </c>
      <c r="K21" s="11">
        <f>IF('Water, Gas, Diesel'!F25&lt;0,0,'Water, Gas, Diesel'!F25)</f>
        <v>197</v>
      </c>
      <c r="L21" s="92">
        <v>1.6949000000000001</v>
      </c>
      <c r="M21" s="11">
        <f>Electricity!H27</f>
        <v>51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23065.000000001419</v>
      </c>
      <c r="F22" s="92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3659</v>
      </c>
      <c r="J22" s="92">
        <v>0.21186441</v>
      </c>
      <c r="K22" s="11">
        <f>IF('Water, Gas, Diesel'!F26&lt;0,0,'Water, Gas, Diesel'!F26)</f>
        <v>247</v>
      </c>
      <c r="L22" s="92">
        <v>1.6949000000000001</v>
      </c>
      <c r="M22" s="11">
        <f>Electricity!H28</f>
        <v>51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14847.500000000764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2350</v>
      </c>
      <c r="J23" s="92">
        <v>0.21186441</v>
      </c>
      <c r="K23" s="11">
        <f>IF('Water, Gas, Diesel'!F27&lt;0,0,'Water, Gas, Diesel'!F27)</f>
        <v>210</v>
      </c>
      <c r="L23" s="92">
        <v>1.6949000000000001</v>
      </c>
      <c r="M23" s="11">
        <f>Electricity!H29</f>
        <v>42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19160.000000001673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3002</v>
      </c>
      <c r="J24" s="92">
        <v>0.21186441</v>
      </c>
      <c r="K24" s="11">
        <f>IF('Water, Gas, Diesel'!F28&lt;0,0,'Water, Gas, Diesel'!F28)</f>
        <v>216</v>
      </c>
      <c r="L24" s="92">
        <v>1.6949000000000001</v>
      </c>
      <c r="M24" s="11">
        <f>Electricity!H30</f>
        <v>76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13892.500000001746</v>
      </c>
      <c r="F25" s="92">
        <v>9.3200000000000005E-2</v>
      </c>
      <c r="G25" s="11">
        <f>IF('Water, Gas, Diesel'!K29&lt;0,0,'Water, Gas, Diesel'!K29)</f>
        <v>200</v>
      </c>
      <c r="H25" s="92">
        <v>0.7</v>
      </c>
      <c r="I25" s="11">
        <f>IF('Water, Gas, Diesel'!C29&lt;0,0,'Water, Gas, Diesel'!C29)</f>
        <v>2184</v>
      </c>
      <c r="J25" s="92">
        <v>0.21186441</v>
      </c>
      <c r="K25" s="11">
        <f>IF('Water, Gas, Diesel'!F29&lt;0,0,'Water, Gas, Diesel'!F29)</f>
        <v>197</v>
      </c>
      <c r="L25" s="92">
        <v>1.6949000000000001</v>
      </c>
      <c r="M25" s="11">
        <f>Electricity!H31</f>
        <v>79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20297.500000001492</v>
      </c>
      <c r="F26" s="92">
        <v>9.3200000000000005E-2</v>
      </c>
      <c r="G26" s="11">
        <f>IF('Water, Gas, Diesel'!K30&lt;0,0,'Water, Gas, Diesel'!K30)</f>
        <v>10</v>
      </c>
      <c r="H26" s="92">
        <v>0.7</v>
      </c>
      <c r="I26" s="11">
        <f>IF('Water, Gas, Diesel'!C30&lt;0,0,'Water, Gas, Diesel'!C30)</f>
        <v>2776</v>
      </c>
      <c r="J26" s="92">
        <v>0.21186441</v>
      </c>
      <c r="K26" s="11">
        <f>IF('Water, Gas, Diesel'!F30&lt;0,0,'Water, Gas, Diesel'!F30)</f>
        <v>154</v>
      </c>
      <c r="L26" s="92">
        <v>1.6949000000000001</v>
      </c>
      <c r="M26" s="11">
        <f>Electricity!H32</f>
        <v>77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23517.499999998108</v>
      </c>
      <c r="F27" s="92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2943</v>
      </c>
      <c r="J27" s="92">
        <v>0.21186441</v>
      </c>
      <c r="K27" s="11">
        <f>IF('Water, Gas, Diesel'!F31&lt;0,0,'Water, Gas, Diesel'!F31)</f>
        <v>245</v>
      </c>
      <c r="L27" s="92">
        <v>1.6949000000000001</v>
      </c>
      <c r="M27" s="11">
        <f>Electricity!H33</f>
        <v>94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12220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82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6" activePane="bottomLeft" state="frozen"/>
      <selection pane="bottomLeft" activeCell="M33" sqref="M33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72" t="s">
        <v>23</v>
      </c>
      <c r="D5" s="73" t="s">
        <v>22</v>
      </c>
      <c r="E5" s="72" t="s">
        <v>23</v>
      </c>
      <c r="F5" s="150"/>
      <c r="G5" s="152"/>
      <c r="H5" s="142"/>
    </row>
    <row r="6" spans="1:8" ht="15.75" hidden="1">
      <c r="A6" s="105"/>
      <c r="B6" s="24"/>
      <c r="C6" s="74"/>
      <c r="D6" s="75"/>
      <c r="E6" s="74"/>
      <c r="F6" s="27"/>
      <c r="G6" s="76"/>
      <c r="H6" s="106"/>
    </row>
    <row r="7" spans="1:8" ht="27.75" customHeight="1">
      <c r="A7" s="107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3">
        <f t="shared" ref="F7:F38" si="2">C7+E7</f>
        <v>18994.999999999891</v>
      </c>
      <c r="G7" s="77">
        <f>F7*0.0932</f>
        <v>1770.3339999999898</v>
      </c>
      <c r="H7" s="135">
        <v>107</v>
      </c>
    </row>
    <row r="8" spans="1:8" ht="30.95" customHeight="1">
      <c r="A8" s="108">
        <v>1</v>
      </c>
      <c r="B8" s="102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09">
        <v>109</v>
      </c>
    </row>
    <row r="9" spans="1:8" ht="30.95" customHeight="1">
      <c r="A9" s="110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1">
        <v>49</v>
      </c>
    </row>
    <row r="10" spans="1:8" ht="30.95" customHeight="1">
      <c r="A10" s="108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1">
        <v>47</v>
      </c>
    </row>
    <row r="11" spans="1:8" ht="30.95" customHeight="1">
      <c r="A11" s="110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1">
        <v>51</v>
      </c>
    </row>
    <row r="12" spans="1:8" ht="30.95" customHeight="1">
      <c r="A12" s="108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1">
        <v>53</v>
      </c>
    </row>
    <row r="13" spans="1:8" ht="30.95" customHeight="1">
      <c r="A13" s="110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1">
        <v>67</v>
      </c>
    </row>
    <row r="14" spans="1:8" ht="30.95" customHeight="1">
      <c r="A14" s="108">
        <v>7</v>
      </c>
      <c r="B14" s="86">
        <v>15052.300999999999</v>
      </c>
      <c r="C14" s="80">
        <f t="shared" si="0"/>
        <v>8182.5000000026193</v>
      </c>
      <c r="D14" s="112">
        <v>15420.011</v>
      </c>
      <c r="E14" s="80">
        <f t="shared" si="1"/>
        <v>10502.499999997781</v>
      </c>
      <c r="F14" s="51">
        <f t="shared" si="2"/>
        <v>18685.0000000004</v>
      </c>
      <c r="G14" s="77">
        <f t="shared" si="3"/>
        <v>1741.4420000000373</v>
      </c>
      <c r="H14" s="111">
        <v>52</v>
      </c>
    </row>
    <row r="15" spans="1:8" ht="30.95" customHeight="1">
      <c r="A15" s="110">
        <v>8</v>
      </c>
      <c r="B15" s="84">
        <v>15055.574000000001</v>
      </c>
      <c r="C15" s="39">
        <f t="shared" si="0"/>
        <v>7282.4999999966167</v>
      </c>
      <c r="D15" s="87">
        <v>15424.212</v>
      </c>
      <c r="E15" s="39">
        <f t="shared" si="1"/>
        <v>9130.0000000001091</v>
      </c>
      <c r="F15" s="47">
        <f t="shared" si="2"/>
        <v>16412.499999996726</v>
      </c>
      <c r="G15" s="77">
        <f t="shared" si="3"/>
        <v>1529.6449999996948</v>
      </c>
      <c r="H15" s="111">
        <v>36</v>
      </c>
    </row>
    <row r="16" spans="1:8" ht="30.95" customHeight="1">
      <c r="A16" s="108">
        <v>9</v>
      </c>
      <c r="B16" s="88">
        <v>15058.486999999999</v>
      </c>
      <c r="C16" s="80">
        <f t="shared" si="0"/>
        <v>8382.5000000024374</v>
      </c>
      <c r="D16" s="89">
        <v>15427.864</v>
      </c>
      <c r="E16" s="80">
        <f t="shared" si="1"/>
        <v>10934.999999999491</v>
      </c>
      <c r="F16" s="51">
        <f t="shared" si="2"/>
        <v>19317.500000001928</v>
      </c>
      <c r="G16" s="77">
        <f t="shared" si="3"/>
        <v>1800.3910000001797</v>
      </c>
      <c r="H16" s="111">
        <v>34</v>
      </c>
    </row>
    <row r="17" spans="1:8" ht="30.95" customHeight="1">
      <c r="A17" s="110">
        <v>10</v>
      </c>
      <c r="B17" s="86">
        <v>15061.84</v>
      </c>
      <c r="C17" s="39">
        <f t="shared" si="0"/>
        <v>6882.500000001528</v>
      </c>
      <c r="D17" s="112">
        <v>15432.237999999999</v>
      </c>
      <c r="E17" s="39">
        <f t="shared" si="1"/>
        <v>8395.0000000004366</v>
      </c>
      <c r="F17" s="47">
        <f t="shared" si="2"/>
        <v>15277.500000001965</v>
      </c>
      <c r="G17" s="77">
        <f t="shared" si="3"/>
        <v>1423.8630000001831</v>
      </c>
      <c r="H17" s="111">
        <v>40</v>
      </c>
    </row>
    <row r="18" spans="1:8" ht="30.95" customHeight="1">
      <c r="A18" s="108">
        <v>11</v>
      </c>
      <c r="B18" s="84">
        <v>15064.593000000001</v>
      </c>
      <c r="C18" s="80">
        <f t="shared" si="0"/>
        <v>7382.4999999987995</v>
      </c>
      <c r="D18" s="87">
        <v>15435.596</v>
      </c>
      <c r="E18" s="80">
        <f t="shared" si="1"/>
        <v>8847.5000000016735</v>
      </c>
      <c r="F18" s="51">
        <f t="shared" si="2"/>
        <v>16230.000000000473</v>
      </c>
      <c r="G18" s="77">
        <f t="shared" si="3"/>
        <v>1512.6360000000441</v>
      </c>
      <c r="H18" s="111">
        <v>61</v>
      </c>
    </row>
    <row r="19" spans="1:8" ht="30.95" customHeight="1">
      <c r="A19" s="110">
        <v>12</v>
      </c>
      <c r="B19" s="86">
        <v>15067.546</v>
      </c>
      <c r="C19" s="39">
        <f t="shared" si="0"/>
        <v>8242.5000000012005</v>
      </c>
      <c r="D19" s="112">
        <v>15439.135</v>
      </c>
      <c r="E19" s="39">
        <f t="shared" si="1"/>
        <v>9727.4999999990541</v>
      </c>
      <c r="F19" s="47">
        <f t="shared" si="2"/>
        <v>17970.000000000255</v>
      </c>
      <c r="G19" s="77">
        <f t="shared" si="3"/>
        <v>1674.8040000000237</v>
      </c>
      <c r="H19" s="111">
        <v>60</v>
      </c>
    </row>
    <row r="20" spans="1:8" ht="30.95" customHeight="1">
      <c r="A20" s="108">
        <v>13</v>
      </c>
      <c r="B20" s="84">
        <v>15070.843000000001</v>
      </c>
      <c r="C20" s="80">
        <f t="shared" si="0"/>
        <v>9587.4999999978172</v>
      </c>
      <c r="D20" s="90">
        <v>15443.026</v>
      </c>
      <c r="E20" s="80">
        <f t="shared" si="1"/>
        <v>11797.500000002401</v>
      </c>
      <c r="F20" s="51">
        <f t="shared" si="2"/>
        <v>21385.000000000218</v>
      </c>
      <c r="G20" s="77">
        <f t="shared" si="3"/>
        <v>1993.0820000000203</v>
      </c>
      <c r="H20" s="111">
        <v>58</v>
      </c>
    </row>
    <row r="21" spans="1:8" ht="30.95" customHeight="1">
      <c r="A21" s="110">
        <v>14</v>
      </c>
      <c r="B21" s="84">
        <v>15074.678</v>
      </c>
      <c r="C21" s="39">
        <f t="shared" si="0"/>
        <v>8389.9999999994179</v>
      </c>
      <c r="D21" s="87">
        <v>15447.745000000001</v>
      </c>
      <c r="E21" s="39">
        <f t="shared" si="1"/>
        <v>10397.499999999127</v>
      </c>
      <c r="F21" s="47">
        <f t="shared" si="2"/>
        <v>18787.499999998545</v>
      </c>
      <c r="G21" s="77">
        <f t="shared" si="3"/>
        <v>1750.9949999998644</v>
      </c>
      <c r="H21" s="111">
        <v>63</v>
      </c>
    </row>
    <row r="22" spans="1:8" ht="30.95" customHeight="1">
      <c r="A22" s="108">
        <v>15</v>
      </c>
      <c r="B22" s="84">
        <v>15078.034</v>
      </c>
      <c r="C22" s="80">
        <f t="shared" si="0"/>
        <v>8237.5000000001819</v>
      </c>
      <c r="D22" s="67">
        <v>15451.904</v>
      </c>
      <c r="E22" s="80">
        <f t="shared" si="1"/>
        <v>10205.000000000837</v>
      </c>
      <c r="F22" s="51">
        <f t="shared" si="2"/>
        <v>18442.500000001019</v>
      </c>
      <c r="G22" s="77">
        <f t="shared" si="3"/>
        <v>1718.8410000000949</v>
      </c>
      <c r="H22" s="111">
        <v>41</v>
      </c>
    </row>
    <row r="23" spans="1:8" ht="30.95" customHeight="1">
      <c r="A23" s="110">
        <v>16</v>
      </c>
      <c r="B23" s="93">
        <v>15081.329</v>
      </c>
      <c r="C23" s="39">
        <f t="shared" si="0"/>
        <v>7980.0000000022919</v>
      </c>
      <c r="D23" s="94">
        <v>15455.986000000001</v>
      </c>
      <c r="E23" s="39">
        <f t="shared" si="1"/>
        <v>9984.9999999969441</v>
      </c>
      <c r="F23" s="47">
        <f t="shared" si="2"/>
        <v>17964.999999999236</v>
      </c>
      <c r="G23" s="77">
        <f t="shared" si="3"/>
        <v>1674.3379999999288</v>
      </c>
      <c r="H23" s="111">
        <v>37</v>
      </c>
    </row>
    <row r="24" spans="1:8" ht="30.95" customHeight="1">
      <c r="A24" s="108">
        <v>17</v>
      </c>
      <c r="B24" s="95">
        <v>15084.521000000001</v>
      </c>
      <c r="C24" s="80">
        <f t="shared" si="0"/>
        <v>7182.4999999989814</v>
      </c>
      <c r="D24" s="112">
        <v>15459.98</v>
      </c>
      <c r="E24" s="80">
        <f t="shared" si="1"/>
        <v>9287.5000000003638</v>
      </c>
      <c r="F24" s="51">
        <f t="shared" si="2"/>
        <v>16469.999999999345</v>
      </c>
      <c r="G24" s="77">
        <f t="shared" si="3"/>
        <v>1535.003999999939</v>
      </c>
      <c r="H24" s="111">
        <v>45</v>
      </c>
    </row>
    <row r="25" spans="1:8" ht="30.95" customHeight="1">
      <c r="A25" s="110">
        <v>18</v>
      </c>
      <c r="B25" s="84">
        <v>15087.394</v>
      </c>
      <c r="C25" s="39">
        <f>(B26-B25)*2500</f>
        <v>8097.499999998945</v>
      </c>
      <c r="D25" s="87">
        <v>15463.695</v>
      </c>
      <c r="E25" s="39">
        <f>(D26-D25)*2500</f>
        <v>10315.000000000509</v>
      </c>
      <c r="F25" s="47">
        <f t="shared" si="2"/>
        <v>18412.499999999454</v>
      </c>
      <c r="G25" s="77">
        <f t="shared" si="3"/>
        <v>1716.0449999999491</v>
      </c>
      <c r="H25" s="111">
        <v>43</v>
      </c>
    </row>
    <row r="26" spans="1:8" ht="30.95" customHeight="1">
      <c r="A26" s="108">
        <v>19</v>
      </c>
      <c r="B26" s="86">
        <v>15090.633</v>
      </c>
      <c r="C26" s="80">
        <f t="shared" ref="C26:C38" si="4">(B27-B26)*2500</f>
        <v>8164.9999999990541</v>
      </c>
      <c r="D26" s="112">
        <v>15467.821</v>
      </c>
      <c r="E26" s="80">
        <f t="shared" ref="E26:E38" si="5">(D27-D26)*2500</f>
        <v>10470.000000000255</v>
      </c>
      <c r="F26" s="47">
        <f t="shared" si="2"/>
        <v>18634.999999999309</v>
      </c>
      <c r="G26" s="77">
        <f t="shared" si="3"/>
        <v>1736.7819999999356</v>
      </c>
      <c r="H26" s="111">
        <v>53</v>
      </c>
    </row>
    <row r="27" spans="1:8" ht="30.95" customHeight="1">
      <c r="A27" s="110">
        <v>20</v>
      </c>
      <c r="B27" s="84">
        <v>15093.898999999999</v>
      </c>
      <c r="C27" s="39">
        <f t="shared" si="4"/>
        <v>8189.9999999995998</v>
      </c>
      <c r="D27" s="90">
        <v>15472.009</v>
      </c>
      <c r="E27" s="39">
        <f t="shared" si="5"/>
        <v>10034.999999998035</v>
      </c>
      <c r="F27" s="51">
        <f t="shared" si="2"/>
        <v>18224.999999997635</v>
      </c>
      <c r="G27" s="77">
        <f t="shared" si="3"/>
        <v>1698.5699999997796</v>
      </c>
      <c r="H27" s="111">
        <v>51</v>
      </c>
    </row>
    <row r="28" spans="1:8" ht="30.95" customHeight="1">
      <c r="A28" s="108">
        <v>21</v>
      </c>
      <c r="B28" s="86">
        <v>15097.174999999999</v>
      </c>
      <c r="C28" s="80">
        <f t="shared" si="4"/>
        <v>10354.999999999563</v>
      </c>
      <c r="D28" s="112">
        <v>15476.022999999999</v>
      </c>
      <c r="E28" s="80">
        <f t="shared" si="5"/>
        <v>12710.000000001855</v>
      </c>
      <c r="F28" s="47">
        <f t="shared" si="2"/>
        <v>23065.000000001419</v>
      </c>
      <c r="G28" s="77">
        <f t="shared" si="3"/>
        <v>2149.6580000001322</v>
      </c>
      <c r="H28" s="111">
        <v>51</v>
      </c>
    </row>
    <row r="29" spans="1:8" ht="30.95" customHeight="1">
      <c r="A29" s="110">
        <v>22</v>
      </c>
      <c r="B29" s="84">
        <v>15101.316999999999</v>
      </c>
      <c r="C29" s="39">
        <f t="shared" si="4"/>
        <v>6765.0000000003274</v>
      </c>
      <c r="D29" s="87">
        <v>15481.107</v>
      </c>
      <c r="E29" s="39">
        <f t="shared" si="5"/>
        <v>8082.5000000004366</v>
      </c>
      <c r="F29" s="51">
        <f t="shared" si="2"/>
        <v>14847.500000000764</v>
      </c>
      <c r="G29" s="77">
        <f t="shared" si="3"/>
        <v>1383.7870000000712</v>
      </c>
      <c r="H29" s="111">
        <v>42</v>
      </c>
    </row>
    <row r="30" spans="1:8" ht="30.95" customHeight="1">
      <c r="A30" s="108">
        <v>23</v>
      </c>
      <c r="B30" s="86">
        <v>15104.022999999999</v>
      </c>
      <c r="C30" s="80">
        <f t="shared" si="4"/>
        <v>8530.0000000006548</v>
      </c>
      <c r="D30" s="112">
        <v>15484.34</v>
      </c>
      <c r="E30" s="80">
        <f t="shared" si="5"/>
        <v>10630.000000001019</v>
      </c>
      <c r="F30" s="47">
        <f t="shared" si="2"/>
        <v>19160.000000001673</v>
      </c>
      <c r="G30" s="77">
        <f t="shared" si="3"/>
        <v>1785.712000000156</v>
      </c>
      <c r="H30" s="111">
        <v>76</v>
      </c>
    </row>
    <row r="31" spans="1:8" ht="30.95" customHeight="1">
      <c r="A31" s="110">
        <v>24</v>
      </c>
      <c r="B31" s="84">
        <v>15107.434999999999</v>
      </c>
      <c r="C31" s="39">
        <f t="shared" si="4"/>
        <v>6155.0000000033833</v>
      </c>
      <c r="D31" s="87">
        <v>15488.592000000001</v>
      </c>
      <c r="E31" s="39">
        <f t="shared" si="5"/>
        <v>7737.4999999983629</v>
      </c>
      <c r="F31" s="51">
        <f t="shared" si="2"/>
        <v>13892.500000001746</v>
      </c>
      <c r="G31" s="77">
        <f t="shared" si="3"/>
        <v>1294.7810000001627</v>
      </c>
      <c r="H31" s="111">
        <v>79</v>
      </c>
    </row>
    <row r="32" spans="1:8" ht="30.95" customHeight="1">
      <c r="A32" s="108">
        <v>25</v>
      </c>
      <c r="B32" s="86">
        <v>15109.897000000001</v>
      </c>
      <c r="C32" s="80">
        <f t="shared" si="4"/>
        <v>8704.9999999999272</v>
      </c>
      <c r="D32" s="112">
        <v>15491.687</v>
      </c>
      <c r="E32" s="80">
        <f t="shared" si="5"/>
        <v>11592.500000001564</v>
      </c>
      <c r="F32" s="47">
        <f t="shared" si="2"/>
        <v>20297.500000001492</v>
      </c>
      <c r="G32" s="77">
        <f t="shared" si="3"/>
        <v>1891.727000000139</v>
      </c>
      <c r="H32" s="111">
        <v>77</v>
      </c>
    </row>
    <row r="33" spans="1:8" ht="30.95" customHeight="1">
      <c r="A33" s="110">
        <v>26</v>
      </c>
      <c r="B33" s="45">
        <v>15113.379000000001</v>
      </c>
      <c r="C33" s="39">
        <f t="shared" si="4"/>
        <v>9952.4999999994179</v>
      </c>
      <c r="D33" s="87">
        <v>15496.324000000001</v>
      </c>
      <c r="E33" s="39">
        <f t="shared" si="5"/>
        <v>13564.99999999869</v>
      </c>
      <c r="F33" s="51">
        <f t="shared" si="2"/>
        <v>23517.499999998108</v>
      </c>
      <c r="G33" s="77">
        <f t="shared" si="3"/>
        <v>2191.8309999998237</v>
      </c>
      <c r="H33" s="111">
        <v>94</v>
      </c>
    </row>
    <row r="34" spans="1:8" ht="30.95" customHeight="1">
      <c r="A34" s="108">
        <v>27</v>
      </c>
      <c r="B34" s="86">
        <v>15117.36</v>
      </c>
      <c r="C34" s="80">
        <f t="shared" si="4"/>
        <v>-37793400</v>
      </c>
      <c r="D34" s="112">
        <v>15501.75</v>
      </c>
      <c r="E34" s="39">
        <f t="shared" si="5"/>
        <v>-38754375</v>
      </c>
      <c r="F34" s="47">
        <f t="shared" si="2"/>
        <v>-76547775</v>
      </c>
      <c r="G34" s="77">
        <f t="shared" si="3"/>
        <v>-7134252.6300000008</v>
      </c>
      <c r="H34" s="111">
        <v>82</v>
      </c>
    </row>
    <row r="35" spans="1:8" ht="30.95" customHeight="1">
      <c r="A35" s="110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1"/>
    </row>
    <row r="36" spans="1:8" ht="30.95" customHeight="1">
      <c r="A36" s="108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09"/>
    </row>
    <row r="37" spans="1:8" ht="30.95" customHeight="1">
      <c r="A37" s="124">
        <v>30</v>
      </c>
      <c r="B37" s="125"/>
      <c r="C37" s="66">
        <f>(B38-B37)*2500</f>
        <v>0</v>
      </c>
      <c r="D37" s="126"/>
      <c r="E37" s="66">
        <f>(D38-D37)*2500</f>
        <v>0</v>
      </c>
      <c r="F37" s="61">
        <f t="shared" si="2"/>
        <v>0</v>
      </c>
      <c r="G37" s="134">
        <f t="shared" si="3"/>
        <v>0</v>
      </c>
      <c r="H37" s="127"/>
    </row>
    <row r="38" spans="1:8" ht="30.95" customHeight="1">
      <c r="A38" s="116">
        <v>1</v>
      </c>
      <c r="B38" s="118"/>
      <c r="C38" s="119">
        <f t="shared" si="4"/>
        <v>0</v>
      </c>
      <c r="D38" s="120"/>
      <c r="E38" s="119">
        <f t="shared" si="5"/>
        <v>0</v>
      </c>
      <c r="F38" s="121">
        <f t="shared" si="2"/>
        <v>0</v>
      </c>
      <c r="G38" s="122">
        <f t="shared" si="3"/>
        <v>0</v>
      </c>
      <c r="H38" s="123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7" activePane="bottomLeft" state="frozen"/>
      <selection pane="bottomLeft" activeCell="J33" sqref="J33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31</v>
      </c>
      <c r="B5" s="99">
        <v>6692412</v>
      </c>
      <c r="C5" s="113">
        <f>B6-B5</f>
        <v>3897</v>
      </c>
      <c r="D5" s="34">
        <f>C5*0.21186441</f>
        <v>825.63560576999998</v>
      </c>
      <c r="E5" s="35">
        <v>519682</v>
      </c>
      <c r="F5" s="114">
        <f>E6-E5</f>
        <v>190</v>
      </c>
      <c r="G5" s="36">
        <f>F5*0.84746</f>
        <v>161.01740000000001</v>
      </c>
      <c r="H5" s="36">
        <f>F5*0.84746</f>
        <v>161.01740000000001</v>
      </c>
      <c r="I5" s="100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99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2722</v>
      </c>
      <c r="D12" s="46">
        <f t="shared" si="6"/>
        <v>576.69492402000003</v>
      </c>
      <c r="E12" s="47">
        <v>521140</v>
      </c>
      <c r="F12" s="54">
        <f t="shared" si="1"/>
        <v>90</v>
      </c>
      <c r="G12" s="43">
        <f t="shared" si="4"/>
        <v>76.2714</v>
      </c>
      <c r="H12" s="43">
        <f t="shared" si="5"/>
        <v>76.2714</v>
      </c>
      <c r="I12" s="49">
        <f t="shared" si="2"/>
        <v>152.5428</v>
      </c>
      <c r="J12" s="37">
        <f>5820+6480</f>
        <v>12300</v>
      </c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>
        <v>6715920</v>
      </c>
      <c r="C13" s="55">
        <f t="shared" si="0"/>
        <v>2677</v>
      </c>
      <c r="D13" s="46">
        <f t="shared" si="6"/>
        <v>567.16102556999999</v>
      </c>
      <c r="E13" s="47">
        <v>521230</v>
      </c>
      <c r="F13" s="56">
        <f t="shared" si="1"/>
        <v>199</v>
      </c>
      <c r="G13" s="48">
        <f t="shared" si="4"/>
        <v>168.64454000000001</v>
      </c>
      <c r="H13" s="48">
        <f t="shared" si="5"/>
        <v>168.64454000000001</v>
      </c>
      <c r="I13" s="49">
        <f t="shared" si="2"/>
        <v>337.28908000000001</v>
      </c>
      <c r="J13" s="37">
        <f>5820+6480</f>
        <v>12300</v>
      </c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>
        <v>6718597</v>
      </c>
      <c r="C14" s="53">
        <f t="shared" si="0"/>
        <v>3179</v>
      </c>
      <c r="D14" s="46">
        <f t="shared" si="6"/>
        <v>673.51695939000001</v>
      </c>
      <c r="E14" s="47">
        <v>521429</v>
      </c>
      <c r="F14" s="54">
        <f t="shared" si="1"/>
        <v>139</v>
      </c>
      <c r="G14" s="48">
        <f t="shared" si="4"/>
        <v>117.79693999999999</v>
      </c>
      <c r="H14" s="43">
        <f t="shared" si="5"/>
        <v>117.79693999999999</v>
      </c>
      <c r="I14" s="49">
        <f t="shared" si="2"/>
        <v>235.59387999999998</v>
      </c>
      <c r="J14" s="37">
        <f>5820+6480</f>
        <v>12300</v>
      </c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>
        <v>6721776</v>
      </c>
      <c r="C15" s="55">
        <f t="shared" si="0"/>
        <v>2647</v>
      </c>
      <c r="D15" s="46">
        <f t="shared" si="6"/>
        <v>560.80509327000004</v>
      </c>
      <c r="E15" s="47">
        <v>521568</v>
      </c>
      <c r="F15" s="56">
        <f t="shared" si="1"/>
        <v>161</v>
      </c>
      <c r="G15" s="48">
        <f t="shared" si="4"/>
        <v>136.44105999999999</v>
      </c>
      <c r="H15" s="48">
        <f t="shared" si="5"/>
        <v>136.44105999999999</v>
      </c>
      <c r="I15" s="49">
        <f t="shared" si="2"/>
        <v>272.88211999999999</v>
      </c>
      <c r="J15" s="37">
        <f>5820+6480</f>
        <v>12300</v>
      </c>
      <c r="K15" s="38">
        <f>J15-J16</f>
        <v>-90</v>
      </c>
      <c r="L15" s="39">
        <f>K15*0.7</f>
        <v>-62.999999999999993</v>
      </c>
    </row>
    <row r="16" spans="1:12" ht="32.450000000000003" customHeight="1">
      <c r="A16" s="40">
        <v>11</v>
      </c>
      <c r="B16" s="40">
        <v>6724423</v>
      </c>
      <c r="C16" s="53">
        <f>B17-B16</f>
        <v>3399</v>
      </c>
      <c r="D16" s="46">
        <f t="shared" si="6"/>
        <v>720.12712958999998</v>
      </c>
      <c r="E16" s="47">
        <v>521729</v>
      </c>
      <c r="F16" s="54">
        <f>E17-E16</f>
        <v>173</v>
      </c>
      <c r="G16" s="43">
        <f t="shared" si="4"/>
        <v>146.61058</v>
      </c>
      <c r="H16" s="43">
        <f t="shared" si="5"/>
        <v>146.61058</v>
      </c>
      <c r="I16" s="49">
        <f t="shared" si="2"/>
        <v>293.22116</v>
      </c>
      <c r="J16" s="37">
        <f>5940+6450</f>
        <v>12390</v>
      </c>
      <c r="K16" s="38">
        <f t="shared" si="3"/>
        <v>-20</v>
      </c>
      <c r="L16" s="39">
        <f>K16*0.7</f>
        <v>-14</v>
      </c>
    </row>
    <row r="17" spans="1:12" ht="32.450000000000003" customHeight="1">
      <c r="A17" s="45">
        <v>12</v>
      </c>
      <c r="B17" s="45">
        <v>6727822</v>
      </c>
      <c r="C17" s="55">
        <f t="shared" ref="C17:C35" si="7">B18-B17</f>
        <v>2823</v>
      </c>
      <c r="D17" s="46">
        <f t="shared" si="6"/>
        <v>598.09322943000006</v>
      </c>
      <c r="E17" s="47">
        <v>521902</v>
      </c>
      <c r="F17" s="56">
        <f t="shared" ref="F17:F35" si="8">E18-E17</f>
        <v>177</v>
      </c>
      <c r="G17" s="48">
        <f t="shared" si="4"/>
        <v>150.00041999999999</v>
      </c>
      <c r="H17" s="48">
        <f t="shared" si="5"/>
        <v>150.00041999999999</v>
      </c>
      <c r="I17" s="49">
        <f t="shared" si="2"/>
        <v>300.00083999999998</v>
      </c>
      <c r="J17" s="37">
        <f>5960+6450</f>
        <v>12410</v>
      </c>
      <c r="K17" s="38">
        <f t="shared" si="3"/>
        <v>-20</v>
      </c>
      <c r="L17" s="39">
        <f>K17*0.7</f>
        <v>-14</v>
      </c>
    </row>
    <row r="18" spans="1:12" ht="32.450000000000003" customHeight="1">
      <c r="A18" s="40">
        <v>13</v>
      </c>
      <c r="B18" s="40">
        <v>6730645</v>
      </c>
      <c r="C18" s="53">
        <f t="shared" si="7"/>
        <v>3047</v>
      </c>
      <c r="D18" s="46">
        <f t="shared" si="6"/>
        <v>645.55085727000005</v>
      </c>
      <c r="E18" s="51">
        <v>522079</v>
      </c>
      <c r="F18" s="54">
        <f t="shared" si="8"/>
        <v>215</v>
      </c>
      <c r="G18" s="43">
        <f t="shared" si="4"/>
        <v>182.2039</v>
      </c>
      <c r="H18" s="43">
        <f t="shared" si="5"/>
        <v>182.2039</v>
      </c>
      <c r="I18" s="49">
        <f t="shared" si="2"/>
        <v>364.40780000000001</v>
      </c>
      <c r="J18" s="37">
        <f>5980+6450</f>
        <v>12430</v>
      </c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>
        <v>6733692</v>
      </c>
      <c r="C19" s="55">
        <f t="shared" si="7"/>
        <v>3452</v>
      </c>
      <c r="D19" s="46">
        <f t="shared" si="6"/>
        <v>731.35594332000005</v>
      </c>
      <c r="E19" s="52">
        <v>522294</v>
      </c>
      <c r="F19" s="56">
        <f t="shared" si="8"/>
        <v>233</v>
      </c>
      <c r="G19" s="48">
        <f t="shared" si="4"/>
        <v>197.45818</v>
      </c>
      <c r="H19" s="48">
        <f t="shared" si="5"/>
        <v>197.45818</v>
      </c>
      <c r="I19" s="49">
        <f t="shared" si="2"/>
        <v>394.91636</v>
      </c>
      <c r="J19" s="50">
        <f>5980+6450</f>
        <v>12430</v>
      </c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>
        <v>6737144</v>
      </c>
      <c r="C20" s="53">
        <f t="shared" si="7"/>
        <v>3348</v>
      </c>
      <c r="D20" s="46">
        <f t="shared" si="6"/>
        <v>709.32204467999998</v>
      </c>
      <c r="E20" s="51">
        <v>522527</v>
      </c>
      <c r="F20" s="54">
        <f t="shared" si="8"/>
        <v>205</v>
      </c>
      <c r="G20" s="43">
        <f t="shared" si="4"/>
        <v>173.72929999999999</v>
      </c>
      <c r="H20" s="43">
        <f t="shared" si="5"/>
        <v>173.72929999999999</v>
      </c>
      <c r="I20" s="49">
        <f t="shared" si="2"/>
        <v>347.45859999999999</v>
      </c>
      <c r="J20" s="50">
        <f>5980+6450</f>
        <v>12430</v>
      </c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>
        <v>6740492</v>
      </c>
      <c r="C21" s="55">
        <f t="shared" si="7"/>
        <v>2848</v>
      </c>
      <c r="D21" s="46">
        <f t="shared" si="6"/>
        <v>603.38983968000002</v>
      </c>
      <c r="E21" s="96">
        <v>522732</v>
      </c>
      <c r="F21" s="56">
        <f t="shared" si="8"/>
        <v>206</v>
      </c>
      <c r="G21" s="48">
        <f t="shared" si="4"/>
        <v>174.57676000000001</v>
      </c>
      <c r="H21" s="48">
        <f t="shared" si="5"/>
        <v>174.57676000000001</v>
      </c>
      <c r="I21" s="49">
        <f t="shared" si="2"/>
        <v>349.15352000000001</v>
      </c>
      <c r="J21" s="50">
        <f>5980+6450</f>
        <v>12430</v>
      </c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>
        <v>6743340</v>
      </c>
      <c r="C22" s="53">
        <f t="shared" si="7"/>
        <v>2605</v>
      </c>
      <c r="D22" s="46">
        <f t="shared" si="6"/>
        <v>551.90678805000005</v>
      </c>
      <c r="E22" s="52">
        <v>522938</v>
      </c>
      <c r="F22" s="54">
        <f t="shared" si="8"/>
        <v>189</v>
      </c>
      <c r="G22" s="43">
        <f t="shared" si="4"/>
        <v>160.16994</v>
      </c>
      <c r="H22" s="43">
        <f t="shared" si="5"/>
        <v>160.16994</v>
      </c>
      <c r="I22" s="49">
        <f t="shared" si="2"/>
        <v>320.33987999999999</v>
      </c>
      <c r="J22" s="50">
        <f>5980+6450</f>
        <v>12430</v>
      </c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>
        <v>6745945</v>
      </c>
      <c r="C23" s="55">
        <f t="shared" si="7"/>
        <v>1441</v>
      </c>
      <c r="D23" s="46">
        <f t="shared" si="6"/>
        <v>305.29661480999999</v>
      </c>
      <c r="E23" s="52">
        <v>523127</v>
      </c>
      <c r="F23" s="56">
        <f t="shared" si="8"/>
        <v>174</v>
      </c>
      <c r="G23" s="48">
        <f t="shared" si="4"/>
        <v>147.45804000000001</v>
      </c>
      <c r="H23" s="48">
        <f t="shared" si="5"/>
        <v>147.45804000000001</v>
      </c>
      <c r="I23" s="49">
        <f t="shared" si="2"/>
        <v>294.91608000000002</v>
      </c>
      <c r="J23" s="50">
        <f>5980+6450</f>
        <v>12430</v>
      </c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>
        <v>6747386</v>
      </c>
      <c r="C24" s="53">
        <f t="shared" si="7"/>
        <v>3911</v>
      </c>
      <c r="D24" s="46">
        <f t="shared" si="6"/>
        <v>828.60170750999998</v>
      </c>
      <c r="E24" s="52">
        <v>523301</v>
      </c>
      <c r="F24" s="54">
        <f t="shared" si="8"/>
        <v>185</v>
      </c>
      <c r="G24" s="43">
        <f t="shared" si="4"/>
        <v>156.7801</v>
      </c>
      <c r="H24" s="43">
        <f t="shared" si="5"/>
        <v>156.7801</v>
      </c>
      <c r="I24" s="49">
        <f t="shared" si="2"/>
        <v>313.56020000000001</v>
      </c>
      <c r="J24" s="50">
        <f>5980+6450</f>
        <v>12430</v>
      </c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>
        <v>6751297</v>
      </c>
      <c r="C25" s="55">
        <f t="shared" si="7"/>
        <v>2917</v>
      </c>
      <c r="D25" s="46">
        <f t="shared" si="6"/>
        <v>618.00848397000004</v>
      </c>
      <c r="E25" s="52">
        <v>523486</v>
      </c>
      <c r="F25" s="56">
        <f t="shared" si="8"/>
        <v>197</v>
      </c>
      <c r="G25" s="48">
        <f t="shared" si="4"/>
        <v>166.94962000000001</v>
      </c>
      <c r="H25" s="48">
        <f t="shared" si="5"/>
        <v>166.94962000000001</v>
      </c>
      <c r="I25" s="49">
        <f t="shared" si="2"/>
        <v>333.89924000000002</v>
      </c>
      <c r="J25" s="50">
        <f>5980+6450</f>
        <v>12430</v>
      </c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>
        <v>6754214</v>
      </c>
      <c r="C26" s="53">
        <f t="shared" si="7"/>
        <v>3659</v>
      </c>
      <c r="D26" s="46">
        <f t="shared" si="6"/>
        <v>775.21187619</v>
      </c>
      <c r="E26" s="52">
        <v>523683</v>
      </c>
      <c r="F26" s="54">
        <f t="shared" si="8"/>
        <v>247</v>
      </c>
      <c r="G26" s="43">
        <f t="shared" si="4"/>
        <v>209.32262</v>
      </c>
      <c r="H26" s="43">
        <f t="shared" si="5"/>
        <v>209.32262</v>
      </c>
      <c r="I26" s="49">
        <f t="shared" si="2"/>
        <v>418.64524</v>
      </c>
      <c r="J26" s="50">
        <f>5980+6450</f>
        <v>12430</v>
      </c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>
        <v>6757873</v>
      </c>
      <c r="C27" s="55">
        <f t="shared" si="7"/>
        <v>2350</v>
      </c>
      <c r="D27" s="46">
        <f t="shared" si="6"/>
        <v>497.88136350000002</v>
      </c>
      <c r="E27" s="52">
        <v>523930</v>
      </c>
      <c r="F27" s="56">
        <f t="shared" si="8"/>
        <v>210</v>
      </c>
      <c r="G27" s="48">
        <f t="shared" si="4"/>
        <v>177.9666</v>
      </c>
      <c r="H27" s="48">
        <f t="shared" si="5"/>
        <v>177.9666</v>
      </c>
      <c r="I27" s="49">
        <f t="shared" si="2"/>
        <v>355.9332</v>
      </c>
      <c r="J27" s="50">
        <f>5980+6450</f>
        <v>12430</v>
      </c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>
        <v>6760223</v>
      </c>
      <c r="C28" s="53">
        <f t="shared" si="7"/>
        <v>3002</v>
      </c>
      <c r="D28" s="46">
        <f t="shared" si="6"/>
        <v>636.01695882000001</v>
      </c>
      <c r="E28" s="52">
        <v>524140</v>
      </c>
      <c r="F28" s="54">
        <f t="shared" si="8"/>
        <v>216</v>
      </c>
      <c r="G28" s="43">
        <f t="shared" si="4"/>
        <v>183.05135999999999</v>
      </c>
      <c r="H28" s="43">
        <f t="shared" si="5"/>
        <v>183.05135999999999</v>
      </c>
      <c r="I28" s="49">
        <f t="shared" si="2"/>
        <v>366.10271999999998</v>
      </c>
      <c r="J28" s="50">
        <f>5980+6450</f>
        <v>12430</v>
      </c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>
        <v>6763225</v>
      </c>
      <c r="C29" s="55">
        <f t="shared" si="7"/>
        <v>2184</v>
      </c>
      <c r="D29" s="46">
        <f t="shared" si="6"/>
        <v>462.71187143999998</v>
      </c>
      <c r="E29" s="52">
        <v>524356</v>
      </c>
      <c r="F29" s="56">
        <f t="shared" si="8"/>
        <v>197</v>
      </c>
      <c r="G29" s="48">
        <f t="shared" si="4"/>
        <v>166.94962000000001</v>
      </c>
      <c r="H29" s="48">
        <f t="shared" si="5"/>
        <v>166.94962000000001</v>
      </c>
      <c r="I29" s="49">
        <f t="shared" si="2"/>
        <v>333.89924000000002</v>
      </c>
      <c r="J29" s="50">
        <f>5980+6450</f>
        <v>12430</v>
      </c>
      <c r="K29" s="38">
        <f t="shared" si="3"/>
        <v>200</v>
      </c>
      <c r="L29" s="39">
        <f>K29*0.7</f>
        <v>140</v>
      </c>
    </row>
    <row r="30" spans="1:12" ht="32.450000000000003" customHeight="1">
      <c r="A30" s="40">
        <v>25</v>
      </c>
      <c r="B30" s="40">
        <v>6765409</v>
      </c>
      <c r="C30" s="53">
        <f t="shared" si="7"/>
        <v>2776</v>
      </c>
      <c r="D30" s="46">
        <f t="shared" si="6"/>
        <v>588.13560215999996</v>
      </c>
      <c r="E30" s="52">
        <v>524553</v>
      </c>
      <c r="F30" s="54">
        <f t="shared" si="8"/>
        <v>154</v>
      </c>
      <c r="G30" s="43">
        <f t="shared" si="4"/>
        <v>130.50883999999999</v>
      </c>
      <c r="H30" s="43">
        <f t="shared" si="5"/>
        <v>130.50883999999999</v>
      </c>
      <c r="I30" s="49">
        <f t="shared" si="2"/>
        <v>261.01767999999998</v>
      </c>
      <c r="J30" s="50">
        <f>5780+6450</f>
        <v>12230</v>
      </c>
      <c r="K30" s="38">
        <f t="shared" si="3"/>
        <v>10</v>
      </c>
      <c r="L30" s="39">
        <f>K30*0.7</f>
        <v>7</v>
      </c>
    </row>
    <row r="31" spans="1:12" ht="32.450000000000003" customHeight="1">
      <c r="A31" s="45">
        <v>26</v>
      </c>
      <c r="B31" s="45">
        <v>6768185</v>
      </c>
      <c r="C31" s="55">
        <f t="shared" si="7"/>
        <v>2943</v>
      </c>
      <c r="D31" s="46">
        <f t="shared" si="6"/>
        <v>623.51695862999998</v>
      </c>
      <c r="E31" s="52">
        <v>524707</v>
      </c>
      <c r="F31" s="56">
        <f t="shared" si="8"/>
        <v>245</v>
      </c>
      <c r="G31" s="48">
        <f t="shared" si="4"/>
        <v>207.6277</v>
      </c>
      <c r="H31" s="48">
        <f t="shared" si="5"/>
        <v>207.6277</v>
      </c>
      <c r="I31" s="49">
        <f t="shared" si="2"/>
        <v>415.25540000000001</v>
      </c>
      <c r="J31" s="50">
        <f>5780+6440</f>
        <v>12220</v>
      </c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>
        <v>6771128</v>
      </c>
      <c r="C32" s="53">
        <f t="shared" si="7"/>
        <v>-6771128</v>
      </c>
      <c r="D32" s="46">
        <f t="shared" si="6"/>
        <v>-1434561.03875448</v>
      </c>
      <c r="E32" s="52">
        <v>524952</v>
      </c>
      <c r="F32" s="55">
        <f t="shared" si="8"/>
        <v>-524952</v>
      </c>
      <c r="G32" s="43">
        <f t="shared" si="4"/>
        <v>-444875.82192000002</v>
      </c>
      <c r="H32" s="43">
        <f t="shared" si="5"/>
        <v>-444875.82192000002</v>
      </c>
      <c r="I32" s="49">
        <f t="shared" si="2"/>
        <v>-889751.64384000003</v>
      </c>
      <c r="J32" s="50">
        <f>5780+6440</f>
        <v>12220</v>
      </c>
      <c r="K32" s="38">
        <f t="shared" si="3"/>
        <v>12220</v>
      </c>
      <c r="L32" s="39">
        <f>K32*0.7</f>
        <v>8554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6">
        <v>1</v>
      </c>
      <c r="B36" s="118"/>
      <c r="C36" s="128">
        <f t="shared" ref="C36" si="9">B37-B36</f>
        <v>0</v>
      </c>
      <c r="D36" s="129">
        <f t="shared" si="6"/>
        <v>0</v>
      </c>
      <c r="E36" s="121"/>
      <c r="F36" s="128">
        <f t="shared" ref="F36" si="10">E37-E36</f>
        <v>0</v>
      </c>
      <c r="G36" s="130">
        <f t="shared" ref="G36" si="11">F36*0.84746</f>
        <v>0</v>
      </c>
      <c r="H36" s="130">
        <f t="shared" ref="H36" si="12">F36*0.84746</f>
        <v>0</v>
      </c>
      <c r="I36" s="117">
        <f t="shared" ref="I36" si="13">G36+H36</f>
        <v>0</v>
      </c>
      <c r="J36" s="131"/>
      <c r="K36" s="132">
        <f t="shared" ref="K36" si="14">J36-J37</f>
        <v>0</v>
      </c>
      <c r="L36" s="133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2022-04-28T05:31:12Z</dcterms:modified>
  <cp:category/>
  <cp:contentStatus/>
</cp:coreProperties>
</file>