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1"/>
  </bookViews>
  <sheets>
    <sheet name="Total Daily " sheetId="3" r:id="rId1"/>
    <sheet name="Submetering Daily " sheetId="2" r:id="rId2"/>
    <sheet name="12 - 2019" sheetId="1" r:id="rId3"/>
  </sheets>
  <definedNames>
    <definedName name="_xlnm.Print_Area" localSheetId="2">'12 - 2019'!$A$1:$J$37</definedName>
  </definedNames>
  <calcPr calcId="162913" calcMode="manual"/>
</workbook>
</file>

<file path=xl/calcChain.xml><?xml version="1.0" encoding="utf-8"?>
<calcChain xmlns="http://schemas.openxmlformats.org/spreadsheetml/2006/main"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4" i="3" l="1"/>
  <c r="K14" i="3"/>
  <c r="I14" i="3"/>
  <c r="G14" i="3"/>
  <c r="E14" i="3"/>
  <c r="J15" i="2"/>
  <c r="I15" i="2"/>
  <c r="H15" i="2"/>
  <c r="F15" i="2"/>
  <c r="E15" i="2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7" i="3" l="1"/>
  <c r="K7" i="3"/>
  <c r="I7" i="3"/>
  <c r="G7" i="3"/>
  <c r="E7" i="3"/>
  <c r="J8" i="2"/>
  <c r="I8" i="2"/>
  <c r="H8" i="2"/>
  <c r="F8" i="2"/>
  <c r="E8" i="2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K38" i="1"/>
  <c r="L5" i="3" l="1"/>
  <c r="K5" i="3"/>
  <c r="I5" i="3"/>
  <c r="G5" i="3"/>
  <c r="E5" i="3"/>
  <c r="J5" i="2"/>
  <c r="I5" i="2"/>
  <c r="H5" i="2"/>
  <c r="F5" i="2"/>
  <c r="E5" i="2"/>
  <c r="J4" i="2" l="1"/>
  <c r="I4" i="2"/>
  <c r="H4" i="2"/>
  <c r="F4" i="2"/>
  <c r="E4" i="2"/>
  <c r="L4" i="3"/>
  <c r="K4" i="3"/>
  <c r="I4" i="3"/>
  <c r="G4" i="3"/>
  <c r="E4" i="3"/>
  <c r="J38" i="1" l="1"/>
  <c r="I38" i="1"/>
  <c r="I39" i="1" s="1"/>
  <c r="H38" i="1"/>
  <c r="H39" i="1" s="1"/>
  <c r="G38" i="1"/>
  <c r="F38" i="1"/>
  <c r="E38" i="1"/>
  <c r="D38" i="1"/>
  <c r="C38" i="1"/>
  <c r="B38" i="1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L23" i="3"/>
  <c r="K23" i="3"/>
  <c r="I23" i="3"/>
  <c r="G23" i="3"/>
  <c r="E23" i="3"/>
  <c r="J24" i="2"/>
  <c r="I24" i="2"/>
  <c r="H24" i="2"/>
  <c r="F24" i="2"/>
  <c r="E24" i="2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5" i="3" l="1"/>
  <c r="K15" i="3"/>
  <c r="I15" i="3"/>
  <c r="G15" i="3"/>
  <c r="E15" i="3"/>
  <c r="L8" i="3" l="1"/>
  <c r="K8" i="3"/>
  <c r="I8" i="3"/>
  <c r="G8" i="3"/>
  <c r="E8" i="3"/>
  <c r="J32" i="2" l="1"/>
  <c r="I32" i="2"/>
  <c r="H32" i="2"/>
  <c r="F32" i="2"/>
  <c r="E32" i="2"/>
  <c r="E31" i="3" l="1"/>
  <c r="L31" i="3"/>
  <c r="K31" i="3"/>
  <c r="I31" i="3"/>
  <c r="G31" i="3"/>
  <c r="J31" i="2"/>
  <c r="I31" i="2"/>
  <c r="H31" i="2"/>
  <c r="F31" i="2"/>
  <c r="E31" i="2"/>
  <c r="L3" i="3" l="1"/>
  <c r="K3" i="3"/>
  <c r="I3" i="3"/>
  <c r="G3" i="3"/>
  <c r="E3" i="3"/>
  <c r="J3" i="2"/>
  <c r="I3" i="2"/>
  <c r="H3" i="2"/>
  <c r="F3" i="2"/>
  <c r="E3" i="2"/>
  <c r="J2" i="2" l="1"/>
  <c r="I2" i="2"/>
  <c r="H2" i="2"/>
  <c r="F2" i="2"/>
  <c r="E2" i="2"/>
  <c r="K2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2" i="3"/>
  <c r="E2" i="3"/>
  <c r="G2" i="3"/>
  <c r="L2" i="3"/>
</calcChain>
</file>

<file path=xl/sharedStrings.xml><?xml version="1.0" encoding="utf-8"?>
<sst xmlns="http://schemas.openxmlformats.org/spreadsheetml/2006/main" count="106" uniqueCount="37">
  <si>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</si>
  <si>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</si>
  <si>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</si>
  <si>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</si>
  <si>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</si>
  <si>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</si>
  <si>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</si>
  <si>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</si>
  <si>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</si>
  <si>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</si>
  <si>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</si>
  <si>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</si>
  <si>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</si>
  <si>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</si>
  <si>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</si>
  <si>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</si>
  <si>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</si>
  <si>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</si>
  <si>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</si>
  <si>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</si>
  <si>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</si>
  <si>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</si>
  <si>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</si>
  <si>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</si>
  <si>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</si>
  <si>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</si>
  <si>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</si>
  <si>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</si>
  <si>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</si>
  <si>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</si>
  <si>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</si>
  <si>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</si>
  <si>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</si>
  <si>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</si>
  <si>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</si>
  <si>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</si>
  <si>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DECEMBER'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</si>
</sst>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1" fillId="0" borderId="0" xfId="1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64" fontId="6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activeCell="L18" sqref="L18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" t="s">
        <v>19</v>
      </c>
      <c r="L1" s="4" t="s">
        <v>19</v>
      </c>
      <c r="M1" s="7" t="s">
        <v>20</v>
      </c>
      <c r="N1" s="4" t="s">
        <v>21</v>
      </c>
      <c r="O1" s="4"/>
    </row>
    <row r="2" spans="1:15" x14ac:dyDescent="0.25">
      <c r="A2" t="s">
        <v>27</v>
      </c>
      <c r="B2">
        <v>1</v>
      </c>
      <c r="C2">
        <v>12</v>
      </c>
      <c r="D2">
        <v>2019</v>
      </c>
      <c r="E2" s="6">
        <f>'12 - 2019'!B7-'12 - 2019'!B6+'12 - 2019'!C7-'12 - 2019'!C6</f>
        <v>8411.7000000000116</v>
      </c>
      <c r="F2">
        <v>0.11799999999999999</v>
      </c>
      <c r="G2" s="6">
        <f>(('12 - 2019'!E7-'12 - 2019'!E6)+('12 - 2019'!F7-'12 - 2019'!F6)+('12 - 2019'!G7-'12 - 2019'!G6))*1.81</f>
        <v>107.80359999999949</v>
      </c>
      <c r="H2">
        <v>0.99</v>
      </c>
      <c r="I2" s="6">
        <f>'12 - 2019'!J7-'12 - 2019'!J6</f>
        <v>16415</v>
      </c>
      <c r="J2">
        <v>8.1000000000000003E-2</v>
      </c>
      <c r="K2" s="6">
        <f>'12 - 2019'!H7-'12 - 2019'!H6</f>
        <v>0</v>
      </c>
      <c r="L2" s="6">
        <f>'12 - 2019'!I7-'12 - 2019'!I6</f>
        <v>91</v>
      </c>
      <c r="M2" s="1">
        <v>4.393629424766913</v>
      </c>
      <c r="N2" s="6">
        <v>54</v>
      </c>
    </row>
    <row r="3" spans="1:15" x14ac:dyDescent="0.25">
      <c r="A3" t="s">
        <v>27</v>
      </c>
      <c r="B3">
        <f>B2+1</f>
        <v>2</v>
      </c>
      <c r="C3" s="25">
        <v>12</v>
      </c>
      <c r="D3">
        <v>2019</v>
      </c>
      <c r="E3" s="27">
        <f>'12 - 2019'!B8-'12 - 2019'!B7+'12 - 2019'!C8-'12 - 2019'!C7</f>
        <v>8636.3999999999942</v>
      </c>
      <c r="F3" s="25">
        <v>0.11799999999999999</v>
      </c>
      <c r="G3" s="27">
        <f>(('12 - 2019'!E8-'12 - 2019'!E7)+('12 - 2019'!F8-'12 - 2019'!F7)+('12 - 2019'!G8-'12 - 2019'!G7))*1.81</f>
        <v>102.17450000000132</v>
      </c>
      <c r="H3" s="25">
        <v>0.99</v>
      </c>
      <c r="I3" s="27">
        <f>'12 - 2019'!J8-'12 - 2019'!J7</f>
        <v>12112</v>
      </c>
      <c r="J3" s="25">
        <v>8.1000000000000003E-2</v>
      </c>
      <c r="K3" s="27">
        <f>'12 - 2019'!H8-'12 - 2019'!H7</f>
        <v>0</v>
      </c>
      <c r="L3" s="27">
        <f>'12 - 2019'!I8-'12 - 2019'!I7</f>
        <v>73</v>
      </c>
      <c r="M3" s="26">
        <v>4.393629424766913</v>
      </c>
      <c r="N3" s="6">
        <v>34</v>
      </c>
    </row>
    <row r="4" spans="1:15" x14ac:dyDescent="0.25">
      <c r="A4" t="s">
        <v>27</v>
      </c>
      <c r="B4">
        <f t="shared" ref="B4:B31" si="0">B3+1</f>
        <v>3</v>
      </c>
      <c r="C4" s="25">
        <v>12</v>
      </c>
      <c r="D4">
        <v>2019</v>
      </c>
      <c r="E4" s="27">
        <f>'12 - 2019'!B9-'12 - 2019'!B8+'12 - 2019'!C9-'12 - 2019'!C8</f>
        <v>9552</v>
      </c>
      <c r="F4" s="25">
        <v>0.11799999999999999</v>
      </c>
      <c r="G4" s="27">
        <f>(('12 - 2019'!E9-'12 - 2019'!E8)+('12 - 2019'!F9-'12 - 2019'!F8)+('12 - 2019'!G9-'12 - 2019'!G8))*1.81</f>
        <v>117.65</v>
      </c>
      <c r="H4" s="25">
        <v>0.99</v>
      </c>
      <c r="I4" s="27">
        <f>'12 - 2019'!J9-'12 - 2019'!J8</f>
        <v>14442</v>
      </c>
      <c r="J4" s="25">
        <v>8.1000000000000003E-2</v>
      </c>
      <c r="K4" s="27">
        <f>'12 - 2019'!H9-'12 - 2019'!H8</f>
        <v>0</v>
      </c>
      <c r="L4" s="27">
        <f>'12 - 2019'!I9-'12 - 2019'!I8</f>
        <v>90</v>
      </c>
      <c r="M4" s="26">
        <v>4.393629424766913</v>
      </c>
      <c r="N4" s="6">
        <v>49</v>
      </c>
    </row>
    <row r="5" spans="1:15" x14ac:dyDescent="0.25">
      <c r="A5" t="s">
        <v>27</v>
      </c>
      <c r="B5">
        <f t="shared" si="0"/>
        <v>4</v>
      </c>
      <c r="C5" s="25">
        <v>12</v>
      </c>
      <c r="D5">
        <v>2019</v>
      </c>
      <c r="E5" s="27">
        <f>'12 - 2019'!B10-'12 - 2019'!B9+'12 - 2019'!C10-'12 - 2019'!C9</f>
        <v>9682</v>
      </c>
      <c r="F5" s="25">
        <v>0.11799999999999999</v>
      </c>
      <c r="G5" s="27">
        <f>(('12 - 2019'!E10-'12 - 2019'!E9)+('12 - 2019'!F10-'12 - 2019'!F9)+('12 - 2019'!G10-'12 - 2019'!G9))*1.81</f>
        <v>128.51</v>
      </c>
      <c r="H5" s="25">
        <v>0.99</v>
      </c>
      <c r="I5" s="27">
        <f>'12 - 2019'!J10-'12 - 2019'!J9</f>
        <v>14694</v>
      </c>
      <c r="J5" s="25">
        <v>8.1000000000000003E-2</v>
      </c>
      <c r="K5" s="27">
        <f>'12 - 2019'!H10-'12 - 2019'!H9</f>
        <v>0</v>
      </c>
      <c r="L5" s="27">
        <f>'12 - 2019'!I10-'12 - 2019'!I9</f>
        <v>113</v>
      </c>
      <c r="M5" s="26">
        <v>4.393629424766913</v>
      </c>
      <c r="N5" s="6">
        <v>66</v>
      </c>
    </row>
    <row r="6" spans="1:15" x14ac:dyDescent="0.25">
      <c r="A6" t="s">
        <v>27</v>
      </c>
      <c r="B6">
        <f t="shared" si="0"/>
        <v>5</v>
      </c>
      <c r="C6" s="25">
        <v>12</v>
      </c>
      <c r="D6">
        <v>2019</v>
      </c>
      <c r="E6" s="27">
        <f>'12 - 2019'!B11-'12 - 2019'!B10+'12 - 2019'!C11-'12 - 2019'!C10</f>
        <v>10085</v>
      </c>
      <c r="F6" s="25">
        <v>0.11799999999999999</v>
      </c>
      <c r="G6" s="27">
        <f>(('12 - 2019'!E11-'12 - 2019'!E10)+('12 - 2019'!F11-'12 - 2019'!F10)+('12 - 2019'!G11-'12 - 2019'!G10))*1.81</f>
        <v>120.6003000000002</v>
      </c>
      <c r="H6" s="25">
        <v>0.99</v>
      </c>
      <c r="I6" s="27">
        <f>'12 - 2019'!J11-'12 - 2019'!J10</f>
        <v>16488</v>
      </c>
      <c r="J6" s="25">
        <v>8.1000000000000003E-2</v>
      </c>
      <c r="K6" s="27">
        <f>'12 - 2019'!H11-'12 - 2019'!H10</f>
        <v>0</v>
      </c>
      <c r="L6" s="27">
        <f>'12 - 2019'!I11-'12 - 2019'!I10</f>
        <v>106</v>
      </c>
      <c r="M6" s="26">
        <v>4.393629424766913</v>
      </c>
      <c r="N6" s="15">
        <v>83</v>
      </c>
    </row>
    <row r="7" spans="1:15" x14ac:dyDescent="0.25">
      <c r="A7" t="s">
        <v>27</v>
      </c>
      <c r="B7">
        <f t="shared" si="0"/>
        <v>6</v>
      </c>
      <c r="C7" s="25">
        <v>12</v>
      </c>
      <c r="D7">
        <v>2019</v>
      </c>
      <c r="E7" s="27">
        <f>'12 - 2019'!B12-'12 - 2019'!B11+'12 - 2019'!C12-'12 - 2019'!C11</f>
        <v>9966</v>
      </c>
      <c r="F7" s="25">
        <v>0.11799999999999999</v>
      </c>
      <c r="G7" s="27">
        <f>(('12 - 2019'!E12-'12 - 2019'!E11)+('12 - 2019'!F12-'12 - 2019'!F11)+('12 - 2019'!G12-'12 - 2019'!G11))*1.81</f>
        <v>139.82249999999959</v>
      </c>
      <c r="H7" s="25">
        <v>0.99</v>
      </c>
      <c r="I7" s="27">
        <f>'12 - 2019'!J12-'12 - 2019'!J11</f>
        <v>16337</v>
      </c>
      <c r="J7" s="25">
        <v>8.1000000000000003E-2</v>
      </c>
      <c r="K7" s="27">
        <f>'12 - 2019'!H12-'12 - 2019'!H11</f>
        <v>0</v>
      </c>
      <c r="L7" s="27">
        <f>'12 - 2019'!I12-'12 - 2019'!I11</f>
        <v>114</v>
      </c>
      <c r="M7" s="26">
        <v>4.393629424766913</v>
      </c>
      <c r="N7" s="6">
        <v>102</v>
      </c>
    </row>
    <row r="8" spans="1:15" x14ac:dyDescent="0.25">
      <c r="A8" t="s">
        <v>27</v>
      </c>
      <c r="B8">
        <f t="shared" si="0"/>
        <v>7</v>
      </c>
      <c r="C8" s="25">
        <v>12</v>
      </c>
      <c r="D8">
        <v>2019</v>
      </c>
      <c r="E8" s="27">
        <f>'12 - 2019'!B13-'12 - 2019'!B12+'12 - 2019'!C13-'12 - 2019'!C12</f>
        <v>10310</v>
      </c>
      <c r="F8" s="25">
        <v>0.11799999999999999</v>
      </c>
      <c r="G8" s="27">
        <f>(('12 - 2019'!E13-'12 - 2019'!E12)+('12 - 2019'!F13-'12 - 2019'!F12)+('12 - 2019'!G13-'12 - 2019'!G12))*1.81</f>
        <v>130.75440000000003</v>
      </c>
      <c r="H8" s="25">
        <v>0.99</v>
      </c>
      <c r="I8" s="27">
        <f>'12 - 2019'!J13-'12 - 2019'!J12</f>
        <v>16351</v>
      </c>
      <c r="J8" s="25">
        <v>8.1000000000000003E-2</v>
      </c>
      <c r="K8" s="27">
        <f>'12 - 2019'!H13-'12 - 2019'!H12</f>
        <v>0</v>
      </c>
      <c r="L8" s="27">
        <f>'12 - 2019'!I13-'12 - 2019'!I12</f>
        <v>105</v>
      </c>
      <c r="M8" s="26">
        <v>4.393629424766913</v>
      </c>
      <c r="N8" s="6">
        <v>83</v>
      </c>
    </row>
    <row r="9" spans="1:15" x14ac:dyDescent="0.25">
      <c r="A9" t="s">
        <v>27</v>
      </c>
      <c r="B9">
        <f t="shared" si="0"/>
        <v>8</v>
      </c>
      <c r="C9" s="25">
        <v>12</v>
      </c>
      <c r="D9">
        <v>2019</v>
      </c>
      <c r="E9" s="27">
        <f>'12 - 2019'!B14-'12 - 2019'!B13+'12 - 2019'!C14-'12 - 2019'!C13</f>
        <v>9389</v>
      </c>
      <c r="F9" s="25">
        <v>0.11799999999999999</v>
      </c>
      <c r="G9" s="27">
        <f>(('12 - 2019'!E14-'12 - 2019'!E13)+('12 - 2019'!F14-'12 - 2019'!F13)+('12 - 2019'!G14-'12 - 2019'!G13))*1.81</f>
        <v>122.01209999999973</v>
      </c>
      <c r="H9" s="25">
        <v>0.99</v>
      </c>
      <c r="I9" s="27">
        <f>'12 - 2019'!J14-'12 - 2019'!J13</f>
        <v>15517</v>
      </c>
      <c r="J9" s="25">
        <v>8.1000000000000003E-2</v>
      </c>
      <c r="K9" s="27">
        <f>'12 - 2019'!H14-'12 - 2019'!H13</f>
        <v>0</v>
      </c>
      <c r="L9" s="27">
        <f>'12 - 2019'!I14-'12 - 2019'!I13</f>
        <v>107</v>
      </c>
      <c r="M9" s="26">
        <v>4.393629424766913</v>
      </c>
      <c r="N9" s="6">
        <v>88</v>
      </c>
    </row>
    <row r="10" spans="1:15" x14ac:dyDescent="0.25">
      <c r="A10" t="s">
        <v>27</v>
      </c>
      <c r="B10">
        <f t="shared" si="0"/>
        <v>9</v>
      </c>
      <c r="C10" s="25">
        <v>12</v>
      </c>
      <c r="D10">
        <v>2019</v>
      </c>
      <c r="E10" s="27">
        <f>'12 - 2019'!B15-'12 - 2019'!B14+'12 - 2019'!C15-'12 - 2019'!C14</f>
        <v>9733</v>
      </c>
      <c r="F10" s="25">
        <v>0.11799999999999999</v>
      </c>
      <c r="G10" s="27">
        <f>(('12 - 2019'!E15-'12 - 2019'!E14)+('12 - 2019'!F15-'12 - 2019'!F14)+('12 - 2019'!G15-'12 - 2019'!G14))*1.81</f>
        <v>142.41080000000258</v>
      </c>
      <c r="H10" s="25">
        <v>0.99</v>
      </c>
      <c r="I10" s="27">
        <f>'12 - 2019'!J15-'12 - 2019'!J14</f>
        <v>15484</v>
      </c>
      <c r="J10" s="25">
        <v>8.1000000000000003E-2</v>
      </c>
      <c r="K10" s="27">
        <f>'12 - 2019'!H15-'12 - 2019'!H14</f>
        <v>0</v>
      </c>
      <c r="L10" s="27">
        <f>'12 - 2019'!I15-'12 - 2019'!I14</f>
        <v>123</v>
      </c>
      <c r="M10" s="26">
        <v>4.393629424766913</v>
      </c>
      <c r="N10" s="6">
        <v>78</v>
      </c>
    </row>
    <row r="11" spans="1:15" x14ac:dyDescent="0.25">
      <c r="A11" t="s">
        <v>27</v>
      </c>
      <c r="B11">
        <f t="shared" si="0"/>
        <v>10</v>
      </c>
      <c r="C11" s="25">
        <v>12</v>
      </c>
      <c r="D11">
        <v>2019</v>
      </c>
      <c r="E11" s="27">
        <f>'12 - 2019'!B16-'12 - 2019'!B15+'12 - 2019'!C16-'12 - 2019'!C15</f>
        <v>9656</v>
      </c>
      <c r="F11" s="25">
        <v>0.11799999999999999</v>
      </c>
      <c r="G11" s="27">
        <f>(('12 - 2019'!E16-'12 - 2019'!E15)+('12 - 2019'!F16-'12 - 2019'!F15)+('12 - 2019'!G16-'12 - 2019'!G15))*1.81</f>
        <v>121.59579999999724</v>
      </c>
      <c r="H11" s="25">
        <v>0.99</v>
      </c>
      <c r="I11" s="27">
        <f>'12 - 2019'!J16-'12 - 2019'!J15</f>
        <v>16051</v>
      </c>
      <c r="J11" s="25">
        <v>8.1000000000000003E-2</v>
      </c>
      <c r="K11" s="27">
        <f>'12 - 2019'!H16-'12 - 2019'!H15</f>
        <v>0</v>
      </c>
      <c r="L11" s="27">
        <f>'12 - 2019'!I16-'12 - 2019'!I15</f>
        <v>128</v>
      </c>
      <c r="M11" s="26">
        <v>4.393629424766913</v>
      </c>
      <c r="N11" s="6">
        <v>95</v>
      </c>
    </row>
    <row r="12" spans="1:15" x14ac:dyDescent="0.25">
      <c r="A12" t="s">
        <v>27</v>
      </c>
      <c r="B12">
        <f t="shared" si="0"/>
        <v>11</v>
      </c>
      <c r="C12" s="25">
        <v>12</v>
      </c>
      <c r="D12">
        <v>2019</v>
      </c>
      <c r="E12" s="27">
        <f>'12 - 2019'!B17-'12 - 2019'!B16+'12 - 2019'!C17-'12 - 2019'!C16</f>
        <v>10753</v>
      </c>
      <c r="F12" s="25">
        <v>0.11799999999999999</v>
      </c>
      <c r="G12" s="27">
        <f>(('12 - 2019'!E17-'12 - 2019'!E16)+('12 - 2019'!F17-'12 - 2019'!F16)+('12 - 2019'!G17-'12 - 2019'!G16))*1.81</f>
        <v>141.34290000000067</v>
      </c>
      <c r="H12" s="25">
        <v>0.99</v>
      </c>
      <c r="I12" s="27">
        <f>'12 - 2019'!J17-'12 - 2019'!J16</f>
        <v>17440</v>
      </c>
      <c r="J12" s="25">
        <v>8.1000000000000003E-2</v>
      </c>
      <c r="K12" s="27">
        <f>'12 - 2019'!H17-'12 - 2019'!H16</f>
        <v>0</v>
      </c>
      <c r="L12" s="27">
        <f>'12 - 2019'!I17-'12 - 2019'!I16</f>
        <v>109</v>
      </c>
      <c r="M12" s="26">
        <v>4.393629424766913</v>
      </c>
      <c r="N12" s="6">
        <v>93</v>
      </c>
    </row>
    <row r="13" spans="1:15" x14ac:dyDescent="0.25">
      <c r="A13" t="s">
        <v>27</v>
      </c>
      <c r="B13">
        <f t="shared" si="0"/>
        <v>12</v>
      </c>
      <c r="C13" s="25">
        <v>12</v>
      </c>
      <c r="D13">
        <v>2019</v>
      </c>
      <c r="E13" s="27">
        <f>'12 - 2019'!B18-'12 - 2019'!B17+'12 - 2019'!C18-'12 - 2019'!C17</f>
        <v>10608</v>
      </c>
      <c r="F13" s="25">
        <v>0.11799999999999999</v>
      </c>
      <c r="G13" s="27">
        <f>(('12 - 2019'!E18-'12 - 2019'!E17)+('12 - 2019'!F18-'12 - 2019'!F17)+('12 - 2019'!G18-'12 - 2019'!G17))*1.81</f>
        <v>139.15280000000061</v>
      </c>
      <c r="H13" s="25">
        <v>0.99</v>
      </c>
      <c r="I13" s="27">
        <f>'12 - 2019'!J18-'12 - 2019'!J17</f>
        <v>17771</v>
      </c>
      <c r="J13" s="25">
        <v>8.1000000000000003E-2</v>
      </c>
      <c r="K13" s="27">
        <f>'12 - 2019'!H18-'12 - 2019'!H17</f>
        <v>0</v>
      </c>
      <c r="L13" s="27">
        <f>'12 - 2019'!I18-'12 - 2019'!I17</f>
        <v>112</v>
      </c>
      <c r="M13" s="26">
        <v>4.393629424766913</v>
      </c>
      <c r="N13" s="6">
        <v>104</v>
      </c>
    </row>
    <row r="14" spans="1:15" x14ac:dyDescent="0.25">
      <c r="A14" t="s">
        <v>27</v>
      </c>
      <c r="B14">
        <f t="shared" si="0"/>
        <v>13</v>
      </c>
      <c r="C14" s="25">
        <v>12</v>
      </c>
      <c r="D14">
        <v>2019</v>
      </c>
      <c r="E14" s="27">
        <f>'12 - 2019'!B19-'12 - 2019'!B18+'12 - 2019'!C19-'12 - 2019'!C18</f>
        <v>10418</v>
      </c>
      <c r="F14" s="25">
        <v>0.11799999999999999</v>
      </c>
      <c r="G14" s="27">
        <f>(('12 - 2019'!E19-'12 - 2019'!E18)+('12 - 2019'!F19-'12 - 2019'!F18)+('12 - 2019'!G19-'12 - 2019'!G18))*1.81</f>
        <v>141.0895000000009</v>
      </c>
      <c r="H14" s="25">
        <v>0.99</v>
      </c>
      <c r="I14" s="27">
        <f>'12 - 2019'!J19-'12 - 2019'!J18</f>
        <v>15426</v>
      </c>
      <c r="J14" s="25">
        <v>8.1000000000000003E-2</v>
      </c>
      <c r="K14" s="27">
        <f>'12 - 2019'!H19-'12 - 2019'!H18</f>
        <v>0</v>
      </c>
      <c r="L14" s="27">
        <f>'12 - 2019'!I19-'12 - 2019'!I18</f>
        <v>109</v>
      </c>
      <c r="M14" s="26">
        <v>4.393629424766913</v>
      </c>
      <c r="N14" s="6">
        <v>97</v>
      </c>
      <c r="O14" s="27"/>
    </row>
    <row r="15" spans="1:15" x14ac:dyDescent="0.25">
      <c r="A15" t="s">
        <v>27</v>
      </c>
      <c r="B15">
        <f t="shared" si="0"/>
        <v>14</v>
      </c>
      <c r="C15" s="25">
        <v>12</v>
      </c>
      <c r="D15">
        <v>2019</v>
      </c>
      <c r="E15" s="27">
        <f>'12 - 2019'!B20-'12 - 2019'!B19+'12 - 2019'!C20-'12 - 2019'!C19</f>
        <v>8348</v>
      </c>
      <c r="F15" s="25">
        <v>0.11799999999999999</v>
      </c>
      <c r="G15" s="27">
        <f>(('12 - 2019'!E20-'12 - 2019'!E19)+('12 - 2019'!F20-'12 - 2019'!F19)+('12 - 2019'!G20-'12 - 2019'!G19))*1.81</f>
        <v>104.88949999999761</v>
      </c>
      <c r="H15" s="25">
        <v>0.99</v>
      </c>
      <c r="I15" s="27">
        <f>'12 - 2019'!J20-'12 - 2019'!J19</f>
        <v>15015</v>
      </c>
      <c r="J15" s="25">
        <v>8.1000000000000003E-2</v>
      </c>
      <c r="K15" s="27">
        <f>'12 - 2019'!H20-'12 - 2019'!H19</f>
        <v>0</v>
      </c>
      <c r="L15" s="27">
        <f>'12 - 2019'!I20-'12 - 2019'!I19</f>
        <v>129</v>
      </c>
      <c r="M15" s="26">
        <v>4.393629424766913</v>
      </c>
      <c r="N15" s="6">
        <v>79</v>
      </c>
    </row>
    <row r="16" spans="1:15" x14ac:dyDescent="0.25">
      <c r="A16" t="s">
        <v>27</v>
      </c>
      <c r="B16">
        <f t="shared" si="0"/>
        <v>15</v>
      </c>
      <c r="C16" s="25">
        <v>12</v>
      </c>
      <c r="D16">
        <v>2019</v>
      </c>
      <c r="E16" s="27">
        <f>'12 - 2019'!B21-'12 - 2019'!B20+'12 - 2019'!C21-'12 - 2019'!C20</f>
        <v>9726</v>
      </c>
      <c r="F16" s="25">
        <v>0.11799999999999999</v>
      </c>
      <c r="G16" s="27">
        <f>(('12 - 2019'!E21-'12 - 2019'!E20)+('12 - 2019'!F21-'12 - 2019'!F20)+('12 - 2019'!G21-'12 - 2019'!G20))*1.81</f>
        <v>140.27500000000288</v>
      </c>
      <c r="H16" s="25">
        <v>0.99</v>
      </c>
      <c r="I16" s="27">
        <f>'12 - 2019'!J21-'12 - 2019'!J20</f>
        <v>15989</v>
      </c>
      <c r="J16" s="25">
        <v>8.1000000000000003E-2</v>
      </c>
      <c r="K16" s="27">
        <f>'12 - 2019'!H21-'12 - 2019'!H20</f>
        <v>0</v>
      </c>
      <c r="L16" s="27">
        <f>'12 - 2019'!I21-'12 - 2019'!I20</f>
        <v>102</v>
      </c>
      <c r="M16" s="26">
        <v>4.393629424766913</v>
      </c>
      <c r="N16" s="6">
        <v>59</v>
      </c>
    </row>
    <row r="17" spans="1:16" x14ac:dyDescent="0.25">
      <c r="A17" t="s">
        <v>27</v>
      </c>
      <c r="B17">
        <f t="shared" si="0"/>
        <v>16</v>
      </c>
      <c r="C17" s="25">
        <v>12</v>
      </c>
      <c r="D17">
        <v>2019</v>
      </c>
      <c r="E17" s="27">
        <f>'12 - 2019'!B22-'12 - 2019'!B21+'12 - 2019'!C22-'12 - 2019'!C21</f>
        <v>9283</v>
      </c>
      <c r="F17" s="25">
        <v>0.11799999999999999</v>
      </c>
      <c r="G17" s="27">
        <f>(('12 - 2019'!E22-'12 - 2019'!E21)+('12 - 2019'!F22-'12 - 2019'!F21)+('12 - 2019'!G22-'12 - 2019'!G21))*1.81</f>
        <v>96.364399999997957</v>
      </c>
      <c r="H17" s="25">
        <v>0.99</v>
      </c>
      <c r="I17" s="27">
        <f>'12 - 2019'!J22-'12 - 2019'!J21</f>
        <v>11486</v>
      </c>
      <c r="J17" s="25">
        <v>8.1000000000000003E-2</v>
      </c>
      <c r="K17" s="27">
        <f>'12 - 2019'!H22-'12 - 2019'!H21</f>
        <v>0</v>
      </c>
      <c r="L17" s="27">
        <f>'12 - 2019'!I22-'12 - 2019'!I21</f>
        <v>77</v>
      </c>
      <c r="M17" s="26">
        <v>4.393629424766913</v>
      </c>
      <c r="N17" s="27">
        <v>66</v>
      </c>
    </row>
    <row r="18" spans="1:16" x14ac:dyDescent="0.25">
      <c r="A18" t="s">
        <v>27</v>
      </c>
      <c r="B18">
        <f t="shared" si="0"/>
        <v>17</v>
      </c>
      <c r="C18" s="25">
        <v>12</v>
      </c>
      <c r="D18">
        <v>2019</v>
      </c>
      <c r="E18" s="27">
        <v>0</v>
      </c>
      <c r="F18" s="25">
        <v>0.11799999999999999</v>
      </c>
      <c r="G18" s="27">
        <v>0</v>
      </c>
      <c r="H18" s="25">
        <v>0.99</v>
      </c>
      <c r="I18" s="27">
        <v>0</v>
      </c>
      <c r="J18" s="25">
        <v>8.1000000000000003E-2</v>
      </c>
      <c r="K18" s="27">
        <v>0</v>
      </c>
      <c r="L18" s="27">
        <v>0</v>
      </c>
      <c r="M18" s="26">
        <v>4.393629424766913</v>
      </c>
      <c r="N18" s="27"/>
    </row>
    <row r="19" spans="1:16" x14ac:dyDescent="0.25">
      <c r="A19" t="s">
        <v>27</v>
      </c>
      <c r="B19">
        <f>B18+1</f>
        <v>18</v>
      </c>
      <c r="C19" s="25">
        <v>12</v>
      </c>
      <c r="D19" s="25">
        <v>2019</v>
      </c>
      <c r="E19" s="27">
        <f>'12 - 2019'!B24-'12 - 2019'!B23+'12 - 2019'!C24-'12 - 2019'!C23</f>
        <v>0</v>
      </c>
      <c r="F19" s="25">
        <v>0.11799999999999999</v>
      </c>
      <c r="G19" s="27">
        <f>(('12 - 2019'!E24-'12 - 2019'!E23)+('12 - 2019'!F24-'12 - 2019'!F23)+('12 - 2019'!G24-'12 - 2019'!G23))*1.81</f>
        <v>0</v>
      </c>
      <c r="H19" s="25">
        <v>0.99</v>
      </c>
      <c r="I19" s="27">
        <f>'12 - 2019'!J24-'12 - 2019'!J23</f>
        <v>0</v>
      </c>
      <c r="J19" s="25">
        <v>8.1000000000000003E-2</v>
      </c>
      <c r="K19" s="27">
        <f>'12 - 2019'!H24-'12 - 2019'!H23</f>
        <v>0</v>
      </c>
      <c r="L19" s="27">
        <f>'12 - 2019'!I24-'12 - 2019'!I23</f>
        <v>0</v>
      </c>
      <c r="M19" s="26">
        <v>4.393629424766913</v>
      </c>
      <c r="N19" s="27"/>
    </row>
    <row r="20" spans="1:16" x14ac:dyDescent="0.25">
      <c r="A20" t="s">
        <v>27</v>
      </c>
      <c r="B20">
        <f t="shared" si="0"/>
        <v>19</v>
      </c>
      <c r="C20" s="25">
        <v>12</v>
      </c>
      <c r="D20">
        <v>2019</v>
      </c>
      <c r="E20" s="27">
        <f>'12 - 2019'!B25-'12 - 2019'!B24+'12 - 2019'!C25-'12 - 2019'!C24</f>
        <v>0</v>
      </c>
      <c r="F20" s="25">
        <v>0.11799999999999999</v>
      </c>
      <c r="G20" s="27">
        <f>(('12 - 2019'!E25-'12 - 2019'!E24)+('12 - 2019'!F25-'12 - 2019'!F24)+('12 - 2019'!G25-'12 - 2019'!G24))*1.81</f>
        <v>0</v>
      </c>
      <c r="H20" s="25">
        <v>0.99</v>
      </c>
      <c r="I20" s="27">
        <f>'12 - 2019'!J25-'12 - 2019'!J24</f>
        <v>0</v>
      </c>
      <c r="J20" s="25">
        <v>8.1000000000000003E-2</v>
      </c>
      <c r="K20" s="27">
        <f>'12 - 2019'!H25-'12 - 2019'!H24</f>
        <v>0</v>
      </c>
      <c r="L20" s="27">
        <f>'12 - 2019'!I25-'12 - 2019'!I24</f>
        <v>0</v>
      </c>
      <c r="M20" s="26">
        <v>4.393629424766913</v>
      </c>
      <c r="N20" s="27"/>
    </row>
    <row r="21" spans="1:16" x14ac:dyDescent="0.25">
      <c r="A21" t="s">
        <v>27</v>
      </c>
      <c r="B21">
        <f t="shared" si="0"/>
        <v>20</v>
      </c>
      <c r="C21" s="25">
        <v>12</v>
      </c>
      <c r="D21" s="25">
        <v>2019</v>
      </c>
      <c r="E21" s="27">
        <f>'12 - 2019'!B26-'12 - 2019'!B25+'12 - 2019'!C26-'12 - 2019'!C25</f>
        <v>0</v>
      </c>
      <c r="F21" s="25">
        <v>0.11799999999999999</v>
      </c>
      <c r="G21" s="27">
        <f>(('12 - 2019'!E26-'12 - 2019'!E25)+('12 - 2019'!F26-'12 - 2019'!F25)+('12 - 2019'!G26-'12 - 2019'!G25))*1.81</f>
        <v>0</v>
      </c>
      <c r="H21" s="25">
        <v>0.99</v>
      </c>
      <c r="I21" s="27">
        <f>'12 - 2019'!J26-'12 - 2019'!J25</f>
        <v>0</v>
      </c>
      <c r="J21" s="25">
        <v>8.1000000000000003E-2</v>
      </c>
      <c r="K21" s="27">
        <f>'12 - 2019'!H26-'12 - 2019'!H25</f>
        <v>0</v>
      </c>
      <c r="L21" s="27">
        <f>'12 - 2019'!I26-'12 - 2019'!I25</f>
        <v>0</v>
      </c>
      <c r="M21" s="26">
        <v>4.393629424766913</v>
      </c>
      <c r="N21" s="6"/>
    </row>
    <row r="22" spans="1:16" x14ac:dyDescent="0.25">
      <c r="A22" t="s">
        <v>27</v>
      </c>
      <c r="B22">
        <f t="shared" si="0"/>
        <v>21</v>
      </c>
      <c r="C22" s="25">
        <v>12</v>
      </c>
      <c r="D22" s="25">
        <v>2019</v>
      </c>
      <c r="E22" s="27">
        <f>'12 - 2019'!B27-'12 - 2019'!B26+'12 - 2019'!C27-'12 - 2019'!C26</f>
        <v>0</v>
      </c>
      <c r="F22" s="25">
        <v>0.11799999999999999</v>
      </c>
      <c r="G22" s="27">
        <f>(('12 - 2019'!E27-'12 - 2019'!E26)+('12 - 2019'!F27-'12 - 2019'!F26)+('12 - 2019'!G27-'12 - 2019'!G26))*1.81</f>
        <v>0</v>
      </c>
      <c r="H22" s="25">
        <v>0.99</v>
      </c>
      <c r="I22" s="27">
        <f>'12 - 2019'!J27-'12 - 2019'!J26</f>
        <v>0</v>
      </c>
      <c r="J22" s="25">
        <v>8.1000000000000003E-2</v>
      </c>
      <c r="K22" s="27">
        <f>'12 - 2019'!H27-'12 - 2019'!H26</f>
        <v>0</v>
      </c>
      <c r="L22" s="27">
        <f>'12 - 2019'!I27-'12 - 2019'!I26</f>
        <v>0</v>
      </c>
      <c r="M22" s="26">
        <v>4.393629424766913</v>
      </c>
      <c r="N22" s="6"/>
    </row>
    <row r="23" spans="1:16" x14ac:dyDescent="0.25">
      <c r="A23" t="s">
        <v>27</v>
      </c>
      <c r="B23">
        <f t="shared" si="0"/>
        <v>22</v>
      </c>
      <c r="C23" s="25">
        <v>12</v>
      </c>
      <c r="D23" s="25">
        <v>2019</v>
      </c>
      <c r="E23" s="27">
        <f>'12 - 2019'!B28-'12 - 2019'!B27+'12 - 2019'!C28-'12 - 2019'!C27</f>
        <v>0</v>
      </c>
      <c r="F23" s="25">
        <v>0.11799999999999999</v>
      </c>
      <c r="G23" s="27">
        <f>(('12 - 2019'!E28-'12 - 2019'!E27)+('12 - 2019'!F28-'12 - 2019'!F27)+('12 - 2019'!G28-'12 - 2019'!G27))*1.81</f>
        <v>0</v>
      </c>
      <c r="H23" s="25">
        <v>0.99</v>
      </c>
      <c r="I23" s="27">
        <f>'12 - 2019'!J28-'12 - 2019'!J27</f>
        <v>0</v>
      </c>
      <c r="J23" s="25">
        <v>8.1000000000000003E-2</v>
      </c>
      <c r="K23" s="27">
        <f>'12 - 2019'!H28-'12 - 2019'!H27</f>
        <v>0</v>
      </c>
      <c r="L23" s="27">
        <f>'12 - 2019'!I28-'12 - 2019'!I27</f>
        <v>0</v>
      </c>
      <c r="M23" s="26">
        <v>4.393629424766913</v>
      </c>
      <c r="N23" s="6"/>
    </row>
    <row r="24" spans="1:16" x14ac:dyDescent="0.25">
      <c r="A24" t="s">
        <v>27</v>
      </c>
      <c r="B24">
        <f t="shared" si="0"/>
        <v>23</v>
      </c>
      <c r="C24" s="25">
        <v>12</v>
      </c>
      <c r="D24" s="25">
        <v>2019</v>
      </c>
      <c r="E24" s="27">
        <f>'12 - 2019'!B29-'12 - 2019'!B28+'12 - 2019'!C29-'12 - 2019'!C28</f>
        <v>0</v>
      </c>
      <c r="F24" s="25">
        <v>0.11799999999999999</v>
      </c>
      <c r="G24" s="27">
        <f>(('12 - 2019'!E29-'12 - 2019'!E28)+('12 - 2019'!F29-'12 - 2019'!F28)+('12 - 2019'!G29-'12 - 2019'!G28))*1.81</f>
        <v>0</v>
      </c>
      <c r="H24" s="25">
        <v>0.99</v>
      </c>
      <c r="I24" s="27">
        <f>'12 - 2019'!J29-'12 - 2019'!J28</f>
        <v>0</v>
      </c>
      <c r="J24" s="25">
        <v>8.1000000000000003E-2</v>
      </c>
      <c r="K24" s="27">
        <f>'12 - 2019'!H29-'12 - 2019'!H28</f>
        <v>0</v>
      </c>
      <c r="L24" s="27">
        <f>'12 - 2019'!I29-'12 - 2019'!I28</f>
        <v>0</v>
      </c>
      <c r="M24" s="26">
        <v>4.393629424766913</v>
      </c>
      <c r="N24" s="6"/>
    </row>
    <row r="25" spans="1:16" x14ac:dyDescent="0.25">
      <c r="A25" t="s">
        <v>27</v>
      </c>
      <c r="B25">
        <f t="shared" si="0"/>
        <v>24</v>
      </c>
      <c r="C25" s="25">
        <v>12</v>
      </c>
      <c r="D25" s="25">
        <v>2019</v>
      </c>
      <c r="E25" s="27">
        <f>'12 - 2019'!B30-'12 - 2019'!B29+'12 - 2019'!C30-'12 - 2019'!C29</f>
        <v>0</v>
      </c>
      <c r="F25" s="25">
        <v>0.11799999999999999</v>
      </c>
      <c r="G25" s="27">
        <f>(('12 - 2019'!E30-'12 - 2019'!E29)+('12 - 2019'!F30-'12 - 2019'!F29)+('12 - 2019'!G30-'12 - 2019'!G29))*1.81</f>
        <v>0</v>
      </c>
      <c r="H25" s="25">
        <v>0.99</v>
      </c>
      <c r="I25" s="27">
        <f>'12 - 2019'!J30-'12 - 2019'!J29</f>
        <v>0</v>
      </c>
      <c r="J25" s="25">
        <v>8.1000000000000003E-2</v>
      </c>
      <c r="K25" s="27">
        <f>'12 - 2019'!H30-'12 - 2019'!H29</f>
        <v>0</v>
      </c>
      <c r="L25" s="27">
        <f>'12 - 2019'!I30-'12 - 2019'!I29</f>
        <v>0</v>
      </c>
      <c r="M25" s="26">
        <v>4.393629424766913</v>
      </c>
      <c r="N25" s="6"/>
      <c r="P25" s="14"/>
    </row>
    <row r="26" spans="1:16" x14ac:dyDescent="0.25">
      <c r="A26" t="s">
        <v>27</v>
      </c>
      <c r="B26">
        <f>B25+1</f>
        <v>25</v>
      </c>
      <c r="C26" s="25">
        <v>12</v>
      </c>
      <c r="D26" s="25">
        <v>2019</v>
      </c>
      <c r="E26" s="27">
        <f>'12 - 2019'!B31-'12 - 2019'!B30+'12 - 2019'!C31-'12 - 2019'!C30</f>
        <v>0</v>
      </c>
      <c r="F26" s="25">
        <v>0.11799999999999999</v>
      </c>
      <c r="G26" s="27">
        <f>(('12 - 2019'!E31-'12 - 2019'!E30)+('12 - 2019'!F31-'12 - 2019'!F30)+('12 - 2019'!G31-'12 - 2019'!G30))*1.81</f>
        <v>0</v>
      </c>
      <c r="H26" s="25">
        <v>0.99</v>
      </c>
      <c r="I26" s="27">
        <f>'12 - 2019'!J31-'12 - 2019'!J30</f>
        <v>0</v>
      </c>
      <c r="J26" s="25">
        <v>8.1000000000000003E-2</v>
      </c>
      <c r="K26" s="27">
        <f>'12 - 2019'!H31-'12 - 2019'!H30</f>
        <v>0</v>
      </c>
      <c r="L26" s="27">
        <f>'12 - 2019'!I31-'12 - 2019'!I30</f>
        <v>0</v>
      </c>
      <c r="M26" s="26">
        <v>4.393629424766913</v>
      </c>
      <c r="N26" s="6"/>
    </row>
    <row r="27" spans="1:16" x14ac:dyDescent="0.25">
      <c r="A27" t="s">
        <v>27</v>
      </c>
      <c r="B27">
        <f t="shared" si="0"/>
        <v>26</v>
      </c>
      <c r="C27" s="25">
        <v>12</v>
      </c>
      <c r="D27" s="25">
        <v>2019</v>
      </c>
      <c r="E27" s="27">
        <f>'12 - 2019'!B32-'12 - 2019'!B31+'12 - 2019'!C32-'12 - 2019'!C31</f>
        <v>0</v>
      </c>
      <c r="F27" s="25">
        <v>0.11799999999999999</v>
      </c>
      <c r="G27" s="27">
        <f>(('12 - 2019'!E32-'12 - 2019'!E31)+('12 - 2019'!F32-'12 - 2019'!F31)+('12 - 2019'!G32-'12 - 2019'!G31))*1.81</f>
        <v>0</v>
      </c>
      <c r="H27" s="25">
        <v>0.99</v>
      </c>
      <c r="I27" s="27">
        <f>'12 - 2019'!J32-'12 - 2019'!J31</f>
        <v>0</v>
      </c>
      <c r="J27" s="25">
        <v>8.1000000000000003E-2</v>
      </c>
      <c r="K27" s="27">
        <f>'12 - 2019'!H32-'12 - 2019'!H31</f>
        <v>0</v>
      </c>
      <c r="L27" s="27">
        <f>'12 - 2019'!I32-'12 - 2019'!I31</f>
        <v>0</v>
      </c>
      <c r="M27" s="26">
        <v>4.393629424766913</v>
      </c>
      <c r="N27" s="6"/>
    </row>
    <row r="28" spans="1:16" x14ac:dyDescent="0.25">
      <c r="A28" t="s">
        <v>27</v>
      </c>
      <c r="B28">
        <f t="shared" si="0"/>
        <v>27</v>
      </c>
      <c r="C28" s="25">
        <v>12</v>
      </c>
      <c r="D28" s="25">
        <v>2019</v>
      </c>
      <c r="E28" s="27">
        <f>'12 - 2019'!B33-'12 - 2019'!B32+'12 - 2019'!C33-'12 - 2019'!C32</f>
        <v>0</v>
      </c>
      <c r="F28" s="25">
        <v>0.11799999999999999</v>
      </c>
      <c r="G28" s="27">
        <f>(('12 - 2019'!E33-'12 - 2019'!E32)+('12 - 2019'!F33-'12 - 2019'!F32)+('12 - 2019'!G33-'12 - 2019'!G32))*1.81</f>
        <v>0</v>
      </c>
      <c r="H28" s="25">
        <v>0.99</v>
      </c>
      <c r="I28" s="27">
        <f>'12 - 2019'!J33-'12 - 2019'!J32</f>
        <v>0</v>
      </c>
      <c r="J28" s="25">
        <v>8.1000000000000003E-2</v>
      </c>
      <c r="K28" s="27">
        <f>'12 - 2019'!H33-'12 - 2019'!H32</f>
        <v>0</v>
      </c>
      <c r="L28" s="27">
        <f>'12 - 2019'!I33-'12 - 2019'!I32</f>
        <v>0</v>
      </c>
      <c r="M28" s="26">
        <v>4.393629424766913</v>
      </c>
      <c r="N28" s="6"/>
    </row>
    <row r="29" spans="1:16" x14ac:dyDescent="0.25">
      <c r="A29" t="s">
        <v>27</v>
      </c>
      <c r="B29">
        <f t="shared" si="0"/>
        <v>28</v>
      </c>
      <c r="C29" s="25">
        <v>12</v>
      </c>
      <c r="D29" s="25">
        <v>2019</v>
      </c>
      <c r="E29" s="27">
        <f>'12 - 2019'!B34-'12 - 2019'!B33+'12 - 2019'!C34-'12 - 2019'!C33</f>
        <v>0</v>
      </c>
      <c r="F29" s="25">
        <v>0.11799999999999999</v>
      </c>
      <c r="G29" s="27">
        <f>(('12 - 2019'!E34-'12 - 2019'!E33)+('12 - 2019'!F34-'12 - 2019'!F33)+('12 - 2019'!G34-'12 - 2019'!G33))*1.81</f>
        <v>0</v>
      </c>
      <c r="H29" s="25">
        <v>0.99</v>
      </c>
      <c r="I29" s="27">
        <f>'12 - 2019'!J34-'12 - 2019'!J33</f>
        <v>0</v>
      </c>
      <c r="J29" s="25">
        <v>8.1000000000000003E-2</v>
      </c>
      <c r="K29" s="27">
        <f>'12 - 2019'!H34-'12 - 2019'!H33</f>
        <v>0</v>
      </c>
      <c r="L29" s="27">
        <f>'12 - 2019'!I34-'12 - 2019'!I33</f>
        <v>0</v>
      </c>
      <c r="M29" s="26">
        <v>4.393629424766913</v>
      </c>
      <c r="N29" s="6"/>
    </row>
    <row r="30" spans="1:16" x14ac:dyDescent="0.25">
      <c r="A30" t="s">
        <v>27</v>
      </c>
      <c r="B30">
        <f t="shared" si="0"/>
        <v>29</v>
      </c>
      <c r="C30" s="25">
        <v>12</v>
      </c>
      <c r="D30" s="25">
        <v>2019</v>
      </c>
      <c r="E30" s="27">
        <v>0</v>
      </c>
      <c r="F30" s="25">
        <v>0.11799999999999999</v>
      </c>
      <c r="G30" s="27">
        <v>0</v>
      </c>
      <c r="H30" s="25">
        <v>0.99</v>
      </c>
      <c r="I30" s="27">
        <v>0</v>
      </c>
      <c r="J30" s="25">
        <v>8.1000000000000003E-2</v>
      </c>
      <c r="K30" s="27">
        <v>0</v>
      </c>
      <c r="L30" s="27">
        <v>0</v>
      </c>
      <c r="M30" s="26">
        <v>4.393629424766913</v>
      </c>
      <c r="N30" s="6"/>
    </row>
    <row r="31" spans="1:16" x14ac:dyDescent="0.25">
      <c r="A31" t="s">
        <v>27</v>
      </c>
      <c r="B31">
        <f t="shared" si="0"/>
        <v>30</v>
      </c>
      <c r="C31" s="25">
        <v>12</v>
      </c>
      <c r="D31">
        <v>2019</v>
      </c>
      <c r="E31" s="27">
        <f>'12 - 2019'!B36-'12 - 2019'!B35+'12 - 2019'!C36-'12 - 2019'!C35</f>
        <v>0</v>
      </c>
      <c r="F31" s="25">
        <v>0.11799999999999999</v>
      </c>
      <c r="G31" s="27">
        <f>(('12 - 2019'!E36-'12 - 2019'!E35)+('12 - 2019'!F36-'12 - 2019'!F35)+('12 - 2019'!G36-'12 - 2019'!G35))*1.81</f>
        <v>0</v>
      </c>
      <c r="H31" s="25">
        <v>0.99</v>
      </c>
      <c r="I31" s="27">
        <f>'12 - 2019'!J36-'12 - 2019'!J35</f>
        <v>0</v>
      </c>
      <c r="J31" s="25">
        <v>8.1000000000000003E-2</v>
      </c>
      <c r="K31" s="27">
        <f>'12 - 2019'!H36-'12 - 2019'!H35</f>
        <v>0</v>
      </c>
      <c r="L31" s="27">
        <f>'12 - 2019'!I36-'12 - 2019'!I35</f>
        <v>0</v>
      </c>
      <c r="M31" s="26">
        <v>4.393629424766913</v>
      </c>
      <c r="N31" s="6"/>
    </row>
    <row r="32" spans="1:16" x14ac:dyDescent="0.25">
      <c r="A32" s="25" t="s">
        <v>27</v>
      </c>
      <c r="B32">
        <v>31</v>
      </c>
      <c r="C32" s="25">
        <v>12</v>
      </c>
      <c r="D32" s="25">
        <v>2019</v>
      </c>
      <c r="E32" s="27">
        <v>0</v>
      </c>
      <c r="F32" s="25">
        <v>0.11799999999999999</v>
      </c>
      <c r="G32" s="27">
        <v>0</v>
      </c>
      <c r="H32" s="25">
        <v>0.99</v>
      </c>
      <c r="I32" s="27">
        <v>0</v>
      </c>
      <c r="J32" s="25">
        <v>8.1000000000000003E-2</v>
      </c>
      <c r="K32" s="27">
        <v>0</v>
      </c>
      <c r="L32" s="27">
        <v>0</v>
      </c>
      <c r="M32" s="26">
        <v>4.393629424766913</v>
      </c>
      <c r="N32" s="2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abSelected="1" workbookViewId="0">
      <selection activeCell="P20" sqref="P20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12</v>
      </c>
      <c r="D2">
        <v>2019</v>
      </c>
      <c r="E2" s="6">
        <f>'12 - 2019'!B7-'12 - 2019'!B6</f>
        <v>3251</v>
      </c>
      <c r="F2" s="6">
        <f>'12 - 2019'!C7-'12 - 2019'!C6</f>
        <v>5160.7000000000116</v>
      </c>
      <c r="G2">
        <v>0.11799999999999999</v>
      </c>
      <c r="H2" s="6">
        <f>'12 - 2019'!E7-'12 - 2019'!E6</f>
        <v>23.699999999999818</v>
      </c>
      <c r="I2" s="6">
        <f>'12 - 2019'!F7-'12 - 2019'!F6</f>
        <v>4.9399999999998272</v>
      </c>
      <c r="J2" s="6">
        <f>'12 - 2019'!G7-'12 - 2019'!G6</f>
        <v>30.920000000000073</v>
      </c>
      <c r="K2">
        <v>0.74</v>
      </c>
      <c r="L2" s="6">
        <v>54</v>
      </c>
      <c r="M2" s="12"/>
    </row>
    <row r="3" spans="1:13" x14ac:dyDescent="0.25">
      <c r="A3" t="s">
        <v>27</v>
      </c>
      <c r="B3">
        <f>B2+1</f>
        <v>2</v>
      </c>
      <c r="C3" s="25">
        <v>12</v>
      </c>
      <c r="D3">
        <v>2019</v>
      </c>
      <c r="E3" s="27">
        <f>'12 - 2019'!B8-'12 - 2019'!B7</f>
        <v>3308</v>
      </c>
      <c r="F3" s="27">
        <f>'12 - 2019'!C8-'12 - 2019'!C7</f>
        <v>5328.3999999999942</v>
      </c>
      <c r="G3" s="25">
        <v>0.11799999999999999</v>
      </c>
      <c r="H3" s="27">
        <f>'12 - 2019'!E8-'12 - 2019'!E7</f>
        <v>21.300000000000182</v>
      </c>
      <c r="I3" s="27">
        <f>'12 - 2019'!F8-'12 - 2019'!F7</f>
        <v>4.8800000000001091</v>
      </c>
      <c r="J3" s="27">
        <f>'12 - 2019'!G8-'12 - 2019'!G7</f>
        <v>30.270000000000437</v>
      </c>
      <c r="K3" s="25">
        <v>0.74</v>
      </c>
      <c r="L3" s="6">
        <v>34</v>
      </c>
      <c r="M3" s="12"/>
    </row>
    <row r="4" spans="1:13" x14ac:dyDescent="0.25">
      <c r="A4" t="s">
        <v>27</v>
      </c>
      <c r="B4">
        <f t="shared" ref="B4:B31" si="0">B3+1</f>
        <v>3</v>
      </c>
      <c r="C4" s="25">
        <v>12</v>
      </c>
      <c r="D4">
        <v>2019</v>
      </c>
      <c r="E4" s="27">
        <f>'12 - 2019'!B9-'12 - 2019'!B8</f>
        <v>3661</v>
      </c>
      <c r="F4" s="27">
        <f>'12 - 2019'!C9-'12 - 2019'!C8</f>
        <v>5891</v>
      </c>
      <c r="G4" s="25">
        <v>0.11799999999999999</v>
      </c>
      <c r="H4" s="27">
        <f>'12 - 2019'!E9-'12 - 2019'!E8</f>
        <v>27</v>
      </c>
      <c r="I4" s="27">
        <f>'12 - 2019'!F9-'12 - 2019'!F8</f>
        <v>4</v>
      </c>
      <c r="J4" s="27">
        <f>'12 - 2019'!G9-'12 - 2019'!G8</f>
        <v>34</v>
      </c>
      <c r="K4" s="25">
        <v>0.74</v>
      </c>
      <c r="L4" s="6">
        <v>49</v>
      </c>
      <c r="M4" s="12"/>
    </row>
    <row r="5" spans="1:13" x14ac:dyDescent="0.25">
      <c r="A5" t="s">
        <v>27</v>
      </c>
      <c r="B5">
        <f t="shared" si="0"/>
        <v>4</v>
      </c>
      <c r="C5" s="25">
        <v>12</v>
      </c>
      <c r="D5">
        <v>2019</v>
      </c>
      <c r="E5" s="27">
        <f>'12 - 2019'!B10-'12 - 2019'!B9</f>
        <v>3709</v>
      </c>
      <c r="F5" s="27">
        <f>'12 - 2019'!C10-'12 - 2019'!C9</f>
        <v>5973</v>
      </c>
      <c r="G5" s="25">
        <v>0.11799999999999999</v>
      </c>
      <c r="H5" s="27">
        <f>'12 - 2019'!E10-'12 - 2019'!E9</f>
        <v>28</v>
      </c>
      <c r="I5" s="27">
        <f>'12 - 2019'!F10-'12 - 2019'!F9</f>
        <v>6</v>
      </c>
      <c r="J5" s="27">
        <f>'12 - 2019'!G10-'12 - 2019'!G9</f>
        <v>37</v>
      </c>
      <c r="K5" s="25">
        <v>0.74</v>
      </c>
      <c r="L5" s="6">
        <v>66</v>
      </c>
      <c r="M5" s="12"/>
    </row>
    <row r="6" spans="1:13" x14ac:dyDescent="0.25">
      <c r="A6" t="s">
        <v>27</v>
      </c>
      <c r="B6">
        <f t="shared" si="0"/>
        <v>5</v>
      </c>
      <c r="C6" s="25">
        <v>12</v>
      </c>
      <c r="D6">
        <v>2019</v>
      </c>
      <c r="E6" s="27">
        <f>'12 - 2019'!B11-'12 - 2019'!B10</f>
        <v>3793</v>
      </c>
      <c r="F6" s="27">
        <f>'12 - 2019'!C11-'12 - 2019'!C10</f>
        <v>6292</v>
      </c>
      <c r="G6" s="25">
        <v>0.11799999999999999</v>
      </c>
      <c r="H6" s="27">
        <f>'12 - 2019'!E11-'12 - 2019'!E10</f>
        <v>26.630000000000109</v>
      </c>
      <c r="I6" s="27">
        <f>'12 - 2019'!F11-'12 - 2019'!F10</f>
        <v>4</v>
      </c>
      <c r="J6" s="27">
        <f>'12 - 2019'!G11-'12 - 2019'!G10</f>
        <v>36</v>
      </c>
      <c r="K6" s="25">
        <v>0.74</v>
      </c>
      <c r="L6" s="15">
        <v>83</v>
      </c>
      <c r="M6" s="13"/>
    </row>
    <row r="7" spans="1:13" x14ac:dyDescent="0.25">
      <c r="A7" t="s">
        <v>27</v>
      </c>
      <c r="B7">
        <f t="shared" si="0"/>
        <v>6</v>
      </c>
      <c r="C7" s="25">
        <v>12</v>
      </c>
      <c r="D7">
        <v>2019</v>
      </c>
      <c r="E7" s="27">
        <f>'12 - 2019'!B12-'12 - 2019'!B11</f>
        <v>3844</v>
      </c>
      <c r="F7" s="27">
        <f>'12 - 2019'!C12-'12 - 2019'!C11</f>
        <v>6122</v>
      </c>
      <c r="G7" s="25">
        <v>0.11799999999999999</v>
      </c>
      <c r="H7" s="27">
        <f>'12 - 2019'!E12-'12 - 2019'!E11</f>
        <v>27.159999999999854</v>
      </c>
      <c r="I7" s="27">
        <f>'12 - 2019'!F12-'12 - 2019'!F11</f>
        <v>6.0899999999999181</v>
      </c>
      <c r="J7" s="27">
        <f>'12 - 2019'!G12-'12 - 2019'!G11</f>
        <v>44</v>
      </c>
      <c r="K7" s="25">
        <v>0.74</v>
      </c>
      <c r="L7" s="6">
        <v>102</v>
      </c>
      <c r="M7" s="13"/>
    </row>
    <row r="8" spans="1:13" x14ac:dyDescent="0.25">
      <c r="A8" t="s">
        <v>27</v>
      </c>
      <c r="B8">
        <f t="shared" si="0"/>
        <v>7</v>
      </c>
      <c r="C8" s="25">
        <v>12</v>
      </c>
      <c r="D8">
        <v>2019</v>
      </c>
      <c r="E8" s="27">
        <f>'12 - 2019'!B13-'12 - 2019'!B12</f>
        <v>3713</v>
      </c>
      <c r="F8" s="27">
        <f>'12 - 2019'!C13-'12 - 2019'!C12</f>
        <v>6597</v>
      </c>
      <c r="G8" s="25">
        <v>0.11799999999999999</v>
      </c>
      <c r="H8" s="27">
        <f>'12 - 2019'!E13-'12 - 2019'!E12</f>
        <v>25.869999999999891</v>
      </c>
      <c r="I8" s="27">
        <f>'12 - 2019'!F13-'12 - 2019'!F12</f>
        <v>5.3700000000001182</v>
      </c>
      <c r="J8" s="27">
        <f>'12 - 2019'!G13-'12 - 2019'!G12</f>
        <v>41</v>
      </c>
      <c r="K8" s="25">
        <v>0.74</v>
      </c>
      <c r="L8" s="6">
        <v>83</v>
      </c>
      <c r="M8" s="13"/>
    </row>
    <row r="9" spans="1:13" x14ac:dyDescent="0.25">
      <c r="A9" t="s">
        <v>27</v>
      </c>
      <c r="B9">
        <f t="shared" si="0"/>
        <v>8</v>
      </c>
      <c r="C9" s="25">
        <v>12</v>
      </c>
      <c r="D9">
        <v>2019</v>
      </c>
      <c r="E9" s="27">
        <f>'12 - 2019'!B14-'12 - 2019'!B13</f>
        <v>3721</v>
      </c>
      <c r="F9" s="27">
        <f>'12 - 2019'!C14-'12 - 2019'!C13</f>
        <v>5668</v>
      </c>
      <c r="G9" s="25">
        <v>0.11799999999999999</v>
      </c>
      <c r="H9" s="27">
        <f>'12 - 2019'!E14-'12 - 2019'!E13</f>
        <v>26.079999999999927</v>
      </c>
      <c r="I9" s="27">
        <f>'12 - 2019'!F14-'12 - 2019'!F13</f>
        <v>4.3299999999999272</v>
      </c>
      <c r="J9" s="27">
        <f>'12 - 2019'!G14-'12 - 2019'!G13</f>
        <v>37</v>
      </c>
      <c r="K9" s="25">
        <v>0.74</v>
      </c>
      <c r="L9" s="6">
        <v>88</v>
      </c>
      <c r="M9" s="13"/>
    </row>
    <row r="10" spans="1:13" x14ac:dyDescent="0.25">
      <c r="A10" t="s">
        <v>27</v>
      </c>
      <c r="B10">
        <f t="shared" si="0"/>
        <v>9</v>
      </c>
      <c r="C10" s="25">
        <v>12</v>
      </c>
      <c r="D10">
        <v>2019</v>
      </c>
      <c r="E10" s="27">
        <f>'12 - 2019'!B15-'12 - 2019'!B14</f>
        <v>3658</v>
      </c>
      <c r="F10" s="27">
        <f>'12 - 2019'!C15-'12 - 2019'!C14</f>
        <v>6075</v>
      </c>
      <c r="G10" s="25">
        <v>0.11799999999999999</v>
      </c>
      <c r="H10" s="27">
        <f>'12 - 2019'!E15-'12 - 2019'!E14</f>
        <v>31.320000000000618</v>
      </c>
      <c r="I10" s="27">
        <f>'12 - 2019'!F15-'12 - 2019'!F14</f>
        <v>6.8199999999999363</v>
      </c>
      <c r="J10" s="27">
        <f>'12 - 2019'!G15-'12 - 2019'!G14</f>
        <v>40.540000000000873</v>
      </c>
      <c r="K10" s="25">
        <v>0.74</v>
      </c>
      <c r="L10" s="27">
        <v>78</v>
      </c>
      <c r="M10" s="13"/>
    </row>
    <row r="11" spans="1:13" x14ac:dyDescent="0.25">
      <c r="A11" t="s">
        <v>27</v>
      </c>
      <c r="B11">
        <f t="shared" si="0"/>
        <v>10</v>
      </c>
      <c r="C11" s="25">
        <v>12</v>
      </c>
      <c r="D11">
        <v>2019</v>
      </c>
      <c r="E11" s="27">
        <f>'12 - 2019'!B16-'12 - 2019'!B15</f>
        <v>3654</v>
      </c>
      <c r="F11" s="27">
        <f>'12 - 2019'!C16-'12 - 2019'!C15</f>
        <v>6002</v>
      </c>
      <c r="G11" s="25">
        <v>0.11799999999999999</v>
      </c>
      <c r="H11" s="27">
        <f>'12 - 2019'!E16-'12 - 2019'!E15</f>
        <v>22.259999999999309</v>
      </c>
      <c r="I11" s="27">
        <f>'12 - 2019'!F16-'12 - 2019'!F15</f>
        <v>5.4600000000000364</v>
      </c>
      <c r="J11" s="27">
        <f>'12 - 2019'!G16-'12 - 2019'!G15</f>
        <v>39.459999999999127</v>
      </c>
      <c r="K11" s="25">
        <v>0.74</v>
      </c>
      <c r="L11" s="27">
        <v>95</v>
      </c>
      <c r="M11" s="13"/>
    </row>
    <row r="12" spans="1:13" x14ac:dyDescent="0.25">
      <c r="A12" t="s">
        <v>27</v>
      </c>
      <c r="B12">
        <f t="shared" si="0"/>
        <v>11</v>
      </c>
      <c r="C12" s="25">
        <v>12</v>
      </c>
      <c r="D12">
        <v>2019</v>
      </c>
      <c r="E12" s="27">
        <f>'12 - 2019'!B17-'12 - 2019'!B16</f>
        <v>4016</v>
      </c>
      <c r="F12" s="27">
        <f>'12 - 2019'!C17-'12 - 2019'!C16</f>
        <v>6737</v>
      </c>
      <c r="G12" s="25">
        <v>0.11799999999999999</v>
      </c>
      <c r="H12" s="27">
        <f>'12 - 2019'!E17-'12 - 2019'!E16</f>
        <v>28.680000000000291</v>
      </c>
      <c r="I12" s="27">
        <f>'12 - 2019'!F17-'12 - 2019'!F16</f>
        <v>6.4100000000000819</v>
      </c>
      <c r="J12" s="27">
        <f>'12 - 2019'!G17-'12 - 2019'!G16</f>
        <v>43</v>
      </c>
      <c r="K12" s="25">
        <v>0.74</v>
      </c>
      <c r="L12" s="27">
        <v>93</v>
      </c>
      <c r="M12" s="13"/>
    </row>
    <row r="13" spans="1:13" x14ac:dyDescent="0.25">
      <c r="A13" t="s">
        <v>27</v>
      </c>
      <c r="B13">
        <f t="shared" si="0"/>
        <v>12</v>
      </c>
      <c r="C13" s="25">
        <v>12</v>
      </c>
      <c r="D13">
        <v>2019</v>
      </c>
      <c r="E13" s="27">
        <f>'12 - 2019'!B18-'12 - 2019'!B17</f>
        <v>4013</v>
      </c>
      <c r="F13" s="27">
        <f>'12 - 2019'!C18-'12 - 2019'!C17</f>
        <v>6595</v>
      </c>
      <c r="G13" s="25">
        <v>0.11799999999999999</v>
      </c>
      <c r="H13" s="27">
        <f>'12 - 2019'!E18-'12 - 2019'!E17</f>
        <v>27.100000000000364</v>
      </c>
      <c r="I13" s="27">
        <f>'12 - 2019'!F18-'12 - 2019'!F17</f>
        <v>5.7799999999999727</v>
      </c>
      <c r="J13" s="27">
        <f>'12 - 2019'!G18-'12 - 2019'!G17</f>
        <v>44</v>
      </c>
      <c r="K13" s="25">
        <v>0.74</v>
      </c>
      <c r="L13" s="27">
        <v>104</v>
      </c>
      <c r="M13" s="13"/>
    </row>
    <row r="14" spans="1:13" x14ac:dyDescent="0.25">
      <c r="A14" t="s">
        <v>27</v>
      </c>
      <c r="B14">
        <f t="shared" si="0"/>
        <v>13</v>
      </c>
      <c r="C14" s="25">
        <v>12</v>
      </c>
      <c r="D14">
        <v>2019</v>
      </c>
      <c r="E14" s="27">
        <f>'12 - 2019'!B19-'12 - 2019'!B18</f>
        <v>4018</v>
      </c>
      <c r="F14" s="27">
        <f>'12 - 2019'!C19-'12 - 2019'!C18</f>
        <v>6400</v>
      </c>
      <c r="G14" s="25">
        <v>0.11799999999999999</v>
      </c>
      <c r="H14" s="27">
        <f>'12 - 2019'!E19-'12 - 2019'!E18</f>
        <v>29.079999999999927</v>
      </c>
      <c r="I14" s="27">
        <f>'12 - 2019'!F19-'12 - 2019'!F18</f>
        <v>6.2599999999999909</v>
      </c>
      <c r="J14" s="27">
        <f>'12 - 2019'!G19-'12 - 2019'!G18</f>
        <v>42.610000000000582</v>
      </c>
      <c r="K14" s="25">
        <v>0.74</v>
      </c>
      <c r="L14" s="6">
        <v>93</v>
      </c>
      <c r="M14" s="13"/>
    </row>
    <row r="15" spans="1:13" x14ac:dyDescent="0.25">
      <c r="A15" t="s">
        <v>27</v>
      </c>
      <c r="B15">
        <f t="shared" si="0"/>
        <v>14</v>
      </c>
      <c r="C15" s="25">
        <v>12</v>
      </c>
      <c r="D15">
        <v>2019</v>
      </c>
      <c r="E15" s="27">
        <f>'12 - 2019'!B20-'12 - 2019'!B19</f>
        <v>3180</v>
      </c>
      <c r="F15" s="27">
        <f>'12 - 2019'!C20-'12 - 2019'!C19</f>
        <v>5168</v>
      </c>
      <c r="G15" s="25">
        <v>0.11799999999999999</v>
      </c>
      <c r="H15" s="27">
        <f>'12 - 2019'!E20-'12 - 2019'!E19</f>
        <v>19</v>
      </c>
      <c r="I15" s="27">
        <f>'12 - 2019'!F20-'12 - 2019'!F19</f>
        <v>5.7599999999999909</v>
      </c>
      <c r="J15" s="27">
        <f>'12 - 2019'!G20-'12 - 2019'!G19</f>
        <v>33.18999999999869</v>
      </c>
      <c r="K15" s="25">
        <v>0.74</v>
      </c>
      <c r="L15" s="6">
        <v>79</v>
      </c>
      <c r="M15" s="13"/>
    </row>
    <row r="16" spans="1:13" x14ac:dyDescent="0.25">
      <c r="A16" t="s">
        <v>27</v>
      </c>
      <c r="B16">
        <f t="shared" si="0"/>
        <v>15</v>
      </c>
      <c r="C16" s="25">
        <v>12</v>
      </c>
      <c r="D16">
        <v>2019</v>
      </c>
      <c r="E16" s="27">
        <f>'12 - 2019'!B21-'12 - 2019'!B20</f>
        <v>3690</v>
      </c>
      <c r="F16" s="27">
        <f>'12 - 2019'!C21-'12 - 2019'!C20</f>
        <v>6036</v>
      </c>
      <c r="G16" s="25">
        <v>0.11799999999999999</v>
      </c>
      <c r="H16" s="27">
        <f>'12 - 2019'!E21-'12 - 2019'!E20</f>
        <v>27.020000000000437</v>
      </c>
      <c r="I16" s="27">
        <f>'12 - 2019'!F21-'12 - 2019'!F20</f>
        <v>6.0099999999999909</v>
      </c>
      <c r="J16" s="27">
        <f>'12 - 2019'!G21-'12 - 2019'!G20</f>
        <v>44.470000000001164</v>
      </c>
      <c r="K16" s="25">
        <v>0.74</v>
      </c>
      <c r="L16" s="27">
        <v>59</v>
      </c>
      <c r="M16" s="13"/>
    </row>
    <row r="17" spans="1:13" x14ac:dyDescent="0.25">
      <c r="A17" t="s">
        <v>27</v>
      </c>
      <c r="B17">
        <f t="shared" si="0"/>
        <v>16</v>
      </c>
      <c r="C17" s="25">
        <v>12</v>
      </c>
      <c r="D17">
        <v>2019</v>
      </c>
      <c r="E17" s="27">
        <f>'12 - 2019'!B22-'12 - 2019'!B21</f>
        <v>3469</v>
      </c>
      <c r="F17" s="27">
        <f>'12 - 2019'!C22-'12 - 2019'!C21</f>
        <v>5814</v>
      </c>
      <c r="G17" s="25">
        <v>0.11799999999999999</v>
      </c>
      <c r="H17" s="27">
        <f>'12 - 2019'!E22-'12 - 2019'!E21</f>
        <v>23.799999999999272</v>
      </c>
      <c r="I17" s="27">
        <f>'12 - 2019'!F22-'12 - 2019'!F21</f>
        <v>3.7100000000000364</v>
      </c>
      <c r="J17" s="27">
        <f>'12 - 2019'!G22-'12 - 2019'!G21</f>
        <v>25.729999999999563</v>
      </c>
      <c r="K17" s="25">
        <v>0.74</v>
      </c>
      <c r="L17" s="27">
        <v>66</v>
      </c>
      <c r="M17" s="13"/>
    </row>
    <row r="18" spans="1:13" x14ac:dyDescent="0.25">
      <c r="A18" t="s">
        <v>27</v>
      </c>
      <c r="B18">
        <f t="shared" si="0"/>
        <v>17</v>
      </c>
      <c r="C18" s="25">
        <v>12</v>
      </c>
      <c r="D18">
        <v>2019</v>
      </c>
      <c r="E18" s="27">
        <v>0</v>
      </c>
      <c r="F18" s="27">
        <v>0</v>
      </c>
      <c r="G18" s="25">
        <v>0.11799999999999999</v>
      </c>
      <c r="H18" s="27">
        <v>0</v>
      </c>
      <c r="I18" s="27">
        <v>0</v>
      </c>
      <c r="J18" s="27">
        <v>0</v>
      </c>
      <c r="K18" s="25">
        <v>0.74</v>
      </c>
      <c r="L18" s="27"/>
      <c r="M18" s="13"/>
    </row>
    <row r="19" spans="1:13" x14ac:dyDescent="0.25">
      <c r="A19" t="s">
        <v>27</v>
      </c>
      <c r="B19">
        <f>B18+1</f>
        <v>18</v>
      </c>
      <c r="C19" s="25">
        <v>12</v>
      </c>
      <c r="D19" s="25">
        <v>2019</v>
      </c>
      <c r="E19" s="27">
        <f>'12 - 2019'!B24-'12 - 2019'!B23</f>
        <v>0</v>
      </c>
      <c r="F19" s="27">
        <f>'12 - 2019'!C24-'12 - 2019'!C23</f>
        <v>0</v>
      </c>
      <c r="G19" s="25">
        <v>0.11799999999999999</v>
      </c>
      <c r="H19" s="27">
        <f>'12 - 2019'!E24-'12 - 2019'!E23</f>
        <v>0</v>
      </c>
      <c r="I19" s="27">
        <f>'12 - 2019'!F24-'12 - 2019'!F23</f>
        <v>0</v>
      </c>
      <c r="J19" s="27">
        <f>'12 - 2019'!G24-'12 - 2019'!G23</f>
        <v>0</v>
      </c>
      <c r="K19" s="25">
        <v>0.74</v>
      </c>
      <c r="L19" s="6"/>
      <c r="M19" s="13"/>
    </row>
    <row r="20" spans="1:13" x14ac:dyDescent="0.25">
      <c r="A20" t="s">
        <v>27</v>
      </c>
      <c r="B20">
        <f t="shared" si="0"/>
        <v>19</v>
      </c>
      <c r="C20" s="25">
        <v>12</v>
      </c>
      <c r="D20" s="25">
        <v>2019</v>
      </c>
      <c r="E20" s="27">
        <f>'12 - 2019'!B25-'12 - 2019'!B24</f>
        <v>0</v>
      </c>
      <c r="F20" s="27">
        <f>'12 - 2019'!C25-'12 - 2019'!C24</f>
        <v>0</v>
      </c>
      <c r="G20" s="25">
        <v>0.11799999999999999</v>
      </c>
      <c r="H20" s="27">
        <f>'12 - 2019'!E25-'12 - 2019'!E24</f>
        <v>0</v>
      </c>
      <c r="I20" s="27">
        <f>'12 - 2019'!F25-'12 - 2019'!F24</f>
        <v>0</v>
      </c>
      <c r="J20" s="27">
        <f>'12 - 2019'!G25-'12 - 2019'!G24</f>
        <v>0</v>
      </c>
      <c r="K20" s="25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5">
        <v>12</v>
      </c>
      <c r="D21" s="25">
        <v>2019</v>
      </c>
      <c r="E21" s="27">
        <f>'12 - 2019'!B26-'12 - 2019'!B25</f>
        <v>0</v>
      </c>
      <c r="F21" s="27">
        <f>'12 - 2019'!C26-'12 - 2019'!C25</f>
        <v>0</v>
      </c>
      <c r="G21" s="25">
        <v>0.11799999999999999</v>
      </c>
      <c r="H21" s="27">
        <f>'12 - 2019'!E26-'12 - 2019'!E25</f>
        <v>0</v>
      </c>
      <c r="I21" s="27">
        <f>'12 - 2019'!F26-'12 - 2019'!F25</f>
        <v>0</v>
      </c>
      <c r="J21" s="27">
        <f>'12 - 2019'!G26-'12 - 2019'!G25</f>
        <v>0</v>
      </c>
      <c r="K21" s="25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5">
        <v>12</v>
      </c>
      <c r="D22" s="25">
        <v>2019</v>
      </c>
      <c r="E22" s="27">
        <f>'12 - 2019'!B27-'12 - 2019'!B26</f>
        <v>0</v>
      </c>
      <c r="F22" s="27">
        <f>'12 - 2019'!C27-'12 - 2019'!C26</f>
        <v>0</v>
      </c>
      <c r="G22" s="25">
        <v>0.11799999999999999</v>
      </c>
      <c r="H22" s="27">
        <f>'12 - 2019'!E27-'12 - 2019'!E26</f>
        <v>0</v>
      </c>
      <c r="I22" s="27">
        <f>'12 - 2019'!F27-'12 - 2019'!F26</f>
        <v>0</v>
      </c>
      <c r="J22" s="27">
        <f>'12 - 2019'!G27-'12 - 2019'!G26</f>
        <v>0</v>
      </c>
      <c r="K22" s="25">
        <v>0.74</v>
      </c>
      <c r="L22" s="27"/>
      <c r="M22" s="13"/>
    </row>
    <row r="23" spans="1:13" x14ac:dyDescent="0.25">
      <c r="A23" t="s">
        <v>27</v>
      </c>
      <c r="B23">
        <f t="shared" si="0"/>
        <v>22</v>
      </c>
      <c r="C23" s="25">
        <v>12</v>
      </c>
      <c r="D23" s="25">
        <v>2019</v>
      </c>
      <c r="E23" s="27">
        <f>'12 - 2019'!B28-'12 - 2019'!B27</f>
        <v>0</v>
      </c>
      <c r="F23" s="27">
        <f>'12 - 2019'!C28-'12 - 2019'!C27</f>
        <v>0</v>
      </c>
      <c r="G23" s="25">
        <v>0.11799999999999999</v>
      </c>
      <c r="H23" s="27">
        <f>'12 - 2019'!E28-'12 - 2019'!E27</f>
        <v>0</v>
      </c>
      <c r="I23" s="27">
        <f>'12 - 2019'!F28-'12 - 2019'!F27</f>
        <v>0</v>
      </c>
      <c r="J23" s="27">
        <f>'12 - 2019'!G28-'12 - 2019'!G27</f>
        <v>0</v>
      </c>
      <c r="K23" s="25">
        <v>0.74</v>
      </c>
      <c r="L23" s="27"/>
      <c r="M23" s="13"/>
    </row>
    <row r="24" spans="1:13" x14ac:dyDescent="0.25">
      <c r="A24" t="s">
        <v>27</v>
      </c>
      <c r="B24">
        <f t="shared" si="0"/>
        <v>23</v>
      </c>
      <c r="C24" s="25">
        <v>12</v>
      </c>
      <c r="D24" s="25">
        <v>2019</v>
      </c>
      <c r="E24" s="27">
        <f>'12 - 2019'!B29-'12 - 2019'!B28</f>
        <v>0</v>
      </c>
      <c r="F24" s="27">
        <f>'12 - 2019'!C29-'12 - 2019'!C28</f>
        <v>0</v>
      </c>
      <c r="G24" s="25">
        <v>0.11799999999999999</v>
      </c>
      <c r="H24" s="27">
        <f>'12 - 2019'!E29-'12 - 2019'!E28</f>
        <v>0</v>
      </c>
      <c r="I24" s="27">
        <f>'12 - 2019'!F29-'12 - 2019'!F28</f>
        <v>0</v>
      </c>
      <c r="J24" s="27">
        <f>'12 - 2019'!G29-'12 - 2019'!G28</f>
        <v>0</v>
      </c>
      <c r="K24" s="25">
        <v>0.74</v>
      </c>
      <c r="L24" s="27"/>
      <c r="M24" s="13"/>
    </row>
    <row r="25" spans="1:13" x14ac:dyDescent="0.25">
      <c r="A25" t="s">
        <v>27</v>
      </c>
      <c r="B25">
        <f t="shared" si="0"/>
        <v>24</v>
      </c>
      <c r="C25" s="25">
        <v>12</v>
      </c>
      <c r="D25" s="25">
        <v>2019</v>
      </c>
      <c r="E25" s="27">
        <f>'12 - 2019'!B30-'12 - 2019'!B29</f>
        <v>0</v>
      </c>
      <c r="F25" s="27">
        <f>'12 - 2019'!C30-'12 - 2019'!C29</f>
        <v>0</v>
      </c>
      <c r="G25" s="25">
        <v>0.11799999999999999</v>
      </c>
      <c r="H25" s="27">
        <f>'12 - 2019'!E30-'12 - 2019'!E29</f>
        <v>0</v>
      </c>
      <c r="I25" s="27">
        <f>'12 - 2019'!F30-'12 - 2019'!F29</f>
        <v>0</v>
      </c>
      <c r="J25" s="27">
        <f>'12 - 2019'!G30-'12 - 2019'!G29</f>
        <v>0</v>
      </c>
      <c r="K25" s="25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5">
        <v>12</v>
      </c>
      <c r="D26" s="25">
        <v>2019</v>
      </c>
      <c r="E26" s="27">
        <f>'12 - 2019'!B31-'12 - 2019'!B30</f>
        <v>0</v>
      </c>
      <c r="F26" s="27">
        <f>'12 - 2019'!C31-'12 - 2019'!C30</f>
        <v>0</v>
      </c>
      <c r="G26" s="25">
        <v>0.11799999999999999</v>
      </c>
      <c r="H26" s="27">
        <f>'12 - 2019'!E31-'12 - 2019'!E30</f>
        <v>0</v>
      </c>
      <c r="I26" s="27">
        <f>'12 - 2019'!F31-'12 - 2019'!F30</f>
        <v>0</v>
      </c>
      <c r="J26" s="27">
        <f>'12 - 2019'!G31-'12 - 2019'!G30</f>
        <v>0</v>
      </c>
      <c r="K26" s="25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5">
        <v>12</v>
      </c>
      <c r="D27" s="25">
        <v>2019</v>
      </c>
      <c r="E27" s="27">
        <f>'12 - 2019'!B32-'12 - 2019'!B31</f>
        <v>0</v>
      </c>
      <c r="F27" s="27">
        <f>'12 - 2019'!C32-'12 - 2019'!C31</f>
        <v>0</v>
      </c>
      <c r="G27" s="25">
        <v>0.11799999999999999</v>
      </c>
      <c r="H27" s="27">
        <f>'12 - 2019'!E32-'12 - 2019'!E31</f>
        <v>0</v>
      </c>
      <c r="I27" s="27">
        <f>'12 - 2019'!F32-'12 - 2019'!F31</f>
        <v>0</v>
      </c>
      <c r="J27" s="27">
        <f>'12 - 2019'!G32-'12 - 2019'!G31</f>
        <v>0</v>
      </c>
      <c r="K27" s="25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5">
        <v>12</v>
      </c>
      <c r="D28" s="25">
        <v>2019</v>
      </c>
      <c r="E28" s="27">
        <f>'12 - 2019'!B33-'12 - 2019'!B32</f>
        <v>0</v>
      </c>
      <c r="F28" s="27">
        <f>'12 - 2019'!C33-'12 - 2019'!C32</f>
        <v>0</v>
      </c>
      <c r="G28" s="25">
        <v>0.11799999999999999</v>
      </c>
      <c r="H28" s="27">
        <f>'12 - 2019'!E33-'12 - 2019'!E32</f>
        <v>0</v>
      </c>
      <c r="I28" s="27">
        <f>'12 - 2019'!F33-'12 - 2019'!F32</f>
        <v>0</v>
      </c>
      <c r="J28" s="27">
        <f>'12 - 2019'!G33-'12 - 2019'!G32</f>
        <v>0</v>
      </c>
      <c r="K28" s="25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5">
        <v>12</v>
      </c>
      <c r="D29">
        <v>2019</v>
      </c>
      <c r="E29" s="27">
        <f>'12 - 2019'!B34-'12 - 2019'!B33</f>
        <v>0</v>
      </c>
      <c r="F29" s="27">
        <f>'12 - 2019'!C34-'12 - 2019'!C33</f>
        <v>0</v>
      </c>
      <c r="G29" s="25">
        <v>0.11799999999999999</v>
      </c>
      <c r="H29" s="27">
        <f>'12 - 2019'!E34-'12 - 2019'!E33</f>
        <v>0</v>
      </c>
      <c r="I29" s="27">
        <f>'12 - 2019'!F34-'12 - 2019'!F33</f>
        <v>0</v>
      </c>
      <c r="J29" s="27">
        <f>'12 - 2019'!G34-'12 - 2019'!G33</f>
        <v>0</v>
      </c>
      <c r="K29" s="25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5">
        <v>12</v>
      </c>
      <c r="D30" s="25">
        <v>2019</v>
      </c>
      <c r="E30" s="27">
        <v>0</v>
      </c>
      <c r="F30" s="27">
        <v>0</v>
      </c>
      <c r="G30" s="25">
        <v>0.11799999999999999</v>
      </c>
      <c r="H30" s="27">
        <v>0</v>
      </c>
      <c r="I30" s="27">
        <v>0</v>
      </c>
      <c r="J30" s="27">
        <v>0</v>
      </c>
      <c r="K30" s="25">
        <v>0.74</v>
      </c>
      <c r="L30" s="6"/>
    </row>
    <row r="31" spans="1:13" x14ac:dyDescent="0.25">
      <c r="A31" t="s">
        <v>27</v>
      </c>
      <c r="B31">
        <f t="shared" si="0"/>
        <v>30</v>
      </c>
      <c r="C31" s="25">
        <v>12</v>
      </c>
      <c r="D31">
        <v>2019</v>
      </c>
      <c r="E31" s="27">
        <f>'12 - 2019'!B36-'12 - 2019'!B35</f>
        <v>0</v>
      </c>
      <c r="F31" s="27">
        <f>'12 - 2019'!C36-'12 - 2019'!C35</f>
        <v>0</v>
      </c>
      <c r="G31" s="25">
        <v>0.11799999999999999</v>
      </c>
      <c r="H31" s="27">
        <f>'12 - 2019'!E36-'12 - 2019'!E35</f>
        <v>0</v>
      </c>
      <c r="I31" s="27">
        <f>'12 - 2019'!F36-'12 - 2019'!F35</f>
        <v>0</v>
      </c>
      <c r="J31" s="27">
        <f>'12 - 2019'!G36-'12 - 2019'!G35</f>
        <v>0</v>
      </c>
      <c r="K31" s="25">
        <v>0.74</v>
      </c>
      <c r="L31" s="6"/>
    </row>
    <row r="32" spans="1:13" x14ac:dyDescent="0.25">
      <c r="A32" s="25" t="s">
        <v>27</v>
      </c>
      <c r="B32">
        <v>31</v>
      </c>
      <c r="C32">
        <v>12</v>
      </c>
      <c r="D32" s="25">
        <v>2019</v>
      </c>
      <c r="E32" s="27">
        <f>'12 - 2019'!B37-'12 - 2019'!B36</f>
        <v>0</v>
      </c>
      <c r="F32" s="27">
        <f>'12 - 2019'!C37-'12 - 2019'!C36</f>
        <v>0</v>
      </c>
      <c r="G32" s="25">
        <v>0.11799999999999999</v>
      </c>
      <c r="H32" s="27">
        <f>'12 - 2019'!E37-'12 - 2019'!E36</f>
        <v>0</v>
      </c>
      <c r="I32" s="27">
        <f>'12 - 2019'!F37-'12 - 2019'!F36</f>
        <v>0</v>
      </c>
      <c r="J32" s="27">
        <f>'12 - 2019'!G37-'12 - 2019'!G36</f>
        <v>0</v>
      </c>
      <c r="K32" s="25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zoomScaleNormal="100" workbookViewId="0">
      <selection activeCell="C29" sqref="C29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ht="18.75" x14ac:dyDescent="0.3">
      <c r="A2" s="60" t="s">
        <v>30</v>
      </c>
      <c r="B2" s="60"/>
      <c r="C2" s="60"/>
      <c r="D2" s="60"/>
      <c r="E2" s="60"/>
      <c r="F2" s="60"/>
      <c r="G2" s="60"/>
      <c r="H2" s="60"/>
      <c r="I2" s="60"/>
      <c r="J2" s="60"/>
      <c r="K2" s="25"/>
      <c r="L2" s="25"/>
    </row>
    <row r="3" spans="1:15" ht="16.5" thickBot="1" x14ac:dyDescent="0.3">
      <c r="A3" s="53" t="s">
        <v>36</v>
      </c>
      <c r="B3" s="53"/>
      <c r="C3" s="53"/>
      <c r="D3" s="53"/>
      <c r="E3" s="53"/>
      <c r="F3" s="53"/>
      <c r="G3" s="53"/>
      <c r="H3" s="53"/>
      <c r="I3" s="53"/>
      <c r="J3" s="53"/>
      <c r="K3" s="25"/>
      <c r="L3" s="25"/>
    </row>
    <row r="4" spans="1:15" ht="16.5" thickBot="1" x14ac:dyDescent="0.3">
      <c r="A4" s="2"/>
      <c r="B4" s="54">
        <v>19</v>
      </c>
      <c r="C4" s="55"/>
      <c r="D4" s="54" t="s">
        <v>0</v>
      </c>
      <c r="E4" s="56"/>
      <c r="F4" s="56"/>
      <c r="G4" s="57"/>
      <c r="H4" s="58" t="s">
        <v>1</v>
      </c>
      <c r="I4" s="59"/>
      <c r="J4" s="31" t="s">
        <v>2</v>
      </c>
      <c r="K4" s="3"/>
      <c r="L4" s="25"/>
    </row>
    <row r="5" spans="1:15" ht="30" x14ac:dyDescent="0.25">
      <c r="A5" s="45" t="s">
        <v>3</v>
      </c>
      <c r="B5" s="46" t="s">
        <v>33</v>
      </c>
      <c r="C5" s="47" t="s">
        <v>34</v>
      </c>
      <c r="D5" s="47" t="s">
        <v>4</v>
      </c>
      <c r="E5" s="47" t="s">
        <v>5</v>
      </c>
      <c r="F5" s="47" t="s">
        <v>6</v>
      </c>
      <c r="G5" s="48" t="s">
        <v>7</v>
      </c>
      <c r="H5" s="47" t="s">
        <v>28</v>
      </c>
      <c r="I5" s="47" t="s">
        <v>29</v>
      </c>
      <c r="J5" s="47" t="s">
        <v>8</v>
      </c>
      <c r="K5" s="32" t="s">
        <v>31</v>
      </c>
      <c r="L5" s="33" t="s">
        <v>32</v>
      </c>
    </row>
    <row r="6" spans="1:15" ht="12.75" customHeight="1" x14ac:dyDescent="0.25">
      <c r="A6" s="50">
        <v>43799</v>
      </c>
      <c r="B6" s="16">
        <v>253727</v>
      </c>
      <c r="C6" s="16">
        <v>74657.899999999994</v>
      </c>
      <c r="D6" s="17">
        <v>0.57999999999999996</v>
      </c>
      <c r="E6" s="30">
        <v>7954</v>
      </c>
      <c r="F6" s="30">
        <v>1477.18</v>
      </c>
      <c r="G6" s="18">
        <v>13927.81</v>
      </c>
      <c r="H6" s="16">
        <v>14528</v>
      </c>
      <c r="I6" s="16">
        <v>80180</v>
      </c>
      <c r="J6" s="16">
        <v>36766524</v>
      </c>
      <c r="K6" s="19"/>
      <c r="L6" s="34"/>
    </row>
    <row r="7" spans="1:15" ht="12.75" customHeight="1" x14ac:dyDescent="0.25">
      <c r="A7" s="49">
        <v>43800</v>
      </c>
      <c r="B7" s="38">
        <v>256978</v>
      </c>
      <c r="C7" s="39">
        <v>79818.600000000006</v>
      </c>
      <c r="D7" s="40">
        <v>0.5</v>
      </c>
      <c r="E7" s="41">
        <v>7977.7</v>
      </c>
      <c r="F7" s="41">
        <v>1482.12</v>
      </c>
      <c r="G7" s="41">
        <v>13958.73</v>
      </c>
      <c r="H7" s="42">
        <v>14528</v>
      </c>
      <c r="I7" s="42">
        <v>80271</v>
      </c>
      <c r="J7" s="42">
        <v>36782939</v>
      </c>
      <c r="K7" s="43"/>
      <c r="L7" s="44"/>
    </row>
    <row r="8" spans="1:15" ht="12.75" customHeight="1" x14ac:dyDescent="0.25">
      <c r="A8" s="49">
        <v>43801</v>
      </c>
      <c r="B8" s="28">
        <v>260286</v>
      </c>
      <c r="C8" s="20">
        <v>85147</v>
      </c>
      <c r="D8" s="17">
        <v>0.45</v>
      </c>
      <c r="E8" s="24">
        <v>7999</v>
      </c>
      <c r="F8" s="24">
        <v>1487</v>
      </c>
      <c r="G8" s="24">
        <v>13989</v>
      </c>
      <c r="H8" s="20">
        <v>14528</v>
      </c>
      <c r="I8" s="16">
        <v>80344</v>
      </c>
      <c r="J8" s="16">
        <v>36795051</v>
      </c>
      <c r="K8" s="19"/>
      <c r="L8" s="34"/>
    </row>
    <row r="9" spans="1:15" ht="12.75" customHeight="1" x14ac:dyDescent="0.25">
      <c r="A9" s="49">
        <v>43802</v>
      </c>
      <c r="B9" s="16">
        <v>263947</v>
      </c>
      <c r="C9" s="16">
        <v>91038</v>
      </c>
      <c r="D9" s="17">
        <v>0.4</v>
      </c>
      <c r="E9" s="24">
        <v>8026</v>
      </c>
      <c r="F9" s="24">
        <v>1491</v>
      </c>
      <c r="G9" s="24">
        <v>14023</v>
      </c>
      <c r="H9" s="20">
        <v>14528</v>
      </c>
      <c r="I9" s="16">
        <v>80434</v>
      </c>
      <c r="J9" s="16">
        <v>36809493</v>
      </c>
      <c r="K9" s="19"/>
      <c r="L9" s="34"/>
    </row>
    <row r="10" spans="1:15" ht="12.75" customHeight="1" x14ac:dyDescent="0.25">
      <c r="A10" s="49">
        <v>43803</v>
      </c>
      <c r="B10" s="16">
        <v>267656</v>
      </c>
      <c r="C10" s="16">
        <v>97011</v>
      </c>
      <c r="D10" s="17">
        <v>0.34</v>
      </c>
      <c r="E10" s="24">
        <v>8054</v>
      </c>
      <c r="F10" s="24">
        <v>1497</v>
      </c>
      <c r="G10" s="24">
        <v>14060</v>
      </c>
      <c r="H10" s="20">
        <v>14528</v>
      </c>
      <c r="I10" s="16">
        <v>80547</v>
      </c>
      <c r="J10" s="16">
        <v>36824187</v>
      </c>
      <c r="K10" s="19"/>
      <c r="L10" s="34"/>
    </row>
    <row r="11" spans="1:15" ht="12.75" customHeight="1" x14ac:dyDescent="0.25">
      <c r="A11" s="49">
        <v>43804</v>
      </c>
      <c r="B11" s="16">
        <v>271449</v>
      </c>
      <c r="C11" s="16">
        <v>103303</v>
      </c>
      <c r="D11" s="17">
        <v>0.85</v>
      </c>
      <c r="E11" s="24">
        <v>8080.63</v>
      </c>
      <c r="F11" s="24">
        <v>1501</v>
      </c>
      <c r="G11" s="24">
        <v>14096</v>
      </c>
      <c r="H11" s="16">
        <v>14528</v>
      </c>
      <c r="I11" s="16">
        <v>80653</v>
      </c>
      <c r="J11" s="16">
        <v>36840675</v>
      </c>
      <c r="K11" s="19">
        <v>4200</v>
      </c>
      <c r="L11" s="34"/>
    </row>
    <row r="12" spans="1:15" ht="12.75" customHeight="1" x14ac:dyDescent="0.25">
      <c r="A12" s="49">
        <v>43805</v>
      </c>
      <c r="B12" s="16">
        <v>275293</v>
      </c>
      <c r="C12" s="16">
        <v>109425</v>
      </c>
      <c r="D12" s="17">
        <v>0.76</v>
      </c>
      <c r="E12" s="24">
        <v>8107.79</v>
      </c>
      <c r="F12" s="24">
        <v>1507.09</v>
      </c>
      <c r="G12" s="24">
        <v>14140</v>
      </c>
      <c r="H12" s="16">
        <v>14528</v>
      </c>
      <c r="I12" s="18">
        <v>80767</v>
      </c>
      <c r="J12" s="18">
        <v>36857012</v>
      </c>
      <c r="K12" s="19"/>
      <c r="L12" s="34"/>
    </row>
    <row r="13" spans="1:15" ht="12.75" customHeight="1" x14ac:dyDescent="0.25">
      <c r="A13" s="49">
        <v>43806</v>
      </c>
      <c r="B13" s="16">
        <v>279006</v>
      </c>
      <c r="C13" s="16">
        <v>116022</v>
      </c>
      <c r="D13" s="17">
        <v>0.66</v>
      </c>
      <c r="E13" s="24">
        <v>8133.66</v>
      </c>
      <c r="F13" s="24">
        <v>1512.46</v>
      </c>
      <c r="G13" s="18">
        <v>14181</v>
      </c>
      <c r="H13" s="16">
        <v>14528</v>
      </c>
      <c r="I13" s="16">
        <v>80872</v>
      </c>
      <c r="J13" s="16">
        <v>36873363</v>
      </c>
      <c r="K13" s="28"/>
      <c r="L13" s="34"/>
      <c r="O13" s="27"/>
    </row>
    <row r="14" spans="1:15" ht="12.75" customHeight="1" x14ac:dyDescent="0.25">
      <c r="A14" s="49">
        <v>43807</v>
      </c>
      <c r="B14" s="20">
        <v>282727</v>
      </c>
      <c r="C14" s="16">
        <v>121690</v>
      </c>
      <c r="D14" s="17">
        <v>0.56999999999999995</v>
      </c>
      <c r="E14" s="24">
        <v>8159.74</v>
      </c>
      <c r="F14" s="24">
        <v>1516.79</v>
      </c>
      <c r="G14" s="18">
        <v>14218</v>
      </c>
      <c r="H14" s="16">
        <v>14528</v>
      </c>
      <c r="I14" s="16">
        <v>80979</v>
      </c>
      <c r="J14" s="16">
        <v>36888880</v>
      </c>
      <c r="K14" s="19"/>
      <c r="L14" s="34"/>
      <c r="O14" s="27"/>
    </row>
    <row r="15" spans="1:15" ht="12.75" customHeight="1" x14ac:dyDescent="0.25">
      <c r="A15" s="49">
        <v>43808</v>
      </c>
      <c r="B15" s="51">
        <v>286385</v>
      </c>
      <c r="C15" s="16">
        <v>127765</v>
      </c>
      <c r="D15" s="17">
        <v>0.5</v>
      </c>
      <c r="E15" s="24">
        <v>8191.06</v>
      </c>
      <c r="F15" s="24">
        <v>1523.61</v>
      </c>
      <c r="G15" s="18">
        <v>14258.54</v>
      </c>
      <c r="H15" s="16">
        <v>14528</v>
      </c>
      <c r="I15" s="16">
        <v>81102</v>
      </c>
      <c r="J15" s="16">
        <v>36904364</v>
      </c>
      <c r="K15" s="19"/>
      <c r="L15" s="34"/>
    </row>
    <row r="16" spans="1:15" ht="12.75" customHeight="1" x14ac:dyDescent="0.25">
      <c r="A16" s="49">
        <v>43809</v>
      </c>
      <c r="B16" s="18">
        <v>290039</v>
      </c>
      <c r="C16" s="18">
        <v>133767</v>
      </c>
      <c r="D16" s="29">
        <v>0.85</v>
      </c>
      <c r="E16" s="24">
        <v>8213.32</v>
      </c>
      <c r="F16" s="24">
        <v>1529.07</v>
      </c>
      <c r="G16" s="18">
        <v>14298</v>
      </c>
      <c r="H16" s="16">
        <v>14528</v>
      </c>
      <c r="I16" s="18">
        <v>81230</v>
      </c>
      <c r="J16" s="18">
        <v>36920415</v>
      </c>
      <c r="K16" s="19"/>
      <c r="L16" s="34"/>
    </row>
    <row r="17" spans="1:16" ht="12.75" customHeight="1" x14ac:dyDescent="0.25">
      <c r="A17" s="49">
        <v>43810</v>
      </c>
      <c r="B17" s="16">
        <v>294055</v>
      </c>
      <c r="C17" s="16">
        <v>140504</v>
      </c>
      <c r="D17" s="17">
        <v>0.78</v>
      </c>
      <c r="E17" s="24">
        <v>8242</v>
      </c>
      <c r="F17" s="24">
        <v>1535.48</v>
      </c>
      <c r="G17" s="18">
        <v>14341</v>
      </c>
      <c r="H17" s="16">
        <v>14528</v>
      </c>
      <c r="I17" s="16">
        <v>81339</v>
      </c>
      <c r="J17" s="16">
        <v>36937855</v>
      </c>
      <c r="K17" s="19"/>
      <c r="L17" s="34"/>
      <c r="P17" s="27"/>
    </row>
    <row r="18" spans="1:16" ht="12.75" customHeight="1" x14ac:dyDescent="0.25">
      <c r="A18" s="49">
        <v>43811</v>
      </c>
      <c r="B18" s="16">
        <v>298068</v>
      </c>
      <c r="C18" s="16">
        <v>147099</v>
      </c>
      <c r="D18" s="17">
        <v>0.68</v>
      </c>
      <c r="E18" s="24">
        <v>8269.1</v>
      </c>
      <c r="F18" s="24">
        <v>1541.26</v>
      </c>
      <c r="G18" s="18">
        <v>14385</v>
      </c>
      <c r="H18" s="16">
        <v>14528</v>
      </c>
      <c r="I18" s="16">
        <v>81451</v>
      </c>
      <c r="J18" s="16">
        <v>36955626</v>
      </c>
      <c r="K18" s="19"/>
      <c r="L18" s="34"/>
      <c r="P18" s="27"/>
    </row>
    <row r="19" spans="1:16" ht="12.75" customHeight="1" x14ac:dyDescent="0.25">
      <c r="A19" s="49">
        <v>43812</v>
      </c>
      <c r="B19" s="16">
        <v>302086</v>
      </c>
      <c r="C19" s="16">
        <v>153499</v>
      </c>
      <c r="D19" s="17">
        <v>0.6</v>
      </c>
      <c r="E19" s="24">
        <v>8298.18</v>
      </c>
      <c r="F19" s="24">
        <v>1547.52</v>
      </c>
      <c r="G19" s="18">
        <v>14427.61</v>
      </c>
      <c r="H19" s="16">
        <v>14528</v>
      </c>
      <c r="I19" s="16">
        <v>81560</v>
      </c>
      <c r="J19" s="16">
        <v>36971052</v>
      </c>
      <c r="K19" s="19"/>
      <c r="L19" s="34"/>
    </row>
    <row r="20" spans="1:16" ht="12.75" customHeight="1" x14ac:dyDescent="0.25">
      <c r="A20" s="49">
        <v>43813</v>
      </c>
      <c r="B20" s="16">
        <v>305266</v>
      </c>
      <c r="C20" s="16">
        <v>158667</v>
      </c>
      <c r="D20" s="17">
        <v>0.54</v>
      </c>
      <c r="E20" s="24">
        <v>8317.18</v>
      </c>
      <c r="F20" s="24">
        <v>1553.28</v>
      </c>
      <c r="G20" s="18">
        <v>14460.8</v>
      </c>
      <c r="H20" s="16">
        <v>14528</v>
      </c>
      <c r="I20" s="16">
        <v>81689</v>
      </c>
      <c r="J20" s="16">
        <v>36986067</v>
      </c>
      <c r="K20" s="19"/>
      <c r="L20" s="34"/>
    </row>
    <row r="21" spans="1:16" ht="12.75" customHeight="1" x14ac:dyDescent="0.25">
      <c r="A21" s="49">
        <v>43814</v>
      </c>
      <c r="B21" s="16">
        <v>308956</v>
      </c>
      <c r="C21" s="16">
        <v>164703</v>
      </c>
      <c r="D21" s="17">
        <v>0.47</v>
      </c>
      <c r="E21" s="24">
        <v>8344.2000000000007</v>
      </c>
      <c r="F21" s="24">
        <v>1559.29</v>
      </c>
      <c r="G21" s="18">
        <v>14505.27</v>
      </c>
      <c r="H21" s="16">
        <v>14528</v>
      </c>
      <c r="I21" s="18">
        <v>81791</v>
      </c>
      <c r="J21" s="16">
        <v>37002056</v>
      </c>
      <c r="K21" s="28"/>
      <c r="L21" s="34"/>
    </row>
    <row r="22" spans="1:16" ht="12.75" customHeight="1" x14ac:dyDescent="0.25">
      <c r="A22" s="49">
        <v>43815</v>
      </c>
      <c r="B22" s="22">
        <v>312425</v>
      </c>
      <c r="C22" s="22">
        <v>170517</v>
      </c>
      <c r="D22" s="17">
        <v>0.42</v>
      </c>
      <c r="E22" s="30">
        <v>8368</v>
      </c>
      <c r="F22" s="30">
        <v>1563</v>
      </c>
      <c r="G22" s="18">
        <v>14531</v>
      </c>
      <c r="H22" s="16">
        <v>14528</v>
      </c>
      <c r="I22" s="16">
        <v>81868</v>
      </c>
      <c r="J22" s="16">
        <v>37013542</v>
      </c>
      <c r="K22" s="28"/>
      <c r="L22" s="34"/>
    </row>
    <row r="23" spans="1:16" ht="12.75" customHeight="1" x14ac:dyDescent="0.25">
      <c r="A23" s="49">
        <v>43816</v>
      </c>
      <c r="B23" s="22"/>
      <c r="C23" s="22"/>
      <c r="D23" s="17"/>
      <c r="E23" s="30"/>
      <c r="F23" s="30"/>
      <c r="G23" s="18"/>
      <c r="H23" s="16"/>
      <c r="I23" s="16"/>
      <c r="J23" s="16"/>
      <c r="K23" s="19"/>
      <c r="L23" s="35"/>
    </row>
    <row r="24" spans="1:16" ht="12.75" customHeight="1" x14ac:dyDescent="0.25">
      <c r="A24" s="49">
        <v>43817</v>
      </c>
      <c r="B24" s="18"/>
      <c r="C24" s="18"/>
      <c r="D24" s="29"/>
      <c r="E24" s="30"/>
      <c r="F24" s="30"/>
      <c r="G24" s="18"/>
      <c r="H24" s="16"/>
      <c r="I24" s="16"/>
      <c r="J24" s="16"/>
      <c r="K24" s="28"/>
      <c r="L24" s="35"/>
    </row>
    <row r="25" spans="1:16" ht="12.75" customHeight="1" x14ac:dyDescent="0.25">
      <c r="A25" s="49">
        <v>43818</v>
      </c>
      <c r="B25" s="18"/>
      <c r="C25" s="18"/>
      <c r="D25" s="29"/>
      <c r="E25" s="30"/>
      <c r="F25" s="30"/>
      <c r="G25" s="18"/>
      <c r="H25" s="16"/>
      <c r="I25" s="16"/>
      <c r="J25" s="16"/>
      <c r="K25" s="28"/>
      <c r="L25" s="35"/>
    </row>
    <row r="26" spans="1:16" ht="12.75" customHeight="1" x14ac:dyDescent="0.25">
      <c r="A26" s="49">
        <v>43819</v>
      </c>
      <c r="B26" s="16"/>
      <c r="C26" s="16"/>
      <c r="D26" s="17"/>
      <c r="E26" s="30"/>
      <c r="F26" s="30"/>
      <c r="G26" s="18"/>
      <c r="H26" s="16"/>
      <c r="I26" s="16"/>
      <c r="J26" s="16"/>
      <c r="K26" s="19"/>
      <c r="L26" s="34"/>
    </row>
    <row r="27" spans="1:16" ht="12.75" customHeight="1" x14ac:dyDescent="0.25">
      <c r="A27" s="49">
        <v>43820</v>
      </c>
      <c r="B27" s="16"/>
      <c r="C27" s="16"/>
      <c r="D27" s="17"/>
      <c r="E27" s="30"/>
      <c r="F27" s="30"/>
      <c r="G27" s="18"/>
      <c r="H27" s="16"/>
      <c r="I27" s="16"/>
      <c r="J27" s="16"/>
      <c r="K27" s="19"/>
      <c r="L27" s="34"/>
    </row>
    <row r="28" spans="1:16" ht="12.75" customHeight="1" x14ac:dyDescent="0.25">
      <c r="A28" s="49">
        <v>43821</v>
      </c>
      <c r="B28" s="16"/>
      <c r="C28" s="16"/>
      <c r="D28" s="17"/>
      <c r="E28" s="30"/>
      <c r="F28" s="30"/>
      <c r="G28" s="18"/>
      <c r="H28" s="16"/>
      <c r="I28" s="16"/>
      <c r="J28" s="16"/>
      <c r="K28" s="19"/>
      <c r="L28" s="34"/>
      <c r="P28" s="6"/>
    </row>
    <row r="29" spans="1:16" ht="12.75" customHeight="1" x14ac:dyDescent="0.25">
      <c r="A29" s="49">
        <v>43822</v>
      </c>
      <c r="B29" s="16"/>
      <c r="C29" s="16"/>
      <c r="D29" s="17"/>
      <c r="E29" s="30"/>
      <c r="F29" s="30"/>
      <c r="G29" s="18"/>
      <c r="H29" s="16"/>
      <c r="I29" s="16"/>
      <c r="J29" s="16"/>
      <c r="K29" s="19"/>
      <c r="L29" s="34"/>
      <c r="P29" s="6"/>
    </row>
    <row r="30" spans="1:16" ht="12.75" customHeight="1" x14ac:dyDescent="0.25">
      <c r="A30" s="49">
        <v>43823</v>
      </c>
      <c r="B30" s="16"/>
      <c r="C30" s="16"/>
      <c r="D30" s="17"/>
      <c r="E30" s="30"/>
      <c r="F30" s="30"/>
      <c r="G30" s="18"/>
      <c r="H30" s="16"/>
      <c r="I30" s="16"/>
      <c r="J30" s="16"/>
      <c r="K30" s="19"/>
      <c r="L30" s="36"/>
      <c r="P30" s="6"/>
    </row>
    <row r="31" spans="1:16" ht="12.75" customHeight="1" x14ac:dyDescent="0.25">
      <c r="A31" s="49">
        <v>43824</v>
      </c>
      <c r="B31" s="16"/>
      <c r="C31" s="16"/>
      <c r="D31" s="17"/>
      <c r="E31" s="30"/>
      <c r="F31" s="30"/>
      <c r="G31" s="18"/>
      <c r="H31" s="16"/>
      <c r="I31" s="16"/>
      <c r="J31" s="16"/>
      <c r="K31" s="19"/>
      <c r="L31" s="36"/>
      <c r="P31" s="6"/>
    </row>
    <row r="32" spans="1:16" ht="12.75" customHeight="1" x14ac:dyDescent="0.25">
      <c r="A32" s="49">
        <v>43825</v>
      </c>
      <c r="B32" s="16"/>
      <c r="C32" s="16"/>
      <c r="D32" s="17"/>
      <c r="E32" s="30"/>
      <c r="F32" s="30"/>
      <c r="G32" s="18"/>
      <c r="H32" s="16"/>
      <c r="I32" s="16"/>
      <c r="J32" s="16"/>
      <c r="K32" s="19"/>
      <c r="L32" s="34"/>
      <c r="P32" s="6"/>
    </row>
    <row r="33" spans="1:12" ht="12.75" customHeight="1" x14ac:dyDescent="0.25">
      <c r="A33" s="49">
        <v>43826</v>
      </c>
      <c r="B33" s="18"/>
      <c r="C33" s="21"/>
      <c r="D33" s="29"/>
      <c r="E33" s="30"/>
      <c r="F33" s="30"/>
      <c r="G33" s="18"/>
      <c r="H33" s="16"/>
      <c r="I33" s="18"/>
      <c r="J33" s="18"/>
      <c r="K33" s="19"/>
      <c r="L33" s="34"/>
    </row>
    <row r="34" spans="1:12" ht="12.75" customHeight="1" x14ac:dyDescent="0.25">
      <c r="A34" s="49">
        <v>43827</v>
      </c>
      <c r="B34" s="16"/>
      <c r="C34" s="21"/>
      <c r="D34" s="17"/>
      <c r="E34" s="30"/>
      <c r="F34" s="30"/>
      <c r="G34" s="18"/>
      <c r="H34" s="18"/>
      <c r="I34" s="16"/>
      <c r="J34" s="16"/>
      <c r="K34" s="19"/>
      <c r="L34" s="34"/>
    </row>
    <row r="35" spans="1:12" ht="12.75" customHeight="1" x14ac:dyDescent="0.25">
      <c r="A35" s="49">
        <v>43828</v>
      </c>
      <c r="B35" s="16"/>
      <c r="C35" s="21"/>
      <c r="D35" s="17"/>
      <c r="E35" s="30"/>
      <c r="F35" s="30"/>
      <c r="G35" s="18"/>
      <c r="H35" s="18"/>
      <c r="I35" s="16"/>
      <c r="J35" s="16"/>
      <c r="K35" s="19"/>
      <c r="L35" s="34"/>
    </row>
    <row r="36" spans="1:12" ht="12.75" customHeight="1" x14ac:dyDescent="0.25">
      <c r="A36" s="49">
        <v>43829</v>
      </c>
      <c r="B36" s="16"/>
      <c r="C36" s="16"/>
      <c r="D36" s="17"/>
      <c r="E36" s="30"/>
      <c r="F36" s="30"/>
      <c r="G36" s="18"/>
      <c r="H36" s="16"/>
      <c r="I36" s="16"/>
      <c r="J36" s="16"/>
      <c r="K36" s="19"/>
      <c r="L36" s="34"/>
    </row>
    <row r="37" spans="1:12" x14ac:dyDescent="0.25">
      <c r="A37" s="49">
        <v>43830</v>
      </c>
      <c r="B37" s="16"/>
      <c r="C37" s="16"/>
      <c r="D37" s="17"/>
      <c r="E37" s="30"/>
      <c r="F37" s="30"/>
      <c r="G37" s="18"/>
      <c r="H37" s="16"/>
      <c r="I37" s="16"/>
      <c r="J37" s="16"/>
      <c r="K37" s="19"/>
      <c r="L37" s="34"/>
    </row>
    <row r="38" spans="1:12" x14ac:dyDescent="0.25">
      <c r="A38" s="52" t="s">
        <v>35</v>
      </c>
      <c r="B38" s="37">
        <f t="shared" ref="B38:H38" si="0">B37-B6</f>
        <v>-253727</v>
      </c>
      <c r="C38" s="37">
        <f t="shared" si="0"/>
        <v>-74657.899999999994</v>
      </c>
      <c r="D38" s="37">
        <f t="shared" si="0"/>
        <v>-0.57999999999999996</v>
      </c>
      <c r="E38" s="37">
        <f t="shared" si="0"/>
        <v>-7954</v>
      </c>
      <c r="F38" s="37">
        <f t="shared" si="0"/>
        <v>-1477.18</v>
      </c>
      <c r="G38" s="37">
        <f t="shared" si="0"/>
        <v>-13927.81</v>
      </c>
      <c r="H38" s="37">
        <f t="shared" si="0"/>
        <v>-14528</v>
      </c>
      <c r="I38" s="37">
        <f t="shared" ref="I38" si="1">I37-I6</f>
        <v>-80180</v>
      </c>
      <c r="J38" s="37">
        <f>J37-J6</f>
        <v>-36766524</v>
      </c>
      <c r="K38" s="37">
        <f>SUM(K6:K37)</f>
        <v>4200</v>
      </c>
      <c r="L38" s="25"/>
    </row>
    <row r="39" spans="1:12" x14ac:dyDescent="0.25">
      <c r="A39" s="25"/>
      <c r="B39" s="25"/>
      <c r="C39" s="37"/>
      <c r="D39" s="25"/>
      <c r="E39" s="27"/>
      <c r="F39" s="27"/>
      <c r="G39" s="27"/>
      <c r="H39" s="23">
        <f>H38*219.969</f>
        <v>-3195709.6319999998</v>
      </c>
      <c r="I39" s="37">
        <f>I38*219.969</f>
        <v>-17637114.419999998</v>
      </c>
      <c r="J39" s="27"/>
      <c r="K39" s="25"/>
      <c r="L39" s="25"/>
    </row>
    <row r="40" spans="1:12" x14ac:dyDescent="0.25">
      <c r="B40"/>
      <c r="H40" s="14"/>
    </row>
    <row r="41" spans="1:12" x14ac:dyDescent="0.25">
      <c r="C41" s="6"/>
    </row>
    <row r="42" spans="1:12" x14ac:dyDescent="0.25">
      <c r="F42" s="6"/>
    </row>
  </sheetData>
  <mergeCells count="5">
    <mergeCell ref="A3:J3"/>
    <mergeCell ref="B4:C4"/>
    <mergeCell ref="D4:G4"/>
    <mergeCell ref="H4:I4"/>
    <mergeCell ref="A2:J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12 - 2019</vt:lpstr>
      <vt:lpstr>'12 - 2019'!Print_Area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2019-12-16T05:06:32Z</dcterms:modified>
</cp:coreProperties>
</file>