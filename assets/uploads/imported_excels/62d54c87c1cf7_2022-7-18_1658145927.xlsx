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559" documentId="8_{722EA937-C075-44E3-AE1E-2699536DFD5C}" xr6:coauthVersionLast="47" xr6:coauthVersionMax="47" xr10:uidLastSave="{BAF64336-20B1-4857-955F-6A106C2CFED3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7" i="6" l="1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O40" i="5"/>
  <c r="AP40" i="5"/>
  <c r="AQ40" i="5"/>
  <c r="AO41" i="5"/>
  <c r="AP41" i="5"/>
  <c r="AQ41" i="5"/>
  <c r="AO42" i="5"/>
  <c r="AP42" i="5"/>
  <c r="AQ42" i="5"/>
  <c r="AO43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Y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I36" i="1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I37" i="1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8" i="1"/>
  <c r="I32" i="1"/>
  <c r="I41" i="1"/>
  <c r="I39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37" i="1"/>
  <c r="F37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39" i="1"/>
  <c r="F39" i="1"/>
  <c r="E54" i="1"/>
  <c r="F54" i="1"/>
  <c r="E41" i="1"/>
  <c r="F41" i="1"/>
  <c r="E46" i="1"/>
  <c r="E7" i="1"/>
  <c r="F7" i="1"/>
  <c r="E11" i="1"/>
  <c r="F11" i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41" i="1"/>
  <c r="G39" i="1"/>
  <c r="AX32" i="3"/>
  <c r="F55" i="1"/>
  <c r="E49" i="1"/>
  <c r="F49" i="1"/>
  <c r="G40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8" i="1"/>
  <c r="AX39" i="3"/>
  <c r="J36" i="1"/>
  <c r="AX35" i="3"/>
  <c r="G34" i="1"/>
  <c r="J29" i="1"/>
  <c r="J17" i="1"/>
  <c r="J13" i="1"/>
  <c r="J5" i="1"/>
  <c r="AX40" i="3"/>
  <c r="J39" i="1"/>
  <c r="E38" i="1"/>
  <c r="F38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41" i="3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E40" i="1"/>
  <c r="F40" i="1"/>
  <c r="F28" i="1"/>
  <c r="F46" i="1"/>
  <c r="E15" i="1"/>
  <c r="F15" i="1"/>
  <c r="E19" i="1"/>
  <c r="F19" i="1"/>
  <c r="E12" i="1"/>
  <c r="F12" i="1"/>
  <c r="F26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<sst xmlns="http://schemas.openxmlformats.org/spreadsheetml/2006/main" count="1161" uniqueCount="218">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</sst>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1827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2298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2078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2400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1293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1043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1820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1865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2140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2194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522</v>
      </c>
      <c r="F30" s="36">
        <f>IF(Elect!I32&lt;0,"0",Elect!I32)</f>
        <v>50720</v>
      </c>
      <c r="G30" s="36">
        <f>Elect!H32</f>
        <v>2.4159999999999999</v>
      </c>
      <c r="H30" s="36">
        <f>IF(Elect!F32&lt;0,"0",Elect!F32)</f>
        <v>52000</v>
      </c>
      <c r="I30" s="36">
        <f>Elect!E32</f>
        <v>1.9930000000000001</v>
      </c>
      <c r="J30" s="36">
        <f>IF(Elect!U32&lt;0,"0",Elect!U32)</f>
        <v>88800</v>
      </c>
      <c r="K30" s="36">
        <f>Elect!T32</f>
        <v>2.5979999999999999</v>
      </c>
      <c r="L30" s="36">
        <f>IF(Elect!AJ32&lt;0,"0",Elect!AJ32)</f>
        <v>1520</v>
      </c>
      <c r="M30" s="36">
        <f>Elect!AI32</f>
        <v>0.30299999999999999</v>
      </c>
      <c r="N30" s="36">
        <f>IF(Elect!X32&lt;0,"0",Elect!X32)</f>
        <v>75900</v>
      </c>
      <c r="O30" s="36">
        <f>Elect!W32</f>
        <v>2.2429999999999999</v>
      </c>
      <c r="P30" s="36">
        <f>IF(Elect!O32&lt;0,"0",Elect!O32)</f>
        <v>12400</v>
      </c>
      <c r="Q30" s="36">
        <f>Elect!N32</f>
        <v>2.2599999999999998</v>
      </c>
      <c r="R30" s="36">
        <f>IF(Elect!L32&lt;0,"0",Elect!L32)</f>
        <v>14400</v>
      </c>
      <c r="S30" s="36">
        <f>Elect!K32</f>
        <v>2.77</v>
      </c>
      <c r="T30" s="36">
        <f>IF(Elect!R32&lt;0,"0",Elect!R32)</f>
        <v>11600</v>
      </c>
      <c r="U30" s="36">
        <f>Elect!Q32</f>
        <v>2.29</v>
      </c>
      <c r="V30" s="36">
        <f>IF(Elect!AA32&lt;0,"0",Elect!AA32)</f>
        <v>6080</v>
      </c>
      <c r="W30" s="36">
        <f>Elect!Z32</f>
        <v>3.48</v>
      </c>
      <c r="X30" s="36">
        <f>IF(Elect!AD32&lt;0,"0",Elect!AD32)</f>
        <v>3680</v>
      </c>
      <c r="Y30" s="36">
        <f>Elect!AC32</f>
        <v>2.67</v>
      </c>
      <c r="Z30" s="36">
        <f>IF(Elect!AG32&lt;0,"0",Elect!AG32)</f>
        <v>80600</v>
      </c>
      <c r="AA30" s="36">
        <f>Elect!AF32</f>
        <v>2.1379999999999999</v>
      </c>
      <c r="AB30" s="36">
        <f>IF(Elect!AX32&lt;0,"0",Elect!AX32)</f>
        <v>2000</v>
      </c>
      <c r="AC30" s="36">
        <f>IF(Elect!AV32&lt;0,"0",Elect!AV32)</f>
        <v>19000</v>
      </c>
      <c r="AD30" s="36">
        <f>IF(Elect!AZ32&lt;0,"0",Elect!AZ32)</f>
        <v>908</v>
      </c>
      <c r="AE30" s="36">
        <f>IF(Elect!BB32&lt;0,"0",Elect!BB32)</f>
        <v>4480</v>
      </c>
      <c r="AF30" s="74">
        <f>IF('Wtr-Gas'!E32&lt;0,"0",('Wtr-Gas'!E32)*0.0038)</f>
        <v>5556.018</v>
      </c>
      <c r="AG30" s="74">
        <f>IF('Wtr-Gas'!H32&lt;0,"0",('Wtr-Gas'!H32)*0.0038)</f>
        <v>781.774</v>
      </c>
      <c r="AH30" s="74">
        <f>IF('Wtr-Gas'!K32&lt;0,"0",('Wtr-Gas'!K32)*0.0038)</f>
        <v>1.0640000000000001</v>
      </c>
      <c r="AI30" s="74">
        <f>IF('Wtr-Gas'!N32&lt;0,"0",('Wtr-Gas'!N32)*0.0038)</f>
        <v>4449.8</v>
      </c>
      <c r="AJ30" s="74">
        <f>IF('Wtr-Gas'!Q32&lt;0,"0",('Wtr-Gas'!Q32)*0.0038)</f>
        <v>156.56</v>
      </c>
      <c r="AK30" s="75">
        <f>IF('Wtr-Gas'!U32&lt;0,"0",('Wtr-Gas'!U32)*0.0038)</f>
        <v>891.1</v>
      </c>
      <c r="AL30" s="75">
        <f>IF('Wtr-Gas'!X32&lt;0,"0",('Wtr-Gas'!X32)*0.0038)</f>
        <v>60.42</v>
      </c>
      <c r="AM30" s="74">
        <f>IF('Wtr-Gas'!AB32&lt;0,"0",('Wtr-Gas'!AB32)*0.0038)</f>
        <v>12958</v>
      </c>
      <c r="AN30" s="74">
        <f>IF('Wtr-Gas'!AD32&lt;0,"0",('Wtr-Gas'!AD32)*0.0038)</f>
        <v>2960.4641000000001</v>
      </c>
      <c r="AO30" s="74">
        <f>IF('Wtr-Gas'!AH32&lt;0,"0",('Wtr-Gas'!AH32)*0.0038)</f>
        <v>17.745999999999999</v>
      </c>
      <c r="AP30" s="74">
        <f>IF('Wtr-Gas'!AJ32&lt;0,"0",('Wtr-Gas'!AJ32)*0.0038)</f>
        <v>376.61799999999999</v>
      </c>
      <c r="AQ30" s="74">
        <f>IF('Wtr-Gas'!AL32&lt;0,"0",('Wtr-Gas'!AL32)*0.0038)</f>
        <v>32.945999999999998</v>
      </c>
      <c r="AR30" s="74">
        <f>IF('Wtr-Gas'!AN32&lt;0,"0",('Wtr-Gas'!AN32)*0.0038)</f>
        <v>231.8</v>
      </c>
      <c r="AS30" s="74">
        <f>IF('Wtr-Gas'!AP32&lt;0,"0",('Wtr-Gas'!AP32)*0.0038)</f>
        <v>1.52E-2</v>
      </c>
      <c r="AT30" s="74">
        <f>IF('Wtr-Gas'!AR32&lt;0,"0",('Wtr-Gas'!AR32)*0.0038)</f>
        <v>4.5599999999999996</v>
      </c>
      <c r="AU30" s="87">
        <f>IF('Wtr-Gas'!AV32&lt;0,"0",('Wtr-Gas'!AV32)*0.0038)</f>
        <v>0.46360000000000001</v>
      </c>
      <c r="AV30" s="74">
        <f>IF('Wtr-Gas'!AY32&lt;0,"0",('Wtr-Gas'!AY32)*0.0038)</f>
        <v>212.5378</v>
      </c>
      <c r="AW30" s="74">
        <f>IF('Wtr-Gas'!BA32&lt;0,"0",('Wtr-Gas'!BA32)*0.0038)</f>
        <v>149.10249999999999</v>
      </c>
      <c r="AX30" s="74">
        <f>IF('Wtr-Gas'!BB32&lt;0,"0",('Wtr-Gas'!BB32)*0.0038)</f>
        <v>63.435299999999998</v>
      </c>
      <c r="AY30" s="74">
        <f>IF('Wtr-Gas'!BD32&lt;0,"0",('Wtr-Gas'!BD32)*0.0038)</f>
        <v>14.44</v>
      </c>
      <c r="AZ30" s="74">
        <f>IF('Wtr-Gas'!BF32&lt;0,"0",('Wtr-Gas'!BF32)*0.0038)</f>
        <v>1.1399999999999999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483</v>
      </c>
      <c r="F31" s="36">
        <f>IF(Elect!I33&lt;0,"0",Elect!I33)</f>
        <v>50080</v>
      </c>
      <c r="G31" s="36">
        <f>Elect!H33</f>
        <v>2.3570000000000002</v>
      </c>
      <c r="H31" s="36">
        <f>IF(Elect!F33&lt;0,"0",Elect!F33)</f>
        <v>42400</v>
      </c>
      <c r="I31" s="36">
        <f>Elect!E33</f>
        <v>1.956</v>
      </c>
      <c r="J31" s="36">
        <f>IF(Elect!U33&lt;0,"0",Elect!U33)</f>
        <v>84000</v>
      </c>
      <c r="K31" s="36">
        <f>Elect!T33</f>
        <v>2.7829999999999999</v>
      </c>
      <c r="L31" s="36">
        <f>IF(Elect!AJ33&lt;0,"0",Elect!AJ33)</f>
        <v>1560</v>
      </c>
      <c r="M31" s="36">
        <f>Elect!AI33</f>
        <v>0.27500000000000002</v>
      </c>
      <c r="N31" s="36">
        <f>IF(Elect!X33&lt;0,"0",Elect!X33)</f>
        <v>100800</v>
      </c>
      <c r="O31" s="36">
        <f>Elect!W33</f>
        <v>2.302</v>
      </c>
      <c r="P31" s="36">
        <f>IF(Elect!O33&lt;0,"0",Elect!O33)</f>
        <v>13200</v>
      </c>
      <c r="Q31" s="36">
        <f>Elect!N33</f>
        <v>2.39</v>
      </c>
      <c r="R31" s="36">
        <f>IF(Elect!L33&lt;0,"0",Elect!L33)</f>
        <v>13600</v>
      </c>
      <c r="S31" s="36">
        <f>Elect!K33</f>
        <v>2.64</v>
      </c>
      <c r="T31" s="36">
        <f>IF(Elect!R33&lt;0,"0",Elect!R33)</f>
        <v>11600</v>
      </c>
      <c r="U31" s="36">
        <f>Elect!Q33</f>
        <v>2.2000000000000002</v>
      </c>
      <c r="V31" s="36">
        <f>IF(Elect!AA33&lt;0,"0",Elect!AA33)</f>
        <v>7040</v>
      </c>
      <c r="W31" s="36">
        <f>Elect!Z33</f>
        <v>5.52</v>
      </c>
      <c r="X31" s="36">
        <f>IF(Elect!AD33&lt;0,"0",Elect!AD33)</f>
        <v>3680</v>
      </c>
      <c r="Y31" s="36">
        <f>Elect!AC33</f>
        <v>2.52</v>
      </c>
      <c r="Z31" s="36">
        <f>IF(Elect!AG33&lt;0,"0",Elect!AG33)</f>
        <v>31600</v>
      </c>
      <c r="AA31" s="36">
        <f>Elect!AF33</f>
        <v>2.121</v>
      </c>
      <c r="AB31" s="36">
        <f>IF(Elect!AX33&lt;0,"0",Elect!AX33)</f>
        <v>1900</v>
      </c>
      <c r="AC31" s="36">
        <f>IF(Elect!AV33&lt;0,"0",Elect!AV33)</f>
        <v>17500</v>
      </c>
      <c r="AD31" s="36">
        <f>IF(Elect!AZ33&lt;0,"0",Elect!AZ33)</f>
        <v>880</v>
      </c>
      <c r="AE31" s="36">
        <f>IF(Elect!BB33&lt;0,"0",Elect!BB33)</f>
        <v>3800</v>
      </c>
      <c r="AF31" s="74">
        <f>IF('Wtr-Gas'!E33&lt;0,"0",('Wtr-Gas'!E33)*0.0038)</f>
        <v>5269.3459999999995</v>
      </c>
      <c r="AG31" s="74">
        <f>IF('Wtr-Gas'!H33&lt;0,"0",('Wtr-Gas'!H33)*0.0038)</f>
        <v>858.49599999999998</v>
      </c>
      <c r="AH31" s="74">
        <f>IF('Wtr-Gas'!K33&lt;0,"0",('Wtr-Gas'!K33)*0.0038)</f>
        <v>0.60799999999999998</v>
      </c>
      <c r="AI31" s="74">
        <f>IF('Wtr-Gas'!N33&lt;0,"0",('Wtr-Gas'!N33)*0.0038)</f>
        <v>4347.2</v>
      </c>
      <c r="AJ31" s="74">
        <f>IF('Wtr-Gas'!Q33&lt;0,"0",('Wtr-Gas'!Q33)*0.0038)</f>
        <v>121.6</v>
      </c>
      <c r="AK31" s="75">
        <f>IF('Wtr-Gas'!U33&lt;0,"0",('Wtr-Gas'!U33)*0.0038)</f>
        <v>840.94</v>
      </c>
      <c r="AL31" s="75">
        <f>IF('Wtr-Gas'!X33&lt;0,"0",('Wtr-Gas'!X33)*0.0038)</f>
        <v>98.04</v>
      </c>
      <c r="AM31" s="74">
        <f>IF('Wtr-Gas'!AB33&lt;0,"0",('Wtr-Gas'!AB33)*0.0038)</f>
        <v>12426</v>
      </c>
      <c r="AN31" s="74">
        <f>IF('Wtr-Gas'!AD33&lt;0,"0",('Wtr-Gas'!AD33)*0.0038)</f>
        <v>3075.0987</v>
      </c>
      <c r="AO31" s="74">
        <f>IF('Wtr-Gas'!AH33&lt;0,"0",('Wtr-Gas'!AH33)*0.0038)</f>
        <v>10.146000000000001</v>
      </c>
      <c r="AP31" s="74">
        <f>IF('Wtr-Gas'!AJ33&lt;0,"0",('Wtr-Gas'!AJ33)*0.0038)</f>
        <v>322.202</v>
      </c>
      <c r="AQ31" s="74">
        <f>IF('Wtr-Gas'!AL33&lt;0,"0",('Wtr-Gas'!AL33)*0.0038)</f>
        <v>23.829799999999999</v>
      </c>
      <c r="AR31" s="74">
        <f>IF('Wtr-Gas'!AN33&lt;0,"0",('Wtr-Gas'!AN33)*0.0038)</f>
        <v>129.19999999999999</v>
      </c>
      <c r="AS31" s="74">
        <f>IF('Wtr-Gas'!AP33&lt;0,"0",('Wtr-Gas'!AP33)*0.0038)</f>
        <v>1.52E-2</v>
      </c>
      <c r="AT31" s="74">
        <f>IF('Wtr-Gas'!AR33&lt;0,"0",('Wtr-Gas'!AR33)*0.0038)</f>
        <v>3.04</v>
      </c>
      <c r="AU31" s="87">
        <f>IF('Wtr-Gas'!AV33&lt;0,"0",('Wtr-Gas'!AV33)*0.0038)</f>
        <v>0.32679999999999998</v>
      </c>
      <c r="AV31" s="74">
        <f>IF('Wtr-Gas'!AY33&lt;0,"0",('Wtr-Gas'!AY33)*0.0038)</f>
        <v>215.11420000000001</v>
      </c>
      <c r="AW31" s="74">
        <f>IF('Wtr-Gas'!BA33&lt;0,"0",('Wtr-Gas'!BA33)*0.0038)</f>
        <v>150.55809000000002</v>
      </c>
      <c r="AX31" s="74">
        <f>IF('Wtr-Gas'!BB33&lt;0,"0",('Wtr-Gas'!BB33)*0.0038)</f>
        <v>64.55610999999999</v>
      </c>
      <c r="AY31" s="74">
        <f>IF('Wtr-Gas'!BD33&lt;0,"0",('Wtr-Gas'!BD33)*0.0038)</f>
        <v>19</v>
      </c>
      <c r="AZ31" s="74">
        <f>IF('Wtr-Gas'!BF33&lt;0,"0",('Wtr-Gas'!BF33)*0.0038)</f>
        <v>1.1399999999999999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190</v>
      </c>
      <c r="F32" s="36">
        <f>IF(Elect!I34&lt;0,"0",Elect!I34)</f>
        <v>20960</v>
      </c>
      <c r="G32" s="36">
        <f>Elect!H34</f>
        <v>2.3570000000000002</v>
      </c>
      <c r="H32" s="36">
        <f>IF(Elect!F34&lt;0,"0",Elect!F34)</f>
        <v>18400</v>
      </c>
      <c r="I32" s="36">
        <f>Elect!E34</f>
        <v>1.956</v>
      </c>
      <c r="J32" s="36">
        <f>IF(Elect!U34&lt;0,"0",Elect!U34)</f>
        <v>43800</v>
      </c>
      <c r="K32" s="36">
        <f>Elect!T34</f>
        <v>2.802</v>
      </c>
      <c r="L32" s="36">
        <f>IF(Elect!AJ34&lt;0,"0",Elect!AJ34)</f>
        <v>640</v>
      </c>
      <c r="M32" s="36">
        <f>Elect!AI34</f>
        <v>0.27500000000000002</v>
      </c>
      <c r="N32" s="36">
        <f>IF(Elect!X34&lt;0,"0",Elect!X34)</f>
        <v>41400</v>
      </c>
      <c r="O32" s="36">
        <f>Elect!W34</f>
        <v>2.302</v>
      </c>
      <c r="P32" s="36">
        <f>IF(Elect!O34&lt;0,"0",Elect!O34)</f>
        <v>5600</v>
      </c>
      <c r="Q32" s="36">
        <f>Elect!N34</f>
        <v>2.39</v>
      </c>
      <c r="R32" s="36">
        <f>IF(Elect!L34&lt;0,"0",Elect!L34)</f>
        <v>6400</v>
      </c>
      <c r="S32" s="36">
        <f>Elect!K34</f>
        <v>2.74</v>
      </c>
      <c r="T32" s="36">
        <f>IF(Elect!R34&lt;0,"0",Elect!R34)</f>
        <v>5200</v>
      </c>
      <c r="U32" s="36">
        <f>Elect!Q34</f>
        <v>2.2000000000000002</v>
      </c>
      <c r="V32" s="36">
        <f>IF(Elect!AA34&lt;0,"0",Elect!AA34)</f>
        <v>4800</v>
      </c>
      <c r="W32" s="36">
        <f>Elect!Z34</f>
        <v>5.9</v>
      </c>
      <c r="X32" s="36">
        <f>IF(Elect!AD34&lt;0,"0",Elect!AD34)</f>
        <v>1920</v>
      </c>
      <c r="Y32" s="36">
        <f>Elect!AC34</f>
        <v>2.54</v>
      </c>
      <c r="Z32" s="36">
        <f>IF(Elect!AG34&lt;0,"0",Elect!AG34)</f>
        <v>22600</v>
      </c>
      <c r="AA32" s="36">
        <f>Elect!AF34</f>
        <v>2.121</v>
      </c>
      <c r="AB32" s="36">
        <f>IF(Elect!AX34&lt;0,"0",Elect!AX34)</f>
        <v>1300</v>
      </c>
      <c r="AC32" s="36">
        <f>IF(Elect!AV34&lt;0,"0",Elect!AV34)</f>
        <v>10900</v>
      </c>
      <c r="AD32" s="36">
        <f>IF(Elect!AZ34&lt;0,"0",Elect!AZ34)</f>
        <v>540</v>
      </c>
      <c r="AE32" s="36">
        <f>IF(Elect!BB34&lt;0,"0",Elect!BB34)</f>
        <v>2440</v>
      </c>
      <c r="AF32" s="74">
        <f>IF('Wtr-Gas'!E34&lt;0,"0",('Wtr-Gas'!E34)*0.0038)</f>
        <v>2211.942</v>
      </c>
      <c r="AG32" s="74">
        <f>IF('Wtr-Gas'!H34&lt;0,"0",('Wtr-Gas'!H34)*0.0038)</f>
        <v>258.286</v>
      </c>
      <c r="AH32" s="74">
        <f>IF('Wtr-Gas'!K34&lt;0,"0",('Wtr-Gas'!K34)*0.0038)</f>
        <v>0.98799999999999999</v>
      </c>
      <c r="AI32" s="74">
        <f>IF('Wtr-Gas'!N34&lt;0,"0",('Wtr-Gas'!N34)*0.0038)</f>
        <v>1759.4</v>
      </c>
      <c r="AJ32" s="74">
        <f>IF('Wtr-Gas'!Q34&lt;0,"0",('Wtr-Gas'!Q34)*0.0038)</f>
        <v>41.42</v>
      </c>
      <c r="AK32" s="75">
        <f>IF('Wtr-Gas'!U34&lt;0,"0",('Wtr-Gas'!U34)*0.0038)</f>
        <v>321.10000000000002</v>
      </c>
      <c r="AL32" s="75">
        <f>IF('Wtr-Gas'!X34&lt;0,"0",('Wtr-Gas'!X34)*0.0038)</f>
        <v>30.4</v>
      </c>
      <c r="AM32" s="74">
        <f>IF('Wtr-Gas'!AB34&lt;0,"0",('Wtr-Gas'!AB34)*0.0038)</f>
        <v>6194</v>
      </c>
      <c r="AN32" s="74">
        <f>IF('Wtr-Gas'!AD34&lt;0,"0",('Wtr-Gas'!AD34)*0.0038)</f>
        <v>1414.2080000000001</v>
      </c>
      <c r="AO32" s="74">
        <f>IF('Wtr-Gas'!AH34&lt;0,"0",('Wtr-Gas'!AH34)*0.0038)</f>
        <v>0.68400000000000005</v>
      </c>
      <c r="AP32" s="74">
        <f>IF('Wtr-Gas'!AJ34&lt;0,"0",('Wtr-Gas'!AJ34)*0.0038)</f>
        <v>116.35599999999999</v>
      </c>
      <c r="AQ32" s="74">
        <f>IF('Wtr-Gas'!AL34&lt;0,"0",('Wtr-Gas'!AL34)*0.0038)</f>
        <v>14.2082</v>
      </c>
      <c r="AR32" s="74">
        <f>IF('Wtr-Gas'!AN34&lt;0,"0",('Wtr-Gas'!AN34)*0.0038)</f>
        <v>106.4</v>
      </c>
      <c r="AS32" s="74">
        <f>IF('Wtr-Gas'!AP34&lt;0,"0",('Wtr-Gas'!AP34)*0.0038)</f>
        <v>3.8E-3</v>
      </c>
      <c r="AT32" s="74">
        <f>IF('Wtr-Gas'!AR34&lt;0,"0",('Wtr-Gas'!AR34)*0.0038)</f>
        <v>1.52</v>
      </c>
      <c r="AU32" s="87">
        <f>IF('Wtr-Gas'!AV34&lt;0,"0",('Wtr-Gas'!AV34)*0.0038)</f>
        <v>0.17100000000000001</v>
      </c>
      <c r="AV32" s="74">
        <f>IF('Wtr-Gas'!AY34&lt;0,"0",('Wtr-Gas'!AY34)*0.0038)</f>
        <v>116.45480000000001</v>
      </c>
      <c r="AW32" s="74">
        <f>IF('Wtr-Gas'!BA34&lt;0,"0",('Wtr-Gas'!BA34)*0.0038)</f>
        <v>83.763210000000001</v>
      </c>
      <c r="AX32" s="74">
        <f>IF('Wtr-Gas'!BB34&lt;0,"0",('Wtr-Gas'!BB34)*0.0038)</f>
        <v>32.691589999999998</v>
      </c>
      <c r="AY32" s="74">
        <f>IF('Wtr-Gas'!BD34&lt;0,"0",('Wtr-Gas'!BD34)*0.0038)</f>
        <v>15.96</v>
      </c>
      <c r="AZ32" s="74">
        <f>IF('Wtr-Gas'!BF34&lt;0,"0",('Wtr-Gas'!BF34)*0.0038)</f>
        <v>0.76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310</v>
      </c>
      <c r="F33" s="36">
        <f>IF(Elect!I35&lt;0,"0",Elect!I35)</f>
        <v>27520</v>
      </c>
      <c r="G33" s="36">
        <f>Elect!H35</f>
        <v>2.3570000000000002</v>
      </c>
      <c r="H33" s="36">
        <f>IF(Elect!F35&lt;0,"0",Elect!F35)</f>
        <v>23040</v>
      </c>
      <c r="I33" s="36">
        <f>Elect!E35</f>
        <v>1.956</v>
      </c>
      <c r="J33" s="36">
        <f>IF(Elect!U35&lt;0,"0",Elect!U35)</f>
        <v>48300</v>
      </c>
      <c r="K33" s="36">
        <f>Elect!T35</f>
        <v>2.802</v>
      </c>
      <c r="L33" s="36">
        <f>IF(Elect!AJ35&lt;0,"0",Elect!AJ35)</f>
        <v>800</v>
      </c>
      <c r="M33" s="36">
        <f>Elect!AI35</f>
        <v>0.30299999999999999</v>
      </c>
      <c r="N33" s="36">
        <f>IF(Elect!X35&lt;0,"0",Elect!X35)</f>
        <v>46800</v>
      </c>
      <c r="O33" s="36">
        <f>Elect!W35</f>
        <v>2.302</v>
      </c>
      <c r="P33" s="36">
        <f>IF(Elect!O35&lt;0,"0",Elect!O35)</f>
        <v>6400</v>
      </c>
      <c r="Q33" s="36">
        <f>Elect!N35</f>
        <v>2.39</v>
      </c>
      <c r="R33" s="36">
        <f>IF(Elect!L35&lt;0,"0",Elect!L35)</f>
        <v>7200</v>
      </c>
      <c r="S33" s="36">
        <f>Elect!K35</f>
        <v>2.74</v>
      </c>
      <c r="T33" s="36">
        <f>IF(Elect!R35&lt;0,"0",Elect!R35)</f>
        <v>6800</v>
      </c>
      <c r="U33" s="36">
        <f>Elect!Q35</f>
        <v>2.2000000000000002</v>
      </c>
      <c r="V33" s="36">
        <f>IF(Elect!AA35&lt;0,"0",Elect!AA35)</f>
        <v>3040</v>
      </c>
      <c r="W33" s="36">
        <f>Elect!Z35</f>
        <v>5.9</v>
      </c>
      <c r="X33" s="36">
        <f>IF(Elect!AD35&lt;0,"0",Elect!AD35)</f>
        <v>1760</v>
      </c>
      <c r="Y33" s="36">
        <f>Elect!AC35</f>
        <v>2.54</v>
      </c>
      <c r="Z33" s="36">
        <f>IF(Elect!AG35&lt;0,"0",Elect!AG35)</f>
        <v>30600</v>
      </c>
      <c r="AA33" s="36">
        <f>Elect!AF35</f>
        <v>2.121</v>
      </c>
      <c r="AB33" s="36">
        <f>IF(Elect!AX35&lt;0,"0",Elect!AX35)</f>
        <v>600</v>
      </c>
      <c r="AC33" s="36">
        <f>IF(Elect!AV35&lt;0,"0",Elect!AV35)</f>
        <v>6600</v>
      </c>
      <c r="AD33" s="36">
        <f>IF(Elect!AZ35&lt;0,"0",Elect!AZ35)</f>
        <v>355</v>
      </c>
      <c r="AE33" s="36">
        <f>IF(Elect!BB35&lt;0,"0",Elect!BB35)</f>
        <v>520</v>
      </c>
      <c r="AF33" s="74">
        <f>IF('Wtr-Gas'!E35&lt;0,"0",('Wtr-Gas'!E35)*0.0038)</f>
        <v>2582.0619999999999</v>
      </c>
      <c r="AG33" s="74">
        <f>IF('Wtr-Gas'!H35&lt;0,"0",('Wtr-Gas'!H35)*0.0038)</f>
        <v>415.036</v>
      </c>
      <c r="AH33" s="74">
        <f>IF('Wtr-Gas'!K35&lt;0,"0",('Wtr-Gas'!K35)*0.0038)</f>
        <v>0.76</v>
      </c>
      <c r="AI33" s="74">
        <f>IF('Wtr-Gas'!N35&lt;0,"0",('Wtr-Gas'!N35)*0.0038)</f>
        <v>2139.4</v>
      </c>
      <c r="AJ33" s="74">
        <f>IF('Wtr-Gas'!Q35&lt;0,"0",('Wtr-Gas'!Q35)*0.0038)</f>
        <v>53.58</v>
      </c>
      <c r="AK33" s="75">
        <f>IF('Wtr-Gas'!U35&lt;0,"0",('Wtr-Gas'!U35)*0.0038)</f>
        <v>430.54</v>
      </c>
      <c r="AL33" s="75">
        <f>IF('Wtr-Gas'!X35&lt;0,"0",('Wtr-Gas'!X35)*0.0038)</f>
        <v>53.58</v>
      </c>
      <c r="AM33" s="74">
        <f>IF('Wtr-Gas'!AB35&lt;0,"0",('Wtr-Gas'!AB35)*0.0038)</f>
        <v>6498</v>
      </c>
      <c r="AN33" s="74">
        <f>IF('Wtr-Gas'!AD35&lt;0,"0",('Wtr-Gas'!AD35)*0.0038)</f>
        <v>1520.19</v>
      </c>
      <c r="AO33" s="74">
        <f>IF('Wtr-Gas'!AH35&lt;0,"0",('Wtr-Gas'!AH35)*0.0038)</f>
        <v>4.4459999999999997</v>
      </c>
      <c r="AP33" s="74">
        <f>IF('Wtr-Gas'!AJ35&lt;0,"0",('Wtr-Gas'!AJ35)*0.0038)</f>
        <v>109.858</v>
      </c>
      <c r="AQ33" s="74">
        <f>IF('Wtr-Gas'!AL35&lt;0,"0",('Wtr-Gas'!AL35)*0.0038)</f>
        <v>11.502599999999999</v>
      </c>
      <c r="AR33" s="74">
        <f>IF('Wtr-Gas'!AN35&lt;0,"0",('Wtr-Gas'!AN35)*0.0038)</f>
        <v>60.8</v>
      </c>
      <c r="AS33" s="74">
        <f>IF('Wtr-Gas'!AP35&lt;0,"0",('Wtr-Gas'!AP35)*0.0038)</f>
        <v>1.9E-2</v>
      </c>
      <c r="AT33" s="74">
        <f>IF('Wtr-Gas'!AR35&lt;0,"0",('Wtr-Gas'!AR35)*0.0038)</f>
        <v>3.04</v>
      </c>
      <c r="AU33" s="87">
        <f>IF('Wtr-Gas'!AV35&lt;0,"0",('Wtr-Gas'!AV35)*0.0038)</f>
        <v>0.13300000000000001</v>
      </c>
      <c r="AV33" s="74">
        <f>IF('Wtr-Gas'!AY35&lt;0,"0",('Wtr-Gas'!AY35)*0.0038)</f>
        <v>86.784400000000005</v>
      </c>
      <c r="AW33" s="74">
        <f>IF('Wtr-Gas'!BA35&lt;0,"0",('Wtr-Gas'!BA35)*0.0038)</f>
        <v>66.268770000000004</v>
      </c>
      <c r="AX33" s="74">
        <f>IF('Wtr-Gas'!BB35&lt;0,"0",('Wtr-Gas'!BB35)*0.0038)</f>
        <v>20.515629999999994</v>
      </c>
      <c r="AY33" s="74">
        <f>IF('Wtr-Gas'!BD35&lt;0,"0",('Wtr-Gas'!BD35)*0.0038)</f>
        <v>2.66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441</v>
      </c>
      <c r="F34" s="36">
        <f>IF(Elect!I36&lt;0,"0",Elect!I36)</f>
        <v>49440</v>
      </c>
      <c r="G34" s="36">
        <f>Elect!H36</f>
        <v>2.3660000000000001</v>
      </c>
      <c r="H34" s="36">
        <f>IF(Elect!F36&lt;0,"0",Elect!F36)</f>
        <v>42720</v>
      </c>
      <c r="I34" s="36">
        <f>Elect!E36</f>
        <v>1.956</v>
      </c>
      <c r="J34" s="36">
        <f>IF(Elect!U36&lt;0,"0",Elect!U36)</f>
        <v>92400</v>
      </c>
      <c r="K34" s="36">
        <f>Elect!T36</f>
        <v>2.802</v>
      </c>
      <c r="L34" s="36">
        <f>IF(Elect!AJ36&lt;0,"0",Elect!AJ36)</f>
        <v>1600</v>
      </c>
      <c r="M34" s="36">
        <f>Elect!AI36</f>
        <v>0.30299999999999999</v>
      </c>
      <c r="N34" s="36">
        <f>IF(Elect!X36&lt;0,"0",Elect!X36)</f>
        <v>87300</v>
      </c>
      <c r="O34" s="36">
        <f>Elect!W36</f>
        <v>2.302</v>
      </c>
      <c r="P34" s="36">
        <f>IF(Elect!O36&lt;0,"0",Elect!O36)</f>
        <v>11600</v>
      </c>
      <c r="Q34" s="36">
        <f>Elect!N36</f>
        <v>2.39</v>
      </c>
      <c r="R34" s="36">
        <f>IF(Elect!L36&lt;0,"0",Elect!L36)</f>
        <v>13200</v>
      </c>
      <c r="S34" s="36">
        <f>Elect!K36</f>
        <v>2.74</v>
      </c>
      <c r="T34" s="36">
        <f>IF(Elect!R36&lt;0,"0",Elect!R36)</f>
        <v>11600</v>
      </c>
      <c r="U34" s="36">
        <f>Elect!Q36</f>
        <v>2.2000000000000002</v>
      </c>
      <c r="V34" s="36">
        <f>IF(Elect!AA36&lt;0,"0",Elect!AA36)</f>
        <v>5760</v>
      </c>
      <c r="W34" s="36">
        <f>Elect!Z36</f>
        <v>5.9</v>
      </c>
      <c r="X34" s="36">
        <f>IF(Elect!AD36&lt;0,"0",Elect!AD36)</f>
        <v>3360</v>
      </c>
      <c r="Y34" s="36">
        <f>Elect!AC36</f>
        <v>2.54</v>
      </c>
      <c r="Z34" s="36">
        <f>IF(Elect!AG36&lt;0,"0",Elect!AG36)</f>
        <v>56600</v>
      </c>
      <c r="AA34" s="36">
        <f>Elect!AF36</f>
        <v>2.121</v>
      </c>
      <c r="AB34" s="36">
        <f>IF(Elect!AX36&lt;0,"0",Elect!AX36)</f>
        <v>3100</v>
      </c>
      <c r="AC34" s="36">
        <f>IF(Elect!AV36&lt;0,"0",Elect!AV36)</f>
        <v>25900</v>
      </c>
      <c r="AD34" s="36">
        <f>IF(Elect!AZ36&lt;0,"0",Elect!AZ36)</f>
        <v>1289</v>
      </c>
      <c r="AE34" s="36">
        <f>IF(Elect!BB36&lt;0,"0",Elect!BB36)</f>
        <v>5400</v>
      </c>
      <c r="AF34" s="74">
        <f>IF('Wtr-Gas'!E36&lt;0,"0",('Wtr-Gas'!E36)*0.0038)</f>
        <v>5060.84</v>
      </c>
      <c r="AG34" s="74">
        <f>IF('Wtr-Gas'!H36&lt;0,"0",('Wtr-Gas'!H36)*0.0038)</f>
        <v>761.44399999999996</v>
      </c>
      <c r="AH34" s="74">
        <f>IF('Wtr-Gas'!K36&lt;0,"0",('Wtr-Gas'!K36)*0.0038)</f>
        <v>2.052</v>
      </c>
      <c r="AI34" s="74">
        <f>IF('Wtr-Gas'!N36&lt;0,"0",('Wtr-Gas'!N36)*0.0038)</f>
        <v>4191.3999999999996</v>
      </c>
      <c r="AJ34" s="74">
        <f>IF('Wtr-Gas'!Q36&lt;0,"0",('Wtr-Gas'!Q36)*0.0038)</f>
        <v>96.14</v>
      </c>
      <c r="AK34" s="75">
        <f>IF('Wtr-Gas'!U36&lt;0,"0",('Wtr-Gas'!U36)*0.0038)</f>
        <v>742.52</v>
      </c>
      <c r="AL34" s="75">
        <f>IF('Wtr-Gas'!X36&lt;0,"0",('Wtr-Gas'!X36)*0.0038)</f>
        <v>51.68</v>
      </c>
      <c r="AM34" s="74">
        <f>IF('Wtr-Gas'!AB36&lt;0,"0",('Wtr-Gas'!AB36)*0.0038)</f>
        <v>12844</v>
      </c>
      <c r="AN34" s="74">
        <f>IF('Wtr-Gas'!AD36&lt;0,"0",('Wtr-Gas'!AD36)*0.0038)</f>
        <v>3197.8018400000001</v>
      </c>
      <c r="AO34" s="74">
        <f>IF('Wtr-Gas'!AH36&lt;0,"0",('Wtr-Gas'!AH36)*0.0038)</f>
        <v>11.362</v>
      </c>
      <c r="AP34" s="74">
        <f>IF('Wtr-Gas'!AJ36&lt;0,"0",('Wtr-Gas'!AJ36)*0.0038)</f>
        <v>314.26</v>
      </c>
      <c r="AQ34" s="74">
        <f>IF('Wtr-Gas'!AL36&lt;0,"0",('Wtr-Gas'!AL36)*0.0038)</f>
        <v>25.543600000000001</v>
      </c>
      <c r="AR34" s="74">
        <f>IF('Wtr-Gas'!AN36&lt;0,"0",('Wtr-Gas'!AN36)*0.0038)</f>
        <v>91.2</v>
      </c>
      <c r="AS34" s="74">
        <f>IF('Wtr-Gas'!AP36&lt;0,"0",('Wtr-Gas'!AP36)*0.0038)</f>
        <v>4.1799999999999997E-2</v>
      </c>
      <c r="AT34" s="74">
        <f>IF('Wtr-Gas'!AR36&lt;0,"0",('Wtr-Gas'!AR36)*0.0038)</f>
        <v>1.9</v>
      </c>
      <c r="AU34" s="87">
        <f>IF('Wtr-Gas'!AV36&lt;0,"0",('Wtr-Gas'!AV36)*0.0038)</f>
        <v>0.5282</v>
      </c>
      <c r="AV34" s="74">
        <f>IF('Wtr-Gas'!AY36&lt;0,"0",('Wtr-Gas'!AY36)*0.0038)</f>
        <v>424.86660000000001</v>
      </c>
      <c r="AW34" s="74">
        <f>IF('Wtr-Gas'!BA36&lt;0,"0",('Wtr-Gas'!BA36)*0.0038)</f>
        <v>358.08190400000001</v>
      </c>
      <c r="AX34" s="74">
        <f>IF('Wtr-Gas'!BB36&lt;0,"0",('Wtr-Gas'!BB36)*0.0038)</f>
        <v>66.784695999999997</v>
      </c>
      <c r="AY34" s="74">
        <f>IF('Wtr-Gas'!BD36&lt;0,"0",('Wtr-Gas'!BD36)*0.0038)</f>
        <v>29.26</v>
      </c>
      <c r="AZ34" s="74">
        <f>IF('Wtr-Gas'!BF36&lt;0,"0",('Wtr-Gas'!BF36)*0.0038)</f>
        <v>1.52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413</v>
      </c>
      <c r="F35" s="36">
        <f>IF(Elect!I37&lt;0,"0",Elect!I37)</f>
        <v>47840</v>
      </c>
      <c r="G35" s="36">
        <f>Elect!H37</f>
        <v>2.3660000000000001</v>
      </c>
      <c r="H35" s="36">
        <f>IF(Elect!F37&lt;0,"0",Elect!F37)</f>
        <v>42400</v>
      </c>
      <c r="I35" s="36">
        <f>Elect!E37</f>
        <v>2.02</v>
      </c>
      <c r="J35" s="36">
        <f>IF(Elect!U37&lt;0,"0",Elect!U37)</f>
        <v>79200</v>
      </c>
      <c r="K35" s="36">
        <f>Elect!T37</f>
        <v>2.802</v>
      </c>
      <c r="L35" s="36">
        <f>IF(Elect!AJ37&lt;0,"0",Elect!AJ37)</f>
        <v>1640</v>
      </c>
      <c r="M35" s="36">
        <f>Elect!AI37</f>
        <v>0.33200000000000002</v>
      </c>
      <c r="N35" s="36">
        <f>IF(Elect!X37&lt;0,"0",Elect!X37)</f>
        <v>87000</v>
      </c>
      <c r="O35" s="36">
        <f>Elect!W37</f>
        <v>2.302</v>
      </c>
      <c r="P35" s="36">
        <f>IF(Elect!O37&lt;0,"0",Elect!O37)</f>
        <v>12000</v>
      </c>
      <c r="Q35" s="36">
        <f>Elect!N37</f>
        <v>2.46</v>
      </c>
      <c r="R35" s="36">
        <f>IF(Elect!L37&lt;0,"0",Elect!L37)</f>
        <v>13200</v>
      </c>
      <c r="S35" s="36">
        <f>Elect!K37</f>
        <v>2.74</v>
      </c>
      <c r="T35" s="36">
        <f>IF(Elect!R37&lt;0,"0",Elect!R37)</f>
        <v>11600</v>
      </c>
      <c r="U35" s="36">
        <f>Elect!Q37</f>
        <v>2.2000000000000002</v>
      </c>
      <c r="V35" s="36">
        <f>IF(Elect!AA37&lt;0,"0",Elect!AA37)</f>
        <v>5920</v>
      </c>
      <c r="W35" s="36">
        <f>Elect!Z37</f>
        <v>5.9</v>
      </c>
      <c r="X35" s="36">
        <f>IF(Elect!AD37&lt;0,"0",Elect!AD37)</f>
        <v>3840</v>
      </c>
      <c r="Y35" s="36">
        <f>Elect!AC37</f>
        <v>2.54</v>
      </c>
      <c r="Z35" s="36">
        <f>IF(Elect!AG37&lt;0,"0",Elect!AG37)</f>
        <v>55400</v>
      </c>
      <c r="AA35" s="36">
        <f>Elect!AF37</f>
        <v>2.2000000000000002</v>
      </c>
      <c r="AB35" s="36">
        <f>IF(Elect!AX37&lt;0,"0",Elect!AX37)</f>
        <v>1100</v>
      </c>
      <c r="AC35" s="36">
        <f>IF(Elect!AV37&lt;0,"0",Elect!AV37)</f>
        <v>10100</v>
      </c>
      <c r="AD35" s="36">
        <f>IF(Elect!AZ37&lt;0,"0",Elect!AZ37)</f>
        <v>510</v>
      </c>
      <c r="AE35" s="36">
        <f>IF(Elect!BB37&lt;0,"0",Elect!BB37)</f>
        <v>760</v>
      </c>
      <c r="AF35" s="74">
        <f>IF('Wtr-Gas'!E37&lt;0,"0",('Wtr-Gas'!E37)*0.0038)</f>
        <v>4862.7460000000001</v>
      </c>
      <c r="AG35" s="74">
        <f>IF('Wtr-Gas'!H37&lt;0,"0",('Wtr-Gas'!H37)*0.0038)</f>
        <v>686.05200000000002</v>
      </c>
      <c r="AH35" s="74">
        <f>IF('Wtr-Gas'!K37&lt;0,"0",('Wtr-Gas'!K37)*0.0038)</f>
        <v>1.33</v>
      </c>
      <c r="AI35" s="74">
        <f>IF('Wtr-Gas'!N37&lt;0,"0",('Wtr-Gas'!N37)*0.0038)</f>
        <v>4221.8</v>
      </c>
      <c r="AJ35" s="74">
        <f>IF('Wtr-Gas'!Q37&lt;0,"0",('Wtr-Gas'!Q37)*0.0038)</f>
        <v>90.44</v>
      </c>
      <c r="AK35" s="75">
        <f>IF('Wtr-Gas'!U37&lt;0,"0",('Wtr-Gas'!U37)*0.0038)</f>
        <v>763.8</v>
      </c>
      <c r="AL35" s="75">
        <f>IF('Wtr-Gas'!X37&lt;0,"0",('Wtr-Gas'!X37)*0.0038)</f>
        <v>42.94</v>
      </c>
      <c r="AM35" s="74">
        <f>IF('Wtr-Gas'!AB37&lt;0,"0",('Wtr-Gas'!AB37)*0.0038)</f>
        <v>12160</v>
      </c>
      <c r="AN35" s="74">
        <f>IF('Wtr-Gas'!AD37&lt;0,"0",('Wtr-Gas'!AD37)*0.0038)</f>
        <v>2812.2781600000003</v>
      </c>
      <c r="AO35" s="74">
        <f>IF('Wtr-Gas'!AH37&lt;0,"0",('Wtr-Gas'!AH37)*0.0038)</f>
        <v>1.8620000000000001</v>
      </c>
      <c r="AP35" s="74">
        <f>IF('Wtr-Gas'!AJ37&lt;0,"0",('Wtr-Gas'!AJ37)*0.0038)</f>
        <v>225.30199999999999</v>
      </c>
      <c r="AQ35" s="74">
        <f>IF('Wtr-Gas'!AL37&lt;0,"0",('Wtr-Gas'!AL37)*0.0038)</f>
        <v>14.903600000000001</v>
      </c>
      <c r="AR35" s="74">
        <f>IF('Wtr-Gas'!AN37&lt;0,"0",('Wtr-Gas'!AN37)*0.0038)</f>
        <v>26.6</v>
      </c>
      <c r="AS35" s="74">
        <f>IF('Wtr-Gas'!AP37&lt;0,"0",('Wtr-Gas'!AP37)*0.0038)</f>
        <v>3.04E-2</v>
      </c>
      <c r="AT35" s="74">
        <f>IF('Wtr-Gas'!AR37&lt;0,"0",('Wtr-Gas'!AR37)*0.0038)</f>
        <v>2.66</v>
      </c>
      <c r="AU35" s="87">
        <f>IF('Wtr-Gas'!AV37&lt;0,"0",('Wtr-Gas'!AV37)*0.0038)</f>
        <v>0.18240000000000001</v>
      </c>
      <c r="AV35" s="74">
        <f>IF('Wtr-Gas'!AY37&lt;0,"0",('Wtr-Gas'!AY37)*0.0038)</f>
        <v>115.4592</v>
      </c>
      <c r="AW35" s="74">
        <f>IF('Wtr-Gas'!BA37&lt;0,"0",('Wtr-Gas'!BA37)*0.0038)</f>
        <v>84.849326000000005</v>
      </c>
      <c r="AX35" s="74">
        <f>IF('Wtr-Gas'!BB37&lt;0,"0",('Wtr-Gas'!BB37)*0.0038)</f>
        <v>30.609873999999998</v>
      </c>
      <c r="AY35" s="74">
        <f>IF('Wtr-Gas'!BD37&lt;0,"0",('Wtr-Gas'!BD37)*0.0038)</f>
        <v>7.6</v>
      </c>
      <c r="AZ35" s="74">
        <f>IF('Wtr-Gas'!BF37&lt;0,"0",('Wtr-Gas'!BF37)*0.0038)</f>
        <v>0.38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 t="str">
        <f>IF('Wtr-Gas'!E38&lt;0,"0",('Wtr-Gas'!E38)*0.0038)</f>
        <v>0</v>
      </c>
      <c r="AG36" s="74" t="str">
        <f>IF('Wtr-Gas'!H38&lt;0,"0",('Wtr-Gas'!H38)*0.0038)</f>
        <v>0</v>
      </c>
      <c r="AH36" s="74" t="str">
        <f>IF('Wtr-Gas'!K38&lt;0,"0",('Wtr-Gas'!K38)*0.0038)</f>
        <v>0</v>
      </c>
      <c r="AI36" s="74" t="str">
        <f>IF('Wtr-Gas'!N38&lt;0,"0",('Wtr-Gas'!N38)*0.0038)</f>
        <v>0</v>
      </c>
      <c r="AJ36" s="74" t="str">
        <f>IF('Wtr-Gas'!Q38&lt;0,"0",('Wtr-Gas'!Q38)*0.0038)</f>
        <v>0</v>
      </c>
      <c r="AK36" s="75" t="str">
        <f>IF('Wtr-Gas'!U38&lt;0,"0",('Wtr-Gas'!U38)*0.0038)</f>
        <v>0</v>
      </c>
      <c r="AL36" s="75" t="str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IF('Wtr-Gas'!AH38&lt;0,"0",('Wtr-Gas'!AH38)*0.0038)</f>
        <v>0</v>
      </c>
      <c r="AP36" s="74">
        <f>IF('Wtr-Gas'!AJ38&lt;0,"0",('Wtr-Gas'!AJ38)*0.0038)</f>
        <v>0</v>
      </c>
      <c r="AQ36" s="74">
        <f>IF('Wtr-Gas'!AL38&lt;0,"0",('Wtr-Gas'!AL38)*0.0038)</f>
        <v>0</v>
      </c>
      <c r="AR36" s="74">
        <f>IF('Wtr-Gas'!AN38&lt;0,"0",('Wtr-Gas'!AN38)*0.0038)</f>
        <v>0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</v>
      </c>
      <c r="AV36" s="74">
        <f>IF('Wtr-Gas'!AY38&lt;0,"0",('Wtr-Gas'!AY38)*0.0038)</f>
        <v>0</v>
      </c>
      <c r="AW36" s="74">
        <f>IF('Wtr-Gas'!BA38&lt;0,"0",('Wtr-Gas'!BA38)*0.0038)</f>
        <v>0</v>
      </c>
      <c r="AX36" s="74">
        <f>IF('Wtr-Gas'!BB38&lt;0,"0",('Wtr-Gas'!BB38)*0.0038)</f>
        <v>0</v>
      </c>
      <c r="AY36" s="74">
        <f>IF('Wtr-Gas'!BD38&lt;0,"0",('Wtr-Gas'!BD38)*0.0038)</f>
        <v>0</v>
      </c>
      <c r="AZ36" s="74">
        <f>IF('Wtr-Gas'!BF38&lt;0,"0",('Wtr-Gas'!BF38)*0.0038)</f>
        <v>0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IF('Wtr-Gas'!AH39&lt;0,"0",('Wtr-Gas'!AH39)*0.0038)</f>
        <v>0</v>
      </c>
      <c r="AP37" s="74">
        <f>IF('Wtr-Gas'!AJ39&lt;0,"0",('Wtr-Gas'!AJ39)*0.0038)</f>
        <v>0</v>
      </c>
      <c r="AQ37" s="74">
        <f>IF('Wtr-Gas'!AL39&lt;0,"0",('Wtr-Gas'!AL39)*0.0038)</f>
        <v>0</v>
      </c>
      <c r="AR37" s="74">
        <f>IF('Wtr-Gas'!AN39&lt;0,"0",('Wtr-Gas'!AN39)*0.0038)</f>
        <v>0</v>
      </c>
      <c r="AS37" s="74">
        <f>IF('Wtr-Gas'!AP39&lt;0,"0",('Wtr-Gas'!AP39)*0.0038)</f>
        <v>0</v>
      </c>
      <c r="AT37" s="74">
        <f>IF('Wtr-Gas'!AR39&lt;0,"0",('Wtr-Gas'!AR39)*0.0038)</f>
        <v>0</v>
      </c>
      <c r="AU37" s="87">
        <f>IF('Wtr-Gas'!AV39&lt;0,"0",('Wtr-Gas'!AV39)*0.0038)</f>
        <v>0</v>
      </c>
      <c r="AV37" s="74">
        <f>IF('Wtr-Gas'!AY39&lt;0,"0",('Wtr-Gas'!AY39)*0.0038)</f>
        <v>0</v>
      </c>
      <c r="AW37" s="74">
        <f>IF('Wtr-Gas'!BA39&lt;0,"0",('Wtr-Gas'!BA39)*0.0038)</f>
        <v>0</v>
      </c>
      <c r="AX37" s="74">
        <f>IF('Wtr-Gas'!BB39&lt;0,"0",('Wtr-Gas'!BB39)*0.0038)</f>
        <v>0</v>
      </c>
      <c r="AY37" s="74">
        <f>IF('Wtr-Gas'!BD39&lt;0,"0",('Wtr-Gas'!BD39)*0.0038)</f>
        <v>0</v>
      </c>
      <c r="AZ37" s="74">
        <f>IF('Wtr-Gas'!BF39&lt;0,"0",('Wtr-Gas'!BF39)*0.0038)</f>
        <v>0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IF('Wtr-Gas'!AH40&lt;0,"0",('Wtr-Gas'!AH40)*0.0038)</f>
        <v>0</v>
      </c>
      <c r="AP38" s="74">
        <f>IF('Wtr-Gas'!AJ40&lt;0,"0",('Wtr-Gas'!AJ40)*0.0038)</f>
        <v>0</v>
      </c>
      <c r="AQ38" s="74">
        <f>IF('Wtr-Gas'!AL40&lt;0,"0",('Wtr-Gas'!AL40)*0.0038)</f>
        <v>0</v>
      </c>
      <c r="AR38" s="74">
        <f>IF('Wtr-Gas'!AN40&lt;0,"0",('Wtr-Gas'!AN40)*0.0038)</f>
        <v>0</v>
      </c>
      <c r="AS38" s="74">
        <f>IF('Wtr-Gas'!AP40&lt;0,"0",('Wtr-Gas'!AP40)*0.0038)</f>
        <v>0</v>
      </c>
      <c r="AT38" s="74">
        <f>IF('Wtr-Gas'!AR40&lt;0,"0",('Wtr-Gas'!AR40)*0.0038)</f>
        <v>0</v>
      </c>
      <c r="AU38" s="87">
        <f>IF('Wtr-Gas'!AV40&lt;0,"0",('Wtr-Gas'!AV40)*0.0038)</f>
        <v>0</v>
      </c>
      <c r="AV38" s="74">
        <f>IF('Wtr-Gas'!AY40&lt;0,"0",('Wtr-Gas'!AY40)*0.0038)</f>
        <v>0</v>
      </c>
      <c r="AW38" s="74">
        <f>IF('Wtr-Gas'!BA40&lt;0,"0",('Wtr-Gas'!BA40)*0.0038)</f>
        <v>0</v>
      </c>
      <c r="AX38" s="74">
        <f>IF('Wtr-Gas'!BB40&lt;0,"0",('Wtr-Gas'!BB40)*0.0038)</f>
        <v>0</v>
      </c>
      <c r="AY38" s="74">
        <f>IF('Wtr-Gas'!BD40&lt;0,"0",('Wtr-Gas'!BD40)*0.0038)</f>
        <v>0</v>
      </c>
      <c r="AZ38" s="74">
        <f>IF('Wtr-Gas'!BF40&lt;0,"0",('Wtr-Gas'!BF40)*0.0038)</f>
        <v>0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AR1" zoomScale="115" zoomScaleNormal="115" workbookViewId="0">
      <selection activeCell="AU37" sqref="AU37:BB37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4" t="s">
        <v>63</v>
      </c>
      <c r="E1" s="125"/>
      <c r="F1" s="125"/>
      <c r="G1" s="124" t="s">
        <v>66</v>
      </c>
      <c r="H1" s="125"/>
      <c r="I1" s="125"/>
      <c r="J1" s="124" t="s">
        <v>69</v>
      </c>
      <c r="K1" s="125"/>
      <c r="L1" s="125"/>
      <c r="M1" s="124" t="s">
        <v>72</v>
      </c>
      <c r="N1" s="125"/>
      <c r="O1" s="125"/>
      <c r="P1" s="124" t="s">
        <v>75</v>
      </c>
      <c r="Q1" s="125"/>
      <c r="R1" s="125"/>
      <c r="S1" s="124" t="s">
        <v>78</v>
      </c>
      <c r="T1" s="125"/>
      <c r="U1" s="125"/>
      <c r="V1" s="124" t="s">
        <v>81</v>
      </c>
      <c r="W1" s="125"/>
      <c r="X1" s="125"/>
      <c r="Y1" s="124" t="s">
        <v>84</v>
      </c>
      <c r="Z1" s="125"/>
      <c r="AA1" s="125"/>
      <c r="AB1" s="124" t="s">
        <v>87</v>
      </c>
      <c r="AC1" s="125"/>
      <c r="AD1" s="125"/>
      <c r="AE1" s="124" t="s">
        <v>90</v>
      </c>
      <c r="AF1" s="125"/>
      <c r="AG1" s="125"/>
      <c r="AH1" s="124" t="s">
        <v>93</v>
      </c>
      <c r="AI1" s="125"/>
      <c r="AJ1" s="125"/>
      <c r="AK1" s="124" t="s">
        <v>95</v>
      </c>
      <c r="AL1" s="125"/>
      <c r="AM1" s="125"/>
      <c r="AN1" s="51"/>
      <c r="AO1" s="51"/>
      <c r="AP1" s="52" t="s">
        <v>162</v>
      </c>
      <c r="AQ1" s="52" t="s">
        <v>163</v>
      </c>
      <c r="AR1" s="52"/>
      <c r="AS1" s="51"/>
      <c r="AT1" s="51"/>
      <c r="AU1" s="124" t="s">
        <v>97</v>
      </c>
      <c r="AV1" s="125"/>
      <c r="AW1" s="124" t="s">
        <v>96</v>
      </c>
      <c r="AX1" s="125"/>
      <c r="AY1" s="124" t="s">
        <v>98</v>
      </c>
      <c r="AZ1" s="125"/>
      <c r="BA1" s="124" t="s">
        <v>164</v>
      </c>
      <c r="BB1" s="125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2" t="s">
        <v>94</v>
      </c>
      <c r="AL2" s="123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2" t="s">
        <v>109</v>
      </c>
      <c r="AL3" s="123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37" si="1">SUM(G5-G4)*160</f>
        <v>14560</v>
      </c>
      <c r="J5" s="17">
        <v>12296</v>
      </c>
      <c r="K5" s="17">
        <v>3.65</v>
      </c>
      <c r="L5" s="33">
        <f t="shared" ref="L5:L37" si="2">SUM(J5-J4)*400</f>
        <v>3600</v>
      </c>
      <c r="M5" s="17">
        <v>12104</v>
      </c>
      <c r="N5" s="17">
        <v>3.73</v>
      </c>
      <c r="O5" s="33">
        <f t="shared" ref="O5:O37" si="3">SUM(M5-M4)*400</f>
        <v>3200</v>
      </c>
      <c r="P5" s="17">
        <v>12731</v>
      </c>
      <c r="Q5" s="17">
        <v>3.73</v>
      </c>
      <c r="R5" s="33">
        <f t="shared" ref="R5:R37" si="4">SUM(P5-P4)*400</f>
        <v>3200</v>
      </c>
      <c r="S5" s="17">
        <v>87232</v>
      </c>
      <c r="T5" s="17">
        <v>2.2490000000000001</v>
      </c>
      <c r="U5" s="33">
        <f t="shared" ref="U5:U37" si="5">SUM(S5-S4)*300</f>
        <v>18300</v>
      </c>
      <c r="V5" s="17">
        <v>83905</v>
      </c>
      <c r="W5" s="17">
        <v>1.8380000000000001</v>
      </c>
      <c r="X5" s="33">
        <f t="shared" ref="X5:X37" si="6">SUM(V5-V4)*300</f>
        <v>17700</v>
      </c>
      <c r="Y5" s="17">
        <v>19769</v>
      </c>
      <c r="Z5" s="17">
        <v>2.75</v>
      </c>
      <c r="AA5" s="33">
        <f t="shared" ref="AA5:AA37" si="7">SUM(Y5-Y4)*160</f>
        <v>1440</v>
      </c>
      <c r="AB5" s="17">
        <v>12892</v>
      </c>
      <c r="AC5" s="17">
        <v>2.31</v>
      </c>
      <c r="AD5" s="33">
        <f t="shared" ref="AD5:AD37" si="8">SUM(AB5-AB4)*160</f>
        <v>960</v>
      </c>
      <c r="AE5" s="17">
        <v>6693</v>
      </c>
      <c r="AF5" s="17">
        <v>2.1659999999999999</v>
      </c>
      <c r="AG5" s="33">
        <f t="shared" ref="AG5:AG37" si="9">SUM(AE5-AE4)*200</f>
        <v>15200</v>
      </c>
      <c r="AH5" s="17">
        <v>19437</v>
      </c>
      <c r="AI5" s="17">
        <v>0.29699999999999999</v>
      </c>
      <c r="AJ5" s="33">
        <f t="shared" ref="AJ5:AJ37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37" si="16">SUM(AU5-AU4)*100</f>
        <v>6200</v>
      </c>
      <c r="AW5" s="17">
        <v>9010</v>
      </c>
      <c r="AX5" s="33">
        <f t="shared" ref="AX5:AX37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37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37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8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9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1827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8">
        <v>9425</v>
      </c>
      <c r="AL30" s="33">
        <f t="shared" si="53"/>
        <v>500</v>
      </c>
      <c r="AM30" s="33"/>
      <c r="AO30" s="33">
        <f t="shared" si="28"/>
        <v>265020</v>
      </c>
      <c r="AP30" s="119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2298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8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9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2078</v>
      </c>
      <c r="D32" s="17">
        <v>17717</v>
      </c>
      <c r="E32" s="17">
        <v>1.9930000000000001</v>
      </c>
      <c r="F32" s="33">
        <f t="shared" si="20"/>
        <v>52000</v>
      </c>
      <c r="G32" s="17">
        <v>17789</v>
      </c>
      <c r="H32" s="17">
        <v>2.4159999999999999</v>
      </c>
      <c r="I32" s="33">
        <f t="shared" si="1"/>
        <v>50720</v>
      </c>
      <c r="J32" s="17">
        <v>13072</v>
      </c>
      <c r="K32" s="17">
        <v>2.77</v>
      </c>
      <c r="L32" s="33">
        <f t="shared" si="2"/>
        <v>14400</v>
      </c>
      <c r="M32" s="17">
        <v>12782</v>
      </c>
      <c r="N32" s="17">
        <v>2.2599999999999998</v>
      </c>
      <c r="O32" s="33">
        <f t="shared" si="3"/>
        <v>12400</v>
      </c>
      <c r="P32" s="17">
        <v>13421</v>
      </c>
      <c r="Q32" s="17">
        <v>2.29</v>
      </c>
      <c r="R32" s="33">
        <f t="shared" si="4"/>
        <v>11600</v>
      </c>
      <c r="S32" s="17">
        <v>91843</v>
      </c>
      <c r="T32" s="17">
        <v>2.5979999999999999</v>
      </c>
      <c r="U32" s="33">
        <f t="shared" si="5"/>
        <v>88800</v>
      </c>
      <c r="V32" s="17">
        <v>88422</v>
      </c>
      <c r="W32" s="17">
        <v>2.2429999999999999</v>
      </c>
      <c r="X32" s="33">
        <f t="shared" si="6"/>
        <v>75900</v>
      </c>
      <c r="Y32" s="17">
        <v>20697</v>
      </c>
      <c r="Z32" s="17">
        <v>3.48</v>
      </c>
      <c r="AA32" s="33">
        <f t="shared" si="7"/>
        <v>6080</v>
      </c>
      <c r="AB32" s="17">
        <v>13477</v>
      </c>
      <c r="AC32" s="17">
        <v>2.67</v>
      </c>
      <c r="AD32" s="33">
        <f t="shared" si="8"/>
        <v>3680</v>
      </c>
      <c r="AE32" s="17">
        <v>13477</v>
      </c>
      <c r="AF32" s="17">
        <v>2.1379999999999999</v>
      </c>
      <c r="AG32" s="33">
        <f t="shared" si="9"/>
        <v>80600</v>
      </c>
      <c r="AH32" s="17">
        <v>20307</v>
      </c>
      <c r="AI32" s="17">
        <v>0.30299999999999999</v>
      </c>
      <c r="AJ32" s="33">
        <f t="shared" si="10"/>
        <v>1520</v>
      </c>
      <c r="AK32" s="118">
        <v>10254</v>
      </c>
      <c r="AL32" s="33">
        <f t="shared" ref="AL32" si="57">SUM(AK32-AK31)</f>
        <v>522</v>
      </c>
      <c r="AM32" s="33"/>
      <c r="AO32" s="33">
        <f t="shared" si="28"/>
        <v>398222</v>
      </c>
      <c r="AP32" s="119">
        <f t="shared" si="29"/>
        <v>82120</v>
      </c>
      <c r="AQ32" s="53">
        <f t="shared" si="30"/>
        <v>0.2062166329333889</v>
      </c>
      <c r="AR32" s="17"/>
      <c r="AS32" s="14"/>
      <c r="AT32" s="48">
        <f t="shared" si="15"/>
        <v>44732</v>
      </c>
      <c r="AU32" s="17">
        <v>73967</v>
      </c>
      <c r="AV32" s="33">
        <f t="shared" si="16"/>
        <v>19000</v>
      </c>
      <c r="AW32" s="17">
        <v>9423</v>
      </c>
      <c r="AX32" s="33">
        <f t="shared" si="17"/>
        <v>2000</v>
      </c>
      <c r="AY32" s="53">
        <v>92818</v>
      </c>
      <c r="AZ32" s="54">
        <f t="shared" ref="AZ32" si="58">SUM(AY32-AY31)</f>
        <v>908</v>
      </c>
      <c r="BA32" s="17">
        <v>5294</v>
      </c>
      <c r="BB32" s="33">
        <f t="shared" si="19"/>
        <v>4480</v>
      </c>
      <c r="BC32" s="46"/>
      <c r="BD32" s="17">
        <f t="shared" si="24"/>
        <v>26388</v>
      </c>
      <c r="BE32" s="17"/>
      <c r="BF32" s="17"/>
    </row>
    <row r="33" spans="2:58" x14ac:dyDescent="0.25">
      <c r="B33" s="45">
        <v>44739</v>
      </c>
      <c r="C33" s="70">
        <f>SUM(Occupancy!K180:K186)</f>
        <v>2400</v>
      </c>
      <c r="D33" s="17">
        <v>17982</v>
      </c>
      <c r="E33" s="17">
        <v>1.956</v>
      </c>
      <c r="F33" s="33">
        <f t="shared" si="20"/>
        <v>42400</v>
      </c>
      <c r="G33" s="17">
        <v>18102</v>
      </c>
      <c r="H33" s="17">
        <v>2.3570000000000002</v>
      </c>
      <c r="I33" s="33">
        <f t="shared" si="1"/>
        <v>50080</v>
      </c>
      <c r="J33" s="17">
        <v>13106</v>
      </c>
      <c r="K33" s="17">
        <v>2.64</v>
      </c>
      <c r="L33" s="33">
        <f t="shared" si="2"/>
        <v>13600</v>
      </c>
      <c r="M33" s="17">
        <v>12815</v>
      </c>
      <c r="N33" s="17">
        <v>2.39</v>
      </c>
      <c r="O33" s="33">
        <f t="shared" si="3"/>
        <v>13200</v>
      </c>
      <c r="P33" s="17">
        <v>13450</v>
      </c>
      <c r="Q33" s="17">
        <v>2.2000000000000002</v>
      </c>
      <c r="R33" s="33">
        <f t="shared" si="4"/>
        <v>11600</v>
      </c>
      <c r="S33" s="17">
        <v>92123</v>
      </c>
      <c r="T33" s="17">
        <v>2.7829999999999999</v>
      </c>
      <c r="U33" s="33">
        <f t="shared" si="5"/>
        <v>84000</v>
      </c>
      <c r="V33" s="17">
        <v>88758</v>
      </c>
      <c r="W33" s="17">
        <v>2.302</v>
      </c>
      <c r="X33" s="33">
        <f t="shared" si="6"/>
        <v>100800</v>
      </c>
      <c r="Y33" s="17">
        <v>20741</v>
      </c>
      <c r="Z33" s="17">
        <v>5.52</v>
      </c>
      <c r="AA33" s="33">
        <f t="shared" si="7"/>
        <v>7040</v>
      </c>
      <c r="AB33" s="17">
        <v>13500</v>
      </c>
      <c r="AC33" s="17">
        <v>2.52</v>
      </c>
      <c r="AD33" s="33">
        <f t="shared" si="8"/>
        <v>3680</v>
      </c>
      <c r="AE33" s="17">
        <v>13635</v>
      </c>
      <c r="AF33" s="17">
        <v>2.121</v>
      </c>
      <c r="AG33" s="33">
        <f t="shared" si="9"/>
        <v>31600</v>
      </c>
      <c r="AH33" s="17">
        <v>20346</v>
      </c>
      <c r="AI33" s="17">
        <v>0.27500000000000002</v>
      </c>
      <c r="AJ33" s="33">
        <f t="shared" si="10"/>
        <v>1560</v>
      </c>
      <c r="AK33" s="118">
        <v>10737</v>
      </c>
      <c r="AL33" s="33">
        <f t="shared" ref="AL33" si="59">SUM(AK33-AK32)</f>
        <v>483</v>
      </c>
      <c r="AM33" s="33"/>
      <c r="AO33" s="33">
        <f t="shared" si="28"/>
        <v>360043</v>
      </c>
      <c r="AP33" s="119">
        <f t="shared" si="29"/>
        <v>33160</v>
      </c>
      <c r="AQ33" s="53">
        <f t="shared" si="30"/>
        <v>9.2100110264607279E-2</v>
      </c>
      <c r="AR33" s="17"/>
      <c r="AS33" s="14"/>
      <c r="AT33" s="48">
        <f t="shared" si="15"/>
        <v>44739</v>
      </c>
      <c r="AU33" s="17">
        <v>74142</v>
      </c>
      <c r="AV33" s="33">
        <f t="shared" si="16"/>
        <v>17500</v>
      </c>
      <c r="AW33" s="17">
        <v>9442</v>
      </c>
      <c r="AX33" s="33">
        <f t="shared" si="17"/>
        <v>1900</v>
      </c>
      <c r="AY33" s="53">
        <v>93698</v>
      </c>
      <c r="AZ33" s="54">
        <f t="shared" ref="AZ33" si="60">SUM(AY33-AY32)</f>
        <v>880</v>
      </c>
      <c r="BA33" s="17">
        <v>5389</v>
      </c>
      <c r="BB33" s="33">
        <f t="shared" si="19"/>
        <v>3800</v>
      </c>
      <c r="BC33" s="46"/>
      <c r="BD33" s="17">
        <f t="shared" si="24"/>
        <v>24080</v>
      </c>
      <c r="BE33" s="17"/>
      <c r="BF33" s="17"/>
    </row>
    <row r="34" spans="2:58" x14ac:dyDescent="0.25">
      <c r="B34" s="45">
        <v>44742</v>
      </c>
      <c r="C34" s="70">
        <f>SUM(Occupancy!K187:K189)</f>
        <v>1293</v>
      </c>
      <c r="D34" s="17">
        <v>18097</v>
      </c>
      <c r="E34" s="17">
        <v>1.956</v>
      </c>
      <c r="F34" s="33">
        <f t="shared" si="20"/>
        <v>18400</v>
      </c>
      <c r="G34" s="17">
        <v>18233</v>
      </c>
      <c r="H34" s="17">
        <v>2.3570000000000002</v>
      </c>
      <c r="I34" s="33">
        <f t="shared" si="1"/>
        <v>20960</v>
      </c>
      <c r="J34" s="17">
        <v>13122</v>
      </c>
      <c r="K34" s="17">
        <v>2.74</v>
      </c>
      <c r="L34" s="33">
        <f t="shared" si="2"/>
        <v>6400</v>
      </c>
      <c r="M34" s="17">
        <v>12829</v>
      </c>
      <c r="N34" s="17">
        <v>2.39</v>
      </c>
      <c r="O34" s="33">
        <f t="shared" si="3"/>
        <v>5600</v>
      </c>
      <c r="P34" s="17">
        <v>13463</v>
      </c>
      <c r="Q34" s="17">
        <v>2.2000000000000002</v>
      </c>
      <c r="R34" s="33">
        <f t="shared" si="4"/>
        <v>5200</v>
      </c>
      <c r="S34" s="17">
        <v>92269</v>
      </c>
      <c r="T34" s="17">
        <v>2.802</v>
      </c>
      <c r="U34" s="33">
        <f t="shared" si="5"/>
        <v>43800</v>
      </c>
      <c r="V34" s="17">
        <v>88896</v>
      </c>
      <c r="W34" s="17">
        <v>2.302</v>
      </c>
      <c r="X34" s="33">
        <f t="shared" si="6"/>
        <v>41400</v>
      </c>
      <c r="Y34" s="17">
        <v>20771</v>
      </c>
      <c r="Z34" s="17">
        <v>5.9</v>
      </c>
      <c r="AA34" s="33">
        <f t="shared" si="7"/>
        <v>4800</v>
      </c>
      <c r="AB34" s="17">
        <v>13512</v>
      </c>
      <c r="AC34" s="17">
        <v>2.54</v>
      </c>
      <c r="AD34" s="33">
        <f t="shared" si="8"/>
        <v>1920</v>
      </c>
      <c r="AE34" s="17">
        <v>13748</v>
      </c>
      <c r="AF34" s="17">
        <v>2.121</v>
      </c>
      <c r="AG34" s="33">
        <f t="shared" si="9"/>
        <v>22600</v>
      </c>
      <c r="AH34" s="17">
        <v>20362</v>
      </c>
      <c r="AI34" s="17">
        <v>0.27500000000000002</v>
      </c>
      <c r="AJ34" s="33">
        <f t="shared" si="10"/>
        <v>640</v>
      </c>
      <c r="AK34" s="118">
        <v>10927</v>
      </c>
      <c r="AL34" s="33">
        <f t="shared" ref="AL34:AL35" si="61">SUM(AK34-AK33)</f>
        <v>190</v>
      </c>
      <c r="AM34" s="33"/>
      <c r="AO34" s="33">
        <f t="shared" si="28"/>
        <v>171910</v>
      </c>
      <c r="AP34" s="119">
        <f t="shared" si="29"/>
        <v>23240</v>
      </c>
      <c r="AQ34" s="53">
        <f t="shared" si="30"/>
        <v>0.13518701646210227</v>
      </c>
      <c r="AR34" s="17"/>
      <c r="AS34" s="14"/>
      <c r="AT34" s="48">
        <f t="shared" si="15"/>
        <v>44742</v>
      </c>
      <c r="AU34" s="17">
        <v>74251</v>
      </c>
      <c r="AV34" s="33">
        <f t="shared" si="16"/>
        <v>10900</v>
      </c>
      <c r="AW34" s="17">
        <v>9455</v>
      </c>
      <c r="AX34" s="33">
        <f t="shared" si="17"/>
        <v>1300</v>
      </c>
      <c r="AY34" s="53">
        <v>94238</v>
      </c>
      <c r="AZ34" s="54">
        <f t="shared" ref="AZ34:AZ35" si="62">SUM(AY34-AY33)</f>
        <v>540</v>
      </c>
      <c r="BA34" s="17">
        <v>5450</v>
      </c>
      <c r="BB34" s="33">
        <f t="shared" si="19"/>
        <v>2440</v>
      </c>
      <c r="BC34" s="46"/>
      <c r="BD34" s="17">
        <f t="shared" si="24"/>
        <v>15180</v>
      </c>
      <c r="BE34" s="17"/>
      <c r="BF34" s="17"/>
    </row>
    <row r="35" spans="2:58" x14ac:dyDescent="0.25">
      <c r="B35" s="45">
        <v>44746</v>
      </c>
      <c r="C35" s="70">
        <f>SUM(Occupancy!K191:K193)</f>
        <v>1043</v>
      </c>
      <c r="D35" s="17">
        <v>18241</v>
      </c>
      <c r="E35" s="17">
        <v>1.956</v>
      </c>
      <c r="F35" s="33">
        <f t="shared" si="20"/>
        <v>23040</v>
      </c>
      <c r="G35" s="17">
        <v>18405</v>
      </c>
      <c r="H35" s="17">
        <v>2.3570000000000002</v>
      </c>
      <c r="I35" s="33">
        <f t="shared" si="1"/>
        <v>27520</v>
      </c>
      <c r="J35" s="17">
        <v>13140</v>
      </c>
      <c r="K35" s="17">
        <v>2.74</v>
      </c>
      <c r="L35" s="33">
        <f t="shared" si="2"/>
        <v>7200</v>
      </c>
      <c r="M35" s="17">
        <v>12845</v>
      </c>
      <c r="N35" s="17">
        <v>2.39</v>
      </c>
      <c r="O35" s="33">
        <f t="shared" si="3"/>
        <v>6400</v>
      </c>
      <c r="P35" s="17">
        <v>13480</v>
      </c>
      <c r="Q35" s="17">
        <v>2.2000000000000002</v>
      </c>
      <c r="R35" s="33">
        <f t="shared" si="4"/>
        <v>6800</v>
      </c>
      <c r="S35" s="17">
        <v>92430</v>
      </c>
      <c r="T35" s="17">
        <v>2.802</v>
      </c>
      <c r="U35" s="33">
        <f t="shared" si="5"/>
        <v>48300</v>
      </c>
      <c r="V35" s="17">
        <v>89052</v>
      </c>
      <c r="W35" s="17">
        <v>2.302</v>
      </c>
      <c r="X35" s="33">
        <f t="shared" si="6"/>
        <v>46800</v>
      </c>
      <c r="Y35" s="17">
        <v>20790</v>
      </c>
      <c r="Z35" s="17">
        <v>5.9</v>
      </c>
      <c r="AA35" s="33">
        <f t="shared" si="7"/>
        <v>3040</v>
      </c>
      <c r="AB35" s="17">
        <v>13523</v>
      </c>
      <c r="AC35" s="17">
        <v>2.54</v>
      </c>
      <c r="AD35" s="33">
        <f t="shared" si="8"/>
        <v>1760</v>
      </c>
      <c r="AE35" s="17">
        <v>13901</v>
      </c>
      <c r="AF35" s="17">
        <v>2.121</v>
      </c>
      <c r="AG35" s="33">
        <f t="shared" si="9"/>
        <v>30600</v>
      </c>
      <c r="AH35" s="17">
        <v>20382</v>
      </c>
      <c r="AI35" s="17">
        <v>0.30299999999999999</v>
      </c>
      <c r="AJ35" s="33">
        <f t="shared" si="10"/>
        <v>800</v>
      </c>
      <c r="AK35" s="118">
        <v>11237</v>
      </c>
      <c r="AL35" s="33">
        <f t="shared" si="61"/>
        <v>310</v>
      </c>
      <c r="AM35" s="33"/>
      <c r="AO35" s="33">
        <f t="shared" si="28"/>
        <v>202570</v>
      </c>
      <c r="AP35" s="119">
        <f t="shared" si="29"/>
        <v>31400</v>
      </c>
      <c r="AQ35" s="53">
        <f t="shared" si="30"/>
        <v>0.15500814533247767</v>
      </c>
      <c r="AR35" s="17"/>
      <c r="AS35" s="14"/>
      <c r="AT35" s="48">
        <f t="shared" si="15"/>
        <v>44746</v>
      </c>
      <c r="AU35" s="17">
        <v>74317</v>
      </c>
      <c r="AV35" s="33">
        <f t="shared" si="16"/>
        <v>6600</v>
      </c>
      <c r="AW35" s="17">
        <v>9461</v>
      </c>
      <c r="AX35" s="33">
        <f t="shared" si="17"/>
        <v>600</v>
      </c>
      <c r="AY35" s="53">
        <v>94593</v>
      </c>
      <c r="AZ35" s="54">
        <f t="shared" si="62"/>
        <v>355</v>
      </c>
      <c r="BA35" s="17">
        <v>5463</v>
      </c>
      <c r="BB35" s="33">
        <f t="shared" si="19"/>
        <v>520</v>
      </c>
      <c r="BC35" s="46"/>
      <c r="BD35" s="17">
        <f t="shared" si="24"/>
        <v>8075</v>
      </c>
      <c r="BE35" s="17"/>
      <c r="BF35" s="17"/>
    </row>
    <row r="36" spans="2:58" x14ac:dyDescent="0.25">
      <c r="B36" s="45">
        <v>44753</v>
      </c>
      <c r="C36" s="70">
        <f>SUM(Occupancy!K194:K200)</f>
        <v>1820</v>
      </c>
      <c r="D36" s="17">
        <v>18508</v>
      </c>
      <c r="E36" s="17">
        <v>1.956</v>
      </c>
      <c r="F36" s="33">
        <f t="shared" si="20"/>
        <v>42720</v>
      </c>
      <c r="G36" s="17">
        <v>18714</v>
      </c>
      <c r="H36" s="17">
        <v>2.3660000000000001</v>
      </c>
      <c r="I36" s="33">
        <f t="shared" si="1"/>
        <v>49440</v>
      </c>
      <c r="J36" s="17">
        <v>13173</v>
      </c>
      <c r="K36" s="17">
        <v>2.74</v>
      </c>
      <c r="L36" s="33">
        <f t="shared" si="2"/>
        <v>13200</v>
      </c>
      <c r="M36" s="17">
        <v>12874</v>
      </c>
      <c r="N36" s="17">
        <v>2.39</v>
      </c>
      <c r="O36" s="33">
        <f t="shared" si="3"/>
        <v>11600</v>
      </c>
      <c r="P36" s="17">
        <v>13509</v>
      </c>
      <c r="Q36" s="17">
        <v>2.2000000000000002</v>
      </c>
      <c r="R36" s="33">
        <f t="shared" si="4"/>
        <v>11600</v>
      </c>
      <c r="S36" s="17">
        <v>92738</v>
      </c>
      <c r="T36" s="17">
        <v>2.802</v>
      </c>
      <c r="U36" s="33">
        <f t="shared" si="5"/>
        <v>92400</v>
      </c>
      <c r="V36" s="17">
        <v>89343</v>
      </c>
      <c r="W36" s="17">
        <v>2.302</v>
      </c>
      <c r="X36" s="33">
        <f t="shared" si="6"/>
        <v>87300</v>
      </c>
      <c r="Y36" s="17">
        <v>20826</v>
      </c>
      <c r="Z36" s="17">
        <v>5.9</v>
      </c>
      <c r="AA36" s="33">
        <f t="shared" si="7"/>
        <v>5760</v>
      </c>
      <c r="AB36" s="17">
        <v>13544</v>
      </c>
      <c r="AC36" s="17">
        <v>2.54</v>
      </c>
      <c r="AD36" s="33">
        <f t="shared" si="8"/>
        <v>3360</v>
      </c>
      <c r="AE36" s="17">
        <v>14184</v>
      </c>
      <c r="AF36" s="17">
        <v>2.121</v>
      </c>
      <c r="AG36" s="33">
        <f t="shared" si="9"/>
        <v>56600</v>
      </c>
      <c r="AH36" s="17">
        <v>20422</v>
      </c>
      <c r="AI36" s="17">
        <v>0.30299999999999999</v>
      </c>
      <c r="AJ36" s="33">
        <f t="shared" si="10"/>
        <v>1600</v>
      </c>
      <c r="AK36" s="118">
        <v>11678</v>
      </c>
      <c r="AL36" s="33">
        <f t="shared" ref="AL36" si="63">SUM(AK36-AK35)</f>
        <v>441</v>
      </c>
      <c r="AM36" s="33"/>
      <c r="AO36" s="33">
        <f t="shared" si="28"/>
        <v>376021</v>
      </c>
      <c r="AP36" s="119">
        <f t="shared" si="29"/>
        <v>58200</v>
      </c>
      <c r="AQ36" s="53">
        <f t="shared" si="30"/>
        <v>0.1547785894936719</v>
      </c>
      <c r="AR36" s="17"/>
      <c r="AS36" s="14"/>
      <c r="AT36" s="48">
        <f t="shared" si="15"/>
        <v>44753</v>
      </c>
      <c r="AU36" s="17">
        <v>74576</v>
      </c>
      <c r="AV36" s="33">
        <f t="shared" si="16"/>
        <v>25900</v>
      </c>
      <c r="AW36" s="17">
        <v>9492</v>
      </c>
      <c r="AX36" s="33">
        <f t="shared" si="17"/>
        <v>3100</v>
      </c>
      <c r="AY36" s="53">
        <v>95882</v>
      </c>
      <c r="AZ36" s="54">
        <f t="shared" ref="AZ36" si="64">SUM(AY36-AY35)</f>
        <v>1289</v>
      </c>
      <c r="BA36" s="17">
        <v>5598</v>
      </c>
      <c r="BB36" s="33">
        <f t="shared" si="19"/>
        <v>5400</v>
      </c>
      <c r="BC36" s="46"/>
      <c r="BD36" s="17">
        <f t="shared" si="24"/>
        <v>35689</v>
      </c>
      <c r="BE36" s="17"/>
      <c r="BF36" s="17"/>
    </row>
    <row r="37" spans="2:58" x14ac:dyDescent="0.25">
      <c r="B37" s="45">
        <v>44760</v>
      </c>
      <c r="C37" s="70">
        <f>SUM(Occupancy!K201:K207)</f>
        <v>1865</v>
      </c>
      <c r="D37" s="17">
        <v>18773</v>
      </c>
      <c r="E37" s="17">
        <v>2.02</v>
      </c>
      <c r="F37" s="33">
        <f t="shared" si="20"/>
        <v>42400</v>
      </c>
      <c r="G37" s="17">
        <v>19013</v>
      </c>
      <c r="H37" s="17">
        <v>2.3660000000000001</v>
      </c>
      <c r="I37" s="33">
        <f t="shared" si="1"/>
        <v>47840</v>
      </c>
      <c r="J37" s="17">
        <v>13206</v>
      </c>
      <c r="K37" s="17">
        <v>2.74</v>
      </c>
      <c r="L37" s="33">
        <f t="shared" si="2"/>
        <v>13200</v>
      </c>
      <c r="M37" s="17">
        <v>12904</v>
      </c>
      <c r="N37" s="17">
        <v>2.46</v>
      </c>
      <c r="O37" s="33">
        <f t="shared" si="3"/>
        <v>12000</v>
      </c>
      <c r="P37" s="17">
        <v>13538</v>
      </c>
      <c r="Q37" s="17">
        <v>2.2000000000000002</v>
      </c>
      <c r="R37" s="33">
        <f t="shared" si="4"/>
        <v>11600</v>
      </c>
      <c r="S37" s="17">
        <v>93002</v>
      </c>
      <c r="T37" s="17">
        <v>2.802</v>
      </c>
      <c r="U37" s="33">
        <f t="shared" si="5"/>
        <v>79200</v>
      </c>
      <c r="V37" s="17">
        <v>89633</v>
      </c>
      <c r="W37" s="17">
        <v>2.302</v>
      </c>
      <c r="X37" s="33">
        <f t="shared" si="6"/>
        <v>87000</v>
      </c>
      <c r="Y37" s="17">
        <v>20863</v>
      </c>
      <c r="Z37" s="17">
        <v>5.9</v>
      </c>
      <c r="AA37" s="33">
        <f t="shared" si="7"/>
        <v>5920</v>
      </c>
      <c r="AB37" s="17">
        <v>13568</v>
      </c>
      <c r="AC37" s="17">
        <v>2.54</v>
      </c>
      <c r="AD37" s="33">
        <f t="shared" si="8"/>
        <v>3840</v>
      </c>
      <c r="AE37" s="17">
        <v>14461</v>
      </c>
      <c r="AF37" s="17">
        <v>2.2000000000000002</v>
      </c>
      <c r="AG37" s="33">
        <f t="shared" si="9"/>
        <v>55400</v>
      </c>
      <c r="AH37" s="17">
        <v>20463</v>
      </c>
      <c r="AI37" s="17">
        <v>0.33200000000000002</v>
      </c>
      <c r="AJ37" s="33">
        <f t="shared" si="10"/>
        <v>1640</v>
      </c>
      <c r="AK37" s="118">
        <v>12091</v>
      </c>
      <c r="AL37" s="33">
        <f t="shared" ref="AL37" si="65">SUM(AK37-AK36)</f>
        <v>413</v>
      </c>
      <c r="AM37" s="33"/>
      <c r="AO37" s="33">
        <f t="shared" si="28"/>
        <v>360453</v>
      </c>
      <c r="AP37" s="119">
        <f t="shared" si="29"/>
        <v>57040</v>
      </c>
      <c r="AQ37" s="53">
        <f t="shared" si="30"/>
        <v>0.15824531908459633</v>
      </c>
      <c r="AR37" s="17"/>
      <c r="AS37" s="14"/>
      <c r="AT37" s="48">
        <f t="shared" si="15"/>
        <v>44760</v>
      </c>
      <c r="AU37" s="17">
        <v>74677</v>
      </c>
      <c r="AV37" s="33">
        <f t="shared" si="16"/>
        <v>10100</v>
      </c>
      <c r="AW37" s="17">
        <v>9503</v>
      </c>
      <c r="AX37" s="33">
        <f t="shared" si="17"/>
        <v>1100</v>
      </c>
      <c r="AY37" s="53">
        <v>96392</v>
      </c>
      <c r="AZ37" s="54">
        <f t="shared" ref="AZ37" si="66">SUM(AY37-AY36)</f>
        <v>510</v>
      </c>
      <c r="BA37" s="17">
        <v>5617</v>
      </c>
      <c r="BB37" s="33">
        <f t="shared" si="19"/>
        <v>760</v>
      </c>
      <c r="BC37" s="46"/>
      <c r="BD37" s="17">
        <f t="shared" si="24"/>
        <v>12470</v>
      </c>
      <c r="BE37" s="17"/>
      <c r="BF37" s="17"/>
    </row>
    <row r="38" spans="2:58" x14ac:dyDescent="0.25">
      <c r="B38" s="45">
        <v>44767</v>
      </c>
      <c r="C38" s="70">
        <f>SUM(Occupancy!K208:K214)</f>
        <v>2140</v>
      </c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4"/>
        <v>0</v>
      </c>
      <c r="BE38" s="17"/>
      <c r="BF38" s="17"/>
    </row>
    <row r="39" spans="2:58" x14ac:dyDescent="0.25">
      <c r="B39" s="45">
        <v>44774</v>
      </c>
      <c r="C39" s="70">
        <f>SUM(Occupancy!K215:K221)</f>
        <v>2194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4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4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2"/>
      <c r="AL64" s="123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S7" zoomScale="85" zoomScaleNormal="85" workbookViewId="0">
      <selection activeCell="AU37" sqref="AU37:BH37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1">
        <v>74860172</v>
      </c>
      <c r="D1" s="133"/>
      <c r="E1" s="132"/>
      <c r="F1" s="131">
        <v>74860173</v>
      </c>
      <c r="G1" s="133"/>
      <c r="H1" s="132"/>
      <c r="I1" s="131">
        <v>44553004</v>
      </c>
      <c r="J1" s="133"/>
      <c r="K1" s="132"/>
      <c r="L1" s="131">
        <v>70275191</v>
      </c>
      <c r="M1" s="133"/>
      <c r="N1" s="132"/>
      <c r="O1" s="131">
        <v>2130521</v>
      </c>
      <c r="P1" s="133"/>
      <c r="Q1" s="132"/>
      <c r="R1" s="16"/>
      <c r="S1" s="134" t="s">
        <v>104</v>
      </c>
      <c r="T1" s="133"/>
      <c r="U1" s="132"/>
      <c r="V1" s="135">
        <v>93477704</v>
      </c>
      <c r="W1" s="136"/>
      <c r="X1" s="137"/>
      <c r="Y1" s="21" t="s">
        <v>180</v>
      </c>
      <c r="Z1" s="16"/>
      <c r="AA1" s="138">
        <v>79177804</v>
      </c>
      <c r="AB1" s="139"/>
      <c r="AC1" s="138">
        <v>79305675</v>
      </c>
      <c r="AD1" s="139"/>
      <c r="AE1" s="140">
        <v>19000406</v>
      </c>
      <c r="AF1" s="141"/>
      <c r="AG1" s="138">
        <v>79190041</v>
      </c>
      <c r="AH1" s="139"/>
      <c r="AI1" s="138" t="s">
        <v>49</v>
      </c>
      <c r="AJ1" s="139"/>
      <c r="AK1" s="138">
        <v>79190039</v>
      </c>
      <c r="AL1" s="139"/>
      <c r="AM1" s="138">
        <v>79324776</v>
      </c>
      <c r="AN1" s="139"/>
      <c r="AO1" s="138" t="s">
        <v>102</v>
      </c>
      <c r="AP1" s="139"/>
      <c r="AQ1" s="138" t="s">
        <v>103</v>
      </c>
      <c r="AR1" s="139"/>
      <c r="AS1" s="14"/>
      <c r="AU1" s="131" t="s">
        <v>115</v>
      </c>
      <c r="AV1" s="132"/>
      <c r="AW1" s="14"/>
      <c r="AX1" s="131" t="s">
        <v>55</v>
      </c>
      <c r="AY1" s="132"/>
      <c r="AZ1" s="131">
        <v>65956268</v>
      </c>
      <c r="BA1" s="132"/>
      <c r="BB1" s="22" t="s">
        <v>57</v>
      </c>
      <c r="BC1" s="131">
        <v>1334021</v>
      </c>
      <c r="BD1" s="132"/>
      <c r="BE1" s="131">
        <v>63265094</v>
      </c>
      <c r="BF1" s="132"/>
      <c r="BG1" s="131" t="s">
        <v>181</v>
      </c>
      <c r="BH1" s="132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4" t="s">
        <v>100</v>
      </c>
      <c r="P2" s="145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2" t="s">
        <v>184</v>
      </c>
      <c r="AB2" s="143"/>
      <c r="AC2" s="142" t="s">
        <v>185</v>
      </c>
      <c r="AD2" s="143"/>
      <c r="AE2" s="142" t="s">
        <v>217</v>
      </c>
      <c r="AF2" s="143"/>
      <c r="AG2" s="142" t="s">
        <v>186</v>
      </c>
      <c r="AH2" s="143"/>
      <c r="AI2" s="142" t="s">
        <v>187</v>
      </c>
      <c r="AJ2" s="143"/>
      <c r="AK2" s="142" t="s">
        <v>118</v>
      </c>
      <c r="AL2" s="143"/>
      <c r="AM2" s="142" t="s">
        <v>188</v>
      </c>
      <c r="AN2" s="143"/>
      <c r="AO2" s="142" t="s">
        <v>189</v>
      </c>
      <c r="AP2" s="143"/>
      <c r="AQ2" s="142" t="s">
        <v>190</v>
      </c>
      <c r="AR2" s="143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42" t="s">
        <v>105</v>
      </c>
      <c r="D3" s="143"/>
      <c r="E3" s="18" t="s">
        <v>192</v>
      </c>
      <c r="F3" s="142" t="s">
        <v>106</v>
      </c>
      <c r="G3" s="143"/>
      <c r="H3" s="18" t="s">
        <v>192</v>
      </c>
      <c r="I3" s="142" t="s">
        <v>107</v>
      </c>
      <c r="J3" s="143"/>
      <c r="K3" s="18"/>
      <c r="L3" s="142" t="s">
        <v>193</v>
      </c>
      <c r="M3" s="143"/>
      <c r="N3" s="18"/>
      <c r="O3" s="142" t="s">
        <v>108</v>
      </c>
      <c r="P3" s="143"/>
      <c r="Q3" s="18" t="s">
        <v>192</v>
      </c>
      <c r="R3" s="28"/>
      <c r="S3" s="142" t="s">
        <v>194</v>
      </c>
      <c r="T3" s="143"/>
      <c r="U3" s="19"/>
      <c r="V3" s="142" t="s">
        <v>194</v>
      </c>
      <c r="W3" s="143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6">
        <v>47284050</v>
      </c>
      <c r="D4" s="126"/>
      <c r="E4" s="33">
        <v>0</v>
      </c>
      <c r="F4" s="129">
        <v>5735080</v>
      </c>
      <c r="G4" s="130"/>
      <c r="H4" s="33">
        <v>0</v>
      </c>
      <c r="I4" s="129">
        <v>18184</v>
      </c>
      <c r="J4" s="130"/>
      <c r="K4" s="33">
        <v>0</v>
      </c>
      <c r="L4" s="129">
        <v>343381</v>
      </c>
      <c r="M4" s="130"/>
      <c r="N4" s="33">
        <v>0</v>
      </c>
      <c r="O4" s="129">
        <v>21347</v>
      </c>
      <c r="P4" s="130"/>
      <c r="Q4" s="33">
        <v>0</v>
      </c>
      <c r="R4" s="77"/>
      <c r="S4" s="129">
        <v>804501</v>
      </c>
      <c r="T4" s="130"/>
      <c r="U4" s="33">
        <v>0</v>
      </c>
      <c r="V4" s="129">
        <v>837808</v>
      </c>
      <c r="W4" s="130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6">
        <v>47321292</v>
      </c>
      <c r="D5" s="126"/>
      <c r="E5" s="33">
        <f t="shared" ref="E5:E64" si="0">SUM(C5-C4)*10</f>
        <v>372420</v>
      </c>
      <c r="F5" s="126">
        <v>5741571</v>
      </c>
      <c r="G5" s="126"/>
      <c r="H5" s="33">
        <f t="shared" ref="H5:H64" si="1">SUM(F5-F4)*10</f>
        <v>64910</v>
      </c>
      <c r="I5" s="126">
        <v>18187</v>
      </c>
      <c r="J5" s="126"/>
      <c r="K5" s="33">
        <f t="shared" ref="K5:K64" si="2">SUM(I5-I4)*10</f>
        <v>30</v>
      </c>
      <c r="L5" s="126">
        <v>343661</v>
      </c>
      <c r="M5" s="126"/>
      <c r="N5" s="33">
        <f t="shared" ref="N5:N64" si="3">SUM(L5-L4)*1000</f>
        <v>280000</v>
      </c>
      <c r="O5" s="126">
        <v>21465</v>
      </c>
      <c r="P5" s="126"/>
      <c r="Q5" s="33">
        <f t="shared" ref="Q5:Q64" si="4">SUM(O5-O4)*100</f>
        <v>11800</v>
      </c>
      <c r="R5" s="29"/>
      <c r="S5" s="122">
        <v>805268</v>
      </c>
      <c r="T5" s="123"/>
      <c r="U5" s="33">
        <f t="shared" ref="U5:U64" si="5">SUM(S5-S4)*100</f>
        <v>76700</v>
      </c>
      <c r="V5" s="126">
        <v>840790</v>
      </c>
      <c r="W5" s="126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37" si="8">SUM(AA5-AA4)*10000</f>
        <v>650000</v>
      </c>
      <c r="AC5" s="17">
        <v>701086300</v>
      </c>
      <c r="AD5" s="33">
        <f t="shared" ref="AD5:AD37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37" si="12">SUM(AK5-AK4)</f>
        <v>2757</v>
      </c>
      <c r="AM5" s="17">
        <v>25501</v>
      </c>
      <c r="AN5" s="33">
        <f t="shared" ref="AN5:AN37" si="13">SUM(AM5-AM4)*1000</f>
        <v>51000</v>
      </c>
      <c r="AO5" s="17">
        <v>1295</v>
      </c>
      <c r="AP5" s="33">
        <f t="shared" ref="AP5:AP37" si="14">SUM(AO5-AO4)</f>
        <v>3</v>
      </c>
      <c r="AQ5" s="17">
        <v>13377</v>
      </c>
      <c r="AR5" s="33">
        <f t="shared" ref="AR5:AR37" si="15">SUM(AQ5-AQ4)*100</f>
        <v>900</v>
      </c>
      <c r="AS5" s="31"/>
      <c r="AT5" s="57">
        <f>B5</f>
        <v>44564</v>
      </c>
      <c r="AU5" s="17">
        <v>4100</v>
      </c>
      <c r="AV5" s="33">
        <f t="shared" ref="AV5:AV37" si="16">SUM(AU5-AU4)</f>
        <v>54</v>
      </c>
      <c r="AW5" s="14"/>
      <c r="AX5" s="17">
        <v>2131903</v>
      </c>
      <c r="AY5" s="33">
        <f t="shared" ref="AY5:AY37" si="17">SUM(AX5-AX4)</f>
        <v>23245</v>
      </c>
      <c r="AZ5" s="17">
        <v>654316702</v>
      </c>
      <c r="BA5" s="34">
        <f t="shared" ref="BA5:BA37" si="18">SUM(AZ5-AZ4)/100</f>
        <v>16869.72</v>
      </c>
      <c r="BB5" s="33">
        <f t="shared" ref="BB5:BB37" si="19">SUM(AY5-BA5)</f>
        <v>6375.2799999999988</v>
      </c>
      <c r="BC5" s="17">
        <v>7133400</v>
      </c>
      <c r="BD5" s="89">
        <f t="shared" ref="BD5:BD37" si="20">SUM(BC5-BC4)</f>
        <v>400</v>
      </c>
      <c r="BE5" s="53">
        <v>3791400</v>
      </c>
      <c r="BF5" s="54">
        <f t="shared" ref="BF5:BF37" si="21">SUM(BE5-BE4)</f>
        <v>200</v>
      </c>
      <c r="BG5" s="17">
        <v>1133187</v>
      </c>
      <c r="BH5" s="33">
        <f t="shared" ref="BH5:BH37" si="22">SUM(BG5-BG4)</f>
        <v>10</v>
      </c>
    </row>
    <row r="6" spans="2:60" s="58" customFormat="1" x14ac:dyDescent="0.25">
      <c r="B6" s="45">
        <v>44571</v>
      </c>
      <c r="C6" s="126">
        <v>47434585</v>
      </c>
      <c r="D6" s="126"/>
      <c r="E6" s="33">
        <f t="shared" si="0"/>
        <v>1132930</v>
      </c>
      <c r="F6" s="126">
        <v>5755598</v>
      </c>
      <c r="G6" s="126"/>
      <c r="H6" s="33">
        <f t="shared" si="1"/>
        <v>140270</v>
      </c>
      <c r="I6" s="126">
        <v>18208</v>
      </c>
      <c r="J6" s="126"/>
      <c r="K6" s="33">
        <f t="shared" si="2"/>
        <v>210</v>
      </c>
      <c r="L6" s="126">
        <v>344442</v>
      </c>
      <c r="M6" s="126"/>
      <c r="N6" s="33">
        <f t="shared" si="3"/>
        <v>781000</v>
      </c>
      <c r="O6" s="126">
        <v>21853</v>
      </c>
      <c r="P6" s="126"/>
      <c r="Q6" s="33">
        <f t="shared" si="4"/>
        <v>38800</v>
      </c>
      <c r="R6" s="29"/>
      <c r="S6" s="122">
        <v>807780</v>
      </c>
      <c r="T6" s="123"/>
      <c r="U6" s="33">
        <f t="shared" si="5"/>
        <v>251200</v>
      </c>
      <c r="V6" s="126">
        <v>855610</v>
      </c>
      <c r="W6" s="126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6">
        <v>47541571</v>
      </c>
      <c r="D7" s="126"/>
      <c r="E7" s="33">
        <f t="shared" si="0"/>
        <v>1069860</v>
      </c>
      <c r="F7" s="126">
        <v>5765249</v>
      </c>
      <c r="G7" s="126"/>
      <c r="H7" s="33">
        <f t="shared" si="1"/>
        <v>96510</v>
      </c>
      <c r="I7" s="126">
        <v>18248</v>
      </c>
      <c r="J7" s="126"/>
      <c r="K7" s="33">
        <f t="shared" si="2"/>
        <v>400</v>
      </c>
      <c r="L7" s="126">
        <v>345151</v>
      </c>
      <c r="M7" s="126"/>
      <c r="N7" s="33">
        <f t="shared" si="3"/>
        <v>709000</v>
      </c>
      <c r="O7" s="126">
        <v>22245</v>
      </c>
      <c r="P7" s="126"/>
      <c r="Q7" s="33">
        <f t="shared" si="4"/>
        <v>39200</v>
      </c>
      <c r="R7" s="29"/>
      <c r="S7" s="122">
        <v>810263</v>
      </c>
      <c r="T7" s="123"/>
      <c r="U7" s="33">
        <f t="shared" si="5"/>
        <v>248300</v>
      </c>
      <c r="V7" s="126">
        <v>874623</v>
      </c>
      <c r="W7" s="126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6">
        <v>47648684</v>
      </c>
      <c r="D8" s="126"/>
      <c r="E8" s="33">
        <f t="shared" si="0"/>
        <v>1071130</v>
      </c>
      <c r="F8" s="126">
        <v>5771687</v>
      </c>
      <c r="G8" s="126"/>
      <c r="H8" s="33">
        <f t="shared" si="1"/>
        <v>64380</v>
      </c>
      <c r="I8" s="126">
        <v>18296</v>
      </c>
      <c r="J8" s="126"/>
      <c r="K8" s="33">
        <f t="shared" si="2"/>
        <v>480</v>
      </c>
      <c r="L8" s="126">
        <v>345901</v>
      </c>
      <c r="M8" s="126"/>
      <c r="N8" s="33">
        <f t="shared" si="3"/>
        <v>750000</v>
      </c>
      <c r="O8" s="126">
        <v>22594</v>
      </c>
      <c r="P8" s="126"/>
      <c r="Q8" s="33">
        <f t="shared" si="4"/>
        <v>34900</v>
      </c>
      <c r="R8" s="29"/>
      <c r="S8" s="122">
        <v>812966</v>
      </c>
      <c r="T8" s="123"/>
      <c r="U8" s="33">
        <f t="shared" si="5"/>
        <v>270300</v>
      </c>
      <c r="V8" s="126">
        <v>895060</v>
      </c>
      <c r="W8" s="126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6">
        <v>47742689</v>
      </c>
      <c r="D9" s="126"/>
      <c r="E9" s="33">
        <f t="shared" si="0"/>
        <v>940050</v>
      </c>
      <c r="F9" s="126">
        <v>5772478</v>
      </c>
      <c r="G9" s="126"/>
      <c r="H9" s="33">
        <f t="shared" si="1"/>
        <v>7910</v>
      </c>
      <c r="I9" s="126">
        <v>18310</v>
      </c>
      <c r="J9" s="126"/>
      <c r="K9" s="33">
        <f t="shared" si="2"/>
        <v>140</v>
      </c>
      <c r="L9" s="126">
        <v>346448</v>
      </c>
      <c r="M9" s="126"/>
      <c r="N9" s="33">
        <f t="shared" si="3"/>
        <v>547000</v>
      </c>
      <c r="O9" s="126">
        <v>22960</v>
      </c>
      <c r="P9" s="126"/>
      <c r="Q9" s="33">
        <f t="shared" si="4"/>
        <v>36600</v>
      </c>
      <c r="R9" s="29"/>
      <c r="S9" s="122">
        <v>815475</v>
      </c>
      <c r="T9" s="123"/>
      <c r="U9" s="33">
        <f t="shared" si="5"/>
        <v>250900</v>
      </c>
      <c r="V9" s="126">
        <v>916450</v>
      </c>
      <c r="W9" s="126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6">
        <v>47852173</v>
      </c>
      <c r="D10" s="126"/>
      <c r="E10" s="33">
        <f t="shared" si="0"/>
        <v>1094840</v>
      </c>
      <c r="F10" s="126">
        <v>5782056</v>
      </c>
      <c r="G10" s="126"/>
      <c r="H10" s="33">
        <f t="shared" si="1"/>
        <v>95780</v>
      </c>
      <c r="I10" s="126">
        <v>18354</v>
      </c>
      <c r="J10" s="126"/>
      <c r="K10" s="33">
        <f t="shared" si="2"/>
        <v>440</v>
      </c>
      <c r="L10" s="126">
        <v>347178</v>
      </c>
      <c r="M10" s="126"/>
      <c r="N10" s="33">
        <f t="shared" si="3"/>
        <v>730000</v>
      </c>
      <c r="O10" s="126">
        <v>23343</v>
      </c>
      <c r="P10" s="126"/>
      <c r="Q10" s="33">
        <f t="shared" si="4"/>
        <v>38300</v>
      </c>
      <c r="R10" s="29"/>
      <c r="S10" s="122">
        <v>817983</v>
      </c>
      <c r="T10" s="123"/>
      <c r="U10" s="33">
        <f t="shared" si="5"/>
        <v>250800</v>
      </c>
      <c r="V10" s="126">
        <v>932930</v>
      </c>
      <c r="W10" s="126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6">
        <v>47958101</v>
      </c>
      <c r="D11" s="126"/>
      <c r="E11" s="33">
        <f t="shared" si="0"/>
        <v>1059280</v>
      </c>
      <c r="F11" s="126">
        <v>5789125</v>
      </c>
      <c r="G11" s="126"/>
      <c r="H11" s="33">
        <f t="shared" si="1"/>
        <v>70690</v>
      </c>
      <c r="I11" s="126">
        <v>18386</v>
      </c>
      <c r="J11" s="126"/>
      <c r="K11" s="33">
        <f t="shared" si="2"/>
        <v>320</v>
      </c>
      <c r="L11" s="126">
        <v>347864</v>
      </c>
      <c r="M11" s="126"/>
      <c r="N11" s="33">
        <f t="shared" si="3"/>
        <v>686000</v>
      </c>
      <c r="O11" s="126">
        <v>23722</v>
      </c>
      <c r="P11" s="126"/>
      <c r="Q11" s="33">
        <f t="shared" si="4"/>
        <v>37900</v>
      </c>
      <c r="R11" s="29"/>
      <c r="S11" s="122">
        <v>820428</v>
      </c>
      <c r="T11" s="123"/>
      <c r="U11" s="33">
        <f t="shared" si="5"/>
        <v>244500</v>
      </c>
      <c r="V11" s="126">
        <v>941330</v>
      </c>
      <c r="W11" s="126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6">
        <v>48094151</v>
      </c>
      <c r="D12" s="126"/>
      <c r="E12" s="33">
        <f t="shared" si="0"/>
        <v>1360500</v>
      </c>
      <c r="F12" s="126">
        <v>5800451</v>
      </c>
      <c r="G12" s="126"/>
      <c r="H12" s="33">
        <f t="shared" si="1"/>
        <v>113260</v>
      </c>
      <c r="I12" s="126">
        <v>18417</v>
      </c>
      <c r="J12" s="126"/>
      <c r="K12" s="33">
        <f t="shared" si="2"/>
        <v>310</v>
      </c>
      <c r="L12" s="126">
        <v>348848</v>
      </c>
      <c r="M12" s="126"/>
      <c r="N12" s="33">
        <f t="shared" si="3"/>
        <v>984000</v>
      </c>
      <c r="O12" s="122">
        <v>24008</v>
      </c>
      <c r="P12" s="123"/>
      <c r="Q12" s="33">
        <f t="shared" si="4"/>
        <v>28600</v>
      </c>
      <c r="R12" s="29"/>
      <c r="S12" s="122">
        <v>823082</v>
      </c>
      <c r="T12" s="123"/>
      <c r="U12" s="33">
        <f t="shared" si="5"/>
        <v>265400</v>
      </c>
      <c r="V12" s="126">
        <v>967120</v>
      </c>
      <c r="W12" s="126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6">
        <v>48239930</v>
      </c>
      <c r="D13" s="126"/>
      <c r="E13" s="33">
        <f t="shared" si="0"/>
        <v>1457790</v>
      </c>
      <c r="F13" s="126">
        <v>5814733</v>
      </c>
      <c r="G13" s="126"/>
      <c r="H13" s="33">
        <f t="shared" si="1"/>
        <v>142820</v>
      </c>
      <c r="I13" s="126">
        <v>18532</v>
      </c>
      <c r="J13" s="126"/>
      <c r="K13" s="33">
        <f t="shared" si="2"/>
        <v>1150</v>
      </c>
      <c r="L13" s="126">
        <v>349944</v>
      </c>
      <c r="M13" s="126"/>
      <c r="N13" s="33">
        <f t="shared" si="3"/>
        <v>1096000</v>
      </c>
      <c r="O13" s="122">
        <v>24271</v>
      </c>
      <c r="P13" s="123"/>
      <c r="Q13" s="33">
        <f t="shared" si="4"/>
        <v>26300</v>
      </c>
      <c r="R13" s="29"/>
      <c r="S13" s="122">
        <v>825621</v>
      </c>
      <c r="T13" s="123"/>
      <c r="U13" s="33">
        <f t="shared" si="5"/>
        <v>253900</v>
      </c>
      <c r="V13" s="126">
        <v>977388</v>
      </c>
      <c r="W13" s="126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6">
        <v>48370220</v>
      </c>
      <c r="D14" s="126"/>
      <c r="E14" s="33">
        <f t="shared" si="0"/>
        <v>1302900</v>
      </c>
      <c r="F14" s="126">
        <v>5828755</v>
      </c>
      <c r="G14" s="126"/>
      <c r="H14" s="33">
        <f t="shared" si="1"/>
        <v>140220</v>
      </c>
      <c r="I14" s="126">
        <v>18558</v>
      </c>
      <c r="J14" s="126"/>
      <c r="K14" s="33">
        <f t="shared" si="2"/>
        <v>260</v>
      </c>
      <c r="L14" s="126">
        <v>350993</v>
      </c>
      <c r="M14" s="126"/>
      <c r="N14" s="33">
        <f t="shared" si="3"/>
        <v>1049000</v>
      </c>
      <c r="O14" s="122">
        <v>24331</v>
      </c>
      <c r="P14" s="123"/>
      <c r="Q14" s="33">
        <f t="shared" si="4"/>
        <v>6000</v>
      </c>
      <c r="R14" s="29"/>
      <c r="S14" s="122">
        <v>828132</v>
      </c>
      <c r="T14" s="123"/>
      <c r="U14" s="33">
        <f t="shared" si="5"/>
        <v>251100</v>
      </c>
      <c r="V14" s="126">
        <v>989770</v>
      </c>
      <c r="W14" s="126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6">
        <v>48491861</v>
      </c>
      <c r="D15" s="126"/>
      <c r="E15" s="33">
        <f t="shared" si="0"/>
        <v>1216410</v>
      </c>
      <c r="F15" s="126">
        <v>5833144</v>
      </c>
      <c r="G15" s="126"/>
      <c r="H15" s="33">
        <f t="shared" si="1"/>
        <v>43890</v>
      </c>
      <c r="I15" s="126">
        <v>18582</v>
      </c>
      <c r="J15" s="126"/>
      <c r="K15" s="33">
        <f t="shared" si="2"/>
        <v>240</v>
      </c>
      <c r="L15" s="126">
        <v>351974</v>
      </c>
      <c r="M15" s="126"/>
      <c r="N15" s="33">
        <f t="shared" si="3"/>
        <v>981000</v>
      </c>
      <c r="O15" s="122">
        <v>24899</v>
      </c>
      <c r="P15" s="123"/>
      <c r="Q15" s="33">
        <f t="shared" si="4"/>
        <v>56800</v>
      </c>
      <c r="R15" s="29"/>
      <c r="S15" s="122">
        <v>830742</v>
      </c>
      <c r="T15" s="123"/>
      <c r="U15" s="33">
        <f t="shared" si="5"/>
        <v>261000</v>
      </c>
      <c r="V15" s="126">
        <v>90</v>
      </c>
      <c r="W15" s="126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6">
        <v>48624954</v>
      </c>
      <c r="D16" s="126"/>
      <c r="E16" s="33">
        <f t="shared" si="0"/>
        <v>1330930</v>
      </c>
      <c r="F16" s="126">
        <v>5844439</v>
      </c>
      <c r="G16" s="126"/>
      <c r="H16" s="33">
        <f t="shared" si="1"/>
        <v>112950</v>
      </c>
      <c r="I16" s="126">
        <v>18610</v>
      </c>
      <c r="J16" s="126"/>
      <c r="K16" s="33">
        <f t="shared" si="2"/>
        <v>280</v>
      </c>
      <c r="L16" s="126">
        <v>353062</v>
      </c>
      <c r="M16" s="126"/>
      <c r="N16" s="33">
        <f t="shared" si="3"/>
        <v>1088000</v>
      </c>
      <c r="O16" s="122">
        <v>25185</v>
      </c>
      <c r="P16" s="123"/>
      <c r="Q16" s="33">
        <f t="shared" si="4"/>
        <v>28600</v>
      </c>
      <c r="R16" s="29"/>
      <c r="S16" s="122">
        <v>833299</v>
      </c>
      <c r="T16" s="123"/>
      <c r="U16" s="33">
        <f t="shared" si="5"/>
        <v>255700</v>
      </c>
      <c r="V16" s="126">
        <v>1071</v>
      </c>
      <c r="W16" s="126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6">
        <v>48755342</v>
      </c>
      <c r="D17" s="126"/>
      <c r="E17" s="33">
        <f t="shared" si="0"/>
        <v>1303880</v>
      </c>
      <c r="F17" s="126">
        <v>5853332</v>
      </c>
      <c r="G17" s="126"/>
      <c r="H17" s="33">
        <f t="shared" si="1"/>
        <v>88930</v>
      </c>
      <c r="I17" s="126">
        <v>18632</v>
      </c>
      <c r="J17" s="126"/>
      <c r="K17" s="33">
        <f t="shared" si="2"/>
        <v>220</v>
      </c>
      <c r="L17" s="126">
        <v>354090</v>
      </c>
      <c r="M17" s="126"/>
      <c r="N17" s="33">
        <f t="shared" si="3"/>
        <v>1028000</v>
      </c>
      <c r="O17" s="122">
        <v>25487</v>
      </c>
      <c r="P17" s="123"/>
      <c r="Q17" s="33">
        <f t="shared" si="4"/>
        <v>30200</v>
      </c>
      <c r="R17" s="29"/>
      <c r="S17" s="122">
        <v>835892</v>
      </c>
      <c r="T17" s="123"/>
      <c r="U17" s="33">
        <f t="shared" si="5"/>
        <v>259300</v>
      </c>
      <c r="V17" s="126">
        <v>2224</v>
      </c>
      <c r="W17" s="126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6">
        <v>48840516</v>
      </c>
      <c r="D18" s="126"/>
      <c r="E18" s="33">
        <f t="shared" si="0"/>
        <v>851740</v>
      </c>
      <c r="F18" s="126">
        <v>5859771</v>
      </c>
      <c r="G18" s="126"/>
      <c r="H18" s="33">
        <f t="shared" si="1"/>
        <v>64390</v>
      </c>
      <c r="I18" s="126">
        <v>18656</v>
      </c>
      <c r="J18" s="126"/>
      <c r="K18" s="33">
        <f t="shared" si="2"/>
        <v>240</v>
      </c>
      <c r="L18" s="126">
        <v>354733</v>
      </c>
      <c r="M18" s="126"/>
      <c r="N18" s="33">
        <f t="shared" si="3"/>
        <v>643000</v>
      </c>
      <c r="O18" s="122">
        <v>25689</v>
      </c>
      <c r="P18" s="123"/>
      <c r="Q18" s="33">
        <f t="shared" si="4"/>
        <v>20200</v>
      </c>
      <c r="R18" s="29"/>
      <c r="S18" s="122">
        <v>837470</v>
      </c>
      <c r="T18" s="123"/>
      <c r="U18" s="33">
        <f t="shared" si="5"/>
        <v>157800</v>
      </c>
      <c r="V18" s="126">
        <v>2846</v>
      </c>
      <c r="W18" s="126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6">
        <v>48885087</v>
      </c>
      <c r="D19" s="126"/>
      <c r="E19" s="33">
        <f t="shared" si="0"/>
        <v>445710</v>
      </c>
      <c r="F19" s="126">
        <v>5859771</v>
      </c>
      <c r="G19" s="126"/>
      <c r="H19" s="33">
        <f t="shared" si="1"/>
        <v>0</v>
      </c>
      <c r="I19" s="126">
        <v>18661</v>
      </c>
      <c r="J19" s="126"/>
      <c r="K19" s="33">
        <f t="shared" si="2"/>
        <v>50</v>
      </c>
      <c r="L19" s="126">
        <v>355117</v>
      </c>
      <c r="M19" s="126"/>
      <c r="N19" s="33">
        <f t="shared" si="3"/>
        <v>384000</v>
      </c>
      <c r="O19" s="122">
        <v>25806</v>
      </c>
      <c r="P19" s="123"/>
      <c r="Q19" s="33">
        <f t="shared" si="4"/>
        <v>11700</v>
      </c>
      <c r="R19" s="29"/>
      <c r="S19" s="122">
        <v>838450</v>
      </c>
      <c r="T19" s="123"/>
      <c r="U19" s="33">
        <f t="shared" si="5"/>
        <v>98000</v>
      </c>
      <c r="V19" s="126">
        <v>3156</v>
      </c>
      <c r="W19" s="126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6">
        <v>49013641</v>
      </c>
      <c r="D20" s="126"/>
      <c r="E20" s="33">
        <f t="shared" si="0"/>
        <v>1285540</v>
      </c>
      <c r="F20" s="126">
        <v>5867918</v>
      </c>
      <c r="G20" s="126"/>
      <c r="H20" s="33">
        <f t="shared" si="1"/>
        <v>81470</v>
      </c>
      <c r="I20" s="126">
        <v>18685</v>
      </c>
      <c r="J20" s="126"/>
      <c r="K20" s="33">
        <f t="shared" si="2"/>
        <v>240</v>
      </c>
      <c r="L20" s="126">
        <v>356102</v>
      </c>
      <c r="M20" s="126"/>
      <c r="N20" s="33">
        <f t="shared" si="3"/>
        <v>985000</v>
      </c>
      <c r="O20" s="122">
        <v>26102</v>
      </c>
      <c r="P20" s="123"/>
      <c r="Q20" s="33">
        <f t="shared" si="4"/>
        <v>29600</v>
      </c>
      <c r="R20" s="29"/>
      <c r="S20" s="122">
        <v>840781</v>
      </c>
      <c r="T20" s="123"/>
      <c r="U20" s="33">
        <f t="shared" si="5"/>
        <v>233100</v>
      </c>
      <c r="V20" s="126">
        <v>4234</v>
      </c>
      <c r="W20" s="126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6">
        <v>49158782</v>
      </c>
      <c r="D21" s="126"/>
      <c r="E21" s="33">
        <f t="shared" si="0"/>
        <v>1451410</v>
      </c>
      <c r="F21" s="126">
        <v>5874428</v>
      </c>
      <c r="G21" s="126"/>
      <c r="H21" s="33">
        <f t="shared" si="1"/>
        <v>65100</v>
      </c>
      <c r="I21" s="126">
        <v>18708</v>
      </c>
      <c r="J21" s="126"/>
      <c r="K21" s="33">
        <f t="shared" si="2"/>
        <v>230</v>
      </c>
      <c r="L21" s="126">
        <v>357196</v>
      </c>
      <c r="M21" s="126"/>
      <c r="N21" s="33">
        <f t="shared" si="3"/>
        <v>1094000</v>
      </c>
      <c r="O21" s="122">
        <v>26412</v>
      </c>
      <c r="P21" s="123"/>
      <c r="Q21" s="33">
        <f t="shared" si="4"/>
        <v>31000</v>
      </c>
      <c r="R21" s="29"/>
      <c r="S21" s="122">
        <v>843226</v>
      </c>
      <c r="T21" s="123"/>
      <c r="U21" s="33">
        <f t="shared" si="5"/>
        <v>244500</v>
      </c>
      <c r="V21" s="126">
        <v>5073</v>
      </c>
      <c r="W21" s="126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6">
        <v>49297214</v>
      </c>
      <c r="D22" s="126"/>
      <c r="E22" s="33">
        <f t="shared" si="0"/>
        <v>1384320</v>
      </c>
      <c r="F22" s="126">
        <v>5886594</v>
      </c>
      <c r="G22" s="126"/>
      <c r="H22" s="33">
        <f t="shared" si="1"/>
        <v>121660</v>
      </c>
      <c r="I22" s="126">
        <v>18745</v>
      </c>
      <c r="J22" s="126"/>
      <c r="K22" s="33">
        <f t="shared" si="2"/>
        <v>370</v>
      </c>
      <c r="L22" s="126">
        <v>358315</v>
      </c>
      <c r="M22" s="126"/>
      <c r="N22" s="33">
        <f t="shared" si="3"/>
        <v>1119000</v>
      </c>
      <c r="O22" s="122">
        <v>26762</v>
      </c>
      <c r="P22" s="123"/>
      <c r="Q22" s="33">
        <f t="shared" si="4"/>
        <v>35000</v>
      </c>
      <c r="R22" s="29"/>
      <c r="S22" s="122">
        <v>845742</v>
      </c>
      <c r="T22" s="123"/>
      <c r="U22" s="33">
        <f t="shared" si="5"/>
        <v>251600</v>
      </c>
      <c r="V22" s="126">
        <v>6137</v>
      </c>
      <c r="W22" s="126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6">
        <v>49434673</v>
      </c>
      <c r="D23" s="126"/>
      <c r="E23" s="33">
        <f t="shared" si="0"/>
        <v>1374590</v>
      </c>
      <c r="F23" s="126">
        <v>5898618</v>
      </c>
      <c r="G23" s="126"/>
      <c r="H23" s="33">
        <f t="shared" si="1"/>
        <v>120240</v>
      </c>
      <c r="I23" s="126">
        <v>18752</v>
      </c>
      <c r="J23" s="126"/>
      <c r="K23" s="33">
        <f t="shared" si="2"/>
        <v>70</v>
      </c>
      <c r="L23" s="126">
        <v>359338</v>
      </c>
      <c r="M23" s="126"/>
      <c r="N23" s="33">
        <f t="shared" si="3"/>
        <v>1023000</v>
      </c>
      <c r="O23" s="122">
        <v>27083</v>
      </c>
      <c r="P23" s="123"/>
      <c r="Q23" s="33">
        <f t="shared" si="4"/>
        <v>32100</v>
      </c>
      <c r="R23" s="29"/>
      <c r="S23" s="122">
        <v>848113</v>
      </c>
      <c r="T23" s="123"/>
      <c r="U23" s="33">
        <f t="shared" si="5"/>
        <v>237100</v>
      </c>
      <c r="V23" s="126">
        <v>6883</v>
      </c>
      <c r="W23" s="126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6">
        <v>49434673</v>
      </c>
      <c r="D24" s="126"/>
      <c r="E24" s="33">
        <f t="shared" si="0"/>
        <v>0</v>
      </c>
      <c r="F24" s="126">
        <v>5898618</v>
      </c>
      <c r="G24" s="126"/>
      <c r="H24" s="33">
        <f t="shared" si="1"/>
        <v>0</v>
      </c>
      <c r="I24" s="126">
        <v>18752</v>
      </c>
      <c r="J24" s="126"/>
      <c r="K24" s="33">
        <f t="shared" si="2"/>
        <v>0</v>
      </c>
      <c r="L24" s="126">
        <v>359338</v>
      </c>
      <c r="M24" s="126"/>
      <c r="N24" s="33">
        <f t="shared" si="3"/>
        <v>0</v>
      </c>
      <c r="O24" s="122">
        <v>27083</v>
      </c>
      <c r="P24" s="123"/>
      <c r="Q24" s="33">
        <f t="shared" si="4"/>
        <v>0</v>
      </c>
      <c r="R24" s="29"/>
      <c r="S24" s="122">
        <v>848113</v>
      </c>
      <c r="T24" s="123"/>
      <c r="U24" s="33">
        <f t="shared" si="5"/>
        <v>0</v>
      </c>
      <c r="V24" s="126">
        <v>6883</v>
      </c>
      <c r="W24" s="126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6">
        <v>49578490</v>
      </c>
      <c r="D25" s="126"/>
      <c r="E25" s="33">
        <f t="shared" si="0"/>
        <v>1438170</v>
      </c>
      <c r="F25" s="126">
        <v>5907125</v>
      </c>
      <c r="G25" s="126"/>
      <c r="H25" s="33">
        <f t="shared" si="1"/>
        <v>85070</v>
      </c>
      <c r="I25" s="126">
        <v>18779</v>
      </c>
      <c r="J25" s="126"/>
      <c r="K25" s="33">
        <f t="shared" si="2"/>
        <v>270</v>
      </c>
      <c r="L25" s="126">
        <v>360455</v>
      </c>
      <c r="M25" s="126"/>
      <c r="N25" s="33">
        <f t="shared" si="3"/>
        <v>1117000</v>
      </c>
      <c r="O25" s="122">
        <v>27442</v>
      </c>
      <c r="P25" s="123"/>
      <c r="Q25" s="33">
        <f t="shared" si="4"/>
        <v>35900</v>
      </c>
      <c r="R25" s="29"/>
      <c r="S25" s="122">
        <v>850480</v>
      </c>
      <c r="T25" s="123"/>
      <c r="U25" s="33">
        <f t="shared" si="5"/>
        <v>236700</v>
      </c>
      <c r="V25" s="126">
        <v>7233</v>
      </c>
      <c r="W25" s="126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6">
        <v>49717626</v>
      </c>
      <c r="D26" s="126"/>
      <c r="E26" s="33">
        <f t="shared" si="0"/>
        <v>1391360</v>
      </c>
      <c r="F26" s="126">
        <v>5922642</v>
      </c>
      <c r="G26" s="126"/>
      <c r="H26" s="33">
        <f t="shared" si="1"/>
        <v>155170</v>
      </c>
      <c r="I26" s="126">
        <v>18801</v>
      </c>
      <c r="J26" s="126"/>
      <c r="K26" s="33">
        <f t="shared" si="2"/>
        <v>220</v>
      </c>
      <c r="L26" s="126">
        <v>361499</v>
      </c>
      <c r="M26" s="126"/>
      <c r="N26" s="33">
        <f t="shared" si="3"/>
        <v>1044000</v>
      </c>
      <c r="O26" s="122">
        <v>27763</v>
      </c>
      <c r="P26" s="123"/>
      <c r="Q26" s="33">
        <f t="shared" si="4"/>
        <v>32100</v>
      </c>
      <c r="R26" s="29"/>
      <c r="S26" s="122">
        <v>852778</v>
      </c>
      <c r="T26" s="123"/>
      <c r="U26" s="33">
        <f t="shared" si="5"/>
        <v>229800</v>
      </c>
      <c r="V26" s="126">
        <v>8048</v>
      </c>
      <c r="W26" s="126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6">
        <v>49858368</v>
      </c>
      <c r="D27" s="126"/>
      <c r="E27" s="33">
        <f t="shared" si="0"/>
        <v>1407420</v>
      </c>
      <c r="F27" s="126">
        <v>5941612</v>
      </c>
      <c r="G27" s="126"/>
      <c r="H27" s="33">
        <f t="shared" si="1"/>
        <v>189700</v>
      </c>
      <c r="I27" s="126">
        <v>18830</v>
      </c>
      <c r="J27" s="126"/>
      <c r="K27" s="33">
        <f t="shared" si="2"/>
        <v>290</v>
      </c>
      <c r="L27" s="126">
        <v>362628</v>
      </c>
      <c r="M27" s="126"/>
      <c r="N27" s="33">
        <f t="shared" si="3"/>
        <v>1129000</v>
      </c>
      <c r="O27" s="122">
        <v>28094</v>
      </c>
      <c r="P27" s="123"/>
      <c r="Q27" s="33">
        <f t="shared" si="4"/>
        <v>33100</v>
      </c>
      <c r="R27" s="29"/>
      <c r="S27" s="122">
        <v>855089</v>
      </c>
      <c r="T27" s="123"/>
      <c r="U27" s="33">
        <f t="shared" si="5"/>
        <v>231100</v>
      </c>
      <c r="V27" s="126">
        <v>8483</v>
      </c>
      <c r="W27" s="126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37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6">
        <v>50004722</v>
      </c>
      <c r="D28" s="126"/>
      <c r="E28" s="33">
        <f t="shared" si="0"/>
        <v>1463540</v>
      </c>
      <c r="F28" s="126">
        <v>5960957</v>
      </c>
      <c r="G28" s="126"/>
      <c r="H28" s="33">
        <f t="shared" si="1"/>
        <v>193450</v>
      </c>
      <c r="I28" s="126">
        <v>18910</v>
      </c>
      <c r="J28" s="126"/>
      <c r="K28" s="33">
        <f t="shared" si="2"/>
        <v>800</v>
      </c>
      <c r="L28" s="126">
        <v>363759</v>
      </c>
      <c r="M28" s="126"/>
      <c r="N28" s="33">
        <f t="shared" si="3"/>
        <v>1131000</v>
      </c>
      <c r="O28" s="122">
        <v>28467</v>
      </c>
      <c r="P28" s="123"/>
      <c r="Q28" s="33">
        <f t="shared" si="4"/>
        <v>37300</v>
      </c>
      <c r="R28" s="29"/>
      <c r="S28" s="122">
        <v>857448</v>
      </c>
      <c r="T28" s="123"/>
      <c r="U28" s="33">
        <f t="shared" si="5"/>
        <v>235900</v>
      </c>
      <c r="V28" s="126">
        <v>8827</v>
      </c>
      <c r="W28" s="126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6">
        <v>50036144</v>
      </c>
      <c r="D29" s="126"/>
      <c r="E29" s="33">
        <f t="shared" si="0"/>
        <v>314220</v>
      </c>
      <c r="F29" s="126">
        <v>5971709</v>
      </c>
      <c r="G29" s="126"/>
      <c r="H29" s="33">
        <f t="shared" si="1"/>
        <v>107520</v>
      </c>
      <c r="I29" s="126">
        <v>18944</v>
      </c>
      <c r="J29" s="126"/>
      <c r="K29" s="33">
        <f t="shared" si="2"/>
        <v>340</v>
      </c>
      <c r="L29" s="126">
        <v>363995</v>
      </c>
      <c r="M29" s="126"/>
      <c r="N29" s="33">
        <f t="shared" si="3"/>
        <v>236000</v>
      </c>
      <c r="O29" s="122">
        <v>28565</v>
      </c>
      <c r="P29" s="123"/>
      <c r="Q29" s="33">
        <f t="shared" si="4"/>
        <v>9800</v>
      </c>
      <c r="R29" s="29"/>
      <c r="S29" s="122">
        <v>857967</v>
      </c>
      <c r="T29" s="123"/>
      <c r="U29" s="33">
        <f t="shared" si="5"/>
        <v>51900</v>
      </c>
      <c r="V29" s="126">
        <v>8889</v>
      </c>
      <c r="W29" s="126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6">
        <v>50141738</v>
      </c>
      <c r="D30" s="126"/>
      <c r="E30" s="33">
        <f t="shared" si="0"/>
        <v>1055940</v>
      </c>
      <c r="F30" s="126">
        <v>5984785</v>
      </c>
      <c r="G30" s="126"/>
      <c r="H30" s="33">
        <f t="shared" si="1"/>
        <v>130760</v>
      </c>
      <c r="I30" s="126">
        <v>19040</v>
      </c>
      <c r="J30" s="126"/>
      <c r="K30" s="33">
        <f t="shared" si="2"/>
        <v>960</v>
      </c>
      <c r="L30" s="126">
        <v>364819</v>
      </c>
      <c r="M30" s="126"/>
      <c r="N30" s="33">
        <f t="shared" si="3"/>
        <v>824000</v>
      </c>
      <c r="O30" s="122">
        <v>28825</v>
      </c>
      <c r="P30" s="123"/>
      <c r="Q30" s="33">
        <f t="shared" si="4"/>
        <v>26000</v>
      </c>
      <c r="R30" s="29"/>
      <c r="S30" s="122">
        <v>859604</v>
      </c>
      <c r="T30" s="123"/>
      <c r="U30" s="33">
        <f t="shared" si="5"/>
        <v>163700</v>
      </c>
      <c r="V30" s="126">
        <v>9213</v>
      </c>
      <c r="W30" s="126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6">
        <v>50277523</v>
      </c>
      <c r="D31" s="126"/>
      <c r="E31" s="33">
        <f t="shared" si="0"/>
        <v>1357850</v>
      </c>
      <c r="F31" s="126">
        <v>5994218</v>
      </c>
      <c r="G31" s="126"/>
      <c r="H31" s="33">
        <f t="shared" si="1"/>
        <v>94330</v>
      </c>
      <c r="I31" s="126">
        <v>19103</v>
      </c>
      <c r="J31" s="126"/>
      <c r="K31" s="33">
        <f t="shared" si="2"/>
        <v>630</v>
      </c>
      <c r="L31" s="126">
        <v>365888</v>
      </c>
      <c r="M31" s="126"/>
      <c r="N31" s="33">
        <f t="shared" si="3"/>
        <v>1069000</v>
      </c>
      <c r="O31" s="122">
        <v>29172</v>
      </c>
      <c r="P31" s="123"/>
      <c r="Q31" s="33">
        <f t="shared" si="4"/>
        <v>34700</v>
      </c>
      <c r="R31" s="29"/>
      <c r="S31" s="122">
        <v>861742</v>
      </c>
      <c r="T31" s="123"/>
      <c r="U31" s="33">
        <f t="shared" si="5"/>
        <v>213800</v>
      </c>
      <c r="V31" s="126">
        <v>9457</v>
      </c>
      <c r="W31" s="126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6">
        <v>50423734</v>
      </c>
      <c r="D32" s="126"/>
      <c r="E32" s="33">
        <f t="shared" si="0"/>
        <v>1462110</v>
      </c>
      <c r="F32" s="126">
        <v>6014791</v>
      </c>
      <c r="G32" s="126"/>
      <c r="H32" s="33">
        <f t="shared" si="1"/>
        <v>205730</v>
      </c>
      <c r="I32" s="126">
        <v>19131</v>
      </c>
      <c r="J32" s="126"/>
      <c r="K32" s="33">
        <f t="shared" si="2"/>
        <v>280</v>
      </c>
      <c r="L32" s="126">
        <v>367059</v>
      </c>
      <c r="M32" s="126"/>
      <c r="N32" s="33">
        <f t="shared" si="3"/>
        <v>1171000</v>
      </c>
      <c r="O32" s="122">
        <v>29584</v>
      </c>
      <c r="P32" s="123"/>
      <c r="Q32" s="33">
        <f t="shared" si="4"/>
        <v>41200</v>
      </c>
      <c r="R32" s="29"/>
      <c r="S32" s="122">
        <v>864087</v>
      </c>
      <c r="T32" s="123"/>
      <c r="U32" s="33">
        <f t="shared" si="5"/>
        <v>234500</v>
      </c>
      <c r="V32" s="126">
        <v>9616</v>
      </c>
      <c r="W32" s="126"/>
      <c r="X32" s="33">
        <f t="shared" si="23"/>
        <v>15900</v>
      </c>
      <c r="Y32" s="32">
        <f t="shared" si="24"/>
        <v>250400</v>
      </c>
      <c r="Z32" s="30"/>
      <c r="AA32" s="17">
        <v>30673</v>
      </c>
      <c r="AB32" s="33">
        <f t="shared" si="8"/>
        <v>3410000</v>
      </c>
      <c r="AC32" s="17">
        <v>815305035</v>
      </c>
      <c r="AD32" s="33">
        <f t="shared" si="9"/>
        <v>779069.5</v>
      </c>
      <c r="AE32" s="17">
        <v>532</v>
      </c>
      <c r="AF32" s="33">
        <f t="shared" ref="AF32" si="32">SUM(AE32-AE31)*100</f>
        <v>11500</v>
      </c>
      <c r="AG32" s="17">
        <v>129546</v>
      </c>
      <c r="AH32" s="33">
        <f t="shared" ref="AH32" si="33">SUM(AG32-AG31)*10</f>
        <v>4670</v>
      </c>
      <c r="AI32" s="17">
        <v>3913493</v>
      </c>
      <c r="AJ32" s="33">
        <f t="shared" si="27"/>
        <v>99110</v>
      </c>
      <c r="AK32" s="17">
        <v>4906689</v>
      </c>
      <c r="AL32" s="33">
        <f t="shared" si="12"/>
        <v>8670</v>
      </c>
      <c r="AM32" s="17">
        <v>28010</v>
      </c>
      <c r="AN32" s="33">
        <f t="shared" si="13"/>
        <v>61000</v>
      </c>
      <c r="AO32" s="17">
        <v>1628</v>
      </c>
      <c r="AP32" s="33">
        <f t="shared" si="14"/>
        <v>4</v>
      </c>
      <c r="AQ32" s="17">
        <v>13955</v>
      </c>
      <c r="AR32" s="33">
        <f t="shared" si="15"/>
        <v>1200</v>
      </c>
      <c r="AS32" s="31"/>
      <c r="AT32" s="57">
        <f t="shared" si="25"/>
        <v>44732</v>
      </c>
      <c r="AU32" s="17">
        <v>6877</v>
      </c>
      <c r="AV32" s="33">
        <f t="shared" si="16"/>
        <v>122</v>
      </c>
      <c r="AW32" s="14"/>
      <c r="AX32" s="17">
        <v>3388329</v>
      </c>
      <c r="AY32" s="33">
        <f t="shared" si="17"/>
        <v>55931</v>
      </c>
      <c r="AZ32" s="17">
        <v>748233650</v>
      </c>
      <c r="BA32" s="34">
        <f t="shared" si="18"/>
        <v>39237.5</v>
      </c>
      <c r="BB32" s="33">
        <f t="shared" si="19"/>
        <v>16693.5</v>
      </c>
      <c r="BC32" s="17">
        <v>7211900</v>
      </c>
      <c r="BD32" s="89">
        <f t="shared" si="20"/>
        <v>3800</v>
      </c>
      <c r="BE32" s="53">
        <v>3799000</v>
      </c>
      <c r="BF32" s="54">
        <f t="shared" si="21"/>
        <v>300</v>
      </c>
      <c r="BG32" s="17">
        <v>1133605</v>
      </c>
      <c r="BH32" s="33">
        <f t="shared" si="22"/>
        <v>0</v>
      </c>
    </row>
    <row r="33" spans="2:60" s="58" customFormat="1" x14ac:dyDescent="0.25">
      <c r="B33" s="45">
        <v>44739</v>
      </c>
      <c r="C33" s="126">
        <v>50562401</v>
      </c>
      <c r="D33" s="126"/>
      <c r="E33" s="33">
        <f t="shared" si="0"/>
        <v>1386670</v>
      </c>
      <c r="F33" s="126">
        <v>6037383</v>
      </c>
      <c r="G33" s="126"/>
      <c r="H33" s="33">
        <f t="shared" si="1"/>
        <v>225920</v>
      </c>
      <c r="I33" s="126">
        <v>19147</v>
      </c>
      <c r="J33" s="126"/>
      <c r="K33" s="33">
        <f t="shared" si="2"/>
        <v>160</v>
      </c>
      <c r="L33" s="126">
        <v>368203</v>
      </c>
      <c r="M33" s="126"/>
      <c r="N33" s="33">
        <f t="shared" si="3"/>
        <v>1144000</v>
      </c>
      <c r="O33" s="122">
        <v>29904</v>
      </c>
      <c r="P33" s="123"/>
      <c r="Q33" s="33">
        <f t="shared" si="4"/>
        <v>32000</v>
      </c>
      <c r="R33" s="29"/>
      <c r="S33" s="122">
        <v>866300</v>
      </c>
      <c r="T33" s="123"/>
      <c r="U33" s="33">
        <f t="shared" si="5"/>
        <v>221300</v>
      </c>
      <c r="V33" s="126">
        <v>9874</v>
      </c>
      <c r="W33" s="126"/>
      <c r="X33" s="33">
        <f t="shared" si="23"/>
        <v>25800</v>
      </c>
      <c r="Y33" s="32">
        <f t="shared" si="24"/>
        <v>247100</v>
      </c>
      <c r="Z33" s="30"/>
      <c r="AA33" s="17">
        <v>31000</v>
      </c>
      <c r="AB33" s="33">
        <f t="shared" si="8"/>
        <v>3270000</v>
      </c>
      <c r="AC33" s="17">
        <v>823397400</v>
      </c>
      <c r="AD33" s="33">
        <f t="shared" si="9"/>
        <v>809236.5</v>
      </c>
      <c r="AE33" s="17">
        <v>651</v>
      </c>
      <c r="AF33" s="33">
        <f t="shared" ref="AF33" si="34">SUM(AE33-AE32)*100</f>
        <v>11900</v>
      </c>
      <c r="AG33" s="17">
        <v>129813</v>
      </c>
      <c r="AH33" s="33">
        <f t="shared" ref="AH33" si="35">SUM(AG33-AG32)*10</f>
        <v>2670</v>
      </c>
      <c r="AI33" s="17">
        <v>3921972</v>
      </c>
      <c r="AJ33" s="33">
        <f t="shared" si="27"/>
        <v>84790</v>
      </c>
      <c r="AK33" s="17">
        <v>4912960</v>
      </c>
      <c r="AL33" s="33">
        <f t="shared" si="12"/>
        <v>6271</v>
      </c>
      <c r="AM33" s="17">
        <v>28044</v>
      </c>
      <c r="AN33" s="33">
        <f t="shared" si="13"/>
        <v>34000</v>
      </c>
      <c r="AO33" s="17">
        <v>1632</v>
      </c>
      <c r="AP33" s="33">
        <f t="shared" si="14"/>
        <v>4</v>
      </c>
      <c r="AQ33" s="17">
        <v>13963</v>
      </c>
      <c r="AR33" s="33">
        <f t="shared" si="15"/>
        <v>800</v>
      </c>
      <c r="AS33" s="31"/>
      <c r="AT33" s="57">
        <f t="shared" si="25"/>
        <v>44739</v>
      </c>
      <c r="AU33" s="17">
        <v>6963</v>
      </c>
      <c r="AV33" s="33">
        <f t="shared" si="16"/>
        <v>86</v>
      </c>
      <c r="AW33" s="14"/>
      <c r="AX33" s="17">
        <v>3444938</v>
      </c>
      <c r="AY33" s="33">
        <f t="shared" si="17"/>
        <v>56609</v>
      </c>
      <c r="AZ33" s="17">
        <v>752195705</v>
      </c>
      <c r="BA33" s="34">
        <f t="shared" si="18"/>
        <v>39620.550000000003</v>
      </c>
      <c r="BB33" s="33">
        <f t="shared" si="19"/>
        <v>16988.449999999997</v>
      </c>
      <c r="BC33" s="17">
        <v>7216900</v>
      </c>
      <c r="BD33" s="89">
        <f t="shared" si="20"/>
        <v>5000</v>
      </c>
      <c r="BE33" s="53">
        <v>3799300</v>
      </c>
      <c r="BF33" s="54">
        <f t="shared" si="21"/>
        <v>300</v>
      </c>
      <c r="BG33" s="17">
        <v>1133605</v>
      </c>
      <c r="BH33" s="33">
        <f t="shared" si="22"/>
        <v>0</v>
      </c>
    </row>
    <row r="34" spans="2:60" s="58" customFormat="1" x14ac:dyDescent="0.25">
      <c r="B34" s="45">
        <v>44742</v>
      </c>
      <c r="C34" s="126">
        <v>50620610</v>
      </c>
      <c r="D34" s="126"/>
      <c r="E34" s="33">
        <f t="shared" si="0"/>
        <v>582090</v>
      </c>
      <c r="F34" s="126">
        <v>6044180</v>
      </c>
      <c r="G34" s="126"/>
      <c r="H34" s="33">
        <f t="shared" si="1"/>
        <v>67970</v>
      </c>
      <c r="I34" s="126">
        <v>19173</v>
      </c>
      <c r="J34" s="126"/>
      <c r="K34" s="33">
        <f t="shared" si="2"/>
        <v>260</v>
      </c>
      <c r="L34" s="126">
        <v>368666</v>
      </c>
      <c r="M34" s="126"/>
      <c r="N34" s="33">
        <f t="shared" si="3"/>
        <v>463000</v>
      </c>
      <c r="O34" s="122">
        <v>30013</v>
      </c>
      <c r="P34" s="123"/>
      <c r="Q34" s="33">
        <f t="shared" si="4"/>
        <v>10900</v>
      </c>
      <c r="R34" s="29"/>
      <c r="S34" s="122">
        <v>867145</v>
      </c>
      <c r="T34" s="123"/>
      <c r="U34" s="33">
        <f t="shared" si="5"/>
        <v>84500</v>
      </c>
      <c r="V34" s="126">
        <v>9954</v>
      </c>
      <c r="W34" s="126"/>
      <c r="X34" s="33">
        <f t="shared" si="23"/>
        <v>8000</v>
      </c>
      <c r="Y34" s="32">
        <f t="shared" si="24"/>
        <v>92500</v>
      </c>
      <c r="Z34" s="30"/>
      <c r="AA34" s="17">
        <v>31163</v>
      </c>
      <c r="AB34" s="33">
        <f t="shared" si="8"/>
        <v>1630000</v>
      </c>
      <c r="AC34" s="17">
        <v>827119000</v>
      </c>
      <c r="AD34" s="33">
        <f t="shared" si="9"/>
        <v>372160</v>
      </c>
      <c r="AE34" s="17">
        <v>703</v>
      </c>
      <c r="AF34" s="33">
        <f t="shared" ref="AF34:AF35" si="36">SUM(AE34-AE33)*100</f>
        <v>5200</v>
      </c>
      <c r="AG34" s="17">
        <v>129831</v>
      </c>
      <c r="AH34" s="33">
        <f t="shared" ref="AH34:AH35" si="37">SUM(AG34-AG33)*10</f>
        <v>180</v>
      </c>
      <c r="AI34" s="17">
        <v>3925034</v>
      </c>
      <c r="AJ34" s="33">
        <f t="shared" si="27"/>
        <v>30620</v>
      </c>
      <c r="AK34" s="17">
        <v>4916699</v>
      </c>
      <c r="AL34" s="33">
        <f t="shared" si="12"/>
        <v>3739</v>
      </c>
      <c r="AM34" s="17">
        <v>28072</v>
      </c>
      <c r="AN34" s="33">
        <f t="shared" si="13"/>
        <v>28000</v>
      </c>
      <c r="AO34" s="17">
        <v>1633</v>
      </c>
      <c r="AP34" s="33">
        <f t="shared" si="14"/>
        <v>1</v>
      </c>
      <c r="AQ34" s="17">
        <v>13967</v>
      </c>
      <c r="AR34" s="33">
        <f t="shared" si="15"/>
        <v>400</v>
      </c>
      <c r="AS34" s="31"/>
      <c r="AT34" s="57">
        <f t="shared" si="25"/>
        <v>44742</v>
      </c>
      <c r="AU34" s="17">
        <v>7008</v>
      </c>
      <c r="AV34" s="33">
        <f t="shared" si="16"/>
        <v>45</v>
      </c>
      <c r="AW34" s="14"/>
      <c r="AX34" s="17">
        <v>3475584</v>
      </c>
      <c r="AY34" s="33">
        <f t="shared" si="17"/>
        <v>30646</v>
      </c>
      <c r="AZ34" s="17">
        <v>754400000</v>
      </c>
      <c r="BA34" s="34">
        <f t="shared" si="18"/>
        <v>22042.95</v>
      </c>
      <c r="BB34" s="33">
        <f t="shared" si="19"/>
        <v>8603.0499999999993</v>
      </c>
      <c r="BC34" s="17">
        <v>7221100</v>
      </c>
      <c r="BD34" s="89">
        <f t="shared" si="20"/>
        <v>4200</v>
      </c>
      <c r="BE34" s="53">
        <v>3799500</v>
      </c>
      <c r="BF34" s="54">
        <f t="shared" si="21"/>
        <v>200</v>
      </c>
      <c r="BG34" s="17">
        <v>1133605</v>
      </c>
      <c r="BH34" s="33">
        <f t="shared" si="22"/>
        <v>0</v>
      </c>
    </row>
    <row r="35" spans="2:60" s="58" customFormat="1" x14ac:dyDescent="0.25">
      <c r="B35" s="45">
        <v>44746</v>
      </c>
      <c r="C35" s="126">
        <v>50688559</v>
      </c>
      <c r="D35" s="126"/>
      <c r="E35" s="33">
        <f t="shared" si="0"/>
        <v>679490</v>
      </c>
      <c r="F35" s="126">
        <v>6055102</v>
      </c>
      <c r="G35" s="126"/>
      <c r="H35" s="33">
        <f t="shared" si="1"/>
        <v>109220</v>
      </c>
      <c r="I35" s="126">
        <v>19193</v>
      </c>
      <c r="J35" s="126"/>
      <c r="K35" s="33">
        <f t="shared" si="2"/>
        <v>200</v>
      </c>
      <c r="L35" s="126">
        <v>369229</v>
      </c>
      <c r="M35" s="126"/>
      <c r="N35" s="33">
        <f t="shared" si="3"/>
        <v>563000</v>
      </c>
      <c r="O35" s="122">
        <v>30154</v>
      </c>
      <c r="P35" s="123"/>
      <c r="Q35" s="33">
        <f t="shared" si="4"/>
        <v>14100</v>
      </c>
      <c r="R35" s="29"/>
      <c r="S35" s="122">
        <v>868278</v>
      </c>
      <c r="T35" s="123"/>
      <c r="U35" s="33">
        <f t="shared" si="5"/>
        <v>113300</v>
      </c>
      <c r="V35" s="126">
        <v>10095</v>
      </c>
      <c r="W35" s="126"/>
      <c r="X35" s="33">
        <f t="shared" si="23"/>
        <v>14100</v>
      </c>
      <c r="Y35" s="32">
        <f t="shared" si="24"/>
        <v>127400</v>
      </c>
      <c r="Z35" s="30"/>
      <c r="AA35" s="17">
        <v>31334</v>
      </c>
      <c r="AB35" s="33">
        <f t="shared" si="8"/>
        <v>1710000</v>
      </c>
      <c r="AC35" s="17">
        <v>831119500</v>
      </c>
      <c r="AD35" s="33">
        <f t="shared" si="9"/>
        <v>400050</v>
      </c>
      <c r="AE35" s="17">
        <v>761</v>
      </c>
      <c r="AF35" s="33">
        <f t="shared" si="36"/>
        <v>5800</v>
      </c>
      <c r="AG35" s="17">
        <v>129948</v>
      </c>
      <c r="AH35" s="33">
        <f t="shared" si="37"/>
        <v>1170</v>
      </c>
      <c r="AI35" s="17">
        <v>3927925</v>
      </c>
      <c r="AJ35" s="33">
        <f t="shared" si="27"/>
        <v>28910</v>
      </c>
      <c r="AK35" s="17">
        <v>4919726</v>
      </c>
      <c r="AL35" s="33">
        <f t="shared" si="12"/>
        <v>3027</v>
      </c>
      <c r="AM35" s="17">
        <v>28088</v>
      </c>
      <c r="AN35" s="33">
        <f t="shared" si="13"/>
        <v>16000</v>
      </c>
      <c r="AO35" s="17">
        <v>1638</v>
      </c>
      <c r="AP35" s="33">
        <f t="shared" si="14"/>
        <v>5</v>
      </c>
      <c r="AQ35" s="17">
        <v>13975</v>
      </c>
      <c r="AR35" s="33">
        <f t="shared" si="15"/>
        <v>800</v>
      </c>
      <c r="AS35" s="31"/>
      <c r="AT35" s="57">
        <f t="shared" si="25"/>
        <v>44746</v>
      </c>
      <c r="AU35" s="17">
        <v>7043</v>
      </c>
      <c r="AV35" s="33">
        <f t="shared" si="16"/>
        <v>35</v>
      </c>
      <c r="AW35" s="14"/>
      <c r="AX35" s="17">
        <v>3498422</v>
      </c>
      <c r="AY35" s="33">
        <f t="shared" si="17"/>
        <v>22838</v>
      </c>
      <c r="AZ35" s="17">
        <v>756143915</v>
      </c>
      <c r="BA35" s="34">
        <f t="shared" si="18"/>
        <v>17439.150000000001</v>
      </c>
      <c r="BB35" s="33">
        <f t="shared" si="19"/>
        <v>5398.8499999999985</v>
      </c>
      <c r="BC35" s="17">
        <v>7221800</v>
      </c>
      <c r="BD35" s="89">
        <f t="shared" si="20"/>
        <v>700</v>
      </c>
      <c r="BE35" s="53">
        <v>3799500</v>
      </c>
      <c r="BF35" s="54">
        <f t="shared" si="21"/>
        <v>0</v>
      </c>
      <c r="BG35" s="17">
        <v>1133605</v>
      </c>
      <c r="BH35" s="33">
        <f t="shared" si="22"/>
        <v>0</v>
      </c>
    </row>
    <row r="36" spans="2:60" s="58" customFormat="1" x14ac:dyDescent="0.25">
      <c r="B36" s="45">
        <v>44753</v>
      </c>
      <c r="C36" s="126">
        <v>50821739</v>
      </c>
      <c r="D36" s="126"/>
      <c r="E36" s="33">
        <f t="shared" si="0"/>
        <v>1331800</v>
      </c>
      <c r="F36" s="126">
        <v>6075140</v>
      </c>
      <c r="G36" s="126"/>
      <c r="H36" s="33">
        <f t="shared" si="1"/>
        <v>200380</v>
      </c>
      <c r="I36" s="126">
        <v>19247</v>
      </c>
      <c r="J36" s="126"/>
      <c r="K36" s="33">
        <f t="shared" si="2"/>
        <v>540</v>
      </c>
      <c r="L36" s="126">
        <v>370332</v>
      </c>
      <c r="M36" s="126"/>
      <c r="N36" s="33">
        <f t="shared" si="3"/>
        <v>1103000</v>
      </c>
      <c r="O36" s="122">
        <v>30407</v>
      </c>
      <c r="P36" s="123"/>
      <c r="Q36" s="33">
        <f t="shared" si="4"/>
        <v>25300</v>
      </c>
      <c r="R36" s="29"/>
      <c r="S36" s="122">
        <v>870232</v>
      </c>
      <c r="T36" s="123"/>
      <c r="U36" s="33">
        <f t="shared" si="5"/>
        <v>195400</v>
      </c>
      <c r="V36" s="126">
        <v>10231</v>
      </c>
      <c r="W36" s="126"/>
      <c r="X36" s="33">
        <f t="shared" si="23"/>
        <v>13600</v>
      </c>
      <c r="Y36" s="32">
        <f t="shared" si="24"/>
        <v>209000</v>
      </c>
      <c r="Z36" s="30"/>
      <c r="AA36" s="17">
        <v>31672</v>
      </c>
      <c r="AB36" s="33">
        <f t="shared" si="8"/>
        <v>3380000</v>
      </c>
      <c r="AC36" s="17">
        <v>839534768</v>
      </c>
      <c r="AD36" s="33">
        <f t="shared" si="9"/>
        <v>841526.8</v>
      </c>
      <c r="AE36" s="17">
        <v>873</v>
      </c>
      <c r="AF36" s="33">
        <f t="shared" ref="AF36" si="38">SUM(AE36-AE35)*100</f>
        <v>11200</v>
      </c>
      <c r="AG36" s="17">
        <v>130247</v>
      </c>
      <c r="AH36" s="33">
        <f t="shared" ref="AH36" si="39">SUM(AG36-AG35)*10</f>
        <v>2990</v>
      </c>
      <c r="AI36" s="17">
        <v>3936195</v>
      </c>
      <c r="AJ36" s="33">
        <f t="shared" si="27"/>
        <v>82700</v>
      </c>
      <c r="AK36" s="17">
        <v>4926448</v>
      </c>
      <c r="AL36" s="33">
        <f t="shared" si="12"/>
        <v>6722</v>
      </c>
      <c r="AM36" s="17">
        <v>28112</v>
      </c>
      <c r="AN36" s="33">
        <f t="shared" si="13"/>
        <v>24000</v>
      </c>
      <c r="AO36" s="17">
        <v>1649</v>
      </c>
      <c r="AP36" s="33">
        <f t="shared" si="14"/>
        <v>11</v>
      </c>
      <c r="AQ36" s="17">
        <v>13980</v>
      </c>
      <c r="AR36" s="33">
        <f t="shared" si="15"/>
        <v>500</v>
      </c>
      <c r="AS36" s="31"/>
      <c r="AT36" s="57">
        <f t="shared" si="25"/>
        <v>44753</v>
      </c>
      <c r="AU36" s="17">
        <v>7182</v>
      </c>
      <c r="AV36" s="33">
        <f t="shared" si="16"/>
        <v>139</v>
      </c>
      <c r="AW36" s="14"/>
      <c r="AX36" s="17">
        <v>3610229</v>
      </c>
      <c r="AY36" s="33">
        <f t="shared" si="17"/>
        <v>111807</v>
      </c>
      <c r="AZ36" s="17">
        <v>765567123</v>
      </c>
      <c r="BA36" s="34">
        <f t="shared" si="18"/>
        <v>94232.08</v>
      </c>
      <c r="BB36" s="33">
        <f t="shared" si="19"/>
        <v>17574.919999999998</v>
      </c>
      <c r="BC36" s="17">
        <v>7229500</v>
      </c>
      <c r="BD36" s="89">
        <f t="shared" si="20"/>
        <v>7700</v>
      </c>
      <c r="BE36" s="53">
        <v>3799900</v>
      </c>
      <c r="BF36" s="54">
        <f t="shared" si="21"/>
        <v>400</v>
      </c>
      <c r="BG36" s="17">
        <v>1133605</v>
      </c>
      <c r="BH36" s="33">
        <f t="shared" si="22"/>
        <v>0</v>
      </c>
    </row>
    <row r="37" spans="2:60" s="58" customFormat="1" x14ac:dyDescent="0.25">
      <c r="B37" s="45">
        <v>44760</v>
      </c>
      <c r="C37" s="126">
        <v>50949706</v>
      </c>
      <c r="D37" s="126"/>
      <c r="E37" s="33">
        <f t="shared" si="0"/>
        <v>1279670</v>
      </c>
      <c r="F37" s="126">
        <v>6093194</v>
      </c>
      <c r="G37" s="126"/>
      <c r="H37" s="33">
        <f t="shared" si="1"/>
        <v>180540</v>
      </c>
      <c r="I37" s="126">
        <v>19282</v>
      </c>
      <c r="J37" s="126"/>
      <c r="K37" s="33">
        <f t="shared" si="2"/>
        <v>350</v>
      </c>
      <c r="L37" s="126">
        <v>371443</v>
      </c>
      <c r="M37" s="126"/>
      <c r="N37" s="33">
        <f t="shared" si="3"/>
        <v>1111000</v>
      </c>
      <c r="O37" s="122">
        <v>30645</v>
      </c>
      <c r="P37" s="123"/>
      <c r="Q37" s="33">
        <f t="shared" si="4"/>
        <v>23800</v>
      </c>
      <c r="R37" s="29"/>
      <c r="S37" s="122">
        <v>872242</v>
      </c>
      <c r="T37" s="123"/>
      <c r="U37" s="33">
        <f t="shared" si="5"/>
        <v>201000</v>
      </c>
      <c r="V37" s="126">
        <v>10344</v>
      </c>
      <c r="W37" s="126"/>
      <c r="X37" s="33">
        <f t="shared" si="23"/>
        <v>11300</v>
      </c>
      <c r="Y37" s="32">
        <f t="shared" si="24"/>
        <v>212300</v>
      </c>
      <c r="Z37" s="30"/>
      <c r="AA37" s="17">
        <v>31992</v>
      </c>
      <c r="AB37" s="33">
        <f t="shared" si="8"/>
        <v>3200000</v>
      </c>
      <c r="AC37" s="17">
        <v>846935500</v>
      </c>
      <c r="AD37" s="33">
        <f t="shared" si="9"/>
        <v>740073.20000000007</v>
      </c>
      <c r="AE37" s="17">
        <v>964</v>
      </c>
      <c r="AF37" s="33">
        <f t="shared" ref="AF37" si="40">SUM(AE37-AE36)*100</f>
        <v>9100</v>
      </c>
      <c r="AG37" s="17">
        <v>130296</v>
      </c>
      <c r="AH37" s="33">
        <f t="shared" ref="AH37" si="41">SUM(AG37-AG36)*10</f>
        <v>490</v>
      </c>
      <c r="AI37" s="17">
        <v>3942124</v>
      </c>
      <c r="AJ37" s="33">
        <f t="shared" si="27"/>
        <v>59290</v>
      </c>
      <c r="AK37" s="17">
        <v>4930370</v>
      </c>
      <c r="AL37" s="33">
        <f t="shared" si="12"/>
        <v>3922</v>
      </c>
      <c r="AM37" s="17">
        <v>28119</v>
      </c>
      <c r="AN37" s="33">
        <f t="shared" si="13"/>
        <v>7000</v>
      </c>
      <c r="AO37" s="17">
        <v>1657</v>
      </c>
      <c r="AP37" s="33">
        <f t="shared" si="14"/>
        <v>8</v>
      </c>
      <c r="AQ37" s="17">
        <v>13987</v>
      </c>
      <c r="AR37" s="33">
        <f t="shared" si="15"/>
        <v>700</v>
      </c>
      <c r="AS37" s="31"/>
      <c r="AT37" s="57">
        <f t="shared" si="25"/>
        <v>44760</v>
      </c>
      <c r="AU37" s="17">
        <v>7230</v>
      </c>
      <c r="AV37" s="33">
        <f t="shared" si="16"/>
        <v>48</v>
      </c>
      <c r="AW37" s="14"/>
      <c r="AX37" s="17">
        <v>3640613</v>
      </c>
      <c r="AY37" s="33">
        <f t="shared" si="17"/>
        <v>30384</v>
      </c>
      <c r="AZ37" s="17">
        <v>767800000</v>
      </c>
      <c r="BA37" s="34">
        <f t="shared" si="18"/>
        <v>22328.77</v>
      </c>
      <c r="BB37" s="33">
        <f t="shared" si="19"/>
        <v>8055.23</v>
      </c>
      <c r="BC37" s="17">
        <v>7231500</v>
      </c>
      <c r="BD37" s="89">
        <f t="shared" si="20"/>
        <v>2000</v>
      </c>
      <c r="BE37" s="53">
        <v>3800000</v>
      </c>
      <c r="BF37" s="54">
        <f t="shared" si="21"/>
        <v>100</v>
      </c>
      <c r="BG37" s="17">
        <v>1133605</v>
      </c>
      <c r="BH37" s="33">
        <f t="shared" si="22"/>
        <v>0</v>
      </c>
    </row>
    <row r="38" spans="2:60" s="58" customFormat="1" x14ac:dyDescent="0.25">
      <c r="B38" s="45">
        <v>44767</v>
      </c>
      <c r="C38" s="127"/>
      <c r="D38" s="128"/>
      <c r="E38" s="33">
        <f t="shared" si="0"/>
        <v>-509497060</v>
      </c>
      <c r="F38" s="127"/>
      <c r="G38" s="128"/>
      <c r="H38" s="33">
        <f t="shared" si="1"/>
        <v>-60931940</v>
      </c>
      <c r="I38" s="127"/>
      <c r="J38" s="128"/>
      <c r="K38" s="33">
        <f t="shared" si="2"/>
        <v>-192820</v>
      </c>
      <c r="L38" s="127"/>
      <c r="M38" s="128"/>
      <c r="N38" s="33">
        <f t="shared" si="3"/>
        <v>-371443000</v>
      </c>
      <c r="O38" s="127"/>
      <c r="P38" s="128"/>
      <c r="Q38" s="33">
        <f t="shared" si="4"/>
        <v>-3064500</v>
      </c>
      <c r="R38" s="29"/>
      <c r="S38" s="127"/>
      <c r="T38" s="128"/>
      <c r="U38" s="33">
        <f t="shared" si="5"/>
        <v>-87224200</v>
      </c>
      <c r="V38" s="127"/>
      <c r="W38" s="128"/>
      <c r="X38" s="33">
        <f t="shared" si="23"/>
        <v>-1034400</v>
      </c>
      <c r="Y38" s="32">
        <f t="shared" si="24"/>
        <v>-88258600</v>
      </c>
      <c r="Z38" s="30"/>
      <c r="AA38" s="59"/>
      <c r="AB38" s="61"/>
      <c r="AC38" s="59"/>
      <c r="AD38" s="61"/>
      <c r="AE38" s="61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59"/>
      <c r="AR38" s="61"/>
      <c r="AS38" s="31"/>
      <c r="AT38" s="57">
        <f t="shared" si="25"/>
        <v>44767</v>
      </c>
      <c r="AU38" s="59"/>
      <c r="AV38" s="61"/>
      <c r="AW38" s="62"/>
      <c r="AX38" s="59"/>
      <c r="AY38" s="61"/>
      <c r="AZ38" s="59"/>
      <c r="BA38" s="61"/>
      <c r="BB38" s="61"/>
      <c r="BC38" s="59"/>
      <c r="BD38" s="63"/>
      <c r="BE38" s="60"/>
      <c r="BF38" s="64"/>
      <c r="BG38" s="59"/>
      <c r="BH38" s="61"/>
    </row>
    <row r="39" spans="2:60" s="58" customFormat="1" x14ac:dyDescent="0.25">
      <c r="B39" s="45">
        <v>44774</v>
      </c>
      <c r="C39" s="127"/>
      <c r="D39" s="128"/>
      <c r="E39" s="33">
        <f t="shared" si="0"/>
        <v>0</v>
      </c>
      <c r="F39" s="127"/>
      <c r="G39" s="128"/>
      <c r="H39" s="33">
        <f t="shared" si="1"/>
        <v>0</v>
      </c>
      <c r="I39" s="127"/>
      <c r="J39" s="128"/>
      <c r="K39" s="33">
        <f t="shared" si="2"/>
        <v>0</v>
      </c>
      <c r="L39" s="127"/>
      <c r="M39" s="128"/>
      <c r="N39" s="33">
        <f t="shared" si="3"/>
        <v>0</v>
      </c>
      <c r="O39" s="127"/>
      <c r="P39" s="128"/>
      <c r="Q39" s="33">
        <f t="shared" si="4"/>
        <v>0</v>
      </c>
      <c r="R39" s="29"/>
      <c r="S39" s="127"/>
      <c r="T39" s="128"/>
      <c r="U39" s="33">
        <f t="shared" si="5"/>
        <v>0</v>
      </c>
      <c r="V39" s="127"/>
      <c r="W39" s="128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61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59"/>
      <c r="AR39" s="61"/>
      <c r="AS39" s="31"/>
      <c r="AT39" s="57">
        <f t="shared" si="25"/>
        <v>44774</v>
      </c>
      <c r="AU39" s="59"/>
      <c r="AV39" s="61"/>
      <c r="AW39" s="62"/>
      <c r="AX39" s="59"/>
      <c r="AY39" s="61"/>
      <c r="AZ39" s="59"/>
      <c r="BA39" s="61"/>
      <c r="BB39" s="61"/>
      <c r="BC39" s="59"/>
      <c r="BD39" s="63"/>
      <c r="BE39" s="60"/>
      <c r="BF39" s="64"/>
      <c r="BG39" s="59"/>
      <c r="BH39" s="61"/>
    </row>
    <row r="40" spans="2:60" s="58" customFormat="1" x14ac:dyDescent="0.25">
      <c r="B40" s="45">
        <v>44781</v>
      </c>
      <c r="C40" s="127"/>
      <c r="D40" s="128"/>
      <c r="E40" s="33">
        <f t="shared" si="0"/>
        <v>0</v>
      </c>
      <c r="F40" s="127"/>
      <c r="G40" s="128"/>
      <c r="H40" s="33">
        <f t="shared" si="1"/>
        <v>0</v>
      </c>
      <c r="I40" s="127"/>
      <c r="J40" s="128"/>
      <c r="K40" s="33">
        <f t="shared" si="2"/>
        <v>0</v>
      </c>
      <c r="L40" s="127"/>
      <c r="M40" s="128"/>
      <c r="N40" s="33">
        <f t="shared" si="3"/>
        <v>0</v>
      </c>
      <c r="O40" s="127"/>
      <c r="P40" s="128"/>
      <c r="Q40" s="33">
        <f t="shared" si="4"/>
        <v>0</v>
      </c>
      <c r="R40" s="29"/>
      <c r="S40" s="127"/>
      <c r="T40" s="128"/>
      <c r="U40" s="33">
        <f t="shared" si="5"/>
        <v>0</v>
      </c>
      <c r="V40" s="127"/>
      <c r="W40" s="128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61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59"/>
      <c r="AR40" s="61"/>
      <c r="AS40" s="31"/>
      <c r="AT40" s="57">
        <f t="shared" si="25"/>
        <v>44781</v>
      </c>
      <c r="AU40" s="59"/>
      <c r="AV40" s="61"/>
      <c r="AW40" s="62"/>
      <c r="AX40" s="59"/>
      <c r="AY40" s="61"/>
      <c r="AZ40" s="59"/>
      <c r="BA40" s="61"/>
      <c r="BB40" s="61"/>
      <c r="BC40" s="59"/>
      <c r="BD40" s="63"/>
      <c r="BE40" s="60"/>
      <c r="BF40" s="64"/>
      <c r="BG40" s="59"/>
      <c r="BH40" s="61"/>
    </row>
    <row r="41" spans="2:60" s="58" customFormat="1" x14ac:dyDescent="0.25">
      <c r="B41" s="45">
        <v>44788</v>
      </c>
      <c r="C41" s="127"/>
      <c r="D41" s="128"/>
      <c r="E41" s="33">
        <f t="shared" si="0"/>
        <v>0</v>
      </c>
      <c r="F41" s="127"/>
      <c r="G41" s="128"/>
      <c r="H41" s="33">
        <f t="shared" si="1"/>
        <v>0</v>
      </c>
      <c r="I41" s="127"/>
      <c r="J41" s="128"/>
      <c r="K41" s="33">
        <f t="shared" si="2"/>
        <v>0</v>
      </c>
      <c r="L41" s="127"/>
      <c r="M41" s="128"/>
      <c r="N41" s="33">
        <f t="shared" si="3"/>
        <v>0</v>
      </c>
      <c r="O41" s="127"/>
      <c r="P41" s="128"/>
      <c r="Q41" s="33">
        <f t="shared" si="4"/>
        <v>0</v>
      </c>
      <c r="R41" s="29"/>
      <c r="S41" s="127"/>
      <c r="T41" s="128"/>
      <c r="U41" s="33">
        <f t="shared" si="5"/>
        <v>0</v>
      </c>
      <c r="V41" s="127"/>
      <c r="W41" s="128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7"/>
      <c r="D42" s="128"/>
      <c r="E42" s="33">
        <f t="shared" si="0"/>
        <v>0</v>
      </c>
      <c r="F42" s="127"/>
      <c r="G42" s="128"/>
      <c r="H42" s="33">
        <f t="shared" si="1"/>
        <v>0</v>
      </c>
      <c r="I42" s="127"/>
      <c r="J42" s="128"/>
      <c r="K42" s="33">
        <f t="shared" si="2"/>
        <v>0</v>
      </c>
      <c r="L42" s="127"/>
      <c r="M42" s="128"/>
      <c r="N42" s="33">
        <f t="shared" si="3"/>
        <v>0</v>
      </c>
      <c r="O42" s="127"/>
      <c r="P42" s="128"/>
      <c r="Q42" s="33">
        <f t="shared" si="4"/>
        <v>0</v>
      </c>
      <c r="R42" s="29"/>
      <c r="S42" s="127"/>
      <c r="T42" s="128"/>
      <c r="U42" s="33">
        <f t="shared" si="5"/>
        <v>0</v>
      </c>
      <c r="V42" s="127"/>
      <c r="W42" s="128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6"/>
      <c r="D43" s="126"/>
      <c r="E43" s="33">
        <f t="shared" si="0"/>
        <v>0</v>
      </c>
      <c r="F43" s="126"/>
      <c r="G43" s="126"/>
      <c r="H43" s="33">
        <f t="shared" si="1"/>
        <v>0</v>
      </c>
      <c r="I43" s="126"/>
      <c r="J43" s="126"/>
      <c r="K43" s="33">
        <f t="shared" si="2"/>
        <v>0</v>
      </c>
      <c r="L43" s="126"/>
      <c r="M43" s="126"/>
      <c r="N43" s="33">
        <f t="shared" si="3"/>
        <v>0</v>
      </c>
      <c r="O43" s="126"/>
      <c r="P43" s="126"/>
      <c r="Q43" s="33">
        <f t="shared" si="4"/>
        <v>0</v>
      </c>
      <c r="R43" s="29"/>
      <c r="S43" s="126"/>
      <c r="T43" s="126"/>
      <c r="U43" s="33">
        <f t="shared" si="5"/>
        <v>0</v>
      </c>
      <c r="V43" s="126"/>
      <c r="W43" s="126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6"/>
      <c r="D44" s="126"/>
      <c r="E44" s="33">
        <f t="shared" si="0"/>
        <v>0</v>
      </c>
      <c r="F44" s="126"/>
      <c r="G44" s="126"/>
      <c r="H44" s="33">
        <f t="shared" si="1"/>
        <v>0</v>
      </c>
      <c r="I44" s="126"/>
      <c r="J44" s="126"/>
      <c r="K44" s="33">
        <f t="shared" si="2"/>
        <v>0</v>
      </c>
      <c r="L44" s="126"/>
      <c r="M44" s="126"/>
      <c r="N44" s="33">
        <f t="shared" si="3"/>
        <v>0</v>
      </c>
      <c r="O44" s="126"/>
      <c r="P44" s="126"/>
      <c r="Q44" s="33">
        <f t="shared" si="4"/>
        <v>0</v>
      </c>
      <c r="R44" s="29"/>
      <c r="S44" s="126"/>
      <c r="T44" s="126"/>
      <c r="U44" s="33">
        <f t="shared" si="5"/>
        <v>0</v>
      </c>
      <c r="V44" s="126"/>
      <c r="W44" s="126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7"/>
      <c r="D45" s="128"/>
      <c r="E45" s="33">
        <f t="shared" si="0"/>
        <v>0</v>
      </c>
      <c r="F45" s="127"/>
      <c r="G45" s="128"/>
      <c r="H45" s="33">
        <f t="shared" si="1"/>
        <v>0</v>
      </c>
      <c r="I45" s="127"/>
      <c r="J45" s="128"/>
      <c r="K45" s="33">
        <f t="shared" si="2"/>
        <v>0</v>
      </c>
      <c r="L45" s="127"/>
      <c r="M45" s="128"/>
      <c r="N45" s="33">
        <f t="shared" si="3"/>
        <v>0</v>
      </c>
      <c r="O45" s="127"/>
      <c r="P45" s="128"/>
      <c r="Q45" s="33">
        <f t="shared" si="4"/>
        <v>0</v>
      </c>
      <c r="R45" s="29"/>
      <c r="S45" s="127"/>
      <c r="T45" s="128"/>
      <c r="U45" s="33">
        <f t="shared" si="5"/>
        <v>0</v>
      </c>
      <c r="V45" s="127"/>
      <c r="W45" s="128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6"/>
      <c r="D46" s="126"/>
      <c r="E46" s="33">
        <f t="shared" si="0"/>
        <v>0</v>
      </c>
      <c r="F46" s="126"/>
      <c r="G46" s="126"/>
      <c r="H46" s="33">
        <f t="shared" si="1"/>
        <v>0</v>
      </c>
      <c r="I46" s="126"/>
      <c r="J46" s="126"/>
      <c r="K46" s="33">
        <f t="shared" si="2"/>
        <v>0</v>
      </c>
      <c r="L46" s="126"/>
      <c r="M46" s="126"/>
      <c r="N46" s="33">
        <f t="shared" si="3"/>
        <v>0</v>
      </c>
      <c r="O46" s="126"/>
      <c r="P46" s="126"/>
      <c r="Q46" s="33">
        <f t="shared" si="4"/>
        <v>0</v>
      </c>
      <c r="R46" s="29"/>
      <c r="S46" s="126"/>
      <c r="T46" s="126"/>
      <c r="U46" s="33">
        <f t="shared" si="5"/>
        <v>0</v>
      </c>
      <c r="V46" s="126"/>
      <c r="W46" s="126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7"/>
      <c r="D47" s="128"/>
      <c r="E47" s="33">
        <f t="shared" si="0"/>
        <v>0</v>
      </c>
      <c r="F47" s="127"/>
      <c r="G47" s="128"/>
      <c r="H47" s="33">
        <f t="shared" si="1"/>
        <v>0</v>
      </c>
      <c r="I47" s="127"/>
      <c r="J47" s="128"/>
      <c r="K47" s="33">
        <f t="shared" si="2"/>
        <v>0</v>
      </c>
      <c r="L47" s="127"/>
      <c r="M47" s="128"/>
      <c r="N47" s="33">
        <f t="shared" si="3"/>
        <v>0</v>
      </c>
      <c r="O47" s="127"/>
      <c r="P47" s="128"/>
      <c r="Q47" s="33">
        <f t="shared" si="4"/>
        <v>0</v>
      </c>
      <c r="R47" s="29"/>
      <c r="S47" s="127"/>
      <c r="T47" s="128"/>
      <c r="U47" s="33">
        <f t="shared" si="5"/>
        <v>0</v>
      </c>
      <c r="V47" s="127"/>
      <c r="W47" s="128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7"/>
      <c r="D48" s="128"/>
      <c r="E48" s="33">
        <f t="shared" si="0"/>
        <v>0</v>
      </c>
      <c r="F48" s="127"/>
      <c r="G48" s="128"/>
      <c r="H48" s="33">
        <f t="shared" si="1"/>
        <v>0</v>
      </c>
      <c r="I48" s="127"/>
      <c r="J48" s="128"/>
      <c r="K48" s="33">
        <f t="shared" si="2"/>
        <v>0</v>
      </c>
      <c r="L48" s="127"/>
      <c r="M48" s="128"/>
      <c r="N48" s="33">
        <f t="shared" si="3"/>
        <v>0</v>
      </c>
      <c r="O48" s="127"/>
      <c r="P48" s="128"/>
      <c r="Q48" s="33">
        <f t="shared" si="4"/>
        <v>0</v>
      </c>
      <c r="R48" s="29"/>
      <c r="S48" s="127"/>
      <c r="T48" s="128"/>
      <c r="U48" s="33">
        <f t="shared" si="5"/>
        <v>0</v>
      </c>
      <c r="V48" s="127"/>
      <c r="W48" s="128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7"/>
      <c r="D49" s="128"/>
      <c r="E49" s="33">
        <f t="shared" si="0"/>
        <v>0</v>
      </c>
      <c r="F49" s="127"/>
      <c r="G49" s="128"/>
      <c r="H49" s="33">
        <f t="shared" si="1"/>
        <v>0</v>
      </c>
      <c r="I49" s="127"/>
      <c r="J49" s="128"/>
      <c r="K49" s="33">
        <f t="shared" si="2"/>
        <v>0</v>
      </c>
      <c r="L49" s="127"/>
      <c r="M49" s="128"/>
      <c r="N49" s="33">
        <f t="shared" si="3"/>
        <v>0</v>
      </c>
      <c r="O49" s="127"/>
      <c r="P49" s="128"/>
      <c r="Q49" s="33">
        <f t="shared" si="4"/>
        <v>0</v>
      </c>
      <c r="R49" s="29"/>
      <c r="S49" s="127"/>
      <c r="T49" s="128"/>
      <c r="U49" s="33">
        <f t="shared" si="5"/>
        <v>0</v>
      </c>
      <c r="V49" s="127"/>
      <c r="W49" s="128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6"/>
      <c r="D50" s="126"/>
      <c r="E50" s="33">
        <f t="shared" si="0"/>
        <v>0</v>
      </c>
      <c r="F50" s="126"/>
      <c r="G50" s="126"/>
      <c r="H50" s="33">
        <f t="shared" si="1"/>
        <v>0</v>
      </c>
      <c r="I50" s="126"/>
      <c r="J50" s="126"/>
      <c r="K50" s="33">
        <f t="shared" si="2"/>
        <v>0</v>
      </c>
      <c r="L50" s="126"/>
      <c r="M50" s="126"/>
      <c r="N50" s="33">
        <f t="shared" si="3"/>
        <v>0</v>
      </c>
      <c r="O50" s="126"/>
      <c r="P50" s="126"/>
      <c r="Q50" s="33">
        <f t="shared" si="4"/>
        <v>0</v>
      </c>
      <c r="R50" s="29"/>
      <c r="S50" s="126"/>
      <c r="T50" s="126"/>
      <c r="U50" s="33">
        <f t="shared" si="5"/>
        <v>0</v>
      </c>
      <c r="V50" s="126"/>
      <c r="W50" s="126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6"/>
      <c r="D51" s="126"/>
      <c r="E51" s="33">
        <f t="shared" si="0"/>
        <v>0</v>
      </c>
      <c r="F51" s="126"/>
      <c r="G51" s="126"/>
      <c r="H51" s="33">
        <f t="shared" si="1"/>
        <v>0</v>
      </c>
      <c r="I51" s="126"/>
      <c r="J51" s="126"/>
      <c r="K51" s="33">
        <f t="shared" si="2"/>
        <v>0</v>
      </c>
      <c r="L51" s="126"/>
      <c r="M51" s="126"/>
      <c r="N51" s="33">
        <f t="shared" si="3"/>
        <v>0</v>
      </c>
      <c r="O51" s="126"/>
      <c r="P51" s="126"/>
      <c r="Q51" s="33">
        <f t="shared" si="4"/>
        <v>0</v>
      </c>
      <c r="R51" s="29"/>
      <c r="S51" s="126"/>
      <c r="T51" s="126"/>
      <c r="U51" s="33">
        <f t="shared" si="5"/>
        <v>0</v>
      </c>
      <c r="V51" s="126"/>
      <c r="W51" s="126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6"/>
      <c r="D52" s="126"/>
      <c r="E52" s="33">
        <f t="shared" si="0"/>
        <v>0</v>
      </c>
      <c r="F52" s="126"/>
      <c r="G52" s="126"/>
      <c r="H52" s="33">
        <f t="shared" si="1"/>
        <v>0</v>
      </c>
      <c r="I52" s="126"/>
      <c r="J52" s="126"/>
      <c r="K52" s="33">
        <f t="shared" si="2"/>
        <v>0</v>
      </c>
      <c r="L52" s="126"/>
      <c r="M52" s="126"/>
      <c r="N52" s="33">
        <f t="shared" si="3"/>
        <v>0</v>
      </c>
      <c r="O52" s="126"/>
      <c r="P52" s="126"/>
      <c r="Q52" s="33">
        <f t="shared" si="4"/>
        <v>0</v>
      </c>
      <c r="R52" s="29"/>
      <c r="S52" s="126"/>
      <c r="T52" s="126"/>
      <c r="U52" s="33">
        <f t="shared" si="5"/>
        <v>0</v>
      </c>
      <c r="V52" s="126"/>
      <c r="W52" s="126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6"/>
      <c r="D53" s="126"/>
      <c r="E53" s="33">
        <f t="shared" si="0"/>
        <v>0</v>
      </c>
      <c r="F53" s="126"/>
      <c r="G53" s="126"/>
      <c r="H53" s="33">
        <f t="shared" si="1"/>
        <v>0</v>
      </c>
      <c r="I53" s="126"/>
      <c r="J53" s="126"/>
      <c r="K53" s="33">
        <f t="shared" si="2"/>
        <v>0</v>
      </c>
      <c r="L53" s="126"/>
      <c r="M53" s="126"/>
      <c r="N53" s="33">
        <f t="shared" si="3"/>
        <v>0</v>
      </c>
      <c r="O53" s="126"/>
      <c r="P53" s="126"/>
      <c r="Q53" s="33">
        <f t="shared" si="4"/>
        <v>0</v>
      </c>
      <c r="R53" s="29"/>
      <c r="S53" s="126"/>
      <c r="T53" s="126"/>
      <c r="U53" s="33">
        <f t="shared" si="5"/>
        <v>0</v>
      </c>
      <c r="V53" s="126"/>
      <c r="W53" s="126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6"/>
      <c r="D54" s="126"/>
      <c r="E54" s="33">
        <f t="shared" si="0"/>
        <v>0</v>
      </c>
      <c r="F54" s="126"/>
      <c r="G54" s="126"/>
      <c r="H54" s="33">
        <f t="shared" si="1"/>
        <v>0</v>
      </c>
      <c r="I54" s="126"/>
      <c r="J54" s="126"/>
      <c r="K54" s="33">
        <f t="shared" si="2"/>
        <v>0</v>
      </c>
      <c r="L54" s="126"/>
      <c r="M54" s="126"/>
      <c r="N54" s="33">
        <f t="shared" si="3"/>
        <v>0</v>
      </c>
      <c r="O54" s="126"/>
      <c r="P54" s="126"/>
      <c r="Q54" s="33">
        <f t="shared" si="4"/>
        <v>0</v>
      </c>
      <c r="R54" s="29"/>
      <c r="S54" s="126"/>
      <c r="T54" s="126"/>
      <c r="U54" s="33">
        <f t="shared" si="5"/>
        <v>0</v>
      </c>
      <c r="V54" s="126"/>
      <c r="W54" s="126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6"/>
      <c r="D55" s="126"/>
      <c r="E55" s="33">
        <f t="shared" si="0"/>
        <v>0</v>
      </c>
      <c r="F55" s="126"/>
      <c r="G55" s="126"/>
      <c r="H55" s="33">
        <f t="shared" si="1"/>
        <v>0</v>
      </c>
      <c r="I55" s="126"/>
      <c r="J55" s="126"/>
      <c r="K55" s="33">
        <f t="shared" si="2"/>
        <v>0</v>
      </c>
      <c r="L55" s="126"/>
      <c r="M55" s="126"/>
      <c r="N55" s="33">
        <f t="shared" si="3"/>
        <v>0</v>
      </c>
      <c r="O55" s="126"/>
      <c r="P55" s="126"/>
      <c r="Q55" s="33">
        <f t="shared" si="4"/>
        <v>0</v>
      </c>
      <c r="R55" s="29"/>
      <c r="S55" s="122"/>
      <c r="T55" s="123"/>
      <c r="U55" s="33">
        <f t="shared" si="5"/>
        <v>0</v>
      </c>
      <c r="V55" s="126"/>
      <c r="W55" s="126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6"/>
      <c r="D56" s="126"/>
      <c r="E56" s="33">
        <f t="shared" si="0"/>
        <v>0</v>
      </c>
      <c r="F56" s="126"/>
      <c r="G56" s="126"/>
      <c r="H56" s="33">
        <f t="shared" si="1"/>
        <v>0</v>
      </c>
      <c r="I56" s="126"/>
      <c r="J56" s="126"/>
      <c r="K56" s="33">
        <f t="shared" si="2"/>
        <v>0</v>
      </c>
      <c r="L56" s="126"/>
      <c r="M56" s="126"/>
      <c r="N56" s="33">
        <f t="shared" si="3"/>
        <v>0</v>
      </c>
      <c r="O56" s="126"/>
      <c r="P56" s="126"/>
      <c r="Q56" s="33">
        <f t="shared" si="4"/>
        <v>0</v>
      </c>
      <c r="R56" s="29"/>
      <c r="S56" s="122"/>
      <c r="T56" s="123"/>
      <c r="U56" s="33">
        <f t="shared" si="5"/>
        <v>0</v>
      </c>
      <c r="V56" s="126"/>
      <c r="W56" s="126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6"/>
      <c r="D57" s="126"/>
      <c r="E57" s="33">
        <f t="shared" si="0"/>
        <v>0</v>
      </c>
      <c r="F57" s="126"/>
      <c r="G57" s="126"/>
      <c r="H57" s="33">
        <f t="shared" si="1"/>
        <v>0</v>
      </c>
      <c r="I57" s="126"/>
      <c r="J57" s="126"/>
      <c r="K57" s="33">
        <f t="shared" si="2"/>
        <v>0</v>
      </c>
      <c r="L57" s="126"/>
      <c r="M57" s="126"/>
      <c r="N57" s="33">
        <f t="shared" si="3"/>
        <v>0</v>
      </c>
      <c r="O57" s="126"/>
      <c r="P57" s="126"/>
      <c r="Q57" s="33">
        <f t="shared" si="4"/>
        <v>0</v>
      </c>
      <c r="R57" s="29"/>
      <c r="S57" s="122"/>
      <c r="T57" s="123"/>
      <c r="U57" s="33">
        <f t="shared" si="5"/>
        <v>0</v>
      </c>
      <c r="V57" s="126"/>
      <c r="W57" s="126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6"/>
      <c r="D58" s="126"/>
      <c r="E58" s="33">
        <f t="shared" si="0"/>
        <v>0</v>
      </c>
      <c r="F58" s="126"/>
      <c r="G58" s="126"/>
      <c r="H58" s="33">
        <f t="shared" si="1"/>
        <v>0</v>
      </c>
      <c r="I58" s="126"/>
      <c r="J58" s="126"/>
      <c r="K58" s="33">
        <f t="shared" si="2"/>
        <v>0</v>
      </c>
      <c r="L58" s="126"/>
      <c r="M58" s="126"/>
      <c r="N58" s="33">
        <f t="shared" si="3"/>
        <v>0</v>
      </c>
      <c r="O58" s="126"/>
      <c r="P58" s="126"/>
      <c r="Q58" s="33">
        <f t="shared" si="4"/>
        <v>0</v>
      </c>
      <c r="R58" s="29"/>
      <c r="S58" s="122"/>
      <c r="T58" s="123"/>
      <c r="U58" s="33">
        <f t="shared" si="5"/>
        <v>0</v>
      </c>
      <c r="V58" s="126"/>
      <c r="W58" s="126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6"/>
      <c r="D59" s="126"/>
      <c r="E59" s="33">
        <f t="shared" si="0"/>
        <v>0</v>
      </c>
      <c r="F59" s="126"/>
      <c r="G59" s="126"/>
      <c r="H59" s="33">
        <f t="shared" si="1"/>
        <v>0</v>
      </c>
      <c r="I59" s="126"/>
      <c r="J59" s="126"/>
      <c r="K59" s="33">
        <f t="shared" si="2"/>
        <v>0</v>
      </c>
      <c r="L59" s="126"/>
      <c r="M59" s="126"/>
      <c r="N59" s="33">
        <f t="shared" si="3"/>
        <v>0</v>
      </c>
      <c r="O59" s="126"/>
      <c r="P59" s="126"/>
      <c r="Q59" s="33">
        <f t="shared" si="4"/>
        <v>0</v>
      </c>
      <c r="R59" s="29"/>
      <c r="S59" s="122"/>
      <c r="T59" s="123"/>
      <c r="U59" s="33">
        <f t="shared" si="5"/>
        <v>0</v>
      </c>
      <c r="V59" s="126"/>
      <c r="W59" s="126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6"/>
      <c r="D60" s="126"/>
      <c r="E60" s="33">
        <f t="shared" si="0"/>
        <v>0</v>
      </c>
      <c r="F60" s="126"/>
      <c r="G60" s="126"/>
      <c r="H60" s="33">
        <f t="shared" si="1"/>
        <v>0</v>
      </c>
      <c r="I60" s="126"/>
      <c r="J60" s="126"/>
      <c r="K60" s="33">
        <f t="shared" si="2"/>
        <v>0</v>
      </c>
      <c r="L60" s="126"/>
      <c r="M60" s="126"/>
      <c r="N60" s="33">
        <f t="shared" si="3"/>
        <v>0</v>
      </c>
      <c r="O60" s="126"/>
      <c r="P60" s="126"/>
      <c r="Q60" s="33">
        <f t="shared" si="4"/>
        <v>0</v>
      </c>
      <c r="R60" s="29"/>
      <c r="S60" s="122"/>
      <c r="T60" s="123"/>
      <c r="U60" s="33">
        <f t="shared" si="5"/>
        <v>0</v>
      </c>
      <c r="V60" s="126"/>
      <c r="W60" s="126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6"/>
      <c r="D61" s="126"/>
      <c r="E61" s="33">
        <f t="shared" si="0"/>
        <v>0</v>
      </c>
      <c r="F61" s="126"/>
      <c r="G61" s="126"/>
      <c r="H61" s="33">
        <f t="shared" si="1"/>
        <v>0</v>
      </c>
      <c r="I61" s="126"/>
      <c r="J61" s="126"/>
      <c r="K61" s="33">
        <f t="shared" si="2"/>
        <v>0</v>
      </c>
      <c r="L61" s="126"/>
      <c r="M61" s="126"/>
      <c r="N61" s="33">
        <f t="shared" si="3"/>
        <v>0</v>
      </c>
      <c r="O61" s="126"/>
      <c r="P61" s="126"/>
      <c r="Q61" s="33">
        <f t="shared" si="4"/>
        <v>0</v>
      </c>
      <c r="R61" s="29"/>
      <c r="S61" s="122"/>
      <c r="T61" s="123"/>
      <c r="U61" s="33">
        <f t="shared" si="5"/>
        <v>0</v>
      </c>
      <c r="V61" s="126"/>
      <c r="W61" s="126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6"/>
      <c r="D62" s="126"/>
      <c r="E62" s="33">
        <f t="shared" si="0"/>
        <v>0</v>
      </c>
      <c r="F62" s="126"/>
      <c r="G62" s="126"/>
      <c r="H62" s="33">
        <f t="shared" si="1"/>
        <v>0</v>
      </c>
      <c r="I62" s="126"/>
      <c r="J62" s="126"/>
      <c r="K62" s="33">
        <f t="shared" si="2"/>
        <v>0</v>
      </c>
      <c r="L62" s="126"/>
      <c r="M62" s="126"/>
      <c r="N62" s="33">
        <f t="shared" si="3"/>
        <v>0</v>
      </c>
      <c r="O62" s="126"/>
      <c r="P62" s="126"/>
      <c r="Q62" s="33">
        <f t="shared" si="4"/>
        <v>0</v>
      </c>
      <c r="R62" s="29"/>
      <c r="S62" s="122"/>
      <c r="T62" s="123"/>
      <c r="U62" s="33">
        <f t="shared" si="5"/>
        <v>0</v>
      </c>
      <c r="V62" s="126"/>
      <c r="W62" s="126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6"/>
      <c r="D63" s="126"/>
      <c r="E63" s="33">
        <f t="shared" si="0"/>
        <v>0</v>
      </c>
      <c r="F63" s="126"/>
      <c r="G63" s="126"/>
      <c r="H63" s="33">
        <f t="shared" si="1"/>
        <v>0</v>
      </c>
      <c r="I63" s="126"/>
      <c r="J63" s="126"/>
      <c r="K63" s="33">
        <f t="shared" si="2"/>
        <v>0</v>
      </c>
      <c r="L63" s="126"/>
      <c r="M63" s="126"/>
      <c r="N63" s="33">
        <f t="shared" si="3"/>
        <v>0</v>
      </c>
      <c r="O63" s="126"/>
      <c r="P63" s="126"/>
      <c r="Q63" s="33">
        <f t="shared" si="4"/>
        <v>0</v>
      </c>
      <c r="R63" s="29"/>
      <c r="S63" s="122"/>
      <c r="T63" s="123"/>
      <c r="U63" s="33">
        <f t="shared" si="5"/>
        <v>0</v>
      </c>
      <c r="V63" s="126"/>
      <c r="W63" s="126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6"/>
      <c r="D64" s="126"/>
      <c r="E64" s="33">
        <f t="shared" si="0"/>
        <v>0</v>
      </c>
      <c r="F64" s="126"/>
      <c r="G64" s="126"/>
      <c r="H64" s="33">
        <f t="shared" si="1"/>
        <v>0</v>
      </c>
      <c r="I64" s="126"/>
      <c r="J64" s="126"/>
      <c r="K64" s="33">
        <f t="shared" si="2"/>
        <v>0</v>
      </c>
      <c r="L64" s="126"/>
      <c r="M64" s="126"/>
      <c r="N64" s="33">
        <f t="shared" si="3"/>
        <v>0</v>
      </c>
      <c r="O64" s="126"/>
      <c r="P64" s="126"/>
      <c r="Q64" s="33">
        <f t="shared" si="4"/>
        <v>0</v>
      </c>
      <c r="R64" s="29"/>
      <c r="S64" s="122"/>
      <c r="T64" s="123"/>
      <c r="U64" s="33">
        <f t="shared" si="5"/>
        <v>0</v>
      </c>
      <c r="V64" s="126"/>
      <c r="W64" s="126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2022-07-18T12:03:49Z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