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978" documentId="8_{5B502D95-7A37-4D5A-8B6B-374537CC2F26}" xr6:coauthVersionLast="47" xr6:coauthVersionMax="47" xr10:uidLastSave="{F279B0A8-484B-498C-ADDB-4D70C97CED7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9" i="2" l="1"/>
  <c r="H39" i="2"/>
  <c r="V33" i="2"/>
  <c r="N34" i="2"/>
  <c r="M34" i="2"/>
  <c r="L34" i="2"/>
  <c r="F34" i="2"/>
  <c r="K33" i="6"/>
  <c r="I33" i="6"/>
  <c r="G33" i="6"/>
  <c r="E33" i="6"/>
  <c r="C33" i="6"/>
  <c r="V30" i="2"/>
  <c r="V31" i="2"/>
  <c r="V32" i="2"/>
  <c r="N31" i="2"/>
  <c r="N32" i="2"/>
  <c r="N33" i="2"/>
  <c r="M31" i="2"/>
  <c r="M32" i="2"/>
  <c r="M33" i="2"/>
  <c r="L31" i="2"/>
  <c r="L32" i="2"/>
  <c r="L33" i="2"/>
  <c r="F31" i="2"/>
  <c r="F32" i="2"/>
  <c r="F33" i="2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K30" i="6"/>
  <c r="K31" i="6"/>
  <c r="K32" i="6"/>
  <c r="I30" i="6"/>
  <c r="I31" i="6"/>
  <c r="I32" i="6"/>
  <c r="G30" i="6"/>
  <c r="G31" i="6"/>
  <c r="G32" i="6"/>
  <c r="E30" i="6"/>
  <c r="E31" i="6"/>
  <c r="E32" i="6"/>
  <c r="C30" i="6"/>
  <c r="C31" i="6"/>
  <c r="C32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F29" i="2"/>
  <c r="K28" i="6"/>
  <c r="I28" i="6"/>
  <c r="G28" i="6"/>
  <c r="E28" i="6"/>
  <c r="C28" i="6"/>
  <c r="V27" i="2"/>
  <c r="N28" i="2"/>
  <c r="M28" i="2"/>
  <c r="L28" i="2"/>
  <c r="F28" i="2"/>
  <c r="K27" i="6"/>
  <c r="I27" i="6"/>
  <c r="G27" i="6"/>
  <c r="E27" i="6"/>
  <c r="C27" i="6"/>
  <c r="V15" i="2"/>
  <c r="V16" i="2"/>
  <c r="V17" i="2"/>
  <c r="V18" i="2"/>
  <c r="V19" i="2"/>
  <c r="V20" i="2"/>
  <c r="V21" i="2"/>
  <c r="V22" i="2"/>
  <c r="V23" i="2"/>
  <c r="V24" i="2"/>
  <c r="V25" i="2"/>
  <c r="V26" i="2"/>
  <c r="N17" i="2"/>
  <c r="N18" i="2"/>
  <c r="N19" i="2"/>
  <c r="N20" i="2"/>
  <c r="N21" i="2"/>
  <c r="N22" i="2"/>
  <c r="N23" i="2"/>
  <c r="N24" i="2"/>
  <c r="N25" i="2"/>
  <c r="N26" i="2"/>
  <c r="N27" i="2"/>
  <c r="M17" i="2"/>
  <c r="M18" i="2"/>
  <c r="M19" i="2"/>
  <c r="M20" i="2"/>
  <c r="M21" i="2"/>
  <c r="M22" i="2"/>
  <c r="M23" i="2"/>
  <c r="M24" i="2"/>
  <c r="M25" i="2"/>
  <c r="M26" i="2"/>
  <c r="M27" i="2"/>
  <c r="L17" i="2"/>
  <c r="L18" i="2"/>
  <c r="L19" i="2"/>
  <c r="L20" i="2"/>
  <c r="L21" i="2"/>
  <c r="L22" i="2"/>
  <c r="L23" i="2"/>
  <c r="L24" i="2"/>
  <c r="L25" i="2"/>
  <c r="L26" i="2"/>
  <c r="F17" i="2"/>
  <c r="F18" i="2"/>
  <c r="F19" i="2"/>
  <c r="F20" i="2"/>
  <c r="F21" i="2"/>
  <c r="F22" i="2"/>
  <c r="F23" i="2"/>
  <c r="F24" i="2"/>
  <c r="F25" i="2"/>
  <c r="F26" i="2"/>
  <c r="F27" i="2"/>
  <c r="K26" i="6"/>
  <c r="I26" i="6"/>
  <c r="G26" i="6"/>
  <c r="L27" i="2" s="1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K18" i="6"/>
  <c r="I18" i="6"/>
  <c r="G18" i="6"/>
  <c r="E18" i="6"/>
  <c r="C18" i="6"/>
  <c r="K16" i="6"/>
  <c r="K17" i="6"/>
  <c r="I16" i="6"/>
  <c r="I17" i="6"/>
  <c r="G16" i="6"/>
  <c r="G17" i="6"/>
  <c r="E16" i="6"/>
  <c r="E17" i="6"/>
  <c r="C16" i="6"/>
  <c r="C17" i="6"/>
  <c r="AC9" i="4"/>
  <c r="AC10" i="4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1" i="2"/>
  <c r="V12" i="2"/>
  <c r="V10" i="2"/>
  <c r="N11" i="2"/>
  <c r="N12" i="2"/>
  <c r="N13" i="2"/>
  <c r="M11" i="2"/>
  <c r="M12" i="2"/>
  <c r="L11" i="2"/>
  <c r="L12" i="2"/>
  <c r="L13" i="2"/>
  <c r="F11" i="2"/>
  <c r="F12" i="2"/>
  <c r="F13" i="2"/>
  <c r="K12" i="6"/>
  <c r="I12" i="6"/>
  <c r="M13" i="2" s="1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6" i="21"/>
  <c r="G7" i="21"/>
  <c r="G8" i="21"/>
  <c r="I31" i="21"/>
  <c r="I32" i="21"/>
  <c r="H31" i="21"/>
  <c r="H32" i="21"/>
  <c r="G31" i="21"/>
  <c r="G32" i="21"/>
  <c r="F31" i="21"/>
  <c r="F32" i="21"/>
  <c r="E31" i="21"/>
  <c r="E32" i="21"/>
  <c r="B31" i="21"/>
  <c r="B32" i="21"/>
  <c r="L31" i="22"/>
  <c r="L32" i="22"/>
  <c r="K31" i="22"/>
  <c r="K32" i="22"/>
  <c r="I31" i="22"/>
  <c r="I32" i="22"/>
  <c r="G31" i="22"/>
  <c r="G32" i="22"/>
  <c r="E32" i="22"/>
  <c r="B31" i="22"/>
  <c r="B32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1" i="22"/>
  <c r="E28" i="22"/>
  <c r="E29" i="22"/>
  <c r="E30" i="22"/>
  <c r="O38" i="2"/>
  <c r="O40" i="2"/>
  <c r="E23" i="22"/>
  <c r="E24" i="22"/>
  <c r="E25" i="22"/>
  <c r="E26" i="22"/>
  <c r="E27" i="22"/>
  <c r="I27" i="22"/>
  <c r="I28" i="22"/>
  <c r="I29" i="22"/>
  <c r="I30" i="22"/>
  <c r="G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Q40" i="2"/>
  <c r="X38" i="2"/>
  <c r="X40" i="2"/>
  <c r="F41" i="2"/>
  <c r="L27" i="22"/>
  <c r="L28" i="22"/>
  <c r="L29" i="22"/>
  <c r="K27" i="22"/>
  <c r="K28" i="22"/>
  <c r="K29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40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K30" i="22" s="1"/>
  <c r="E41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C35" i="4"/>
  <c r="G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I30" i="4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E8" i="22" l="1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M32" i="22"/>
  <c r="I44" i="2"/>
  <c r="L44" i="2" s="1"/>
  <c r="N44" i="2" s="1"/>
  <c r="N47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G29" i="22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<sst xmlns="http://schemas.openxmlformats.org/spreadsheetml/2006/main" count="480" uniqueCount="187">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</sst>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  <c:pt idx="24">
                  <c:v>80.899999999994179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  <c:pt idx="24">
                  <c:v>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  <c:pt idx="24">
                  <c:v>5440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  <c:pt idx="24">
                  <c:v>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407.33000000000004</c:v>
                </c:pt>
                <c:pt idx="2">
                  <c:v>333.27000000000004</c:v>
                </c:pt>
                <c:pt idx="3">
                  <c:v>333.90000000000003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575.98577999999998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7" workbookViewId="0">
      <selection activeCell="E6" sqref="E6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7995</v>
      </c>
      <c r="F3" s="134">
        <v>1.05</v>
      </c>
      <c r="G3" s="134">
        <f>'Consommation mensuel énergie'!V11</f>
        <v>407.33000000000004</v>
      </c>
      <c r="H3" s="134">
        <v>8.6999999999999993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333.27000000000004</v>
      </c>
      <c r="H4" s="134">
        <v>8.6999999999999993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333.90000000000003</v>
      </c>
      <c r="H5" s="134">
        <v>8.6999999999999993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8.6999999999999993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8.6999999999999993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8.6999999999999993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énergie'!V19</f>
        <v>351.99131</v>
      </c>
      <c r="H10" s="134">
        <v>8.6999999999999993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énergie'!V20</f>
        <v>255.99368000000001</v>
      </c>
      <c r="H11" s="134">
        <v>8.6999999999999993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énergie'!V21</f>
        <v>319.99209999999999</v>
      </c>
      <c r="H12" s="134">
        <v>8.6999999999999993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énergie'!V22</f>
        <v>319.99209999999999</v>
      </c>
      <c r="H13" s="134">
        <v>8.6999999999999993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énergie'!V23</f>
        <v>447.98894000000001</v>
      </c>
      <c r="H14" s="134">
        <v>8.6999999999999993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énergie'!V24</f>
        <v>319.99209999999999</v>
      </c>
      <c r="H15" s="134">
        <v>8.6999999999999993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énergie'!V26</f>
        <v>31.999210000000001</v>
      </c>
      <c r="H17" s="134">
        <v>8.6999999999999993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énergie'!V27</f>
        <v>479.98815000000002</v>
      </c>
      <c r="H18" s="134">
        <v>8.6999999999999993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énergie'!V28</f>
        <v>319.99209999999999</v>
      </c>
      <c r="H19" s="134">
        <v>8.6999999999999993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énergie'!V29</f>
        <v>415.98973000000001</v>
      </c>
      <c r="H20" s="134">
        <v>8.6999999999999993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énergie'!V30</f>
        <v>127.99684000000001</v>
      </c>
      <c r="H21" s="134">
        <v>8.6999999999999993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énergie'!V31</f>
        <v>383.99052</v>
      </c>
      <c r="H22" s="134">
        <v>8.6999999999999993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énergie'!V32</f>
        <v>255.99368000000001</v>
      </c>
      <c r="H23" s="134">
        <v>8.6999999999999993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énergie'!V33</f>
        <v>575.98577999999998</v>
      </c>
      <c r="H24" s="134">
        <v>8.6999999999999993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71</v>
      </c>
      <c r="J25" s="134">
        <v>11.4</v>
      </c>
      <c r="K25" s="137">
        <f>'Consommation mensuel énergie'!D33</f>
        <v>49</v>
      </c>
      <c r="L25" s="137">
        <f>'Consommation mensuel énergie'!E33</f>
        <v>69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11814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80.899999999994179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énergie'!V40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énergie'!V41</f>
        <v>7221.5646400000014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énergie'!D40</f>
        <v>0</v>
      </c>
      <c r="L29" s="137">
        <f>'Consommation mensuel énergie'!E40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énergie'!V42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énergie'!D41</f>
        <v>649</v>
      </c>
      <c r="L30" s="137">
        <f>'Consommation mensuel énergie'!E41</f>
        <v>974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submetering!E32+submetering!F32+submetering!G32</f>
        <v>0</v>
      </c>
      <c r="F31" s="134">
        <v>1.05</v>
      </c>
      <c r="G31" s="134">
        <f>'Consommation mensuel énergie'!V43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énergie'!D42</f>
        <v>0</v>
      </c>
      <c r="L31" s="137">
        <f>'Consommation mensuel énergie'!E42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submetering!E33+submetering!F33+submetering!G33</f>
        <v>0</v>
      </c>
      <c r="F32" s="134">
        <v>1.05</v>
      </c>
      <c r="G32" s="134">
        <f>'Consommation mensuel énergie'!V44</f>
        <v>0</v>
      </c>
      <c r="H32" s="134">
        <v>8.6999999999999993</v>
      </c>
      <c r="I32" s="134">
        <f>'Consommation mensuel énergie'!F40</f>
        <v>0</v>
      </c>
      <c r="J32" s="134">
        <v>11.4</v>
      </c>
      <c r="K32" s="137">
        <f>'Consommation mensuel énergie'!D43</f>
        <v>0</v>
      </c>
      <c r="L32" s="137">
        <f>'Consommation mensuel énergie'!E43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14" sqref="G14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énergie'!N14</f>
        <v>1722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49</v>
      </c>
      <c r="I25" s="137">
        <f>'Consommation mensuel énergie'!E33</f>
        <v>69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2337</v>
      </c>
      <c r="F26" s="137">
        <f>'Consommation mensuel énergie'!M34</f>
        <v>5440</v>
      </c>
      <c r="G26" s="137">
        <f>'Consommation mensuel énergie'!N34</f>
        <v>4037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 t="e">
        <f>E32*F32+G32*#REF!+#REF!*#REF!+#REF!*#REF!</f>
        <v>#REF!</v>
      </c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37" activePane="bottomRight" state="frozen"/>
      <selection pane="bottomRight" activeCell="Q38" sqref="Q38:Q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82"/>
      <c r="B2" s="183"/>
      <c r="C2" s="183"/>
      <c r="D2" s="183"/>
      <c r="E2" s="183"/>
      <c r="F2" s="183"/>
      <c r="G2" s="183"/>
      <c r="H2" s="184"/>
      <c r="I2" s="193" t="s">
        <v>17</v>
      </c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</row>
    <row r="3" spans="1:24" ht="15" hidden="1" customHeight="1" thickBot="1"/>
    <row r="4" spans="1:24" ht="39" hidden="1" customHeight="1" thickBot="1">
      <c r="A4" s="185"/>
      <c r="B4" s="185"/>
      <c r="C4" s="18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5"/>
      <c r="B5" s="185"/>
      <c r="C5" s="185"/>
      <c r="D5" s="5"/>
      <c r="E5" s="5"/>
      <c r="F5" s="5"/>
      <c r="G5" s="5"/>
      <c r="H5" s="5"/>
      <c r="I5" s="5"/>
      <c r="J5" s="5"/>
      <c r="K5" s="5"/>
      <c r="L5" s="5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</row>
    <row r="6" spans="1:24" s="5" customFormat="1" ht="44.25" hidden="1" customHeight="1" thickBot="1">
      <c r="A6" s="3"/>
      <c r="B6" s="3"/>
      <c r="C6" s="3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</row>
    <row r="7" spans="1:24" s="5" customFormat="1" ht="18.75" hidden="1" customHeight="1" thickBot="1">
      <c r="F7" s="186"/>
      <c r="G7" s="186"/>
      <c r="H7" s="186"/>
      <c r="I7" s="186"/>
      <c r="J7" s="186"/>
      <c r="K7" s="186"/>
      <c r="L7" s="186"/>
      <c r="M7" s="186"/>
      <c r="N7" s="195"/>
      <c r="O7" s="195"/>
      <c r="P7" s="186"/>
      <c r="Q7" s="186"/>
      <c r="R7" s="186"/>
      <c r="S7" s="186"/>
      <c r="T7" s="186"/>
      <c r="U7" s="186"/>
      <c r="V7" s="186"/>
      <c r="W7" s="186"/>
      <c r="X7" s="186"/>
    </row>
    <row r="8" spans="1:24" ht="18.75" customHeight="1" thickBot="1">
      <c r="A8" s="186"/>
      <c r="B8" s="197" t="s">
        <v>19</v>
      </c>
      <c r="C8" s="4"/>
      <c r="D8" s="198" t="s">
        <v>20</v>
      </c>
      <c r="E8" s="198" t="s">
        <v>21</v>
      </c>
      <c r="F8" s="178" t="s">
        <v>22</v>
      </c>
      <c r="G8" s="2"/>
      <c r="H8" s="187" t="s">
        <v>23</v>
      </c>
      <c r="I8" s="188"/>
      <c r="J8" s="189"/>
      <c r="K8" s="180" t="s">
        <v>24</v>
      </c>
      <c r="L8" s="177" t="s">
        <v>25</v>
      </c>
      <c r="M8" s="177"/>
      <c r="N8" s="177"/>
      <c r="O8" s="177" t="s">
        <v>26</v>
      </c>
      <c r="P8" s="2"/>
      <c r="Q8" s="175" t="s">
        <v>23</v>
      </c>
      <c r="R8" s="2"/>
      <c r="S8" s="175" t="s">
        <v>27</v>
      </c>
      <c r="T8" s="2"/>
      <c r="U8" s="175" t="s">
        <v>28</v>
      </c>
      <c r="V8" s="200" t="s">
        <v>29</v>
      </c>
      <c r="W8" s="2"/>
      <c r="X8" s="175" t="s">
        <v>23</v>
      </c>
    </row>
    <row r="9" spans="1:24" ht="59.25" customHeight="1" thickBot="1">
      <c r="A9" s="186"/>
      <c r="B9" s="197"/>
      <c r="C9" s="4"/>
      <c r="D9" s="199"/>
      <c r="E9" s="199"/>
      <c r="F9" s="179"/>
      <c r="G9" s="2"/>
      <c r="H9" s="190"/>
      <c r="I9" s="191"/>
      <c r="J9" s="192"/>
      <c r="K9" s="181"/>
      <c r="L9" s="163" t="s">
        <v>30</v>
      </c>
      <c r="M9" s="163" t="s">
        <v>31</v>
      </c>
      <c r="N9" s="163" t="s">
        <v>32</v>
      </c>
      <c r="O9" s="196"/>
      <c r="P9" s="2"/>
      <c r="Q9" s="176"/>
      <c r="R9" s="2"/>
      <c r="S9" s="176"/>
      <c r="T9" s="2"/>
      <c r="U9" s="176"/>
      <c r="V9" s="201"/>
      <c r="W9" s="2"/>
      <c r="X9" s="176"/>
    </row>
    <row r="10" spans="1:24" ht="32.25" customHeight="1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171">
        <f>F10*8.79</f>
        <v>349.84200000002556</v>
      </c>
      <c r="I10" s="172"/>
      <c r="J10" s="172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171">
        <f t="shared" ref="H11:H21" si="0">F11*8.79</f>
        <v>486.96600000007669</v>
      </c>
      <c r="I11" s="172"/>
      <c r="J11" s="172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407.33000000000004</v>
      </c>
      <c r="W11" s="11"/>
      <c r="X11" s="34">
        <f t="shared" ref="X11:X40" si="1">V11*9.8209</f>
        <v>4000.3471970000005</v>
      </c>
    </row>
    <row r="12" spans="1:24" ht="32.25" customHeight="1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171">
        <f t="shared" si="0"/>
        <v>396.42899999992324</v>
      </c>
      <c r="I12" s="172"/>
      <c r="J12" s="172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333.27000000000004</v>
      </c>
      <c r="W12" s="11"/>
      <c r="X12" s="34">
        <f t="shared" si="1"/>
        <v>3273.0113430000006</v>
      </c>
    </row>
    <row r="13" spans="1:24" ht="32.25" customHeight="1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171">
        <f t="shared" si="0"/>
        <v>770.88299999997434</v>
      </c>
      <c r="I13" s="172"/>
      <c r="J13" s="172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333.90000000000003</v>
      </c>
      <c r="W13" s="11"/>
      <c r="X13" s="34">
        <f t="shared" si="1"/>
        <v>3279.1985100000002</v>
      </c>
    </row>
    <row r="14" spans="1:24" ht="32.25" customHeight="1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171">
        <f t="shared" si="0"/>
        <v>600.35700000002555</v>
      </c>
      <c r="I14" s="172"/>
      <c r="J14" s="172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171">
        <f t="shared" si="0"/>
        <v>481.69200000002553</v>
      </c>
      <c r="I15" s="172"/>
      <c r="J15" s="172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171">
        <f t="shared" si="0"/>
        <v>424.55700000002554</v>
      </c>
      <c r="I16" s="172"/>
      <c r="J16" s="172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171">
        <f t="shared" si="0"/>
        <v>777.03599999994879</v>
      </c>
      <c r="I17" s="172"/>
      <c r="J17" s="172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171">
        <f t="shared" si="0"/>
        <v>517.73100000007673</v>
      </c>
      <c r="I18" s="172"/>
      <c r="J18" s="172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171">
        <f t="shared" si="0"/>
        <v>359.51099999994881</v>
      </c>
      <c r="I19" s="172"/>
      <c r="J19" s="172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171">
        <f t="shared" si="0"/>
        <v>817.46999999999991</v>
      </c>
      <c r="I20" s="172"/>
      <c r="J20" s="172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171">
        <f t="shared" si="0"/>
        <v>830.65499999999997</v>
      </c>
      <c r="I21" s="172"/>
      <c r="J21" s="172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>L21+M21+N21</f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171">
        <f t="shared" ref="H22:H35" si="4">F22*8.79</f>
        <v>702.32099999994875</v>
      </c>
      <c r="I22" s="172"/>
      <c r="J22" s="172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171">
        <f t="shared" si="4"/>
        <v>1004.6970000000255</v>
      </c>
      <c r="I23" s="172"/>
      <c r="J23" s="172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171">
        <f t="shared" si="4"/>
        <v>784.94700000002547</v>
      </c>
      <c r="I24" s="172"/>
      <c r="J24" s="172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171">
        <f t="shared" si="4"/>
        <v>1133.0309999999488</v>
      </c>
      <c r="I25" s="172"/>
      <c r="J25" s="172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171">
        <f t="shared" si="4"/>
        <v>2003.2410000000766</v>
      </c>
      <c r="I26" s="172"/>
      <c r="J26" s="172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171">
        <f t="shared" si="4"/>
        <v>788.46299999997439</v>
      </c>
      <c r="I27" s="172"/>
      <c r="J27" s="172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>
        <f>'Suvi Gaz'!O21</f>
        <v>479.98815000000002</v>
      </c>
      <c r="W27" s="11"/>
      <c r="X27" s="34">
        <f t="shared" si="1"/>
        <v>4713.9156223350001</v>
      </c>
    </row>
    <row r="28" spans="1:24" ht="32.25" customHeight="1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171">
        <f t="shared" si="4"/>
        <v>712.86900000005107</v>
      </c>
      <c r="I28" s="172"/>
      <c r="J28" s="172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2"/>
        <v>9404</v>
      </c>
      <c r="P28" s="11"/>
      <c r="Q28" s="34">
        <f>L28*0.6985+M28*0.9514+N28*1.3304</f>
        <v>8984.1375000000007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3142.6104148899999</v>
      </c>
    </row>
    <row r="29" spans="1:24" ht="32.25" customHeight="1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171">
        <f t="shared" si="4"/>
        <v>531.79499999999996</v>
      </c>
      <c r="I29" s="172"/>
      <c r="J29" s="172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>L29+M29+N29</f>
        <v>9627</v>
      </c>
      <c r="P29" s="11"/>
      <c r="Q29" s="34">
        <f t="shared" si="3"/>
        <v>9321.6940000000013</v>
      </c>
      <c r="R29" s="11"/>
      <c r="S29" s="28"/>
      <c r="T29" s="11"/>
      <c r="U29" s="28"/>
      <c r="V29" s="147">
        <f>'Suvi Gaz'!O23</f>
        <v>415.98973000000001</v>
      </c>
      <c r="W29" s="11"/>
      <c r="X29" s="34">
        <f t="shared" si="1"/>
        <v>4085.393539357</v>
      </c>
    </row>
    <row r="30" spans="1:24" ht="32.25" customHeight="1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171">
        <f t="shared" si="4"/>
        <v>620.57399999992322</v>
      </c>
      <c r="I30" s="172"/>
      <c r="J30" s="172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>L30+M30+N30</f>
        <v>10281</v>
      </c>
      <c r="P30" s="11"/>
      <c r="Q30" s="34">
        <f>L30*0.6985+M30*0.9514+N30*1.3304</f>
        <v>9823.8997999999992</v>
      </c>
      <c r="R30" s="11"/>
      <c r="S30" s="28"/>
      <c r="T30" s="11"/>
      <c r="U30" s="28"/>
      <c r="V30" s="147">
        <f>'Suvi Gaz'!O24</f>
        <v>127.99684000000001</v>
      </c>
      <c r="W30" s="11"/>
      <c r="X30" s="34">
        <f t="shared" si="1"/>
        <v>1257.0441659560001</v>
      </c>
    </row>
    <row r="31" spans="1:24" ht="27.75" customHeight="1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171">
        <f t="shared" si="4"/>
        <v>715.50600000007671</v>
      </c>
      <c r="I31" s="172"/>
      <c r="J31" s="172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>L31+M31+N31</f>
        <v>10884</v>
      </c>
      <c r="P31" s="11"/>
      <c r="Q31" s="34">
        <f>L31*0.6985+M31*0.9514+N31*1.3304</f>
        <v>10592.0609</v>
      </c>
      <c r="R31" s="11"/>
      <c r="S31" s="28"/>
      <c r="T31" s="11"/>
      <c r="U31" s="28"/>
      <c r="V31" s="147">
        <f>'Suvi Gaz'!O25</f>
        <v>383.99052</v>
      </c>
      <c r="W31" s="11"/>
      <c r="X31" s="34">
        <f t="shared" si="1"/>
        <v>3771.132497868</v>
      </c>
    </row>
    <row r="32" spans="1:24" ht="37.5" customHeight="1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171">
        <f t="shared" si="4"/>
        <v>737.48099999994872</v>
      </c>
      <c r="I32" s="172"/>
      <c r="J32" s="172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2"/>
        <v>12042</v>
      </c>
      <c r="P32" s="11"/>
      <c r="Q32" s="34">
        <f t="shared" si="3"/>
        <v>11813.528700000001</v>
      </c>
      <c r="R32" s="11"/>
      <c r="S32" s="28"/>
      <c r="T32" s="11"/>
      <c r="U32" s="28"/>
      <c r="V32" s="147">
        <f>'Suvi Gaz'!O26</f>
        <v>255.99368000000001</v>
      </c>
      <c r="W32" s="11"/>
      <c r="X32" s="34">
        <f t="shared" si="1"/>
        <v>2514.0883319120003</v>
      </c>
    </row>
    <row r="33" spans="1:24" ht="37.5" customHeight="1">
      <c r="A33" s="2"/>
      <c r="B33" s="6">
        <v>44340</v>
      </c>
      <c r="C33" s="7"/>
      <c r="D33" s="143">
        <v>49</v>
      </c>
      <c r="E33" s="143">
        <v>69</v>
      </c>
      <c r="F33" s="13">
        <f>'Suivi EAU-ELEC'!E32</f>
        <v>71</v>
      </c>
      <c r="G33" s="11"/>
      <c r="H33" s="171">
        <f t="shared" si="4"/>
        <v>624.08999999999992</v>
      </c>
      <c r="I33" s="172"/>
      <c r="J33" s="172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2"/>
        <v>9719</v>
      </c>
      <c r="P33" s="11"/>
      <c r="Q33" s="34">
        <f t="shared" si="3"/>
        <v>9165.300299999999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5656.6987468019997</v>
      </c>
    </row>
    <row r="34" spans="1:24" ht="37.5" customHeight="1">
      <c r="A34" s="2"/>
      <c r="B34" s="6">
        <v>44341</v>
      </c>
      <c r="C34" s="7"/>
      <c r="D34" s="143"/>
      <c r="E34" s="143"/>
      <c r="F34" s="13">
        <f>'Suivi EAU-ELEC'!E33</f>
        <v>80.899999999994179</v>
      </c>
      <c r="G34" s="11"/>
      <c r="H34" s="171">
        <f t="shared" si="4"/>
        <v>711.11099999994872</v>
      </c>
      <c r="I34" s="172"/>
      <c r="J34" s="172"/>
      <c r="K34" s="60">
        <v>42302</v>
      </c>
      <c r="L34" s="90">
        <f>'Suivi EAU-ELEC'!G33</f>
        <v>2337</v>
      </c>
      <c r="M34" s="91">
        <f>'Suivi EAU-ELEC'!I33</f>
        <v>5440</v>
      </c>
      <c r="N34" s="91">
        <f>'Suivi EAU-ELEC'!K33</f>
        <v>4037</v>
      </c>
      <c r="O34" s="91">
        <f t="shared" si="2"/>
        <v>11814</v>
      </c>
      <c r="P34" s="11"/>
      <c r="Q34" s="34">
        <f t="shared" si="3"/>
        <v>12178.835300000001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44342</v>
      </c>
      <c r="C35" s="7"/>
      <c r="D35" s="143"/>
      <c r="E35" s="143"/>
      <c r="F35" s="13"/>
      <c r="G35" s="11"/>
      <c r="H35" s="171">
        <f t="shared" si="4"/>
        <v>0</v>
      </c>
      <c r="I35" s="172"/>
      <c r="J35" s="172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44343</v>
      </c>
      <c r="C36" s="7"/>
      <c r="D36" s="143"/>
      <c r="E36" s="143"/>
      <c r="F36" s="13"/>
      <c r="G36" s="11"/>
      <c r="H36" s="171">
        <f>F36*8.79</f>
        <v>0</v>
      </c>
      <c r="I36" s="172"/>
      <c r="J36" s="172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44344</v>
      </c>
      <c r="C37" s="7"/>
      <c r="D37" s="143"/>
      <c r="E37" s="143"/>
      <c r="F37" s="13"/>
      <c r="G37" s="11"/>
      <c r="H37" s="171">
        <f t="shared" ref="H37:H38" si="5">F37*8.79</f>
        <v>0</v>
      </c>
      <c r="I37" s="172"/>
      <c r="J37" s="172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44345</v>
      </c>
      <c r="C38" s="7"/>
      <c r="D38" s="143"/>
      <c r="E38" s="143"/>
      <c r="F38" s="13"/>
      <c r="G38" s="11"/>
      <c r="H38" s="171">
        <f t="shared" si="5"/>
        <v>0</v>
      </c>
      <c r="I38" s="172"/>
      <c r="J38" s="172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44346</v>
      </c>
      <c r="C39" s="7"/>
      <c r="D39" s="143"/>
      <c r="E39" s="143"/>
      <c r="F39" s="13"/>
      <c r="G39" s="11"/>
      <c r="H39" s="171">
        <f t="shared" ref="H39" si="6">F39*8.79</f>
        <v>0</v>
      </c>
      <c r="I39" s="172"/>
      <c r="J39" s="172"/>
      <c r="K39" s="60"/>
      <c r="L39" s="90"/>
      <c r="M39" s="91"/>
      <c r="N39" s="91"/>
      <c r="O39" s="91"/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/>
    </row>
    <row r="40" spans="1:24" ht="33.75" customHeight="1">
      <c r="A40" s="2"/>
      <c r="B40" s="6">
        <v>44347</v>
      </c>
      <c r="C40" s="7"/>
      <c r="D40" s="143"/>
      <c r="E40" s="143"/>
      <c r="F40" s="13"/>
      <c r="G40" s="11"/>
      <c r="H40" s="171">
        <f>F40*8.79</f>
        <v>0</v>
      </c>
      <c r="I40" s="172"/>
      <c r="J40" s="172"/>
      <c r="K40" s="60">
        <v>42305</v>
      </c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7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649</v>
      </c>
      <c r="E41" s="8">
        <f>SUM(E10:E40)</f>
        <v>974</v>
      </c>
      <c r="F41" s="153">
        <f>SUM(F10:F40)</f>
        <v>2034.5</v>
      </c>
      <c r="G41" s="1"/>
      <c r="H41" s="168">
        <f>SUM(H10:H40)</f>
        <v>17883.255000000001</v>
      </c>
      <c r="I41" s="169"/>
      <c r="J41" s="170"/>
      <c r="K41" s="1"/>
      <c r="L41" s="53">
        <f>SUM(L10:L40)</f>
        <v>58710</v>
      </c>
      <c r="M41" s="53">
        <f>SUM(M10:M40)</f>
        <v>119263</v>
      </c>
      <c r="N41" s="54">
        <f>SUM(N10:N40)</f>
        <v>49446</v>
      </c>
      <c r="O41" s="55">
        <f>SUM(O10:O40)</f>
        <v>227419</v>
      </c>
      <c r="P41" s="31"/>
      <c r="Q41" s="32">
        <f>SUM(Q10:Q40)</f>
        <v>220121.68040000004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7221.5646400000014</v>
      </c>
      <c r="W41" s="31"/>
      <c r="X41" s="32">
        <f>SUM(X10:X40)</f>
        <v>70922.264172975993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7" t="s">
        <v>33</v>
      </c>
      <c r="B43" s="208"/>
      <c r="C43" s="208"/>
      <c r="D43" s="208"/>
      <c r="E43" s="208"/>
      <c r="F43" s="209"/>
      <c r="G43" s="26"/>
      <c r="H43" s="27" t="s">
        <v>34</v>
      </c>
      <c r="I43" s="246" t="s">
        <v>35</v>
      </c>
      <c r="J43" s="247"/>
      <c r="K43" s="248"/>
      <c r="L43" s="221" t="s">
        <v>36</v>
      </c>
      <c r="M43" s="222"/>
      <c r="N43" s="207" t="s">
        <v>37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s="18" customFormat="1" ht="29.25" customHeight="1" thickBot="1">
      <c r="A44" s="215" t="s">
        <v>38</v>
      </c>
      <c r="B44" s="216"/>
      <c r="C44" s="217"/>
      <c r="D44" s="160" t="s">
        <v>30</v>
      </c>
      <c r="E44" s="160" t="s">
        <v>30</v>
      </c>
      <c r="F44" s="160" t="s">
        <v>30</v>
      </c>
      <c r="G44" s="16"/>
      <c r="H44" s="17">
        <v>0.69850000000000001</v>
      </c>
      <c r="I44" s="212">
        <f>L41</f>
        <v>58710</v>
      </c>
      <c r="J44" s="213"/>
      <c r="K44" s="214"/>
      <c r="L44" s="173">
        <f>I44*H44</f>
        <v>41008.934999999998</v>
      </c>
      <c r="M44" s="174"/>
      <c r="N44" s="230">
        <f>L44+L45+L46</f>
        <v>220258.71160000001</v>
      </c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9.25" customHeight="1" thickBot="1">
      <c r="A45" s="218"/>
      <c r="B45" s="219"/>
      <c r="C45" s="220"/>
      <c r="D45" s="159" t="s">
        <v>31</v>
      </c>
      <c r="E45" s="159" t="s">
        <v>31</v>
      </c>
      <c r="F45" s="159" t="s">
        <v>31</v>
      </c>
      <c r="G45" s="16"/>
      <c r="H45" s="19">
        <v>0.95140000000000002</v>
      </c>
      <c r="I45" s="212">
        <f>M41</f>
        <v>119263</v>
      </c>
      <c r="J45" s="213"/>
      <c r="K45" s="214"/>
      <c r="L45" s="173">
        <f>I45*H45</f>
        <v>113466.81820000001</v>
      </c>
      <c r="M45" s="174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24.75" customHeight="1" thickBot="1">
      <c r="A46" s="218"/>
      <c r="B46" s="219"/>
      <c r="C46" s="220"/>
      <c r="D46" s="156" t="s">
        <v>32</v>
      </c>
      <c r="E46" s="156" t="s">
        <v>32</v>
      </c>
      <c r="F46" s="156" t="s">
        <v>32</v>
      </c>
      <c r="G46" s="20"/>
      <c r="H46" s="20">
        <v>1.3304</v>
      </c>
      <c r="I46" s="243">
        <f>N41</f>
        <v>49446</v>
      </c>
      <c r="J46" s="244"/>
      <c r="K46" s="245"/>
      <c r="L46" s="173">
        <f>I46*H46</f>
        <v>65782.958400000003</v>
      </c>
      <c r="M46" s="174"/>
      <c r="N46" s="236"/>
      <c r="O46" s="237"/>
      <c r="P46" s="237"/>
      <c r="Q46" s="237"/>
      <c r="R46" s="237"/>
      <c r="S46" s="237"/>
      <c r="T46" s="237"/>
      <c r="U46" s="237"/>
      <c r="V46" s="237"/>
      <c r="W46" s="237"/>
      <c r="X46" s="238"/>
    </row>
    <row r="47" spans="1:24" s="18" customFormat="1" ht="43.5" customHeight="1" thickBot="1">
      <c r="A47" s="161"/>
      <c r="B47" s="162"/>
      <c r="C47" s="162"/>
      <c r="D47" s="156"/>
      <c r="E47" s="156"/>
      <c r="F47" s="156"/>
      <c r="G47" s="16"/>
      <c r="H47" s="16"/>
      <c r="I47" s="154"/>
      <c r="J47" s="155"/>
      <c r="K47" s="156"/>
      <c r="L47" s="157"/>
      <c r="M47" s="158"/>
      <c r="N47" s="249">
        <f>N44*1.3</f>
        <v>286336.32508000004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1"/>
    </row>
    <row r="48" spans="1:24" s="23" customFormat="1" ht="32.25" customHeight="1" thickBot="1">
      <c r="A48" s="204" t="s">
        <v>39</v>
      </c>
      <c r="B48" s="205"/>
      <c r="C48" s="205"/>
      <c r="D48" s="205"/>
      <c r="E48" s="205"/>
      <c r="F48" s="206"/>
      <c r="G48" s="21"/>
      <c r="H48" s="22">
        <v>8.7899999999999991</v>
      </c>
      <c r="I48" s="204">
        <f>F41</f>
        <v>2034.5</v>
      </c>
      <c r="J48" s="205"/>
      <c r="K48" s="206"/>
      <c r="L48" s="210">
        <f>I48*H48</f>
        <v>17883.254999999997</v>
      </c>
      <c r="M48" s="211"/>
      <c r="N48" s="227">
        <f>L48</f>
        <v>17883.254999999997</v>
      </c>
      <c r="O48" s="228"/>
      <c r="P48" s="228"/>
      <c r="Q48" s="228"/>
      <c r="R48" s="228"/>
      <c r="S48" s="228"/>
      <c r="T48" s="228"/>
      <c r="U48" s="228"/>
      <c r="V48" s="228"/>
      <c r="W48" s="228"/>
      <c r="X48" s="229"/>
    </row>
    <row r="49" spans="1:24" s="23" customFormat="1" ht="36.75" customHeight="1">
      <c r="A49" s="239" t="s">
        <v>40</v>
      </c>
      <c r="B49" s="240"/>
      <c r="C49" s="240"/>
      <c r="D49" s="240"/>
      <c r="E49" s="240"/>
      <c r="F49" s="241"/>
      <c r="G49" s="24"/>
      <c r="H49" s="25">
        <v>9.8209</v>
      </c>
      <c r="I49" s="202">
        <f>V41</f>
        <v>7221.5646400000014</v>
      </c>
      <c r="J49" s="242"/>
      <c r="K49" s="203"/>
      <c r="L49" s="202">
        <f>I49*H49</f>
        <v>70922.264172976007</v>
      </c>
      <c r="M49" s="203"/>
      <c r="N49" s="224">
        <f>L49</f>
        <v>70922.264172976007</v>
      </c>
      <c r="O49" s="225"/>
      <c r="P49" s="225"/>
      <c r="Q49" s="225"/>
      <c r="R49" s="225"/>
      <c r="S49" s="225"/>
      <c r="T49" s="225"/>
      <c r="U49" s="225"/>
      <c r="V49" s="225"/>
      <c r="W49" s="225"/>
      <c r="X49" s="226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3"/>
      <c r="S55" s="223"/>
      <c r="T55" s="223"/>
      <c r="U55" s="223"/>
      <c r="V55" s="223"/>
      <c r="W55" s="223"/>
      <c r="X55" s="223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5" activePane="bottomRight" state="frozen"/>
      <selection pane="bottomRight" activeCell="B33" sqref="B33:K3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>
      <c r="A10" s="59">
        <v>44318</v>
      </c>
      <c r="B10" s="116">
        <v>2559</v>
      </c>
      <c r="C10" s="115">
        <f>B10-B9</f>
        <v>0</v>
      </c>
      <c r="D10" s="57">
        <v>108532.6</v>
      </c>
      <c r="E10" s="50">
        <f>D10-D9</f>
        <v>55.400000000008731</v>
      </c>
      <c r="F10" s="51">
        <v>10532161</v>
      </c>
      <c r="G10" s="50">
        <f>F10-F9</f>
        <v>2110</v>
      </c>
      <c r="H10" s="51">
        <v>17702827</v>
      </c>
      <c r="I10" s="50">
        <f>H10-H9</f>
        <v>4163</v>
      </c>
      <c r="J10" s="51">
        <v>7839457</v>
      </c>
      <c r="K10" s="50">
        <f>J10-J9</f>
        <v>1825</v>
      </c>
    </row>
    <row r="11" spans="1:12" ht="19.5">
      <c r="A11" s="59">
        <v>44319</v>
      </c>
      <c r="B11" s="116">
        <v>2559</v>
      </c>
      <c r="C11" s="115">
        <f>B11-B10</f>
        <v>0</v>
      </c>
      <c r="D11" s="57">
        <v>108577.7</v>
      </c>
      <c r="E11" s="50">
        <f>D11-D10</f>
        <v>45.099999999991269</v>
      </c>
      <c r="F11" s="51">
        <v>10534301</v>
      </c>
      <c r="G11" s="50">
        <f>F11-F10</f>
        <v>2140</v>
      </c>
      <c r="H11" s="51">
        <v>17707190</v>
      </c>
      <c r="I11" s="50">
        <f>H11-H10</f>
        <v>4363</v>
      </c>
      <c r="J11" s="51">
        <v>7841159</v>
      </c>
      <c r="K11" s="50">
        <f>J11-J10</f>
        <v>1702</v>
      </c>
    </row>
    <row r="12" spans="1:12" ht="19.5">
      <c r="A12" s="59">
        <v>44320</v>
      </c>
      <c r="B12" s="116">
        <v>2559</v>
      </c>
      <c r="C12" s="115">
        <f>B12-B11</f>
        <v>0</v>
      </c>
      <c r="D12" s="57">
        <v>108665.4</v>
      </c>
      <c r="E12" s="50">
        <f>D12-D11</f>
        <v>87.69999999999709</v>
      </c>
      <c r="F12" s="51">
        <v>10536606</v>
      </c>
      <c r="G12" s="50">
        <f>F12-F11</f>
        <v>2305</v>
      </c>
      <c r="H12" s="51">
        <v>17711750</v>
      </c>
      <c r="I12" s="50">
        <f>H12-H11</f>
        <v>4560</v>
      </c>
      <c r="J12" s="51">
        <v>7842752</v>
      </c>
      <c r="K12" s="50">
        <f>J12-J11</f>
        <v>1593</v>
      </c>
    </row>
    <row r="13" spans="1:12" ht="19.5">
      <c r="A13" s="59">
        <v>44321</v>
      </c>
      <c r="B13" s="116">
        <v>2559</v>
      </c>
      <c r="C13" s="115">
        <f>B13-B12</f>
        <v>0</v>
      </c>
      <c r="D13" s="57">
        <v>108733.7</v>
      </c>
      <c r="E13" s="50">
        <f>D13-D12</f>
        <v>68.30000000000291</v>
      </c>
      <c r="F13" s="51">
        <v>10538878</v>
      </c>
      <c r="G13" s="50">
        <f>F13-F12</f>
        <v>2272</v>
      </c>
      <c r="H13" s="51">
        <v>17716402</v>
      </c>
      <c r="I13" s="50">
        <f>H13-H12</f>
        <v>4652</v>
      </c>
      <c r="J13" s="51">
        <v>7844474</v>
      </c>
      <c r="K13" s="50">
        <f>J13-J12</f>
        <v>1722</v>
      </c>
    </row>
    <row r="14" spans="1:12" ht="19.5">
      <c r="A14" s="59">
        <v>44322</v>
      </c>
      <c r="B14" s="116">
        <v>2559</v>
      </c>
      <c r="C14" s="115">
        <f>B14-B13</f>
        <v>0</v>
      </c>
      <c r="D14" s="57">
        <v>108788.5</v>
      </c>
      <c r="E14" s="50">
        <f>D14-D13</f>
        <v>54.80000000000291</v>
      </c>
      <c r="F14" s="51">
        <v>10541418</v>
      </c>
      <c r="G14" s="50">
        <f>F14-F13</f>
        <v>2540</v>
      </c>
      <c r="H14" s="51">
        <v>17720927</v>
      </c>
      <c r="I14" s="50">
        <f>H14-H13</f>
        <v>4525</v>
      </c>
      <c r="J14" s="51">
        <v>7846226</v>
      </c>
      <c r="K14" s="50">
        <f>J14-J13</f>
        <v>1752</v>
      </c>
    </row>
    <row r="15" spans="1:12" ht="19.5">
      <c r="A15" s="59">
        <v>44323</v>
      </c>
      <c r="B15" s="116">
        <v>2559</v>
      </c>
      <c r="C15" s="115">
        <f>B15-B14</f>
        <v>0</v>
      </c>
      <c r="D15" s="57">
        <v>108836.8</v>
      </c>
      <c r="E15" s="50">
        <f>D15-D14</f>
        <v>48.30000000000291</v>
      </c>
      <c r="F15" s="51">
        <v>10543607</v>
      </c>
      <c r="G15" s="50">
        <f>F15-F14</f>
        <v>2189</v>
      </c>
      <c r="H15" s="51">
        <v>17726008</v>
      </c>
      <c r="I15" s="50">
        <f>H15-H14</f>
        <v>5081</v>
      </c>
      <c r="J15" s="51">
        <v>7848088</v>
      </c>
      <c r="K15" s="50">
        <f>J15-J14</f>
        <v>1862</v>
      </c>
    </row>
    <row r="16" spans="1:12" ht="19.5">
      <c r="A16" s="59">
        <v>44324</v>
      </c>
      <c r="B16" s="116">
        <v>2559</v>
      </c>
      <c r="C16" s="115">
        <f t="shared" ref="C16:C33" si="0">B16-B15</f>
        <v>0</v>
      </c>
      <c r="D16" s="57">
        <v>108925.2</v>
      </c>
      <c r="E16" s="50">
        <f t="shared" ref="E16:F31" si="1">D16-D15</f>
        <v>88.399999999994179</v>
      </c>
      <c r="F16" s="51">
        <v>10546012</v>
      </c>
      <c r="G16" s="50">
        <f t="shared" ref="G16:G33" si="2">F16-F15</f>
        <v>2405</v>
      </c>
      <c r="H16" s="51">
        <v>17731131</v>
      </c>
      <c r="I16" s="50">
        <f t="shared" ref="I16:I33" si="3">H16-H15</f>
        <v>5123</v>
      </c>
      <c r="J16" s="51">
        <v>7849987</v>
      </c>
      <c r="K16" s="50">
        <f t="shared" ref="K16:K33" si="4">J16-J15</f>
        <v>1899</v>
      </c>
    </row>
    <row r="17" spans="1:29" ht="19.5">
      <c r="A17" s="59">
        <v>44325</v>
      </c>
      <c r="B17" s="116">
        <v>2559</v>
      </c>
      <c r="C17" s="115">
        <f t="shared" si="0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>
      <c r="A18" s="59">
        <v>44326</v>
      </c>
      <c r="B18" s="116">
        <v>2559</v>
      </c>
      <c r="C18" s="115">
        <f t="shared" si="0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>
      <c r="A19" s="59">
        <v>44327</v>
      </c>
      <c r="B19" s="116">
        <v>2559</v>
      </c>
      <c r="C19" s="115">
        <f t="shared" si="0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>
      <c r="A20" s="59">
        <v>44328</v>
      </c>
      <c r="B20" s="116">
        <v>2559</v>
      </c>
      <c r="C20" s="115">
        <f t="shared" si="0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>
      <c r="A21" s="59">
        <v>44329</v>
      </c>
      <c r="B21" s="116">
        <v>2559</v>
      </c>
      <c r="C21" s="115">
        <f t="shared" si="0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>
      <c r="A22" s="59">
        <v>44330</v>
      </c>
      <c r="B22" s="116">
        <v>2559</v>
      </c>
      <c r="C22" s="115">
        <f t="shared" si="0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>
      <c r="A23" s="59">
        <v>44331</v>
      </c>
      <c r="B23" s="116">
        <v>2559</v>
      </c>
      <c r="C23" s="115">
        <f t="shared" si="0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>
      <c r="A24" s="59">
        <v>44332</v>
      </c>
      <c r="B24" s="116">
        <v>2559</v>
      </c>
      <c r="C24" s="115">
        <f t="shared" si="0"/>
        <v>0</v>
      </c>
      <c r="D24" s="57">
        <v>109624.9</v>
      </c>
      <c r="E24" s="167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>
      <c r="A25" s="59">
        <v>44333</v>
      </c>
      <c r="B25" s="116">
        <v>2559</v>
      </c>
      <c r="C25" s="115">
        <f t="shared" si="0"/>
        <v>0</v>
      </c>
      <c r="D25" s="57">
        <v>109852.8</v>
      </c>
      <c r="E25" s="167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>
      <c r="A26" s="59">
        <v>44334</v>
      </c>
      <c r="B26" s="116">
        <v>2559</v>
      </c>
      <c r="C26" s="115">
        <f t="shared" si="0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>
      <c r="A27" s="59">
        <v>44335</v>
      </c>
      <c r="B27" s="116">
        <v>2559</v>
      </c>
      <c r="C27" s="115">
        <f t="shared" si="0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>
      <c r="A28" s="59">
        <v>44336</v>
      </c>
      <c r="B28" s="116">
        <v>2559</v>
      </c>
      <c r="C28" s="115">
        <f t="shared" si="0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>
      <c r="A29" s="59">
        <v>44337</v>
      </c>
      <c r="B29" s="116">
        <v>2559</v>
      </c>
      <c r="C29" s="115">
        <f t="shared" si="0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>
      <c r="A30" s="59">
        <v>44338</v>
      </c>
      <c r="B30" s="116">
        <v>2559</v>
      </c>
      <c r="C30" s="115">
        <f t="shared" si="0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>
      <c r="A31" s="59">
        <v>44339</v>
      </c>
      <c r="B31" s="116">
        <v>2559</v>
      </c>
      <c r="C31" s="115">
        <f t="shared" si="0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>
      <c r="A32" s="59">
        <v>44340</v>
      </c>
      <c r="B32" s="116">
        <v>2559</v>
      </c>
      <c r="C32" s="115">
        <f t="shared" si="0"/>
        <v>0</v>
      </c>
      <c r="D32" s="57">
        <v>110391</v>
      </c>
      <c r="E32" s="50">
        <f t="shared" ref="E32:E33" si="5">D32-D31</f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>
      <c r="A33" s="59">
        <v>44341</v>
      </c>
      <c r="B33" s="116">
        <v>2559</v>
      </c>
      <c r="C33" s="115">
        <f t="shared" si="0"/>
        <v>0</v>
      </c>
      <c r="D33" s="57">
        <v>110471.9</v>
      </c>
      <c r="E33" s="50">
        <f t="shared" si="5"/>
        <v>80.899999999994179</v>
      </c>
      <c r="F33" s="51">
        <v>10586582</v>
      </c>
      <c r="G33" s="50">
        <f t="shared" si="2"/>
        <v>2337</v>
      </c>
      <c r="H33" s="51">
        <v>17813718</v>
      </c>
      <c r="I33" s="50">
        <f t="shared" si="3"/>
        <v>5440</v>
      </c>
      <c r="J33" s="51">
        <v>7885327</v>
      </c>
      <c r="K33" s="50">
        <f t="shared" si="4"/>
        <v>4037</v>
      </c>
    </row>
    <row r="34" spans="1:11" ht="19.5">
      <c r="A34" s="59">
        <v>44342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44343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44344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44345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44346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44347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I28" sqref="I2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44317</v>
      </c>
      <c r="B4" s="41">
        <v>60</v>
      </c>
      <c r="C4" s="39">
        <f t="shared" ref="C4:C28" si="0">IF(AC4&gt;0,((B4-R4)+(S4-B5)),IF(B5=0, ,(B4-B5)))</f>
        <v>1</v>
      </c>
      <c r="D4" s="41">
        <v>61</v>
      </c>
      <c r="E4" s="39">
        <f t="shared" ref="E4:E27" si="1">IF(AC4&gt;0,((D4-U4)+(V4-D5)),IF(D5=0, ,(D4-D5)))</f>
        <v>2</v>
      </c>
      <c r="F4" s="41">
        <v>62</v>
      </c>
      <c r="G4" s="39">
        <f t="shared" ref="G4:G27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50">
        <f t="shared" ref="M5:M42" si="6">7000*4</f>
        <v>28000</v>
      </c>
      <c r="N5" s="39">
        <f>L5*M5/100</f>
        <v>770</v>
      </c>
      <c r="O5" s="39">
        <f>N5*0.529</f>
        <v>407.33000000000004</v>
      </c>
      <c r="P5" s="42">
        <f t="shared" ref="P5:P38" si="7">O5*8.7</f>
        <v>3543.7710000000002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8">IF(AC6&gt;0,((H6-AA6)+(AB6-H7)),IF(H7=0, ,(H6-H7)))</f>
        <v>3</v>
      </c>
      <c r="J6" s="39">
        <f t="shared" ref="J6:J42" si="9">B6+D6+F6+H6</f>
        <v>227</v>
      </c>
      <c r="K6" s="39">
        <f t="shared" ref="K6:K42" si="10">J6/4</f>
        <v>56.75</v>
      </c>
      <c r="L6" s="39">
        <f t="shared" ref="L6:L19" si="11">IF(AC6&gt;0,((K6-AD6)+(AE6-K7)),IF(K7=0, ,(K6-K7)))</f>
        <v>2.25</v>
      </c>
      <c r="M6" s="150">
        <f t="shared" si="6"/>
        <v>28000</v>
      </c>
      <c r="N6" s="39">
        <f t="shared" ref="N6:N42" si="12">L6*M6/100</f>
        <v>630</v>
      </c>
      <c r="O6" s="39">
        <f>N6*0.529</f>
        <v>333.27000000000004</v>
      </c>
      <c r="P6" s="42">
        <f t="shared" si="7"/>
        <v>2899.4490000000001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8"/>
        <v>1</v>
      </c>
      <c r="J7" s="39">
        <f t="shared" si="9"/>
        <v>218</v>
      </c>
      <c r="K7" s="39">
        <f t="shared" si="10"/>
        <v>54.5</v>
      </c>
      <c r="L7" s="39">
        <f t="shared" si="11"/>
        <v>2.25</v>
      </c>
      <c r="M7" s="150">
        <f t="shared" si="6"/>
        <v>28000</v>
      </c>
      <c r="N7" s="39">
        <f t="shared" si="12"/>
        <v>630</v>
      </c>
      <c r="O7" s="39">
        <f>N7*0.53</f>
        <v>333.90000000000003</v>
      </c>
      <c r="P7" s="42">
        <f t="shared" si="7"/>
        <v>2904.93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8"/>
        <v>2</v>
      </c>
      <c r="J8" s="39">
        <f t="shared" si="9"/>
        <v>209</v>
      </c>
      <c r="K8" s="39">
        <f t="shared" si="10"/>
        <v>52.25</v>
      </c>
      <c r="L8" s="39">
        <f t="shared" si="11"/>
        <v>1</v>
      </c>
      <c r="M8" s="150">
        <f>6049*4</f>
        <v>24196</v>
      </c>
      <c r="N8" s="39">
        <f t="shared" si="12"/>
        <v>241.96</v>
      </c>
      <c r="O8" s="149">
        <f t="shared" ref="O8:O37" si="13">N8*0.529</f>
        <v>127.99684000000001</v>
      </c>
      <c r="P8" s="42">
        <f t="shared" si="7"/>
        <v>1113.572508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8"/>
        <v>2</v>
      </c>
      <c r="J9" s="39">
        <f t="shared" si="9"/>
        <v>205</v>
      </c>
      <c r="K9" s="39">
        <f t="shared" si="10"/>
        <v>51.25</v>
      </c>
      <c r="L9" s="39">
        <f t="shared" si="11"/>
        <v>1.75</v>
      </c>
      <c r="M9" s="150">
        <f t="shared" ref="M9:M42" si="14">6049*4</f>
        <v>24196</v>
      </c>
      <c r="N9" s="39">
        <f t="shared" si="12"/>
        <v>423.43</v>
      </c>
      <c r="O9" s="39">
        <f t="shared" si="13"/>
        <v>223.99447000000001</v>
      </c>
      <c r="P9" s="42">
        <f t="shared" si="7"/>
        <v>1948.7518889999999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8"/>
        <v>1</v>
      </c>
      <c r="J10" s="39">
        <f t="shared" si="9"/>
        <v>340</v>
      </c>
      <c r="K10" s="39">
        <f t="shared" si="10"/>
        <v>85</v>
      </c>
      <c r="L10" s="39">
        <f t="shared" si="11"/>
        <v>0.5</v>
      </c>
      <c r="M10" s="150">
        <f t="shared" si="14"/>
        <v>24196</v>
      </c>
      <c r="N10" s="39">
        <f t="shared" si="12"/>
        <v>120.98</v>
      </c>
      <c r="O10" s="149">
        <f t="shared" si="13"/>
        <v>63.998420000000003</v>
      </c>
      <c r="P10" s="42">
        <f t="shared" si="7"/>
        <v>556.78625399999999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8"/>
        <v>2</v>
      </c>
      <c r="J11" s="39">
        <f t="shared" si="9"/>
        <v>338</v>
      </c>
      <c r="K11" s="39">
        <f t="shared" si="10"/>
        <v>84.5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8"/>
        <v>3</v>
      </c>
      <c r="J12" s="39">
        <f t="shared" si="9"/>
        <v>330</v>
      </c>
      <c r="K12" s="39">
        <f t="shared" si="10"/>
        <v>82.5</v>
      </c>
      <c r="L12" s="39">
        <f t="shared" si="11"/>
        <v>2.5</v>
      </c>
      <c r="M12" s="150">
        <f t="shared" si="14"/>
        <v>24196</v>
      </c>
      <c r="N12" s="39">
        <f t="shared" si="12"/>
        <v>604.9</v>
      </c>
      <c r="O12" s="39">
        <f t="shared" si="13"/>
        <v>319.99209999999999</v>
      </c>
      <c r="P12" s="42">
        <f t="shared" si="7"/>
        <v>2783.9312699999996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8"/>
        <v>3</v>
      </c>
      <c r="J13" s="39">
        <f t="shared" si="9"/>
        <v>320</v>
      </c>
      <c r="K13" s="39">
        <f t="shared" si="10"/>
        <v>80</v>
      </c>
      <c r="L13" s="39">
        <f t="shared" si="11"/>
        <v>2.75</v>
      </c>
      <c r="M13" s="150">
        <f t="shared" si="14"/>
        <v>24196</v>
      </c>
      <c r="N13" s="39">
        <f t="shared" si="12"/>
        <v>665.39</v>
      </c>
      <c r="O13" s="39">
        <f t="shared" si="13"/>
        <v>351.99131</v>
      </c>
      <c r="P13" s="42">
        <f t="shared" si="7"/>
        <v>3062.3243969999999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9"/>
        <v>309</v>
      </c>
      <c r="K14" s="39">
        <f t="shared" si="10"/>
        <v>77.25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2227.1450159999999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9"/>
        <v>301</v>
      </c>
      <c r="K15" s="39">
        <f t="shared" si="10"/>
        <v>75.25</v>
      </c>
      <c r="L15" s="39">
        <f t="shared" si="11"/>
        <v>2.5</v>
      </c>
      <c r="M15" s="150">
        <f t="shared" si="14"/>
        <v>24196</v>
      </c>
      <c r="N15" s="39">
        <f t="shared" si="12"/>
        <v>604.9</v>
      </c>
      <c r="O15" s="39">
        <f t="shared" si="13"/>
        <v>319.99209999999999</v>
      </c>
      <c r="P15" s="42">
        <f t="shared" si="7"/>
        <v>2783.9312699999996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8"/>
        <v>3</v>
      </c>
      <c r="J16" s="39">
        <f t="shared" si="9"/>
        <v>291</v>
      </c>
      <c r="K16" s="39">
        <f t="shared" si="10"/>
        <v>72.75</v>
      </c>
      <c r="L16" s="39">
        <f t="shared" si="11"/>
        <v>2.5</v>
      </c>
      <c r="M16" s="150">
        <f t="shared" si="14"/>
        <v>24196</v>
      </c>
      <c r="N16" s="39">
        <f t="shared" si="12"/>
        <v>604.9</v>
      </c>
      <c r="O16" s="39">
        <f t="shared" si="13"/>
        <v>319.99209999999999</v>
      </c>
      <c r="P16" s="42">
        <f t="shared" si="7"/>
        <v>2783.9312699999996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8"/>
        <v>0</v>
      </c>
      <c r="J17" s="39">
        <f t="shared" si="9"/>
        <v>281</v>
      </c>
      <c r="K17" s="39">
        <f t="shared" si="10"/>
        <v>70.25</v>
      </c>
      <c r="L17" s="39">
        <f t="shared" si="11"/>
        <v>3.5</v>
      </c>
      <c r="M17" s="150">
        <f t="shared" si="14"/>
        <v>24196</v>
      </c>
      <c r="N17" s="39">
        <f t="shared" si="12"/>
        <v>846.86</v>
      </c>
      <c r="O17" s="39">
        <f t="shared" si="13"/>
        <v>447.98894000000001</v>
      </c>
      <c r="P17" s="42">
        <f t="shared" si="7"/>
        <v>3897.5037779999998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8"/>
        <v>3</v>
      </c>
      <c r="J18" s="39">
        <f t="shared" si="9"/>
        <v>267</v>
      </c>
      <c r="K18" s="39">
        <f t="shared" si="10"/>
        <v>66.75</v>
      </c>
      <c r="L18" s="39">
        <f t="shared" si="11"/>
        <v>2.5</v>
      </c>
      <c r="M18" s="150">
        <f t="shared" si="14"/>
        <v>24196</v>
      </c>
      <c r="N18" s="39">
        <f t="shared" si="12"/>
        <v>604.9</v>
      </c>
      <c r="O18" s="39">
        <f t="shared" si="13"/>
        <v>319.99209999999999</v>
      </c>
      <c r="P18" s="42">
        <f t="shared" si="7"/>
        <v>2783.9312699999996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8"/>
        <v>2</v>
      </c>
      <c r="J19" s="39">
        <f t="shared" si="9"/>
        <v>257</v>
      </c>
      <c r="K19" s="39">
        <f t="shared" si="10"/>
        <v>64.25</v>
      </c>
      <c r="L19" s="39">
        <f t="shared" si="11"/>
        <v>2.25</v>
      </c>
      <c r="M19" s="150">
        <f t="shared" si="14"/>
        <v>24196</v>
      </c>
      <c r="N19" s="39">
        <f t="shared" si="12"/>
        <v>544.41</v>
      </c>
      <c r="O19" s="39">
        <f t="shared" si="13"/>
        <v>287.99288999999999</v>
      </c>
      <c r="P19" s="42">
        <f t="shared" si="7"/>
        <v>2505.5381429999998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8"/>
        <v>0</v>
      </c>
      <c r="J20" s="39">
        <f t="shared" si="9"/>
        <v>248</v>
      </c>
      <c r="K20" s="39">
        <f t="shared" si="10"/>
        <v>62</v>
      </c>
      <c r="L20" s="39">
        <f t="shared" ref="L20:L42" si="15">IF(AC20&gt;0,((K20-AD20)+(AE20-K21)),IF(K21=0, ,(K20-K21)))</f>
        <v>0.25</v>
      </c>
      <c r="M20" s="150">
        <f t="shared" si="14"/>
        <v>24196</v>
      </c>
      <c r="N20" s="39">
        <f t="shared" si="12"/>
        <v>60.49</v>
      </c>
      <c r="O20" s="39">
        <f t="shared" si="13"/>
        <v>31.999210000000001</v>
      </c>
      <c r="P20" s="42">
        <f t="shared" si="7"/>
        <v>278.39312699999999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8"/>
        <v>4</v>
      </c>
      <c r="J21" s="39">
        <f t="shared" si="9"/>
        <v>247</v>
      </c>
      <c r="K21" s="39">
        <f t="shared" si="10"/>
        <v>61.75</v>
      </c>
      <c r="L21" s="39">
        <f>IF(AC21&gt;0,((K21-AD21)+(AE21-K22)),IF(K22=0, ,(K21-K22)))</f>
        <v>3.75</v>
      </c>
      <c r="M21" s="150">
        <f t="shared" si="14"/>
        <v>24196</v>
      </c>
      <c r="N21" s="39">
        <f t="shared" si="12"/>
        <v>907.35</v>
      </c>
      <c r="O21" s="39">
        <f t="shared" si="13"/>
        <v>479.98815000000002</v>
      </c>
      <c r="P21" s="42">
        <f t="shared" si="7"/>
        <v>4175.8969049999996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8"/>
        <v>3</v>
      </c>
      <c r="J22" s="39">
        <f t="shared" si="9"/>
        <v>232</v>
      </c>
      <c r="K22" s="39">
        <f t="shared" si="10"/>
        <v>58</v>
      </c>
      <c r="L22" s="39">
        <f>IF(AC22&gt;0,((K22-AD22)+(AE22-K23)),IF(K23=0, ,(K22-K23)))</f>
        <v>2.5</v>
      </c>
      <c r="M22" s="150">
        <f t="shared" si="14"/>
        <v>24196</v>
      </c>
      <c r="N22" s="39">
        <f t="shared" si="12"/>
        <v>604.9</v>
      </c>
      <c r="O22" s="39">
        <f t="shared" si="13"/>
        <v>319.99209999999999</v>
      </c>
      <c r="P22" s="42">
        <f t="shared" si="7"/>
        <v>2783.9312699999996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8"/>
        <v>4</v>
      </c>
      <c r="J23" s="39">
        <f t="shared" si="9"/>
        <v>222</v>
      </c>
      <c r="K23" s="39">
        <f t="shared" si="10"/>
        <v>55.5</v>
      </c>
      <c r="L23" s="39">
        <f t="shared" si="15"/>
        <v>3.25</v>
      </c>
      <c r="M23" s="150">
        <f t="shared" si="14"/>
        <v>24196</v>
      </c>
      <c r="N23" s="39">
        <f t="shared" si="12"/>
        <v>786.37</v>
      </c>
      <c r="O23" s="39">
        <f t="shared" si="13"/>
        <v>415.98973000000001</v>
      </c>
      <c r="P23" s="42">
        <f t="shared" si="7"/>
        <v>3619.110651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8"/>
        <v>1</v>
      </c>
      <c r="J24" s="39">
        <f t="shared" si="9"/>
        <v>338</v>
      </c>
      <c r="K24" s="39">
        <f t="shared" si="10"/>
        <v>84.5</v>
      </c>
      <c r="L24" s="39">
        <f t="shared" si="15"/>
        <v>1</v>
      </c>
      <c r="M24" s="150">
        <f t="shared" si="14"/>
        <v>24196</v>
      </c>
      <c r="N24" s="39">
        <f t="shared" si="12"/>
        <v>241.96</v>
      </c>
      <c r="O24" s="39">
        <f t="shared" si="13"/>
        <v>127.99684000000001</v>
      </c>
      <c r="P24" s="42">
        <f t="shared" si="7"/>
        <v>1113.572508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8"/>
        <v>3</v>
      </c>
      <c r="J25" s="39">
        <f t="shared" si="9"/>
        <v>334</v>
      </c>
      <c r="K25" s="39">
        <f t="shared" si="10"/>
        <v>83.5</v>
      </c>
      <c r="L25" s="39">
        <f t="shared" si="15"/>
        <v>3</v>
      </c>
      <c r="M25" s="150">
        <f t="shared" si="14"/>
        <v>24196</v>
      </c>
      <c r="N25" s="39">
        <f t="shared" si="12"/>
        <v>725.88</v>
      </c>
      <c r="O25" s="39">
        <f t="shared" si="13"/>
        <v>383.99052</v>
      </c>
      <c r="P25" s="42">
        <f t="shared" si="7"/>
        <v>3340.7175239999997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8"/>
        <v>2</v>
      </c>
      <c r="J26" s="39">
        <f t="shared" si="9"/>
        <v>322</v>
      </c>
      <c r="K26" s="39">
        <f t="shared" si="10"/>
        <v>80.5</v>
      </c>
      <c r="L26" s="39">
        <f t="shared" si="15"/>
        <v>2</v>
      </c>
      <c r="M26" s="150">
        <f t="shared" si="14"/>
        <v>24196</v>
      </c>
      <c r="N26" s="39">
        <f t="shared" si="12"/>
        <v>483.92</v>
      </c>
      <c r="O26" s="39">
        <f t="shared" si="13"/>
        <v>255.99368000000001</v>
      </c>
      <c r="P26" s="42">
        <f t="shared" si="7"/>
        <v>2227.1450159999999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44340</v>
      </c>
      <c r="B27" s="41">
        <v>78</v>
      </c>
      <c r="C27" s="39">
        <f t="shared" si="0"/>
        <v>5</v>
      </c>
      <c r="D27" s="41">
        <v>80</v>
      </c>
      <c r="E27" s="39">
        <f t="shared" si="1"/>
        <v>5</v>
      </c>
      <c r="F27" s="41">
        <v>78</v>
      </c>
      <c r="G27" s="39">
        <f t="shared" si="2"/>
        <v>5</v>
      </c>
      <c r="H27" s="41">
        <v>78</v>
      </c>
      <c r="I27" s="39">
        <f t="shared" si="8"/>
        <v>3</v>
      </c>
      <c r="J27" s="39">
        <f t="shared" si="9"/>
        <v>314</v>
      </c>
      <c r="K27" s="39">
        <f t="shared" si="10"/>
        <v>78.5</v>
      </c>
      <c r="L27" s="39">
        <f t="shared" si="15"/>
        <v>4.5</v>
      </c>
      <c r="M27" s="150">
        <f t="shared" si="14"/>
        <v>24196</v>
      </c>
      <c r="N27" s="39">
        <f t="shared" si="12"/>
        <v>1088.82</v>
      </c>
      <c r="O27" s="39">
        <f t="shared" si="13"/>
        <v>575.98577999999998</v>
      </c>
      <c r="P27" s="42">
        <f t="shared" si="7"/>
        <v>5011.0762859999995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44341</v>
      </c>
      <c r="B28" s="41">
        <v>73</v>
      </c>
      <c r="C28" s="39"/>
      <c r="D28" s="41">
        <v>75</v>
      </c>
      <c r="E28" s="39"/>
      <c r="F28" s="41">
        <v>73</v>
      </c>
      <c r="G28" s="39"/>
      <c r="H28" s="41">
        <v>75</v>
      </c>
      <c r="I28" s="39">
        <f>IF(AC28&gt;0,((H28-AA28)+(AB28-H29)),IF(H29=0, ,(H28-H29)))</f>
        <v>0</v>
      </c>
      <c r="J28" s="39">
        <f t="shared" si="9"/>
        <v>296</v>
      </c>
      <c r="K28" s="39">
        <f t="shared" si="10"/>
        <v>74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44342</v>
      </c>
      <c r="B29" s="41"/>
      <c r="C29" s="39"/>
      <c r="D29" s="41"/>
      <c r="E29" s="39"/>
      <c r="F29" s="41"/>
      <c r="G29" s="39"/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44343</v>
      </c>
      <c r="B30" s="41"/>
      <c r="C30" s="39"/>
      <c r="D30" s="41"/>
      <c r="E30" s="39"/>
      <c r="F30" s="41"/>
      <c r="G30" s="39"/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44344</v>
      </c>
      <c r="B31" s="41"/>
      <c r="C31" s="39"/>
      <c r="D31" s="41"/>
      <c r="E31" s="39"/>
      <c r="F31" s="41"/>
      <c r="G31" s="39"/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44345</v>
      </c>
      <c r="B32" s="41"/>
      <c r="C32" s="39"/>
      <c r="D32" s="41"/>
      <c r="E32" s="39"/>
      <c r="F32" s="41"/>
      <c r="G32" s="39"/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44346</v>
      </c>
      <c r="B33" s="41"/>
      <c r="C33" s="39"/>
      <c r="D33" s="41"/>
      <c r="E33" s="39"/>
      <c r="F33" s="41"/>
      <c r="G33" s="39"/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44347</v>
      </c>
      <c r="B34" s="41"/>
      <c r="C34" s="39"/>
      <c r="D34" s="41"/>
      <c r="E34" s="39"/>
      <c r="F34" s="41"/>
      <c r="G34" s="39"/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44348</v>
      </c>
      <c r="B35" s="41"/>
      <c r="C35" s="39">
        <f t="shared" ref="C21:C35" si="19">IF(AC35&gt;0,((B35-R35)+(S35-B36)),IF(B36=0, ,(B35-B36)))</f>
        <v>0</v>
      </c>
      <c r="D35" s="41"/>
      <c r="E35" s="39">
        <f t="shared" ref="E27:E36" si="20">IF(AC35&gt;0,((D35-U35)+(V35-D36)),IF(D36=0, ,(D35-D36)))</f>
        <v>0</v>
      </c>
      <c r="F35" s="41"/>
      <c r="G35" s="39">
        <f t="shared" ref="G27:G36" si="21">IF(AC35&gt;0,((F35-X35)+(Y35-F36)),IF(F36=0, ,(F35-F36)))</f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2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3">IF(AC37&gt;0,((F37-X37)+(Y37-F38)),IF(F38=0, ,(F37-F38)))</f>
        <v>0</v>
      </c>
      <c r="H37" s="41"/>
      <c r="I37" s="39">
        <f t="shared" ref="I37:I42" si="24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2"/>
        <v>0</v>
      </c>
      <c r="D38" s="41"/>
      <c r="E38" s="39">
        <f>IF(AC38:AC61&gt;0,((D38-U38)+(V38-D39)),IF(D39=0, ,(D38-D39)))</f>
        <v>0</v>
      </c>
      <c r="F38" s="41"/>
      <c r="G38" s="39">
        <f t="shared" si="23"/>
        <v>0</v>
      </c>
      <c r="H38" s="41"/>
      <c r="I38" s="39">
        <f t="shared" si="24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2"/>
        <v>0</v>
      </c>
      <c r="D39" s="41"/>
      <c r="E39" s="39">
        <f>IF(AC39&gt;0,((D39-U39)+(V39-D40)),IF(D40=0, ,(D39-D40)))</f>
        <v>0</v>
      </c>
      <c r="F39" s="41"/>
      <c r="G39" s="39">
        <f t="shared" si="23"/>
        <v>0</v>
      </c>
      <c r="H39" s="41"/>
      <c r="I39" s="39">
        <f t="shared" si="24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5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2"/>
        <v>0</v>
      </c>
      <c r="D40" s="41"/>
      <c r="E40" s="39">
        <f>IF(AC40&gt;0,((D40-U40)+(V40-D41)),IF(D41=0, ,(D40-D41)))</f>
        <v>0</v>
      </c>
      <c r="F40" s="41"/>
      <c r="G40" s="39">
        <f t="shared" si="23"/>
        <v>0</v>
      </c>
      <c r="H40" s="41"/>
      <c r="I40" s="39">
        <f t="shared" si="24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6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2"/>
        <v>0</v>
      </c>
      <c r="D41" s="41"/>
      <c r="E41" s="39">
        <f>IF(AC41&gt;0,((D41-U41)+(V41-D42)),IF(D42=0, ,(D41-D42)))</f>
        <v>0</v>
      </c>
      <c r="F41" s="41"/>
      <c r="G41" s="39">
        <f t="shared" si="23"/>
        <v>0</v>
      </c>
      <c r="H41" s="41"/>
      <c r="I41" s="39">
        <f t="shared" si="24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2"/>
        <v>0</v>
      </c>
      <c r="D42" s="41"/>
      <c r="E42" s="39">
        <f>IF(AC42&gt;0,((D42-U42)+(V42-D43)),IF(D43=0, ,(D42-D43)))</f>
        <v>0</v>
      </c>
      <c r="F42" s="41"/>
      <c r="G42" s="39">
        <f t="shared" si="23"/>
        <v>0</v>
      </c>
      <c r="H42" s="41"/>
      <c r="I42" s="39">
        <f t="shared" si="24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13650.159999999998</v>
      </c>
      <c r="O43" s="39">
        <f>N43*0.529</f>
        <v>7220.9346399999995</v>
      </c>
      <c r="P43" s="42">
        <f>O43*8.7</f>
        <v>62822.131367999988</v>
      </c>
      <c r="Q43" s="286">
        <f>SUM(Q4:Q42)</f>
        <v>5223</v>
      </c>
      <c r="R43" s="287"/>
      <c r="S43" s="288"/>
      <c r="T43" s="289">
        <f>SUM(T4:T42)</f>
        <v>5269</v>
      </c>
      <c r="U43" s="287"/>
      <c r="V43" s="288"/>
      <c r="W43" s="289">
        <f>SUM(W4:W42)</f>
        <v>5073</v>
      </c>
      <c r="X43" s="287"/>
      <c r="Y43" s="288"/>
      <c r="Z43" s="289">
        <f>SUM(Z4:Z42)</f>
        <v>4854</v>
      </c>
      <c r="AA43" s="287"/>
      <c r="AB43" s="288"/>
      <c r="AC43" s="39">
        <f t="shared" si="17"/>
        <v>20419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13650.159999999998</v>
      </c>
      <c r="L47" s="46">
        <f>O43</f>
        <v>7220.9346399999995</v>
      </c>
      <c r="M47" s="46">
        <f>P43</f>
        <v>62822.131367999988</v>
      </c>
    </row>
    <row r="48" spans="1:31" ht="54.75" customHeight="1" thickBot="1">
      <c r="H48" s="282" t="s">
        <v>86</v>
      </c>
      <c r="I48" s="283"/>
      <c r="J48" s="284"/>
      <c r="K48" s="43">
        <f>AC44</f>
        <v>20419</v>
      </c>
      <c r="L48" s="44">
        <f>K48*0.529</f>
        <v>10801.651</v>
      </c>
      <c r="M48" s="44">
        <f>L48*8.7</f>
        <v>93974.363699999987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>
        <v>44283</v>
      </c>
      <c r="D8" s="326"/>
      <c r="E8" s="113">
        <v>44314</v>
      </c>
      <c r="F8" s="165" t="s">
        <v>97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41"/>
      <c r="H17" s="342"/>
      <c r="I17" s="341">
        <f>+E17</f>
        <v>148230</v>
      </c>
      <c r="J17" s="342"/>
    </row>
    <row r="18" spans="1:10">
      <c r="A18" s="339" t="s">
        <v>111</v>
      </c>
      <c r="B18" s="340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41"/>
      <c r="H18" s="342"/>
      <c r="I18" s="341">
        <f>+E18</f>
        <v>75540</v>
      </c>
      <c r="J18" s="342"/>
    </row>
    <row r="19" spans="1:10">
      <c r="A19" s="339" t="s">
        <v>112</v>
      </c>
      <c r="B19" s="340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41"/>
      <c r="H19" s="342"/>
      <c r="I19" s="341">
        <f>+E19</f>
        <v>58794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282564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148230</v>
      </c>
      <c r="E25" s="72">
        <v>0.95140000000000002</v>
      </c>
      <c r="F25" s="73">
        <f>PRODUCT(D25*E25)</f>
        <v>141026.022</v>
      </c>
      <c r="G25" s="152">
        <v>14</v>
      </c>
      <c r="H25" s="65">
        <f>PRODUCT(0.14,F25)</f>
        <v>19743.643080000002</v>
      </c>
      <c r="I25" s="363">
        <f>SUM(H25,F25)</f>
        <v>160769.66508000001</v>
      </c>
      <c r="J25" s="364"/>
    </row>
    <row r="26" spans="1:10" ht="15">
      <c r="A26" s="365" t="s">
        <v>124</v>
      </c>
      <c r="B26" s="366"/>
      <c r="C26" s="367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63">
        <f t="shared" ref="I26:I31" si="0">SUM(H26,F26)</f>
        <v>60151.746600000006</v>
      </c>
      <c r="J26" s="364"/>
    </row>
    <row r="27" spans="1:10" ht="15">
      <c r="A27" s="365" t="s">
        <v>125</v>
      </c>
      <c r="B27" s="366"/>
      <c r="C27" s="367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63">
        <f>SUM(H27,F27)</f>
        <v>89170.272863999999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318224.91959999996</v>
      </c>
      <c r="G32" s="85"/>
      <c r="H32" s="86"/>
      <c r="I32" s="375">
        <f>SUM(I25:J31)</f>
        <v>362722.42834400001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4">
        <v>95670781</v>
      </c>
      <c r="B8" s="324"/>
      <c r="C8" s="325" t="s">
        <v>131</v>
      </c>
      <c r="D8" s="326"/>
      <c r="E8" s="113" t="s">
        <v>132</v>
      </c>
      <c r="F8" s="165" t="s">
        <v>133</v>
      </c>
      <c r="G8" s="62"/>
      <c r="H8" s="62"/>
      <c r="I8" s="327"/>
      <c r="J8" s="328"/>
    </row>
    <row r="10" spans="1:10" ht="23.25" customHeight="1" thickBot="1"/>
    <row r="11" spans="1:10" ht="24.75" customHeight="1" thickTop="1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>
      <c r="A13" s="338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>
      <c r="A17" s="339" t="s">
        <v>110</v>
      </c>
      <c r="B17" s="340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41"/>
      <c r="H17" s="342"/>
      <c r="I17" s="341">
        <f>+E17</f>
        <v>4284</v>
      </c>
      <c r="J17" s="342"/>
    </row>
    <row r="18" spans="1:10">
      <c r="A18" s="339" t="s">
        <v>111</v>
      </c>
      <c r="B18" s="340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41"/>
      <c r="H18" s="342"/>
      <c r="I18" s="341">
        <f>+E18</f>
        <v>2321</v>
      </c>
      <c r="J18" s="342"/>
    </row>
    <row r="19" spans="1:10">
      <c r="A19" s="339" t="s">
        <v>112</v>
      </c>
      <c r="B19" s="340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41"/>
      <c r="H19" s="342"/>
      <c r="I19" s="341">
        <f>+E19</f>
        <v>1945</v>
      </c>
      <c r="J19" s="342"/>
    </row>
    <row r="20" spans="1:10" ht="15">
      <c r="A20" s="343" t="s">
        <v>113</v>
      </c>
      <c r="B20" s="344"/>
      <c r="C20" s="68"/>
      <c r="D20" s="69"/>
      <c r="E20" s="68">
        <f>SUM(E17:E19)</f>
        <v>8550</v>
      </c>
      <c r="F20" s="70"/>
      <c r="G20" s="345"/>
      <c r="H20" s="346"/>
      <c r="I20" s="345"/>
      <c r="J20" s="346"/>
    </row>
    <row r="21" spans="1:10">
      <c r="C21" s="110" t="s">
        <v>18</v>
      </c>
      <c r="D21" t="s">
        <v>114</v>
      </c>
      <c r="G21" s="347"/>
      <c r="H21" s="347"/>
    </row>
    <row r="22" spans="1:10" ht="13.5" thickBot="1">
      <c r="G22" s="348"/>
      <c r="H22" s="348"/>
    </row>
    <row r="23" spans="1:10" ht="13.5" thickTop="1">
      <c r="A23" s="349" t="s">
        <v>115</v>
      </c>
      <c r="B23" s="350"/>
      <c r="C23" s="351"/>
      <c r="D23" s="329" t="s">
        <v>116</v>
      </c>
      <c r="E23" s="329" t="s">
        <v>117</v>
      </c>
      <c r="F23" s="356" t="s">
        <v>118</v>
      </c>
      <c r="G23" s="358" t="s">
        <v>119</v>
      </c>
      <c r="H23" s="358"/>
      <c r="I23" s="359" t="s">
        <v>120</v>
      </c>
      <c r="J23" s="359"/>
    </row>
    <row r="24" spans="1:10">
      <c r="A24" s="352"/>
      <c r="B24" s="353"/>
      <c r="C24" s="354"/>
      <c r="D24" s="355"/>
      <c r="E24" s="355"/>
      <c r="F24" s="357"/>
      <c r="G24" s="164" t="s">
        <v>121</v>
      </c>
      <c r="H24" s="71" t="s">
        <v>122</v>
      </c>
      <c r="I24" s="359"/>
      <c r="J24" s="359"/>
    </row>
    <row r="25" spans="1:10" ht="15">
      <c r="A25" s="360" t="s">
        <v>123</v>
      </c>
      <c r="B25" s="361"/>
      <c r="C25" s="362"/>
      <c r="D25" s="67">
        <f>+E17</f>
        <v>4284</v>
      </c>
      <c r="E25" s="72">
        <v>0.95140000000000002</v>
      </c>
      <c r="F25" s="73">
        <f>PRODUCT(D25*E25)</f>
        <v>4075.7975999999999</v>
      </c>
      <c r="G25" s="152">
        <v>14</v>
      </c>
      <c r="H25" s="65">
        <f>PRODUCT(0.14,F25)</f>
        <v>570.61166400000002</v>
      </c>
      <c r="I25" s="363">
        <f>SUM(H25,F25)</f>
        <v>4646.4092639999999</v>
      </c>
      <c r="J25" s="364"/>
    </row>
    <row r="26" spans="1:10" ht="15">
      <c r="A26" s="365" t="s">
        <v>124</v>
      </c>
      <c r="B26" s="366"/>
      <c r="C26" s="367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63">
        <f t="shared" ref="I26:I31" si="0">SUM(H26,F26)</f>
        <v>1848.1890899999999</v>
      </c>
      <c r="J26" s="364"/>
    </row>
    <row r="27" spans="1:10" ht="15">
      <c r="A27" s="365" t="s">
        <v>125</v>
      </c>
      <c r="B27" s="366"/>
      <c r="C27" s="367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63">
        <f>SUM(H27,F27)</f>
        <v>2949.8959200000004</v>
      </c>
      <c r="J27" s="364"/>
    </row>
    <row r="28" spans="1:10" ht="15">
      <c r="A28" s="365" t="s">
        <v>126</v>
      </c>
      <c r="B28" s="366"/>
      <c r="C28" s="36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3">
        <f t="shared" si="0"/>
        <v>50025.103799999997</v>
      </c>
      <c r="J28" s="364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65" t="s">
        <v>128</v>
      </c>
      <c r="B30" s="366"/>
      <c r="C30" s="36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3">
        <f>SUM(H30,F30)</f>
        <v>1009.2</v>
      </c>
      <c r="J30" s="364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3">
        <f t="shared" si="0"/>
        <v>1596.44</v>
      </c>
      <c r="J31" s="364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54499.314099999996</v>
      </c>
      <c r="G32" s="85"/>
      <c r="H32" s="86"/>
      <c r="I32" s="375">
        <f>SUM(I25:J31)</f>
        <v>62075.238073999994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134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106311</v>
      </c>
      <c r="D8" s="97">
        <v>43922</v>
      </c>
      <c r="E8" s="96">
        <v>108477.2</v>
      </c>
      <c r="F8" s="97">
        <v>44317</v>
      </c>
      <c r="G8" s="98">
        <f>E8-C8</f>
        <v>2166.1999999999971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144</v>
      </c>
      <c r="B13" s="397">
        <f>G8</f>
        <v>2166.1999999999971</v>
      </c>
      <c r="C13" s="397"/>
      <c r="D13" s="397">
        <v>8.7899999999999991</v>
      </c>
      <c r="E13" s="397"/>
      <c r="F13" s="399">
        <f>PRODUCT(D13,B13)</f>
        <v>19040.897999999972</v>
      </c>
      <c r="G13" s="399"/>
      <c r="H13" s="399"/>
    </row>
    <row r="14" spans="1:8" ht="45" customHeight="1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f>G8</f>
        <v>2166.1999999999971</v>
      </c>
      <c r="C19" s="397"/>
      <c r="D19" s="397">
        <v>2.61</v>
      </c>
      <c r="E19" s="397"/>
      <c r="F19" s="397">
        <f>PRODUCT(D19,B19)</f>
        <v>5653.781999999992</v>
      </c>
      <c r="G19" s="397"/>
      <c r="H19" s="397"/>
    </row>
    <row r="20" spans="1:8" ht="18.75">
      <c r="A20" s="413" t="s">
        <v>150</v>
      </c>
      <c r="B20" s="414"/>
      <c r="C20" s="414"/>
      <c r="D20" s="414"/>
      <c r="E20" s="415"/>
      <c r="F20" s="416">
        <f>SUM(F11+F13+F16+F17+F18+F19)</f>
        <v>24717.679999999964</v>
      </c>
      <c r="G20" s="416"/>
      <c r="H20" s="416"/>
    </row>
    <row r="21" spans="1:8" ht="15">
      <c r="A21" s="402" t="s">
        <v>151</v>
      </c>
      <c r="B21" s="403"/>
      <c r="C21" s="403"/>
      <c r="D21" s="403"/>
      <c r="E21" s="404"/>
      <c r="F21" s="397">
        <f>PRODUCT(F20,0.07)</f>
        <v>1730.2375999999977</v>
      </c>
      <c r="G21" s="397"/>
      <c r="H21" s="397"/>
    </row>
    <row r="22" spans="1:8" ht="15">
      <c r="A22" s="434" t="s">
        <v>152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153</v>
      </c>
      <c r="B23" s="403"/>
      <c r="C23" s="403"/>
      <c r="D23" s="403"/>
      <c r="E23" s="404"/>
      <c r="F23" s="405">
        <f>SUM(F21:H22)</f>
        <v>1938.4975999999976</v>
      </c>
      <c r="G23" s="405"/>
      <c r="H23" s="405"/>
    </row>
    <row r="24" spans="1:8">
      <c r="A24" s="406" t="s">
        <v>154</v>
      </c>
      <c r="B24" s="407"/>
      <c r="C24" s="407"/>
      <c r="D24" s="407"/>
      <c r="E24" s="408"/>
      <c r="F24" s="412">
        <f>SUM(F20,F23)</f>
        <v>26656.177599999963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134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144</v>
      </c>
      <c r="B13" s="397">
        <f>G8</f>
        <v>89.69999999999709</v>
      </c>
      <c r="C13" s="397"/>
      <c r="D13" s="397">
        <v>8.5</v>
      </c>
      <c r="E13" s="397"/>
      <c r="F13" s="399">
        <f>PRODUCT(D13,B13)</f>
        <v>762.44999999997526</v>
      </c>
      <c r="G13" s="399"/>
      <c r="H13" s="399"/>
    </row>
    <row r="14" spans="1:8" ht="45" customHeight="1">
      <c r="A14" s="400" t="s">
        <v>145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6"/>
    </row>
    <row r="20" spans="1:8" ht="15">
      <c r="A20" s="103" t="s">
        <v>155</v>
      </c>
      <c r="B20" s="397">
        <f>G8</f>
        <v>89.69999999999709</v>
      </c>
      <c r="C20" s="397"/>
      <c r="D20" s="397">
        <v>2.54</v>
      </c>
      <c r="E20" s="397"/>
      <c r="F20" s="397">
        <f>PRODUCT(D20,B20)</f>
        <v>227.8379999999926</v>
      </c>
      <c r="G20" s="397"/>
      <c r="H20" s="397"/>
    </row>
    <row r="21" spans="1:8" ht="18.75">
      <c r="A21" s="413" t="s">
        <v>150</v>
      </c>
      <c r="B21" s="414"/>
      <c r="C21" s="414"/>
      <c r="D21" s="414"/>
      <c r="E21" s="415"/>
      <c r="F21" s="416">
        <f>SUM(F11+F13+F16+F17+F18+F20)</f>
        <v>1013.2879999999678</v>
      </c>
      <c r="G21" s="416"/>
      <c r="H21" s="416"/>
    </row>
    <row r="22" spans="1:8" ht="15">
      <c r="A22" s="402" t="s">
        <v>151</v>
      </c>
      <c r="B22" s="403"/>
      <c r="C22" s="403"/>
      <c r="D22" s="403"/>
      <c r="E22" s="404"/>
      <c r="F22" s="397">
        <f>PRODUCT(F21,0.07)</f>
        <v>70.930159999997755</v>
      </c>
      <c r="G22" s="397"/>
      <c r="H22" s="397"/>
    </row>
    <row r="23" spans="1:8" ht="15">
      <c r="A23" s="434" t="s">
        <v>152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153</v>
      </c>
      <c r="B24" s="403"/>
      <c r="C24" s="403"/>
      <c r="D24" s="403"/>
      <c r="E24" s="404"/>
      <c r="F24" s="405">
        <f>SUM(F22:H23)</f>
        <v>279.19015999999772</v>
      </c>
      <c r="G24" s="405"/>
      <c r="H24" s="405"/>
    </row>
    <row r="25" spans="1:8">
      <c r="A25" s="406" t="s">
        <v>154</v>
      </c>
      <c r="B25" s="407"/>
      <c r="C25" s="407"/>
      <c r="D25" s="407"/>
      <c r="E25" s="408"/>
      <c r="F25" s="412">
        <f>SUM(F21,F24)</f>
        <v>1292.4781599999656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01" t="s">
        <v>156</v>
      </c>
      <c r="C1" s="302"/>
      <c r="D1" s="302"/>
      <c r="E1" s="302"/>
      <c r="F1" s="384" t="s">
        <v>88</v>
      </c>
      <c r="G1" s="385"/>
      <c r="H1" s="386"/>
    </row>
    <row r="2" spans="1:8" ht="15.75" customHeight="1" thickBot="1">
      <c r="A2" s="382"/>
      <c r="B2" s="303"/>
      <c r="C2" s="304"/>
      <c r="D2" s="304"/>
      <c r="E2" s="304"/>
      <c r="F2" s="387"/>
      <c r="G2" s="388"/>
      <c r="H2" s="389"/>
    </row>
    <row r="3" spans="1:8" ht="15" customHeight="1">
      <c r="A3" s="382"/>
      <c r="B3" s="303"/>
      <c r="C3" s="304"/>
      <c r="D3" s="304"/>
      <c r="E3" s="304"/>
      <c r="F3" s="384" t="s">
        <v>89</v>
      </c>
      <c r="G3" s="385"/>
      <c r="H3" s="386"/>
    </row>
    <row r="4" spans="1:8" ht="15.75" customHeight="1" thickBot="1">
      <c r="A4" s="383"/>
      <c r="B4" s="305"/>
      <c r="C4" s="306"/>
      <c r="D4" s="306"/>
      <c r="E4" s="306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140</v>
      </c>
      <c r="E10" s="395"/>
      <c r="F10" s="393" t="s">
        <v>141</v>
      </c>
      <c r="G10" s="396"/>
      <c r="H10" s="394"/>
    </row>
    <row r="11" spans="1:8" ht="15">
      <c r="A11" s="102" t="s">
        <v>142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143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157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158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159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160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161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145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146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147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148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149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155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6"/>
    </row>
    <row r="25" spans="1:8" ht="18.75">
      <c r="A25" s="413" t="s">
        <v>150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151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152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153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154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162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182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184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5" ht="18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/>
      <c r="M18" s="104">
        <v>43165.84</v>
      </c>
      <c r="N18" s="104">
        <v>50595.28</v>
      </c>
    </row>
    <row r="19" spans="2:15" ht="31.5" customHeight="1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>
      <c r="B8" s="106" t="s">
        <v>175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3" t="s">
        <v>186</v>
      </c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5"/>
    </row>
    <row r="17" spans="2:14" ht="17.25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>
      <c r="B18" s="106" t="s">
        <v>175</v>
      </c>
      <c r="C18" s="426"/>
      <c r="D18" s="427"/>
      <c r="E18" s="427"/>
      <c r="F18" s="427"/>
      <c r="G18" s="427"/>
      <c r="H18" s="427"/>
      <c r="I18" s="427"/>
      <c r="J18" s="427"/>
      <c r="K18" s="428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2021-05-25T14:56:31Z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