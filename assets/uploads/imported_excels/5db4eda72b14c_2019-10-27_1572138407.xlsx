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3950" windowHeight="1101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<sst xmlns="http://schemas.openxmlformats.org/spreadsheetml/2006/main" count="112" uniqueCount="45">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</sst>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13430</v>
      </c>
      <c r="F23" s="38">
        <f t="shared" si="1"/>
        <v>11.359820004894488</v>
      </c>
      <c r="G23" s="39">
        <f>'FS Desroches'!G30*0.51</f>
        <v>35.700000000000003</v>
      </c>
      <c r="H23" s="38">
        <f t="shared" si="2"/>
        <v>232.87671232876713</v>
      </c>
      <c r="I23" s="39">
        <f>'FS Desroches'!E30</f>
        <v>107</v>
      </c>
      <c r="J23" s="38">
        <f t="shared" si="3"/>
        <v>117.8082191780822</v>
      </c>
      <c r="K23" s="40">
        <f>'FS Desroches'!C30</f>
        <v>42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14330</v>
      </c>
      <c r="F24" s="38">
        <f t="shared" si="1"/>
        <v>11.359820004894488</v>
      </c>
      <c r="G24" s="39">
        <f>'FS Desroches'!G31*0.51</f>
        <v>30.09</v>
      </c>
      <c r="H24" s="38">
        <f t="shared" si="2"/>
        <v>232.87671232876713</v>
      </c>
      <c r="I24" s="39">
        <f>'FS Desroches'!E31</f>
        <v>111.9</v>
      </c>
      <c r="J24" s="38">
        <f t="shared" si="3"/>
        <v>117.8082191780822</v>
      </c>
      <c r="K24" s="40">
        <f>'FS Desroches'!C31</f>
        <v>41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14030</v>
      </c>
      <c r="F25" s="38">
        <f t="shared" si="1"/>
        <v>11.359820004894488</v>
      </c>
      <c r="G25" s="39">
        <f>'FS Desroches'!G32*0.51</f>
        <v>34.17</v>
      </c>
      <c r="H25" s="38">
        <f t="shared" si="2"/>
        <v>232.87671232876713</v>
      </c>
      <c r="I25" s="39">
        <f>'FS Desroches'!E32</f>
        <v>106.5</v>
      </c>
      <c r="J25" s="38">
        <f t="shared" si="3"/>
        <v>117.8082191780822</v>
      </c>
      <c r="K25" s="40">
        <f>'FS Desroches'!C32</f>
        <v>40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15300</v>
      </c>
      <c r="F26" s="38">
        <f t="shared" si="1"/>
        <v>11.359820004894488</v>
      </c>
      <c r="G26" s="39">
        <f>'FS Desroches'!G33*0.51</f>
        <v>26.52</v>
      </c>
      <c r="H26" s="38">
        <f t="shared" si="2"/>
        <v>232.87671232876713</v>
      </c>
      <c r="I26" s="39">
        <f>'FS Desroches'!E33</f>
        <v>91.6</v>
      </c>
      <c r="J26" s="38">
        <f t="shared" si="3"/>
        <v>117.8082191780822</v>
      </c>
      <c r="K26" s="40">
        <f>'FS Desroches'!C33</f>
        <v>42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14490</v>
      </c>
      <c r="F27" s="38">
        <f t="shared" si="1"/>
        <v>11.359820004894488</v>
      </c>
      <c r="G27" s="39">
        <f>'FS Desroches'!G34*0.51</f>
        <v>32.130000000000003</v>
      </c>
      <c r="H27" s="38">
        <f t="shared" si="2"/>
        <v>232.87671232876713</v>
      </c>
      <c r="I27" s="39">
        <f>'FS Desroches'!E34</f>
        <v>92</v>
      </c>
      <c r="J27" s="38">
        <f t="shared" si="3"/>
        <v>117.8082191780822</v>
      </c>
      <c r="K27" s="40">
        <f>'FS Desroches'!C34</f>
        <v>44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14800</v>
      </c>
      <c r="F28" s="38">
        <f t="shared" si="1"/>
        <v>11.359820004894488</v>
      </c>
      <c r="G28" s="39">
        <f>'FS Desroches'!G35*0.51</f>
        <v>34.17</v>
      </c>
      <c r="H28" s="38">
        <f t="shared" si="2"/>
        <v>232.87671232876713</v>
      </c>
      <c r="I28" s="39">
        <f>'FS Desroches'!E35</f>
        <v>221</v>
      </c>
      <c r="J28" s="38">
        <f t="shared" si="3"/>
        <v>117.8082191780822</v>
      </c>
      <c r="K28" s="40">
        <f>'FS Desroches'!C35</f>
        <v>46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R36" sqref="R36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>
        <v>0.49</v>
      </c>
      <c r="C30" s="22">
        <v>42</v>
      </c>
      <c r="D30" s="22">
        <v>107</v>
      </c>
      <c r="E30" s="23">
        <v>107</v>
      </c>
      <c r="F30" s="24">
        <v>13430</v>
      </c>
      <c r="G30" s="25">
        <v>70</v>
      </c>
      <c r="H30" s="26">
        <f t="shared" si="3"/>
        <v>2.5476190476190474</v>
      </c>
      <c r="I30" s="27">
        <v>297.10000000000002</v>
      </c>
      <c r="J30" s="28">
        <f t="shared" si="5"/>
        <v>1.6666666666666667</v>
      </c>
      <c r="K30" s="26">
        <f t="shared" si="0"/>
        <v>920.19999999999993</v>
      </c>
      <c r="L30" s="24">
        <f t="shared" si="1"/>
        <v>8729.5</v>
      </c>
      <c r="M30" s="28">
        <f t="shared" si="2"/>
        <v>535.5</v>
      </c>
      <c r="N30" s="26">
        <f t="shared" si="6"/>
        <v>8.6</v>
      </c>
      <c r="O30" s="27">
        <f t="shared" si="7"/>
        <v>81.584112149532714</v>
      </c>
      <c r="P30" s="28">
        <f t="shared" si="8"/>
        <v>5.0046728971962615</v>
      </c>
      <c r="Q30" s="22">
        <v>26.9</v>
      </c>
      <c r="R30" s="22" t="s">
        <v>42</v>
      </c>
      <c r="S30" s="22"/>
    </row>
    <row r="31" spans="1:19" x14ac:dyDescent="0.25">
      <c r="A31" s="20">
        <v>43760</v>
      </c>
      <c r="B31" s="21">
        <v>0.42</v>
      </c>
      <c r="C31" s="22">
        <v>41</v>
      </c>
      <c r="D31" s="22">
        <v>99</v>
      </c>
      <c r="E31" s="23">
        <v>111.9</v>
      </c>
      <c r="F31" s="24">
        <v>14330</v>
      </c>
      <c r="G31" s="25">
        <v>59</v>
      </c>
      <c r="H31" s="26">
        <f t="shared" si="3"/>
        <v>2.729268292682927</v>
      </c>
      <c r="I31" s="27">
        <v>424.07</v>
      </c>
      <c r="J31" s="28">
        <f t="shared" si="5"/>
        <v>1.4390243902439024</v>
      </c>
      <c r="K31" s="26">
        <f t="shared" si="0"/>
        <v>962.34</v>
      </c>
      <c r="L31" s="24">
        <f t="shared" si="1"/>
        <v>9314.5</v>
      </c>
      <c r="M31" s="28">
        <f t="shared" si="2"/>
        <v>451.35</v>
      </c>
      <c r="N31" s="26">
        <f t="shared" si="6"/>
        <v>9.7206060606060607</v>
      </c>
      <c r="O31" s="27">
        <f t="shared" si="7"/>
        <v>94.085858585858588</v>
      </c>
      <c r="P31" s="28">
        <f t="shared" si="8"/>
        <v>4.5590909090909095</v>
      </c>
      <c r="Q31" s="22">
        <v>26.5</v>
      </c>
      <c r="R31" s="22" t="s">
        <v>42</v>
      </c>
      <c r="S31" s="22"/>
    </row>
    <row r="32" spans="1:19" x14ac:dyDescent="0.25">
      <c r="A32" s="20">
        <v>43761</v>
      </c>
      <c r="B32" s="21">
        <v>0.42</v>
      </c>
      <c r="C32" s="22">
        <v>40</v>
      </c>
      <c r="D32" s="22">
        <v>100</v>
      </c>
      <c r="E32" s="23">
        <v>106.5</v>
      </c>
      <c r="F32" s="24">
        <v>14030</v>
      </c>
      <c r="G32" s="25">
        <v>67</v>
      </c>
      <c r="H32" s="26">
        <f t="shared" si="3"/>
        <v>2.6625000000000001</v>
      </c>
      <c r="I32" s="27">
        <f t="shared" si="4"/>
        <v>350.75</v>
      </c>
      <c r="J32" s="28">
        <f t="shared" si="5"/>
        <v>1.675</v>
      </c>
      <c r="K32" s="26">
        <f t="shared" si="0"/>
        <v>915.9</v>
      </c>
      <c r="L32" s="24">
        <f t="shared" si="1"/>
        <v>9119.5</v>
      </c>
      <c r="M32" s="28">
        <f t="shared" si="2"/>
        <v>512.54999999999995</v>
      </c>
      <c r="N32" s="26">
        <f t="shared" si="6"/>
        <v>9.1589999999999989</v>
      </c>
      <c r="O32" s="27">
        <f t="shared" si="7"/>
        <v>91.194999999999993</v>
      </c>
      <c r="P32" s="28">
        <f t="shared" si="8"/>
        <v>5.1254999999999997</v>
      </c>
      <c r="Q32" s="22">
        <v>26.5</v>
      </c>
      <c r="R32" s="22" t="s">
        <v>41</v>
      </c>
      <c r="S32" s="22"/>
    </row>
    <row r="33" spans="1:19" x14ac:dyDescent="0.25">
      <c r="A33" s="20">
        <v>43762</v>
      </c>
      <c r="B33" s="21">
        <v>0.51</v>
      </c>
      <c r="C33" s="22">
        <v>42</v>
      </c>
      <c r="D33" s="22">
        <v>114</v>
      </c>
      <c r="E33" s="23">
        <v>91.6</v>
      </c>
      <c r="F33" s="24">
        <v>15300</v>
      </c>
      <c r="G33" s="25">
        <v>52</v>
      </c>
      <c r="H33" s="26">
        <f t="shared" si="3"/>
        <v>2.1809523809523808</v>
      </c>
      <c r="I33" s="27">
        <f t="shared" si="4"/>
        <v>364.28571428571428</v>
      </c>
      <c r="J33" s="28">
        <f t="shared" si="5"/>
        <v>1.2380952380952381</v>
      </c>
      <c r="K33" s="26">
        <f t="shared" si="0"/>
        <v>787.75999999999988</v>
      </c>
      <c r="L33" s="24">
        <f t="shared" si="1"/>
        <v>9945</v>
      </c>
      <c r="M33" s="28">
        <f t="shared" si="2"/>
        <v>397.8</v>
      </c>
      <c r="N33" s="26">
        <f t="shared" si="6"/>
        <v>6.9101754385964904</v>
      </c>
      <c r="O33" s="27">
        <f t="shared" si="7"/>
        <v>87.236842105263165</v>
      </c>
      <c r="P33" s="28">
        <f t="shared" si="8"/>
        <v>3.4894736842105263</v>
      </c>
      <c r="Q33" s="22">
        <v>26.5</v>
      </c>
      <c r="R33" s="22" t="s">
        <v>41</v>
      </c>
      <c r="S33" s="22"/>
    </row>
    <row r="34" spans="1:19" x14ac:dyDescent="0.25">
      <c r="A34" s="20">
        <v>43763</v>
      </c>
      <c r="B34" s="21">
        <v>0.54</v>
      </c>
      <c r="C34" s="22">
        <v>44</v>
      </c>
      <c r="D34" s="22">
        <v>131</v>
      </c>
      <c r="E34" s="23">
        <v>92</v>
      </c>
      <c r="F34" s="24">
        <v>14490</v>
      </c>
      <c r="G34" s="25">
        <v>63</v>
      </c>
      <c r="H34" s="26">
        <f t="shared" si="3"/>
        <v>2.0909090909090908</v>
      </c>
      <c r="I34" s="27">
        <f t="shared" si="4"/>
        <v>329.31818181818181</v>
      </c>
      <c r="J34" s="28">
        <f t="shared" si="5"/>
        <v>1.4318181818181819</v>
      </c>
      <c r="K34" s="26">
        <f t="shared" si="0"/>
        <v>791.19999999999993</v>
      </c>
      <c r="L34" s="24">
        <f t="shared" si="1"/>
        <v>9418.5</v>
      </c>
      <c r="M34" s="28">
        <f t="shared" si="2"/>
        <v>481.95</v>
      </c>
      <c r="N34" s="26">
        <f t="shared" si="6"/>
        <v>6.0396946564885488</v>
      </c>
      <c r="O34" s="27">
        <f t="shared" si="7"/>
        <v>71.896946564885496</v>
      </c>
      <c r="P34" s="28">
        <f t="shared" si="8"/>
        <v>3.6790076335877862</v>
      </c>
      <c r="Q34" s="22">
        <v>26.5</v>
      </c>
      <c r="R34" s="22" t="s">
        <v>41</v>
      </c>
      <c r="S34" s="22"/>
    </row>
    <row r="35" spans="1:19" x14ac:dyDescent="0.25">
      <c r="A35" s="20">
        <v>43764</v>
      </c>
      <c r="B35" s="21">
        <v>0.55000000000000004</v>
      </c>
      <c r="C35" s="22">
        <v>46</v>
      </c>
      <c r="D35" s="22">
        <v>133</v>
      </c>
      <c r="E35" s="23">
        <v>221</v>
      </c>
      <c r="F35" s="24">
        <v>14800</v>
      </c>
      <c r="G35" s="25">
        <v>67</v>
      </c>
      <c r="H35" s="26">
        <f t="shared" si="3"/>
        <v>4.8043478260869561</v>
      </c>
      <c r="I35" s="27">
        <f t="shared" si="4"/>
        <v>321.73913043478262</v>
      </c>
      <c r="J35" s="28">
        <f t="shared" si="5"/>
        <v>1.4565217391304348</v>
      </c>
      <c r="K35" s="26">
        <f t="shared" si="0"/>
        <v>1900.6</v>
      </c>
      <c r="L35" s="24">
        <f t="shared" si="1"/>
        <v>9620</v>
      </c>
      <c r="M35" s="28">
        <f t="shared" si="2"/>
        <v>512.54999999999995</v>
      </c>
      <c r="N35" s="26">
        <f t="shared" si="6"/>
        <v>14.290225563909773</v>
      </c>
      <c r="O35" s="27">
        <f t="shared" si="7"/>
        <v>72.330827067669176</v>
      </c>
      <c r="P35" s="28">
        <f t="shared" si="8"/>
        <v>3.8537593984962402</v>
      </c>
      <c r="Q35" s="22">
        <v>26.3</v>
      </c>
      <c r="R35" s="22" t="s">
        <v>41</v>
      </c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2019-10-27T01:05:04Z</dcterms:modified>
</cp:coreProperties>
</file>