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6519D500-3647-47BA-B69D-B1127E3797B2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3" i="6" l="1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G22" i="4" s="1"/>
  <c r="H23" i="2"/>
  <c r="G23" i="2"/>
  <c r="F23" i="2"/>
  <c r="E23" i="2"/>
  <c r="D23" i="2"/>
  <c r="C23" i="2"/>
  <c r="C17" i="8"/>
  <c r="J12" i="2"/>
  <c r="S8" i="8"/>
  <c r="T8" i="8" s="1"/>
  <c r="S9" i="8"/>
  <c r="T9" i="8" s="1"/>
  <c r="J8" i="2"/>
  <c r="G7" i="4" s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C29" i="3" s="1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H17" i="8" s="1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D18" i="8" s="1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C10" i="3" s="1"/>
  <c r="B12" i="2"/>
  <c r="C11" i="3" s="1"/>
  <c r="B13" i="2"/>
  <c r="B14" i="2"/>
  <c r="B15" i="2"/>
  <c r="B16" i="2"/>
  <c r="B17" i="2"/>
  <c r="B18" i="2"/>
  <c r="B19" i="2"/>
  <c r="C18" i="3" s="1"/>
  <c r="B20" i="2"/>
  <c r="C19" i="3" s="1"/>
  <c r="B21" i="2"/>
  <c r="B22" i="2"/>
  <c r="B23" i="2"/>
  <c r="B24" i="2"/>
  <c r="B25" i="2"/>
  <c r="B26" i="2"/>
  <c r="B27" i="2"/>
  <c r="B28" i="2"/>
  <c r="C27" i="3" s="1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7" i="4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E7" i="3" s="1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L20" i="3" s="1"/>
  <c r="B21" i="3"/>
  <c r="C21" i="3" s="1"/>
  <c r="B22" i="3"/>
  <c r="D22" i="3" s="1"/>
  <c r="B23" i="3"/>
  <c r="D23" i="3" s="1"/>
  <c r="B24" i="3"/>
  <c r="B25" i="3"/>
  <c r="B26" i="3"/>
  <c r="B27" i="3"/>
  <c r="B28" i="3"/>
  <c r="C28" i="3" s="1"/>
  <c r="B29" i="3"/>
  <c r="B30" i="3"/>
  <c r="B31" i="3"/>
  <c r="C31" i="3" s="1"/>
  <c r="B32" i="3"/>
  <c r="B33" i="3"/>
  <c r="B3" i="3"/>
  <c r="D3" i="4"/>
  <c r="I34" i="2"/>
  <c r="H34" i="2"/>
  <c r="G34" i="2"/>
  <c r="F34" i="2"/>
  <c r="E34" i="2"/>
  <c r="C33" i="2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J33" i="8" s="1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P30" i="8" s="1"/>
  <c r="M30" i="8"/>
  <c r="N30" i="8" s="1"/>
  <c r="I30" i="8"/>
  <c r="E30" i="8"/>
  <c r="F30" i="8" s="1"/>
  <c r="C30" i="8"/>
  <c r="A30" i="8"/>
  <c r="W29" i="8"/>
  <c r="X29" i="8" s="1"/>
  <c r="U29" i="8"/>
  <c r="S29" i="8"/>
  <c r="Q29" i="8"/>
  <c r="R29" i="8" s="1"/>
  <c r="O29" i="8"/>
  <c r="M29" i="8"/>
  <c r="I29" i="8"/>
  <c r="E29" i="8"/>
  <c r="C29" i="8"/>
  <c r="N29" i="8" s="1"/>
  <c r="A29" i="8"/>
  <c r="W28" i="8"/>
  <c r="U28" i="8"/>
  <c r="S28" i="8"/>
  <c r="Q28" i="8"/>
  <c r="O28" i="8"/>
  <c r="M28" i="8"/>
  <c r="I28" i="8"/>
  <c r="E28" i="8"/>
  <c r="C28" i="8"/>
  <c r="P28" i="8" s="1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L24" i="8" s="1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X22" i="8" s="1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R20" i="8" s="1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N17" i="8" s="1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J10" i="8" s="1"/>
  <c r="E10" i="8"/>
  <c r="C10" i="8"/>
  <c r="A10" i="8"/>
  <c r="W9" i="8"/>
  <c r="U9" i="8"/>
  <c r="V9" i="8" s="1"/>
  <c r="Q9" i="8"/>
  <c r="O9" i="8"/>
  <c r="P9" i="8" s="1"/>
  <c r="M9" i="8"/>
  <c r="I9" i="8"/>
  <c r="J9" i="8" s="1"/>
  <c r="E9" i="8"/>
  <c r="C9" i="8"/>
  <c r="A9" i="8"/>
  <c r="W8" i="8"/>
  <c r="U8" i="8"/>
  <c r="Q8" i="8"/>
  <c r="R8" i="8" s="1"/>
  <c r="O8" i="8"/>
  <c r="P8" i="8" s="1"/>
  <c r="M8" i="8"/>
  <c r="I8" i="8"/>
  <c r="E8" i="8"/>
  <c r="C8" i="8"/>
  <c r="A8" i="8"/>
  <c r="W7" i="8"/>
  <c r="X7" i="8" s="1"/>
  <c r="U7" i="8"/>
  <c r="V7" i="8" s="1"/>
  <c r="S7" i="8"/>
  <c r="T7" i="8" s="1"/>
  <c r="Q7" i="8"/>
  <c r="O7" i="8"/>
  <c r="M7" i="8"/>
  <c r="E7" i="8"/>
  <c r="C7" i="8"/>
  <c r="A7" i="8"/>
  <c r="W6" i="8"/>
  <c r="U6" i="8"/>
  <c r="V6" i="8" s="1"/>
  <c r="S6" i="8"/>
  <c r="Q6" i="8"/>
  <c r="O6" i="8"/>
  <c r="M6" i="8"/>
  <c r="I6" i="8"/>
  <c r="E6" i="8"/>
  <c r="C6" i="8"/>
  <c r="J6" i="8" s="1"/>
  <c r="A6" i="8"/>
  <c r="W5" i="8"/>
  <c r="U5" i="8"/>
  <c r="S5" i="8"/>
  <c r="Q5" i="8"/>
  <c r="O5" i="8"/>
  <c r="M5" i="8"/>
  <c r="I5" i="8"/>
  <c r="E5" i="8"/>
  <c r="C5" i="8"/>
  <c r="N5" i="8" s="1"/>
  <c r="A5" i="8"/>
  <c r="W4" i="8"/>
  <c r="U4" i="8"/>
  <c r="S4" i="8"/>
  <c r="T4" i="8" s="1"/>
  <c r="Q4" i="8"/>
  <c r="G4" i="8"/>
  <c r="H4" i="8" s="1"/>
  <c r="O4" i="8"/>
  <c r="P4" i="8" s="1"/>
  <c r="M4" i="8"/>
  <c r="I4" i="8"/>
  <c r="E4" i="8"/>
  <c r="C4" i="8"/>
  <c r="X4" i="8" s="1"/>
  <c r="A4" i="8"/>
  <c r="X8" i="8"/>
  <c r="N9" i="8"/>
  <c r="V4" i="8"/>
  <c r="X9" i="8"/>
  <c r="H9" i="8"/>
  <c r="R9" i="8"/>
  <c r="D4" i="8"/>
  <c r="F13" i="8"/>
  <c r="F24" i="8"/>
  <c r="L4" i="8"/>
  <c r="L18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2"/>
  <c r="D3" i="3" s="1"/>
  <c r="T20" i="2"/>
  <c r="J7" i="2"/>
  <c r="U7" i="2"/>
  <c r="N17" i="2"/>
  <c r="H15" i="2"/>
  <c r="I12" i="2"/>
  <c r="G11" i="2"/>
  <c r="F11" i="2"/>
  <c r="C11" i="2"/>
  <c r="C10" i="4" s="1"/>
  <c r="U10" i="2"/>
  <c r="T10" i="2"/>
  <c r="S10" i="2"/>
  <c r="R10" i="2"/>
  <c r="Q10" i="2"/>
  <c r="P10" i="2"/>
  <c r="O10" i="2"/>
  <c r="N10" i="2"/>
  <c r="M10" i="2"/>
  <c r="K10" i="2"/>
  <c r="J10" i="2"/>
  <c r="I10" i="2"/>
  <c r="H9" i="3" s="1"/>
  <c r="H10" i="2"/>
  <c r="G10" i="2"/>
  <c r="F10" i="2"/>
  <c r="E10" i="2"/>
  <c r="C10" i="2"/>
  <c r="F20" i="2"/>
  <c r="F19" i="2"/>
  <c r="G18" i="3" s="1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J4" i="3" s="1"/>
  <c r="O5" i="2"/>
  <c r="N6" i="2"/>
  <c r="O6" i="2"/>
  <c r="N7" i="2"/>
  <c r="O7" i="2"/>
  <c r="N11" i="2"/>
  <c r="O11" i="2"/>
  <c r="N12" i="2"/>
  <c r="O12" i="2"/>
  <c r="N13" i="2"/>
  <c r="O13" i="2"/>
  <c r="N14" i="2"/>
  <c r="J13" i="3" s="1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G4" i="4" s="1"/>
  <c r="I6" i="2"/>
  <c r="H5" i="3" s="1"/>
  <c r="J6" i="2"/>
  <c r="I7" i="2"/>
  <c r="G6" i="4" s="1"/>
  <c r="I11" i="2"/>
  <c r="G10" i="4" s="1"/>
  <c r="J11" i="2"/>
  <c r="I13" i="2"/>
  <c r="J13" i="2"/>
  <c r="G12" i="4" s="1"/>
  <c r="I14" i="2"/>
  <c r="J14" i="2"/>
  <c r="I15" i="2"/>
  <c r="J15" i="2"/>
  <c r="I16" i="2"/>
  <c r="J16" i="2"/>
  <c r="I17" i="2"/>
  <c r="J17" i="2"/>
  <c r="I18" i="2"/>
  <c r="G17" i="4" s="1"/>
  <c r="J18" i="2"/>
  <c r="I19" i="2"/>
  <c r="J19" i="2"/>
  <c r="I20" i="2"/>
  <c r="J20" i="2"/>
  <c r="I21" i="2"/>
  <c r="G20" i="4" s="1"/>
  <c r="J21" i="2"/>
  <c r="I22" i="2"/>
  <c r="J22" i="2"/>
  <c r="I24" i="2"/>
  <c r="J24" i="2"/>
  <c r="I25" i="2"/>
  <c r="H24" i="3" s="1"/>
  <c r="J25" i="2"/>
  <c r="I26" i="2"/>
  <c r="G25" i="4" s="1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12" i="2"/>
  <c r="C13" i="2"/>
  <c r="C14" i="2"/>
  <c r="C13" i="4" s="1"/>
  <c r="C15" i="2"/>
  <c r="C14" i="4" s="1"/>
  <c r="C16" i="2"/>
  <c r="D15" i="3" s="1"/>
  <c r="C17" i="4"/>
  <c r="C20" i="2"/>
  <c r="C25" i="2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C32" i="4"/>
  <c r="U6" i="2"/>
  <c r="K5" i="4" s="1"/>
  <c r="U11" i="2"/>
  <c r="L10" i="3" s="1"/>
  <c r="K10" i="4"/>
  <c r="U12" i="2"/>
  <c r="K11" i="4" s="1"/>
  <c r="U13" i="2"/>
  <c r="K12" i="4" s="1"/>
  <c r="U14" i="2"/>
  <c r="K13" i="4" s="1"/>
  <c r="U15" i="2"/>
  <c r="K14" i="4" s="1"/>
  <c r="U16" i="2"/>
  <c r="U17" i="2"/>
  <c r="U18" i="2"/>
  <c r="U19" i="2"/>
  <c r="L18" i="3" s="1"/>
  <c r="U20" i="2"/>
  <c r="L19" i="3" s="1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F21" i="4" s="1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5" i="4" s="1"/>
  <c r="E17" i="2"/>
  <c r="E16" i="4" s="1"/>
  <c r="E18" i="2"/>
  <c r="E19" i="2"/>
  <c r="F18" i="3" s="1"/>
  <c r="E20" i="2"/>
  <c r="E19" i="4" s="1"/>
  <c r="E21" i="2"/>
  <c r="E22" i="2"/>
  <c r="E21" i="4" s="1"/>
  <c r="E24" i="2"/>
  <c r="E25" i="2"/>
  <c r="E26" i="2"/>
  <c r="E27" i="2"/>
  <c r="F26" i="3" s="1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K7" i="2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I18" i="3" s="1"/>
  <c r="K20" i="2"/>
  <c r="K21" i="2"/>
  <c r="H20" i="4" s="1"/>
  <c r="K22" i="2"/>
  <c r="K24" i="2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J14" i="4" s="1"/>
  <c r="T16" i="2"/>
  <c r="T17" i="2"/>
  <c r="T18" i="2"/>
  <c r="T19" i="2"/>
  <c r="T21" i="2"/>
  <c r="T22" i="2"/>
  <c r="T24" i="2"/>
  <c r="J23" i="4" s="1"/>
  <c r="T25" i="2"/>
  <c r="T26" i="2"/>
  <c r="T27" i="2"/>
  <c r="T29" i="2"/>
  <c r="T30" i="2"/>
  <c r="T31" i="2"/>
  <c r="T4" i="2"/>
  <c r="S5" i="2"/>
  <c r="S6" i="2"/>
  <c r="J5" i="4" s="1"/>
  <c r="S7" i="2"/>
  <c r="S11" i="2"/>
  <c r="S12" i="2"/>
  <c r="S13" i="2"/>
  <c r="S14" i="2"/>
  <c r="S15" i="2"/>
  <c r="S16" i="2"/>
  <c r="S17" i="2"/>
  <c r="S18" i="2"/>
  <c r="S19" i="2"/>
  <c r="S20" i="2"/>
  <c r="S21" i="2"/>
  <c r="J20" i="4" s="1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26" i="3"/>
  <c r="C11" i="4"/>
  <c r="C12" i="4"/>
  <c r="C23" i="4"/>
  <c r="C25" i="4"/>
  <c r="D11" i="3"/>
  <c r="D7" i="3"/>
  <c r="E22" i="4"/>
  <c r="E19" i="3"/>
  <c r="E18" i="4"/>
  <c r="C7" i="4"/>
  <c r="D26" i="3"/>
  <c r="H7" i="4"/>
  <c r="L5" i="3"/>
  <c r="C5" i="4"/>
  <c r="I5" i="3"/>
  <c r="E3" i="3"/>
  <c r="C4" i="4"/>
  <c r="C3" i="4"/>
  <c r="C6" i="4"/>
  <c r="E28" i="3"/>
  <c r="K22" i="4"/>
  <c r="E10" i="4"/>
  <c r="H10" i="3"/>
  <c r="J7" i="4"/>
  <c r="H5" i="4"/>
  <c r="K16" i="4"/>
  <c r="E17" i="4"/>
  <c r="H6" i="4"/>
  <c r="K6" i="4"/>
  <c r="C24" i="4"/>
  <c r="C16" i="4"/>
  <c r="C19" i="4"/>
  <c r="E8" i="4"/>
  <c r="C22" i="4"/>
  <c r="K8" i="4"/>
  <c r="F12" i="4"/>
  <c r="C9" i="4"/>
  <c r="E30" i="4"/>
  <c r="H23" i="4"/>
  <c r="J22" i="4"/>
  <c r="J21" i="4"/>
  <c r="K21" i="3"/>
  <c r="E20" i="4"/>
  <c r="E18" i="3"/>
  <c r="D16" i="3"/>
  <c r="E11" i="4"/>
  <c r="E10" i="3"/>
  <c r="E9" i="4"/>
  <c r="G8" i="4"/>
  <c r="K9" i="4"/>
  <c r="J33" i="4" l="1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V10" i="2"/>
  <c r="M9" i="3" s="1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L3" i="4" s="1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V11" i="2"/>
  <c r="M10" i="3" s="1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L23" i="4" s="1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L7" i="4" s="1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I20" i="3"/>
  <c r="H8" i="4"/>
  <c r="I9" i="3"/>
  <c r="V9" i="2"/>
  <c r="M8" i="3" s="1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M27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K34" i="4" l="1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<sst xmlns="http://schemas.openxmlformats.org/spreadsheetml/2006/main" count="201" uniqueCount="128">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</sst>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14430.000000000009</c:v>
                </c:pt>
                <c:pt idx="1">
                  <c:v>72500.000000000233</c:v>
                </c:pt>
                <c:pt idx="2">
                  <c:v>7749.9999999999991</c:v>
                </c:pt>
                <c:pt idx="3">
                  <c:v>24570.000000000018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986</c:v>
                </c:pt>
                <c:pt idx="1">
                  <c:v>7.2324506711655537E-2</c:v>
                </c:pt>
                <c:pt idx="2" formatCode="_(* #,##0.00_);_(* \(#,##0.00\);_(* &quot;-&quot;??_);_(@_)">
                  <c:v>5320</c:v>
                </c:pt>
                <c:pt idx="3">
                  <c:v>0.39022958996552481</c:v>
                </c:pt>
                <c:pt idx="4" formatCode="0.00">
                  <c:v>372</c:v>
                </c:pt>
                <c:pt idx="5">
                  <c:v>2.728673072691264E-2</c:v>
                </c:pt>
                <c:pt idx="6" formatCode="0.00">
                  <c:v>629</c:v>
                </c:pt>
                <c:pt idx="7">
                  <c:v>4.6138047385021641E-2</c:v>
                </c:pt>
                <c:pt idx="8" formatCode="0.00">
                  <c:v>210</c:v>
                </c:pt>
                <c:pt idx="9">
                  <c:v>1.5403799603902295E-2</c:v>
                </c:pt>
                <c:pt idx="10" formatCode="0.00">
                  <c:v>138</c:v>
                </c:pt>
                <c:pt idx="11">
                  <c:v>1.0122496882564365E-2</c:v>
                </c:pt>
                <c:pt idx="12" formatCode="0.00">
                  <c:v>25</c:v>
                </c:pt>
                <c:pt idx="13">
                  <c:v>1.8337856671312258E-3</c:v>
                </c:pt>
                <c:pt idx="14" formatCode="_(* #,##0.00_);_(* \(#,##0.00\);_(* &quot;-&quot;??_);_(@_)">
                  <c:v>1817</c:v>
                </c:pt>
                <c:pt idx="15">
                  <c:v>0.13327954228709749</c:v>
                </c:pt>
                <c:pt idx="16" formatCode="0.00">
                  <c:v>591</c:v>
                </c:pt>
                <c:pt idx="17">
                  <c:v>4.3350693170982176E-2</c:v>
                </c:pt>
                <c:pt idx="18" formatCode="0.00">
                  <c:v>340</c:v>
                </c:pt>
                <c:pt idx="19">
                  <c:v>2.4939485072984671E-2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91328"/>
        <c:axId val="179092864"/>
      </c:barChart>
      <c:catAx>
        <c:axId val="179091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79092864"/>
        <c:crosses val="autoZero"/>
        <c:auto val="1"/>
        <c:lblAlgn val="ctr"/>
        <c:lblOffset val="100"/>
        <c:noMultiLvlLbl val="0"/>
      </c:catAx>
      <c:valAx>
        <c:axId val="17909286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7909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S30" sqref="S3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0.15</v>
      </c>
      <c r="G2" s="107">
        <v>5872</v>
      </c>
      <c r="H2" s="48">
        <v>0.5927</v>
      </c>
      <c r="I2" s="65">
        <v>320</v>
      </c>
      <c r="J2" s="76">
        <v>1.133</v>
      </c>
      <c r="K2" s="108"/>
      <c r="L2" s="76">
        <v>0.91800000000000004</v>
      </c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0.15</v>
      </c>
      <c r="G3" s="107">
        <v>5616</v>
      </c>
      <c r="H3" s="48">
        <v>0.5927</v>
      </c>
      <c r="I3" s="65">
        <v>269</v>
      </c>
      <c r="J3" s="76">
        <v>1.133</v>
      </c>
      <c r="K3" s="108">
        <v>990</v>
      </c>
      <c r="L3" s="76">
        <v>0.91800000000000004</v>
      </c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0.15</v>
      </c>
      <c r="G4" s="107">
        <v>6176</v>
      </c>
      <c r="H4" s="48">
        <v>0.5927</v>
      </c>
      <c r="I4" s="65">
        <v>435</v>
      </c>
      <c r="J4" s="76">
        <v>1.133</v>
      </c>
      <c r="K4" s="108"/>
      <c r="L4" s="76">
        <v>0.91800000000000004</v>
      </c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0.15</v>
      </c>
      <c r="G5" s="107">
        <v>6476</v>
      </c>
      <c r="H5" s="48">
        <v>0.5927</v>
      </c>
      <c r="I5" s="65">
        <v>400</v>
      </c>
      <c r="J5" s="76">
        <v>1.133</v>
      </c>
      <c r="K5" s="108"/>
      <c r="L5" s="76">
        <v>0.91800000000000004</v>
      </c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22619.999999999891</v>
      </c>
      <c r="F6" s="48">
        <v>0.15</v>
      </c>
      <c r="G6" s="107">
        <v>6218</v>
      </c>
      <c r="H6" s="48">
        <v>0.5927</v>
      </c>
      <c r="I6" s="65">
        <v>371</v>
      </c>
      <c r="J6" s="76">
        <v>1.133</v>
      </c>
      <c r="K6" s="108">
        <v>1080</v>
      </c>
      <c r="L6" s="76">
        <v>0.91800000000000004</v>
      </c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21349.999999999909</v>
      </c>
      <c r="F7" s="48">
        <v>0.15</v>
      </c>
      <c r="G7" s="107">
        <v>5743</v>
      </c>
      <c r="H7" s="48">
        <v>0.5927</v>
      </c>
      <c r="I7" s="65">
        <v>256</v>
      </c>
      <c r="J7" s="76">
        <v>1.133</v>
      </c>
      <c r="K7" s="108"/>
      <c r="L7" s="76">
        <v>0.91800000000000004</v>
      </c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0.15</v>
      </c>
      <c r="G8" s="107">
        <v>6796</v>
      </c>
      <c r="H8" s="48">
        <v>0.5927</v>
      </c>
      <c r="I8" s="65">
        <v>366</v>
      </c>
      <c r="J8" s="76">
        <v>1.133</v>
      </c>
      <c r="K8" s="108"/>
      <c r="L8" s="76">
        <v>0.91800000000000004</v>
      </c>
      <c r="M8" s="72">
        <v>26</v>
      </c>
      <c r="N8" s="72">
        <v>76</v>
      </c>
      <c r="O8" s="72">
        <v>176</v>
      </c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>
        <v>22709.999999998217</v>
      </c>
      <c r="F9" s="48">
        <v>0.15</v>
      </c>
      <c r="G9" s="107">
        <v>6277</v>
      </c>
      <c r="H9" s="48">
        <v>0.5927</v>
      </c>
      <c r="I9" s="65">
        <v>369</v>
      </c>
      <c r="J9" s="76">
        <v>1.133</v>
      </c>
      <c r="K9" s="108"/>
      <c r="L9" s="76">
        <v>0.91800000000000004</v>
      </c>
      <c r="M9" s="72">
        <v>25</v>
      </c>
      <c r="N9" s="72">
        <v>69</v>
      </c>
      <c r="O9" s="72">
        <v>159</v>
      </c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>
        <v>24239.999999999778</v>
      </c>
      <c r="F10" s="48">
        <v>0.15</v>
      </c>
      <c r="G10" s="107">
        <v>6738</v>
      </c>
      <c r="H10" s="48">
        <v>0.5927</v>
      </c>
      <c r="I10" s="65">
        <v>579</v>
      </c>
      <c r="J10" s="76">
        <v>1.133</v>
      </c>
      <c r="K10" s="108">
        <v>630</v>
      </c>
      <c r="L10" s="76">
        <v>0.91800000000000004</v>
      </c>
      <c r="M10" s="72">
        <v>24</v>
      </c>
      <c r="N10" s="72">
        <v>64</v>
      </c>
      <c r="O10" s="72">
        <v>158</v>
      </c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>
        <v>24410.000000000313</v>
      </c>
      <c r="F11" s="48">
        <v>0.15</v>
      </c>
      <c r="G11" s="107">
        <v>6771</v>
      </c>
      <c r="H11" s="48">
        <v>0.5927</v>
      </c>
      <c r="I11" s="65">
        <v>179</v>
      </c>
      <c r="J11" s="76">
        <v>1.133</v>
      </c>
      <c r="K11" s="108"/>
      <c r="L11" s="76">
        <v>0.91800000000000004</v>
      </c>
      <c r="M11" s="72">
        <v>18</v>
      </c>
      <c r="N11" s="72">
        <v>54</v>
      </c>
      <c r="O11" s="72">
        <v>152</v>
      </c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>
        <v>24290.000000001102</v>
      </c>
      <c r="F12" s="48">
        <v>0.15</v>
      </c>
      <c r="G12" s="107">
        <v>6738</v>
      </c>
      <c r="H12" s="48">
        <v>0.5927</v>
      </c>
      <c r="I12" s="65">
        <v>442</v>
      </c>
      <c r="J12" s="76">
        <v>1.133</v>
      </c>
      <c r="K12" s="108"/>
      <c r="L12" s="76">
        <v>0.91800000000000004</v>
      </c>
      <c r="M12" s="72">
        <v>22</v>
      </c>
      <c r="N12" s="72">
        <v>61</v>
      </c>
      <c r="O12" s="72">
        <v>153</v>
      </c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>
        <v>23440.000000000735</v>
      </c>
      <c r="F13" s="48">
        <v>0.15</v>
      </c>
      <c r="G13" s="107">
        <v>6573</v>
      </c>
      <c r="H13" s="48">
        <v>0.5927</v>
      </c>
      <c r="I13" s="65">
        <v>384</v>
      </c>
      <c r="J13" s="76">
        <v>1.133</v>
      </c>
      <c r="K13" s="108"/>
      <c r="L13" s="76">
        <v>0.91800000000000004</v>
      </c>
      <c r="M13" s="72">
        <v>26</v>
      </c>
      <c r="N13" s="72">
        <v>71</v>
      </c>
      <c r="O13" s="72">
        <v>181</v>
      </c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>
        <v>23569.999999998348</v>
      </c>
      <c r="F14" s="48">
        <v>0.15</v>
      </c>
      <c r="G14" s="107">
        <v>6512</v>
      </c>
      <c r="H14" s="48">
        <v>0.5927</v>
      </c>
      <c r="I14" s="65">
        <v>327</v>
      </c>
      <c r="J14" s="76">
        <v>1.133</v>
      </c>
      <c r="K14" s="108"/>
      <c r="L14" s="76">
        <v>0.91800000000000004</v>
      </c>
      <c r="M14" s="72">
        <v>28</v>
      </c>
      <c r="N14" s="72">
        <v>89</v>
      </c>
      <c r="O14" s="72">
        <v>217</v>
      </c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>
        <v>24350.000000001048</v>
      </c>
      <c r="F15" s="48">
        <v>0.15</v>
      </c>
      <c r="G15" s="107">
        <v>6446</v>
      </c>
      <c r="H15" s="48">
        <v>0.5927</v>
      </c>
      <c r="I15" s="65">
        <v>317</v>
      </c>
      <c r="J15" s="76">
        <v>1.133</v>
      </c>
      <c r="K15" s="108"/>
      <c r="L15" s="76">
        <v>0.91800000000000004</v>
      </c>
      <c r="M15" s="72">
        <v>30</v>
      </c>
      <c r="N15" s="72">
        <v>97</v>
      </c>
      <c r="O15" s="72">
        <v>240</v>
      </c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>
        <v>23809.999999999491</v>
      </c>
      <c r="F16" s="48">
        <v>0.15</v>
      </c>
      <c r="G16" s="107">
        <v>6634</v>
      </c>
      <c r="H16" s="48">
        <v>0.5927</v>
      </c>
      <c r="I16" s="65">
        <v>333</v>
      </c>
      <c r="J16" s="76">
        <v>1.133</v>
      </c>
      <c r="K16" s="108"/>
      <c r="L16" s="76">
        <v>0.91800000000000004</v>
      </c>
      <c r="M16" s="72">
        <v>32</v>
      </c>
      <c r="N16" s="72">
        <v>92</v>
      </c>
      <c r="O16" s="72">
        <v>274</v>
      </c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>
        <v>23839.999999999691</v>
      </c>
      <c r="F17" s="48">
        <v>0.15</v>
      </c>
      <c r="G17" s="107">
        <v>6464</v>
      </c>
      <c r="H17" s="48">
        <v>0.5927</v>
      </c>
      <c r="I17" s="65">
        <v>374</v>
      </c>
      <c r="J17" s="76">
        <v>1.133</v>
      </c>
      <c r="K17" s="108"/>
      <c r="L17" s="76">
        <v>0.91800000000000004</v>
      </c>
      <c r="M17" s="72">
        <v>29</v>
      </c>
      <c r="N17" s="72">
        <v>84</v>
      </c>
      <c r="O17" s="72">
        <v>222</v>
      </c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>
        <v>23209.999999999578</v>
      </c>
      <c r="F18" s="48">
        <v>0.15</v>
      </c>
      <c r="G18" s="107">
        <v>6345</v>
      </c>
      <c r="H18" s="48">
        <v>0.5927</v>
      </c>
      <c r="I18" s="65">
        <v>262</v>
      </c>
      <c r="J18" s="76">
        <v>1.133</v>
      </c>
      <c r="K18" s="108">
        <v>450</v>
      </c>
      <c r="L18" s="76">
        <v>0.91800000000000004</v>
      </c>
      <c r="M18" s="72">
        <v>37</v>
      </c>
      <c r="N18" s="72">
        <v>97</v>
      </c>
      <c r="O18" s="72">
        <v>240</v>
      </c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>
        <v>23900.00000000123</v>
      </c>
      <c r="F19" s="48">
        <v>0.15</v>
      </c>
      <c r="G19" s="107">
        <v>6563</v>
      </c>
      <c r="H19" s="48">
        <v>0.5927</v>
      </c>
      <c r="I19" s="65">
        <v>314</v>
      </c>
      <c r="J19" s="76">
        <v>1.133</v>
      </c>
      <c r="K19" s="108"/>
      <c r="L19" s="76">
        <v>0.91800000000000004</v>
      </c>
      <c r="M19" s="72">
        <v>34</v>
      </c>
      <c r="N19" s="72">
        <v>87</v>
      </c>
      <c r="O19" s="72">
        <v>225</v>
      </c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>
        <v>23030.000000000655</v>
      </c>
      <c r="F20" s="48">
        <v>0.15</v>
      </c>
      <c r="G20" s="107">
        <v>6499</v>
      </c>
      <c r="H20" s="48">
        <v>0.5927</v>
      </c>
      <c r="I20" s="65">
        <v>329</v>
      </c>
      <c r="J20" s="76">
        <v>1.133</v>
      </c>
      <c r="K20" s="108"/>
      <c r="L20" s="76">
        <v>0.91800000000000004</v>
      </c>
      <c r="M20" s="72">
        <v>34</v>
      </c>
      <c r="N20" s="72">
        <v>93</v>
      </c>
      <c r="O20" s="72">
        <v>218</v>
      </c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>
        <v>22839.999999999691</v>
      </c>
      <c r="F21" s="48">
        <v>0.15</v>
      </c>
      <c r="G21" s="107">
        <v>6339</v>
      </c>
      <c r="H21" s="48">
        <v>0.5927</v>
      </c>
      <c r="I21" s="65">
        <v>242</v>
      </c>
      <c r="J21" s="76">
        <v>1.133</v>
      </c>
      <c r="K21" s="108"/>
      <c r="L21" s="76">
        <v>0.91800000000000004</v>
      </c>
      <c r="M21" s="72">
        <v>30</v>
      </c>
      <c r="N21" s="72">
        <v>83</v>
      </c>
      <c r="O21" s="72">
        <v>223</v>
      </c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>
        <v>22709.999999999811</v>
      </c>
      <c r="F22" s="48">
        <v>0.15</v>
      </c>
      <c r="G22" s="107">
        <v>5981</v>
      </c>
      <c r="H22" s="48">
        <v>0.5927</v>
      </c>
      <c r="I22" s="65">
        <v>233</v>
      </c>
      <c r="J22" s="76">
        <v>1.133</v>
      </c>
      <c r="K22" s="108">
        <v>1125</v>
      </c>
      <c r="L22" s="76">
        <v>0.91800000000000004</v>
      </c>
      <c r="M22" s="72">
        <v>24</v>
      </c>
      <c r="N22" s="72">
        <v>64</v>
      </c>
      <c r="O22" s="72">
        <v>179</v>
      </c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>
        <v>22009.999999999534</v>
      </c>
      <c r="F23" s="48">
        <v>0.15</v>
      </c>
      <c r="G23" s="107">
        <v>6277</v>
      </c>
      <c r="H23" s="48">
        <v>0.5927</v>
      </c>
      <c r="I23" s="65">
        <v>313</v>
      </c>
      <c r="J23" s="76">
        <v>1.133</v>
      </c>
      <c r="K23" s="108"/>
      <c r="L23" s="76">
        <v>0.91800000000000004</v>
      </c>
      <c r="M23" s="72">
        <v>26</v>
      </c>
      <c r="N23" s="72">
        <v>64</v>
      </c>
      <c r="O23" s="72">
        <v>190</v>
      </c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>
        <v>22229.999999999112</v>
      </c>
      <c r="F24" s="48">
        <v>0.15</v>
      </c>
      <c r="G24" s="107">
        <v>6277</v>
      </c>
      <c r="H24" s="48">
        <v>0.5927</v>
      </c>
      <c r="I24" s="65">
        <v>298</v>
      </c>
      <c r="J24" s="76">
        <v>1.133</v>
      </c>
      <c r="K24" s="108"/>
      <c r="L24" s="76">
        <v>0.91800000000000004</v>
      </c>
      <c r="M24" s="72">
        <v>27</v>
      </c>
      <c r="N24" s="72">
        <v>59</v>
      </c>
      <c r="O24" s="72">
        <v>199</v>
      </c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>
        <v>20050.000000001546</v>
      </c>
      <c r="F25" s="48">
        <v>0.15</v>
      </c>
      <c r="G25" s="107">
        <v>5424</v>
      </c>
      <c r="H25" s="48">
        <v>0.5927</v>
      </c>
      <c r="I25" s="65">
        <v>316</v>
      </c>
      <c r="J25" s="76">
        <v>1.133</v>
      </c>
      <c r="K25" s="108">
        <v>945</v>
      </c>
      <c r="L25" s="76">
        <v>0.91800000000000004</v>
      </c>
      <c r="M25" s="72">
        <v>26</v>
      </c>
      <c r="N25" s="72">
        <v>57</v>
      </c>
      <c r="O25" s="72">
        <v>201</v>
      </c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>
        <v>20100.000000000597</v>
      </c>
      <c r="F26" s="48">
        <v>0.15</v>
      </c>
      <c r="G26" s="107">
        <v>5505</v>
      </c>
      <c r="H26" s="48">
        <v>0.5927</v>
      </c>
      <c r="I26" s="65">
        <v>341</v>
      </c>
      <c r="J26" s="76">
        <v>1.133</v>
      </c>
      <c r="K26" s="108">
        <v>720</v>
      </c>
      <c r="L26" s="76">
        <v>0.91800000000000004</v>
      </c>
      <c r="M26" s="72">
        <v>28</v>
      </c>
      <c r="N26" s="72">
        <v>69</v>
      </c>
      <c r="O26" s="72">
        <v>189</v>
      </c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>
        <v>20590.000000000146</v>
      </c>
      <c r="F27" s="48">
        <v>0.15</v>
      </c>
      <c r="G27" s="107">
        <v>5860</v>
      </c>
      <c r="H27" s="48">
        <v>0.5927</v>
      </c>
      <c r="I27" s="65">
        <v>249</v>
      </c>
      <c r="J27" s="76">
        <v>1.133</v>
      </c>
      <c r="K27" s="108"/>
      <c r="L27" s="76">
        <v>0.91800000000000004</v>
      </c>
      <c r="M27" s="72">
        <v>19</v>
      </c>
      <c r="N27" s="72">
        <v>53</v>
      </c>
      <c r="O27" s="72">
        <v>172</v>
      </c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>
        <v>20279.999999999069</v>
      </c>
      <c r="F28" s="48">
        <v>0.15</v>
      </c>
      <c r="G28" s="107">
        <v>5560</v>
      </c>
      <c r="H28" s="48">
        <v>0.5927</v>
      </c>
      <c r="I28" s="65">
        <v>199</v>
      </c>
      <c r="J28" s="76">
        <v>1.133</v>
      </c>
      <c r="K28" s="108"/>
      <c r="L28" s="76">
        <v>0.91800000000000004</v>
      </c>
      <c r="M28" s="72">
        <v>18</v>
      </c>
      <c r="N28" s="72">
        <v>47</v>
      </c>
      <c r="O28" s="72">
        <v>150</v>
      </c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>
        <v>21229.999999999112</v>
      </c>
      <c r="F29" s="48">
        <v>0.15</v>
      </c>
      <c r="G29" s="107">
        <v>5651</v>
      </c>
      <c r="H29" s="48">
        <v>0.5927</v>
      </c>
      <c r="I29" s="65">
        <v>288</v>
      </c>
      <c r="J29" s="76">
        <v>1.133</v>
      </c>
      <c r="K29" s="108"/>
      <c r="L29" s="76">
        <v>0.91800000000000004</v>
      </c>
      <c r="M29" s="72">
        <v>21</v>
      </c>
      <c r="N29" s="72">
        <v>50</v>
      </c>
      <c r="O29" s="72">
        <v>130</v>
      </c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>
        <v>20730.000000002066</v>
      </c>
      <c r="F30" s="48">
        <v>0.15</v>
      </c>
      <c r="G30" s="107">
        <v>5970</v>
      </c>
      <c r="H30" s="48">
        <v>0.5927</v>
      </c>
      <c r="I30" s="65">
        <v>191</v>
      </c>
      <c r="J30" s="76">
        <v>1.133</v>
      </c>
      <c r="K30" s="108"/>
      <c r="L30" s="76">
        <v>0.91800000000000004</v>
      </c>
      <c r="M30" s="72">
        <v>21</v>
      </c>
      <c r="N30" s="72">
        <v>53</v>
      </c>
      <c r="O30" s="72">
        <v>144</v>
      </c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>
        <v>22259.999999997264</v>
      </c>
      <c r="F31" s="48">
        <v>0.15</v>
      </c>
      <c r="G31" s="107">
        <v>6044</v>
      </c>
      <c r="H31" s="48">
        <v>0.5927</v>
      </c>
      <c r="I31" s="65">
        <v>229</v>
      </c>
      <c r="J31" s="76">
        <v>1.133</v>
      </c>
      <c r="K31" s="108"/>
      <c r="L31" s="76">
        <v>0.91800000000000004</v>
      </c>
      <c r="M31" s="72">
        <v>12</v>
      </c>
      <c r="N31" s="72">
        <v>27</v>
      </c>
      <c r="O31" s="72">
        <v>118</v>
      </c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>
        <v>21780.000000000655</v>
      </c>
      <c r="F32" s="48">
        <v>0.15</v>
      </c>
      <c r="G32" s="107">
        <v>5959</v>
      </c>
      <c r="H32" s="48">
        <v>0.5927</v>
      </c>
      <c r="I32" s="65">
        <v>209</v>
      </c>
      <c r="J32" s="76">
        <v>1.133</v>
      </c>
      <c r="K32" s="108">
        <v>1170</v>
      </c>
      <c r="L32" s="76">
        <v>0.91800000000000004</v>
      </c>
      <c r="M32" s="72">
        <v>15</v>
      </c>
      <c r="N32" s="72">
        <v>33</v>
      </c>
      <c r="O32" s="72">
        <v>80</v>
      </c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697359.99999999953</v>
      </c>
      <c r="F33" s="104">
        <v>0</v>
      </c>
      <c r="G33" s="101">
        <f>SUM(G2:G32)</f>
        <v>192304</v>
      </c>
      <c r="H33" s="102">
        <v>0</v>
      </c>
      <c r="I33" s="103">
        <f>SUM(I2:I32)</f>
        <v>9734</v>
      </c>
      <c r="J33" s="104">
        <v>0</v>
      </c>
      <c r="K33" s="105">
        <f>SUM(K2:K32)</f>
        <v>7110</v>
      </c>
      <c r="L33" s="102">
        <v>0</v>
      </c>
      <c r="M33" s="106">
        <f t="shared" ref="M33:O33" si="1">SUM(M2:M32)</f>
        <v>790</v>
      </c>
      <c r="N33" s="106">
        <f t="shared" si="1"/>
        <v>2095</v>
      </c>
      <c r="O33" s="106">
        <f t="shared" si="1"/>
        <v>5692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3" zoomScale="78" zoomScaleNormal="78" workbookViewId="0">
      <selection activeCell="R26" sqref="R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1.0230999999999999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1.0245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1.0259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1.0274000000000001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1.0288999999999999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1.0303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1.0315000000000001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>
        <v>26</v>
      </c>
      <c r="W10" s="71">
        <v>76</v>
      </c>
      <c r="X10" s="71">
        <v>176</v>
      </c>
      <c r="Y10" s="17"/>
    </row>
    <row r="11" spans="1:25" ht="21" customHeight="1" x14ac:dyDescent="0.25">
      <c r="A11" s="8">
        <v>44416</v>
      </c>
      <c r="B11" s="1">
        <v>1.0328999999999999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>
        <v>25</v>
      </c>
      <c r="W11" s="71">
        <v>69</v>
      </c>
      <c r="X11" s="71">
        <v>159</v>
      </c>
      <c r="Y11" s="17"/>
    </row>
    <row r="12" spans="1:25" ht="21" customHeight="1" x14ac:dyDescent="0.25">
      <c r="A12" s="8">
        <v>44417</v>
      </c>
      <c r="B12" s="1">
        <v>1.0342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71">
        <v>24</v>
      </c>
      <c r="W12" s="71">
        <v>64</v>
      </c>
      <c r="X12" s="71">
        <v>158</v>
      </c>
      <c r="Y12" s="17"/>
    </row>
    <row r="13" spans="1:25" ht="21" customHeight="1" x14ac:dyDescent="0.25">
      <c r="A13" s="8">
        <v>44418</v>
      </c>
      <c r="B13" s="1">
        <v>1.0355000000000001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71">
        <v>18</v>
      </c>
      <c r="W13" s="71">
        <v>54</v>
      </c>
      <c r="X13" s="71">
        <v>152</v>
      </c>
      <c r="Y13" s="17"/>
    </row>
    <row r="14" spans="1:25" ht="21" customHeight="1" x14ac:dyDescent="0.25">
      <c r="A14" s="8">
        <v>44419</v>
      </c>
      <c r="B14" s="1">
        <v>1.0367999999999999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71">
        <v>22</v>
      </c>
      <c r="W14" s="71">
        <v>61</v>
      </c>
      <c r="X14" s="71">
        <v>153</v>
      </c>
      <c r="Y14" s="17"/>
    </row>
    <row r="15" spans="1:25" ht="21" customHeight="1" x14ac:dyDescent="0.25">
      <c r="A15" s="8">
        <v>44420</v>
      </c>
      <c r="B15" s="1">
        <v>1.0382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71">
        <v>26</v>
      </c>
      <c r="W15" s="71">
        <v>71</v>
      </c>
      <c r="X15" s="71">
        <v>181</v>
      </c>
      <c r="Y15" s="17"/>
    </row>
    <row r="16" spans="1:25" ht="21" customHeight="1" x14ac:dyDescent="0.25">
      <c r="A16" s="8">
        <v>44421</v>
      </c>
      <c r="B16" s="1">
        <v>1.0395000000000001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71">
        <v>28</v>
      </c>
      <c r="W16" s="71">
        <v>89</v>
      </c>
      <c r="X16" s="71">
        <v>217</v>
      </c>
      <c r="Y16" s="17"/>
    </row>
    <row r="17" spans="1:25" ht="21" customHeight="1" x14ac:dyDescent="0.25">
      <c r="A17" s="8">
        <v>44422</v>
      </c>
      <c r="B17" s="1">
        <v>1.0407999999999999</v>
      </c>
      <c r="C17" s="1">
        <v>240.16</v>
      </c>
      <c r="D17" s="1">
        <v>7584922.3499999996</v>
      </c>
      <c r="E17" s="1">
        <v>8327152.5800000001</v>
      </c>
      <c r="F17" s="1">
        <v>2.4878</v>
      </c>
      <c r="G17" s="1">
        <v>783.35</v>
      </c>
      <c r="H17" s="1">
        <v>642.61</v>
      </c>
      <c r="I17" s="1">
        <v>250.68</v>
      </c>
      <c r="J17" s="1">
        <v>327.75</v>
      </c>
      <c r="K17" s="1">
        <v>353.3</v>
      </c>
      <c r="L17" s="1">
        <v>242.7</v>
      </c>
      <c r="M17" s="1">
        <v>551.92999999999995</v>
      </c>
      <c r="N17" s="1">
        <v>504.26</v>
      </c>
      <c r="O17" s="1">
        <v>161.47999999999999</v>
      </c>
      <c r="P17" s="1">
        <v>664.53</v>
      </c>
      <c r="Q17" s="1">
        <v>492.11</v>
      </c>
      <c r="R17" s="1">
        <v>169.65</v>
      </c>
      <c r="S17" s="1">
        <v>120.6</v>
      </c>
      <c r="T17" s="1">
        <v>440.83</v>
      </c>
      <c r="V17" s="71">
        <v>30</v>
      </c>
      <c r="W17" s="71">
        <v>97</v>
      </c>
      <c r="X17" s="71">
        <v>240</v>
      </c>
      <c r="Y17" s="17"/>
    </row>
    <row r="18" spans="1:25" ht="21" customHeight="1" x14ac:dyDescent="0.25">
      <c r="A18" s="8">
        <v>44423</v>
      </c>
      <c r="B18" s="1">
        <v>1.0421</v>
      </c>
      <c r="C18" s="1">
        <v>240.45</v>
      </c>
      <c r="D18" s="1">
        <v>7587398.1799999997</v>
      </c>
      <c r="E18" s="1">
        <v>8331166.1699999999</v>
      </c>
      <c r="F18" s="1">
        <v>2.4897</v>
      </c>
      <c r="G18" s="1">
        <v>784.25</v>
      </c>
      <c r="H18" s="1">
        <v>643.24</v>
      </c>
      <c r="I18" s="1">
        <v>251.04</v>
      </c>
      <c r="J18" s="1">
        <v>328</v>
      </c>
      <c r="K18" s="1">
        <v>353.61</v>
      </c>
      <c r="L18" s="1">
        <v>242.91</v>
      </c>
      <c r="M18" s="1">
        <v>552.73</v>
      </c>
      <c r="N18" s="1">
        <v>505.1</v>
      </c>
      <c r="O18" s="1">
        <v>161.69</v>
      </c>
      <c r="P18" s="1">
        <v>665.67</v>
      </c>
      <c r="Q18" s="1">
        <v>492.8</v>
      </c>
      <c r="R18" s="1">
        <v>169.91</v>
      </c>
      <c r="S18" s="1">
        <v>120.72</v>
      </c>
      <c r="T18" s="1">
        <v>441.35</v>
      </c>
      <c r="V18" s="71">
        <v>32</v>
      </c>
      <c r="W18" s="71">
        <v>92</v>
      </c>
      <c r="X18" s="71">
        <v>274</v>
      </c>
      <c r="Y18" s="17"/>
    </row>
    <row r="19" spans="1:25" ht="21" customHeight="1" x14ac:dyDescent="0.25">
      <c r="A19" s="8">
        <v>44424</v>
      </c>
      <c r="B19" s="1">
        <v>1.0434000000000001</v>
      </c>
      <c r="C19" s="1">
        <v>240.72</v>
      </c>
      <c r="D19" s="1">
        <v>7590087.9199999999</v>
      </c>
      <c r="E19" s="1">
        <v>8334805.9500000002</v>
      </c>
      <c r="F19" s="1">
        <v>2.492</v>
      </c>
      <c r="G19" s="1">
        <v>785.13</v>
      </c>
      <c r="H19" s="1">
        <v>643.95000000000005</v>
      </c>
      <c r="I19" s="1">
        <v>251.41</v>
      </c>
      <c r="J19" s="1">
        <v>328.36</v>
      </c>
      <c r="K19" s="1">
        <v>353.92</v>
      </c>
      <c r="L19" s="1">
        <v>242.92</v>
      </c>
      <c r="M19" s="1">
        <v>553.51</v>
      </c>
      <c r="N19" s="1">
        <v>505.9</v>
      </c>
      <c r="O19" s="1">
        <v>161.91</v>
      </c>
      <c r="P19" s="1">
        <v>666.79</v>
      </c>
      <c r="Q19" s="1">
        <v>493.5</v>
      </c>
      <c r="R19" s="1">
        <v>170.19</v>
      </c>
      <c r="S19" s="1">
        <v>120.84</v>
      </c>
      <c r="T19" s="1">
        <v>441.85</v>
      </c>
      <c r="V19" s="71">
        <v>29</v>
      </c>
      <c r="W19" s="71">
        <v>84</v>
      </c>
      <c r="X19" s="71">
        <v>222</v>
      </c>
      <c r="Y19" s="17"/>
    </row>
    <row r="20" spans="1:25" ht="21" customHeight="1" x14ac:dyDescent="0.25">
      <c r="A20" s="8">
        <v>44425</v>
      </c>
      <c r="B20" s="1">
        <v>1.0447</v>
      </c>
      <c r="C20" s="1">
        <v>240.98</v>
      </c>
      <c r="D20" s="1">
        <v>7592798.5300000003</v>
      </c>
      <c r="E20" s="1">
        <v>8338334.5099999998</v>
      </c>
      <c r="F20" s="1">
        <v>2.4941</v>
      </c>
      <c r="G20" s="1">
        <v>785.97</v>
      </c>
      <c r="H20" s="1">
        <v>644.70000000000005</v>
      </c>
      <c r="I20" s="1">
        <v>251.79</v>
      </c>
      <c r="J20" s="1">
        <v>328.75</v>
      </c>
      <c r="K20" s="1">
        <v>354.25</v>
      </c>
      <c r="L20" s="1">
        <v>243.34</v>
      </c>
      <c r="M20" s="1">
        <v>554.30999999999995</v>
      </c>
      <c r="N20" s="1">
        <v>506.76</v>
      </c>
      <c r="O20" s="1">
        <v>162.16</v>
      </c>
      <c r="P20" s="1">
        <v>667.87</v>
      </c>
      <c r="Q20" s="1">
        <v>494.14</v>
      </c>
      <c r="R20" s="1">
        <v>170.47</v>
      </c>
      <c r="S20" s="1">
        <v>120.96</v>
      </c>
      <c r="T20" s="1">
        <v>442.35</v>
      </c>
      <c r="V20" s="71">
        <v>37</v>
      </c>
      <c r="W20" s="71">
        <v>97</v>
      </c>
      <c r="X20" s="71">
        <v>240</v>
      </c>
      <c r="Y20" s="17"/>
    </row>
    <row r="21" spans="1:25" ht="21" customHeight="1" x14ac:dyDescent="0.25">
      <c r="A21" s="8">
        <v>44426</v>
      </c>
      <c r="B21" s="1">
        <v>1.0461</v>
      </c>
      <c r="C21" s="1">
        <v>241.23</v>
      </c>
      <c r="D21" s="1">
        <v>7595309.9299999997</v>
      </c>
      <c r="E21" s="1">
        <v>8341842.4400000004</v>
      </c>
      <c r="F21" s="1">
        <v>2.4964</v>
      </c>
      <c r="G21" s="1">
        <v>786.83</v>
      </c>
      <c r="H21" s="1">
        <v>645.39</v>
      </c>
      <c r="I21" s="1">
        <v>252.12</v>
      </c>
      <c r="J21" s="1">
        <v>329.07</v>
      </c>
      <c r="K21" s="1">
        <v>354.56</v>
      </c>
      <c r="L21" s="1">
        <v>243.57</v>
      </c>
      <c r="M21" s="1">
        <v>555.11</v>
      </c>
      <c r="N21" s="1">
        <v>507.61</v>
      </c>
      <c r="O21" s="1">
        <v>162.41</v>
      </c>
      <c r="P21" s="1">
        <v>668.85</v>
      </c>
      <c r="Q21" s="1">
        <v>494.76</v>
      </c>
      <c r="R21" s="1">
        <v>170.76</v>
      </c>
      <c r="S21" s="1">
        <v>121.08</v>
      </c>
      <c r="T21" s="1">
        <v>442.84</v>
      </c>
      <c r="V21" s="71">
        <v>34</v>
      </c>
      <c r="W21" s="71">
        <v>87</v>
      </c>
      <c r="X21" s="71">
        <v>225</v>
      </c>
      <c r="Y21" s="17"/>
    </row>
    <row r="22" spans="1:25" ht="21" customHeight="1" x14ac:dyDescent="0.25">
      <c r="A22" s="8">
        <v>44427</v>
      </c>
      <c r="B22" s="1">
        <v>1.0475000000000001</v>
      </c>
      <c r="C22" s="1">
        <v>241.5</v>
      </c>
      <c r="D22" s="1">
        <v>7597838.0499999998</v>
      </c>
      <c r="E22" s="1">
        <v>8345371.3799999999</v>
      </c>
      <c r="F22" s="1">
        <v>2.4986999999999999</v>
      </c>
      <c r="G22" s="1">
        <v>787.65</v>
      </c>
      <c r="H22" s="1">
        <v>646.03</v>
      </c>
      <c r="I22" s="1">
        <v>252.5</v>
      </c>
      <c r="J22" s="1">
        <v>329.4</v>
      </c>
      <c r="K22" s="1">
        <v>354.94</v>
      </c>
      <c r="L22" s="1">
        <v>243.79</v>
      </c>
      <c r="M22" s="1">
        <v>555.86</v>
      </c>
      <c r="N22" s="1">
        <v>508.47</v>
      </c>
      <c r="O22" s="1">
        <v>162.63</v>
      </c>
      <c r="P22" s="1">
        <v>669.82</v>
      </c>
      <c r="Q22" s="1">
        <v>495.43</v>
      </c>
      <c r="R22" s="28">
        <v>171.03</v>
      </c>
      <c r="S22" s="28">
        <v>121.2</v>
      </c>
      <c r="T22" s="1">
        <v>443.36</v>
      </c>
      <c r="V22" s="71">
        <v>34</v>
      </c>
      <c r="W22" s="71">
        <v>93</v>
      </c>
      <c r="X22" s="71">
        <v>218</v>
      </c>
      <c r="Y22" s="17"/>
    </row>
    <row r="23" spans="1:25" ht="21" customHeight="1" x14ac:dyDescent="0.25">
      <c r="A23" s="8">
        <v>44428</v>
      </c>
      <c r="B23" s="1">
        <v>1.0488999999999999</v>
      </c>
      <c r="C23" s="1">
        <v>241.75</v>
      </c>
      <c r="D23" s="1">
        <v>7600217.2699999996</v>
      </c>
      <c r="E23" s="1">
        <v>8348773.7300000004</v>
      </c>
      <c r="F23" s="1">
        <v>2.5009999999999999</v>
      </c>
      <c r="G23" s="1">
        <v>788.56</v>
      </c>
      <c r="H23" s="1">
        <v>646.69000000000005</v>
      </c>
      <c r="I23" s="1">
        <v>252.83</v>
      </c>
      <c r="J23" s="1">
        <v>329.79</v>
      </c>
      <c r="K23" s="1">
        <v>355.27</v>
      </c>
      <c r="L23" s="1">
        <v>244.02</v>
      </c>
      <c r="M23" s="1">
        <v>556.61</v>
      </c>
      <c r="N23" s="1">
        <v>509.32</v>
      </c>
      <c r="O23" s="1">
        <v>162.87</v>
      </c>
      <c r="P23" s="1">
        <v>670.88</v>
      </c>
      <c r="Q23" s="1">
        <v>496.12</v>
      </c>
      <c r="R23" s="1">
        <v>171.3</v>
      </c>
      <c r="S23" s="1">
        <v>121.31</v>
      </c>
      <c r="T23" s="1">
        <v>443.86</v>
      </c>
      <c r="V23" s="71">
        <v>30</v>
      </c>
      <c r="W23" s="71">
        <v>83</v>
      </c>
      <c r="X23" s="71">
        <v>223</v>
      </c>
      <c r="Y23" s="17"/>
    </row>
    <row r="24" spans="1:25" ht="21" customHeight="1" x14ac:dyDescent="0.25">
      <c r="A24" s="8">
        <v>44429</v>
      </c>
      <c r="B24" s="1">
        <v>1.0504</v>
      </c>
      <c r="C24" s="1">
        <v>242.01</v>
      </c>
      <c r="D24" s="1">
        <v>7602614.4500000002</v>
      </c>
      <c r="E24" s="1">
        <v>8352147.3499999996</v>
      </c>
      <c r="F24" s="1">
        <v>2.5032999999999999</v>
      </c>
      <c r="G24" s="1">
        <v>789.45</v>
      </c>
      <c r="H24" s="1">
        <v>647.33000000000004</v>
      </c>
      <c r="I24" s="1">
        <v>253.14</v>
      </c>
      <c r="J24" s="1">
        <v>330.08</v>
      </c>
      <c r="K24" s="1">
        <v>355.53</v>
      </c>
      <c r="L24" s="1">
        <v>244.24</v>
      </c>
      <c r="M24" s="1">
        <v>557.29999999999995</v>
      </c>
      <c r="N24" s="1">
        <v>510.21</v>
      </c>
      <c r="O24" s="1">
        <v>163.08000000000001</v>
      </c>
      <c r="P24" s="1">
        <v>671.91</v>
      </c>
      <c r="Q24" s="1">
        <v>496.85</v>
      </c>
      <c r="R24" s="1">
        <v>171.59</v>
      </c>
      <c r="S24" s="1">
        <v>121.44</v>
      </c>
      <c r="T24" s="1">
        <v>444.38</v>
      </c>
      <c r="V24" s="71">
        <v>24</v>
      </c>
      <c r="W24" s="71">
        <v>64</v>
      </c>
      <c r="X24" s="71">
        <v>179</v>
      </c>
      <c r="Y24" s="17"/>
    </row>
    <row r="25" spans="1:25" ht="21" customHeight="1" x14ac:dyDescent="0.25">
      <c r="A25" s="8">
        <v>44430</v>
      </c>
      <c r="B25" s="1">
        <v>1.0519000000000001</v>
      </c>
      <c r="C25" s="1">
        <v>242.27</v>
      </c>
      <c r="D25" s="1">
        <v>7605852.3700000001</v>
      </c>
      <c r="E25" s="1">
        <v>8355275.5999999996</v>
      </c>
      <c r="F25" s="1">
        <v>2.5055999999999998</v>
      </c>
      <c r="G25" s="1">
        <v>790.25</v>
      </c>
      <c r="H25" s="1">
        <v>648</v>
      </c>
      <c r="I25" s="1">
        <v>253.47</v>
      </c>
      <c r="J25" s="1">
        <v>330.36</v>
      </c>
      <c r="K25" s="1">
        <v>355.83</v>
      </c>
      <c r="L25" s="1">
        <v>244.46</v>
      </c>
      <c r="M25" s="1">
        <v>558.03</v>
      </c>
      <c r="N25" s="1">
        <v>511.11</v>
      </c>
      <c r="O25" s="1">
        <v>163.29</v>
      </c>
      <c r="P25" s="1">
        <v>672.93</v>
      </c>
      <c r="Q25" s="1">
        <v>497.56</v>
      </c>
      <c r="R25" s="1">
        <v>171.85</v>
      </c>
      <c r="S25" s="1">
        <v>121.55</v>
      </c>
      <c r="T25" s="1">
        <v>444.66</v>
      </c>
      <c r="V25" s="71">
        <v>26</v>
      </c>
      <c r="W25" s="71">
        <v>64</v>
      </c>
      <c r="X25" s="71">
        <v>190</v>
      </c>
      <c r="Y25" s="17"/>
    </row>
    <row r="26" spans="1:25" ht="21" customHeight="1" x14ac:dyDescent="0.25">
      <c r="A26" s="8">
        <v>44431</v>
      </c>
      <c r="B26" s="1">
        <v>1.0531999999999999</v>
      </c>
      <c r="C26" s="1">
        <v>242.5</v>
      </c>
      <c r="D26" s="1">
        <v>7607346.3300000001</v>
      </c>
      <c r="E26" s="1">
        <v>8358318.7300000004</v>
      </c>
      <c r="F26" s="1">
        <v>2.5078999999999998</v>
      </c>
      <c r="G26" s="1">
        <v>791.04</v>
      </c>
      <c r="H26" s="1">
        <v>648.66</v>
      </c>
      <c r="I26" s="1">
        <v>253.75</v>
      </c>
      <c r="J26" s="1">
        <v>330.63</v>
      </c>
      <c r="K26" s="1">
        <v>356.13</v>
      </c>
      <c r="L26" s="1">
        <v>244.68</v>
      </c>
      <c r="M26" s="1">
        <v>558.76</v>
      </c>
      <c r="N26" s="1">
        <v>511.96</v>
      </c>
      <c r="O26" s="1">
        <v>163.51</v>
      </c>
      <c r="P26" s="1">
        <v>673.87</v>
      </c>
      <c r="Q26" s="1">
        <v>498.25</v>
      </c>
      <c r="R26" s="1">
        <v>172.13</v>
      </c>
      <c r="S26" s="1">
        <v>121.67</v>
      </c>
      <c r="T26" s="1">
        <v>445.21</v>
      </c>
      <c r="V26" s="71">
        <v>27</v>
      </c>
      <c r="W26" s="71">
        <v>59</v>
      </c>
      <c r="X26" s="71">
        <v>199</v>
      </c>
      <c r="Y26" s="17"/>
    </row>
    <row r="27" spans="1:25" ht="21" customHeight="1" x14ac:dyDescent="0.25">
      <c r="A27" s="8">
        <v>44432</v>
      </c>
      <c r="B27" s="1">
        <v>1.0546</v>
      </c>
      <c r="C27" s="1">
        <v>242.74</v>
      </c>
      <c r="D27" s="1">
        <v>7609612.2400000002</v>
      </c>
      <c r="E27" s="1">
        <v>8361119.4000000004</v>
      </c>
      <c r="F27" s="1">
        <v>2.5102000000000002</v>
      </c>
      <c r="G27" s="1">
        <v>791.9</v>
      </c>
      <c r="H27" s="1">
        <v>649.34</v>
      </c>
      <c r="I27" s="1">
        <v>254.04</v>
      </c>
      <c r="J27" s="1">
        <v>330.9</v>
      </c>
      <c r="K27" s="1">
        <v>356.39</v>
      </c>
      <c r="L27" s="1">
        <v>244.87</v>
      </c>
      <c r="M27" s="1">
        <v>559.48</v>
      </c>
      <c r="N27" s="1">
        <v>512.77</v>
      </c>
      <c r="O27" s="1">
        <v>163.72999999999999</v>
      </c>
      <c r="P27" s="1">
        <v>674.83</v>
      </c>
      <c r="Q27" s="1">
        <v>498.95</v>
      </c>
      <c r="R27" s="1">
        <v>172.4</v>
      </c>
      <c r="S27" s="1">
        <v>121.79</v>
      </c>
      <c r="T27" s="1">
        <v>445.71</v>
      </c>
      <c r="V27" s="71">
        <v>26</v>
      </c>
      <c r="W27" s="71">
        <v>57</v>
      </c>
      <c r="X27" s="71">
        <v>201</v>
      </c>
      <c r="Y27" s="17"/>
    </row>
    <row r="28" spans="1:25" ht="21" customHeight="1" x14ac:dyDescent="0.25">
      <c r="A28" s="8">
        <v>44433</v>
      </c>
      <c r="B28" s="1">
        <v>1.0559000000000001</v>
      </c>
      <c r="C28" s="1">
        <v>243</v>
      </c>
      <c r="D28" s="1">
        <v>7611503.9400000004</v>
      </c>
      <c r="E28" s="1">
        <v>8363535.75</v>
      </c>
      <c r="F28" s="1">
        <v>2.5123000000000002</v>
      </c>
      <c r="G28" s="1">
        <v>792.63</v>
      </c>
      <c r="H28" s="1">
        <v>649.88</v>
      </c>
      <c r="I28" s="1">
        <v>254.28</v>
      </c>
      <c r="J28" s="1">
        <v>331.21</v>
      </c>
      <c r="K28" s="1">
        <v>356.69</v>
      </c>
      <c r="L28" s="1">
        <v>245.08</v>
      </c>
      <c r="M28" s="1">
        <v>560.09</v>
      </c>
      <c r="N28" s="1">
        <v>513.38</v>
      </c>
      <c r="O28" s="1">
        <v>163.96</v>
      </c>
      <c r="P28" s="1">
        <v>675.69</v>
      </c>
      <c r="Q28" s="1">
        <v>499.54</v>
      </c>
      <c r="R28" s="1">
        <v>172.69</v>
      </c>
      <c r="S28" s="1">
        <v>121.91</v>
      </c>
      <c r="T28" s="1">
        <v>446.2</v>
      </c>
      <c r="V28" s="71">
        <v>28</v>
      </c>
      <c r="W28" s="71">
        <v>69</v>
      </c>
      <c r="X28" s="71">
        <v>189</v>
      </c>
      <c r="Y28" s="17"/>
    </row>
    <row r="29" spans="1:25" ht="21" customHeight="1" x14ac:dyDescent="0.25">
      <c r="A29" s="8">
        <v>44434</v>
      </c>
      <c r="B29" s="1">
        <v>1.0569999999999999</v>
      </c>
      <c r="C29" s="1">
        <v>243.26</v>
      </c>
      <c r="D29" s="1">
        <v>7613477.0700000003</v>
      </c>
      <c r="E29" s="1">
        <v>8366158.1500000004</v>
      </c>
      <c r="F29" s="1">
        <v>2.5144000000000002</v>
      </c>
      <c r="G29" s="1">
        <v>793.32</v>
      </c>
      <c r="H29" s="1">
        <v>650.35</v>
      </c>
      <c r="I29" s="1">
        <v>254.51</v>
      </c>
      <c r="J29" s="1">
        <v>331.51</v>
      </c>
      <c r="K29" s="1">
        <v>356.99</v>
      </c>
      <c r="L29" s="1">
        <v>245.3</v>
      </c>
      <c r="M29" s="1">
        <v>560.55999999999995</v>
      </c>
      <c r="N29" s="1">
        <v>514.01</v>
      </c>
      <c r="O29" s="1">
        <v>164.18</v>
      </c>
      <c r="P29" s="1">
        <v>676.64</v>
      </c>
      <c r="Q29" s="1">
        <v>500.13</v>
      </c>
      <c r="R29" s="1">
        <v>172.94</v>
      </c>
      <c r="S29" s="1">
        <v>122.03</v>
      </c>
      <c r="T29" s="1">
        <v>446.68</v>
      </c>
      <c r="V29" s="71">
        <v>19</v>
      </c>
      <c r="W29" s="71">
        <v>53</v>
      </c>
      <c r="X29" s="71">
        <v>172</v>
      </c>
      <c r="Y29" s="17"/>
    </row>
    <row r="30" spans="1:25" ht="21" customHeight="1" x14ac:dyDescent="0.25">
      <c r="A30" s="8">
        <v>44435</v>
      </c>
      <c r="B30" s="1">
        <v>1.0583</v>
      </c>
      <c r="C30" s="1">
        <v>243.51</v>
      </c>
      <c r="D30" s="1">
        <v>7615575.4299999997</v>
      </c>
      <c r="E30" s="1">
        <v>8369033.3700000001</v>
      </c>
      <c r="F30" s="1">
        <v>2.5167999999999999</v>
      </c>
      <c r="G30" s="1">
        <v>794.13</v>
      </c>
      <c r="H30" s="1">
        <v>650.92999999999995</v>
      </c>
      <c r="I30" s="1">
        <v>254.78</v>
      </c>
      <c r="J30" s="1">
        <v>331.78</v>
      </c>
      <c r="K30" s="1">
        <v>357.34</v>
      </c>
      <c r="L30" s="1">
        <v>245.53</v>
      </c>
      <c r="M30" s="1">
        <v>561.30999999999995</v>
      </c>
      <c r="N30" s="1">
        <v>514.69000000000005</v>
      </c>
      <c r="O30" s="1">
        <v>164.38</v>
      </c>
      <c r="P30" s="1">
        <v>677.61</v>
      </c>
      <c r="Q30" s="1">
        <v>500.79</v>
      </c>
      <c r="R30" s="1">
        <v>173.23</v>
      </c>
      <c r="S30" s="1">
        <v>122.15</v>
      </c>
      <c r="T30" s="1">
        <v>447.15</v>
      </c>
      <c r="V30" s="71">
        <v>18</v>
      </c>
      <c r="W30" s="71">
        <v>47</v>
      </c>
      <c r="X30" s="71">
        <v>150</v>
      </c>
      <c r="Y30" s="17"/>
    </row>
    <row r="31" spans="1:25" ht="21" customHeight="1" x14ac:dyDescent="0.25">
      <c r="A31" s="8">
        <v>44436</v>
      </c>
      <c r="B31" s="1">
        <v>1.0597000000000001</v>
      </c>
      <c r="C31" s="1">
        <v>243.75</v>
      </c>
      <c r="D31" s="1">
        <v>7617690.3099999996</v>
      </c>
      <c r="E31" s="1">
        <v>8371528.79</v>
      </c>
      <c r="F31" s="1">
        <v>2.5192999999999999</v>
      </c>
      <c r="G31" s="1">
        <v>794.95</v>
      </c>
      <c r="H31" s="1">
        <v>651.48</v>
      </c>
      <c r="I31" s="1">
        <v>255.03</v>
      </c>
      <c r="J31" s="1">
        <v>332.1</v>
      </c>
      <c r="K31" s="1">
        <v>357.65</v>
      </c>
      <c r="L31" s="1">
        <v>245.75</v>
      </c>
      <c r="M31" s="1">
        <v>561.91999999999996</v>
      </c>
      <c r="N31" s="1">
        <v>515.34</v>
      </c>
      <c r="O31" s="1">
        <v>164.64</v>
      </c>
      <c r="P31" s="1">
        <v>678.5</v>
      </c>
      <c r="Q31" s="1">
        <v>501.42</v>
      </c>
      <c r="R31" s="1">
        <v>173.5</v>
      </c>
      <c r="S31" s="1">
        <v>122.27</v>
      </c>
      <c r="T31" s="1">
        <v>447.4</v>
      </c>
      <c r="V31" s="71">
        <v>21</v>
      </c>
      <c r="W31" s="71">
        <v>50</v>
      </c>
      <c r="X31" s="71">
        <v>130</v>
      </c>
      <c r="Y31" s="17"/>
    </row>
    <row r="32" spans="1:25" ht="21" customHeight="1" x14ac:dyDescent="0.25">
      <c r="A32" s="8">
        <v>44437</v>
      </c>
      <c r="B32" s="1">
        <v>1.0609</v>
      </c>
      <c r="C32" s="1">
        <v>243.99</v>
      </c>
      <c r="D32" s="1">
        <v>7619681.6299999999</v>
      </c>
      <c r="E32" s="1">
        <v>8374237.3899999997</v>
      </c>
      <c r="F32" s="1">
        <v>2.5215000000000001</v>
      </c>
      <c r="G32" s="1">
        <v>795.73</v>
      </c>
      <c r="H32" s="1">
        <v>652</v>
      </c>
      <c r="I32" s="1">
        <v>255.27</v>
      </c>
      <c r="J32" s="1">
        <v>332.41</v>
      </c>
      <c r="K32" s="1">
        <v>357.91</v>
      </c>
      <c r="L32" s="1">
        <v>245.97</v>
      </c>
      <c r="M32" s="1">
        <v>562.46</v>
      </c>
      <c r="N32" s="1">
        <v>515.99</v>
      </c>
      <c r="O32" s="1">
        <v>164.87</v>
      </c>
      <c r="P32" s="1">
        <v>679.35</v>
      </c>
      <c r="Q32" s="1">
        <v>502.02</v>
      </c>
      <c r="R32" s="1">
        <v>173.78</v>
      </c>
      <c r="S32" s="1">
        <v>122.39</v>
      </c>
      <c r="T32" s="1">
        <v>447.89</v>
      </c>
      <c r="V32" s="71">
        <v>21</v>
      </c>
      <c r="W32" s="71">
        <v>53</v>
      </c>
      <c r="X32" s="71">
        <v>144</v>
      </c>
      <c r="Y32" s="17"/>
    </row>
    <row r="33" spans="1:25" ht="19.5" customHeight="1" x14ac:dyDescent="0.25">
      <c r="A33" s="8">
        <v>44438</v>
      </c>
      <c r="B33" s="1">
        <v>1.0623</v>
      </c>
      <c r="C33" s="1">
        <v>244.24</v>
      </c>
      <c r="D33" s="1">
        <v>7621865.0300000003</v>
      </c>
      <c r="E33" s="1">
        <v>8377328.1399999997</v>
      </c>
      <c r="F33" s="1">
        <v>2.524</v>
      </c>
      <c r="G33" s="1">
        <v>796.59</v>
      </c>
      <c r="H33" s="1">
        <v>652.53</v>
      </c>
      <c r="I33" s="1">
        <v>255.54</v>
      </c>
      <c r="J33" s="1">
        <v>332.71</v>
      </c>
      <c r="K33" s="1">
        <v>358.16</v>
      </c>
      <c r="L33" s="1">
        <v>246.17</v>
      </c>
      <c r="M33" s="1">
        <v>563.11</v>
      </c>
      <c r="N33" s="1">
        <v>516.66999999999996</v>
      </c>
      <c r="O33" s="1">
        <v>165.11</v>
      </c>
      <c r="P33" s="1">
        <v>680.33</v>
      </c>
      <c r="Q33" s="1">
        <v>502.29</v>
      </c>
      <c r="R33" s="1">
        <v>174.03</v>
      </c>
      <c r="S33" s="1">
        <v>122.5</v>
      </c>
      <c r="T33" s="1">
        <v>448.5</v>
      </c>
      <c r="V33" s="71">
        <v>12</v>
      </c>
      <c r="W33" s="71">
        <v>27</v>
      </c>
      <c r="X33" s="71">
        <v>118</v>
      </c>
      <c r="Y33" s="17"/>
    </row>
    <row r="34" spans="1:25" ht="19.5" customHeight="1" x14ac:dyDescent="0.25">
      <c r="A34" s="8">
        <v>44439</v>
      </c>
      <c r="B34" s="1">
        <v>1.0636000000000001</v>
      </c>
      <c r="C34" s="1">
        <v>244.5</v>
      </c>
      <c r="D34" s="1">
        <v>7624213.9900000002</v>
      </c>
      <c r="E34" s="1">
        <v>8380571.8200000003</v>
      </c>
      <c r="F34" s="1">
        <v>2.5261999999999998</v>
      </c>
      <c r="G34" s="1">
        <v>797.47</v>
      </c>
      <c r="H34" s="1">
        <v>653.16999999999996</v>
      </c>
      <c r="I34" s="1">
        <v>255.82</v>
      </c>
      <c r="J34" s="1">
        <v>332.93</v>
      </c>
      <c r="K34" s="1">
        <v>358.44</v>
      </c>
      <c r="L34" s="1">
        <v>246.37</v>
      </c>
      <c r="M34" s="1">
        <v>563.86</v>
      </c>
      <c r="N34" s="1">
        <v>517.35</v>
      </c>
      <c r="O34" s="1">
        <v>165.33</v>
      </c>
      <c r="P34" s="1">
        <v>681.32</v>
      </c>
      <c r="Q34" s="1">
        <v>503.29</v>
      </c>
      <c r="R34" s="1">
        <v>174.3</v>
      </c>
      <c r="S34" s="1">
        <v>122.62</v>
      </c>
      <c r="T34" s="1">
        <v>448.88</v>
      </c>
      <c r="V34" s="71">
        <v>15</v>
      </c>
      <c r="W34" s="71">
        <v>33</v>
      </c>
      <c r="X34" s="71">
        <v>80</v>
      </c>
    </row>
    <row r="35" spans="1:25" ht="21" customHeight="1" x14ac:dyDescent="0.25">
      <c r="A35" s="8">
        <v>44440</v>
      </c>
      <c r="B35" s="1">
        <v>1.0649999999999999</v>
      </c>
      <c r="C35" s="1">
        <v>244.76</v>
      </c>
      <c r="D35" s="1">
        <v>7626409.6399999997</v>
      </c>
      <c r="E35" s="1">
        <v>8383537.8399999999</v>
      </c>
      <c r="F35" s="1">
        <v>2.5285000000000002</v>
      </c>
      <c r="G35" s="1">
        <v>798.32</v>
      </c>
      <c r="H35" s="1">
        <v>653.78</v>
      </c>
      <c r="I35" s="1">
        <v>256.10000000000002</v>
      </c>
      <c r="J35" s="1">
        <v>333.2</v>
      </c>
      <c r="K35" s="1">
        <v>358.67</v>
      </c>
      <c r="L35" s="1">
        <v>246.58</v>
      </c>
      <c r="M35" s="1">
        <v>564.62</v>
      </c>
      <c r="N35" s="1">
        <v>517.91</v>
      </c>
      <c r="O35" s="1">
        <v>165.55</v>
      </c>
      <c r="P35" s="1">
        <v>682.28</v>
      </c>
      <c r="Q35" s="1">
        <v>503.9</v>
      </c>
      <c r="R35" s="1">
        <v>174.59</v>
      </c>
      <c r="S35" s="1">
        <v>122.74</v>
      </c>
      <c r="T35" s="1">
        <v>449.37</v>
      </c>
      <c r="V35" s="78">
        <f>SUM(V4:V34)</f>
        <v>790</v>
      </c>
      <c r="W35" s="78">
        <f>SUM(W4:W34)</f>
        <v>2095</v>
      </c>
      <c r="X35" s="78">
        <f>SUM(X4:X34)</f>
        <v>5692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1" sqref="F3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Reading'!B5)*1000000</f>
        <v>1400.0000000000678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5888.2099999988022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Reading'!B6)*1000000</f>
        <v>1500.0000000000568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7515.8300000017807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Reading'!B7)*1000000</f>
        <v>1499.9999999998347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7205.0800000001</v>
      </c>
    </row>
    <row r="8" spans="1:22" x14ac:dyDescent="0.25">
      <c r="A8" s="3">
        <f>'Kwh Reading'!A8</f>
        <v>44413</v>
      </c>
      <c r="B8" s="26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Reading'!B8)*1000000</f>
        <v>1400.0000000000678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6495.610000000097</v>
      </c>
    </row>
    <row r="9" spans="1:22" x14ac:dyDescent="0.25">
      <c r="A9" s="3">
        <f>'Kwh Reading'!A9</f>
        <v>44414</v>
      </c>
      <c r="B9" s="26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6301.5299999992749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Reading'!B10)*1000000</f>
        <v>1399.9999999998458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5571.0000000011532</v>
      </c>
    </row>
    <row r="11" spans="1:22" x14ac:dyDescent="0.25">
      <c r="A11" s="3">
        <f>'Kwh Reading'!A11</f>
        <v>44416</v>
      </c>
      <c r="B11" s="26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Reading'!B11)*1000000</f>
        <v>1300.0000000000789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4">
        <f>'Kwh Reading'!E12-'Kwh Reading'!E11</f>
        <v>3161.2099999999627</v>
      </c>
      <c r="T11" s="34">
        <f>'Kwh Reading'!D12-'Kwh Reading'!D11</f>
        <v>2162.5400000000373</v>
      </c>
      <c r="U11" s="27">
        <f>('Kwh Reading'!O12-'Kwh Reading'!O11)*1000</f>
        <v>219.99999999999886</v>
      </c>
      <c r="V11" s="16">
        <f t="shared" si="1"/>
        <v>6596.2499999976953</v>
      </c>
    </row>
    <row r="12" spans="1:22" x14ac:dyDescent="0.25">
      <c r="A12" s="3">
        <f>'Kwh Reading'!A12</f>
        <v>44417</v>
      </c>
      <c r="B12" s="26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Reading'!B12)*1000000</f>
        <v>1300.0000000000789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4">
        <f>'Kwh Reading'!E13-'Kwh Reading'!E12</f>
        <v>3697.0299999993294</v>
      </c>
      <c r="T12" s="34">
        <f>'Kwh Reading'!D13-'Kwh Reading'!D12</f>
        <v>2400.3400000007823</v>
      </c>
      <c r="U12" s="27">
        <f>('Kwh Reading'!O13-'Kwh Reading'!O12)*1000</f>
        <v>230.00000000001819</v>
      </c>
      <c r="V12" s="16">
        <f t="shared" si="1"/>
        <v>7032.6299999999537</v>
      </c>
    </row>
    <row r="13" spans="1:22" x14ac:dyDescent="0.25">
      <c r="A13" s="3">
        <f>'Kwh Reading'!A13</f>
        <v>44418</v>
      </c>
      <c r="B13" s="26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1299.9999999998568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4">
        <f>'Kwh Reading'!E14-'Kwh Reading'!E13</f>
        <v>3756.2099999999627</v>
      </c>
      <c r="T13" s="34">
        <f>'Kwh Reading'!D14-'Kwh Reading'!D13</f>
        <v>2288.9499999992549</v>
      </c>
      <c r="U13" s="27">
        <f>('Kwh Reading'!O14-'Kwh Reading'!O13)*1000</f>
        <v>219.99999999999886</v>
      </c>
      <c r="V13" s="16">
        <f t="shared" si="1"/>
        <v>7534.8400000011534</v>
      </c>
    </row>
    <row r="14" spans="1:22" x14ac:dyDescent="0.25">
      <c r="A14" s="3">
        <f>'Kwh Reading'!A14</f>
        <v>44419</v>
      </c>
      <c r="B14" s="26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Reading'!B14)*1000000</f>
        <v>1400.0000000000678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4">
        <f>'Kwh Reading'!E15-'Kwh Reading'!E14</f>
        <v>3577.7200000006706</v>
      </c>
      <c r="T14" s="34">
        <f>'Kwh Reading'!D15-'Kwh Reading'!D14</f>
        <v>2352.1900000004098</v>
      </c>
      <c r="U14" s="27">
        <f>('Kwh Reading'!O15-'Kwh Reading'!O14)*1000</f>
        <v>219.99999999999886</v>
      </c>
      <c r="V14" s="16">
        <f t="shared" si="1"/>
        <v>7260.0900000000656</v>
      </c>
    </row>
    <row r="15" spans="1:22" x14ac:dyDescent="0.25">
      <c r="A15" s="3">
        <f>'Kwh Reading'!A15</f>
        <v>44420</v>
      </c>
      <c r="B15" s="26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Reading'!B15)*1000000</f>
        <v>1300.0000000000789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4">
        <f>'Kwh Reading'!E16-'Kwh Reading'!E15</f>
        <v>3759.8499999996275</v>
      </c>
      <c r="T15" s="34">
        <f>'Kwh Reading'!D16-'Kwh Reading'!D15</f>
        <v>2308.8899999996647</v>
      </c>
      <c r="U15" s="27">
        <f>('Kwh Reading'!O16-'Kwh Reading'!O15)*1000</f>
        <v>210.00000000000796</v>
      </c>
      <c r="V15" s="16">
        <f t="shared" si="1"/>
        <v>6761.2600000013917</v>
      </c>
    </row>
    <row r="16" spans="1:22" x14ac:dyDescent="0.25">
      <c r="A16" s="3">
        <f>'Kwh Reading'!A16</f>
        <v>44421</v>
      </c>
      <c r="B16" s="26">
        <f>TOTAL!E14</f>
        <v>23569.999999998348</v>
      </c>
      <c r="C16" s="4">
        <f>('Kwh Reading'!T17-'Kwh Reading'!T16)*1000</f>
        <v>289.99999999996362</v>
      </c>
      <c r="D16" s="2">
        <f>('Kwh Reading'!F17-'Kwh Reading'!F16)*1000000</f>
        <v>2800.0000000001355</v>
      </c>
      <c r="E16" s="2">
        <f>('Kwh Reading'!C17-'Kwh Reading'!C16)*1000</f>
        <v>259.99999999999091</v>
      </c>
      <c r="F16" s="2">
        <f>('Kwh Reading'!J17-'Kwh Reading'!J16)*1000</f>
        <v>310.00000000000227</v>
      </c>
      <c r="G16" s="2">
        <f>('Kwh Reading'!K17-'Kwh Reading'!K16)*1000</f>
        <v>259.99999999999091</v>
      </c>
      <c r="H16" s="2">
        <f>('Kwh Reading'!L17-'Kwh Reading'!L16)*1000</f>
        <v>179.9999999999784</v>
      </c>
      <c r="I16" s="2">
        <f>('Kwh Reading'!R17-'Kwh Reading'!R16)*1000</f>
        <v>280.00000000000114</v>
      </c>
      <c r="J16" s="2">
        <f>('Kwh Reading'!S17-'Kwh Reading'!S16)*1000</f>
        <v>119.99999999999034</v>
      </c>
      <c r="K16" s="2">
        <f>('Kwh Reading'!I17-'Kwh Reading'!I16)*1000</f>
        <v>379.99999999999545</v>
      </c>
      <c r="L16" s="2">
        <f>('Kwh Reading'!B17-'Kwh Reading'!B16)*1000000</f>
        <v>1299.9999999998568</v>
      </c>
      <c r="M16" s="2">
        <f>('Kwh Reading'!M17-'Kwh Reading'!M16)*1000</f>
        <v>870.00000000000455</v>
      </c>
      <c r="N16" s="2">
        <f>('Kwh Reading'!H17-'Kwh Reading'!H16)*1000</f>
        <v>550.00000000006821</v>
      </c>
      <c r="O16" s="2">
        <f>('Kwh Reading'!P17-'Kwh Reading'!P16)*1000</f>
        <v>1120.0000000000045</v>
      </c>
      <c r="P16" s="2">
        <f>('Kwh Reading'!G17-'Kwh Reading'!G16)*1000</f>
        <v>870.00000000000455</v>
      </c>
      <c r="Q16" s="2">
        <f>('Kwh Reading'!Q17-'Kwh Reading'!Q16)*1000</f>
        <v>670.00000000001592</v>
      </c>
      <c r="R16" s="2">
        <f>('Kwh Reading'!N17-'Kwh Reading'!N16)*1000</f>
        <v>759.99999999999091</v>
      </c>
      <c r="S16" s="34">
        <f>'Kwh Reading'!E17-'Kwh Reading'!E16</f>
        <v>3499.4900000002235</v>
      </c>
      <c r="T16" s="34">
        <f>'Kwh Reading'!D17-'Kwh Reading'!D16</f>
        <v>2394.839999999851</v>
      </c>
      <c r="U16" s="27">
        <f>('Kwh Reading'!O17-'Kwh Reading'!O16)*1000</f>
        <v>209.99999999997954</v>
      </c>
      <c r="V16" s="16">
        <f t="shared" si="1"/>
        <v>6445.669999998303</v>
      </c>
    </row>
    <row r="17" spans="1:22" x14ac:dyDescent="0.25">
      <c r="A17" s="3">
        <f>'Kwh Reading'!A17</f>
        <v>44422</v>
      </c>
      <c r="B17" s="26">
        <f>TOTAL!E15</f>
        <v>24350.000000001048</v>
      </c>
      <c r="C17" s="4">
        <f>('Kwh Reading'!T18-'Kwh Reading'!T17)*1000</f>
        <v>520.00000000003865</v>
      </c>
      <c r="D17" s="2">
        <f>('Kwh Reading'!F18-'Kwh Reading'!F17)*1000000</f>
        <v>1900.0000000000127</v>
      </c>
      <c r="E17" s="2">
        <f>('Kwh Reading'!C18-'Kwh Reading'!C17)*1000</f>
        <v>289.99999999999204</v>
      </c>
      <c r="F17" s="2">
        <f>('Kwh Reading'!J18-'Kwh Reading'!J17)*1000</f>
        <v>250</v>
      </c>
      <c r="G17" s="2">
        <f>('Kwh Reading'!K18-'Kwh Reading'!K17)*1000</f>
        <v>310.00000000000227</v>
      </c>
      <c r="H17" s="2">
        <f>('Kwh Reading'!L18-'Kwh Reading'!L17)*1000</f>
        <v>210.00000000000796</v>
      </c>
      <c r="I17" s="2">
        <f>('Kwh Reading'!R18-'Kwh Reading'!R17)*1000</f>
        <v>259.99999999999091</v>
      </c>
      <c r="J17" s="2">
        <f>('Kwh Reading'!S18-'Kwh Reading'!S17)*1000</f>
        <v>120.00000000000455</v>
      </c>
      <c r="K17" s="2">
        <f>('Kwh Reading'!I18-'Kwh Reading'!I17)*1000</f>
        <v>359.99999999998522</v>
      </c>
      <c r="L17" s="2">
        <f>('Kwh Reading'!B18-'Kwh Reading'!B17)*1000000</f>
        <v>1300.0000000000789</v>
      </c>
      <c r="M17" s="2">
        <f>('Kwh Reading'!M18-'Kwh Reading'!M17)*1000</f>
        <v>800.00000000006821</v>
      </c>
      <c r="N17" s="2">
        <f>('Kwh Reading'!H18-'Kwh Reading'!H17)*1000</f>
        <v>629.99999999999545</v>
      </c>
      <c r="O17" s="2">
        <f>('Kwh Reading'!P18-'Kwh Reading'!P17)*1000</f>
        <v>1139.9999999999864</v>
      </c>
      <c r="P17" s="2">
        <f>('Kwh Reading'!G18-'Kwh Reading'!G17)*1000</f>
        <v>899.99999999997726</v>
      </c>
      <c r="Q17" s="2">
        <f>('Kwh Reading'!Q18-'Kwh Reading'!Q17)*1000</f>
        <v>689.99999999999773</v>
      </c>
      <c r="R17" s="2">
        <f>('Kwh Reading'!N18-'Kwh Reading'!N17)*1000</f>
        <v>840.00000000003183</v>
      </c>
      <c r="S17" s="34">
        <f>'Kwh Reading'!E18-'Kwh Reading'!E17</f>
        <v>4013.589999999851</v>
      </c>
      <c r="T17" s="34">
        <f>'Kwh Reading'!D18-'Kwh Reading'!D17</f>
        <v>2475.8300000000745</v>
      </c>
      <c r="U17" s="27">
        <f>('Kwh Reading'!O18-'Kwh Reading'!O17)*1000</f>
        <v>210.00000000000796</v>
      </c>
      <c r="V17" s="16">
        <f t="shared" si="1"/>
        <v>7130.580000000944</v>
      </c>
    </row>
    <row r="18" spans="1:22" x14ac:dyDescent="0.25">
      <c r="A18" s="3">
        <f>'Kwh Reading'!A18</f>
        <v>44423</v>
      </c>
      <c r="B18" s="26">
        <f>TOTAL!E16</f>
        <v>23809.999999999491</v>
      </c>
      <c r="C18" s="4">
        <f>('Kwh Reading'!T19-'Kwh Reading'!T18)*1000</f>
        <v>500</v>
      </c>
      <c r="D18" s="2">
        <f>('Kwh Reading'!F19-'Kwh Reading'!F18)*1000000</f>
        <v>2299.9999999999686</v>
      </c>
      <c r="E18" s="2">
        <f>('Kwh Reading'!C19-'Kwh Reading'!C18)*1000</f>
        <v>270.00000000001023</v>
      </c>
      <c r="F18" s="2">
        <f>('Kwh Reading'!J19-'Kwh Reading'!J18)*1000</f>
        <v>360.00000000001364</v>
      </c>
      <c r="G18" s="2">
        <f>('Kwh Reading'!K19-'Kwh Reading'!K18)*1000</f>
        <v>310.00000000000227</v>
      </c>
      <c r="H18" s="2">
        <f>('Kwh Reading'!L19-'Kwh Reading'!L18)*1000</f>
        <v>9.9999999999909051</v>
      </c>
      <c r="I18" s="2">
        <f>('Kwh Reading'!R19-'Kwh Reading'!R18)*1000</f>
        <v>280.00000000000114</v>
      </c>
      <c r="J18" s="2">
        <f>('Kwh Reading'!S19-'Kwh Reading'!S18)*1000</f>
        <v>120.00000000000455</v>
      </c>
      <c r="K18" s="2">
        <f>('Kwh Reading'!I19-'Kwh Reading'!I18)*1000</f>
        <v>370.00000000000455</v>
      </c>
      <c r="L18" s="2">
        <f>('Kwh Reading'!B19-'Kwh Reading'!B18)*1000000</f>
        <v>1300.0000000000789</v>
      </c>
      <c r="M18" s="2">
        <f>('Kwh Reading'!M19-'Kwh Reading'!M18)*1000</f>
        <v>779.99999999997272</v>
      </c>
      <c r="N18" s="2">
        <f>('Kwh Reading'!H19-'Kwh Reading'!H18)*1000</f>
        <v>710.00000000003638</v>
      </c>
      <c r="O18" s="2">
        <f>('Kwh Reading'!P19-'Kwh Reading'!P18)*1000</f>
        <v>1120.0000000000045</v>
      </c>
      <c r="P18" s="2">
        <f>('Kwh Reading'!G19-'Kwh Reading'!G18)*1000</f>
        <v>879.99999999999545</v>
      </c>
      <c r="Q18" s="2">
        <f>('Kwh Reading'!Q19-'Kwh Reading'!Q18)*1000</f>
        <v>699.99999999998863</v>
      </c>
      <c r="R18" s="2">
        <f>('Kwh Reading'!N19-'Kwh Reading'!N18)*1000</f>
        <v>799.99999999995453</v>
      </c>
      <c r="S18" s="34">
        <f>'Kwh Reading'!E19-'Kwh Reading'!E18</f>
        <v>3639.7800000002608</v>
      </c>
      <c r="T18" s="34">
        <f>'Kwh Reading'!D19-'Kwh Reading'!D18</f>
        <v>2689.7400000002235</v>
      </c>
      <c r="U18" s="27">
        <f>('Kwh Reading'!O19-'Kwh Reading'!O18)*1000</f>
        <v>219.99999999999886</v>
      </c>
      <c r="V18" s="16">
        <f t="shared" si="1"/>
        <v>6450.4799999989773</v>
      </c>
    </row>
    <row r="19" spans="1:22" x14ac:dyDescent="0.25">
      <c r="A19" s="3">
        <f>'Kwh Reading'!A19</f>
        <v>44424</v>
      </c>
      <c r="B19" s="26">
        <f>TOTAL!E17</f>
        <v>23839.999999999691</v>
      </c>
      <c r="C19" s="4">
        <f>('Kwh Reading'!T20-'Kwh Reading'!T19)*1000</f>
        <v>500</v>
      </c>
      <c r="D19" s="2">
        <f>('Kwh Reading'!F20-'Kwh Reading'!F19)*1000000</f>
        <v>2099.9999999999909</v>
      </c>
      <c r="E19" s="2">
        <f>('Kwh Reading'!C20-'Kwh Reading'!C19)*1000</f>
        <v>259.99999999999091</v>
      </c>
      <c r="F19" s="2">
        <f>('Kwh Reading'!J20-'Kwh Reading'!J19)*1000</f>
        <v>389.99999999998636</v>
      </c>
      <c r="G19" s="2">
        <f>('Kwh Reading'!K20-'Kwh Reading'!K19)*1000</f>
        <v>329.99999999998408</v>
      </c>
      <c r="H19" s="2">
        <f>('Kwh Reading'!L20-'Kwh Reading'!L19)*1000</f>
        <v>420.00000000001592</v>
      </c>
      <c r="I19" s="2">
        <f>('Kwh Reading'!R20-'Kwh Reading'!R19)*1000</f>
        <v>280.00000000000114</v>
      </c>
      <c r="J19" s="2">
        <f>('Kwh Reading'!S20-'Kwh Reading'!S19)*1000</f>
        <v>119.99999999999034</v>
      </c>
      <c r="K19" s="2">
        <f>('Kwh Reading'!I20-'Kwh Reading'!I19)*1000</f>
        <v>379.99999999999545</v>
      </c>
      <c r="L19" s="2">
        <f>('Kwh Reading'!B20-'Kwh Reading'!B19)*1000000</f>
        <v>1299.9999999998568</v>
      </c>
      <c r="M19" s="2">
        <f>('Kwh Reading'!M20-'Kwh Reading'!M19)*1000</f>
        <v>799.99999999995453</v>
      </c>
      <c r="N19" s="2">
        <f>('Kwh Reading'!H20-'Kwh Reading'!H19)*1000</f>
        <v>750</v>
      </c>
      <c r="O19" s="2">
        <f>('Kwh Reading'!P20-'Kwh Reading'!P19)*1000</f>
        <v>1080.0000000000409</v>
      </c>
      <c r="P19" s="2">
        <f>('Kwh Reading'!G20-'Kwh Reading'!G19)*1000</f>
        <v>840.00000000003183</v>
      </c>
      <c r="Q19" s="2">
        <f>('Kwh Reading'!Q20-'Kwh Reading'!Q19)*1000</f>
        <v>639.99999999998636</v>
      </c>
      <c r="R19" s="2">
        <f>('Kwh Reading'!N20-'Kwh Reading'!N19)*1000</f>
        <v>860.00000000001364</v>
      </c>
      <c r="S19" s="34">
        <f>'Kwh Reading'!E20-'Kwh Reading'!E19</f>
        <v>3528.5599999995902</v>
      </c>
      <c r="T19" s="34">
        <f>'Kwh Reading'!D20-'Kwh Reading'!D19</f>
        <v>2710.6100000003353</v>
      </c>
      <c r="U19" s="27">
        <f>('Kwh Reading'!O20-'Kwh Reading'!O19)*1000</f>
        <v>250</v>
      </c>
      <c r="V19" s="16">
        <f t="shared" si="1"/>
        <v>6300.8299999999253</v>
      </c>
    </row>
    <row r="20" spans="1:22" x14ac:dyDescent="0.25">
      <c r="A20" s="3">
        <f>'Kwh Reading'!A20</f>
        <v>44425</v>
      </c>
      <c r="B20" s="26">
        <f>TOTAL!E18</f>
        <v>23209.999999999578</v>
      </c>
      <c r="C20" s="4">
        <f>('Kwh Reading'!T21-'Kwh Reading'!T20)*1000</f>
        <v>489.99999999995225</v>
      </c>
      <c r="D20" s="2">
        <f>('Kwh Reading'!F21-'Kwh Reading'!F20)*1000000</f>
        <v>2299.9999999999686</v>
      </c>
      <c r="E20" s="2">
        <f>('Kwh Reading'!C21-'Kwh Reading'!C20)*1000</f>
        <v>250</v>
      </c>
      <c r="F20" s="2">
        <f>('Kwh Reading'!J21-'Kwh Reading'!J20)*1000</f>
        <v>319.99999999999318</v>
      </c>
      <c r="G20" s="2">
        <f>('Kwh Reading'!K21-'Kwh Reading'!K20)*1000</f>
        <v>310.00000000000227</v>
      </c>
      <c r="H20" s="2">
        <f>('Kwh Reading'!L21-'Kwh Reading'!L20)*1000</f>
        <v>229.99999999998977</v>
      </c>
      <c r="I20" s="2">
        <f>('Kwh Reading'!R21-'Kwh Reading'!R20)*1000</f>
        <v>289.99999999999204</v>
      </c>
      <c r="J20" s="2">
        <f>('Kwh Reading'!S21-'Kwh Reading'!S20)*1000</f>
        <v>120.00000000000455</v>
      </c>
      <c r="K20" s="2">
        <f>('Kwh Reading'!I21-'Kwh Reading'!I20)*1000</f>
        <v>330.00000000001251</v>
      </c>
      <c r="L20" s="2">
        <f>('Kwh Reading'!B21-'Kwh Reading'!B20)*1000000</f>
        <v>1400.0000000000678</v>
      </c>
      <c r="M20" s="2">
        <f>('Kwh Reading'!M21-'Kwh Reading'!M20)*1000</f>
        <v>800.00000000006821</v>
      </c>
      <c r="N20" s="2">
        <f>('Kwh Reading'!H21-'Kwh Reading'!H20)*1000</f>
        <v>689.99999999994088</v>
      </c>
      <c r="O20" s="2">
        <f>('Kwh Reading'!P21-'Kwh Reading'!P20)*1000</f>
        <v>980.00000000001819</v>
      </c>
      <c r="P20" s="2">
        <f>('Kwh Reading'!G21-'Kwh Reading'!G20)*1000</f>
        <v>860.00000000001364</v>
      </c>
      <c r="Q20" s="2">
        <f>('Kwh Reading'!Q21-'Kwh Reading'!Q20)*1000</f>
        <v>620.00000000000455</v>
      </c>
      <c r="R20" s="2">
        <f>('Kwh Reading'!N21-'Kwh Reading'!N20)*1000</f>
        <v>850.00000000002274</v>
      </c>
      <c r="S20" s="34">
        <f>'Kwh Reading'!E21-'Kwh Reading'!E20</f>
        <v>3507.9300000006333</v>
      </c>
      <c r="T20" s="34">
        <f>'Kwh Reading'!D21-'Kwh Reading'!D20</f>
        <v>2511.3999999994412</v>
      </c>
      <c r="U20" s="27">
        <f>('Kwh Reading'!O21-'Kwh Reading'!O20)*1000</f>
        <v>250</v>
      </c>
      <c r="V20" s="16">
        <f t="shared" si="1"/>
        <v>6100.6699999994526</v>
      </c>
    </row>
    <row r="21" spans="1:22" ht="16.5" customHeight="1" x14ac:dyDescent="0.25">
      <c r="A21" s="3">
        <f>'Kwh Reading'!A21</f>
        <v>44426</v>
      </c>
      <c r="B21" s="26">
        <f>TOTAL!E19</f>
        <v>23900.00000000123</v>
      </c>
      <c r="C21" s="4">
        <f>('Kwh Reading'!T22-'Kwh Reading'!T21)*1000</f>
        <v>520.00000000003865</v>
      </c>
      <c r="D21" s="2">
        <f>('Kwh Reading'!F22-'Kwh Reading'!F21)*1000000</f>
        <v>2299.9999999999686</v>
      </c>
      <c r="E21" s="2">
        <f>('Kwh Reading'!C22-'Kwh Reading'!C21)*1000</f>
        <v>270.00000000001023</v>
      </c>
      <c r="F21" s="2">
        <f>('Kwh Reading'!J22-'Kwh Reading'!J21)*1000</f>
        <v>329.99999999998408</v>
      </c>
      <c r="G21" s="2">
        <f>('Kwh Reading'!K22-'Kwh Reading'!K21)*1000</f>
        <v>379.99999999999545</v>
      </c>
      <c r="H21" s="2">
        <f>('Kwh Reading'!L22-'Kwh Reading'!L21)*1000</f>
        <v>219.99999999999886</v>
      </c>
      <c r="I21" s="2">
        <f>('Kwh Reading'!R22-'Kwh Reading'!R21)*1000</f>
        <v>270.00000000001023</v>
      </c>
      <c r="J21" s="2">
        <f>('Kwh Reading'!S22-'Kwh Reading'!S21)*1000</f>
        <v>120.00000000000455</v>
      </c>
      <c r="K21" s="2">
        <f>('Kwh Reading'!I22-'Kwh Reading'!I21)*1000</f>
        <v>379.99999999999545</v>
      </c>
      <c r="L21" s="2">
        <f>('Kwh Reading'!B22-'Kwh Reading'!B21)*1000000</f>
        <v>1400.0000000000678</v>
      </c>
      <c r="M21" s="2">
        <f>('Kwh Reading'!M22-'Kwh Reading'!M21)*1000</f>
        <v>750</v>
      </c>
      <c r="N21" s="2">
        <f>('Kwh Reading'!H22-'Kwh Reading'!H21)*1000</f>
        <v>639.99999999998636</v>
      </c>
      <c r="O21" s="2">
        <f>('Kwh Reading'!P22-'Kwh Reading'!P21)*1000</f>
        <v>970.00000000002728</v>
      </c>
      <c r="P21" s="2">
        <f>('Kwh Reading'!G22-'Kwh Reading'!G21)*1000</f>
        <v>819.99999999993634</v>
      </c>
      <c r="Q21" s="2">
        <f>('Kwh Reading'!Q22-'Kwh Reading'!Q21)*1000</f>
        <v>670.00000000001592</v>
      </c>
      <c r="R21" s="2">
        <f>('Kwh Reading'!N22-'Kwh Reading'!N21)*1000</f>
        <v>860.00000000001364</v>
      </c>
      <c r="S21" s="34">
        <f>'Kwh Reading'!E22-'Kwh Reading'!E21</f>
        <v>3528.9399999994785</v>
      </c>
      <c r="T21" s="34">
        <f>'Kwh Reading'!D22-'Kwh Reading'!D21</f>
        <v>2528.1200000001118</v>
      </c>
      <c r="U21" s="27">
        <f>('Kwh Reading'!O22-'Kwh Reading'!O21)*1000</f>
        <v>219.99999999999886</v>
      </c>
      <c r="V21" s="16">
        <f t="shared" si="1"/>
        <v>6722.9400000015848</v>
      </c>
    </row>
    <row r="22" spans="1:22" x14ac:dyDescent="0.25">
      <c r="A22" s="3">
        <f>'Kwh Reading'!A22</f>
        <v>44427</v>
      </c>
      <c r="B22" s="26">
        <f>TOTAL!E20</f>
        <v>23030.000000000655</v>
      </c>
      <c r="C22" s="4">
        <f>('Kwh Reading'!T23-'Kwh Reading'!T22)*1000</f>
        <v>500</v>
      </c>
      <c r="D22" s="2">
        <f>('Kwh Reading'!F23-'Kwh Reading'!F22)*1000000</f>
        <v>2299.9999999999686</v>
      </c>
      <c r="E22" s="2">
        <f>('Kwh Reading'!C23-'Kwh Reading'!C22)*1000</f>
        <v>250</v>
      </c>
      <c r="F22" s="2">
        <f>('Kwh Reading'!J23-'Kwh Reading'!J22)*1000</f>
        <v>390.0000000000432</v>
      </c>
      <c r="G22" s="2">
        <f>('Kwh Reading'!K23-'Kwh Reading'!K22)*1000</f>
        <v>329.99999999998408</v>
      </c>
      <c r="H22" s="2">
        <f>('Kwh Reading'!L23-'Kwh Reading'!L22)*1000</f>
        <v>230.00000000001819</v>
      </c>
      <c r="I22" s="2">
        <f>('Kwh Reading'!R23-'Kwh Reading'!R22)*1000</f>
        <v>270.00000000001023</v>
      </c>
      <c r="J22" s="2">
        <f>('Kwh Reading'!S23-'Kwh Reading'!S22)*1000</f>
        <v>109.99999999999943</v>
      </c>
      <c r="K22" s="2">
        <f>('Kwh Reading'!I23-'Kwh Reading'!I22)*1000</f>
        <v>330.00000000001251</v>
      </c>
      <c r="L22" s="2">
        <f>('Kwh Reading'!B23-'Kwh Reading'!B22)*1000000</f>
        <v>1399.9999999998458</v>
      </c>
      <c r="M22" s="2">
        <f>('Kwh Reading'!M23-'Kwh Reading'!M22)*1000</f>
        <v>750</v>
      </c>
      <c r="N22" s="2">
        <f>('Kwh Reading'!H23-'Kwh Reading'!H22)*1000</f>
        <v>660.00000000008185</v>
      </c>
      <c r="O22" s="2">
        <f>('Kwh Reading'!P23-'Kwh Reading'!P22)*1000</f>
        <v>1059.9999999999454</v>
      </c>
      <c r="P22" s="2">
        <f>('Kwh Reading'!G23-'Kwh Reading'!G22)*1000</f>
        <v>909.99999999996817</v>
      </c>
      <c r="Q22" s="2">
        <f>('Kwh Reading'!Q23-'Kwh Reading'!Q22)*1000</f>
        <v>689.99999999999773</v>
      </c>
      <c r="R22" s="2">
        <f>('Kwh Reading'!N23-'Kwh Reading'!N22)*1000</f>
        <v>849.99999999996589</v>
      </c>
      <c r="S22" s="34">
        <f>'Kwh Reading'!E23-'Kwh Reading'!E22</f>
        <v>3402.3500000005588</v>
      </c>
      <c r="T22" s="34">
        <f>'Kwh Reading'!D23-'Kwh Reading'!D22</f>
        <v>2379.2199999997392</v>
      </c>
      <c r="U22" s="27">
        <f>('Kwh Reading'!O23-'Kwh Reading'!O22)*1000</f>
        <v>240.00000000000909</v>
      </c>
      <c r="V22" s="16">
        <f t="shared" si="1"/>
        <v>5978.4300000005096</v>
      </c>
    </row>
    <row r="23" spans="1:22" x14ac:dyDescent="0.25">
      <c r="A23" s="3">
        <f>'Kwh Reading'!A23</f>
        <v>44428</v>
      </c>
      <c r="B23" s="26">
        <f>TOTAL!E21</f>
        <v>22839.999999999691</v>
      </c>
      <c r="C23" s="4">
        <f>('Kwh Reading'!T24-'Kwh Reading'!T23)*1000</f>
        <v>519.99999999998181</v>
      </c>
      <c r="D23" s="2">
        <f>('Kwh Reading'!F24-'Kwh Reading'!F23)*1000000</f>
        <v>2299.9999999999686</v>
      </c>
      <c r="E23" s="2">
        <f>('Kwh Reading'!C24-'Kwh Reading'!C23)*1000</f>
        <v>259.99999999999091</v>
      </c>
      <c r="F23" s="2">
        <f>('Kwh Reading'!J24-'Kwh Reading'!J23)*1000</f>
        <v>289.99999999996362</v>
      </c>
      <c r="G23" s="2">
        <f>('Kwh Reading'!K24-'Kwh Reading'!K23)*1000</f>
        <v>259.99999999999091</v>
      </c>
      <c r="H23" s="2">
        <f>('Kwh Reading'!L24-'Kwh Reading'!L23)*1000</f>
        <v>219.99999999999886</v>
      </c>
      <c r="I23" s="2">
        <f>('Kwh Reading'!R24-'Kwh Reading'!R23)*1000</f>
        <v>289.99999999999204</v>
      </c>
      <c r="J23" s="2">
        <f>('Kwh Reading'!S24-'Kwh Reading'!S23)*1000</f>
        <v>129.99999999999545</v>
      </c>
      <c r="K23" s="2">
        <f>('Kwh Reading'!I24-'Kwh Reading'!I23)*1000</f>
        <v>309.99999999997385</v>
      </c>
      <c r="L23" s="2">
        <f>('Kwh Reading'!B24-'Kwh Reading'!B23)*1000000</f>
        <v>1500.0000000000568</v>
      </c>
      <c r="M23" s="2">
        <f>('Kwh Reading'!M24-'Kwh Reading'!M23)*1000</f>
        <v>689.99999999994088</v>
      </c>
      <c r="N23" s="2">
        <f>('Kwh Reading'!H24-'Kwh Reading'!H23)*1000</f>
        <v>639.99999999998636</v>
      </c>
      <c r="O23" s="2">
        <f>('Kwh Reading'!P24-'Kwh Reading'!P23)*1000</f>
        <v>1029.9999999999727</v>
      </c>
      <c r="P23" s="2">
        <f>('Kwh Reading'!G24-'Kwh Reading'!G23)*1000</f>
        <v>890.00000000010004</v>
      </c>
      <c r="Q23" s="2">
        <f>('Kwh Reading'!Q24-'Kwh Reading'!Q23)*1000</f>
        <v>730.00000000001819</v>
      </c>
      <c r="R23" s="2">
        <f>('Kwh Reading'!N24-'Kwh Reading'!N23)*1000</f>
        <v>889.99999999998636</v>
      </c>
      <c r="S23" s="34">
        <f>'Kwh Reading'!E24-'Kwh Reading'!E23</f>
        <v>3373.6199999991804</v>
      </c>
      <c r="T23" s="34">
        <f>'Kwh Reading'!D24-'Kwh Reading'!D23</f>
        <v>2397.1800000006333</v>
      </c>
      <c r="U23" s="27">
        <f>('Kwh Reading'!O24-'Kwh Reading'!O23)*1000</f>
        <v>210.00000000000796</v>
      </c>
      <c r="V23" s="16">
        <f t="shared" si="1"/>
        <v>5909.1999999999534</v>
      </c>
    </row>
    <row r="24" spans="1:22" x14ac:dyDescent="0.25">
      <c r="A24" s="3">
        <f>'Kwh Reading'!A24</f>
        <v>44429</v>
      </c>
      <c r="B24" s="26">
        <f>TOTAL!E22</f>
        <v>22709.999999999811</v>
      </c>
      <c r="C24" s="4">
        <f>('Kwh Reading'!T25-'Kwh Reading'!T24)*1000</f>
        <v>280.00000000002956</v>
      </c>
      <c r="D24" s="2">
        <f>('Kwh Reading'!F25-'Kwh Reading'!F24)*1000000</f>
        <v>2299.9999999999686</v>
      </c>
      <c r="E24" s="2">
        <f>('Kwh Reading'!C25-'Kwh Reading'!C24)*1000</f>
        <v>260.00000000001933</v>
      </c>
      <c r="F24" s="2">
        <f>('Kwh Reading'!J25-'Kwh Reading'!J24)*1000</f>
        <v>280.00000000002956</v>
      </c>
      <c r="G24" s="2">
        <f>('Kwh Reading'!K25-'Kwh Reading'!K24)*1000</f>
        <v>300.00000000001137</v>
      </c>
      <c r="H24" s="2">
        <f>('Kwh Reading'!L25-'Kwh Reading'!L24)*1000</f>
        <v>219.99999999999886</v>
      </c>
      <c r="I24" s="2">
        <f>('Kwh Reading'!R25-'Kwh Reading'!R24)*1000</f>
        <v>259.99999999999091</v>
      </c>
      <c r="J24" s="2">
        <f>('Kwh Reading'!S25-'Kwh Reading'!S24)*1000</f>
        <v>109.99999999999943</v>
      </c>
      <c r="K24" s="2">
        <f>('Kwh Reading'!I25-'Kwh Reading'!I24)*1000</f>
        <v>330.00000000001251</v>
      </c>
      <c r="L24" s="2">
        <f>('Kwh Reading'!B25-'Kwh Reading'!B24)*1000000</f>
        <v>1500.0000000000568</v>
      </c>
      <c r="M24" s="2">
        <f>('Kwh Reading'!M25-'Kwh Reading'!M24)*1000</f>
        <v>730.00000000001819</v>
      </c>
      <c r="N24" s="2">
        <f>('Kwh Reading'!H25-'Kwh Reading'!H24)*1000</f>
        <v>669.99999999995907</v>
      </c>
      <c r="O24" s="2">
        <f>('Kwh Reading'!P25-'Kwh Reading'!P24)*1000</f>
        <v>1019.9999999999818</v>
      </c>
      <c r="P24" s="2">
        <f>('Kwh Reading'!G25-'Kwh Reading'!G24)*1000</f>
        <v>799.99999999995453</v>
      </c>
      <c r="Q24" s="2">
        <f>('Kwh Reading'!Q25-'Kwh Reading'!Q24)*1000</f>
        <v>709.99999999997954</v>
      </c>
      <c r="R24" s="2">
        <f>('Kwh Reading'!N25-'Kwh Reading'!N24)*1000</f>
        <v>900.00000000003411</v>
      </c>
      <c r="S24" s="2">
        <f>'Kwh Reading'!E25-'Kwh Reading'!E24</f>
        <v>3128.25</v>
      </c>
      <c r="T24" s="2">
        <f>'Kwh Reading'!D25-'Kwh Reading'!D24</f>
        <v>3237.9199999999255</v>
      </c>
      <c r="U24" s="27">
        <f>('Kwh Reading'!O25-'Kwh Reading'!O24)*1000</f>
        <v>209.99999999997954</v>
      </c>
      <c r="V24" s="16">
        <f t="shared" si="1"/>
        <v>5463.8299999998635</v>
      </c>
    </row>
    <row r="25" spans="1:22" x14ac:dyDescent="0.25">
      <c r="A25" s="3">
        <f>'Kwh Reading'!A25</f>
        <v>44430</v>
      </c>
      <c r="B25" s="26">
        <f>TOTAL!E23</f>
        <v>22009.999999999534</v>
      </c>
      <c r="C25" s="4">
        <f>('Kwh Reading'!T26-'Kwh Reading'!T25)*1000</f>
        <v>549.99999999995453</v>
      </c>
      <c r="D25" s="2">
        <f>('Kwh Reading'!F26-'Kwh Reading'!F25)*1000000</f>
        <v>2299.9999999999686</v>
      </c>
      <c r="E25" s="2">
        <f>('Kwh Reading'!C26-'Kwh Reading'!C25)*1000</f>
        <v>229.99999999998977</v>
      </c>
      <c r="F25" s="2">
        <f>('Kwh Reading'!J26-'Kwh Reading'!J25)*1000</f>
        <v>269.99999999998181</v>
      </c>
      <c r="G25" s="2">
        <f>('Kwh Reading'!K26-'Kwh Reading'!K25)*1000</f>
        <v>300.00000000001137</v>
      </c>
      <c r="H25" s="2">
        <f>('Kwh Reading'!L26-'Kwh Reading'!L25)*1000</f>
        <v>219.99999999999886</v>
      </c>
      <c r="I25" s="2">
        <f>('Kwh Reading'!R26-'Kwh Reading'!R25)*1000</f>
        <v>280.00000000000114</v>
      </c>
      <c r="J25" s="2">
        <f>('Kwh Reading'!S26-'Kwh Reading'!S25)*1000</f>
        <v>120.00000000000455</v>
      </c>
      <c r="K25" s="2">
        <f>('Kwh Reading'!I26-'Kwh Reading'!I25)*1000</f>
        <v>280.00000000000114</v>
      </c>
      <c r="L25" s="2">
        <f>('Kwh Reading'!B26-'Kwh Reading'!B25)*1000000</f>
        <v>1299.9999999998568</v>
      </c>
      <c r="M25" s="2">
        <f>('Kwh Reading'!M26-'Kwh Reading'!M25)*1000</f>
        <v>730.00000000001819</v>
      </c>
      <c r="N25" s="2">
        <f>('Kwh Reading'!H26-'Kwh Reading'!H25)*1000</f>
        <v>659.99999999996817</v>
      </c>
      <c r="O25" s="2">
        <f>('Kwh Reading'!P26-'Kwh Reading'!P25)*1000</f>
        <v>940.00000000005457</v>
      </c>
      <c r="P25" s="2">
        <f>('Kwh Reading'!G26-'Kwh Reading'!G25)*1000</f>
        <v>789.99999999996362</v>
      </c>
      <c r="Q25" s="2">
        <f>('Kwh Reading'!Q26-'Kwh Reading'!Q25)*1000</f>
        <v>689.99999999999773</v>
      </c>
      <c r="R25" s="2">
        <f>('Kwh Reading'!N26-'Kwh Reading'!N25)*1000</f>
        <v>849.99999999996589</v>
      </c>
      <c r="S25" s="2">
        <f>'Kwh Reading'!E26-'Kwh Reading'!E25</f>
        <v>3043.1300000008196</v>
      </c>
      <c r="T25" s="2">
        <f>'Kwh Reading'!D26-'Kwh Reading'!D25</f>
        <v>1493.9599999999627</v>
      </c>
      <c r="U25" s="27">
        <f>('Kwh Reading'!O26-'Kwh Reading'!O25)*1000</f>
        <v>219.99999999999886</v>
      </c>
      <c r="V25" s="16">
        <f t="shared" si="1"/>
        <v>6742.9099999990194</v>
      </c>
    </row>
    <row r="26" spans="1:22" x14ac:dyDescent="0.25">
      <c r="A26" s="3">
        <f>'Kwh Reading'!A26</f>
        <v>44431</v>
      </c>
      <c r="B26" s="26">
        <f>TOTAL!E24</f>
        <v>22229.999999999112</v>
      </c>
      <c r="C26" s="4">
        <f>('Kwh Reading'!T27-'Kwh Reading'!T26)*1000</f>
        <v>500</v>
      </c>
      <c r="D26" s="2">
        <f>('Kwh Reading'!F27-'Kwh Reading'!F26)*1000000</f>
        <v>2300.0000000004129</v>
      </c>
      <c r="E26" s="2">
        <f>('Kwh Reading'!C27-'Kwh Reading'!C26)*1000</f>
        <v>240.00000000000909</v>
      </c>
      <c r="F26" s="2">
        <f>('Kwh Reading'!J27-'Kwh Reading'!J26)*1000</f>
        <v>269.99999999998181</v>
      </c>
      <c r="G26" s="2">
        <f>('Kwh Reading'!K27-'Kwh Reading'!K26)*1000</f>
        <v>259.99999999999091</v>
      </c>
      <c r="H26" s="2">
        <f>('Kwh Reading'!L27-'Kwh Reading'!L26)*1000</f>
        <v>189.99999999999773</v>
      </c>
      <c r="I26" s="2">
        <f>('Kwh Reading'!R27-'Kwh Reading'!R26)*1000</f>
        <v>270.00000000001023</v>
      </c>
      <c r="J26" s="2">
        <f>('Kwh Reading'!S27-'Kwh Reading'!S26)*1000</f>
        <v>120.00000000000455</v>
      </c>
      <c r="K26" s="2">
        <f>('Kwh Reading'!I27-'Kwh Reading'!I26)*1000</f>
        <v>289.99999999999204</v>
      </c>
      <c r="L26" s="2">
        <f>('Kwh Reading'!B27-'Kwh Reading'!B26)*1000000</f>
        <v>1400.0000000000678</v>
      </c>
      <c r="M26" s="2">
        <f>('Kwh Reading'!M27-'Kwh Reading'!M26)*1000</f>
        <v>720.00000000002728</v>
      </c>
      <c r="N26" s="2">
        <f>('Kwh Reading'!H27-'Kwh Reading'!H26)*1000</f>
        <v>680.00000000006366</v>
      </c>
      <c r="O26" s="2">
        <f>('Kwh Reading'!P27-'Kwh Reading'!P26)*1000</f>
        <v>960.00000000003638</v>
      </c>
      <c r="P26" s="2">
        <f>('Kwh Reading'!G27-'Kwh Reading'!G26)*1000</f>
        <v>860.00000000001364</v>
      </c>
      <c r="Q26" s="2">
        <f>('Kwh Reading'!Q27-'Kwh Reading'!Q26)*1000</f>
        <v>699.99999999998863</v>
      </c>
      <c r="R26" s="2">
        <f>('Kwh Reading'!N27-'Kwh Reading'!N26)*1000</f>
        <v>810.00000000000227</v>
      </c>
      <c r="S26" s="2">
        <f>'Kwh Reading'!E27-'Kwh Reading'!E26</f>
        <v>2800.6699999999255</v>
      </c>
      <c r="T26" s="2">
        <f>'Kwh Reading'!D27-'Kwh Reading'!D26</f>
        <v>2265.910000000149</v>
      </c>
      <c r="U26" s="27">
        <f>('Kwh Reading'!O27-'Kwh Reading'!O26)*1000</f>
        <v>219.99999999999886</v>
      </c>
      <c r="V26" s="16">
        <f t="shared" si="1"/>
        <v>6373.4199999984412</v>
      </c>
    </row>
    <row r="27" spans="1:22" x14ac:dyDescent="0.25">
      <c r="A27" s="3">
        <f>'Kwh Reading'!A27</f>
        <v>44432</v>
      </c>
      <c r="B27" s="26">
        <f>TOTAL!E25</f>
        <v>20050.000000001546</v>
      </c>
      <c r="C27" s="4">
        <f>('Kwh Reading'!T28-'Kwh Reading'!T27)*1000</f>
        <v>490.00000000000909</v>
      </c>
      <c r="D27" s="2">
        <f>('Kwh Reading'!F28-'Kwh Reading'!F27)*1000000</f>
        <v>2099.9999999999909</v>
      </c>
      <c r="E27" s="2">
        <f>('Kwh Reading'!C28-'Kwh Reading'!C27)*1000</f>
        <v>259.99999999999091</v>
      </c>
      <c r="F27" s="2">
        <f>('Kwh Reading'!J28-'Kwh Reading'!J27)*1000</f>
        <v>310.00000000000227</v>
      </c>
      <c r="G27" s="2">
        <f>('Kwh Reading'!K28-'Kwh Reading'!K27)*1000</f>
        <v>300.00000000001137</v>
      </c>
      <c r="H27" s="2">
        <f>('Kwh Reading'!L28-'Kwh Reading'!L27)*1000</f>
        <v>210.00000000000796</v>
      </c>
      <c r="I27" s="2">
        <f>('Kwh Reading'!R28-'Kwh Reading'!R27)*1000</f>
        <v>289.99999999999204</v>
      </c>
      <c r="J27" s="2">
        <f>('Kwh Reading'!S28-'Kwh Reading'!S27)*1000</f>
        <v>119.99999999999034</v>
      </c>
      <c r="K27" s="2">
        <f>('Kwh Reading'!I28-'Kwh Reading'!I27)*1000</f>
        <v>240.00000000000909</v>
      </c>
      <c r="L27" s="2">
        <f>('Kwh Reading'!B28-'Kwh Reading'!B27)*1000000</f>
        <v>1300.0000000000789</v>
      </c>
      <c r="M27" s="2">
        <f>('Kwh Reading'!M28-'Kwh Reading'!M27)*1000</f>
        <v>610.00000000001364</v>
      </c>
      <c r="N27" s="2">
        <f>('Kwh Reading'!H28-'Kwh Reading'!H27)*1000</f>
        <v>539.99999999996362</v>
      </c>
      <c r="O27" s="2">
        <f>('Kwh Reading'!P28-'Kwh Reading'!P27)*1000</f>
        <v>860.00000000001364</v>
      </c>
      <c r="P27" s="2">
        <f>('Kwh Reading'!G28-'Kwh Reading'!G27)*1000</f>
        <v>730.00000000001819</v>
      </c>
      <c r="Q27" s="2">
        <f>('Kwh Reading'!Q28-'Kwh Reading'!Q27)*1000</f>
        <v>590.00000000003183</v>
      </c>
      <c r="R27" s="2">
        <f>('Kwh Reading'!N28-'Kwh Reading'!N27)*1000</f>
        <v>610.00000000001364</v>
      </c>
      <c r="S27" s="2">
        <f>'Kwh Reading'!E28-'Kwh Reading'!E27</f>
        <v>2416.3499999996275</v>
      </c>
      <c r="T27" s="2">
        <f>'Kwh Reading'!D28-'Kwh Reading'!D27</f>
        <v>1891.7000000001863</v>
      </c>
      <c r="U27" s="27">
        <f>('Kwh Reading'!O28-'Kwh Reading'!O27)*1000</f>
        <v>230.00000000001819</v>
      </c>
      <c r="V27" s="16">
        <f t="shared" si="1"/>
        <v>5951.950000001576</v>
      </c>
    </row>
    <row r="28" spans="1:22" x14ac:dyDescent="0.25">
      <c r="A28" s="3">
        <f>'Kwh Reading'!A28</f>
        <v>44433</v>
      </c>
      <c r="B28" s="26">
        <f>TOTAL!E26</f>
        <v>20100.000000000597</v>
      </c>
      <c r="C28" s="4">
        <f>('Kwh Reading'!T29-'Kwh Reading'!T28)*1000</f>
        <v>480.00000000001819</v>
      </c>
      <c r="D28" s="2">
        <f>('Kwh Reading'!F29-'Kwh Reading'!F28)*1000000</f>
        <v>2099.9999999999909</v>
      </c>
      <c r="E28" s="2">
        <f>('Kwh Reading'!C29-'Kwh Reading'!C28)*1000</f>
        <v>259.99999999999091</v>
      </c>
      <c r="F28" s="2">
        <f>('Kwh Reading'!J29-'Kwh Reading'!J28)*1000</f>
        <v>300.00000000001137</v>
      </c>
      <c r="G28" s="2">
        <f>('Kwh Reading'!K29-'Kwh Reading'!K28)*1000</f>
        <v>300.00000000001137</v>
      </c>
      <c r="H28" s="2">
        <f>('Kwh Reading'!L29-'Kwh Reading'!L28)*1000</f>
        <v>219.99999999999886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229.99999999998977</v>
      </c>
      <c r="L28" s="2">
        <f>('Kwh Reading'!B29-'Kwh Reading'!B28)*1000000</f>
        <v>1099.9999999998788</v>
      </c>
      <c r="M28" s="2">
        <f>('Kwh Reading'!M29-'Kwh Reading'!M28)*1000</f>
        <v>469.9999999999136</v>
      </c>
      <c r="N28" s="2">
        <f>('Kwh Reading'!H29-'Kwh Reading'!H28)*1000</f>
        <v>470.00000000002728</v>
      </c>
      <c r="O28" s="2">
        <f>('Kwh Reading'!P29-'Kwh Reading'!P28)*1000</f>
        <v>949.99999999993179</v>
      </c>
      <c r="P28" s="2">
        <f>('Kwh Reading'!G29-'Kwh Reading'!G28)*1000</f>
        <v>690.00000000005457</v>
      </c>
      <c r="Q28" s="2">
        <f>('Kwh Reading'!Q29-'Kwh Reading'!Q28)*1000</f>
        <v>589.99999999997499</v>
      </c>
      <c r="R28" s="2">
        <f>('Kwh Reading'!N29-'Kwh Reading'!N28)*1000</f>
        <v>629.99999999999545</v>
      </c>
      <c r="S28" s="2">
        <f>'Kwh Reading'!E29-'Kwh Reading'!E28</f>
        <v>2622.4000000003725</v>
      </c>
      <c r="T28" s="2">
        <f>'Kwh Reading'!D29-'Kwh Reading'!D28</f>
        <v>1973.1299999998882</v>
      </c>
      <c r="U28" s="27">
        <f>('Kwh Reading'!O29-'Kwh Reading'!O28)*1000</f>
        <v>219.99999999999886</v>
      </c>
      <c r="V28" s="16">
        <f t="shared" si="1"/>
        <v>6124.470000000545</v>
      </c>
    </row>
    <row r="29" spans="1:22" x14ac:dyDescent="0.25">
      <c r="A29" s="3">
        <f>'Kwh Reading'!A29</f>
        <v>44434</v>
      </c>
      <c r="B29" s="26">
        <f>TOTAL!E27</f>
        <v>20590.000000000146</v>
      </c>
      <c r="C29" s="4">
        <f>('Kwh Reading'!T30-'Kwh Reading'!T29)*1000</f>
        <v>469.99999999997044</v>
      </c>
      <c r="D29" s="2">
        <f>('Kwh Reading'!F30-'Kwh Reading'!F29)*1000000</f>
        <v>2399.9999999997358</v>
      </c>
      <c r="E29" s="2">
        <f>('Kwh Reading'!C30-'Kwh Reading'!C29)*1000</f>
        <v>250</v>
      </c>
      <c r="F29" s="2">
        <f>('Kwh Reading'!J30-'Kwh Reading'!J29)*1000</f>
        <v>269.99999999998181</v>
      </c>
      <c r="G29" s="2">
        <f>('Kwh Reading'!K30-'Kwh Reading'!K29)*1000</f>
        <v>349.99999999996589</v>
      </c>
      <c r="H29" s="2">
        <f>('Kwh Reading'!L30-'Kwh Reading'!L29)*1000</f>
        <v>229.99999999998977</v>
      </c>
      <c r="I29" s="2">
        <f>('Kwh Reading'!R30-'Kwh Reading'!R29)*1000</f>
        <v>289.99999999999204</v>
      </c>
      <c r="J29" s="2">
        <f>('Kwh Reading'!S30-'Kwh Reading'!S29)*1000</f>
        <v>120.00000000000455</v>
      </c>
      <c r="K29" s="2">
        <f>('Kwh Reading'!I30-'Kwh Reading'!I29)*1000</f>
        <v>270.00000000001023</v>
      </c>
      <c r="L29" s="2">
        <f>('Kwh Reading'!B30-'Kwh Reading'!B29)*1000000</f>
        <v>1300.0000000000789</v>
      </c>
      <c r="M29" s="2">
        <f>('Kwh Reading'!M30-'Kwh Reading'!M29)*1000</f>
        <v>750</v>
      </c>
      <c r="N29" s="2">
        <f>('Kwh Reading'!H30-'Kwh Reading'!H29)*1000</f>
        <v>579.99999999992724</v>
      </c>
      <c r="O29" s="2">
        <f>('Kwh Reading'!P30-'Kwh Reading'!P29)*1000</f>
        <v>970.00000000002728</v>
      </c>
      <c r="P29" s="2">
        <f>('Kwh Reading'!G30-'Kwh Reading'!G29)*1000</f>
        <v>809.99999999994543</v>
      </c>
      <c r="Q29" s="2">
        <f>('Kwh Reading'!Q30-'Kwh Reading'!Q29)*1000</f>
        <v>660.00000000002501</v>
      </c>
      <c r="R29" s="2">
        <f>('Kwh Reading'!N30-'Kwh Reading'!N29)*1000</f>
        <v>680.00000000006366</v>
      </c>
      <c r="S29" s="2">
        <f>'Kwh Reading'!E30-'Kwh Reading'!E29</f>
        <v>2875.2199999997392</v>
      </c>
      <c r="T29" s="2">
        <f>'Kwh Reading'!D30-'Kwh Reading'!D29</f>
        <v>2098.359999999404</v>
      </c>
      <c r="U29" s="27">
        <f>('Kwh Reading'!O30-'Kwh Reading'!O29)*1000</f>
        <v>199.99999999998863</v>
      </c>
      <c r="V29" s="16">
        <f t="shared" si="1"/>
        <v>5016.4200000012952</v>
      </c>
    </row>
    <row r="30" spans="1:22" x14ac:dyDescent="0.25">
      <c r="A30" s="3">
        <f>'Kwh Reading'!A30</f>
        <v>44435</v>
      </c>
      <c r="B30" s="26">
        <f>TOTAL!E28</f>
        <v>20279.999999999069</v>
      </c>
      <c r="C30" s="4">
        <f>('Kwh Reading'!T31-'Kwh Reading'!T30)*1000</f>
        <v>250</v>
      </c>
      <c r="D30" s="2">
        <f>('Kwh Reading'!F31-'Kwh Reading'!F30)*1000000</f>
        <v>2499.9999999999468</v>
      </c>
      <c r="E30" s="2">
        <f>('Kwh Reading'!C31-'Kwh Reading'!C30)*1000</f>
        <v>240.00000000000909</v>
      </c>
      <c r="F30" s="2">
        <f>('Kwh Reading'!J31-'Kwh Reading'!J30)*1000</f>
        <v>320.00000000005002</v>
      </c>
      <c r="G30" s="2">
        <f>('Kwh Reading'!K31-'Kwh Reading'!K30)*1000</f>
        <v>310.00000000000227</v>
      </c>
      <c r="H30" s="2">
        <f>('Kwh Reading'!L31-'Kwh Reading'!L30)*1000</f>
        <v>219.99999999999886</v>
      </c>
      <c r="I30" s="2">
        <f>('Kwh Reading'!R31-'Kwh Reading'!R30)*1000</f>
        <v>270.00000000001023</v>
      </c>
      <c r="J30" s="2">
        <f>('Kwh Reading'!S31-'Kwh Reading'!S30)*1000</f>
        <v>119.99999999999034</v>
      </c>
      <c r="K30" s="2">
        <f>('Kwh Reading'!I31-'Kwh Reading'!I30)*1000</f>
        <v>250</v>
      </c>
      <c r="L30" s="2">
        <f>('Kwh Reading'!B31-'Kwh Reading'!B30)*1000000</f>
        <v>1400.0000000000678</v>
      </c>
      <c r="M30" s="2">
        <f>('Kwh Reading'!M31-'Kwh Reading'!M30)*1000</f>
        <v>610.00000000001364</v>
      </c>
      <c r="N30" s="2">
        <f>('Kwh Reading'!H31-'Kwh Reading'!H30)*1000</f>
        <v>550.00000000006821</v>
      </c>
      <c r="O30" s="2">
        <f>('Kwh Reading'!P31-'Kwh Reading'!P30)*1000</f>
        <v>889.99999999998636</v>
      </c>
      <c r="P30" s="2">
        <f>('Kwh Reading'!G31-'Kwh Reading'!G30)*1000</f>
        <v>820.00000000005002</v>
      </c>
      <c r="Q30" s="2">
        <f>('Kwh Reading'!Q31-'Kwh Reading'!Q30)*1000</f>
        <v>629.99999999999545</v>
      </c>
      <c r="R30" s="2">
        <f>('Kwh Reading'!N31-'Kwh Reading'!N30)*1000</f>
        <v>649.99999999997726</v>
      </c>
      <c r="S30" s="2">
        <f>'Kwh Reading'!E31-'Kwh Reading'!E30</f>
        <v>2495.4199999999255</v>
      </c>
      <c r="T30" s="2">
        <f>'Kwh Reading'!D31-'Kwh Reading'!D30</f>
        <v>2114.8799999998882</v>
      </c>
      <c r="U30" s="27">
        <f>('Kwh Reading'!O31-'Kwh Reading'!O30)*1000</f>
        <v>259.99999999999091</v>
      </c>
      <c r="V30" s="16">
        <f t="shared" si="1"/>
        <v>5379.6999999990967</v>
      </c>
    </row>
    <row r="31" spans="1:22" x14ac:dyDescent="0.25">
      <c r="A31" s="3">
        <f>'Kwh Reading'!A31</f>
        <v>44436</v>
      </c>
      <c r="B31" s="26">
        <f>TOTAL!E29</f>
        <v>21229.999999999112</v>
      </c>
      <c r="C31" s="4">
        <f>('Kwh Reading'!T32-'Kwh Reading'!T31)*1000</f>
        <v>490.00000000000909</v>
      </c>
      <c r="D31" s="2">
        <f>('Kwh Reading'!F32-'Kwh Reading'!F31)*1000000</f>
        <v>2200.0000000002019</v>
      </c>
      <c r="E31" s="2">
        <f>('Kwh Reading'!C32-'Kwh Reading'!C31)*1000</f>
        <v>240.00000000000909</v>
      </c>
      <c r="F31" s="2">
        <f>('Kwh Reading'!J32-'Kwh Reading'!J31)*1000</f>
        <v>310.00000000000227</v>
      </c>
      <c r="G31" s="2">
        <f>('Kwh Reading'!K32-'Kwh Reading'!K31)*1000</f>
        <v>260.00000000004775</v>
      </c>
      <c r="H31" s="2">
        <f>('Kwh Reading'!L32-'Kwh Reading'!L31)*1000</f>
        <v>219.99999999999886</v>
      </c>
      <c r="I31" s="2">
        <f>('Kwh Reading'!R32-'Kwh Reading'!R31)*1000</f>
        <v>280.00000000000114</v>
      </c>
      <c r="J31" s="2">
        <f>('Kwh Reading'!S32-'Kwh Reading'!S31)*1000</f>
        <v>120.00000000000455</v>
      </c>
      <c r="K31" s="2">
        <f>('Kwh Reading'!I32-'Kwh Reading'!I31)*1000</f>
        <v>240.00000000000909</v>
      </c>
      <c r="L31" s="2">
        <f>('Kwh Reading'!B32-'Kwh Reading'!B31)*1000000</f>
        <v>1199.9999999998679</v>
      </c>
      <c r="M31" s="2">
        <f>('Kwh Reading'!M32-'Kwh Reading'!M31)*1000</f>
        <v>540.00000000007731</v>
      </c>
      <c r="N31" s="2">
        <f>('Kwh Reading'!H32-'Kwh Reading'!H31)*1000</f>
        <v>519.99999999998181</v>
      </c>
      <c r="O31" s="2">
        <f>('Kwh Reading'!P32-'Kwh Reading'!P31)*1000</f>
        <v>850.00000000002274</v>
      </c>
      <c r="P31" s="2">
        <f>('Kwh Reading'!G32-'Kwh Reading'!G31)*1000</f>
        <v>779.99999999997272</v>
      </c>
      <c r="Q31" s="2">
        <f>('Kwh Reading'!Q32-'Kwh Reading'!Q31)*1000</f>
        <v>599.99999999996589</v>
      </c>
      <c r="R31" s="2">
        <f>('Kwh Reading'!N32-'Kwh Reading'!N31)*1000</f>
        <v>649.99999999997726</v>
      </c>
      <c r="S31" s="2">
        <f>'Kwh Reading'!E32-'Kwh Reading'!E31</f>
        <v>2708.5999999996275</v>
      </c>
      <c r="T31" s="2">
        <f>'Kwh Reading'!D32-'Kwh Reading'!D31</f>
        <v>1991.320000000298</v>
      </c>
      <c r="U31" s="27">
        <f>('Kwh Reading'!O32-'Kwh Reading'!O31)*1000</f>
        <v>230.00000000001819</v>
      </c>
      <c r="V31" s="16">
        <f t="shared" si="1"/>
        <v>6800.0799999990195</v>
      </c>
    </row>
    <row r="32" spans="1:22" x14ac:dyDescent="0.25">
      <c r="A32" s="3">
        <f>'Kwh Reading'!A32</f>
        <v>44437</v>
      </c>
      <c r="B32" s="26">
        <f>TOTAL!E30</f>
        <v>20730.000000002066</v>
      </c>
      <c r="C32" s="4">
        <f>('Kwh Reading'!T33-'Kwh Reading'!T32)*1000</f>
        <v>610.00000000001364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299.99999999995453</v>
      </c>
      <c r="G32" s="2">
        <f>('Kwh Reading'!K33-'Kwh Reading'!K32)*1000</f>
        <v>250</v>
      </c>
      <c r="H32" s="2">
        <f>('Kwh Reading'!L33-'Kwh Reading'!L32)*1000</f>
        <v>199.99999999998863</v>
      </c>
      <c r="I32" s="2">
        <f>('Kwh Reading'!R33-'Kwh Reading'!R32)*1000</f>
        <v>250</v>
      </c>
      <c r="J32" s="2">
        <f>('Kwh Reading'!S33-'Kwh Reading'!S32)*1000</f>
        <v>109.99999999999943</v>
      </c>
      <c r="K32" s="2">
        <f>('Kwh Reading'!I33-'Kwh Reading'!I32)*1000</f>
        <v>269.99999999998181</v>
      </c>
      <c r="L32" s="2">
        <f>('Kwh Reading'!B33-'Kwh Reading'!B32)*1000000</f>
        <v>1400.0000000000678</v>
      </c>
      <c r="M32" s="2">
        <f>('Kwh Reading'!M33-'Kwh Reading'!M32)*1000</f>
        <v>649.99999999997726</v>
      </c>
      <c r="N32" s="2">
        <f>('Kwh Reading'!H33-'Kwh Reading'!H32)*1000</f>
        <v>529.99999999997272</v>
      </c>
      <c r="O32" s="2">
        <f>('Kwh Reading'!P33-'Kwh Reading'!P32)*1000</f>
        <v>980.00000000001819</v>
      </c>
      <c r="P32" s="2">
        <f>('Kwh Reading'!G33-'Kwh Reading'!G32)*1000</f>
        <v>860.00000000001364</v>
      </c>
      <c r="Q32" s="2">
        <f>('Kwh Reading'!Q33-'Kwh Reading'!Q32)*1000</f>
        <v>270.00000000003865</v>
      </c>
      <c r="R32" s="2">
        <f>('Kwh Reading'!N33-'Kwh Reading'!N32)*1000</f>
        <v>679.99999999994998</v>
      </c>
      <c r="S32" s="2">
        <f>'Kwh Reading'!E33-'Kwh Reading'!E32</f>
        <v>3090.75</v>
      </c>
      <c r="T32" s="2">
        <f>'Kwh Reading'!D33-'Kwh Reading'!D32</f>
        <v>2183.4000000003725</v>
      </c>
      <c r="U32" s="27">
        <f>('Kwh Reading'!O33-'Kwh Reading'!O32)*1000</f>
        <v>240.00000000000909</v>
      </c>
      <c r="V32" s="16">
        <f t="shared" si="1"/>
        <v>5105.8500000017611</v>
      </c>
    </row>
    <row r="33" spans="1:22" x14ac:dyDescent="0.25">
      <c r="A33" s="3">
        <f>'Kwh Reading'!A33</f>
        <v>44438</v>
      </c>
      <c r="B33" s="26">
        <f>TOTAL!E31</f>
        <v>22259.999999997264</v>
      </c>
      <c r="C33" s="4">
        <f>('Kwh Reading'!T34-'Kwh Reading'!T33)*1000</f>
        <v>379.99999999999545</v>
      </c>
      <c r="D33" s="2">
        <f>('Kwh Reading'!F34-'Kwh Reading'!F33)*1000000</f>
        <v>2199.9999999997576</v>
      </c>
      <c r="E33" s="2">
        <f>('Kwh Reading'!C34-'Kwh Reading'!C33)*1000</f>
        <v>259.99999999999091</v>
      </c>
      <c r="F33" s="2">
        <f>('Kwh Reading'!J34-'Kwh Reading'!J33)*1000</f>
        <v>220.00000000002728</v>
      </c>
      <c r="G33" s="2">
        <f>('Kwh Reading'!K34-'Kwh Reading'!K33)*1000</f>
        <v>279.99999999997272</v>
      </c>
      <c r="H33" s="2">
        <f>('Kwh Reading'!L34-'Kwh Reading'!L33)*1000</f>
        <v>200.00000000001705</v>
      </c>
      <c r="I33" s="2">
        <f>('Kwh Reading'!R34-'Kwh Reading'!R33)*1000</f>
        <v>270.00000000001023</v>
      </c>
      <c r="J33" s="2">
        <f>('Kwh Reading'!S34-'Kwh Reading'!S33)*1000</f>
        <v>120.00000000000455</v>
      </c>
      <c r="K33" s="2">
        <f>('Kwh Reading'!I34-'Kwh Reading'!I33)*1000</f>
        <v>280.00000000000114</v>
      </c>
      <c r="L33" s="2">
        <f>('Kwh Reading'!B34-'Kwh Reading'!B33)*1000000</f>
        <v>1300.0000000000789</v>
      </c>
      <c r="M33" s="2">
        <f>('Kwh Reading'!M34-'Kwh Reading'!M33)*1000</f>
        <v>750</v>
      </c>
      <c r="N33" s="2">
        <f>('Kwh Reading'!H34-'Kwh Reading'!H33)*1000</f>
        <v>639.99999999998636</v>
      </c>
      <c r="O33" s="2">
        <f>('Kwh Reading'!P34-'Kwh Reading'!P33)*1000</f>
        <v>990.00000000000909</v>
      </c>
      <c r="P33" s="2">
        <f>('Kwh Reading'!G34-'Kwh Reading'!G33)*1000</f>
        <v>879.99999999999545</v>
      </c>
      <c r="Q33" s="2">
        <f>('Kwh Reading'!Q34-'Kwh Reading'!Q33)*1000</f>
        <v>1000</v>
      </c>
      <c r="R33" s="2">
        <f>('Kwh Reading'!N34-'Kwh Reading'!N33)*1000</f>
        <v>680.00000000006366</v>
      </c>
      <c r="S33" s="2">
        <f>'Kwh Reading'!E34-'Kwh Reading'!E33</f>
        <v>3243.6800000006333</v>
      </c>
      <c r="T33" s="2">
        <f>'Kwh Reading'!D34-'Kwh Reading'!D33</f>
        <v>2348.9599999999627</v>
      </c>
      <c r="U33" s="27">
        <f>('Kwh Reading'!O34-'Kwh Reading'!O33)*1000</f>
        <v>219.99999999999886</v>
      </c>
      <c r="V33" s="16">
        <f t="shared" si="1"/>
        <v>5997.3599999967591</v>
      </c>
    </row>
    <row r="34" spans="1:22" x14ac:dyDescent="0.25">
      <c r="A34" s="3">
        <f>'Kwh Reading'!A34</f>
        <v>44439</v>
      </c>
      <c r="B34" s="26">
        <f>TOTAL!E32</f>
        <v>21780.000000000655</v>
      </c>
      <c r="C34" s="4">
        <f>('Kwh Reading'!T35-'Kwh Reading'!T34)*1000</f>
        <v>490.00000000000909</v>
      </c>
      <c r="D34" s="2">
        <f>('Kwh Reading'!F35-'Kwh Reading'!F34)*1000000</f>
        <v>2300.0000000004129</v>
      </c>
      <c r="E34" s="2">
        <f>('Kwh Reading'!C35-'Kwh Reading'!C34)*1000</f>
        <v>259.99999999999091</v>
      </c>
      <c r="F34" s="2">
        <f>('Kwh Reading'!J35-'Kwh Reading'!J34)*1000</f>
        <v>269.99999999998181</v>
      </c>
      <c r="G34" s="2">
        <f>('Kwh Reading'!K35-'Kwh Reading'!K34)*1000</f>
        <v>230.00000000001819</v>
      </c>
      <c r="H34" s="2">
        <f>('Kwh Reading'!L35-'Kwh Reading'!L34)*1000</f>
        <v>210.00000000000796</v>
      </c>
      <c r="I34" s="2">
        <f>('Kwh Reading'!R35-'Kwh Reading'!R34)*1000</f>
        <v>289.99999999999204</v>
      </c>
      <c r="J34" s="2">
        <f>('Kwh Reading'!S35-'Kwh Reading'!S34)*1000</f>
        <v>119.99999999999034</v>
      </c>
      <c r="K34" s="2">
        <f>('Kwh Reading'!I35-'Kwh Reading'!I34)*1000</f>
        <v>280.00000000002956</v>
      </c>
      <c r="L34" s="2">
        <f>('Kwh Reading'!B35-'Kwh Reading'!B34)*1000000</f>
        <v>1399.9999999998458</v>
      </c>
      <c r="M34" s="2">
        <f>('Kwh Reading'!M35-'Kwh Reading'!M34)*1000</f>
        <v>759.99999999999091</v>
      </c>
      <c r="N34" s="2">
        <f>('Kwh Reading'!H35-'Kwh Reading'!H34)*1000</f>
        <v>610.00000000001364</v>
      </c>
      <c r="O34" s="2">
        <f>('Kwh Reading'!P35-'Kwh Reading'!P34)*1000</f>
        <v>959.99999999992269</v>
      </c>
      <c r="P34" s="2">
        <f>('Kwh Reading'!G35-'Kwh Reading'!G34)*1000</f>
        <v>850.00000000002274</v>
      </c>
      <c r="Q34" s="2">
        <f>('Kwh Reading'!Q35-'Kwh Reading'!Q34)*1000</f>
        <v>609.9999999999568</v>
      </c>
      <c r="R34" s="2">
        <f>('Kwh Reading'!N35-'Kwh Reading'!N34)*1000</f>
        <v>559.99999999994543</v>
      </c>
      <c r="S34" s="2">
        <f>'Kwh Reading'!E35-'Kwh Reading'!E34</f>
        <v>2966.019999999553</v>
      </c>
      <c r="T34" s="2">
        <f>'Kwh Reading'!D35-'Kwh Reading'!D34</f>
        <v>2195.6499999994412</v>
      </c>
      <c r="U34" s="27">
        <f>('Kwh Reading'!O35-'Kwh Reading'!O34)*1000</f>
        <v>219.99999999999886</v>
      </c>
      <c r="V34" s="16">
        <f t="shared" si="1"/>
        <v>6198.3300000015315</v>
      </c>
    </row>
    <row r="35" spans="1:22" x14ac:dyDescent="0.25">
      <c r="A35" s="80" t="s">
        <v>52</v>
      </c>
      <c r="B35" s="79">
        <f>SUM(B4:B34)</f>
        <v>701410.00000000023</v>
      </c>
      <c r="C35" s="75">
        <f t="shared" ref="C35" si="2">SUM(C4:C34)</f>
        <v>14430.000000000009</v>
      </c>
      <c r="D35" s="75">
        <f t="shared" ref="D35" si="3">SUM(D4:D34)</f>
        <v>72500.000000000233</v>
      </c>
      <c r="E35" s="75">
        <f t="shared" ref="E35" si="4">SUM(E4:E34)</f>
        <v>7749.9999999999991</v>
      </c>
      <c r="F35" s="75">
        <f t="shared" ref="F35" si="5">SUM(F4:F34)</f>
        <v>9000</v>
      </c>
      <c r="G35" s="75">
        <f t="shared" ref="G35:U35" si="6">SUM(G4:G34)</f>
        <v>9110.0000000000109</v>
      </c>
      <c r="H35" s="75">
        <f t="shared" si="6"/>
        <v>6460.0000000000091</v>
      </c>
      <c r="I35" s="75">
        <f t="shared" si="6"/>
        <v>7860.00000000001</v>
      </c>
      <c r="J35" s="75">
        <f t="shared" si="6"/>
        <v>3729.9999999999905</v>
      </c>
      <c r="K35" s="75">
        <f t="shared" si="6"/>
        <v>9920.0000000000164</v>
      </c>
      <c r="L35" s="75">
        <f t="shared" si="6"/>
        <v>41900.000000000058</v>
      </c>
      <c r="M35" s="75">
        <f t="shared" si="6"/>
        <v>22269.999999999985</v>
      </c>
      <c r="N35" s="75">
        <f t="shared" si="6"/>
        <v>17909.999999999971</v>
      </c>
      <c r="O35" s="75">
        <f t="shared" si="6"/>
        <v>31169.99999999996</v>
      </c>
      <c r="P35" s="75">
        <f t="shared" si="6"/>
        <v>26450.000000000055</v>
      </c>
      <c r="Q35" s="75">
        <f t="shared" si="6"/>
        <v>20719.999999999978</v>
      </c>
      <c r="R35" s="75">
        <f t="shared" si="6"/>
        <v>22919.999999999967</v>
      </c>
      <c r="S35" s="75">
        <f t="shared" si="6"/>
        <v>98833.799999999814</v>
      </c>
      <c r="T35" s="75">
        <f t="shared" si="6"/>
        <v>71474.580000000075</v>
      </c>
      <c r="U35" s="75">
        <f t="shared" si="6"/>
        <v>7060.0000000000036</v>
      </c>
      <c r="V35" s="75">
        <f>SUM(V4:V34)</f>
        <v>199941.62000000002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1750.0000000000621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5536.1699999993489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1720.0000000000609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5888.2099999988041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1820.00000000005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7515.8300000017798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1829.9999999998472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7205.0800000001</v>
      </c>
    </row>
    <row r="7" spans="1:12" x14ac:dyDescent="0.25">
      <c r="A7" s="14">
        <f>'Kwh Reading'!A8</f>
        <v>44413</v>
      </c>
      <c r="B7" s="83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1730.0000000000803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6495.610000000097</v>
      </c>
    </row>
    <row r="8" spans="1:12" x14ac:dyDescent="0.25">
      <c r="A8" s="14">
        <f>'Kwh Reading'!A9</f>
        <v>44414</v>
      </c>
      <c r="B8" s="83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6301.5299999992785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1729.9999999998583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5571.0000000011514</v>
      </c>
    </row>
    <row r="10" spans="1:12" x14ac:dyDescent="0.25">
      <c r="A10" s="14">
        <f>'Kwh Reading'!A11</f>
        <v>44416</v>
      </c>
      <c r="B10" s="83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6">
        <f>('Kwh Consumption'!I11+'Kwh Consumption'!J11)</f>
        <v>340.00000000001762</v>
      </c>
      <c r="H10" s="1">
        <f>('Kwh Consumption'!K11+'Kwh Consumption'!L11)</f>
        <v>1640.0000000000823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2">
        <f t="shared" si="0"/>
        <v>6596.2499999976981</v>
      </c>
    </row>
    <row r="11" spans="1:12" x14ac:dyDescent="0.25">
      <c r="A11" s="14">
        <f>'Kwh Reading'!A12</f>
        <v>44417</v>
      </c>
      <c r="B11" s="83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6">
        <f>('Kwh Consumption'!I12+'Kwh Consumption'!J12)</f>
        <v>379.99999999998124</v>
      </c>
      <c r="H11" s="1">
        <f>('Kwh Consumption'!K12+'Kwh Consumption'!L12)</f>
        <v>1640.0000000000539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2">
        <f t="shared" si="0"/>
        <v>7032.6299999999574</v>
      </c>
    </row>
    <row r="12" spans="1:12" x14ac:dyDescent="0.25">
      <c r="A12" s="14">
        <f>'Kwh Reading'!A13</f>
        <v>44418</v>
      </c>
      <c r="B12" s="83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6">
        <f>('Kwh Consumption'!I13+'Kwh Consumption'!J13)</f>
        <v>430.00000000000682</v>
      </c>
      <c r="H12" s="1">
        <f>('Kwh Consumption'!K13+'Kwh Consumption'!L13)</f>
        <v>1669.9999999998613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2">
        <f t="shared" si="0"/>
        <v>7534.8400000011507</v>
      </c>
    </row>
    <row r="13" spans="1:12" x14ac:dyDescent="0.25">
      <c r="A13" s="14">
        <f>'Kwh Reading'!A14</f>
        <v>44419</v>
      </c>
      <c r="B13" s="83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6">
        <f>('Kwh Consumption'!I14+'Kwh Consumption'!J14)</f>
        <v>409.99999999999659</v>
      </c>
      <c r="H13" s="1">
        <f>('Kwh Consumption'!K14+'Kwh Consumption'!L14)</f>
        <v>1810.0000000000643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2">
        <f t="shared" si="0"/>
        <v>7260.0900000000684</v>
      </c>
    </row>
    <row r="14" spans="1:12" x14ac:dyDescent="0.25">
      <c r="A14" s="14">
        <f>'Kwh Reading'!A15</f>
        <v>44420</v>
      </c>
      <c r="B14" s="83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6">
        <f>('Kwh Consumption'!I15+'Kwh Consumption'!J15)</f>
        <v>380.00000000000966</v>
      </c>
      <c r="H14" s="1">
        <f>('Kwh Consumption'!K15+'Kwh Consumption'!L15)</f>
        <v>1650.0000000001016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2">
        <f t="shared" si="0"/>
        <v>6761.2600000013908</v>
      </c>
    </row>
    <row r="15" spans="1:12" x14ac:dyDescent="0.25">
      <c r="A15" s="14">
        <f>'Kwh Reading'!A16</f>
        <v>44421</v>
      </c>
      <c r="B15" s="83">
        <f>TOTAL!E14</f>
        <v>23569.999999998348</v>
      </c>
      <c r="C15" s="1">
        <f>'Kwh Consumption'!C16</f>
        <v>289.99999999996362</v>
      </c>
      <c r="D15" s="1">
        <f>'Kwh Consumption'!D16</f>
        <v>2800.0000000001355</v>
      </c>
      <c r="E15" s="1">
        <f>'Kwh Consumption'!E16</f>
        <v>259.99999999999091</v>
      </c>
      <c r="F15" s="1">
        <f>('Kwh Consumption'!F16+'Kwh Consumption'!G16+'Kwh Consumption'!H16)</f>
        <v>749.99999999997158</v>
      </c>
      <c r="G15" s="16">
        <f>('Kwh Consumption'!I16+'Kwh Consumption'!J16)</f>
        <v>399.99999999999147</v>
      </c>
      <c r="H15" s="1">
        <f>('Kwh Consumption'!K16+'Kwh Consumption'!L16)</f>
        <v>1679.9999999998522</v>
      </c>
      <c r="I15" s="1">
        <f>('Kwh Consumption'!M16+'Kwh Consumption'!N16+'Kwh Consumption'!O16+'Kwh Consumption'!P16+'Kwh Consumption'!Q16+'Kwh Consumption'!R16)</f>
        <v>4840.0000000000891</v>
      </c>
      <c r="J15" s="1">
        <f>('Kwh Consumption'!S16+'Kwh Consumption'!T16)</f>
        <v>5894.3300000000745</v>
      </c>
      <c r="K15" s="1">
        <f>'Kwh Consumption'!U16</f>
        <v>209.99999999997954</v>
      </c>
      <c r="L15" s="32">
        <f t="shared" si="0"/>
        <v>6445.669999998303</v>
      </c>
    </row>
    <row r="16" spans="1:12" x14ac:dyDescent="0.25">
      <c r="A16" s="14">
        <f>'Kwh Reading'!A17</f>
        <v>44422</v>
      </c>
      <c r="B16" s="83">
        <f>TOTAL!E15</f>
        <v>24350.000000001048</v>
      </c>
      <c r="C16" s="1">
        <f>'Kwh Consumption'!C17</f>
        <v>520.00000000003865</v>
      </c>
      <c r="D16" s="1">
        <f>'Kwh Consumption'!D17</f>
        <v>1900.0000000000127</v>
      </c>
      <c r="E16" s="1">
        <f>'Kwh Consumption'!E17</f>
        <v>289.99999999999204</v>
      </c>
      <c r="F16" s="1">
        <f>('Kwh Consumption'!F17+'Kwh Consumption'!G17+'Kwh Consumption'!H17)</f>
        <v>770.00000000001023</v>
      </c>
      <c r="G16" s="16">
        <f>('Kwh Consumption'!I17+'Kwh Consumption'!J17)</f>
        <v>379.99999999999545</v>
      </c>
      <c r="H16" s="1">
        <f>('Kwh Consumption'!K17+'Kwh Consumption'!L17)</f>
        <v>1660.0000000000641</v>
      </c>
      <c r="I16" s="1">
        <f>('Kwh Consumption'!M17+'Kwh Consumption'!N17+'Kwh Consumption'!O17+'Kwh Consumption'!P17+'Kwh Consumption'!Q17+'Kwh Consumption'!R17)</f>
        <v>5000.0000000000573</v>
      </c>
      <c r="J16" s="1">
        <f>('Kwh Consumption'!S17+'Kwh Consumption'!T17)</f>
        <v>6489.4199999999255</v>
      </c>
      <c r="K16" s="1">
        <f>'Kwh Consumption'!U17</f>
        <v>210.00000000000796</v>
      </c>
      <c r="L16" s="32">
        <f t="shared" si="0"/>
        <v>7130.5800000009394</v>
      </c>
    </row>
    <row r="17" spans="1:12" x14ac:dyDescent="0.25">
      <c r="A17" s="14">
        <f>'Kwh Reading'!A18</f>
        <v>44423</v>
      </c>
      <c r="B17" s="83">
        <f>TOTAL!E16</f>
        <v>23809.999999999491</v>
      </c>
      <c r="C17" s="1">
        <f>'Kwh Consumption'!C18</f>
        <v>500</v>
      </c>
      <c r="D17" s="1">
        <f>'Kwh Consumption'!D18</f>
        <v>2299.9999999999686</v>
      </c>
      <c r="E17" s="1">
        <f>'Kwh Consumption'!E18</f>
        <v>270.00000000001023</v>
      </c>
      <c r="F17" s="1">
        <f>('Kwh Consumption'!F18+'Kwh Consumption'!G18+'Kwh Consumption'!H18)</f>
        <v>680.00000000000682</v>
      </c>
      <c r="G17" s="16">
        <f>('Kwh Consumption'!I18+'Kwh Consumption'!J18)</f>
        <v>400.00000000000568</v>
      </c>
      <c r="H17" s="1">
        <f>('Kwh Consumption'!K18+'Kwh Consumption'!L18)</f>
        <v>1670.0000000000834</v>
      </c>
      <c r="I17" s="1">
        <f>('Kwh Consumption'!M18+'Kwh Consumption'!N18+'Kwh Consumption'!O18+'Kwh Consumption'!P18+'Kwh Consumption'!Q18+'Kwh Consumption'!R18)</f>
        <v>4989.9999999999527</v>
      </c>
      <c r="J17" s="1">
        <f>('Kwh Consumption'!S18+'Kwh Consumption'!T18)</f>
        <v>6329.5200000004843</v>
      </c>
      <c r="K17" s="31">
        <f>'Kwh Consumption'!U18</f>
        <v>219.99999999999886</v>
      </c>
      <c r="L17" s="32">
        <f t="shared" si="0"/>
        <v>6450.4799999989782</v>
      </c>
    </row>
    <row r="18" spans="1:12" x14ac:dyDescent="0.25">
      <c r="A18" s="14">
        <f>'Kwh Reading'!A19</f>
        <v>44424</v>
      </c>
      <c r="B18" s="83">
        <f>TOTAL!E17</f>
        <v>23839.999999999691</v>
      </c>
      <c r="C18" s="1">
        <f>'Kwh Consumption'!C19</f>
        <v>500</v>
      </c>
      <c r="D18" s="1">
        <f>'Kwh Consumption'!D19</f>
        <v>2099.9999999999909</v>
      </c>
      <c r="E18" s="1">
        <f>'Kwh Consumption'!E19</f>
        <v>259.99999999999091</v>
      </c>
      <c r="F18" s="1">
        <f>('Kwh Consumption'!F19+'Kwh Consumption'!G19+'Kwh Consumption'!H19)</f>
        <v>1139.9999999999864</v>
      </c>
      <c r="G18" s="16">
        <f>('Kwh Consumption'!I19+'Kwh Consumption'!J19)</f>
        <v>399.99999999999147</v>
      </c>
      <c r="H18" s="1">
        <f>('Kwh Consumption'!K19+'Kwh Consumption'!L19)</f>
        <v>1679.9999999998522</v>
      </c>
      <c r="I18" s="1">
        <f>('Kwh Consumption'!M19+'Kwh Consumption'!N19+'Kwh Consumption'!O19+'Kwh Consumption'!P19+'Kwh Consumption'!Q19+'Kwh Consumption'!R19)</f>
        <v>4970.0000000000273</v>
      </c>
      <c r="J18" s="1">
        <f>('Kwh Consumption'!S19+'Kwh Consumption'!T19)</f>
        <v>6239.1699999999255</v>
      </c>
      <c r="K18" s="31">
        <f>'Kwh Consumption'!U19</f>
        <v>250</v>
      </c>
      <c r="L18" s="32">
        <f t="shared" si="0"/>
        <v>6300.8299999999272</v>
      </c>
    </row>
    <row r="19" spans="1:12" x14ac:dyDescent="0.25">
      <c r="A19" s="14">
        <f>'Kwh Reading'!A20</f>
        <v>44425</v>
      </c>
      <c r="B19" s="83">
        <f>TOTAL!E18</f>
        <v>23209.999999999578</v>
      </c>
      <c r="C19" s="1">
        <f>'Kwh Consumption'!C20</f>
        <v>489.99999999995225</v>
      </c>
      <c r="D19" s="1">
        <f>'Kwh Consumption'!D20</f>
        <v>2299.9999999999686</v>
      </c>
      <c r="E19" s="1">
        <f>'Kwh Consumption'!E20</f>
        <v>250</v>
      </c>
      <c r="F19" s="1">
        <f>('Kwh Consumption'!F20+'Kwh Consumption'!G20+'Kwh Consumption'!H20)</f>
        <v>859.99999999998522</v>
      </c>
      <c r="G19" s="16">
        <f>('Kwh Consumption'!I20+'Kwh Consumption'!J20)</f>
        <v>409.99999999999659</v>
      </c>
      <c r="H19" s="1">
        <f>('Kwh Consumption'!K20+'Kwh Consumption'!L20)</f>
        <v>1730.0000000000803</v>
      </c>
      <c r="I19" s="1">
        <f>('Kwh Consumption'!M20+'Kwh Consumption'!N20+'Kwh Consumption'!O20+'Kwh Consumption'!P20+'Kwh Consumption'!Q20+'Kwh Consumption'!R20)</f>
        <v>4800.0000000000682</v>
      </c>
      <c r="J19" s="1">
        <f>('Kwh Consumption'!S20+'Kwh Consumption'!T20)</f>
        <v>6019.3300000000745</v>
      </c>
      <c r="K19" s="1">
        <f>'Kwh Consumption'!U20</f>
        <v>250</v>
      </c>
      <c r="L19" s="32">
        <f t="shared" si="0"/>
        <v>6100.6699999994526</v>
      </c>
    </row>
    <row r="20" spans="1:12" x14ac:dyDescent="0.25">
      <c r="A20" s="14">
        <f>'Kwh Reading'!A21</f>
        <v>44426</v>
      </c>
      <c r="B20" s="83">
        <f>TOTAL!E19</f>
        <v>23900.00000000123</v>
      </c>
      <c r="C20" s="1">
        <f>'Kwh Consumption'!C21</f>
        <v>520.00000000003865</v>
      </c>
      <c r="D20" s="1">
        <f>'Kwh Consumption'!D21</f>
        <v>2299.9999999999686</v>
      </c>
      <c r="E20" s="1">
        <f>'Kwh Consumption'!E21</f>
        <v>270.00000000001023</v>
      </c>
      <c r="F20" s="1">
        <f>('Kwh Consumption'!F21+'Kwh Consumption'!G21+'Kwh Consumption'!H21)</f>
        <v>929.9999999999784</v>
      </c>
      <c r="G20" s="16">
        <f>('Kwh Consumption'!I21+'Kwh Consumption'!J21)</f>
        <v>390.00000000001478</v>
      </c>
      <c r="H20" s="1">
        <f>('Kwh Consumption'!K21+'Kwh Consumption'!L21)</f>
        <v>1780.0000000000632</v>
      </c>
      <c r="I20" s="1">
        <f>('Kwh Consumption'!M21+'Kwh Consumption'!N21+'Kwh Consumption'!O21+'Kwh Consumption'!P21+'Kwh Consumption'!Q21+'Kwh Consumption'!R21)</f>
        <v>4709.99999999998</v>
      </c>
      <c r="J20" s="1">
        <f>('Kwh Consumption'!S21+'Kwh Consumption'!T21)</f>
        <v>6057.0599999995902</v>
      </c>
      <c r="K20" s="1">
        <f>'Kwh Consumption'!U21</f>
        <v>219.99999999999886</v>
      </c>
      <c r="L20" s="32">
        <f t="shared" si="0"/>
        <v>6722.9400000015876</v>
      </c>
    </row>
    <row r="21" spans="1:12" x14ac:dyDescent="0.25">
      <c r="A21" s="14">
        <f>'Kwh Reading'!A22</f>
        <v>44427</v>
      </c>
      <c r="B21" s="83">
        <f>TOTAL!E20</f>
        <v>23030.000000000655</v>
      </c>
      <c r="C21" s="1">
        <f>'Kwh Consumption'!C22</f>
        <v>500</v>
      </c>
      <c r="D21" s="1">
        <f>'Kwh Consumption'!D22</f>
        <v>2299.9999999999686</v>
      </c>
      <c r="E21" s="1">
        <f>'Kwh Consumption'!E22</f>
        <v>250</v>
      </c>
      <c r="F21" s="1">
        <f>('Kwh Consumption'!F22+'Kwh Consumption'!G22+'Kwh Consumption'!H22)</f>
        <v>950.00000000004547</v>
      </c>
      <c r="G21" s="16">
        <f>('Kwh Consumption'!I22+'Kwh Consumption'!J22)</f>
        <v>380.00000000000966</v>
      </c>
      <c r="H21" s="1">
        <f>('Kwh Consumption'!K22+'Kwh Consumption'!L22)</f>
        <v>1729.9999999998583</v>
      </c>
      <c r="I21" s="1">
        <f>('Kwh Consumption'!M22+'Kwh Consumption'!N22+'Kwh Consumption'!O22+'Kwh Consumption'!P22+'Kwh Consumption'!Q22+'Kwh Consumption'!R22)</f>
        <v>4919.9999999999591</v>
      </c>
      <c r="J21" s="1">
        <f>('Kwh Consumption'!S22+'Kwh Consumption'!T22)</f>
        <v>5781.570000000298</v>
      </c>
      <c r="K21" s="1">
        <f>'Kwh Consumption'!U22</f>
        <v>240.00000000000909</v>
      </c>
      <c r="L21" s="32">
        <f t="shared" si="0"/>
        <v>5978.4300000005042</v>
      </c>
    </row>
    <row r="22" spans="1:12" x14ac:dyDescent="0.25">
      <c r="A22" s="14">
        <f>'Kwh Reading'!A23</f>
        <v>44428</v>
      </c>
      <c r="B22" s="83">
        <f>TOTAL!E21</f>
        <v>22839.999999999691</v>
      </c>
      <c r="C22" s="1">
        <f>'Kwh Consumption'!C23</f>
        <v>519.99999999998181</v>
      </c>
      <c r="D22" s="1">
        <f>'Kwh Consumption'!D23</f>
        <v>2299.9999999999686</v>
      </c>
      <c r="E22" s="1">
        <f>'Kwh Consumption'!E23</f>
        <v>259.99999999999091</v>
      </c>
      <c r="F22" s="1">
        <f>('Kwh Consumption'!F23+'Kwh Consumption'!G23+'Kwh Consumption'!H23)</f>
        <v>769.99999999995339</v>
      </c>
      <c r="G22" s="16">
        <f>('Kwh Consumption'!I23+'Kwh Consumption'!J23)</f>
        <v>419.99999999998749</v>
      </c>
      <c r="H22" s="1">
        <f>('Kwh Consumption'!K23+'Kwh Consumption'!L23)</f>
        <v>1810.0000000000307</v>
      </c>
      <c r="I22" s="1">
        <f>('Kwh Consumption'!M23+'Kwh Consumption'!N23+'Kwh Consumption'!O23+'Kwh Consumption'!P23+'Kwh Consumption'!Q23+'Kwh Consumption'!R23)</f>
        <v>4870.0000000000045</v>
      </c>
      <c r="J22" s="1">
        <f>('Kwh Consumption'!S23+'Kwh Consumption'!T23)</f>
        <v>5770.7999999998137</v>
      </c>
      <c r="K22" s="1">
        <f>'Kwh Consumption'!U23</f>
        <v>210.00000000000796</v>
      </c>
      <c r="L22" s="32">
        <f t="shared" si="0"/>
        <v>5909.1999999999562</v>
      </c>
    </row>
    <row r="23" spans="1:12" x14ac:dyDescent="0.25">
      <c r="A23" s="14">
        <f>'Kwh Reading'!A24</f>
        <v>44429</v>
      </c>
      <c r="B23" s="83">
        <f>TOTAL!E22</f>
        <v>22709.999999999811</v>
      </c>
      <c r="C23" s="1">
        <f>'Kwh Consumption'!C24</f>
        <v>280.00000000002956</v>
      </c>
      <c r="D23" s="1">
        <f>'Kwh Consumption'!D24</f>
        <v>2299.9999999999686</v>
      </c>
      <c r="E23" s="1">
        <f>'Kwh Consumption'!E24</f>
        <v>260.00000000001933</v>
      </c>
      <c r="F23" s="1">
        <f>('Kwh Consumption'!F24+'Kwh Consumption'!G24+'Kwh Consumption'!H24)</f>
        <v>800.00000000003979</v>
      </c>
      <c r="G23" s="16">
        <f>('Kwh Consumption'!I24+'Kwh Consumption'!J24)</f>
        <v>369.99999999999034</v>
      </c>
      <c r="H23" s="1">
        <f>('Kwh Consumption'!K24+'Kwh Consumption'!L24)</f>
        <v>1830.0000000000693</v>
      </c>
      <c r="I23" s="1">
        <f>('Kwh Consumption'!M24+'Kwh Consumption'!N24+'Kwh Consumption'!O24+'Kwh Consumption'!P24+'Kwh Consumption'!Q24+'Kwh Consumption'!R24)</f>
        <v>4829.9999999999272</v>
      </c>
      <c r="J23" s="1">
        <f>('Kwh Consumption'!S24+'Kwh Consumption'!T24)</f>
        <v>6366.1699999999255</v>
      </c>
      <c r="K23" s="1">
        <f>'Kwh Consumption'!U24</f>
        <v>209.99999999997954</v>
      </c>
      <c r="L23" s="32">
        <f t="shared" si="0"/>
        <v>5463.8299999998653</v>
      </c>
    </row>
    <row r="24" spans="1:12" x14ac:dyDescent="0.25">
      <c r="A24" s="14">
        <f>'Kwh Reading'!A25</f>
        <v>44430</v>
      </c>
      <c r="B24" s="83">
        <f>TOTAL!E23</f>
        <v>22009.999999999534</v>
      </c>
      <c r="C24" s="1">
        <f>'Kwh Consumption'!C25</f>
        <v>549.99999999995453</v>
      </c>
      <c r="D24" s="1">
        <f>'Kwh Consumption'!D25</f>
        <v>2299.9999999999686</v>
      </c>
      <c r="E24" s="1">
        <f>'Kwh Consumption'!E25</f>
        <v>229.99999999998977</v>
      </c>
      <c r="F24" s="1">
        <f>('Kwh Consumption'!F25+'Kwh Consumption'!G25+'Kwh Consumption'!H25)</f>
        <v>789.99999999999204</v>
      </c>
      <c r="G24" s="16">
        <f>('Kwh Consumption'!I25+'Kwh Consumption'!J25)</f>
        <v>400.00000000000568</v>
      </c>
      <c r="H24" s="1">
        <f>('Kwh Consumption'!K25+'Kwh Consumption'!L25)</f>
        <v>1579.9999999998579</v>
      </c>
      <c r="I24" s="1">
        <f>('Kwh Consumption'!M25+'Kwh Consumption'!N25+'Kwh Consumption'!O25+'Kwh Consumption'!P25+'Kwh Consumption'!Q25+'Kwh Consumption'!R25)</f>
        <v>4659.9999999999682</v>
      </c>
      <c r="J24" s="1">
        <f>('Kwh Consumption'!S25+'Kwh Consumption'!T25)</f>
        <v>4537.0900000007823</v>
      </c>
      <c r="K24" s="1">
        <f>'Kwh Consumption'!U25</f>
        <v>219.99999999999886</v>
      </c>
      <c r="L24" s="32">
        <f t="shared" si="0"/>
        <v>6742.9099999990149</v>
      </c>
    </row>
    <row r="25" spans="1:12" x14ac:dyDescent="0.25">
      <c r="A25" s="14">
        <f>'Kwh Reading'!A26</f>
        <v>44431</v>
      </c>
      <c r="B25" s="83">
        <f>TOTAL!E24</f>
        <v>22229.999999999112</v>
      </c>
      <c r="C25" s="1">
        <f>'Kwh Consumption'!C26</f>
        <v>500</v>
      </c>
      <c r="D25" s="1">
        <f>'Kwh Consumption'!D26</f>
        <v>2300.0000000004129</v>
      </c>
      <c r="E25" s="1">
        <f>'Kwh Consumption'!E26</f>
        <v>240.00000000000909</v>
      </c>
      <c r="F25" s="1">
        <f>('Kwh Consumption'!F26+'Kwh Consumption'!G26+'Kwh Consumption'!H26)</f>
        <v>719.99999999997044</v>
      </c>
      <c r="G25" s="16">
        <f>('Kwh Consumption'!I26+'Kwh Consumption'!J26)</f>
        <v>390.00000000001478</v>
      </c>
      <c r="H25" s="1">
        <f>('Kwh Consumption'!K26+'Kwh Consumption'!L26)</f>
        <v>1690.0000000000598</v>
      </c>
      <c r="I25" s="1">
        <f>('Kwh Consumption'!M26+'Kwh Consumption'!N26+'Kwh Consumption'!O26+'Kwh Consumption'!P26+'Kwh Consumption'!Q26+'Kwh Consumption'!R26)</f>
        <v>4730.0000000001319</v>
      </c>
      <c r="J25" s="1">
        <f>('Kwh Consumption'!S26+'Kwh Consumption'!T26)</f>
        <v>5066.5800000000745</v>
      </c>
      <c r="K25" s="1">
        <f>'Kwh Consumption'!U26</f>
        <v>219.99999999999886</v>
      </c>
      <c r="L25" s="32">
        <f t="shared" si="0"/>
        <v>6373.4199999984421</v>
      </c>
    </row>
    <row r="26" spans="1:12" x14ac:dyDescent="0.25">
      <c r="A26" s="14">
        <f>'Kwh Reading'!A27</f>
        <v>44432</v>
      </c>
      <c r="B26" s="83">
        <f>TOTAL!E25</f>
        <v>20050.000000001546</v>
      </c>
      <c r="C26" s="1">
        <f>'Kwh Consumption'!C27</f>
        <v>490.00000000000909</v>
      </c>
      <c r="D26" s="1">
        <f>'Kwh Consumption'!D27</f>
        <v>2099.9999999999909</v>
      </c>
      <c r="E26" s="1">
        <f>'Kwh Consumption'!E27</f>
        <v>259.99999999999091</v>
      </c>
      <c r="F26" s="1">
        <f>('Kwh Consumption'!F27+'Kwh Consumption'!G27+'Kwh Consumption'!H27)</f>
        <v>820.0000000000216</v>
      </c>
      <c r="G26" s="16">
        <f>('Kwh Consumption'!I27+'Kwh Consumption'!J27)</f>
        <v>409.99999999998238</v>
      </c>
      <c r="H26" s="1">
        <f>('Kwh Consumption'!K27+'Kwh Consumption'!L27)</f>
        <v>1540.000000000088</v>
      </c>
      <c r="I26" s="1">
        <f>('Kwh Consumption'!M27+'Kwh Consumption'!N27+'Kwh Consumption'!O27+'Kwh Consumption'!P27+'Kwh Consumption'!Q27+'Kwh Consumption'!R27)</f>
        <v>3940.0000000000546</v>
      </c>
      <c r="J26" s="1">
        <f>('Kwh Consumption'!S27+'Kwh Consumption'!T27)</f>
        <v>4308.0499999998137</v>
      </c>
      <c r="K26" s="1">
        <f>'Kwh Consumption'!U27</f>
        <v>230.00000000001819</v>
      </c>
      <c r="L26" s="32">
        <f t="shared" si="0"/>
        <v>5951.9500000015723</v>
      </c>
    </row>
    <row r="27" spans="1:12" x14ac:dyDescent="0.25">
      <c r="A27" s="14">
        <f>'Kwh Reading'!A28</f>
        <v>44433</v>
      </c>
      <c r="B27" s="83">
        <f>TOTAL!E26</f>
        <v>20100.000000000597</v>
      </c>
      <c r="C27" s="1">
        <f>'Kwh Consumption'!C28</f>
        <v>480.00000000001819</v>
      </c>
      <c r="D27" s="1">
        <f>'Kwh Consumption'!D28</f>
        <v>2099.9999999999909</v>
      </c>
      <c r="E27" s="1">
        <f>'Kwh Consumption'!E28</f>
        <v>259.99999999999091</v>
      </c>
      <c r="F27" s="1">
        <f>('Kwh Consumption'!F28+'Kwh Consumption'!G28+'Kwh Consumption'!H28)</f>
        <v>820.0000000000216</v>
      </c>
      <c r="G27" s="16">
        <f>('Kwh Consumption'!I28+'Kwh Consumption'!J28)</f>
        <v>370.00000000000455</v>
      </c>
      <c r="H27" s="1">
        <f>('Kwh Consumption'!K28+'Kwh Consumption'!L28)</f>
        <v>1329.9999999998686</v>
      </c>
      <c r="I27" s="1">
        <f>('Kwh Consumption'!M28+'Kwh Consumption'!N28+'Kwh Consumption'!O28+'Kwh Consumption'!P28+'Kwh Consumption'!Q28+'Kwh Consumption'!R28)</f>
        <v>3799.9999999998977</v>
      </c>
      <c r="J27" s="1">
        <f>('Kwh Consumption'!S28+'Kwh Consumption'!T28)</f>
        <v>4595.5300000002608</v>
      </c>
      <c r="K27" s="1">
        <f>'Kwh Consumption'!U28</f>
        <v>219.99999999999886</v>
      </c>
      <c r="L27" s="32">
        <f t="shared" si="0"/>
        <v>6124.4700000005441</v>
      </c>
    </row>
    <row r="28" spans="1:12" x14ac:dyDescent="0.25">
      <c r="A28" s="14">
        <f>'Kwh Reading'!A29</f>
        <v>44434</v>
      </c>
      <c r="B28" s="83">
        <f>TOTAL!E27</f>
        <v>20590.000000000146</v>
      </c>
      <c r="C28" s="1">
        <f>'Kwh Consumption'!C29</f>
        <v>469.99999999997044</v>
      </c>
      <c r="D28" s="1">
        <f>'Kwh Consumption'!D29</f>
        <v>2399.9999999997358</v>
      </c>
      <c r="E28" s="1">
        <f>'Kwh Consumption'!E29</f>
        <v>250</v>
      </c>
      <c r="F28" s="1">
        <f>('Kwh Consumption'!F29+'Kwh Consumption'!G29+'Kwh Consumption'!H29)</f>
        <v>849.99999999993747</v>
      </c>
      <c r="G28" s="16">
        <f>('Kwh Consumption'!I29+'Kwh Consumption'!J29)</f>
        <v>409.99999999999659</v>
      </c>
      <c r="H28" s="1">
        <f>('Kwh Consumption'!K29+'Kwh Consumption'!L29)</f>
        <v>1570.0000000000891</v>
      </c>
      <c r="I28" s="1">
        <f>('Kwh Consumption'!M29+'Kwh Consumption'!N29+'Kwh Consumption'!O29+'Kwh Consumption'!P29+'Kwh Consumption'!Q29+'Kwh Consumption'!R29)</f>
        <v>4449.9999999999891</v>
      </c>
      <c r="J28" s="1">
        <f>('Kwh Consumption'!S29+'Kwh Consumption'!T29)</f>
        <v>4973.5799999991432</v>
      </c>
      <c r="K28" s="1">
        <f>'Kwh Consumption'!U29</f>
        <v>199.99999999998863</v>
      </c>
      <c r="L28" s="32">
        <f t="shared" si="0"/>
        <v>5016.4200000012952</v>
      </c>
    </row>
    <row r="29" spans="1:12" x14ac:dyDescent="0.25">
      <c r="A29" s="14">
        <f>'Kwh Reading'!A30</f>
        <v>44435</v>
      </c>
      <c r="B29" s="83">
        <f>TOTAL!E28</f>
        <v>20279.999999999069</v>
      </c>
      <c r="C29" s="1">
        <f>'Kwh Consumption'!C30</f>
        <v>250</v>
      </c>
      <c r="D29" s="1">
        <f>'Kwh Consumption'!D30</f>
        <v>2499.9999999999468</v>
      </c>
      <c r="E29" s="1">
        <f>'Kwh Consumption'!E30</f>
        <v>240.00000000000909</v>
      </c>
      <c r="F29" s="1">
        <f>('Kwh Consumption'!F30+'Kwh Consumption'!G30+'Kwh Consumption'!H30)</f>
        <v>850.00000000005116</v>
      </c>
      <c r="G29" s="16">
        <f>('Kwh Consumption'!I30+'Kwh Consumption'!J30)</f>
        <v>390.00000000000057</v>
      </c>
      <c r="H29" s="1">
        <f>('Kwh Consumption'!K30+'Kwh Consumption'!L30)</f>
        <v>1650.0000000000678</v>
      </c>
      <c r="I29" s="1">
        <f>('Kwh Consumption'!M30+'Kwh Consumption'!N30+'Kwh Consumption'!O30+'Kwh Consumption'!P30+'Kwh Consumption'!Q30+'Kwh Consumption'!R30)</f>
        <v>4150.0000000000909</v>
      </c>
      <c r="J29" s="1">
        <f>('Kwh Consumption'!S30+'Kwh Consumption'!T30)</f>
        <v>4610.2999999998137</v>
      </c>
      <c r="K29" s="1">
        <f>'Kwh Consumption'!U30</f>
        <v>259.99999999999091</v>
      </c>
      <c r="L29" s="32">
        <f t="shared" si="0"/>
        <v>5379.6999999990985</v>
      </c>
    </row>
    <row r="30" spans="1:12" x14ac:dyDescent="0.25">
      <c r="A30" s="14">
        <f>'Kwh Reading'!A31</f>
        <v>44436</v>
      </c>
      <c r="B30" s="83">
        <f>TOTAL!E29</f>
        <v>21229.999999999112</v>
      </c>
      <c r="C30" s="1">
        <f>'Kwh Consumption'!C31</f>
        <v>490.00000000000909</v>
      </c>
      <c r="D30" s="1">
        <f>'Kwh Consumption'!D31</f>
        <v>2200.0000000002019</v>
      </c>
      <c r="E30" s="1">
        <f>'Kwh Consumption'!E31</f>
        <v>240.00000000000909</v>
      </c>
      <c r="F30" s="1">
        <f>('Kwh Consumption'!F31+'Kwh Consumption'!G31+'Kwh Consumption'!H31)</f>
        <v>790.00000000004889</v>
      </c>
      <c r="G30" s="16">
        <f>('Kwh Consumption'!I31+'Kwh Consumption'!J31)</f>
        <v>400.00000000000568</v>
      </c>
      <c r="H30" s="1">
        <f>('Kwh Consumption'!K31+'Kwh Consumption'!L31)</f>
        <v>1439.999999999877</v>
      </c>
      <c r="I30" s="1">
        <f>('Kwh Consumption'!M31+'Kwh Consumption'!N31+'Kwh Consumption'!O31+'Kwh Consumption'!P31+'Kwh Consumption'!Q31+'Kwh Consumption'!R31)</f>
        <v>3939.9999999999977</v>
      </c>
      <c r="J30" s="1">
        <f>('Kwh Consumption'!S31+'Kwh Consumption'!T31)</f>
        <v>4699.9199999999255</v>
      </c>
      <c r="K30" s="1">
        <f>'Kwh Consumption'!U31</f>
        <v>230.00000000001819</v>
      </c>
      <c r="L30" s="32">
        <f t="shared" si="0"/>
        <v>6800.0799999990213</v>
      </c>
    </row>
    <row r="31" spans="1:12" x14ac:dyDescent="0.25">
      <c r="A31" s="14">
        <f>'Kwh Reading'!A32</f>
        <v>44437</v>
      </c>
      <c r="B31" s="83">
        <f>TOTAL!E30</f>
        <v>20730.000000002066</v>
      </c>
      <c r="C31" s="1">
        <f>'Kwh Consumption'!C32</f>
        <v>610.00000000001364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749.99999999994316</v>
      </c>
      <c r="G31" s="16">
        <f>('Kwh Consumption'!I32+'Kwh Consumption'!J32)</f>
        <v>359.99999999999943</v>
      </c>
      <c r="H31" s="1">
        <f>('Kwh Consumption'!K32+'Kwh Consumption'!L32)</f>
        <v>1670.0000000000496</v>
      </c>
      <c r="I31" s="1">
        <f>('Kwh Consumption'!M32+'Kwh Consumption'!N32+'Kwh Consumption'!O32+'Kwh Consumption'!P32+'Kwh Consumption'!Q32+'Kwh Consumption'!R32)</f>
        <v>3969.9999999999704</v>
      </c>
      <c r="J31" s="1">
        <f>('Kwh Consumption'!S32+'Kwh Consumption'!T32)</f>
        <v>5274.1500000003725</v>
      </c>
      <c r="K31" s="1">
        <f>'Kwh Consumption'!U32</f>
        <v>240.00000000000909</v>
      </c>
      <c r="L31" s="32">
        <f t="shared" si="0"/>
        <v>5105.850000001763</v>
      </c>
    </row>
    <row r="32" spans="1:12" x14ac:dyDescent="0.25">
      <c r="A32" s="14">
        <f>'Kwh Reading'!A33</f>
        <v>44438</v>
      </c>
      <c r="B32" s="83">
        <f>TOTAL!E31</f>
        <v>22259.999999997264</v>
      </c>
      <c r="C32" s="1">
        <f>'Kwh Consumption'!C33</f>
        <v>379.99999999999545</v>
      </c>
      <c r="D32" s="1">
        <f>'Kwh Consumption'!D33</f>
        <v>2199.9999999997576</v>
      </c>
      <c r="E32" s="1">
        <f>'Kwh Consumption'!E33</f>
        <v>259.99999999999091</v>
      </c>
      <c r="F32" s="1">
        <f>('Kwh Consumption'!F33+'Kwh Consumption'!G33+'Kwh Consumption'!H33)</f>
        <v>700.00000000001705</v>
      </c>
      <c r="G32" s="16">
        <f>('Kwh Consumption'!I33+'Kwh Consumption'!J33)</f>
        <v>390.00000000001478</v>
      </c>
      <c r="H32" s="1">
        <f>('Kwh Consumption'!K33+'Kwh Consumption'!L33)</f>
        <v>1580.00000000008</v>
      </c>
      <c r="I32" s="1">
        <f>('Kwh Consumption'!M33+'Kwh Consumption'!N33+'Kwh Consumption'!O33+'Kwh Consumption'!P33+'Kwh Consumption'!Q33+'Kwh Consumption'!R33)</f>
        <v>4940.0000000000546</v>
      </c>
      <c r="J32" s="1">
        <f>('Kwh Consumption'!S33+'Kwh Consumption'!T33)</f>
        <v>5592.640000000596</v>
      </c>
      <c r="K32" s="1">
        <f>'Kwh Consumption'!U33</f>
        <v>219.99999999999886</v>
      </c>
      <c r="L32" s="32">
        <f t="shared" si="0"/>
        <v>5997.3599999967564</v>
      </c>
    </row>
    <row r="33" spans="1:13" x14ac:dyDescent="0.25">
      <c r="A33" s="14">
        <f>'Kwh Reading'!A34</f>
        <v>44439</v>
      </c>
      <c r="B33" s="83">
        <f>TOTAL!E32</f>
        <v>21780.000000000655</v>
      </c>
      <c r="C33" s="1">
        <f>'Kwh Consumption'!C34</f>
        <v>490.00000000000909</v>
      </c>
      <c r="D33" s="1">
        <f>'Kwh Consumption'!D34</f>
        <v>2300.0000000004129</v>
      </c>
      <c r="E33" s="1">
        <f>'Kwh Consumption'!E34</f>
        <v>259.99999999999091</v>
      </c>
      <c r="F33" s="1">
        <f>('Kwh Consumption'!F34+'Kwh Consumption'!G34+'Kwh Consumption'!H34)</f>
        <v>710.00000000000796</v>
      </c>
      <c r="G33" s="16">
        <f>('Kwh Consumption'!I34+'Kwh Consumption'!J34)</f>
        <v>409.99999999998238</v>
      </c>
      <c r="H33" s="1">
        <f>('Kwh Consumption'!K34+'Kwh Consumption'!L34)</f>
        <v>1679.9999999998754</v>
      </c>
      <c r="I33" s="1">
        <f>('Kwh Consumption'!M34+'Kwh Consumption'!N34+'Kwh Consumption'!O34+'Kwh Consumption'!P34+'Kwh Consumption'!Q34+'Kwh Consumption'!R34)</f>
        <v>4349.9999999998527</v>
      </c>
      <c r="J33" s="1">
        <f>('Kwh Consumption'!S34+'Kwh Consumption'!T34)</f>
        <v>5161.6699999989942</v>
      </c>
      <c r="K33" s="1">
        <f>'Kwh Consumption'!U34</f>
        <v>219.99999999999886</v>
      </c>
      <c r="L33" s="32">
        <f t="shared" si="0"/>
        <v>6198.3300000015288</v>
      </c>
    </row>
    <row r="34" spans="1:13" ht="15.75" x14ac:dyDescent="0.25">
      <c r="A34" s="85" t="s">
        <v>120</v>
      </c>
      <c r="B34" s="75">
        <f>SUM(B3:B33)</f>
        <v>697359.99999999953</v>
      </c>
      <c r="C34" s="75">
        <f>SUM(C3:C33)</f>
        <v>14430.000000000009</v>
      </c>
      <c r="D34" s="75">
        <f t="shared" ref="D34:L34" si="1">SUM(D3:D33)</f>
        <v>72500.000000000233</v>
      </c>
      <c r="E34" s="75">
        <f t="shared" si="1"/>
        <v>7749.9999999999991</v>
      </c>
      <c r="F34" s="75">
        <f t="shared" si="1"/>
        <v>24570.000000000018</v>
      </c>
      <c r="G34" s="75">
        <f t="shared" si="1"/>
        <v>11590.000000000002</v>
      </c>
      <c r="H34" s="75">
        <f t="shared" si="1"/>
        <v>51820.000000000058</v>
      </c>
      <c r="I34" s="75">
        <f t="shared" si="1"/>
        <v>141439.99999999988</v>
      </c>
      <c r="J34" s="75">
        <f t="shared" si="1"/>
        <v>170308.37999999989</v>
      </c>
      <c r="K34" s="75">
        <f t="shared" si="1"/>
        <v>7060.0000000000036</v>
      </c>
      <c r="L34" s="75">
        <f t="shared" si="1"/>
        <v>195891.61999999941</v>
      </c>
      <c r="M34" s="84">
        <f>C34+D34+E34+F34+G34+H34+I34+J34+K34+L34</f>
        <v>697359.99999999953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2164.5000000000014</v>
      </c>
      <c r="D36" s="75">
        <f>D34*B36</f>
        <v>10875.000000000035</v>
      </c>
      <c r="E36" s="75">
        <f>E34*B36</f>
        <v>1162.4999999999998</v>
      </c>
      <c r="F36" s="75">
        <f>F34*B36</f>
        <v>3685.5000000000027</v>
      </c>
      <c r="G36" s="75">
        <f>G34*B36</f>
        <v>1738.5000000000002</v>
      </c>
      <c r="H36" s="75">
        <f>H34*B36</f>
        <v>7773.0000000000082</v>
      </c>
      <c r="I36" s="75">
        <f>I34*B36</f>
        <v>21215.999999999982</v>
      </c>
      <c r="J36" s="75">
        <f>J34*B36</f>
        <v>25546.256999999983</v>
      </c>
      <c r="K36" s="75">
        <f>K34*B36</f>
        <v>1059.0000000000005</v>
      </c>
      <c r="L36" s="75">
        <f>L34*B36</f>
        <v>29383.742999999911</v>
      </c>
      <c r="M36" s="84">
        <f>C36+D36+E36+F36+G36+H36+I36+J36+K36+L36</f>
        <v>104603.99999999993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6">
        <f>('Kwh Consumption'!I4+'Kwh Consumption'!J4)*' Kwh area wise $ '!B3</f>
        <v>51.000000000000512</v>
      </c>
      <c r="I3" s="1">
        <f>('Kwh Consumption'!K4+'Kwh Consumption'!L4)*' Kwh area wise $ '!B3</f>
        <v>262.50000000000932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1437.9255000000001</v>
      </c>
    </row>
    <row r="4" spans="1:13" x14ac:dyDescent="0.25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6">
        <f>('Kwh Consumption'!I5+'Kwh Consumption'!J5)*' Kwh area wise $ '!B4</f>
        <v>43.499999999998806</v>
      </c>
      <c r="I4" s="1">
        <f>('Kwh Consumption'!K5+'Kwh Consumption'!L5)*' Kwh area wise $ '!B4</f>
        <v>258.00000000000915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883.23149999982036</v>
      </c>
    </row>
    <row r="5" spans="1:13" x14ac:dyDescent="0.25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6">
        <f>('Kwh Consumption'!I6+'Kwh Consumption'!J6)*' Kwh area wise $ '!B5</f>
        <v>45.000000000001705</v>
      </c>
      <c r="I5" s="1">
        <f>('Kwh Consumption'!K6+'Kwh Consumption'!L6)*' Kwh area wise $ '!B5</f>
        <v>273.0000000000075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1127.3745000002671</v>
      </c>
    </row>
    <row r="6" spans="1:13" x14ac:dyDescent="0.25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6">
        <f>('Kwh Consumption'!I7+'Kwh Consumption'!J7)*' Kwh area wise $ '!B6</f>
        <v>43.499999999998806</v>
      </c>
      <c r="I6" s="1">
        <f>('Kwh Consumption'!K7+'Kwh Consumption'!L7)*' Kwh area wise $ '!B6</f>
        <v>274.49999999997709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1080.762000000015</v>
      </c>
    </row>
    <row r="7" spans="1:13" x14ac:dyDescent="0.25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6">
        <f>('Kwh Consumption'!I8+'Kwh Consumption'!J8)*' Kwh area wise $ '!B7</f>
        <v>48.000000000001108</v>
      </c>
      <c r="I7" s="1">
        <f>('Kwh Consumption'!K8+'Kwh Consumption'!L8)*' Kwh area wise $ '!B7</f>
        <v>259.50000000001205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974.34150000001455</v>
      </c>
    </row>
    <row r="8" spans="1:13" x14ac:dyDescent="0.25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6">
        <f>('Kwh Consumption'!I9+'Kwh Consumption'!J9)*' Kwh area wise $ '!B8</f>
        <v>48.000000000001108</v>
      </c>
      <c r="I8" s="1">
        <f>('Kwh Consumption'!K9+'Kwh Consumption'!L9)*' Kwh area wise $ '!B8</f>
        <v>229.50000000001108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945.22949999989123</v>
      </c>
    </row>
    <row r="9" spans="1:13" x14ac:dyDescent="0.25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259.49999999997874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835.65000000017301</v>
      </c>
    </row>
    <row r="10" spans="1:13" x14ac:dyDescent="0.25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6">
        <f>('Kwh Consumption'!I11+'Kwh Consumption'!J11)*' Kwh area wise $ '!B10</f>
        <v>51.000000000002643</v>
      </c>
      <c r="I10" s="1">
        <f>('Kwh Consumption'!K11+'Kwh Consumption'!L11)*' Kwh area wise $ '!B10</f>
        <v>246.00000000001234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989.43749999965428</v>
      </c>
    </row>
    <row r="11" spans="1:13" x14ac:dyDescent="0.25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6">
        <f>('Kwh Consumption'!I12+'Kwh Consumption'!J12)*' Kwh area wise $ '!B11</f>
        <v>56.999999999997186</v>
      </c>
      <c r="I11" s="1">
        <f>('Kwh Consumption'!K12+'Kwh Consumption'!L12)*' Kwh area wise $ '!B11</f>
        <v>246.00000000000807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1054.8944999999931</v>
      </c>
    </row>
    <row r="12" spans="1:13" x14ac:dyDescent="0.25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6">
        <f>('Kwh Consumption'!I13+'Kwh Consumption'!J13)*' Kwh area wise $ '!B12</f>
        <v>64.500000000001023</v>
      </c>
      <c r="I12" s="1">
        <f>('Kwh Consumption'!K13+'Kwh Consumption'!L13)*' Kwh area wise $ '!B12</f>
        <v>250.4999999999792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1130.2260000001729</v>
      </c>
    </row>
    <row r="13" spans="1:13" x14ac:dyDescent="0.25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6">
        <f>('Kwh Consumption'!I14+'Kwh Consumption'!J14)*' Kwh area wise $ '!B13</f>
        <v>61.499999999999488</v>
      </c>
      <c r="I13" s="1">
        <f>('Kwh Consumption'!K14+'Kwh Consumption'!L14)*' Kwh area wise $ '!B13</f>
        <v>271.50000000000966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1089.0135000000098</v>
      </c>
    </row>
    <row r="14" spans="1:13" x14ac:dyDescent="0.25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6">
        <f>('Kwh Consumption'!I15+'Kwh Consumption'!J15)*' Kwh area wise $ '!B14</f>
        <v>57.00000000000145</v>
      </c>
      <c r="I14" s="1">
        <f>('Kwh Consumption'!K15+'Kwh Consumption'!L15)*' Kwh area wise $ '!B14</f>
        <v>247.50000000001523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1014.1890000002087</v>
      </c>
    </row>
    <row r="15" spans="1:13" x14ac:dyDescent="0.25">
      <c r="A15" s="14">
        <f>'Kwh Reading'!A16</f>
        <v>44421</v>
      </c>
      <c r="B15" s="11">
        <f>TOTAL!F14</f>
        <v>0.15</v>
      </c>
      <c r="C15" s="11">
        <f>'Kwh Consumption'!B16*' Kwh area wise $ '!B15</f>
        <v>3535.4999999997522</v>
      </c>
      <c r="D15" s="1">
        <f>'Kwh Consumption'!C16*' Kwh area wise $ '!B15</f>
        <v>43.499999999994543</v>
      </c>
      <c r="E15" s="1">
        <f>'Kwh Consumption'!D16*' Kwh area wise $ '!B15</f>
        <v>420.00000000002029</v>
      </c>
      <c r="F15" s="1">
        <f>'Kwh Consumption'!E16*' Kwh area wise $ '!B15</f>
        <v>38.999999999998636</v>
      </c>
      <c r="G15" s="1">
        <f>('Kwh Consumption'!F16+'Kwh Consumption'!G16+'Kwh Consumption'!H16)*' Kwh area wise $ '!B15</f>
        <v>112.49999999999574</v>
      </c>
      <c r="H15" s="16">
        <f>('Kwh Consumption'!I16+'Kwh Consumption'!J16)*' Kwh area wise $ '!B15</f>
        <v>59.999999999998721</v>
      </c>
      <c r="I15" s="1">
        <f>('Kwh Consumption'!K16+'Kwh Consumption'!L16)*' Kwh area wise $ '!B15</f>
        <v>251.99999999997783</v>
      </c>
      <c r="J15" s="1">
        <f>('Kwh Consumption'!M16+'Kwh Consumption'!N16+'Kwh Consumption'!O16+'Kwh Consumption'!P16+'Kwh Consumption'!Q16+'Kwh Consumption'!R16)*' Kwh area wise $ '!B15</f>
        <v>726.0000000000133</v>
      </c>
      <c r="K15" s="1">
        <f>('Kwh Consumption'!S16+'Kwh Consumption'!T16)*' Kwh area wise $ '!B15</f>
        <v>884.14950000001113</v>
      </c>
      <c r="L15" s="1">
        <f>'Kwh Consumption'!U16*' Kwh area wise $ '!B15</f>
        <v>31.49999999999693</v>
      </c>
      <c r="M15" s="1">
        <f>'Kwh Consumption'!V16*' Kwh area wise $ '!B15</f>
        <v>966.85049999974535</v>
      </c>
    </row>
    <row r="16" spans="1:13" x14ac:dyDescent="0.25">
      <c r="A16" s="14">
        <f>'Kwh Reading'!A17</f>
        <v>44422</v>
      </c>
      <c r="B16" s="11">
        <f>TOTAL!F15</f>
        <v>0.15</v>
      </c>
      <c r="C16" s="11">
        <f>'Kwh Consumption'!B17*' Kwh area wise $ '!B16</f>
        <v>3652.5000000001569</v>
      </c>
      <c r="D16" s="1">
        <f>'Kwh Consumption'!C17*' Kwh area wise $ '!B16</f>
        <v>78.000000000005798</v>
      </c>
      <c r="E16" s="1">
        <f>'Kwh Consumption'!D17*' Kwh area wise $ '!B16</f>
        <v>285.00000000000188</v>
      </c>
      <c r="F16" s="1">
        <f>'Kwh Consumption'!E17*' Kwh area wise $ '!B16</f>
        <v>43.499999999998806</v>
      </c>
      <c r="G16" s="1">
        <f>('Kwh Consumption'!F17+'Kwh Consumption'!G17+'Kwh Consumption'!H17)*' Kwh area wise $ '!B16</f>
        <v>115.50000000000153</v>
      </c>
      <c r="H16" s="16">
        <f>('Kwh Consumption'!I17+'Kwh Consumption'!J17)*' Kwh area wise $ '!B16</f>
        <v>56.999999999999318</v>
      </c>
      <c r="I16" s="1">
        <f>('Kwh Consumption'!K17+'Kwh Consumption'!L17)*' Kwh area wise $ '!B16</f>
        <v>249.00000000000961</v>
      </c>
      <c r="J16" s="1">
        <f>('Kwh Consumption'!M17+'Kwh Consumption'!N17+'Kwh Consumption'!O17+'Kwh Consumption'!P17+'Kwh Consumption'!Q17+'Kwh Consumption'!R17)*' Kwh area wise $ '!B16</f>
        <v>750.00000000000853</v>
      </c>
      <c r="K16" s="1">
        <f>('Kwh Consumption'!S17+'Kwh Consumption'!T17)*' Kwh area wise $ '!B16</f>
        <v>973.41299999998876</v>
      </c>
      <c r="L16" s="1">
        <f>'Kwh Consumption'!U17*' Kwh area wise $ '!B16</f>
        <v>31.500000000001194</v>
      </c>
      <c r="M16" s="1">
        <f>'Kwh Consumption'!V17*' Kwh area wise $ '!B16</f>
        <v>1069.5870000001416</v>
      </c>
    </row>
    <row r="17" spans="1:13" x14ac:dyDescent="0.25">
      <c r="A17" s="14">
        <f>'Kwh Reading'!A18</f>
        <v>44423</v>
      </c>
      <c r="B17" s="11">
        <f>TOTAL!F16</f>
        <v>0.15</v>
      </c>
      <c r="C17" s="11">
        <f>'Kwh Consumption'!B18*' Kwh area wise $ '!B17</f>
        <v>3571.4999999999236</v>
      </c>
      <c r="D17" s="1">
        <f>'Kwh Consumption'!C18*' Kwh area wise $ '!B17</f>
        <v>75</v>
      </c>
      <c r="E17" s="1">
        <f>'Kwh Consumption'!D18*' Kwh area wise $ '!B17</f>
        <v>344.99999999999528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102.00000000000102</v>
      </c>
      <c r="H17" s="16">
        <f>('Kwh Consumption'!I18+'Kwh Consumption'!J18)*' Kwh area wise $ '!B17</f>
        <v>60.000000000000853</v>
      </c>
      <c r="I17" s="1">
        <f>('Kwh Consumption'!K18+'Kwh Consumption'!L18)*' Kwh area wise $ '!B17</f>
        <v>250.50000000001251</v>
      </c>
      <c r="J17" s="1">
        <f>('Kwh Consumption'!M18+'Kwh Consumption'!N18+'Kwh Consumption'!O18+'Kwh Consumption'!P18+'Kwh Consumption'!Q18+'Kwh Consumption'!R18)*' Kwh area wise $ '!B17</f>
        <v>748.49999999999284</v>
      </c>
      <c r="K17" s="1">
        <f>('Kwh Consumption'!S18+'Kwh Consumption'!T18)*' Kwh area wise $ '!B17</f>
        <v>949.42800000007264</v>
      </c>
      <c r="L17" s="1">
        <f>'Kwh Consumption'!U18*' Kwh area wise $ '!B17</f>
        <v>32.999999999999829</v>
      </c>
      <c r="M17" s="1">
        <f>'Kwh Consumption'!V18*' Kwh area wise $ '!B17</f>
        <v>967.57199999984653</v>
      </c>
    </row>
    <row r="18" spans="1:13" x14ac:dyDescent="0.25">
      <c r="A18" s="14">
        <f>'Kwh Reading'!A19</f>
        <v>44424</v>
      </c>
      <c r="B18" s="11">
        <f>TOTAL!F17</f>
        <v>0.15</v>
      </c>
      <c r="C18" s="11">
        <f>'Kwh Consumption'!B19*' Kwh area wise $ '!B18</f>
        <v>3575.9999999999536</v>
      </c>
      <c r="D18" s="1">
        <f>'Kwh Consumption'!C19*' Kwh area wise $ '!B18</f>
        <v>75</v>
      </c>
      <c r="E18" s="1">
        <f>'Kwh Consumption'!D19*' Kwh area wise $ '!B18</f>
        <v>314.99999999999864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170.99999999999795</v>
      </c>
      <c r="H18" s="16">
        <f>('Kwh Consumption'!I19+'Kwh Consumption'!J19)*' Kwh area wise $ '!B18</f>
        <v>59.999999999998721</v>
      </c>
      <c r="I18" s="1">
        <f>('Kwh Consumption'!K19+'Kwh Consumption'!L19)*' Kwh area wise $ '!B18</f>
        <v>251.99999999997783</v>
      </c>
      <c r="J18" s="1">
        <f>('Kwh Consumption'!M19+'Kwh Consumption'!N19+'Kwh Consumption'!O19+'Kwh Consumption'!P19+'Kwh Consumption'!Q19+'Kwh Consumption'!R19)*' Kwh area wise $ '!B18</f>
        <v>745.50000000000409</v>
      </c>
      <c r="K18" s="1">
        <f>('Kwh Consumption'!S19+'Kwh Consumption'!T19)*' Kwh area wise $ '!B18</f>
        <v>935.87549999998873</v>
      </c>
      <c r="L18" s="1">
        <f>'Kwh Consumption'!U19*' Kwh area wise $ '!B18</f>
        <v>37.5</v>
      </c>
      <c r="M18" s="1">
        <f>'Kwh Consumption'!V19*' Kwh area wise $ '!B18</f>
        <v>945.12449999998876</v>
      </c>
    </row>
    <row r="19" spans="1:13" x14ac:dyDescent="0.25">
      <c r="A19" s="14">
        <f>'Kwh Reading'!A20</f>
        <v>44425</v>
      </c>
      <c r="B19" s="11">
        <f>TOTAL!F18</f>
        <v>0.15</v>
      </c>
      <c r="C19" s="11">
        <f>'Kwh Consumption'!B20*' Kwh area wise $ '!B19</f>
        <v>3481.4999999999368</v>
      </c>
      <c r="D19" s="1">
        <f>'Kwh Consumption'!C20*' Kwh area wise $ '!B19</f>
        <v>73.499999999992838</v>
      </c>
      <c r="E19" s="1">
        <f>'Kwh Consumption'!D20*' Kwh area wise $ '!B19</f>
        <v>344.99999999999528</v>
      </c>
      <c r="F19" s="1">
        <f>'Kwh Consumption'!E20*' Kwh area wise $ '!B19</f>
        <v>37.5</v>
      </c>
      <c r="G19" s="1">
        <f>('Kwh Consumption'!F20+'Kwh Consumption'!G20+'Kwh Consumption'!H20)*' Kwh area wise $ '!B19</f>
        <v>128.99999999999778</v>
      </c>
      <c r="H19" s="16">
        <f>('Kwh Consumption'!I20+'Kwh Consumption'!J20)*' Kwh area wise $ '!B19</f>
        <v>61.499999999999488</v>
      </c>
      <c r="I19" s="1">
        <f>('Kwh Consumption'!K20+'Kwh Consumption'!L20)*' Kwh area wise $ '!B19</f>
        <v>259.50000000001205</v>
      </c>
      <c r="J19" s="1">
        <f>('Kwh Consumption'!M20+'Kwh Consumption'!N20+'Kwh Consumption'!O20+'Kwh Consumption'!P20+'Kwh Consumption'!Q20+'Kwh Consumption'!R20)*' Kwh area wise $ '!B19</f>
        <v>720.00000000001023</v>
      </c>
      <c r="K19" s="1">
        <f>('Kwh Consumption'!S20+'Kwh Consumption'!T20)*' Kwh area wise $ '!B19</f>
        <v>902.89950000001113</v>
      </c>
      <c r="L19" s="1">
        <f>'Kwh Consumption'!U20*' Kwh area wise $ '!B19</f>
        <v>37.5</v>
      </c>
      <c r="M19" s="1">
        <f>'Kwh Consumption'!V20*' Kwh area wise $ '!B19</f>
        <v>915.10049999991782</v>
      </c>
    </row>
    <row r="20" spans="1:13" x14ac:dyDescent="0.25">
      <c r="A20" s="14">
        <f>'Kwh Reading'!A21</f>
        <v>44426</v>
      </c>
      <c r="B20" s="11">
        <f>TOTAL!F19</f>
        <v>0.15</v>
      </c>
      <c r="C20" s="11">
        <f>'Kwh Consumption'!B21*' Kwh area wise $ '!B20</f>
        <v>3585.0000000001842</v>
      </c>
      <c r="D20" s="1">
        <f>'Kwh Consumption'!C21*' Kwh area wise $ '!B20</f>
        <v>78.000000000005798</v>
      </c>
      <c r="E20" s="1">
        <f>'Kwh Consumption'!D21*' Kwh area wise $ '!B20</f>
        <v>344.99999999999528</v>
      </c>
      <c r="F20" s="1">
        <f>'Kwh Consumption'!E21*' Kwh area wise $ '!B20</f>
        <v>40.500000000001535</v>
      </c>
      <c r="G20" s="1">
        <f>('Kwh Consumption'!F21+'Kwh Consumption'!G21+'Kwh Consumption'!H21)*' Kwh area wise $ '!B20</f>
        <v>139.49999999999676</v>
      </c>
      <c r="H20" s="16">
        <f>('Kwh Consumption'!I21+'Kwh Consumption'!J21)*' Kwh area wise $ '!B20</f>
        <v>58.500000000002217</v>
      </c>
      <c r="I20" s="1">
        <f>('Kwh Consumption'!K21+'Kwh Consumption'!L21)*' Kwh area wise $ '!B20</f>
        <v>267.00000000000949</v>
      </c>
      <c r="J20" s="1">
        <f>('Kwh Consumption'!M21+'Kwh Consumption'!N21+'Kwh Consumption'!O21+'Kwh Consumption'!P21+'Kwh Consumption'!Q21+'Kwh Consumption'!R21)*' Kwh area wise $ '!B20</f>
        <v>706.49999999999693</v>
      </c>
      <c r="K20" s="1">
        <f>('Kwh Consumption'!S21+'Kwh Consumption'!T21)*' Kwh area wise $ '!B20</f>
        <v>908.55899999993846</v>
      </c>
      <c r="L20" s="1">
        <f>'Kwh Consumption'!U21*' Kwh area wise $ '!B20</f>
        <v>32.999999999999829</v>
      </c>
      <c r="M20" s="1">
        <f>'Kwh Consumption'!V21*' Kwh area wise $ '!B20</f>
        <v>1008.4410000002376</v>
      </c>
    </row>
    <row r="21" spans="1:13" x14ac:dyDescent="0.25">
      <c r="A21" s="14">
        <f>'Kwh Reading'!A22</f>
        <v>44427</v>
      </c>
      <c r="B21" s="11">
        <f>TOTAL!F20</f>
        <v>0.15</v>
      </c>
      <c r="C21" s="11">
        <f>'Kwh Consumption'!B22*' Kwh area wise $ '!B21</f>
        <v>3454.5000000000982</v>
      </c>
      <c r="D21" s="1">
        <f>'Kwh Consumption'!C22*' Kwh area wise $ '!B21</f>
        <v>75</v>
      </c>
      <c r="E21" s="1">
        <f>'Kwh Consumption'!D22*' Kwh area wise $ '!B21</f>
        <v>344.99999999999528</v>
      </c>
      <c r="F21" s="1">
        <f>'Kwh Consumption'!E22*' Kwh area wise $ '!B21</f>
        <v>37.5</v>
      </c>
      <c r="G21" s="1">
        <f>('Kwh Consumption'!F22+'Kwh Consumption'!G22+'Kwh Consumption'!H22)*' Kwh area wise $ '!B21</f>
        <v>142.50000000000682</v>
      </c>
      <c r="H21" s="16">
        <f>('Kwh Consumption'!I22+'Kwh Consumption'!J22)*' Kwh area wise $ '!B21</f>
        <v>57.00000000000145</v>
      </c>
      <c r="I21" s="1">
        <f>('Kwh Consumption'!K22+'Kwh Consumption'!L22)*' Kwh area wise $ '!B21</f>
        <v>259.49999999997874</v>
      </c>
      <c r="J21" s="1">
        <f>('Kwh Consumption'!M22+'Kwh Consumption'!N22+'Kwh Consumption'!O22+'Kwh Consumption'!P22+'Kwh Consumption'!Q22+'Kwh Consumption'!R22)*' Kwh area wise $ '!B21</f>
        <v>737.99999999999386</v>
      </c>
      <c r="K21" s="1">
        <f>('Kwh Consumption'!S22+'Kwh Consumption'!T22)*' Kwh area wise $ '!B21</f>
        <v>867.23550000004468</v>
      </c>
      <c r="L21" s="1">
        <f>'Kwh Consumption'!U22*' Kwh area wise $ '!B21</f>
        <v>36.000000000001364</v>
      </c>
      <c r="M21" s="1">
        <f>'Kwh Consumption'!V22*' Kwh area wise $ '!B21</f>
        <v>896.7645000000764</v>
      </c>
    </row>
    <row r="22" spans="1:13" x14ac:dyDescent="0.25">
      <c r="A22" s="14">
        <f>'Kwh Reading'!A23</f>
        <v>44428</v>
      </c>
      <c r="B22" s="11">
        <f>TOTAL!F21</f>
        <v>0.15</v>
      </c>
      <c r="C22" s="11">
        <f>'Kwh Consumption'!B23*' Kwh area wise $ '!B22</f>
        <v>3425.9999999999536</v>
      </c>
      <c r="D22" s="1">
        <f>'Kwh Consumption'!C23*' Kwh area wise $ '!B22</f>
        <v>77.999999999997272</v>
      </c>
      <c r="E22" s="1">
        <f>'Kwh Consumption'!D23*' Kwh area wise $ '!B22</f>
        <v>344.99999999999528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115.49999999999301</v>
      </c>
      <c r="H22" s="16">
        <f>('Kwh Consumption'!I23+'Kwh Consumption'!J23)*' Kwh area wise $ '!B22</f>
        <v>62.999999999998124</v>
      </c>
      <c r="I22" s="1">
        <f>('Kwh Consumption'!K23+'Kwh Consumption'!L23)*' Kwh area wise $ '!B22</f>
        <v>271.5000000000046</v>
      </c>
      <c r="J22" s="1">
        <f>('Kwh Consumption'!M23+'Kwh Consumption'!N23+'Kwh Consumption'!O23+'Kwh Consumption'!P23+'Kwh Consumption'!Q23+'Kwh Consumption'!R23)*' Kwh area wise $ '!B22</f>
        <v>730.50000000000068</v>
      </c>
      <c r="K22" s="1">
        <f>('Kwh Consumption'!S23+'Kwh Consumption'!T23)*' Kwh area wise $ '!B22</f>
        <v>865.61999999997204</v>
      </c>
      <c r="L22" s="1">
        <f>'Kwh Consumption'!U23*' Kwh area wise $ '!B22</f>
        <v>31.500000000001194</v>
      </c>
      <c r="M22" s="1">
        <f>'Kwh Consumption'!V23*' Kwh area wise $ '!B22</f>
        <v>886.37999999999295</v>
      </c>
    </row>
    <row r="23" spans="1:13" x14ac:dyDescent="0.25">
      <c r="A23" s="14">
        <f>'Kwh Reading'!A24</f>
        <v>44429</v>
      </c>
      <c r="B23" s="11">
        <f>TOTAL!F22</f>
        <v>0.15</v>
      </c>
      <c r="C23" s="11">
        <f>'Kwh Consumption'!B24*' Kwh area wise $ '!B23</f>
        <v>3406.4999999999714</v>
      </c>
      <c r="D23" s="1">
        <f>'Kwh Consumption'!C24*' Kwh area wise $ '!B23</f>
        <v>42.000000000004434</v>
      </c>
      <c r="E23" s="1">
        <f>'Kwh Consumption'!D24*' Kwh area wise $ '!B23</f>
        <v>344.99999999999528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120.00000000000597</v>
      </c>
      <c r="H23" s="16">
        <f>('Kwh Consumption'!I24+'Kwh Consumption'!J24)*' Kwh area wise $ '!B23</f>
        <v>55.49999999999855</v>
      </c>
      <c r="I23" s="1">
        <f>('Kwh Consumption'!K24+'Kwh Consumption'!L24)*' Kwh area wise $ '!B23</f>
        <v>274.5000000000104</v>
      </c>
      <c r="J23" s="1">
        <f>('Kwh Consumption'!M24+'Kwh Consumption'!N24+'Kwh Consumption'!O24+'Kwh Consumption'!P24+'Kwh Consumption'!Q24+'Kwh Consumption'!R24)*' Kwh area wise $ '!B23</f>
        <v>724.49999999998909</v>
      </c>
      <c r="K23" s="1">
        <f>('Kwh Consumption'!S24+'Kwh Consumption'!T24)*' Kwh area wise $ '!B23</f>
        <v>954.9254999999888</v>
      </c>
      <c r="L23" s="1">
        <f>'Kwh Consumption'!U24*' Kwh area wise $ '!B23</f>
        <v>31.49999999999693</v>
      </c>
      <c r="M23" s="1">
        <f>'Kwh Consumption'!V24*' Kwh area wise $ '!B23</f>
        <v>819.57449999997948</v>
      </c>
    </row>
    <row r="24" spans="1:13" x14ac:dyDescent="0.25">
      <c r="A24" s="14">
        <f>'Kwh Reading'!A25</f>
        <v>44430</v>
      </c>
      <c r="B24" s="11">
        <f>TOTAL!F23</f>
        <v>0.15</v>
      </c>
      <c r="C24" s="11">
        <f>'Kwh Consumption'!B25*' Kwh area wise $ '!B24</f>
        <v>3301.49999999993</v>
      </c>
      <c r="D24" s="1">
        <f>'Kwh Consumption'!C25*' Kwh area wise $ '!B24</f>
        <v>82.499999999993179</v>
      </c>
      <c r="E24" s="1">
        <f>'Kwh Consumption'!D25*' Kwh area wise $ '!B24</f>
        <v>344.99999999999528</v>
      </c>
      <c r="F24" s="1">
        <f>'Kwh Consumption'!E25*' Kwh area wise $ '!B24</f>
        <v>34.499999999998465</v>
      </c>
      <c r="G24" s="1">
        <f>('Kwh Consumption'!F25+'Kwh Consumption'!G25+'Kwh Consumption'!H25)*' Kwh area wise $ '!B24</f>
        <v>118.49999999999881</v>
      </c>
      <c r="H24" s="16">
        <f>('Kwh Consumption'!I25+'Kwh Consumption'!J25)*' Kwh area wise $ '!B24</f>
        <v>60.000000000000853</v>
      </c>
      <c r="I24" s="1">
        <f>('Kwh Consumption'!K25+'Kwh Consumption'!L25)*' Kwh area wise $ '!B24</f>
        <v>236.99999999997868</v>
      </c>
      <c r="J24" s="1">
        <f>('Kwh Consumption'!M25+'Kwh Consumption'!N25+'Kwh Consumption'!O25+'Kwh Consumption'!P25+'Kwh Consumption'!Q25+'Kwh Consumption'!R25)*' Kwh area wise $ '!B24</f>
        <v>698.99999999999523</v>
      </c>
      <c r="K24" s="1">
        <f>('Kwh Consumption'!S25+'Kwh Consumption'!T25)*' Kwh area wise $ '!B24</f>
        <v>680.5635000001173</v>
      </c>
      <c r="L24" s="1">
        <f>'Kwh Consumption'!U25*' Kwh area wise $ '!B24</f>
        <v>32.999999999999829</v>
      </c>
      <c r="M24" s="1">
        <f>'Kwh Consumption'!V25*' Kwh area wise $ '!B24</f>
        <v>1011.4364999998529</v>
      </c>
    </row>
    <row r="25" spans="1:13" x14ac:dyDescent="0.25">
      <c r="A25" s="14">
        <f>'Kwh Reading'!A26</f>
        <v>44431</v>
      </c>
      <c r="B25" s="11">
        <f>TOTAL!F24</f>
        <v>0.15</v>
      </c>
      <c r="C25" s="11">
        <f>'Kwh Consumption'!B26*' Kwh area wise $ '!B25</f>
        <v>3334.4999999998668</v>
      </c>
      <c r="D25" s="1">
        <f>'Kwh Consumption'!C26*' Kwh area wise $ '!B25</f>
        <v>75</v>
      </c>
      <c r="E25" s="1">
        <f>'Kwh Consumption'!D26*' Kwh area wise $ '!B25</f>
        <v>345.0000000000619</v>
      </c>
      <c r="F25" s="1">
        <f>'Kwh Consumption'!E26*' Kwh area wise $ '!B25</f>
        <v>36.000000000001364</v>
      </c>
      <c r="G25" s="1">
        <f>('Kwh Consumption'!F26+'Kwh Consumption'!G26+'Kwh Consumption'!H26)*' Kwh area wise $ '!B25</f>
        <v>107.99999999999557</v>
      </c>
      <c r="H25" s="16">
        <f>('Kwh Consumption'!I26+'Kwh Consumption'!J26)*' Kwh area wise $ '!B25</f>
        <v>58.500000000002217</v>
      </c>
      <c r="I25" s="1">
        <f>('Kwh Consumption'!K26+'Kwh Consumption'!L26)*' Kwh area wise $ '!B25</f>
        <v>253.50000000000895</v>
      </c>
      <c r="J25" s="1">
        <f>('Kwh Consumption'!M26+'Kwh Consumption'!N26+'Kwh Consumption'!O26+'Kwh Consumption'!P26+'Kwh Consumption'!Q26+'Kwh Consumption'!R26)*' Kwh area wise $ '!B25</f>
        <v>709.50000000001978</v>
      </c>
      <c r="K25" s="1">
        <f>('Kwh Consumption'!S26+'Kwh Consumption'!T26)*' Kwh area wise $ '!B25</f>
        <v>759.98700000001111</v>
      </c>
      <c r="L25" s="1">
        <f>'Kwh Consumption'!U26*' Kwh area wise $ '!B25</f>
        <v>32.999999999999829</v>
      </c>
      <c r="M25" s="1">
        <f>'Kwh Consumption'!V26*' Kwh area wise $ '!B25</f>
        <v>956.01299999976618</v>
      </c>
    </row>
    <row r="26" spans="1:13" x14ac:dyDescent="0.25">
      <c r="A26" s="14">
        <f>'Kwh Reading'!A27</f>
        <v>44432</v>
      </c>
      <c r="B26" s="11">
        <f>TOTAL!F25</f>
        <v>0.15</v>
      </c>
      <c r="C26" s="11">
        <f>'Kwh Consumption'!B27*' Kwh area wise $ '!B26</f>
        <v>3007.5000000002319</v>
      </c>
      <c r="D26" s="1">
        <f>'Kwh Consumption'!C27*' Kwh area wise $ '!B26</f>
        <v>73.500000000001364</v>
      </c>
      <c r="E26" s="1">
        <f>'Kwh Consumption'!D27*' Kwh area wise $ '!B26</f>
        <v>314.99999999999864</v>
      </c>
      <c r="F26" s="1">
        <f>'Kwh Consumption'!E27*' Kwh area wise $ '!B26</f>
        <v>38.999999999998636</v>
      </c>
      <c r="G26" s="1">
        <f>('Kwh Consumption'!F27+'Kwh Consumption'!G27+'Kwh Consumption'!H27)*' Kwh area wise $ '!B26</f>
        <v>123.00000000000324</v>
      </c>
      <c r="H26" s="16">
        <f>('Kwh Consumption'!I27+'Kwh Consumption'!J27)*' Kwh area wise $ '!B26</f>
        <v>61.499999999997357</v>
      </c>
      <c r="I26" s="1">
        <f>('Kwh Consumption'!K27+'Kwh Consumption'!L27)*' Kwh area wise $ '!B26</f>
        <v>231.00000000001319</v>
      </c>
      <c r="J26" s="1">
        <f>('Kwh Consumption'!M27+'Kwh Consumption'!N27+'Kwh Consumption'!O27+'Kwh Consumption'!P27+'Kwh Consumption'!Q27+'Kwh Consumption'!R27)*' Kwh area wise $ '!B26</f>
        <v>591.00000000000819</v>
      </c>
      <c r="K26" s="1">
        <f>('Kwh Consumption'!S27+'Kwh Consumption'!T27)*' Kwh area wise $ '!B26</f>
        <v>646.20749999997201</v>
      </c>
      <c r="L26" s="1">
        <f>'Kwh Consumption'!U27*' Kwh area wise $ '!B26</f>
        <v>34.500000000002728</v>
      </c>
      <c r="M26" s="1">
        <f>'Kwh Consumption'!V27*' Kwh area wise $ '!B26</f>
        <v>892.79250000023637</v>
      </c>
    </row>
    <row r="27" spans="1:13" x14ac:dyDescent="0.25">
      <c r="A27" s="14">
        <f>'Kwh Reading'!A28</f>
        <v>44433</v>
      </c>
      <c r="B27" s="11">
        <f>TOTAL!F26</f>
        <v>0.15</v>
      </c>
      <c r="C27" s="11">
        <f>'Kwh Consumption'!B28*' Kwh area wise $ '!B27</f>
        <v>3015.0000000000896</v>
      </c>
      <c r="D27" s="1">
        <f>'Kwh Consumption'!C28*' Kwh area wise $ '!B27</f>
        <v>72.000000000002728</v>
      </c>
      <c r="E27" s="1">
        <f>'Kwh Consumption'!D28*' Kwh area wise $ '!B27</f>
        <v>314.99999999999864</v>
      </c>
      <c r="F27" s="1">
        <f>'Kwh Consumption'!E28*' Kwh area wise $ '!B27</f>
        <v>38.999999999998636</v>
      </c>
      <c r="G27" s="1">
        <f>('Kwh Consumption'!F28+'Kwh Consumption'!G28+'Kwh Consumption'!H28)*' Kwh area wise $ '!B27</f>
        <v>123.00000000000324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199.49999999998028</v>
      </c>
      <c r="J27" s="1">
        <f>('Kwh Consumption'!M28+'Kwh Consumption'!N28+'Kwh Consumption'!O28+'Kwh Consumption'!P28+'Kwh Consumption'!Q28+'Kwh Consumption'!R28)*' Kwh area wise $ '!B27</f>
        <v>569.99999999998465</v>
      </c>
      <c r="K27" s="1">
        <f>('Kwh Consumption'!S28+'Kwh Consumption'!T28)*' Kwh area wise $ '!B27</f>
        <v>689.32950000003905</v>
      </c>
      <c r="L27" s="1">
        <f>'Kwh Consumption'!U28*' Kwh area wise $ '!B27</f>
        <v>32.999999999999829</v>
      </c>
      <c r="M27" s="1">
        <f>'Kwh Consumption'!V28*' Kwh area wise $ '!B27</f>
        <v>918.67050000008169</v>
      </c>
    </row>
    <row r="28" spans="1:13" x14ac:dyDescent="0.25">
      <c r="A28" s="14">
        <f>'Kwh Reading'!A29</f>
        <v>44434</v>
      </c>
      <c r="B28" s="11">
        <f>TOTAL!F27</f>
        <v>0.15</v>
      </c>
      <c r="C28" s="11">
        <f>'Kwh Consumption'!B29*' Kwh area wise $ '!B28</f>
        <v>3088.5000000000218</v>
      </c>
      <c r="D28" s="1">
        <f>'Kwh Consumption'!C29*' Kwh area wise $ '!B28</f>
        <v>70.499999999995566</v>
      </c>
      <c r="E28" s="1">
        <f>'Kwh Consumption'!D29*' Kwh area wise $ '!B28</f>
        <v>359.99999999996038</v>
      </c>
      <c r="F28" s="1">
        <f>'Kwh Consumption'!E29*' Kwh area wise $ '!B28</f>
        <v>37.5</v>
      </c>
      <c r="G28" s="1">
        <f>('Kwh Consumption'!F29+'Kwh Consumption'!G29+'Kwh Consumption'!H29)*' Kwh area wise $ '!B28</f>
        <v>127.49999999999062</v>
      </c>
      <c r="H28" s="16">
        <f>('Kwh Consumption'!I29+'Kwh Consumption'!J29)*' Kwh area wise $ '!B28</f>
        <v>61.499999999999488</v>
      </c>
      <c r="I28" s="1">
        <f>('Kwh Consumption'!K29+'Kwh Consumption'!L29)*' Kwh area wise $ '!B28</f>
        <v>235.50000000001336</v>
      </c>
      <c r="J28" s="1">
        <f>('Kwh Consumption'!M29+'Kwh Consumption'!N29+'Kwh Consumption'!O29+'Kwh Consumption'!P29+'Kwh Consumption'!Q29+'Kwh Consumption'!R29)*' Kwh area wise $ '!B28</f>
        <v>667.49999999999829</v>
      </c>
      <c r="K28" s="1">
        <f>('Kwh Consumption'!S29+'Kwh Consumption'!T29)*' Kwh area wise $ '!B28</f>
        <v>746.03699999987145</v>
      </c>
      <c r="L28" s="1">
        <f>'Kwh Consumption'!U29*' Kwh area wise $ '!B28</f>
        <v>29.999999999998295</v>
      </c>
      <c r="M28" s="1">
        <f>'Kwh Consumption'!V29*' Kwh area wise $ '!B28</f>
        <v>752.46300000019426</v>
      </c>
    </row>
    <row r="29" spans="1:13" x14ac:dyDescent="0.25">
      <c r="A29" s="14">
        <f>'Kwh Reading'!A30</f>
        <v>44435</v>
      </c>
      <c r="B29" s="11">
        <f>TOTAL!F28</f>
        <v>0.15</v>
      </c>
      <c r="C29" s="11">
        <f>'Kwh Consumption'!B30*' Kwh area wise $ '!B29</f>
        <v>3041.9999999998604</v>
      </c>
      <c r="D29" s="1">
        <f>'Kwh Consumption'!C30*' Kwh area wise $ '!B29</f>
        <v>37.5</v>
      </c>
      <c r="E29" s="1">
        <f>'Kwh Consumption'!D30*' Kwh area wise $ '!B29</f>
        <v>374.99999999999199</v>
      </c>
      <c r="F29" s="1">
        <f>'Kwh Consumption'!E30*' Kwh area wise $ '!B29</f>
        <v>36.000000000001364</v>
      </c>
      <c r="G29" s="1">
        <f>('Kwh Consumption'!F30+'Kwh Consumption'!G30+'Kwh Consumption'!H30)*' Kwh area wise $ '!B29</f>
        <v>127.50000000000767</v>
      </c>
      <c r="H29" s="16">
        <f>('Kwh Consumption'!I30+'Kwh Consumption'!J30)*' Kwh area wise $ '!B29</f>
        <v>58.500000000000085</v>
      </c>
      <c r="I29" s="1">
        <f>('Kwh Consumption'!K30+'Kwh Consumption'!L30)*' Kwh area wise $ '!B29</f>
        <v>247.50000000001015</v>
      </c>
      <c r="J29" s="1">
        <f>('Kwh Consumption'!M30+'Kwh Consumption'!N30+'Kwh Consumption'!O30+'Kwh Consumption'!P30+'Kwh Consumption'!Q30+'Kwh Consumption'!R30)*' Kwh area wise $ '!B29</f>
        <v>622.50000000001364</v>
      </c>
      <c r="K29" s="1">
        <f>('Kwh Consumption'!S30+'Kwh Consumption'!T30)*' Kwh area wise $ '!B29</f>
        <v>691.54499999997199</v>
      </c>
      <c r="L29" s="1">
        <f>'Kwh Consumption'!U30*' Kwh area wise $ '!B29</f>
        <v>38.999999999998636</v>
      </c>
      <c r="M29" s="1">
        <f>'Kwh Consumption'!V30*' Kwh area wise $ '!B29</f>
        <v>806.95499999986453</v>
      </c>
    </row>
    <row r="30" spans="1:13" x14ac:dyDescent="0.25">
      <c r="A30" s="14">
        <f>'Kwh Reading'!A31</f>
        <v>44436</v>
      </c>
      <c r="B30" s="11">
        <f>TOTAL!F29</f>
        <v>0.15</v>
      </c>
      <c r="C30" s="11">
        <f>'Kwh Consumption'!B31*' Kwh area wise $ '!B30</f>
        <v>3184.4999999998668</v>
      </c>
      <c r="D30" s="1">
        <f>'Kwh Consumption'!C31*' Kwh area wise $ '!B30</f>
        <v>73.500000000001364</v>
      </c>
      <c r="E30" s="1">
        <f>'Kwh Consumption'!D31*' Kwh area wise $ '!B30</f>
        <v>330.0000000000303</v>
      </c>
      <c r="F30" s="1">
        <f>'Kwh Consumption'!E31*' Kwh area wise $ '!B30</f>
        <v>36.000000000001364</v>
      </c>
      <c r="G30" s="1">
        <f>('Kwh Consumption'!F31+'Kwh Consumption'!G31+'Kwh Consumption'!H31)*' Kwh area wise $ '!B30</f>
        <v>118.50000000000733</v>
      </c>
      <c r="H30" s="16">
        <f>('Kwh Consumption'!I31+'Kwh Consumption'!J31)*' Kwh area wise $ '!B30</f>
        <v>60.000000000000853</v>
      </c>
      <c r="I30" s="1">
        <f>('Kwh Consumption'!K31+'Kwh Consumption'!L31)*' Kwh area wise $ '!B30</f>
        <v>215.99999999998155</v>
      </c>
      <c r="J30" s="1">
        <f>('Kwh Consumption'!M31+'Kwh Consumption'!N31+'Kwh Consumption'!O31+'Kwh Consumption'!P31+'Kwh Consumption'!Q31+'Kwh Consumption'!R31)*' Kwh area wise $ '!B30</f>
        <v>590.99999999999966</v>
      </c>
      <c r="K30" s="1">
        <f>('Kwh Consumption'!S31+'Kwh Consumption'!T31)*' Kwh area wise $ '!B30</f>
        <v>704.9879999999888</v>
      </c>
      <c r="L30" s="1">
        <f>'Kwh Consumption'!U31*' Kwh area wise $ '!B30</f>
        <v>34.500000000002728</v>
      </c>
      <c r="M30" s="1">
        <f>'Kwh Consumption'!V31*' Kwh area wise $ '!B30</f>
        <v>1020.0119999998528</v>
      </c>
    </row>
    <row r="31" spans="1:13" x14ac:dyDescent="0.25">
      <c r="A31" s="14">
        <f>'Kwh Reading'!A32</f>
        <v>44437</v>
      </c>
      <c r="B31" s="11">
        <f>TOTAL!F30</f>
        <v>0.15</v>
      </c>
      <c r="C31" s="11">
        <f>'Kwh Consumption'!B32*' Kwh area wise $ '!B31</f>
        <v>3109.5000000003097</v>
      </c>
      <c r="D31" s="1">
        <f>'Kwh Consumption'!C32*' Kwh area wise $ '!B31</f>
        <v>91.500000000002046</v>
      </c>
      <c r="E31" s="1">
        <f>'Kwh Consumption'!D32*' Kwh area wise $ '!B31</f>
        <v>374.99999999999199</v>
      </c>
      <c r="F31" s="1">
        <f>'Kwh Consumption'!E32*' Kwh area wise $ '!B31</f>
        <v>37.5</v>
      </c>
      <c r="G31" s="1">
        <f>('Kwh Consumption'!F32+'Kwh Consumption'!G32+'Kwh Consumption'!H32)*' Kwh area wise $ '!B31</f>
        <v>112.49999999999147</v>
      </c>
      <c r="H31" s="16">
        <f>('Kwh Consumption'!I32+'Kwh Consumption'!J32)*' Kwh area wise $ '!B31</f>
        <v>53.999999999999915</v>
      </c>
      <c r="I31" s="1">
        <f>('Kwh Consumption'!K32+'Kwh Consumption'!L32)*' Kwh area wise $ '!B31</f>
        <v>250.50000000000742</v>
      </c>
      <c r="J31" s="1">
        <f>('Kwh Consumption'!M32+'Kwh Consumption'!N32+'Kwh Consumption'!O32+'Kwh Consumption'!P32+'Kwh Consumption'!Q32+'Kwh Consumption'!R32)*' Kwh area wise $ '!B31</f>
        <v>595.49999999999557</v>
      </c>
      <c r="K31" s="1">
        <f>('Kwh Consumption'!S32+'Kwh Consumption'!T32)*' Kwh area wise $ '!B31</f>
        <v>791.12250000005588</v>
      </c>
      <c r="L31" s="1">
        <f>'Kwh Consumption'!U32*' Kwh area wise $ '!B31</f>
        <v>36.000000000001364</v>
      </c>
      <c r="M31" s="1">
        <f>'Kwh Consumption'!V32*' Kwh area wise $ '!B31</f>
        <v>765.87750000026415</v>
      </c>
    </row>
    <row r="32" spans="1:13" x14ac:dyDescent="0.25">
      <c r="A32" s="14">
        <f>'Kwh Reading'!A33</f>
        <v>44438</v>
      </c>
      <c r="B32" s="11">
        <f>TOTAL!F31</f>
        <v>0.15</v>
      </c>
      <c r="C32" s="11">
        <f>'Kwh Consumption'!B33*' Kwh area wise $ '!B32</f>
        <v>3338.9999999995894</v>
      </c>
      <c r="D32" s="1">
        <f>'Kwh Consumption'!C33*' Kwh area wise $ '!B32</f>
        <v>56.999999999999318</v>
      </c>
      <c r="E32" s="1">
        <f>'Kwh Consumption'!D33*' Kwh area wise $ '!B32</f>
        <v>329.99999999996362</v>
      </c>
      <c r="F32" s="1">
        <f>'Kwh Consumption'!E33*' Kwh area wise $ '!B32</f>
        <v>38.999999999998636</v>
      </c>
      <c r="G32" s="1">
        <f>('Kwh Consumption'!F33+'Kwh Consumption'!G33+'Kwh Consumption'!H33)*' Kwh area wise $ '!B32</f>
        <v>105.00000000000256</v>
      </c>
      <c r="H32" s="16">
        <f>('Kwh Consumption'!I33+'Kwh Consumption'!J33)*' Kwh area wise $ '!B32</f>
        <v>58.500000000002217</v>
      </c>
      <c r="I32" s="1">
        <f>('Kwh Consumption'!K33+'Kwh Consumption'!L33)*' Kwh area wise $ '!B32</f>
        <v>237.00000000001199</v>
      </c>
      <c r="J32" s="1">
        <f>('Kwh Consumption'!M33+'Kwh Consumption'!N33+'Kwh Consumption'!O33+'Kwh Consumption'!P33+'Kwh Consumption'!Q33+'Kwh Consumption'!R33)*' Kwh area wise $ '!B32</f>
        <v>741.00000000000819</v>
      </c>
      <c r="K32" s="1">
        <f>('Kwh Consumption'!S33+'Kwh Consumption'!T33)*' Kwh area wise $ '!B32</f>
        <v>838.89600000008943</v>
      </c>
      <c r="L32" s="1">
        <f>'Kwh Consumption'!U33*' Kwh area wise $ '!B32</f>
        <v>32.999999999999829</v>
      </c>
      <c r="M32" s="1">
        <f>'Kwh Consumption'!V33*' Kwh area wise $ '!B32</f>
        <v>899.6039999995138</v>
      </c>
    </row>
    <row r="33" spans="1:14" x14ac:dyDescent="0.25">
      <c r="A33" s="14">
        <f>'Kwh Reading'!A34</f>
        <v>44439</v>
      </c>
      <c r="B33" s="11">
        <f>TOTAL!F32</f>
        <v>0.15</v>
      </c>
      <c r="C33" s="11">
        <f>'Kwh Consumption'!B34*' Kwh area wise $ '!B33</f>
        <v>3267.0000000000982</v>
      </c>
      <c r="D33" s="1">
        <f>'Kwh Consumption'!C34*' Kwh area wise $ '!B33</f>
        <v>73.500000000001364</v>
      </c>
      <c r="E33" s="1">
        <f>'Kwh Consumption'!D34*' Kwh area wise $ '!B33</f>
        <v>345.0000000000619</v>
      </c>
      <c r="F33" s="1">
        <f>'Kwh Consumption'!E34*' Kwh area wise $ '!B33</f>
        <v>38.999999999998636</v>
      </c>
      <c r="G33" s="1">
        <f>('Kwh Consumption'!F34+'Kwh Consumption'!G34+'Kwh Consumption'!H34)*' Kwh area wise $ '!B33</f>
        <v>106.50000000000119</v>
      </c>
      <c r="H33" s="16">
        <f>('Kwh Consumption'!I34+'Kwh Consumption'!J34)*' Kwh area wise $ '!B33</f>
        <v>61.499999999997357</v>
      </c>
      <c r="I33" s="1">
        <f>('Kwh Consumption'!K34+'Kwh Consumption'!L34)*' Kwh area wise $ '!B33</f>
        <v>251.9999999999813</v>
      </c>
      <c r="J33" s="1">
        <f>('Kwh Consumption'!M34+'Kwh Consumption'!N34+'Kwh Consumption'!O34+'Kwh Consumption'!P34+'Kwh Consumption'!Q34+'Kwh Consumption'!R34)*' Kwh area wise $ '!B33</f>
        <v>652.49999999997783</v>
      </c>
      <c r="K33" s="1">
        <f>('Kwh Consumption'!S34+'Kwh Consumption'!T34)*' Kwh area wise $ '!B33</f>
        <v>774.25049999984913</v>
      </c>
      <c r="L33" s="1">
        <f>'Kwh Consumption'!U34*' Kwh area wise $ '!B33</f>
        <v>32.999999999999829</v>
      </c>
      <c r="M33" s="1">
        <f>'Kwh Consumption'!V34*' Kwh area wise $ '!B33</f>
        <v>929.74950000022966</v>
      </c>
    </row>
    <row r="34" spans="1:14" ht="15.75" x14ac:dyDescent="0.25">
      <c r="A34" s="134" t="s">
        <v>52</v>
      </c>
      <c r="B34" s="134"/>
      <c r="C34" s="75">
        <f t="shared" ref="C34:L34" si="0">SUM(C3:C33)</f>
        <v>105211.50000000001</v>
      </c>
      <c r="D34" s="75">
        <f t="shared" si="0"/>
        <v>2164.5000000000009</v>
      </c>
      <c r="E34" s="75">
        <f t="shared" si="0"/>
        <v>10875.000000000036</v>
      </c>
      <c r="F34" s="75">
        <f t="shared" si="0"/>
        <v>1162.5</v>
      </c>
      <c r="G34" s="75">
        <f t="shared" si="0"/>
        <v>3685.5000000000027</v>
      </c>
      <c r="H34" s="75">
        <f t="shared" si="0"/>
        <v>1738.5000000000007</v>
      </c>
      <c r="I34" s="75">
        <f t="shared" si="0"/>
        <v>7773.0000000000091</v>
      </c>
      <c r="J34" s="75">
        <f t="shared" si="0"/>
        <v>21215.999999999985</v>
      </c>
      <c r="K34" s="75">
        <f t="shared" si="0"/>
        <v>25546.256999999991</v>
      </c>
      <c r="L34" s="75">
        <f t="shared" si="0"/>
        <v>1059.0000000000002</v>
      </c>
      <c r="M34" s="75">
        <f>SUM(M3:M33)</f>
        <v>29991.243000000009</v>
      </c>
      <c r="N34" s="84">
        <f>D34+E34+F34+G34+H34+I34+J34+K34+L34+M34</f>
        <v>105211.50000000003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>
        <v>175554</v>
      </c>
      <c r="C11" s="33">
        <v>137362</v>
      </c>
      <c r="D11" s="55">
        <v>215566</v>
      </c>
      <c r="E11" s="55">
        <v>250149</v>
      </c>
      <c r="F11" s="55">
        <v>66962</v>
      </c>
      <c r="G11" s="55">
        <v>112333</v>
      </c>
      <c r="H11" s="33">
        <v>54588</v>
      </c>
      <c r="I11" s="55">
        <v>64662</v>
      </c>
      <c r="J11" s="55">
        <v>20753</v>
      </c>
      <c r="K11" s="55">
        <v>1024</v>
      </c>
      <c r="L11" s="55">
        <v>17529</v>
      </c>
      <c r="M11" s="55">
        <v>24782</v>
      </c>
      <c r="N11" s="55">
        <v>7457</v>
      </c>
      <c r="O11" s="55">
        <v>1709</v>
      </c>
      <c r="P11" s="55">
        <v>27359</v>
      </c>
      <c r="Q11" s="33">
        <v>815</v>
      </c>
      <c r="R11" s="55">
        <v>6450</v>
      </c>
    </row>
    <row r="12" spans="1:21" x14ac:dyDescent="0.25">
      <c r="A12" s="54">
        <v>44418</v>
      </c>
      <c r="B12" s="33">
        <v>175759</v>
      </c>
      <c r="C12" s="56">
        <v>137472</v>
      </c>
      <c r="D12" s="55">
        <v>215898</v>
      </c>
      <c r="E12" s="55">
        <v>250203</v>
      </c>
      <c r="F12" s="55">
        <v>66962</v>
      </c>
      <c r="G12" s="55">
        <v>112353</v>
      </c>
      <c r="H12" s="33">
        <v>54618</v>
      </c>
      <c r="I12" s="55">
        <v>64689</v>
      </c>
      <c r="J12" s="55">
        <v>20764</v>
      </c>
      <c r="K12" s="55">
        <v>1024</v>
      </c>
      <c r="L12" s="55">
        <v>17536</v>
      </c>
      <c r="M12" s="55">
        <v>24798</v>
      </c>
      <c r="N12" s="55">
        <v>7459</v>
      </c>
      <c r="O12" s="55">
        <v>1709</v>
      </c>
      <c r="P12" s="55">
        <v>27370</v>
      </c>
      <c r="Q12" s="33">
        <v>825</v>
      </c>
      <c r="R12" s="55">
        <v>6454</v>
      </c>
    </row>
    <row r="13" spans="1:21" x14ac:dyDescent="0.25">
      <c r="A13" s="54">
        <v>44419</v>
      </c>
      <c r="B13" s="56">
        <v>175924</v>
      </c>
      <c r="C13" s="33">
        <v>137631</v>
      </c>
      <c r="D13" s="55">
        <v>216153</v>
      </c>
      <c r="E13" s="55">
        <v>250255</v>
      </c>
      <c r="F13" s="55">
        <v>66963</v>
      </c>
      <c r="G13" s="55">
        <v>112369</v>
      </c>
      <c r="H13" s="33">
        <v>54650</v>
      </c>
      <c r="I13" s="55">
        <v>64708</v>
      </c>
      <c r="J13" s="55">
        <v>20775</v>
      </c>
      <c r="K13" s="55">
        <v>1024</v>
      </c>
      <c r="L13" s="55">
        <v>17543</v>
      </c>
      <c r="M13" s="55">
        <v>24812</v>
      </c>
      <c r="N13" s="55">
        <v>7460</v>
      </c>
      <c r="O13" s="55">
        <v>1711</v>
      </c>
      <c r="P13" s="55">
        <v>27370</v>
      </c>
      <c r="Q13" s="33">
        <v>830</v>
      </c>
      <c r="R13" s="55">
        <v>6464</v>
      </c>
    </row>
    <row r="14" spans="1:21" x14ac:dyDescent="0.25">
      <c r="A14" s="54">
        <v>44420</v>
      </c>
      <c r="B14" s="33">
        <v>176125</v>
      </c>
      <c r="C14" s="56">
        <v>138839</v>
      </c>
      <c r="D14" s="55">
        <v>216456</v>
      </c>
      <c r="E14" s="55">
        <v>250313</v>
      </c>
      <c r="F14" s="55">
        <v>66964</v>
      </c>
      <c r="G14" s="55">
        <v>112387</v>
      </c>
      <c r="H14" s="33">
        <v>54688</v>
      </c>
      <c r="I14" s="55">
        <v>64750</v>
      </c>
      <c r="J14" s="55">
        <v>20786</v>
      </c>
      <c r="K14" s="55">
        <v>1024</v>
      </c>
      <c r="L14" s="55">
        <v>17550</v>
      </c>
      <c r="M14" s="55">
        <v>24828</v>
      </c>
      <c r="N14" s="55">
        <v>7465</v>
      </c>
      <c r="O14" s="55">
        <v>1712</v>
      </c>
      <c r="P14" s="55">
        <v>27391</v>
      </c>
      <c r="Q14" s="33">
        <v>836</v>
      </c>
      <c r="R14" s="55">
        <v>6473</v>
      </c>
    </row>
    <row r="15" spans="1:21" x14ac:dyDescent="0.25">
      <c r="A15" s="54">
        <v>44421</v>
      </c>
      <c r="B15" s="33">
        <v>176248</v>
      </c>
      <c r="C15" s="33">
        <v>138939</v>
      </c>
      <c r="D15" s="55">
        <v>216683</v>
      </c>
      <c r="E15" s="55">
        <v>250373</v>
      </c>
      <c r="F15" s="55">
        <v>66965</v>
      </c>
      <c r="G15" s="55">
        <v>112405</v>
      </c>
      <c r="H15" s="33">
        <v>54715</v>
      </c>
      <c r="I15" s="55">
        <v>64779</v>
      </c>
      <c r="J15" s="55">
        <v>20798</v>
      </c>
      <c r="K15" s="55">
        <v>1024</v>
      </c>
      <c r="L15" s="55">
        <v>17557</v>
      </c>
      <c r="M15" s="55">
        <v>24844</v>
      </c>
      <c r="N15" s="55">
        <v>7473</v>
      </c>
      <c r="O15" s="55">
        <v>1713</v>
      </c>
      <c r="P15" s="55">
        <v>27399</v>
      </c>
      <c r="Q15" s="33">
        <v>840</v>
      </c>
      <c r="R15" s="55">
        <v>6478</v>
      </c>
      <c r="T15" s="110"/>
      <c r="U15" s="110"/>
    </row>
    <row r="16" spans="1:21" x14ac:dyDescent="0.25">
      <c r="A16" s="54">
        <v>44422</v>
      </c>
      <c r="B16" s="33">
        <v>176417</v>
      </c>
      <c r="C16" s="56">
        <v>138939</v>
      </c>
      <c r="D16" s="55">
        <v>216820</v>
      </c>
      <c r="E16" s="55">
        <v>250440</v>
      </c>
      <c r="F16" s="55">
        <v>66966</v>
      </c>
      <c r="G16" s="55">
        <v>112422</v>
      </c>
      <c r="H16" s="33">
        <v>54753</v>
      </c>
      <c r="I16" s="55">
        <v>64920</v>
      </c>
      <c r="J16" s="55">
        <v>20809</v>
      </c>
      <c r="K16" s="55">
        <v>1024</v>
      </c>
      <c r="L16" s="55">
        <v>17565</v>
      </c>
      <c r="M16" s="55">
        <v>24860</v>
      </c>
      <c r="N16" s="55">
        <v>7484</v>
      </c>
      <c r="O16" s="55">
        <v>1715</v>
      </c>
      <c r="P16" s="55">
        <v>27503</v>
      </c>
      <c r="Q16" s="33">
        <v>842</v>
      </c>
      <c r="R16" s="55">
        <v>6480</v>
      </c>
    </row>
    <row r="17" spans="1:22" x14ac:dyDescent="0.25">
      <c r="A17" s="54">
        <v>44423</v>
      </c>
      <c r="B17" s="33">
        <v>176546</v>
      </c>
      <c r="C17" s="33">
        <v>139134</v>
      </c>
      <c r="D17" s="55">
        <v>216989</v>
      </c>
      <c r="E17" s="55">
        <v>250495</v>
      </c>
      <c r="F17" s="55">
        <v>66967</v>
      </c>
      <c r="G17" s="55">
        <v>112441</v>
      </c>
      <c r="H17" s="33">
        <v>54788</v>
      </c>
      <c r="I17" s="55">
        <v>64940</v>
      </c>
      <c r="J17" s="55">
        <v>20820</v>
      </c>
      <c r="K17" s="55">
        <v>1024</v>
      </c>
      <c r="L17" s="55">
        <v>17572</v>
      </c>
      <c r="M17" s="55">
        <v>24873</v>
      </c>
      <c r="N17" s="55">
        <v>7487</v>
      </c>
      <c r="O17" s="55">
        <v>1716</v>
      </c>
      <c r="P17" s="55">
        <v>27503</v>
      </c>
      <c r="Q17" s="33">
        <v>849</v>
      </c>
      <c r="R17" s="55">
        <v>6489</v>
      </c>
    </row>
    <row r="18" spans="1:22" x14ac:dyDescent="0.25">
      <c r="A18" s="54">
        <v>44424</v>
      </c>
      <c r="B18" s="33">
        <v>176700</v>
      </c>
      <c r="C18" s="56">
        <v>139199</v>
      </c>
      <c r="D18" s="55">
        <v>217184</v>
      </c>
      <c r="E18" s="55">
        <v>250561</v>
      </c>
      <c r="F18" s="55">
        <v>66967</v>
      </c>
      <c r="G18" s="55">
        <v>112466</v>
      </c>
      <c r="H18" s="33">
        <v>54827</v>
      </c>
      <c r="I18" s="55">
        <v>64982</v>
      </c>
      <c r="J18" s="33">
        <v>20833</v>
      </c>
      <c r="K18" s="55">
        <v>1024</v>
      </c>
      <c r="L18" s="55">
        <v>17581</v>
      </c>
      <c r="M18" s="55">
        <v>24888</v>
      </c>
      <c r="N18" s="55">
        <v>7491</v>
      </c>
      <c r="O18" s="55">
        <v>1718</v>
      </c>
      <c r="P18" s="55">
        <v>27516</v>
      </c>
      <c r="Q18" s="33">
        <v>858</v>
      </c>
      <c r="R18" s="55">
        <v>6498</v>
      </c>
      <c r="U18" s="110"/>
    </row>
    <row r="19" spans="1:22" x14ac:dyDescent="0.25">
      <c r="A19" s="54">
        <v>44425</v>
      </c>
      <c r="B19" s="33">
        <v>176850</v>
      </c>
      <c r="C19" s="33">
        <v>139254</v>
      </c>
      <c r="D19" s="55">
        <v>217389</v>
      </c>
      <c r="E19" s="55">
        <v>250623</v>
      </c>
      <c r="F19" s="55">
        <v>66968</v>
      </c>
      <c r="G19" s="55">
        <v>112488</v>
      </c>
      <c r="H19" s="33">
        <v>54866</v>
      </c>
      <c r="I19" s="55">
        <v>65012</v>
      </c>
      <c r="J19" s="55">
        <v>20844</v>
      </c>
      <c r="K19" s="55">
        <v>1024</v>
      </c>
      <c r="L19" s="55">
        <v>17587</v>
      </c>
      <c r="M19" s="55">
        <v>24907</v>
      </c>
      <c r="N19" s="55">
        <v>7494</v>
      </c>
      <c r="O19" s="55">
        <v>1720</v>
      </c>
      <c r="P19" s="55">
        <v>27525</v>
      </c>
      <c r="Q19" s="33">
        <v>862</v>
      </c>
      <c r="R19" s="55">
        <v>6504</v>
      </c>
    </row>
    <row r="20" spans="1:22" x14ac:dyDescent="0.25">
      <c r="A20" s="54">
        <v>44426</v>
      </c>
      <c r="B20" s="33">
        <v>176966</v>
      </c>
      <c r="C20" s="56">
        <v>139255</v>
      </c>
      <c r="D20" s="10">
        <v>217524</v>
      </c>
      <c r="E20" s="55">
        <v>250681</v>
      </c>
      <c r="F20" s="55">
        <v>66970</v>
      </c>
      <c r="G20" s="55">
        <v>112504</v>
      </c>
      <c r="H20" s="33">
        <v>54898</v>
      </c>
      <c r="I20" s="55">
        <v>65044</v>
      </c>
      <c r="J20" s="55">
        <v>20854</v>
      </c>
      <c r="K20" s="55">
        <v>1024</v>
      </c>
      <c r="L20" s="55">
        <v>17595</v>
      </c>
      <c r="M20" s="55">
        <v>24918</v>
      </c>
      <c r="N20" s="55">
        <v>7502</v>
      </c>
      <c r="O20" s="55">
        <v>1721</v>
      </c>
      <c r="P20" s="55">
        <v>27533</v>
      </c>
      <c r="Q20" s="33">
        <v>867</v>
      </c>
      <c r="R20" s="55">
        <v>6514</v>
      </c>
    </row>
    <row r="21" spans="1:22" x14ac:dyDescent="0.25">
      <c r="A21" s="54">
        <v>44427</v>
      </c>
      <c r="B21" s="33">
        <v>177079</v>
      </c>
      <c r="C21" s="33">
        <v>140118</v>
      </c>
      <c r="D21" s="55">
        <v>217707</v>
      </c>
      <c r="E21" s="55">
        <v>250740</v>
      </c>
      <c r="F21" s="55">
        <v>66971</v>
      </c>
      <c r="G21" s="55">
        <v>112525</v>
      </c>
      <c r="H21" s="33">
        <v>54927</v>
      </c>
      <c r="I21" s="55">
        <v>65070</v>
      </c>
      <c r="J21" s="55">
        <v>20865</v>
      </c>
      <c r="K21" s="55">
        <v>1024</v>
      </c>
      <c r="L21" s="55">
        <v>17602</v>
      </c>
      <c r="M21" s="55">
        <v>24931</v>
      </c>
      <c r="N21" s="55">
        <v>7505</v>
      </c>
      <c r="O21" s="55">
        <v>1724</v>
      </c>
      <c r="P21" s="55">
        <v>27540</v>
      </c>
      <c r="Q21" s="33">
        <v>871</v>
      </c>
      <c r="R21" s="55">
        <v>6523</v>
      </c>
    </row>
    <row r="22" spans="1:22" x14ac:dyDescent="0.25">
      <c r="A22" s="54">
        <v>44428</v>
      </c>
      <c r="B22" s="33">
        <v>177082</v>
      </c>
      <c r="C22" s="56">
        <v>140410</v>
      </c>
      <c r="D22" s="55">
        <v>217905</v>
      </c>
      <c r="E22" s="55">
        <v>250904</v>
      </c>
      <c r="F22" s="55">
        <v>66971</v>
      </c>
      <c r="G22" s="55">
        <v>112551</v>
      </c>
      <c r="H22" s="33">
        <v>54968</v>
      </c>
      <c r="I22" s="55">
        <v>65110</v>
      </c>
      <c r="J22" s="55">
        <v>20876</v>
      </c>
      <c r="K22" s="55">
        <v>1024</v>
      </c>
      <c r="L22" s="55">
        <v>17611</v>
      </c>
      <c r="M22" s="55">
        <v>24951</v>
      </c>
      <c r="N22" s="55">
        <v>7508</v>
      </c>
      <c r="O22" s="55">
        <v>1724</v>
      </c>
      <c r="P22" s="55">
        <v>27556</v>
      </c>
      <c r="Q22" s="33">
        <v>876</v>
      </c>
      <c r="R22" s="55">
        <v>6529</v>
      </c>
    </row>
    <row r="23" spans="1:22" x14ac:dyDescent="0.25">
      <c r="A23" s="54">
        <v>44429</v>
      </c>
      <c r="B23" s="33">
        <v>177192</v>
      </c>
      <c r="C23" s="33">
        <v>140480</v>
      </c>
      <c r="D23" s="55">
        <v>217988</v>
      </c>
      <c r="E23" s="55">
        <v>250960</v>
      </c>
      <c r="F23" s="55">
        <v>66972</v>
      </c>
      <c r="G23" s="55">
        <v>112568</v>
      </c>
      <c r="H23" s="33">
        <v>55007</v>
      </c>
      <c r="I23" s="55">
        <v>65123</v>
      </c>
      <c r="J23" s="55">
        <v>20887</v>
      </c>
      <c r="K23" s="55">
        <v>1024</v>
      </c>
      <c r="L23" s="55">
        <v>17619</v>
      </c>
      <c r="M23" s="55">
        <v>24968</v>
      </c>
      <c r="N23" s="55">
        <v>7513</v>
      </c>
      <c r="O23" s="55">
        <v>1725</v>
      </c>
      <c r="P23" s="55">
        <v>27556</v>
      </c>
      <c r="Q23" s="33">
        <v>877</v>
      </c>
      <c r="R23" s="55">
        <v>6541</v>
      </c>
    </row>
    <row r="24" spans="1:22" x14ac:dyDescent="0.25">
      <c r="A24" s="54">
        <v>44430</v>
      </c>
      <c r="B24" s="33">
        <v>177503</v>
      </c>
      <c r="C24" s="56">
        <v>140659</v>
      </c>
      <c r="D24" s="55">
        <v>218080</v>
      </c>
      <c r="E24" s="55">
        <v>250921</v>
      </c>
      <c r="F24" s="55">
        <v>66973</v>
      </c>
      <c r="G24" s="55">
        <v>112588</v>
      </c>
      <c r="H24" s="33">
        <v>55038</v>
      </c>
      <c r="I24" s="55">
        <v>65160</v>
      </c>
      <c r="J24" s="55">
        <v>20897</v>
      </c>
      <c r="K24" s="55">
        <v>1024</v>
      </c>
      <c r="L24" s="55">
        <v>17627</v>
      </c>
      <c r="M24" s="55">
        <v>24986</v>
      </c>
      <c r="N24" s="55">
        <v>7517</v>
      </c>
      <c r="O24" s="55">
        <v>1726</v>
      </c>
      <c r="P24" s="55">
        <v>27569</v>
      </c>
      <c r="Q24" s="33">
        <v>883</v>
      </c>
      <c r="R24" s="55">
        <v>6595</v>
      </c>
    </row>
    <row r="25" spans="1:22" x14ac:dyDescent="0.25">
      <c r="A25" s="54">
        <v>44431</v>
      </c>
      <c r="B25" s="33">
        <v>177739</v>
      </c>
      <c r="C25" s="33">
        <v>140717</v>
      </c>
      <c r="D25" s="55">
        <v>218269</v>
      </c>
      <c r="E25" s="55">
        <v>250983</v>
      </c>
      <c r="F25" s="55">
        <v>66974</v>
      </c>
      <c r="G25" s="55">
        <v>112609</v>
      </c>
      <c r="H25" s="33">
        <v>55068</v>
      </c>
      <c r="I25" s="55">
        <v>65192</v>
      </c>
      <c r="J25" s="55">
        <v>20908</v>
      </c>
      <c r="K25" s="55">
        <v>1024</v>
      </c>
      <c r="L25" s="55">
        <v>17635</v>
      </c>
      <c r="M25" s="55">
        <v>25002</v>
      </c>
      <c r="N25" s="55">
        <v>7525</v>
      </c>
      <c r="O25" s="55">
        <v>1728</v>
      </c>
      <c r="P25" s="55">
        <v>27581</v>
      </c>
      <c r="Q25" s="33">
        <v>890</v>
      </c>
      <c r="R25" s="55">
        <v>6553</v>
      </c>
    </row>
    <row r="26" spans="1:22" x14ac:dyDescent="0.25">
      <c r="A26" s="54">
        <v>44432</v>
      </c>
      <c r="B26" s="33">
        <v>177998</v>
      </c>
      <c r="C26" s="56">
        <v>141116</v>
      </c>
      <c r="D26" s="55">
        <v>218403</v>
      </c>
      <c r="E26" s="55">
        <v>251038</v>
      </c>
      <c r="F26" s="55">
        <v>66978</v>
      </c>
      <c r="G26" s="55">
        <v>112626</v>
      </c>
      <c r="H26" s="33">
        <v>55095</v>
      </c>
      <c r="I26" s="55">
        <v>65226</v>
      </c>
      <c r="J26" s="55">
        <v>20919</v>
      </c>
      <c r="K26" s="55">
        <v>1024</v>
      </c>
      <c r="L26" s="55">
        <v>17643</v>
      </c>
      <c r="M26" s="55">
        <v>25017</v>
      </c>
      <c r="N26" s="55">
        <v>7528</v>
      </c>
      <c r="O26" s="55">
        <v>1729</v>
      </c>
      <c r="P26" s="55">
        <v>27597</v>
      </c>
      <c r="Q26" s="33">
        <v>896</v>
      </c>
      <c r="R26" s="55">
        <v>6559</v>
      </c>
    </row>
    <row r="27" spans="1:22" x14ac:dyDescent="0.25">
      <c r="A27" s="54">
        <v>44433</v>
      </c>
      <c r="B27" s="33">
        <v>178187</v>
      </c>
      <c r="C27" s="33">
        <v>141271</v>
      </c>
      <c r="D27" s="55">
        <v>218620</v>
      </c>
      <c r="E27" s="55">
        <v>251098</v>
      </c>
      <c r="F27" s="55">
        <v>66978</v>
      </c>
      <c r="G27" s="55">
        <v>112645</v>
      </c>
      <c r="H27" s="33">
        <v>55115</v>
      </c>
      <c r="I27" s="55">
        <v>65261</v>
      </c>
      <c r="J27" s="55">
        <v>20930</v>
      </c>
      <c r="K27" s="55">
        <v>1024</v>
      </c>
      <c r="L27" s="55">
        <v>17650</v>
      </c>
      <c r="M27" s="55">
        <v>25034</v>
      </c>
      <c r="N27" s="55">
        <v>7533</v>
      </c>
      <c r="O27" s="55">
        <v>1729</v>
      </c>
      <c r="P27" s="55">
        <v>27611</v>
      </c>
      <c r="Q27" s="33">
        <v>899</v>
      </c>
      <c r="R27" s="55">
        <v>6565</v>
      </c>
    </row>
    <row r="28" spans="1:22" x14ac:dyDescent="0.25">
      <c r="A28" s="54">
        <v>44434</v>
      </c>
      <c r="B28" s="33">
        <v>178350</v>
      </c>
      <c r="C28" s="56">
        <v>141305</v>
      </c>
      <c r="D28" s="55">
        <v>218823</v>
      </c>
      <c r="E28" s="55">
        <v>251153</v>
      </c>
      <c r="F28" s="55">
        <v>66979</v>
      </c>
      <c r="G28" s="55">
        <v>112664</v>
      </c>
      <c r="H28" s="33">
        <v>55136</v>
      </c>
      <c r="I28" s="55">
        <v>65283</v>
      </c>
      <c r="J28" s="55">
        <v>20941</v>
      </c>
      <c r="K28" s="55">
        <v>1024</v>
      </c>
      <c r="L28" s="55">
        <v>17658</v>
      </c>
      <c r="M28" s="55">
        <v>25052</v>
      </c>
      <c r="N28" s="55">
        <v>7535</v>
      </c>
      <c r="O28" s="55">
        <v>1730</v>
      </c>
      <c r="P28" s="55">
        <v>27611</v>
      </c>
      <c r="Q28" s="33">
        <v>899</v>
      </c>
      <c r="R28" s="55">
        <v>6572</v>
      </c>
    </row>
    <row r="29" spans="1:22" x14ac:dyDescent="0.25">
      <c r="A29" s="54">
        <v>44435</v>
      </c>
      <c r="B29" s="33">
        <v>178510</v>
      </c>
      <c r="C29" s="33">
        <v>141500</v>
      </c>
      <c r="D29" s="55">
        <v>218931</v>
      </c>
      <c r="E29" s="55">
        <v>251218</v>
      </c>
      <c r="F29" s="55">
        <v>66979</v>
      </c>
      <c r="G29" s="55">
        <v>112689</v>
      </c>
      <c r="H29" s="33">
        <v>55170</v>
      </c>
      <c r="I29" s="10">
        <v>65311</v>
      </c>
      <c r="J29" s="55">
        <v>20952</v>
      </c>
      <c r="K29" s="55">
        <v>1024</v>
      </c>
      <c r="L29" s="55">
        <v>17668</v>
      </c>
      <c r="M29" s="55">
        <v>25068</v>
      </c>
      <c r="N29" s="55">
        <v>7548</v>
      </c>
      <c r="O29" s="55">
        <v>1731</v>
      </c>
      <c r="P29" s="55">
        <v>27619</v>
      </c>
      <c r="Q29" s="55">
        <v>907</v>
      </c>
      <c r="R29" s="55">
        <v>6579</v>
      </c>
    </row>
    <row r="30" spans="1:22" x14ac:dyDescent="0.25">
      <c r="A30" s="54">
        <v>44436</v>
      </c>
      <c r="B30" s="33">
        <v>178859</v>
      </c>
      <c r="C30" s="56">
        <v>141687</v>
      </c>
      <c r="D30" s="55">
        <v>219040</v>
      </c>
      <c r="E30" s="55">
        <v>251288</v>
      </c>
      <c r="F30" s="55">
        <v>66979</v>
      </c>
      <c r="G30" s="55">
        <v>112712</v>
      </c>
      <c r="H30" s="33">
        <v>55199</v>
      </c>
      <c r="I30" s="55">
        <v>65326</v>
      </c>
      <c r="J30" s="55">
        <v>20963</v>
      </c>
      <c r="K30" s="55">
        <v>1024</v>
      </c>
      <c r="L30" s="55">
        <v>17674</v>
      </c>
      <c r="M30" s="55">
        <v>25087</v>
      </c>
      <c r="N30" s="55">
        <v>7571</v>
      </c>
      <c r="O30" s="55">
        <v>1732</v>
      </c>
      <c r="P30" s="55">
        <v>27619</v>
      </c>
      <c r="Q30" s="55">
        <v>907</v>
      </c>
      <c r="R30" s="55">
        <v>6580</v>
      </c>
    </row>
    <row r="31" spans="1:22" x14ac:dyDescent="0.25">
      <c r="A31" s="54">
        <v>44437</v>
      </c>
      <c r="B31" s="33">
        <v>179179</v>
      </c>
      <c r="C31" s="33">
        <v>142180</v>
      </c>
      <c r="D31" s="55">
        <v>219185</v>
      </c>
      <c r="E31" s="10">
        <v>251341</v>
      </c>
      <c r="F31" s="55">
        <v>66980</v>
      </c>
      <c r="G31" s="55">
        <v>112727</v>
      </c>
      <c r="H31" s="33">
        <v>55214</v>
      </c>
      <c r="I31" s="55">
        <v>65344</v>
      </c>
      <c r="J31" s="10">
        <v>20973</v>
      </c>
      <c r="K31" s="55">
        <v>1024</v>
      </c>
      <c r="L31" s="55">
        <v>17682</v>
      </c>
      <c r="M31" s="55">
        <v>25104</v>
      </c>
      <c r="N31" s="55">
        <v>7578</v>
      </c>
      <c r="O31" s="55">
        <v>1733</v>
      </c>
      <c r="P31" s="55">
        <v>27619</v>
      </c>
      <c r="Q31" s="55">
        <v>908</v>
      </c>
      <c r="R31" s="55">
        <v>6581</v>
      </c>
      <c r="S31" s="57"/>
      <c r="T31" s="57"/>
      <c r="U31" s="57"/>
      <c r="V31" s="57"/>
    </row>
    <row r="32" spans="1:22" x14ac:dyDescent="0.25">
      <c r="A32" s="54">
        <v>44438</v>
      </c>
      <c r="B32" s="33">
        <v>179179</v>
      </c>
      <c r="C32" s="56">
        <v>142367</v>
      </c>
      <c r="D32" s="55">
        <v>219278</v>
      </c>
      <c r="E32" s="55">
        <v>251399</v>
      </c>
      <c r="F32" s="55">
        <v>66980</v>
      </c>
      <c r="G32" s="55">
        <v>112744</v>
      </c>
      <c r="H32" s="56">
        <v>55240</v>
      </c>
      <c r="I32" s="33">
        <v>65373</v>
      </c>
      <c r="J32" s="55">
        <v>20994</v>
      </c>
      <c r="K32" s="55">
        <v>1024</v>
      </c>
      <c r="L32" s="55">
        <v>17698</v>
      </c>
      <c r="M32" s="55">
        <v>25137</v>
      </c>
      <c r="N32" s="55">
        <v>7582</v>
      </c>
      <c r="O32" s="55">
        <v>1734</v>
      </c>
      <c r="P32" s="55">
        <v>27634</v>
      </c>
      <c r="Q32" s="55">
        <v>908</v>
      </c>
      <c r="R32" s="55">
        <v>6592</v>
      </c>
      <c r="S32" s="58"/>
      <c r="T32" s="57"/>
      <c r="U32" s="57"/>
      <c r="V32" s="57"/>
    </row>
    <row r="33" spans="1:22" x14ac:dyDescent="0.25">
      <c r="A33" s="54">
        <v>44439</v>
      </c>
      <c r="B33" s="33">
        <v>179485</v>
      </c>
      <c r="C33" s="33">
        <v>142554</v>
      </c>
      <c r="D33" s="55">
        <v>219369</v>
      </c>
      <c r="E33" s="55">
        <v>251455</v>
      </c>
      <c r="F33" s="55">
        <v>66980</v>
      </c>
      <c r="G33" s="55">
        <v>112744</v>
      </c>
      <c r="H33" s="56">
        <v>55240</v>
      </c>
      <c r="I33" s="33">
        <v>65407</v>
      </c>
      <c r="J33" s="55">
        <v>20994</v>
      </c>
      <c r="K33" s="55">
        <v>1024</v>
      </c>
      <c r="L33" s="55">
        <v>17698</v>
      </c>
      <c r="M33" s="55">
        <v>25137</v>
      </c>
      <c r="N33" s="55">
        <v>7584</v>
      </c>
      <c r="O33" s="55">
        <v>1735</v>
      </c>
      <c r="P33" s="55">
        <v>27647</v>
      </c>
      <c r="Q33" s="55">
        <v>911</v>
      </c>
      <c r="R33" s="55">
        <v>6598</v>
      </c>
      <c r="S33" s="58"/>
      <c r="T33" s="57"/>
      <c r="U33" s="57"/>
      <c r="V33" s="57"/>
    </row>
    <row r="34" spans="1:22" x14ac:dyDescent="0.25">
      <c r="A34" s="54">
        <v>44440</v>
      </c>
      <c r="B34" s="33">
        <v>180574</v>
      </c>
      <c r="C34" s="56">
        <v>142133</v>
      </c>
      <c r="D34" s="33">
        <v>219501</v>
      </c>
      <c r="E34" s="33">
        <v>251513</v>
      </c>
      <c r="F34" s="33">
        <v>66981</v>
      </c>
      <c r="G34" s="33">
        <v>112781</v>
      </c>
      <c r="H34" s="33">
        <v>55314</v>
      </c>
      <c r="I34" s="33">
        <v>65441</v>
      </c>
      <c r="J34" s="33">
        <v>21005</v>
      </c>
      <c r="K34" s="33">
        <v>1024</v>
      </c>
      <c r="L34" s="33">
        <v>17705</v>
      </c>
      <c r="M34" s="33">
        <v>25154</v>
      </c>
      <c r="N34" s="33">
        <v>7590</v>
      </c>
      <c r="O34" s="33">
        <v>1735</v>
      </c>
      <c r="P34" s="33">
        <v>27660</v>
      </c>
      <c r="Q34" s="33">
        <v>913</v>
      </c>
      <c r="R34" s="33">
        <v>6604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40" sqref="H4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369</v>
      </c>
      <c r="C11" s="66">
        <f>('Water Reading'!B11-'Water Reading'!B10)+('Water Reading'!C11-'Water Reading'!C10)</f>
        <v>381</v>
      </c>
      <c r="D11" s="67">
        <f t="shared" si="2"/>
        <v>1.032520325203252</v>
      </c>
      <c r="E11" s="88">
        <f>'Water Reading'!H11-'Water Reading'!H10</f>
        <v>28</v>
      </c>
      <c r="F11" s="89">
        <f t="shared" si="3"/>
        <v>7.3490813648293962E-2</v>
      </c>
      <c r="G11" s="93">
        <f>('Water Reading'!D11-'Water Reading'!D10)-('Water Reading'!R11-'Water Reading'!R10)-('Water Reading'!Q11-'Water Reading'!Q10)</f>
        <v>190</v>
      </c>
      <c r="H11" s="89">
        <f t="shared" si="4"/>
        <v>0.49868766404199477</v>
      </c>
      <c r="I11" s="90">
        <f>'Water Reading'!P11-'Water Reading'!P10</f>
        <v>8</v>
      </c>
      <c r="J11" s="68">
        <f t="shared" si="5"/>
        <v>2.0997375328083989E-2</v>
      </c>
      <c r="K11" s="91">
        <f>('Water Reading'!I11-'Water Reading'!I10)-('Water Reading'!P11-'Water Reading'!P10)</f>
        <v>20</v>
      </c>
      <c r="L11" s="68">
        <f t="shared" si="6"/>
        <v>5.2493438320209973E-2</v>
      </c>
      <c r="M11" s="90">
        <f>'Water Reading'!R11-'Water Reading'!R10</f>
        <v>10</v>
      </c>
      <c r="N11" s="92">
        <f t="shared" si="7"/>
        <v>2.6246719160104987E-2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1</v>
      </c>
      <c r="R11" s="100">
        <f t="shared" si="9"/>
        <v>2.6246719160104987E-3</v>
      </c>
      <c r="S11" s="90">
        <f>'Water Reading'!E11-'Water Reading'!E10</f>
        <v>55</v>
      </c>
      <c r="T11" s="100">
        <f t="shared" si="10"/>
        <v>0.14435695538057744</v>
      </c>
      <c r="U11" s="90">
        <f>'Water Reading'!G11-'Water Reading'!G10</f>
        <v>20</v>
      </c>
      <c r="V11" s="100">
        <f t="shared" si="11"/>
        <v>5.2493438320209973E-2</v>
      </c>
      <c r="W11" s="90">
        <f>'Water Reading'!J11-'Water Reading'!J10</f>
        <v>11</v>
      </c>
      <c r="X11" s="100">
        <f t="shared" si="12"/>
        <v>2.8871391076115485E-2</v>
      </c>
      <c r="Y11" s="66">
        <f t="shared" si="0"/>
        <v>343</v>
      </c>
      <c r="Z11" s="67">
        <f t="shared" si="1"/>
        <v>0.92953929539295388</v>
      </c>
    </row>
    <row r="12" spans="1:26" x14ac:dyDescent="0.25">
      <c r="A12" s="8">
        <f>'Water Reading'!A11</f>
        <v>44417</v>
      </c>
      <c r="B12" s="65">
        <f>TOTAL!I10</f>
        <v>579</v>
      </c>
      <c r="C12" s="66">
        <f>('Water Reading'!B12-'Water Reading'!B11)+('Water Reading'!C12-'Water Reading'!C11)</f>
        <v>315</v>
      </c>
      <c r="D12" s="67">
        <f t="shared" si="2"/>
        <v>0.54404145077720212</v>
      </c>
      <c r="E12" s="88">
        <f>'Water Reading'!H12-'Water Reading'!H11</f>
        <v>30</v>
      </c>
      <c r="F12" s="89">
        <f t="shared" si="3"/>
        <v>9.5238095238095233E-2</v>
      </c>
      <c r="G12" s="93">
        <f>('Water Reading'!D12-'Water Reading'!D11)-('Water Reading'!R12-'Water Reading'!R11)-('Water Reading'!Q12-'Water Reading'!Q11)</f>
        <v>318</v>
      </c>
      <c r="H12" s="89">
        <f t="shared" si="4"/>
        <v>1.0095238095238095</v>
      </c>
      <c r="I12" s="90">
        <f>'Water Reading'!P12-'Water Reading'!P11</f>
        <v>11</v>
      </c>
      <c r="J12" s="68">
        <f t="shared" si="5"/>
        <v>3.4920634920634921E-2</v>
      </c>
      <c r="K12" s="91">
        <f>('Water Reading'!I12-'Water Reading'!I11)-('Water Reading'!P12-'Water Reading'!P11)</f>
        <v>16</v>
      </c>
      <c r="L12" s="68">
        <f t="shared" si="6"/>
        <v>5.0793650793650794E-2</v>
      </c>
      <c r="M12" s="90">
        <f>'Water Reading'!R12-'Water Reading'!R11</f>
        <v>4</v>
      </c>
      <c r="N12" s="92">
        <f t="shared" si="7"/>
        <v>1.2698412698412698E-2</v>
      </c>
      <c r="O12" s="98">
        <f>'Water Reading'!Q12-'Water Reading'!Q11</f>
        <v>10</v>
      </c>
      <c r="P12" s="99">
        <f t="shared" si="8"/>
        <v>3.1746031746031744E-2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54</v>
      </c>
      <c r="T12" s="100">
        <f t="shared" si="10"/>
        <v>0.17142857142857143</v>
      </c>
      <c r="U12" s="90">
        <f>'Water Reading'!G12-'Water Reading'!G11</f>
        <v>20</v>
      </c>
      <c r="V12" s="100">
        <f t="shared" si="11"/>
        <v>6.3492063492063489E-2</v>
      </c>
      <c r="W12" s="90">
        <f>'Water Reading'!J12-'Water Reading'!J11</f>
        <v>11</v>
      </c>
      <c r="X12" s="100">
        <f t="shared" si="12"/>
        <v>3.4920634920634921E-2</v>
      </c>
      <c r="Y12" s="66">
        <f t="shared" si="0"/>
        <v>474</v>
      </c>
      <c r="Z12" s="67">
        <f t="shared" si="1"/>
        <v>0.81865284974093266</v>
      </c>
    </row>
    <row r="13" spans="1:26" x14ac:dyDescent="0.25">
      <c r="A13" s="8">
        <f>'Water Reading'!A12</f>
        <v>44418</v>
      </c>
      <c r="B13" s="65">
        <f>TOTAL!I11</f>
        <v>179</v>
      </c>
      <c r="C13" s="66">
        <f>('Water Reading'!B13-'Water Reading'!B12)+('Water Reading'!C13-'Water Reading'!C12)</f>
        <v>324</v>
      </c>
      <c r="D13" s="67">
        <f t="shared" si="2"/>
        <v>1.8100558659217878</v>
      </c>
      <c r="E13" s="87">
        <f>'Water Reading'!H13-'Water Reading'!H12</f>
        <v>32</v>
      </c>
      <c r="F13" s="89">
        <f t="shared" si="3"/>
        <v>9.8765432098765427E-2</v>
      </c>
      <c r="G13" s="93">
        <f>('Water Reading'!D13-'Water Reading'!D12)-('Water Reading'!R13-'Water Reading'!R12)-('Water Reading'!Q13-'Water Reading'!Q12)</f>
        <v>240</v>
      </c>
      <c r="H13" s="89">
        <f t="shared" si="4"/>
        <v>0.7407407407407407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5.8641975308641972E-2</v>
      </c>
      <c r="M13" s="90">
        <f>'Water Reading'!R13-'Water Reading'!R12</f>
        <v>10</v>
      </c>
      <c r="N13" s="92">
        <f t="shared" si="7"/>
        <v>3.0864197530864196E-2</v>
      </c>
      <c r="O13" s="90">
        <f>'Water Reading'!Q13-'Water Reading'!Q12</f>
        <v>5</v>
      </c>
      <c r="P13" s="99">
        <f t="shared" si="8"/>
        <v>1.5432098765432098E-2</v>
      </c>
      <c r="Q13" s="91">
        <f>'Water Reading'!F13-'Water Reading'!F12</f>
        <v>1</v>
      </c>
      <c r="R13" s="100">
        <f t="shared" si="9"/>
        <v>3.0864197530864196E-3</v>
      </c>
      <c r="S13" s="94">
        <f>'Water Reading'!E13-'Water Reading'!E12</f>
        <v>52</v>
      </c>
      <c r="T13" s="100">
        <f t="shared" si="10"/>
        <v>0.16049382716049382</v>
      </c>
      <c r="U13" s="90">
        <f>'Water Reading'!G13-'Water Reading'!G12</f>
        <v>16</v>
      </c>
      <c r="V13" s="100">
        <f t="shared" si="11"/>
        <v>4.9382716049382713E-2</v>
      </c>
      <c r="W13" s="90">
        <f>'Water Reading'!J13-'Water Reading'!J12</f>
        <v>11</v>
      </c>
      <c r="X13" s="100">
        <f t="shared" si="12"/>
        <v>3.3950617283950615E-2</v>
      </c>
      <c r="Y13" s="66">
        <f t="shared" si="0"/>
        <v>386</v>
      </c>
      <c r="Z13" s="67">
        <f t="shared" si="1"/>
        <v>2.1564245810055866</v>
      </c>
    </row>
    <row r="14" spans="1:26" x14ac:dyDescent="0.25">
      <c r="A14" s="8">
        <f>'Water Reading'!A13</f>
        <v>44419</v>
      </c>
      <c r="B14" s="65">
        <f>TOTAL!I12</f>
        <v>442</v>
      </c>
      <c r="C14" s="66">
        <f>('Water Reading'!B14-'Water Reading'!B13)+('Water Reading'!C14-'Water Reading'!C13)</f>
        <v>1409</v>
      </c>
      <c r="D14" s="67">
        <f t="shared" si="2"/>
        <v>3.1877828054298645</v>
      </c>
      <c r="E14" s="88">
        <f>'Water Reading'!H14-'Water Reading'!H13</f>
        <v>38</v>
      </c>
      <c r="F14" s="89">
        <f t="shared" si="3"/>
        <v>2.6969481902058199E-2</v>
      </c>
      <c r="G14" s="93">
        <f>('Water Reading'!D14-'Water Reading'!D13)-('Water Reading'!R14-'Water Reading'!R13)-('Water Reading'!Q14-'Water Reading'!Q13)</f>
        <v>288</v>
      </c>
      <c r="H14" s="89">
        <f t="shared" si="4"/>
        <v>0.20440028388928319</v>
      </c>
      <c r="I14" s="90">
        <f>'Water Reading'!P14-'Water Reading'!P13</f>
        <v>21</v>
      </c>
      <c r="J14" s="68">
        <f t="shared" si="5"/>
        <v>1.4904187366926898E-2</v>
      </c>
      <c r="K14" s="91">
        <f>('Water Reading'!I14-'Water Reading'!I13)-('Water Reading'!P14-'Water Reading'!P13)</f>
        <v>21</v>
      </c>
      <c r="L14" s="68">
        <f t="shared" si="6"/>
        <v>1.4904187366926898E-2</v>
      </c>
      <c r="M14" s="90">
        <f>'Water Reading'!R14-'Water Reading'!R13</f>
        <v>9</v>
      </c>
      <c r="N14" s="92">
        <f t="shared" si="7"/>
        <v>6.3875088715400997E-3</v>
      </c>
      <c r="O14" s="90">
        <f>'Water Reading'!Q14-'Water Reading'!Q13</f>
        <v>6</v>
      </c>
      <c r="P14" s="99">
        <f t="shared" si="8"/>
        <v>4.2583392476933995E-3</v>
      </c>
      <c r="Q14" s="91">
        <f>'Water Reading'!F14-'Water Reading'!F13</f>
        <v>1</v>
      </c>
      <c r="R14" s="100">
        <f t="shared" si="9"/>
        <v>7.0972320794889996E-4</v>
      </c>
      <c r="S14" s="94">
        <f>'Water Reading'!E14-'Water Reading'!E13</f>
        <v>58</v>
      </c>
      <c r="T14" s="100">
        <f t="shared" si="10"/>
        <v>4.1163946061036197E-2</v>
      </c>
      <c r="U14" s="90">
        <f>'Water Reading'!G14-'Water Reading'!G13</f>
        <v>18</v>
      </c>
      <c r="V14" s="100">
        <f t="shared" si="11"/>
        <v>1.2775017743080199E-2</v>
      </c>
      <c r="W14" s="90">
        <f>'Water Reading'!J14-'Water Reading'!J13</f>
        <v>11</v>
      </c>
      <c r="X14" s="100">
        <f t="shared" si="12"/>
        <v>7.806955287437899E-3</v>
      </c>
      <c r="Y14" s="66">
        <f t="shared" si="0"/>
        <v>471</v>
      </c>
      <c r="Z14" s="67">
        <f t="shared" si="1"/>
        <v>1.0656108597285068</v>
      </c>
    </row>
    <row r="15" spans="1:26" x14ac:dyDescent="0.25">
      <c r="A15" s="8">
        <f>'Water Reading'!A14</f>
        <v>44420</v>
      </c>
      <c r="B15" s="65">
        <f>TOTAL!I13</f>
        <v>384</v>
      </c>
      <c r="C15" s="66">
        <f>('Water Reading'!B15-'Water Reading'!B14)+('Water Reading'!C15-'Water Reading'!C14)</f>
        <v>223</v>
      </c>
      <c r="D15" s="67">
        <f t="shared" si="2"/>
        <v>0.58072916666666663</v>
      </c>
      <c r="E15" s="87">
        <f>'Water Reading'!H15-'Water Reading'!H14</f>
        <v>27</v>
      </c>
      <c r="F15" s="89">
        <f t="shared" si="3"/>
        <v>0.1210762331838565</v>
      </c>
      <c r="G15" s="93">
        <f>('Water Reading'!D15-'Water Reading'!D14)-('Water Reading'!R15-'Water Reading'!R14)-('Water Reading'!Q15-'Water Reading'!Q14)</f>
        <v>218</v>
      </c>
      <c r="H15" s="89">
        <f t="shared" si="4"/>
        <v>0.97757847533632292</v>
      </c>
      <c r="I15" s="90">
        <f>'Water Reading'!P15-'Water Reading'!P14</f>
        <v>8</v>
      </c>
      <c r="J15" s="68">
        <f t="shared" si="5"/>
        <v>3.5874439461883408E-2</v>
      </c>
      <c r="K15" s="91">
        <f>('Water Reading'!I15-'Water Reading'!I14)-('Water Reading'!P15-'Water Reading'!P14)</f>
        <v>21</v>
      </c>
      <c r="L15" s="68">
        <f t="shared" si="6"/>
        <v>9.417040358744394E-2</v>
      </c>
      <c r="M15" s="90">
        <f>'Water Reading'!R15-'Water Reading'!R14</f>
        <v>5</v>
      </c>
      <c r="N15" s="92">
        <f t="shared" si="7"/>
        <v>2.2421524663677129E-2</v>
      </c>
      <c r="O15" s="90">
        <f>'Water Reading'!Q15-'Water Reading'!Q14</f>
        <v>4</v>
      </c>
      <c r="P15" s="99">
        <f t="shared" si="8"/>
        <v>1.7937219730941704E-2</v>
      </c>
      <c r="Q15" s="91">
        <f>'Water Reading'!F15-'Water Reading'!F14</f>
        <v>1</v>
      </c>
      <c r="R15" s="100">
        <f t="shared" si="9"/>
        <v>4.4843049327354259E-3</v>
      </c>
      <c r="S15" s="94">
        <f>'Water Reading'!E15-'Water Reading'!E14</f>
        <v>60</v>
      </c>
      <c r="T15" s="100">
        <f t="shared" si="10"/>
        <v>0.26905829596412556</v>
      </c>
      <c r="U15" s="90">
        <f>'Water Reading'!G15-'Water Reading'!G14</f>
        <v>18</v>
      </c>
      <c r="V15" s="100">
        <f t="shared" si="11"/>
        <v>8.0717488789237665E-2</v>
      </c>
      <c r="W15" s="90">
        <f>'Water Reading'!J15-'Water Reading'!J14</f>
        <v>12</v>
      </c>
      <c r="X15" s="100">
        <f t="shared" si="12"/>
        <v>5.3811659192825115E-2</v>
      </c>
      <c r="Y15" s="66">
        <f t="shared" si="0"/>
        <v>374</v>
      </c>
      <c r="Z15" s="67">
        <f t="shared" si="1"/>
        <v>0.97395833333333337</v>
      </c>
    </row>
    <row r="16" spans="1:26" x14ac:dyDescent="0.25">
      <c r="A16" s="8">
        <f>'Water Reading'!A15</f>
        <v>44421</v>
      </c>
      <c r="B16" s="65">
        <f>TOTAL!I14</f>
        <v>327</v>
      </c>
      <c r="C16" s="66">
        <f>('Water Reading'!B16-'Water Reading'!B15)+('Water Reading'!C16-'Water Reading'!C15)</f>
        <v>169</v>
      </c>
      <c r="D16" s="67">
        <f t="shared" si="2"/>
        <v>0.51681957186544347</v>
      </c>
      <c r="E16" s="87">
        <f>'Water Reading'!H16-'Water Reading'!H15</f>
        <v>38</v>
      </c>
      <c r="F16" s="89">
        <f t="shared" si="3"/>
        <v>0.22485207100591717</v>
      </c>
      <c r="G16" s="93">
        <f>('Water Reading'!D16-'Water Reading'!D15)-('Water Reading'!R16-'Water Reading'!R15)-('Water Reading'!Q16-'Water Reading'!Q15)</f>
        <v>133</v>
      </c>
      <c r="H16" s="89">
        <f t="shared" si="4"/>
        <v>0.78698224852071008</v>
      </c>
      <c r="I16" s="90">
        <f>'Water Reading'!P16-'Water Reading'!P15</f>
        <v>104</v>
      </c>
      <c r="J16" s="68">
        <f t="shared" si="5"/>
        <v>0.61538461538461542</v>
      </c>
      <c r="K16" s="91">
        <f>('Water Reading'!I16-'Water Reading'!I15)-('Water Reading'!P16-'Water Reading'!P15)</f>
        <v>37</v>
      </c>
      <c r="L16" s="68">
        <f t="shared" si="6"/>
        <v>0.21893491124260356</v>
      </c>
      <c r="M16" s="90">
        <f>'Water Reading'!R16-'Water Reading'!R15</f>
        <v>2</v>
      </c>
      <c r="N16" s="92">
        <f t="shared" si="7"/>
        <v>1.1834319526627219E-2</v>
      </c>
      <c r="O16" s="90">
        <f>'Water Reading'!Q16-'Water Reading'!Q15</f>
        <v>2</v>
      </c>
      <c r="P16" s="99">
        <f t="shared" si="8"/>
        <v>1.1834319526627219E-2</v>
      </c>
      <c r="Q16" s="91">
        <f>'Water Reading'!F16-'Water Reading'!F15</f>
        <v>1</v>
      </c>
      <c r="R16" s="100">
        <f t="shared" si="9"/>
        <v>5.9171597633136093E-3</v>
      </c>
      <c r="S16" s="94">
        <f>'Water Reading'!E16-'Water Reading'!E15</f>
        <v>67</v>
      </c>
      <c r="T16" s="100">
        <f t="shared" si="10"/>
        <v>0.39644970414201186</v>
      </c>
      <c r="U16" s="90">
        <f>'Water Reading'!G16-'Water Reading'!G15</f>
        <v>17</v>
      </c>
      <c r="V16" s="100">
        <f t="shared" si="11"/>
        <v>0.10059171597633136</v>
      </c>
      <c r="W16" s="90">
        <f>'Water Reading'!J16-'Water Reading'!J15</f>
        <v>11</v>
      </c>
      <c r="X16" s="100">
        <f t="shared" si="12"/>
        <v>6.5088757396449703E-2</v>
      </c>
      <c r="Y16" s="66">
        <f t="shared" si="0"/>
        <v>412</v>
      </c>
      <c r="Z16" s="67">
        <f t="shared" si="1"/>
        <v>1.2599388379204892</v>
      </c>
    </row>
    <row r="17" spans="1:26" x14ac:dyDescent="0.25">
      <c r="A17" s="8">
        <f>'Water Reading'!A16</f>
        <v>44422</v>
      </c>
      <c r="B17" s="65">
        <f>TOTAL!I15</f>
        <v>317</v>
      </c>
      <c r="C17" s="66">
        <f>('Water Reading'!B17-'Water Reading'!B16)+('Water Reading'!C17-'Water Reading'!C16)</f>
        <v>324</v>
      </c>
      <c r="D17" s="67">
        <f t="shared" si="2"/>
        <v>1.0220820189274449</v>
      </c>
      <c r="E17" s="87">
        <f>'Water Reading'!H17-'Water Reading'!H16</f>
        <v>35</v>
      </c>
      <c r="F17" s="89">
        <f t="shared" si="3"/>
        <v>0.10802469135802469</v>
      </c>
      <c r="G17" s="93">
        <f>('Water Reading'!D17-'Water Reading'!D16)-('Water Reading'!R17-'Water Reading'!R16)-('Water Reading'!Q17-'Water Reading'!Q16)</f>
        <v>153</v>
      </c>
      <c r="H17" s="89">
        <f t="shared" si="4"/>
        <v>0.47222222222222221</v>
      </c>
      <c r="I17" s="90">
        <f>'Water Reading'!P17-'Water Reading'!P16</f>
        <v>0</v>
      </c>
      <c r="J17" s="68">
        <f t="shared" si="5"/>
        <v>0</v>
      </c>
      <c r="K17" s="91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9</v>
      </c>
      <c r="N17" s="92">
        <f t="shared" si="7"/>
        <v>2.7777777777777776E-2</v>
      </c>
      <c r="O17" s="90">
        <f>'Water Reading'!Q17-'Water Reading'!Q16</f>
        <v>7</v>
      </c>
      <c r="P17" s="99">
        <f t="shared" si="8"/>
        <v>2.1604938271604937E-2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55</v>
      </c>
      <c r="T17" s="100">
        <f t="shared" si="10"/>
        <v>0.16975308641975309</v>
      </c>
      <c r="U17" s="90">
        <f>'Water Reading'!G17-'Water Reading'!G16</f>
        <v>19</v>
      </c>
      <c r="V17" s="100">
        <f t="shared" si="11"/>
        <v>5.8641975308641972E-2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310</v>
      </c>
      <c r="Z17" s="67">
        <f t="shared" si="1"/>
        <v>0.97791798107255523</v>
      </c>
    </row>
    <row r="18" spans="1:26" x14ac:dyDescent="0.25">
      <c r="A18" s="8">
        <f>'Water Reading'!A17</f>
        <v>44423</v>
      </c>
      <c r="B18" s="65">
        <f>TOTAL!I16</f>
        <v>333</v>
      </c>
      <c r="C18" s="66">
        <f>('Water Reading'!B18-'Water Reading'!B17)+('Water Reading'!C18-'Water Reading'!C17)</f>
        <v>219</v>
      </c>
      <c r="D18" s="67">
        <f t="shared" si="2"/>
        <v>0.65765765765765771</v>
      </c>
      <c r="E18" s="87">
        <f>'Water Reading'!H18-'Water Reading'!H17</f>
        <v>39</v>
      </c>
      <c r="F18" s="89">
        <f t="shared" si="3"/>
        <v>0.17808219178082191</v>
      </c>
      <c r="G18" s="93">
        <f>('Water Reading'!D18-'Water Reading'!D17)-('Water Reading'!R18-'Water Reading'!R17)-('Water Reading'!Q18-'Water Reading'!Q17)</f>
        <v>177</v>
      </c>
      <c r="H18" s="89">
        <f t="shared" si="4"/>
        <v>0.80821917808219179</v>
      </c>
      <c r="I18" s="90">
        <f>'Water Reading'!P18-'Water Reading'!P17</f>
        <v>13</v>
      </c>
      <c r="J18" s="68">
        <f t="shared" si="5"/>
        <v>5.9360730593607303E-2</v>
      </c>
      <c r="K18" s="91">
        <f>('Water Reading'!I18-'Water Reading'!I17)-('Water Reading'!P18-'Water Reading'!P17)</f>
        <v>29</v>
      </c>
      <c r="L18" s="68">
        <f t="shared" si="6"/>
        <v>0.13242009132420091</v>
      </c>
      <c r="M18" s="90">
        <f>'Water Reading'!R18-'Water Reading'!R17</f>
        <v>9</v>
      </c>
      <c r="N18" s="92">
        <f t="shared" si="7"/>
        <v>4.1095890410958902E-2</v>
      </c>
      <c r="O18" s="90">
        <f>'Water Reading'!Q18-'Water Reading'!Q17</f>
        <v>9</v>
      </c>
      <c r="P18" s="99">
        <f t="shared" si="8"/>
        <v>4.1095890410958902E-2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66</v>
      </c>
      <c r="T18" s="100">
        <f t="shared" si="10"/>
        <v>0.30136986301369861</v>
      </c>
      <c r="U18" s="90">
        <f>'Water Reading'!G18-'Water Reading'!G17</f>
        <v>25</v>
      </c>
      <c r="V18" s="100">
        <f t="shared" si="11"/>
        <v>0.11415525114155251</v>
      </c>
      <c r="W18" s="90">
        <f>'Water Reading'!J18-'Water Reading'!J17</f>
        <v>13</v>
      </c>
      <c r="X18" s="100">
        <f t="shared" si="12"/>
        <v>5.9360730593607303E-2</v>
      </c>
      <c r="Y18" s="66">
        <f t="shared" si="0"/>
        <v>380</v>
      </c>
      <c r="Z18" s="67">
        <f t="shared" si="1"/>
        <v>1.1411411411411412</v>
      </c>
    </row>
    <row r="19" spans="1:26" x14ac:dyDescent="0.25">
      <c r="A19" s="8">
        <f>'Water Reading'!A18</f>
        <v>44424</v>
      </c>
      <c r="B19" s="65">
        <f>TOTAL!I17</f>
        <v>374</v>
      </c>
      <c r="C19" s="66">
        <f>('Water Reading'!B19-'Water Reading'!B18)+('Water Reading'!C19-'Water Reading'!C18)</f>
        <v>205</v>
      </c>
      <c r="D19" s="67">
        <f t="shared" si="2"/>
        <v>0.54812834224598928</v>
      </c>
      <c r="E19" s="87">
        <f>'Water Reading'!H19-'Water Reading'!H18</f>
        <v>39</v>
      </c>
      <c r="F19" s="89">
        <f t="shared" si="3"/>
        <v>0.19024390243902439</v>
      </c>
      <c r="G19" s="93">
        <f>('Water Reading'!D19-'Water Reading'!D18)-('Water Reading'!R19-'Water Reading'!R18)-('Water Reading'!Q19-'Water Reading'!Q18)</f>
        <v>195</v>
      </c>
      <c r="H19" s="89">
        <f t="shared" si="4"/>
        <v>0.95121951219512191</v>
      </c>
      <c r="I19" s="90">
        <f>'Water Reading'!P19-'Water Reading'!P18</f>
        <v>9</v>
      </c>
      <c r="J19" s="68">
        <f t="shared" si="5"/>
        <v>4.3902439024390241E-2</v>
      </c>
      <c r="K19" s="91">
        <f>('Water Reading'!I19-'Water Reading'!I18)-('Water Reading'!P19-'Water Reading'!P18)</f>
        <v>21</v>
      </c>
      <c r="L19" s="68">
        <f t="shared" si="6"/>
        <v>0.1024390243902439</v>
      </c>
      <c r="M19" s="90">
        <f>'Water Reading'!R19-'Water Reading'!R18</f>
        <v>6</v>
      </c>
      <c r="N19" s="92">
        <f t="shared" si="7"/>
        <v>2.9268292682926831E-2</v>
      </c>
      <c r="O19" s="90">
        <f>'Water Reading'!Q19-'Water Reading'!Q18</f>
        <v>4</v>
      </c>
      <c r="P19" s="99">
        <f t="shared" si="8"/>
        <v>1.9512195121951219E-2</v>
      </c>
      <c r="Q19" s="91">
        <f>'Water Reading'!F19-'Water Reading'!F18</f>
        <v>1</v>
      </c>
      <c r="R19" s="100">
        <f t="shared" si="9"/>
        <v>4.8780487804878049E-3</v>
      </c>
      <c r="S19" s="94">
        <f>'Water Reading'!E19-'Water Reading'!E18</f>
        <v>62</v>
      </c>
      <c r="T19" s="100">
        <f t="shared" si="10"/>
        <v>0.30243902439024389</v>
      </c>
      <c r="U19" s="90">
        <f>'Water Reading'!G19-'Water Reading'!G18</f>
        <v>22</v>
      </c>
      <c r="V19" s="100">
        <f t="shared" si="11"/>
        <v>0.10731707317073171</v>
      </c>
      <c r="W19" s="90">
        <f>'Water Reading'!J19-'Water Reading'!J18</f>
        <v>11</v>
      </c>
      <c r="X19" s="100">
        <f t="shared" si="12"/>
        <v>5.3658536585365853E-2</v>
      </c>
      <c r="Y19" s="66">
        <f t="shared" si="0"/>
        <v>370</v>
      </c>
      <c r="Z19" s="67">
        <f t="shared" si="1"/>
        <v>0.98930481283422456</v>
      </c>
    </row>
    <row r="20" spans="1:26" x14ac:dyDescent="0.25">
      <c r="A20" s="8">
        <f>'Water Reading'!A19</f>
        <v>44425</v>
      </c>
      <c r="B20" s="65">
        <f>TOTAL!I18</f>
        <v>262</v>
      </c>
      <c r="C20" s="66">
        <f>('Water Reading'!B20-'Water Reading'!B19)+('Water Reading'!C20-'Water Reading'!C19)</f>
        <v>117</v>
      </c>
      <c r="D20" s="67">
        <f t="shared" si="2"/>
        <v>0.44656488549618323</v>
      </c>
      <c r="E20" s="87">
        <f>'Water Reading'!H20-'Water Reading'!H19</f>
        <v>32</v>
      </c>
      <c r="F20" s="89">
        <f t="shared" si="3"/>
        <v>0.27350427350427353</v>
      </c>
      <c r="G20" s="93">
        <f>('Water Reading'!D20-'Water Reading'!D19)-('Water Reading'!R20-'Water Reading'!R19)-('Water Reading'!Q20-'Water Reading'!Q19)</f>
        <v>120</v>
      </c>
      <c r="H20" s="89">
        <f t="shared" si="4"/>
        <v>1.0256410256410255</v>
      </c>
      <c r="I20" s="90">
        <f>'Water Reading'!P20-'Water Reading'!P19</f>
        <v>8</v>
      </c>
      <c r="J20" s="68">
        <f t="shared" si="5"/>
        <v>6.8376068376068383E-2</v>
      </c>
      <c r="K20" s="91">
        <f>('Water Reading'!I20-'Water Reading'!I19)-('Water Reading'!P20-'Water Reading'!P19)</f>
        <v>24</v>
      </c>
      <c r="L20" s="68">
        <f t="shared" si="6"/>
        <v>0.20512820512820512</v>
      </c>
      <c r="M20" s="90">
        <f>'Water Reading'!R20-'Water Reading'!R19</f>
        <v>10</v>
      </c>
      <c r="N20" s="92">
        <f t="shared" si="7"/>
        <v>8.5470085470085472E-2</v>
      </c>
      <c r="O20" s="90">
        <f>'Water Reading'!Q20-'Water Reading'!Q19</f>
        <v>5</v>
      </c>
      <c r="P20" s="99">
        <f t="shared" si="8"/>
        <v>4.2735042735042736E-2</v>
      </c>
      <c r="Q20" s="91">
        <f>'Water Reading'!F20-'Water Reading'!F19</f>
        <v>2</v>
      </c>
      <c r="R20" s="100">
        <f t="shared" si="9"/>
        <v>1.7094017094017096E-2</v>
      </c>
      <c r="S20" s="94">
        <f>'Water Reading'!E20-'Water Reading'!E19</f>
        <v>58</v>
      </c>
      <c r="T20" s="100">
        <f t="shared" si="10"/>
        <v>0.49572649572649574</v>
      </c>
      <c r="U20" s="90">
        <f>'Water Reading'!G20-'Water Reading'!G19</f>
        <v>16</v>
      </c>
      <c r="V20" s="100">
        <f t="shared" si="11"/>
        <v>0.13675213675213677</v>
      </c>
      <c r="W20" s="90">
        <f>'Water Reading'!J20-'Water Reading'!J19</f>
        <v>10</v>
      </c>
      <c r="X20" s="100">
        <f t="shared" si="12"/>
        <v>8.5470085470085472E-2</v>
      </c>
      <c r="Y20" s="66">
        <f t="shared" si="0"/>
        <v>285</v>
      </c>
      <c r="Z20" s="67">
        <f t="shared" si="1"/>
        <v>1.0877862595419847</v>
      </c>
    </row>
    <row r="21" spans="1:26" x14ac:dyDescent="0.25">
      <c r="A21" s="8">
        <f>'Water Reading'!A20</f>
        <v>44426</v>
      </c>
      <c r="B21" s="65">
        <f>TOTAL!I19</f>
        <v>314</v>
      </c>
      <c r="C21" s="66">
        <f>('Water Reading'!B21-'Water Reading'!B20)+('Water Reading'!C21-'Water Reading'!C20)</f>
        <v>976</v>
      </c>
      <c r="D21" s="67">
        <f t="shared" si="2"/>
        <v>3.1082802547770703</v>
      </c>
      <c r="E21" s="87">
        <f>'Water Reading'!H21-'Water Reading'!H20</f>
        <v>29</v>
      </c>
      <c r="F21" s="89">
        <f t="shared" si="3"/>
        <v>2.9713114754098359E-2</v>
      </c>
      <c r="G21" s="93">
        <f>('Water Reading'!D21-'Water Reading'!D20)-('Water Reading'!R21-'Water Reading'!R20)-('Water Reading'!Q21-'Water Reading'!Q20)</f>
        <v>170</v>
      </c>
      <c r="H21" s="89">
        <f t="shared" si="4"/>
        <v>0.17418032786885246</v>
      </c>
      <c r="I21" s="90">
        <f>'Water Reading'!P21-'Water Reading'!P20</f>
        <v>7</v>
      </c>
      <c r="J21" s="68">
        <f t="shared" si="5"/>
        <v>7.1721311475409838E-3</v>
      </c>
      <c r="K21" s="91">
        <f>('Water Reading'!I21-'Water Reading'!I20)-('Water Reading'!P21-'Water Reading'!P20)</f>
        <v>19</v>
      </c>
      <c r="L21" s="68">
        <f t="shared" si="6"/>
        <v>1.9467213114754099E-2</v>
      </c>
      <c r="M21" s="90">
        <f>'Water Reading'!R21-'Water Reading'!R20</f>
        <v>9</v>
      </c>
      <c r="N21" s="92">
        <f t="shared" si="7"/>
        <v>9.2213114754098359E-3</v>
      </c>
      <c r="O21" s="90">
        <f>'Water Reading'!Q21-'Water Reading'!Q20</f>
        <v>4</v>
      </c>
      <c r="P21" s="99">
        <f t="shared" si="8"/>
        <v>4.0983606557377051E-3</v>
      </c>
      <c r="Q21" s="91">
        <f>'Water Reading'!F21-'Water Reading'!F20</f>
        <v>1</v>
      </c>
      <c r="R21" s="100">
        <f t="shared" si="9"/>
        <v>1.0245901639344263E-3</v>
      </c>
      <c r="S21" s="94">
        <f>'Water Reading'!E21-'Water Reading'!E20</f>
        <v>59</v>
      </c>
      <c r="T21" s="100">
        <f t="shared" si="10"/>
        <v>6.0450819672131145E-2</v>
      </c>
      <c r="U21" s="90">
        <f>'Water Reading'!G21-'Water Reading'!G20</f>
        <v>21</v>
      </c>
      <c r="V21" s="100">
        <f t="shared" si="11"/>
        <v>2.151639344262295E-2</v>
      </c>
      <c r="W21" s="90">
        <f>'Water Reading'!J21-'Water Reading'!J20</f>
        <v>11</v>
      </c>
      <c r="X21" s="100">
        <f t="shared" si="12"/>
        <v>1.1270491803278689E-2</v>
      </c>
      <c r="Y21" s="66">
        <f t="shared" si="0"/>
        <v>330</v>
      </c>
      <c r="Z21" s="67">
        <f t="shared" si="1"/>
        <v>1.0509554140127388</v>
      </c>
    </row>
    <row r="22" spans="1:26" x14ac:dyDescent="0.25">
      <c r="A22" s="8">
        <f>'Water Reading'!A21</f>
        <v>44427</v>
      </c>
      <c r="B22" s="65">
        <f>TOTAL!I20</f>
        <v>329</v>
      </c>
      <c r="C22" s="66">
        <f>('Water Reading'!B22-'Water Reading'!B21)+('Water Reading'!C22-'Water Reading'!C21)</f>
        <v>295</v>
      </c>
      <c r="D22" s="67">
        <f t="shared" si="2"/>
        <v>0.89665653495440734</v>
      </c>
      <c r="E22" s="87">
        <f>'Water Reading'!H22-'Water Reading'!H21</f>
        <v>41</v>
      </c>
      <c r="F22" s="89">
        <f t="shared" si="3"/>
        <v>0.13898305084745763</v>
      </c>
      <c r="G22" s="93">
        <f>('Water Reading'!D22-'Water Reading'!D21)-('Water Reading'!R22-'Water Reading'!R21)-('Water Reading'!Q22-'Water Reading'!Q21)</f>
        <v>187</v>
      </c>
      <c r="H22" s="89">
        <f t="shared" si="4"/>
        <v>0.63389830508474576</v>
      </c>
      <c r="I22" s="90">
        <f>'Water Reading'!P22-'Water Reading'!P21</f>
        <v>16</v>
      </c>
      <c r="J22" s="68">
        <f t="shared" si="5"/>
        <v>5.4237288135593219E-2</v>
      </c>
      <c r="K22" s="91">
        <f>('Water Reading'!I22-'Water Reading'!I21)-('Water Reading'!P22-'Water Reading'!P21)</f>
        <v>24</v>
      </c>
      <c r="L22" s="68">
        <f t="shared" si="6"/>
        <v>8.1355932203389825E-2</v>
      </c>
      <c r="M22" s="90">
        <f>'Water Reading'!R22-'Water Reading'!R21</f>
        <v>6</v>
      </c>
      <c r="N22" s="92">
        <f t="shared" si="7"/>
        <v>2.0338983050847456E-2</v>
      </c>
      <c r="O22" s="90">
        <f>'Water Reading'!Q22-'Water Reading'!Q21</f>
        <v>5</v>
      </c>
      <c r="P22" s="99">
        <f t="shared" si="8"/>
        <v>1.6949152542372881E-2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164</v>
      </c>
      <c r="T22" s="100">
        <f t="shared" si="10"/>
        <v>0.55593220338983051</v>
      </c>
      <c r="U22" s="90">
        <f>'Water Reading'!G22-'Water Reading'!G21</f>
        <v>26</v>
      </c>
      <c r="V22" s="100">
        <f t="shared" si="11"/>
        <v>8.8135593220338981E-2</v>
      </c>
      <c r="W22" s="90">
        <f>'Water Reading'!J22-'Water Reading'!J21</f>
        <v>11</v>
      </c>
      <c r="X22" s="100">
        <f t="shared" si="12"/>
        <v>3.7288135593220341E-2</v>
      </c>
      <c r="Y22" s="66">
        <f t="shared" si="0"/>
        <v>480</v>
      </c>
      <c r="Z22" s="67">
        <f t="shared" si="1"/>
        <v>1.4589665653495441</v>
      </c>
    </row>
    <row r="23" spans="1:26" x14ac:dyDescent="0.25">
      <c r="A23" s="8">
        <f>'Water Reading'!A22</f>
        <v>44428</v>
      </c>
      <c r="B23" s="65">
        <f>TOTAL!I21</f>
        <v>242</v>
      </c>
      <c r="C23" s="66">
        <f>('Water Reading'!B23-'Water Reading'!B22)+('Water Reading'!C23-'Water Reading'!C22)</f>
        <v>180</v>
      </c>
      <c r="D23" s="67">
        <f t="shared" si="2"/>
        <v>0.74380165289256195</v>
      </c>
      <c r="E23" s="87">
        <f>'Water Reading'!H23-'Water Reading'!H22</f>
        <v>39</v>
      </c>
      <c r="F23" s="89">
        <f t="shared" si="3"/>
        <v>0.21666666666666667</v>
      </c>
      <c r="G23" s="93">
        <f>('Water Reading'!D23-'Water Reading'!D22)-('Water Reading'!R23-'Water Reading'!R22)-('Water Reading'!Q23-'Water Reading'!Q22)</f>
        <v>70</v>
      </c>
      <c r="H23" s="89">
        <f t="shared" si="4"/>
        <v>0.3888888888888889</v>
      </c>
      <c r="I23" s="90">
        <f>'Water Reading'!P23-'Water Reading'!P22</f>
        <v>0</v>
      </c>
      <c r="J23" s="68">
        <f t="shared" si="5"/>
        <v>0</v>
      </c>
      <c r="K23" s="91">
        <f>('Water Reading'!I23-'Water Reading'!I22)-('Water Reading'!P23-'Water Reading'!P22)</f>
        <v>13</v>
      </c>
      <c r="L23" s="68">
        <f t="shared" si="6"/>
        <v>7.2222222222222215E-2</v>
      </c>
      <c r="M23" s="90">
        <f>'Water Reading'!R23-'Water Reading'!R22</f>
        <v>12</v>
      </c>
      <c r="N23" s="92">
        <f t="shared" si="7"/>
        <v>6.6666666666666666E-2</v>
      </c>
      <c r="O23" s="90">
        <f>'Water Reading'!Q23-'Water Reading'!Q22</f>
        <v>1</v>
      </c>
      <c r="P23" s="99">
        <f t="shared" si="8"/>
        <v>5.5555555555555558E-3</v>
      </c>
      <c r="Q23" s="91">
        <f>'Water Reading'!F23-'Water Reading'!F22</f>
        <v>1</v>
      </c>
      <c r="R23" s="100">
        <f t="shared" si="9"/>
        <v>5.5555555555555558E-3</v>
      </c>
      <c r="S23" s="94">
        <f>'Water Reading'!E23-'Water Reading'!E22</f>
        <v>56</v>
      </c>
      <c r="T23" s="100">
        <f t="shared" si="10"/>
        <v>0.31111111111111112</v>
      </c>
      <c r="U23" s="90">
        <f>'Water Reading'!G23-'Water Reading'!G22</f>
        <v>17</v>
      </c>
      <c r="V23" s="100">
        <f t="shared" si="11"/>
        <v>9.4444444444444442E-2</v>
      </c>
      <c r="W23" s="90">
        <f>'Water Reading'!J23-'Water Reading'!J22</f>
        <v>11</v>
      </c>
      <c r="X23" s="100">
        <f t="shared" si="12"/>
        <v>6.1111111111111109E-2</v>
      </c>
      <c r="Y23" s="66">
        <f t="shared" si="0"/>
        <v>220</v>
      </c>
      <c r="Z23" s="67">
        <f t="shared" si="1"/>
        <v>0.90909090909090906</v>
      </c>
    </row>
    <row r="24" spans="1:26" x14ac:dyDescent="0.25">
      <c r="A24" s="8">
        <f>'Water Reading'!A23</f>
        <v>44429</v>
      </c>
      <c r="B24" s="65">
        <f>TOTAL!I22</f>
        <v>233</v>
      </c>
      <c r="C24" s="66">
        <f>('Water Reading'!B24-'Water Reading'!B23)+('Water Reading'!C24-'Water Reading'!C23)</f>
        <v>490</v>
      </c>
      <c r="D24" s="67">
        <f t="shared" si="2"/>
        <v>2.1030042918454934</v>
      </c>
      <c r="E24" s="87">
        <f>'Water Reading'!H24-'Water Reading'!H23</f>
        <v>31</v>
      </c>
      <c r="F24" s="89">
        <f t="shared" si="3"/>
        <v>6.3265306122448975E-2</v>
      </c>
      <c r="G24" s="93">
        <f>('Water Reading'!D24-'Water Reading'!D23)-('Water Reading'!R24-'Water Reading'!R23)-('Water Reading'!Q24-'Water Reading'!Q23)</f>
        <v>32</v>
      </c>
      <c r="H24" s="89">
        <f t="shared" si="4"/>
        <v>6.5306122448979598E-2</v>
      </c>
      <c r="I24" s="90">
        <f>'Water Reading'!P24-'Water Reading'!P23</f>
        <v>13</v>
      </c>
      <c r="J24" s="68">
        <f t="shared" si="5"/>
        <v>2.6530612244897958E-2</v>
      </c>
      <c r="K24" s="91">
        <f>('Water Reading'!I24-'Water Reading'!I23)-('Water Reading'!P24-'Water Reading'!P23)</f>
        <v>24</v>
      </c>
      <c r="L24" s="68">
        <f t="shared" si="6"/>
        <v>4.8979591836734691E-2</v>
      </c>
      <c r="M24" s="90">
        <f>'Water Reading'!R24-'Water Reading'!R23</f>
        <v>54</v>
      </c>
      <c r="N24" s="92">
        <f t="shared" si="7"/>
        <v>0.11020408163265306</v>
      </c>
      <c r="O24" s="90">
        <f>'Water Reading'!Q24-'Water Reading'!Q23</f>
        <v>6</v>
      </c>
      <c r="P24" s="99">
        <f t="shared" si="8"/>
        <v>1.2244897959183673E-2</v>
      </c>
      <c r="Q24" s="91">
        <f>'Water Reading'!F24-'Water Reading'!F23</f>
        <v>1</v>
      </c>
      <c r="R24" s="100">
        <f t="shared" si="9"/>
        <v>2.0408163265306124E-3</v>
      </c>
      <c r="S24" s="94">
        <f>'Water Reading'!E24-'Water Reading'!E23</f>
        <v>-39</v>
      </c>
      <c r="T24" s="100">
        <f t="shared" si="10"/>
        <v>-7.9591836734693874E-2</v>
      </c>
      <c r="U24" s="90">
        <f>'Water Reading'!G24-'Water Reading'!G23</f>
        <v>20</v>
      </c>
      <c r="V24" s="100">
        <f t="shared" si="11"/>
        <v>4.0816326530612242E-2</v>
      </c>
      <c r="W24" s="90">
        <f>'Water Reading'!J24-'Water Reading'!J23</f>
        <v>10</v>
      </c>
      <c r="X24" s="100">
        <f t="shared" si="12"/>
        <v>2.0408163265306121E-2</v>
      </c>
      <c r="Y24" s="66">
        <f t="shared" si="0"/>
        <v>152</v>
      </c>
      <c r="Z24" s="67">
        <f t="shared" si="1"/>
        <v>0.6523605150214592</v>
      </c>
    </row>
    <row r="25" spans="1:26" x14ac:dyDescent="0.25">
      <c r="A25" s="8">
        <f>'Water Reading'!A24</f>
        <v>44430</v>
      </c>
      <c r="B25" s="65">
        <f>TOTAL!I23</f>
        <v>313</v>
      </c>
      <c r="C25" s="66">
        <f>('Water Reading'!B25-'Water Reading'!B24)+('Water Reading'!C25-'Water Reading'!C24)</f>
        <v>294</v>
      </c>
      <c r="D25" s="67">
        <f t="shared" si="2"/>
        <v>0.93929712460063897</v>
      </c>
      <c r="E25" s="87">
        <f>'Water Reading'!H25-'Water Reading'!H24</f>
        <v>30</v>
      </c>
      <c r="F25" s="89">
        <f t="shared" si="3"/>
        <v>0.10204081632653061</v>
      </c>
      <c r="G25" s="93">
        <f>('Water Reading'!D25-'Water Reading'!D24)-('Water Reading'!R25-'Water Reading'!R24)-('Water Reading'!Q25-'Water Reading'!Q24)</f>
        <v>224</v>
      </c>
      <c r="H25" s="89">
        <f t="shared" si="4"/>
        <v>0.76190476190476186</v>
      </c>
      <c r="I25" s="90">
        <f>'Water Reading'!P25-'Water Reading'!P24</f>
        <v>12</v>
      </c>
      <c r="J25" s="68">
        <f t="shared" si="5"/>
        <v>4.0816326530612242E-2</v>
      </c>
      <c r="K25" s="91">
        <f>('Water Reading'!I25-'Water Reading'!I24)-('Water Reading'!P25-'Water Reading'!P24)</f>
        <v>20</v>
      </c>
      <c r="L25" s="68">
        <f t="shared" si="6"/>
        <v>6.8027210884353748E-2</v>
      </c>
      <c r="M25" s="90">
        <f>'Water Reading'!R25-'Water Reading'!R24</f>
        <v>-42</v>
      </c>
      <c r="N25" s="92">
        <f t="shared" si="7"/>
        <v>-0.14285714285714285</v>
      </c>
      <c r="O25" s="90">
        <f>'Water Reading'!Q25-'Water Reading'!Q24</f>
        <v>7</v>
      </c>
      <c r="P25" s="99">
        <f t="shared" si="8"/>
        <v>2.3809523809523808E-2</v>
      </c>
      <c r="Q25" s="91">
        <f>'Water Reading'!F25-'Water Reading'!F24</f>
        <v>1</v>
      </c>
      <c r="R25" s="100">
        <f t="shared" si="9"/>
        <v>3.4013605442176869E-3</v>
      </c>
      <c r="S25" s="94">
        <f>'Water Reading'!E25-'Water Reading'!E24</f>
        <v>62</v>
      </c>
      <c r="T25" s="100">
        <f t="shared" si="10"/>
        <v>0.21088435374149661</v>
      </c>
      <c r="U25" s="90">
        <f>'Water Reading'!G25-'Water Reading'!G24</f>
        <v>21</v>
      </c>
      <c r="V25" s="100">
        <f t="shared" si="11"/>
        <v>7.1428571428571425E-2</v>
      </c>
      <c r="W25" s="90">
        <f>'Water Reading'!J25-'Water Reading'!J24</f>
        <v>11</v>
      </c>
      <c r="X25" s="100">
        <f t="shared" si="12"/>
        <v>3.7414965986394558E-2</v>
      </c>
      <c r="Y25" s="66">
        <f t="shared" si="0"/>
        <v>346</v>
      </c>
      <c r="Z25" s="67">
        <f t="shared" si="1"/>
        <v>1.1054313099041533</v>
      </c>
    </row>
    <row r="26" spans="1:26" x14ac:dyDescent="0.25">
      <c r="A26" s="8">
        <f>'Water Reading'!A25</f>
        <v>44431</v>
      </c>
      <c r="B26" s="65">
        <f>TOTAL!I24</f>
        <v>298</v>
      </c>
      <c r="C26" s="66">
        <f>('Water Reading'!B26-'Water Reading'!B25)+('Water Reading'!C26-'Water Reading'!C25)</f>
        <v>658</v>
      </c>
      <c r="D26" s="67">
        <f t="shared" si="2"/>
        <v>2.2080536912751678</v>
      </c>
      <c r="E26" s="87">
        <f>'Water Reading'!H26-'Water Reading'!H25</f>
        <v>27</v>
      </c>
      <c r="F26" s="89">
        <f t="shared" si="3"/>
        <v>4.1033434650455926E-2</v>
      </c>
      <c r="G26" s="93">
        <f>('Water Reading'!D26-'Water Reading'!D25)-('Water Reading'!R26-'Water Reading'!R25)-('Water Reading'!Q26-'Water Reading'!Q25)</f>
        <v>122</v>
      </c>
      <c r="H26" s="89">
        <f t="shared" si="4"/>
        <v>0.18541033434650456</v>
      </c>
      <c r="I26" s="90">
        <f>'Water Reading'!P26-'Water Reading'!P25</f>
        <v>16</v>
      </c>
      <c r="J26" s="68">
        <f t="shared" si="5"/>
        <v>2.4316109422492401E-2</v>
      </c>
      <c r="K26" s="91">
        <f>('Water Reading'!I26-'Water Reading'!I25)-('Water Reading'!P26-'Water Reading'!P25)</f>
        <v>18</v>
      </c>
      <c r="L26" s="68">
        <f t="shared" si="6"/>
        <v>2.7355623100303952E-2</v>
      </c>
      <c r="M26" s="90">
        <f>'Water Reading'!R26-'Water Reading'!R25</f>
        <v>6</v>
      </c>
      <c r="N26" s="92">
        <f t="shared" si="7"/>
        <v>9.11854103343465E-3</v>
      </c>
      <c r="O26" s="90">
        <f>'Water Reading'!Q26-'Water Reading'!Q25</f>
        <v>6</v>
      </c>
      <c r="P26" s="99">
        <f t="shared" si="8"/>
        <v>9.11854103343465E-3</v>
      </c>
      <c r="Q26" s="91">
        <f>'Water Reading'!F26-'Water Reading'!F25</f>
        <v>4</v>
      </c>
      <c r="R26" s="100">
        <f t="shared" si="9"/>
        <v>6.0790273556231003E-3</v>
      </c>
      <c r="S26" s="94">
        <f>'Water Reading'!E26-'Water Reading'!E25</f>
        <v>55</v>
      </c>
      <c r="T26" s="100">
        <f t="shared" si="10"/>
        <v>8.3586626139817627E-2</v>
      </c>
      <c r="U26" s="90">
        <f>'Water Reading'!G26-'Water Reading'!G25</f>
        <v>17</v>
      </c>
      <c r="V26" s="100">
        <f t="shared" si="11"/>
        <v>2.5835866261398176E-2</v>
      </c>
      <c r="W26" s="90">
        <f>'Water Reading'!J26-'Water Reading'!J25</f>
        <v>11</v>
      </c>
      <c r="X26" s="100">
        <f t="shared" si="12"/>
        <v>1.6717325227963525E-2</v>
      </c>
      <c r="Y26" s="66">
        <f t="shared" si="0"/>
        <v>282</v>
      </c>
      <c r="Z26" s="67">
        <f t="shared" si="1"/>
        <v>0.94630872483221473</v>
      </c>
    </row>
    <row r="27" spans="1:26" x14ac:dyDescent="0.25">
      <c r="A27" s="8">
        <f>'Water Reading'!A26</f>
        <v>44432</v>
      </c>
      <c r="B27" s="65">
        <f>TOTAL!I25</f>
        <v>316</v>
      </c>
      <c r="C27" s="66">
        <f>('Water Reading'!B27-'Water Reading'!B26)+('Water Reading'!C27-'Water Reading'!C26)</f>
        <v>344</v>
      </c>
      <c r="D27" s="67">
        <f t="shared" si="2"/>
        <v>1.0886075949367089</v>
      </c>
      <c r="E27" s="87">
        <f>'Water Reading'!H27-'Water Reading'!H26</f>
        <v>20</v>
      </c>
      <c r="F27" s="89">
        <f t="shared" si="3"/>
        <v>5.8139534883720929E-2</v>
      </c>
      <c r="G27" s="93">
        <f>('Water Reading'!D27-'Water Reading'!D26)-('Water Reading'!R27-'Water Reading'!R26)-('Water Reading'!Q27-'Water Reading'!Q26)</f>
        <v>208</v>
      </c>
      <c r="H27" s="89">
        <f t="shared" si="4"/>
        <v>0.60465116279069764</v>
      </c>
      <c r="I27" s="90">
        <f>'Water Reading'!P27-'Water Reading'!P26</f>
        <v>14</v>
      </c>
      <c r="J27" s="68">
        <f t="shared" si="5"/>
        <v>4.0697674418604654E-2</v>
      </c>
      <c r="K27" s="91">
        <f>('Water Reading'!I27-'Water Reading'!I26)-('Water Reading'!P27-'Water Reading'!P26)</f>
        <v>21</v>
      </c>
      <c r="L27" s="68">
        <f t="shared" si="6"/>
        <v>6.1046511627906974E-2</v>
      </c>
      <c r="M27" s="90">
        <f>'Water Reading'!R27-'Water Reading'!R26</f>
        <v>6</v>
      </c>
      <c r="N27" s="92">
        <f t="shared" si="7"/>
        <v>1.7441860465116279E-2</v>
      </c>
      <c r="O27" s="90">
        <f>'Water Reading'!Q27-'Water Reading'!Q26</f>
        <v>3</v>
      </c>
      <c r="P27" s="99">
        <f t="shared" si="8"/>
        <v>8.7209302325581394E-3</v>
      </c>
      <c r="Q27" s="91">
        <f>'Water Reading'!F27-'Water Reading'!F26</f>
        <v>0</v>
      </c>
      <c r="R27" s="100">
        <f t="shared" si="9"/>
        <v>0</v>
      </c>
      <c r="S27" s="94">
        <f>'Water Reading'!E27-'Water Reading'!E26</f>
        <v>60</v>
      </c>
      <c r="T27" s="100">
        <f t="shared" si="10"/>
        <v>0.1744186046511628</v>
      </c>
      <c r="U27" s="90">
        <f>'Water Reading'!G27-'Water Reading'!G26</f>
        <v>19</v>
      </c>
      <c r="V27" s="100">
        <f t="shared" si="11"/>
        <v>5.5232558139534885E-2</v>
      </c>
      <c r="W27" s="90">
        <f>'Water Reading'!J27-'Water Reading'!J26</f>
        <v>11</v>
      </c>
      <c r="X27" s="100">
        <f t="shared" si="12"/>
        <v>3.1976744186046513E-2</v>
      </c>
      <c r="Y27" s="66">
        <f t="shared" si="0"/>
        <v>362</v>
      </c>
      <c r="Z27" s="67">
        <f t="shared" si="1"/>
        <v>1.1455696202531647</v>
      </c>
    </row>
    <row r="28" spans="1:26" x14ac:dyDescent="0.25">
      <c r="A28" s="8">
        <f>'Water Reading'!A27</f>
        <v>44433</v>
      </c>
      <c r="B28" s="65">
        <f>TOTAL!I26</f>
        <v>341</v>
      </c>
      <c r="C28" s="66">
        <f>('Water Reading'!B28-'Water Reading'!B27)+('Water Reading'!C28-'Water Reading'!C27)</f>
        <v>197</v>
      </c>
      <c r="D28" s="67">
        <f t="shared" si="2"/>
        <v>0.57771260997067453</v>
      </c>
      <c r="E28" s="87">
        <f>'Water Reading'!H28-'Water Reading'!H27</f>
        <v>21</v>
      </c>
      <c r="F28" s="89">
        <f t="shared" si="3"/>
        <v>0.1065989847715736</v>
      </c>
      <c r="G28" s="93">
        <f>('Water Reading'!D28-'Water Reading'!D27)-('Water Reading'!R28-'Water Reading'!R27)-('Water Reading'!Q28-'Water Reading'!Q27)</f>
        <v>196</v>
      </c>
      <c r="H28" s="89">
        <f t="shared" si="4"/>
        <v>0.99492385786802029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22</v>
      </c>
      <c r="L28" s="68">
        <f t="shared" si="6"/>
        <v>0.1116751269035533</v>
      </c>
      <c r="M28" s="90">
        <f>'Water Reading'!R28-'Water Reading'!R27</f>
        <v>7</v>
      </c>
      <c r="N28" s="92">
        <f t="shared" si="7"/>
        <v>3.553299492385787E-2</v>
      </c>
      <c r="O28" s="90">
        <f>'Water Reading'!Q28-'Water Reading'!Q27</f>
        <v>0</v>
      </c>
      <c r="P28" s="99">
        <f t="shared" si="8"/>
        <v>0</v>
      </c>
      <c r="Q28" s="91">
        <f>'Water Reading'!F28-'Water Reading'!F27</f>
        <v>1</v>
      </c>
      <c r="R28" s="100">
        <f t="shared" si="9"/>
        <v>5.076142131979695E-3</v>
      </c>
      <c r="S28" s="94">
        <f>'Water Reading'!E28-'Water Reading'!E27</f>
        <v>55</v>
      </c>
      <c r="T28" s="100">
        <f t="shared" si="10"/>
        <v>0.27918781725888325</v>
      </c>
      <c r="U28" s="90">
        <f>'Water Reading'!G28-'Water Reading'!G27</f>
        <v>19</v>
      </c>
      <c r="V28" s="100">
        <f t="shared" si="11"/>
        <v>9.6446700507614211E-2</v>
      </c>
      <c r="W28" s="90">
        <f>'Water Reading'!J28-'Water Reading'!J27</f>
        <v>11</v>
      </c>
      <c r="X28" s="100">
        <f t="shared" si="12"/>
        <v>5.5837563451776651E-2</v>
      </c>
      <c r="Y28" s="66">
        <f t="shared" si="0"/>
        <v>332</v>
      </c>
      <c r="Z28" s="67">
        <f t="shared" si="1"/>
        <v>0.97360703812316718</v>
      </c>
    </row>
    <row r="29" spans="1:26" x14ac:dyDescent="0.25">
      <c r="A29" s="8">
        <f>'Water Reading'!A28</f>
        <v>44434</v>
      </c>
      <c r="B29" s="65">
        <f>TOTAL!I27</f>
        <v>249</v>
      </c>
      <c r="C29" s="66">
        <f>('Water Reading'!B29-'Water Reading'!B28)+('Water Reading'!C29-'Water Reading'!C28)</f>
        <v>355</v>
      </c>
      <c r="D29" s="67">
        <f t="shared" si="2"/>
        <v>1.4257028112449799</v>
      </c>
      <c r="E29" s="87">
        <f>'Water Reading'!H29-'Water Reading'!H28</f>
        <v>34</v>
      </c>
      <c r="F29" s="89">
        <f t="shared" si="3"/>
        <v>9.5774647887323941E-2</v>
      </c>
      <c r="G29" s="93">
        <f>('Water Reading'!D29-'Water Reading'!D28)-('Water Reading'!R29-'Water Reading'!R28)-('Water Reading'!Q29-'Water Reading'!Q28)</f>
        <v>93</v>
      </c>
      <c r="H29" s="89">
        <f t="shared" si="4"/>
        <v>0.26197183098591548</v>
      </c>
      <c r="I29" s="90">
        <f>'Water Reading'!P29-'Water Reading'!P28</f>
        <v>8</v>
      </c>
      <c r="J29" s="68">
        <f t="shared" si="5"/>
        <v>2.2535211267605635E-2</v>
      </c>
      <c r="K29" s="91">
        <f>('Water Reading'!I29-'Water Reading'!I28)-('Water Reading'!P29-'Water Reading'!P28)</f>
        <v>20</v>
      </c>
      <c r="L29" s="68">
        <f t="shared" si="6"/>
        <v>5.6338028169014086E-2</v>
      </c>
      <c r="M29" s="90">
        <f>'Water Reading'!R29-'Water Reading'!R28</f>
        <v>7</v>
      </c>
      <c r="N29" s="92">
        <f t="shared" si="7"/>
        <v>1.9718309859154931E-2</v>
      </c>
      <c r="O29" s="90">
        <f>'Water Reading'!Q29-'Water Reading'!Q28</f>
        <v>8</v>
      </c>
      <c r="P29" s="99">
        <f t="shared" si="8"/>
        <v>2.2535211267605635E-2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65</v>
      </c>
      <c r="T29" s="100">
        <f t="shared" si="10"/>
        <v>0.18309859154929578</v>
      </c>
      <c r="U29" s="90">
        <f>'Water Reading'!G29-'Water Reading'!G28</f>
        <v>25</v>
      </c>
      <c r="V29" s="100">
        <f t="shared" si="11"/>
        <v>7.0422535211267609E-2</v>
      </c>
      <c r="W29" s="90">
        <f>'Water Reading'!J29-'Water Reading'!J28</f>
        <v>11</v>
      </c>
      <c r="X29" s="100">
        <f t="shared" si="12"/>
        <v>3.0985915492957747E-2</v>
      </c>
      <c r="Y29" s="66">
        <f t="shared" si="0"/>
        <v>271</v>
      </c>
      <c r="Z29" s="67">
        <f t="shared" si="1"/>
        <v>1.0883534136546185</v>
      </c>
    </row>
    <row r="30" spans="1:26" x14ac:dyDescent="0.25">
      <c r="A30" s="8">
        <f>'Water Reading'!A29</f>
        <v>44435</v>
      </c>
      <c r="B30" s="65">
        <f>TOTAL!I28</f>
        <v>199</v>
      </c>
      <c r="C30" s="66">
        <f>('Water Reading'!B30-'Water Reading'!B29)+('Water Reading'!C30-'Water Reading'!C29)</f>
        <v>536</v>
      </c>
      <c r="D30" s="67">
        <f t="shared" si="2"/>
        <v>2.6934673366834172</v>
      </c>
      <c r="E30" s="87">
        <f>'Water Reading'!H30-'Water Reading'!H29</f>
        <v>29</v>
      </c>
      <c r="F30" s="89">
        <f t="shared" si="3"/>
        <v>5.4104477611940295E-2</v>
      </c>
      <c r="G30" s="93">
        <f>('Water Reading'!D30-'Water Reading'!D29)-('Water Reading'!R30-'Water Reading'!R29)-('Water Reading'!Q30-'Water Reading'!Q29)</f>
        <v>108</v>
      </c>
      <c r="H30" s="89">
        <f t="shared" si="4"/>
        <v>0.20149253731343283</v>
      </c>
      <c r="I30" s="90">
        <f>'Water Reading'!P30-'Water Reading'!P29</f>
        <v>0</v>
      </c>
      <c r="J30" s="68">
        <f t="shared" si="5"/>
        <v>0</v>
      </c>
      <c r="K30" s="91">
        <f>('Water Reading'!I30-'Water Reading'!I29)-('Water Reading'!P30-'Water Reading'!P29)</f>
        <v>15</v>
      </c>
      <c r="L30" s="68">
        <f t="shared" si="6"/>
        <v>2.7985074626865673E-2</v>
      </c>
      <c r="M30" s="90">
        <f>'Water Reading'!R30-'Water Reading'!R29</f>
        <v>1</v>
      </c>
      <c r="N30" s="92">
        <f t="shared" si="7"/>
        <v>1.8656716417910447E-3</v>
      </c>
      <c r="O30" s="90">
        <f>'Water Reading'!Q30-'Water Reading'!Q29</f>
        <v>0</v>
      </c>
      <c r="P30" s="99">
        <f t="shared" si="8"/>
        <v>0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70</v>
      </c>
      <c r="T30" s="100">
        <f t="shared" si="10"/>
        <v>0.13059701492537312</v>
      </c>
      <c r="U30" s="90">
        <f>'Water Reading'!G30-'Water Reading'!G29</f>
        <v>23</v>
      </c>
      <c r="V30" s="100">
        <f t="shared" si="11"/>
        <v>4.2910447761194029E-2</v>
      </c>
      <c r="W30" s="90">
        <f>'Water Reading'!J30-'Water Reading'!J29</f>
        <v>11</v>
      </c>
      <c r="X30" s="100">
        <f t="shared" si="12"/>
        <v>2.0522388059701493E-2</v>
      </c>
      <c r="Y30" s="66">
        <f t="shared" si="0"/>
        <v>257</v>
      </c>
      <c r="Z30" s="67">
        <f t="shared" si="1"/>
        <v>1.2914572864321607</v>
      </c>
    </row>
    <row r="31" spans="1:26" x14ac:dyDescent="0.25">
      <c r="A31" s="8">
        <f>'Water Reading'!A30</f>
        <v>44436</v>
      </c>
      <c r="B31" s="65">
        <f>TOTAL!I29</f>
        <v>288</v>
      </c>
      <c r="C31" s="66">
        <f>('Water Reading'!B31-'Water Reading'!B30)+('Water Reading'!C31-'Water Reading'!C30)</f>
        <v>813</v>
      </c>
      <c r="D31" s="67">
        <f t="shared" si="2"/>
        <v>2.8229166666666665</v>
      </c>
      <c r="E31" s="87">
        <f>'Water Reading'!H31-'Water Reading'!H30</f>
        <v>15</v>
      </c>
      <c r="F31" s="89">
        <f t="shared" si="3"/>
        <v>1.8450184501845018E-2</v>
      </c>
      <c r="G31" s="93">
        <f>('Water Reading'!D31-'Water Reading'!D30)-('Water Reading'!R31-'Water Reading'!R30)-('Water Reading'!Q31-'Water Reading'!Q30)</f>
        <v>143</v>
      </c>
      <c r="H31" s="89">
        <f t="shared" si="4"/>
        <v>0.17589175891758918</v>
      </c>
      <c r="I31" s="90">
        <f>'Water Reading'!P31-'Water Reading'!P30</f>
        <v>0</v>
      </c>
      <c r="J31" s="68">
        <f t="shared" si="5"/>
        <v>0</v>
      </c>
      <c r="K31" s="91">
        <f>('Water Reading'!I31-'Water Reading'!I30)-('Water Reading'!P31-'Water Reading'!P30)</f>
        <v>18</v>
      </c>
      <c r="L31" s="68">
        <f t="shared" si="6"/>
        <v>2.2140221402214021E-2</v>
      </c>
      <c r="M31" s="90">
        <f>'Water Reading'!R31-'Water Reading'!R30</f>
        <v>1</v>
      </c>
      <c r="N31" s="92">
        <f t="shared" si="7"/>
        <v>1.2300123001230013E-3</v>
      </c>
      <c r="O31" s="90">
        <f>'Water Reading'!Q31-'Water Reading'!Q30</f>
        <v>1</v>
      </c>
      <c r="P31" s="99">
        <f t="shared" si="8"/>
        <v>1.2300123001230013E-3</v>
      </c>
      <c r="Q31" s="91">
        <f>'Water Reading'!F31-'Water Reading'!F30</f>
        <v>1</v>
      </c>
      <c r="R31" s="100">
        <f t="shared" si="9"/>
        <v>1.2300123001230013E-3</v>
      </c>
      <c r="S31" s="94">
        <f>'Water Reading'!E31-'Water Reading'!E30</f>
        <v>53</v>
      </c>
      <c r="T31" s="100">
        <f t="shared" si="10"/>
        <v>6.519065190651907E-2</v>
      </c>
      <c r="U31" s="90">
        <f>'Water Reading'!G31-'Water Reading'!G30</f>
        <v>15</v>
      </c>
      <c r="V31" s="100">
        <f t="shared" si="11"/>
        <v>1.8450184501845018E-2</v>
      </c>
      <c r="W31" s="90">
        <f>'Water Reading'!J31-'Water Reading'!J30</f>
        <v>10</v>
      </c>
      <c r="X31" s="100">
        <f t="shared" si="12"/>
        <v>1.2300123001230012E-2</v>
      </c>
      <c r="Y31" s="66">
        <f t="shared" si="0"/>
        <v>257</v>
      </c>
      <c r="Z31" s="67">
        <f t="shared" si="1"/>
        <v>0.89236111111111116</v>
      </c>
    </row>
    <row r="32" spans="1:26" x14ac:dyDescent="0.25">
      <c r="A32" s="8">
        <f>'Water Reading'!A31</f>
        <v>44437</v>
      </c>
      <c r="B32" s="65">
        <f>TOTAL!I30</f>
        <v>191</v>
      </c>
      <c r="C32" s="66">
        <f>('Water Reading'!B32-'Water Reading'!B31)+('Water Reading'!C32-'Water Reading'!C31)</f>
        <v>187</v>
      </c>
      <c r="D32" s="67">
        <f t="shared" si="2"/>
        <v>0.97905759162303663</v>
      </c>
      <c r="E32" s="87">
        <f>'Water Reading'!H32-'Water Reading'!H31</f>
        <v>26</v>
      </c>
      <c r="F32" s="89">
        <f t="shared" si="3"/>
        <v>0.13903743315508021</v>
      </c>
      <c r="G32" s="93">
        <f>('Water Reading'!D32-'Water Reading'!D31)-('Water Reading'!R32-'Water Reading'!R31)-('Water Reading'!Q32-'Water Reading'!Q31)</f>
        <v>82</v>
      </c>
      <c r="H32" s="89">
        <f t="shared" si="4"/>
        <v>0.43850267379679142</v>
      </c>
      <c r="I32" s="90">
        <f>'Water Reading'!P32-'Water Reading'!P31</f>
        <v>15</v>
      </c>
      <c r="J32" s="68">
        <f t="shared" si="5"/>
        <v>8.0213903743315509E-2</v>
      </c>
      <c r="K32" s="91">
        <f>('Water Reading'!I32-'Water Reading'!I31)-('Water Reading'!P32-'Water Reading'!P31)</f>
        <v>14</v>
      </c>
      <c r="L32" s="68">
        <f t="shared" si="6"/>
        <v>7.4866310160427801E-2</v>
      </c>
      <c r="M32" s="90">
        <f>'Water Reading'!R32-'Water Reading'!R31</f>
        <v>11</v>
      </c>
      <c r="N32" s="92">
        <f t="shared" si="7"/>
        <v>5.8823529411764705E-2</v>
      </c>
      <c r="O32" s="90">
        <f>'Water Reading'!Q32-'Water Reading'!Q31</f>
        <v>0</v>
      </c>
      <c r="P32" s="99">
        <f t="shared" si="8"/>
        <v>0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58</v>
      </c>
      <c r="T32" s="100">
        <f t="shared" si="10"/>
        <v>0.31016042780748665</v>
      </c>
      <c r="U32" s="90">
        <f>'Water Reading'!G32-'Water Reading'!G31</f>
        <v>17</v>
      </c>
      <c r="V32" s="100">
        <f t="shared" si="11"/>
        <v>9.0909090909090912E-2</v>
      </c>
      <c r="W32" s="90">
        <f>'Water Reading'!J32-'Water Reading'!J31</f>
        <v>21</v>
      </c>
      <c r="X32" s="100">
        <f t="shared" si="12"/>
        <v>0.11229946524064172</v>
      </c>
      <c r="Y32" s="66">
        <f t="shared" si="0"/>
        <v>244</v>
      </c>
      <c r="Z32" s="67">
        <f t="shared" si="1"/>
        <v>1.2774869109947644</v>
      </c>
    </row>
    <row r="33" spans="1:26" x14ac:dyDescent="0.25">
      <c r="A33" s="8">
        <f>'Water Reading'!A32</f>
        <v>44438</v>
      </c>
      <c r="B33" s="65">
        <f>TOTAL!I31</f>
        <v>229</v>
      </c>
      <c r="C33" s="66">
        <f>('Water Reading'!B33-'Water Reading'!B32)+('Water Reading'!C33-'Water Reading'!C32)</f>
        <v>493</v>
      </c>
      <c r="D33" s="67">
        <f t="shared" si="2"/>
        <v>2.1528384279475983</v>
      </c>
      <c r="E33" s="87">
        <f>'Water Reading'!H33-'Water Reading'!H32</f>
        <v>0</v>
      </c>
      <c r="F33" s="89">
        <f t="shared" si="3"/>
        <v>0</v>
      </c>
      <c r="G33" s="93">
        <f>('Water Reading'!D33-'Water Reading'!D32)-('Water Reading'!R33-'Water Reading'!R32)-('Water Reading'!Q33-'Water Reading'!Q32)</f>
        <v>82</v>
      </c>
      <c r="H33" s="89">
        <f t="shared" si="4"/>
        <v>0.16632860040567951</v>
      </c>
      <c r="I33" s="90">
        <f>'Water Reading'!P33-'Water Reading'!P32</f>
        <v>13</v>
      </c>
      <c r="J33" s="68">
        <f t="shared" si="5"/>
        <v>2.6369168356997971E-2</v>
      </c>
      <c r="K33" s="91">
        <f>('Water Reading'!I33-'Water Reading'!I32)-('Water Reading'!P33-'Water Reading'!P32)</f>
        <v>21</v>
      </c>
      <c r="L33" s="68">
        <f t="shared" si="6"/>
        <v>4.2596348884381338E-2</v>
      </c>
      <c r="M33" s="90">
        <f>'Water Reading'!R33-'Water Reading'!R32</f>
        <v>6</v>
      </c>
      <c r="N33" s="92">
        <f t="shared" si="7"/>
        <v>1.2170385395537525E-2</v>
      </c>
      <c r="O33" s="90">
        <f>'Water Reading'!Q33-'Water Reading'!Q32</f>
        <v>3</v>
      </c>
      <c r="P33" s="99">
        <f t="shared" si="8"/>
        <v>6.0851926977687626E-3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56</v>
      </c>
      <c r="T33" s="100">
        <f t="shared" si="10"/>
        <v>0.11359026369168357</v>
      </c>
      <c r="U33" s="90">
        <f>'Water Reading'!G33-'Water Reading'!G32</f>
        <v>0</v>
      </c>
      <c r="V33" s="100">
        <f t="shared" si="11"/>
        <v>0</v>
      </c>
      <c r="W33" s="90">
        <f>'Water Reading'!J33-'Water Reading'!J32</f>
        <v>0</v>
      </c>
      <c r="X33" s="100">
        <f t="shared" si="12"/>
        <v>0</v>
      </c>
      <c r="Y33" s="66">
        <f t="shared" si="0"/>
        <v>181</v>
      </c>
      <c r="Z33" s="67">
        <f t="shared" si="1"/>
        <v>0.79039301310043664</v>
      </c>
    </row>
    <row r="34" spans="1:26" x14ac:dyDescent="0.25">
      <c r="A34" s="8">
        <f>'Water Reading'!A33</f>
        <v>44439</v>
      </c>
      <c r="B34" s="65">
        <f>TOTAL!I32</f>
        <v>209</v>
      </c>
      <c r="C34" s="66">
        <f>('Water Reading'!B34-'Water Reading'!B33)+('Water Reading'!C34-'Water Reading'!C33)</f>
        <v>668</v>
      </c>
      <c r="D34" s="67">
        <f t="shared" si="2"/>
        <v>3.1961722488038276</v>
      </c>
      <c r="E34" s="87">
        <f>'Water Reading'!H34-'Water Reading'!H33</f>
        <v>74</v>
      </c>
      <c r="F34" s="89">
        <f t="shared" si="3"/>
        <v>0.11077844311377245</v>
      </c>
      <c r="G34" s="93">
        <f>('Water Reading'!D34-'Water Reading'!D33)-('Water Reading'!R34-'Water Reading'!R33)-('Water Reading'!Q34-'Water Reading'!Q33)</f>
        <v>124</v>
      </c>
      <c r="H34" s="89">
        <f t="shared" si="4"/>
        <v>0.18562874251497005</v>
      </c>
      <c r="I34" s="90">
        <f>'Water Reading'!P34-'Water Reading'!P33</f>
        <v>13</v>
      </c>
      <c r="J34" s="68">
        <f t="shared" si="5"/>
        <v>1.9461077844311378E-2</v>
      </c>
      <c r="K34" s="91">
        <f>('Water Reading'!I34-'Water Reading'!I33)-('Water Reading'!P34-'Water Reading'!P33)</f>
        <v>21</v>
      </c>
      <c r="L34" s="68">
        <f t="shared" si="6"/>
        <v>3.1437125748502992E-2</v>
      </c>
      <c r="M34" s="90">
        <f>'Water Reading'!R34-'Water Reading'!R33</f>
        <v>6</v>
      </c>
      <c r="N34" s="92">
        <f t="shared" si="7"/>
        <v>8.9820359281437123E-3</v>
      </c>
      <c r="O34" s="90">
        <f>'Water Reading'!Q34-'Water Reading'!Q33</f>
        <v>2</v>
      </c>
      <c r="P34" s="99">
        <f t="shared" si="8"/>
        <v>2.9940119760479044E-3</v>
      </c>
      <c r="Q34" s="91">
        <f>'Water Reading'!F34-'Water Reading'!F33</f>
        <v>1</v>
      </c>
      <c r="R34" s="100">
        <f t="shared" si="9"/>
        <v>1.4970059880239522E-3</v>
      </c>
      <c r="S34" s="94">
        <f>'Water Reading'!E34-'Water Reading'!E33</f>
        <v>58</v>
      </c>
      <c r="T34" s="100">
        <f t="shared" si="10"/>
        <v>8.6826347305389226E-2</v>
      </c>
      <c r="U34" s="90">
        <f>'Water Reading'!G34-'Water Reading'!G33</f>
        <v>37</v>
      </c>
      <c r="V34" s="100">
        <f t="shared" si="11"/>
        <v>5.5389221556886227E-2</v>
      </c>
      <c r="W34" s="90">
        <f>'Water Reading'!J34-'Water Reading'!J33</f>
        <v>11</v>
      </c>
      <c r="X34" s="100">
        <f t="shared" si="12"/>
        <v>1.6467065868263474E-2</v>
      </c>
      <c r="Y34" s="66">
        <f t="shared" si="0"/>
        <v>347</v>
      </c>
      <c r="Z34" s="67">
        <f t="shared" si="1"/>
        <v>1.6602870813397128</v>
      </c>
    </row>
    <row r="35" spans="1:26" ht="24" customHeight="1" x14ac:dyDescent="0.25">
      <c r="A35" s="69" t="s">
        <v>52</v>
      </c>
      <c r="B35" s="97">
        <f>SUM(B4:B34)</f>
        <v>9883</v>
      </c>
      <c r="C35" s="75">
        <f>SUM(C4:C34)</f>
        <v>13633</v>
      </c>
      <c r="D35" s="96">
        <f>C35/B35</f>
        <v>1.3794394414651421</v>
      </c>
      <c r="E35" s="7">
        <f>SUM(E4:E34)</f>
        <v>986</v>
      </c>
      <c r="F35" s="95">
        <f>E35/C35</f>
        <v>7.2324506711655537E-2</v>
      </c>
      <c r="G35" s="75">
        <f>SUM(G4:G34)</f>
        <v>5320</v>
      </c>
      <c r="H35" s="95">
        <f>G35/C35</f>
        <v>0.39022958996552481</v>
      </c>
      <c r="I35" s="7">
        <f>SUM(I4:I34)</f>
        <v>372</v>
      </c>
      <c r="J35" s="95">
        <f>I35/C35</f>
        <v>2.728673072691264E-2</v>
      </c>
      <c r="K35" s="7">
        <f>SUM(K4:K34)</f>
        <v>629</v>
      </c>
      <c r="L35" s="95">
        <f>K35/C35</f>
        <v>4.6138047385021641E-2</v>
      </c>
      <c r="M35" s="7">
        <f>SUM(M4:M34)</f>
        <v>210</v>
      </c>
      <c r="N35" s="95">
        <f>M35/C35</f>
        <v>1.5403799603902295E-2</v>
      </c>
      <c r="O35" s="7">
        <f>SUM(O4:O34)</f>
        <v>138</v>
      </c>
      <c r="P35" s="95">
        <f>O35/C35</f>
        <v>1.0122496882564365E-2</v>
      </c>
      <c r="Q35" s="7">
        <f>SUM(Q4:Q34)</f>
        <v>25</v>
      </c>
      <c r="R35" s="95">
        <f>Q35/C35</f>
        <v>1.8337856671312258E-3</v>
      </c>
      <c r="S35" s="75">
        <f>SUM(S4:S34)</f>
        <v>1817</v>
      </c>
      <c r="T35" s="95">
        <f>S35/C35</f>
        <v>0.13327954228709749</v>
      </c>
      <c r="U35" s="7">
        <f>SUM(U4:U34)</f>
        <v>591</v>
      </c>
      <c r="V35" s="95">
        <f>U35/C35</f>
        <v>4.3350693170982176E-2</v>
      </c>
      <c r="W35" s="7">
        <f>SUM(W4:W34)</f>
        <v>340</v>
      </c>
      <c r="X35" s="95">
        <f>W35/C35</f>
        <v>2.4939485072984671E-2</v>
      </c>
      <c r="Y35" s="75">
        <f>SUM(Y4:Y34)</f>
        <v>10428</v>
      </c>
      <c r="Z35" s="95">
        <f t="shared" si="1"/>
        <v>1.0551451988262672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2021-09-01T06:30:29Z</dcterms:modified>
  <cp:category/>
  <cp:contentStatus/>
</cp:coreProperties>
</file>