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716" documentId="13_ncr:1_{A06AFBD3-09F3-4273-976F-F2CDDC29F910}" xr6:coauthVersionLast="47" xr6:coauthVersionMax="47" xr10:uidLastSave="{11D960C4-0A44-4316-953D-A88D6AB35C31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1" l="1"/>
  <c r="C2" i="1"/>
  <c r="E2" i="1"/>
  <c r="B30" i="2"/>
  <c r="B31" i="2" s="1"/>
  <c r="B32" i="2" s="1"/>
  <c r="N31" i="2"/>
  <c r="M31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K31" i="2" s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33" i="1" l="1"/>
  <c r="Z4" i="1"/>
  <c r="Z5" i="1"/>
  <c r="Z3" i="1"/>
  <c r="Z2" i="1"/>
  <c r="Z10" i="1"/>
  <c r="Z8" i="1"/>
  <c r="Z31" i="1"/>
  <c r="Z29" i="1"/>
  <c r="G31" i="2" s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I31" i="2" s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2" i="2"/>
  <c r="K30" i="2"/>
  <c r="N32" i="2"/>
  <c r="M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I29" i="1" l="1"/>
  <c r="E31" i="2"/>
  <c r="F31" i="2" s="1"/>
  <c r="G32" i="2"/>
  <c r="I30" i="2"/>
  <c r="K32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2" i="2"/>
  <c r="F32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<sst xmlns="http://schemas.openxmlformats.org/spreadsheetml/2006/main" count="82" uniqueCount="41">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</sst>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8" sqref="C2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1</v>
      </c>
      <c r="D2" s="64">
        <v>2026</v>
      </c>
      <c r="E2" s="43">
        <f>IF(ALMYRA!H2&lt;0,"0",ALMYRA!H2)</f>
        <v>1013.5</v>
      </c>
      <c r="F2" s="44">
        <f>(ALMYRA!C2*0.18)/E2</f>
        <v>0.15087321164282191</v>
      </c>
      <c r="G2" s="48">
        <f>ALMYRA!Z2</f>
        <v>0</v>
      </c>
      <c r="H2" s="49">
        <v>0.71</v>
      </c>
      <c r="I2" s="52">
        <f>IF(ALMYRA!AB2&lt;0,"0",ALMYRA!AB2)</f>
        <v>13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1</v>
      </c>
      <c r="D3" s="64">
        <v>2026</v>
      </c>
      <c r="E3" s="43">
        <f>IF(ALMYRA!H3&lt;0,"0",ALMYRA!H3)</f>
        <v>1025.666666666657</v>
      </c>
      <c r="F3" s="44">
        <f>(ALMYRA!C3*0.18)/E3</f>
        <v>0.13864153396165227</v>
      </c>
      <c r="G3" s="48">
        <f>ALMYRA!Z3</f>
        <v>0</v>
      </c>
      <c r="H3" s="49">
        <v>0.71</v>
      </c>
      <c r="I3" s="52">
        <f>IF(ALMYRA!AB3&lt;0,"0",ALMYRA!AB3)</f>
        <v>5.3333333333430346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1</v>
      </c>
      <c r="D4" s="64">
        <v>2026</v>
      </c>
      <c r="E4" s="43">
        <f>IF(ALMYRA!H4&lt;0,"0",ALMYRA!H4)</f>
        <v>1025.666666666657</v>
      </c>
      <c r="F4" s="44">
        <f>(ALMYRA!C4*0.18)/E4</f>
        <v>0.13864153396165227</v>
      </c>
      <c r="G4" s="48">
        <f>ALMYRA!Z4</f>
        <v>0</v>
      </c>
      <c r="H4" s="49">
        <v>0.71</v>
      </c>
      <c r="I4" s="52">
        <f>IF(ALMYRA!AB4&lt;0,"0",ALMYRA!AB4)</f>
        <v>5.3333333333430346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1</v>
      </c>
      <c r="D5" s="64">
        <v>2026</v>
      </c>
      <c r="E5" s="43">
        <f>IF(ALMYRA!H5&lt;0,"0",ALMYRA!H5)</f>
        <v>1025.6666666666861</v>
      </c>
      <c r="F5" s="44">
        <f>(ALMYRA!C5*0.18)/E5</f>
        <v>0.13864153396164833</v>
      </c>
      <c r="G5" s="48">
        <f>ALMYRA!Z5</f>
        <v>0</v>
      </c>
      <c r="H5" s="49">
        <v>0.71</v>
      </c>
      <c r="I5" s="52">
        <f>IF(ALMYRA!AB5&lt;0,"0",ALMYRA!AB5)</f>
        <v>5.3333333333139308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1</v>
      </c>
      <c r="D6" s="64">
        <v>2026</v>
      </c>
      <c r="E6" s="43">
        <f>IF(ALMYRA!H6&lt;0,"0",ALMYRA!H6)</f>
        <v>1102</v>
      </c>
      <c r="F6" s="44">
        <f>(ALMYRA!C6*0.18)/E6</f>
        <v>0.14022686025408349</v>
      </c>
      <c r="G6" s="48">
        <f>ALMYRA!Z6</f>
        <v>0</v>
      </c>
      <c r="H6" s="49">
        <v>0.71</v>
      </c>
      <c r="I6" s="52">
        <f>IF(ALMYRA!AB6&lt;0,"0",ALMYRA!AB6)</f>
        <v>6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1</v>
      </c>
      <c r="D7" s="64">
        <v>2026</v>
      </c>
      <c r="E7" s="43">
        <f>IF(ALMYRA!H7&lt;0,"0",ALMYRA!H7)</f>
        <v>1102</v>
      </c>
      <c r="F7" s="44">
        <f>(ALMYRA!C7*0.18)/E7</f>
        <v>0.14022686025408349</v>
      </c>
      <c r="G7" s="48">
        <f>ALMYRA!Z7</f>
        <v>0</v>
      </c>
      <c r="H7" s="49">
        <v>0.71</v>
      </c>
      <c r="I7" s="52">
        <f>IF(ALMYRA!AB7&lt;0,"0",ALMYRA!AB7)</f>
        <v>6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1</v>
      </c>
      <c r="D8" s="64">
        <v>2026</v>
      </c>
      <c r="E8" s="43">
        <f>IF(ALMYRA!H8&lt;0,"0",ALMYRA!H8)</f>
        <v>1051</v>
      </c>
      <c r="F8" s="44">
        <f>(ALMYRA!C8*0.18)/E8</f>
        <v>0.11389153187440532</v>
      </c>
      <c r="G8" s="48">
        <f>ALMYRA!Z8</f>
        <v>0</v>
      </c>
      <c r="H8" s="49">
        <v>0.71</v>
      </c>
      <c r="I8" s="52">
        <f>IF(ALMYRA!AB8&lt;0,"0",ALMYRA!AB8)</f>
        <v>14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1</v>
      </c>
      <c r="D9" s="64">
        <v>2026</v>
      </c>
      <c r="E9" s="43">
        <f>IF(ALMYRA!H9&lt;0,"0",ALMYRA!H9)</f>
        <v>1147</v>
      </c>
      <c r="F9" s="44">
        <f>(ALMYRA!C9*0.18)/E9</f>
        <v>0.13307759372275499</v>
      </c>
      <c r="G9" s="48">
        <f>ALMYRA!Z9</f>
        <v>0</v>
      </c>
      <c r="H9" s="49">
        <v>0.71</v>
      </c>
      <c r="I9" s="52">
        <f>IF(ALMYRA!AB9&lt;0,"0",ALMYRA!AB9)</f>
        <v>8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1</v>
      </c>
      <c r="D10" s="64">
        <v>2026</v>
      </c>
      <c r="E10" s="43">
        <f>IF(ALMYRA!H10&lt;0,"0",ALMYRA!H10)</f>
        <v>1030.9999999975262</v>
      </c>
      <c r="F10" s="44">
        <f>(ALMYRA!C10*0.18)/E10</f>
        <v>0.15218234723562504</v>
      </c>
      <c r="G10" s="48">
        <f>ALMYRA!Z10</f>
        <v>0</v>
      </c>
      <c r="H10" s="49">
        <v>0.71</v>
      </c>
      <c r="I10" s="52">
        <f>IF(ALMYRA!AB10&lt;0,"0",ALMYRA!AB10)</f>
        <v>7</v>
      </c>
      <c r="J10" s="53">
        <v>2.87</v>
      </c>
      <c r="K10" s="56">
        <f>ALMYRA!U10</f>
        <v>0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1</v>
      </c>
      <c r="D11" s="64">
        <v>2026</v>
      </c>
      <c r="E11" s="43">
        <f>IF(ALMYRA!H11&lt;0,"0",ALMYRA!H11)</f>
        <v>1030.9999999975262</v>
      </c>
      <c r="F11" s="44">
        <f>(ALMYRA!C11*0.18)/E11</f>
        <v>0.15218234723562504</v>
      </c>
      <c r="G11" s="48">
        <f>ALMYRA!Z11</f>
        <v>0</v>
      </c>
      <c r="H11" s="49">
        <v>0.71</v>
      </c>
      <c r="I11" s="52">
        <f>IF(ALMYRA!AB11&lt;0,"0",ALMYRA!AB11)</f>
        <v>7</v>
      </c>
      <c r="J11" s="53">
        <v>2.87</v>
      </c>
      <c r="K11" s="56">
        <f>ALMYRA!U11</f>
        <v>0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1</v>
      </c>
      <c r="D12" s="64">
        <v>2026</v>
      </c>
      <c r="E12" s="43">
        <f>IF(ALMYRA!H12&lt;0,"0",ALMYRA!H12)</f>
        <v>1031.0000000049477</v>
      </c>
      <c r="F12" s="44">
        <f>(ALMYRA!C12*0.18)/E12</f>
        <v>0.15218234723583038</v>
      </c>
      <c r="G12" s="48">
        <f>ALMYRA!Z12</f>
        <v>0</v>
      </c>
      <c r="H12" s="49">
        <v>0.71</v>
      </c>
      <c r="I12" s="52">
        <f>IF(ALMYRA!AB12&lt;0,"0",ALMYRA!AB12)</f>
        <v>7</v>
      </c>
      <c r="J12" s="53">
        <v>2.87</v>
      </c>
      <c r="K12" s="56">
        <f>ALMYRA!U12</f>
        <v>0</v>
      </c>
      <c r="L12" s="57">
        <v>0.7762</v>
      </c>
      <c r="M12" s="60">
        <f>ALMYRA!AJ12</f>
        <v>0</v>
      </c>
      <c r="N12" s="60">
        <f>ALMYRA!AK12</f>
        <v>0</v>
      </c>
    </row>
    <row r="13" spans="1:14" ht="15" x14ac:dyDescent="0.25">
      <c r="A13" s="39" t="s">
        <v>13</v>
      </c>
      <c r="B13" s="4">
        <f t="shared" si="0"/>
        <v>12</v>
      </c>
      <c r="C13" s="63">
        <v>1</v>
      </c>
      <c r="D13" s="64">
        <v>2026</v>
      </c>
      <c r="E13" s="43">
        <f>IF(ALMYRA!H13&lt;0,"0",ALMYRA!H13)</f>
        <v>1182</v>
      </c>
      <c r="F13" s="44">
        <f>(ALMYRA!C13*0.18)/E13</f>
        <v>0.13903553299492385</v>
      </c>
      <c r="G13" s="48">
        <f>ALMYRA!Z13</f>
        <v>0</v>
      </c>
      <c r="H13" s="49">
        <v>0.71</v>
      </c>
      <c r="I13" s="52">
        <f>IF(ALMYRA!AB13&lt;0,"0",ALMYRA!AB13)</f>
        <v>16</v>
      </c>
      <c r="J13" s="53">
        <v>2.87</v>
      </c>
      <c r="K13" s="56">
        <f>ALMYRA!U13</f>
        <v>0</v>
      </c>
      <c r="L13" s="57">
        <v>0.7762</v>
      </c>
      <c r="M13" s="60">
        <f>ALMYRA!AJ13</f>
        <v>0</v>
      </c>
      <c r="N13" s="60">
        <f>ALMYRA!AK13</f>
        <v>0</v>
      </c>
    </row>
    <row r="14" spans="1:14" ht="15" x14ac:dyDescent="0.25">
      <c r="A14" s="39" t="s">
        <v>13</v>
      </c>
      <c r="B14" s="4">
        <f t="shared" si="0"/>
        <v>13</v>
      </c>
      <c r="C14" s="63">
        <v>1</v>
      </c>
      <c r="D14" s="64">
        <v>2026</v>
      </c>
      <c r="E14" s="43">
        <f>IF(ALMYRA!H14&lt;0,"0",ALMYRA!H14)</f>
        <v>1228</v>
      </c>
      <c r="F14" s="44">
        <f>(ALMYRA!C14*0.18)/E14</f>
        <v>0.11447882736156351</v>
      </c>
      <c r="G14" s="48">
        <f>ALMYRA!Z14</f>
        <v>0</v>
      </c>
      <c r="H14" s="49">
        <v>0.71</v>
      </c>
      <c r="I14" s="52">
        <f>IF(ALMYRA!AB14&lt;0,"0",ALMYRA!AB14)</f>
        <v>15</v>
      </c>
      <c r="J14" s="53">
        <v>2.87</v>
      </c>
      <c r="K14" s="56">
        <f>ALMYRA!U14</f>
        <v>0</v>
      </c>
      <c r="L14" s="57">
        <v>0.7762</v>
      </c>
      <c r="M14" s="60">
        <f>ALMYRA!AJ14</f>
        <v>0</v>
      </c>
      <c r="N14" s="60">
        <f>ALMYRA!AK14</f>
        <v>0</v>
      </c>
    </row>
    <row r="15" spans="1:14" ht="15" x14ac:dyDescent="0.25">
      <c r="A15" s="39" t="s">
        <v>13</v>
      </c>
      <c r="B15" s="4">
        <f t="shared" si="0"/>
        <v>14</v>
      </c>
      <c r="C15" s="63">
        <v>1</v>
      </c>
      <c r="D15" s="64">
        <v>2026</v>
      </c>
      <c r="E15" s="43">
        <f>IF(ALMYRA!H15&lt;0,"0",ALMYRA!H15)</f>
        <v>1226</v>
      </c>
      <c r="F15" s="44">
        <f>(ALMYRA!C15*0.18)/E15</f>
        <v>0.16032626427406199</v>
      </c>
      <c r="G15" s="48">
        <f>ALMYRA!Z15</f>
        <v>0</v>
      </c>
      <c r="H15" s="49">
        <v>0.71</v>
      </c>
      <c r="I15" s="52">
        <f>IF(ALMYRA!AB15&lt;0,"0",ALMYRA!AB15)</f>
        <v>14</v>
      </c>
      <c r="J15" s="53">
        <v>2.87</v>
      </c>
      <c r="K15" s="56">
        <f>ALMYRA!U15</f>
        <v>0</v>
      </c>
      <c r="L15" s="57">
        <v>0.7762</v>
      </c>
      <c r="M15" s="60">
        <f>ALMYRA!AJ15</f>
        <v>0</v>
      </c>
      <c r="N15" s="60">
        <f>ALMYRA!AK15</f>
        <v>0</v>
      </c>
    </row>
    <row r="16" spans="1:14" ht="15" x14ac:dyDescent="0.25">
      <c r="A16" s="39" t="s">
        <v>13</v>
      </c>
      <c r="B16" s="4">
        <f t="shared" si="0"/>
        <v>15</v>
      </c>
      <c r="C16" s="63">
        <v>1</v>
      </c>
      <c r="D16" s="64">
        <v>2026</v>
      </c>
      <c r="E16" s="43">
        <f>IF(ALMYRA!H16&lt;0,"0",ALMYRA!H16)</f>
        <v>1223</v>
      </c>
      <c r="F16" s="44">
        <f>(ALMYRA!C16*0.18)/E16</f>
        <v>0.12642681929681113</v>
      </c>
      <c r="G16" s="48">
        <f>ALMYRA!Z16</f>
        <v>0</v>
      </c>
      <c r="H16" s="49">
        <v>0.71</v>
      </c>
      <c r="I16" s="52">
        <f>IF(ALMYRA!AB16&lt;0,"0",ALMYRA!AB16)</f>
        <v>14</v>
      </c>
      <c r="J16" s="53">
        <v>2.87</v>
      </c>
      <c r="K16" s="56">
        <f>ALMYRA!U16</f>
        <v>0</v>
      </c>
      <c r="L16" s="57">
        <v>0.7762</v>
      </c>
      <c r="M16" s="60">
        <f>ALMYRA!AJ16</f>
        <v>0</v>
      </c>
      <c r="N16" s="60">
        <f>ALMYRA!AK16</f>
        <v>0</v>
      </c>
    </row>
    <row r="17" spans="1:14" ht="15" x14ac:dyDescent="0.25">
      <c r="A17" s="39" t="s">
        <v>13</v>
      </c>
      <c r="B17" s="4">
        <f t="shared" si="0"/>
        <v>16</v>
      </c>
      <c r="C17" s="63">
        <v>1</v>
      </c>
      <c r="D17" s="64">
        <v>2026</v>
      </c>
      <c r="E17" s="43">
        <f>IF(ALMYRA!H17&lt;0,"0",ALMYRA!H17)</f>
        <v>1066.3333333357295</v>
      </c>
      <c r="F17" s="44">
        <f>(ALMYRA!C17*0.18)/E17</f>
        <v>0.14066895904980614</v>
      </c>
      <c r="G17" s="48">
        <f>ALMYRA!Z17</f>
        <v>0</v>
      </c>
      <c r="H17" s="49">
        <v>0.71</v>
      </c>
      <c r="I17" s="52">
        <f>IF(ALMYRA!AB17&lt;0,"0",ALMYRA!AB17)</f>
        <v>11.333333333343035</v>
      </c>
      <c r="J17" s="53">
        <v>2.87</v>
      </c>
      <c r="K17" s="56">
        <f>ALMYRA!U17</f>
        <v>0</v>
      </c>
      <c r="L17" s="57">
        <v>0.7762</v>
      </c>
      <c r="M17" s="60">
        <f>ALMYRA!AJ17</f>
        <v>0</v>
      </c>
      <c r="N17" s="60">
        <f>ALMYRA!AK17</f>
        <v>0</v>
      </c>
    </row>
    <row r="18" spans="1:14" ht="15" x14ac:dyDescent="0.25">
      <c r="A18" s="39" t="s">
        <v>13</v>
      </c>
      <c r="B18" s="4">
        <f t="shared" si="0"/>
        <v>17</v>
      </c>
      <c r="C18" s="63">
        <v>1</v>
      </c>
      <c r="D18" s="64">
        <v>2026</v>
      </c>
      <c r="E18" s="43">
        <f>IF(ALMYRA!H18&lt;0,"0",ALMYRA!H18)</f>
        <v>1066.3333333357295</v>
      </c>
      <c r="F18" s="44">
        <f>(ALMYRA!C18*0.18)/E18</f>
        <v>0.14066895904980614</v>
      </c>
      <c r="G18" s="48">
        <f>ALMYRA!Z18</f>
        <v>0</v>
      </c>
      <c r="H18" s="49">
        <v>0.71</v>
      </c>
      <c r="I18" s="52">
        <f>IF(ALMYRA!AB18&lt;0,"0",ALMYRA!AB18)</f>
        <v>11.333333333343035</v>
      </c>
      <c r="J18" s="53">
        <v>2.87</v>
      </c>
      <c r="K18" s="56">
        <f>ALMYRA!U18</f>
        <v>0</v>
      </c>
      <c r="L18" s="57">
        <v>0.7762</v>
      </c>
      <c r="M18" s="60">
        <f>ALMYRA!AJ18</f>
        <v>0</v>
      </c>
      <c r="N18" s="60">
        <f>ALMYRA!AK18</f>
        <v>0</v>
      </c>
    </row>
    <row r="19" spans="1:14" ht="15" x14ac:dyDescent="0.25">
      <c r="A19" s="39" t="s">
        <v>13</v>
      </c>
      <c r="B19" s="4">
        <f t="shared" si="0"/>
        <v>18</v>
      </c>
      <c r="C19" s="63">
        <v>1</v>
      </c>
      <c r="D19" s="64">
        <v>2026</v>
      </c>
      <c r="E19" s="43">
        <f>IF(ALMYRA!H19&lt;0,"0",ALMYRA!H19)</f>
        <v>1066.3333333285409</v>
      </c>
      <c r="F19" s="44">
        <f>(ALMYRA!C19*0.18)/E19</f>
        <v>0.14066895904949681</v>
      </c>
      <c r="G19" s="48">
        <f>ALMYRA!Z19</f>
        <v>0</v>
      </c>
      <c r="H19" s="49">
        <v>0.71</v>
      </c>
      <c r="I19" s="52">
        <f>IF(ALMYRA!AB19&lt;0,"0",ALMYRA!AB19)</f>
        <v>11.333333333313931</v>
      </c>
      <c r="J19" s="53">
        <v>2.87</v>
      </c>
      <c r="K19" s="56">
        <f>ALMYRA!U19</f>
        <v>0</v>
      </c>
      <c r="L19" s="57">
        <v>0.7762</v>
      </c>
      <c r="M19" s="60">
        <f>ALMYRA!AJ19</f>
        <v>0</v>
      </c>
      <c r="N19" s="60">
        <f>ALMYRA!AK19</f>
        <v>0</v>
      </c>
    </row>
    <row r="20" spans="1:14" ht="15" x14ac:dyDescent="0.25">
      <c r="A20" s="39" t="s">
        <v>13</v>
      </c>
      <c r="B20" s="4">
        <f t="shared" si="0"/>
        <v>19</v>
      </c>
      <c r="C20" s="63">
        <v>1</v>
      </c>
      <c r="D20" s="64">
        <v>2026</v>
      </c>
      <c r="E20" s="43">
        <f>IF(ALMYRA!H20&lt;0,"0",ALMYRA!H20)</f>
        <v>1477</v>
      </c>
      <c r="F20" s="44">
        <f>(ALMYRA!C20*0.18)/E20</f>
        <v>0.10566012186865267</v>
      </c>
      <c r="G20" s="48">
        <f>ALMYRA!Z20</f>
        <v>0</v>
      </c>
      <c r="H20" s="49">
        <v>0.71</v>
      </c>
      <c r="I20" s="52">
        <f>IF(ALMYRA!AB20&lt;0,"0",ALMYRA!AB20)</f>
        <v>10</v>
      </c>
      <c r="J20" s="53">
        <v>2.87</v>
      </c>
      <c r="K20" s="56">
        <f>ALMYRA!U20</f>
        <v>0</v>
      </c>
      <c r="L20" s="57">
        <v>0.7762</v>
      </c>
      <c r="M20" s="60">
        <f>ALMYRA!AJ20</f>
        <v>0</v>
      </c>
      <c r="N20" s="60">
        <f>ALMYRA!AK20</f>
        <v>0</v>
      </c>
    </row>
    <row r="21" spans="1:14" ht="15" x14ac:dyDescent="0.25">
      <c r="A21" s="39" t="s">
        <v>13</v>
      </c>
      <c r="B21" s="4">
        <f t="shared" si="0"/>
        <v>20</v>
      </c>
      <c r="C21" s="63">
        <v>1</v>
      </c>
      <c r="D21" s="64">
        <v>2026</v>
      </c>
      <c r="E21" s="43">
        <f>IF(ALMYRA!H21&lt;0,"0",ALMYRA!H21)</f>
        <v>1371</v>
      </c>
      <c r="F21" s="44">
        <f>(ALMYRA!C21*0.18)/E21</f>
        <v>0.14625820568927789</v>
      </c>
      <c r="G21" s="48">
        <f>ALMYRA!Z21</f>
        <v>0</v>
      </c>
      <c r="H21" s="49">
        <v>0.71</v>
      </c>
      <c r="I21" s="52">
        <f>IF(ALMYRA!AB21&lt;0,"0",ALMYRA!AB21)</f>
        <v>12</v>
      </c>
      <c r="J21" s="53">
        <v>2.87</v>
      </c>
      <c r="K21" s="56">
        <f>ALMYRA!U21</f>
        <v>0</v>
      </c>
      <c r="L21" s="57">
        <v>0.7762</v>
      </c>
      <c r="M21" s="60">
        <f>ALMYRA!AJ21</f>
        <v>0</v>
      </c>
      <c r="N21" s="60">
        <f>ALMYRA!AK21</f>
        <v>0</v>
      </c>
    </row>
    <row r="22" spans="1:14" ht="15" x14ac:dyDescent="0.25">
      <c r="A22" s="39" t="s">
        <v>13</v>
      </c>
      <c r="B22" s="4">
        <f t="shared" si="0"/>
        <v>21</v>
      </c>
      <c r="C22" s="63">
        <v>1</v>
      </c>
      <c r="D22" s="64">
        <v>2026</v>
      </c>
      <c r="E22" s="43">
        <f>IF(ALMYRA!H22&lt;0,"0",ALMYRA!H22)</f>
        <v>1347</v>
      </c>
      <c r="F22" s="44">
        <f>(ALMYRA!C22*0.18)/E22</f>
        <v>0.10663697104677058</v>
      </c>
      <c r="G22" s="48">
        <f>ALMYRA!Z22</f>
        <v>0</v>
      </c>
      <c r="H22" s="49">
        <v>0.71</v>
      </c>
      <c r="I22" s="52">
        <f>IF(ALMYRA!AB22&lt;0,"0",ALMYRA!AB22)</f>
        <v>0</v>
      </c>
      <c r="J22" s="53">
        <v>2.87</v>
      </c>
      <c r="K22" s="56">
        <f>ALMYRA!U22</f>
        <v>0</v>
      </c>
      <c r="L22" s="57">
        <v>0.7762</v>
      </c>
      <c r="M22" s="60">
        <f>ALMYRA!AJ22</f>
        <v>0</v>
      </c>
      <c r="N22" s="60">
        <f>ALMYRA!AK22</f>
        <v>0</v>
      </c>
    </row>
    <row r="23" spans="1:14" ht="15" x14ac:dyDescent="0.25">
      <c r="A23" s="39" t="s">
        <v>13</v>
      </c>
      <c r="B23" s="4">
        <f t="shared" si="0"/>
        <v>22</v>
      </c>
      <c r="C23" s="63">
        <v>1</v>
      </c>
      <c r="D23" s="64">
        <v>2026</v>
      </c>
      <c r="E23" s="43">
        <f>IF(ALMYRA!H23&lt;0,"0",ALMYRA!H23)</f>
        <v>1345</v>
      </c>
      <c r="F23" s="44">
        <f>(ALMYRA!C23*0.18)/E23</f>
        <v>0.16875836431226765</v>
      </c>
      <c r="G23" s="48">
        <f>ALMYRA!Z23</f>
        <v>0</v>
      </c>
      <c r="H23" s="49">
        <v>0.71</v>
      </c>
      <c r="I23" s="52">
        <f>IF(ALMYRA!AB23&lt;0,"0",ALMYRA!AB23)</f>
        <v>0</v>
      </c>
      <c r="J23" s="53">
        <v>2.87</v>
      </c>
      <c r="K23" s="56">
        <f>ALMYRA!U23</f>
        <v>0</v>
      </c>
      <c r="L23" s="57">
        <v>0.7762</v>
      </c>
      <c r="M23" s="60">
        <f>ALMYRA!AJ23</f>
        <v>0</v>
      </c>
      <c r="N23" s="60">
        <f>ALMYRA!AK23</f>
        <v>0</v>
      </c>
    </row>
    <row r="24" spans="1:14" ht="15" x14ac:dyDescent="0.25">
      <c r="A24" s="39" t="s">
        <v>13</v>
      </c>
      <c r="B24" s="4">
        <f t="shared" si="0"/>
        <v>23</v>
      </c>
      <c r="C24" s="63">
        <v>1</v>
      </c>
      <c r="D24" s="64">
        <v>2026</v>
      </c>
      <c r="E24" s="43">
        <f>IF(ALMYRA!H24&lt;0,"0",ALMYRA!H24)</f>
        <v>1301.333333333343</v>
      </c>
      <c r="F24" s="44">
        <f>(ALMYRA!C24*0.18)/E24</f>
        <v>0.13665983606557275</v>
      </c>
      <c r="G24" s="48">
        <f>ALMYRA!Z24</f>
        <v>0</v>
      </c>
      <c r="H24" s="49">
        <v>0.71</v>
      </c>
      <c r="I24" s="52">
        <f>IF(ALMYRA!AB24&lt;0,"0",ALMYRA!AB24)</f>
        <v>39.333333333343035</v>
      </c>
      <c r="J24" s="53">
        <v>2.87</v>
      </c>
      <c r="K24" s="56">
        <f>ALMYRA!U24</f>
        <v>0</v>
      </c>
      <c r="L24" s="57">
        <v>0.7762</v>
      </c>
      <c r="M24" s="60">
        <f>ALMYRA!AJ24</f>
        <v>0</v>
      </c>
      <c r="N24" s="60">
        <f>ALMYRA!AK24</f>
        <v>0</v>
      </c>
    </row>
    <row r="25" spans="1:14" ht="15" x14ac:dyDescent="0.25">
      <c r="A25" s="39" t="s">
        <v>13</v>
      </c>
      <c r="B25" s="4">
        <f t="shared" si="0"/>
        <v>24</v>
      </c>
      <c r="C25" s="63">
        <v>1</v>
      </c>
      <c r="D25" s="64">
        <v>2026</v>
      </c>
      <c r="E25" s="43">
        <f>IF(ALMYRA!H25&lt;0,"0",ALMYRA!H25)</f>
        <v>1301.333333333343</v>
      </c>
      <c r="F25" s="44">
        <f>(ALMYRA!C25*0.18)/E25</f>
        <v>0.13665983606557275</v>
      </c>
      <c r="G25" s="48">
        <f>ALMYRA!Z25</f>
        <v>0</v>
      </c>
      <c r="H25" s="49">
        <v>0.71</v>
      </c>
      <c r="I25" s="52">
        <f>IF(ALMYRA!AB25&lt;0,"0",ALMYRA!AB25)</f>
        <v>39.333333333343035</v>
      </c>
      <c r="J25" s="53">
        <v>2.87</v>
      </c>
      <c r="K25" s="56">
        <f>ALMYRA!U25</f>
        <v>0</v>
      </c>
      <c r="L25" s="57">
        <v>0.7762</v>
      </c>
      <c r="M25" s="60">
        <f>ALMYRA!AJ25</f>
        <v>0</v>
      </c>
      <c r="N25" s="60">
        <f>ALMYRA!AK25</f>
        <v>0</v>
      </c>
    </row>
    <row r="26" spans="1:14" ht="15" x14ac:dyDescent="0.25">
      <c r="A26" s="39" t="s">
        <v>13</v>
      </c>
      <c r="B26" s="4">
        <f>B25+1</f>
        <v>25</v>
      </c>
      <c r="C26" s="63">
        <v>1</v>
      </c>
      <c r="D26" s="64">
        <v>2026</v>
      </c>
      <c r="E26" s="43">
        <f>IF(ALMYRA!H26&lt;0,"0",ALMYRA!H26)</f>
        <v>1301.3333333333139</v>
      </c>
      <c r="F26" s="44">
        <f>(ALMYRA!C26*0.18)/E26</f>
        <v>0.1366598360655758</v>
      </c>
      <c r="G26" s="48">
        <f>ALMYRA!Z26</f>
        <v>0</v>
      </c>
      <c r="H26" s="49">
        <v>0.71</v>
      </c>
      <c r="I26" s="52">
        <f>IF(ALMYRA!AB26&lt;0,"0",ALMYRA!AB26)</f>
        <v>39.333333333313931</v>
      </c>
      <c r="J26" s="53">
        <v>2.87</v>
      </c>
      <c r="K26" s="56">
        <f>ALMYRA!U26</f>
        <v>0</v>
      </c>
      <c r="L26" s="57">
        <v>0.7762</v>
      </c>
      <c r="M26" s="60">
        <f>ALMYRA!AJ26</f>
        <v>0</v>
      </c>
      <c r="N26" s="60">
        <f>ALMYRA!AK26</f>
        <v>0</v>
      </c>
    </row>
    <row r="27" spans="1:14" ht="15" x14ac:dyDescent="0.25">
      <c r="A27" s="39" t="s">
        <v>13</v>
      </c>
      <c r="B27" s="4">
        <f t="shared" si="0"/>
        <v>26</v>
      </c>
      <c r="C27" s="63">
        <v>1</v>
      </c>
      <c r="D27" s="64">
        <v>2026</v>
      </c>
      <c r="E27" s="43">
        <f>IF(ALMYRA!H27&lt;0,"0",ALMYRA!H27)</f>
        <v>1562</v>
      </c>
      <c r="F27" s="44">
        <f>(ALMYRA!C27*0.18)/E27</f>
        <v>0.1697439180537772</v>
      </c>
      <c r="G27" s="48">
        <f>ALMYRA!Z27</f>
        <v>0</v>
      </c>
      <c r="H27" s="49">
        <v>0.71</v>
      </c>
      <c r="I27" s="52">
        <f>IF(ALMYRA!AB27&lt;0,"0",ALMYRA!AB27)</f>
        <v>42</v>
      </c>
      <c r="J27" s="53">
        <v>2.87</v>
      </c>
      <c r="K27" s="56">
        <f>ALMYRA!U27</f>
        <v>0</v>
      </c>
      <c r="L27" s="57">
        <v>0.7762</v>
      </c>
      <c r="M27" s="60">
        <f>ALMYRA!AJ27</f>
        <v>0</v>
      </c>
      <c r="N27" s="60">
        <f>ALMYRA!AK27</f>
        <v>0</v>
      </c>
    </row>
    <row r="28" spans="1:14" ht="15" x14ac:dyDescent="0.25">
      <c r="A28" s="39" t="s">
        <v>13</v>
      </c>
      <c r="B28" s="4">
        <f t="shared" si="0"/>
        <v>27</v>
      </c>
      <c r="C28" s="63">
        <v>1</v>
      </c>
      <c r="D28" s="64">
        <v>2026</v>
      </c>
      <c r="E28" s="43">
        <f>IF(ALMYRA!H28&lt;0,"0",ALMYRA!H28)</f>
        <v>1734</v>
      </c>
      <c r="F28" s="44">
        <f>(ALMYRA!C28*0.18)/E28</f>
        <v>0.13899653979238752</v>
      </c>
      <c r="G28" s="48">
        <f>ALMYRA!Z28</f>
        <v>0</v>
      </c>
      <c r="H28" s="49">
        <v>0.71</v>
      </c>
      <c r="I28" s="52">
        <f>IF(ALMYRA!AB28&lt;0,"0",ALMYRA!AB28)</f>
        <v>32</v>
      </c>
      <c r="J28" s="53">
        <v>2.87</v>
      </c>
      <c r="K28" s="56">
        <f>ALMYRA!U28</f>
        <v>0</v>
      </c>
      <c r="L28" s="57">
        <v>0.7762</v>
      </c>
      <c r="M28" s="60">
        <f>ALMYRA!AJ28</f>
        <v>0</v>
      </c>
      <c r="N28" s="60">
        <f>ALMYRA!AK28</f>
        <v>0</v>
      </c>
    </row>
    <row r="29" spans="1:14" ht="15" x14ac:dyDescent="0.25">
      <c r="A29" s="39" t="s">
        <v>13</v>
      </c>
      <c r="B29" s="4">
        <f t="shared" si="0"/>
        <v>28</v>
      </c>
      <c r="C29" s="63">
        <v>1</v>
      </c>
      <c r="D29" s="64">
        <v>2026</v>
      </c>
      <c r="E29" s="43">
        <f>IF(ALMYRA!H29&lt;0,"0",ALMYRA!H29)</f>
        <v>1544</v>
      </c>
      <c r="F29" s="44">
        <f>(ALMYRA!C29*0.18)/E29</f>
        <v>0.10690414507772021</v>
      </c>
      <c r="G29" s="48">
        <f>ALMYRA!Z29</f>
        <v>25</v>
      </c>
      <c r="H29" s="49">
        <v>0.71</v>
      </c>
      <c r="I29" s="52">
        <f>IF(ALMYRA!AB29&lt;0,"0",ALMYRA!AB29)</f>
        <v>34</v>
      </c>
      <c r="J29" s="53">
        <v>2.87</v>
      </c>
      <c r="K29" s="56">
        <f>ALMYRA!U29</f>
        <v>0</v>
      </c>
      <c r="L29" s="57">
        <v>0.7762</v>
      </c>
      <c r="M29" s="60">
        <f>ALMYRA!AJ29</f>
        <v>0</v>
      </c>
      <c r="N29" s="60">
        <f>ALMYRA!AK29</f>
        <v>0</v>
      </c>
    </row>
    <row r="30" spans="1:14" ht="15" x14ac:dyDescent="0.25">
      <c r="A30" s="39" t="s">
        <v>13</v>
      </c>
      <c r="B30" s="4">
        <f t="shared" si="0"/>
        <v>29</v>
      </c>
      <c r="C30" s="63">
        <v>1</v>
      </c>
      <c r="D30" s="64">
        <v>2026</v>
      </c>
      <c r="E30" s="43">
        <f>IF(ALMYRA!H30&lt;0,"0",ALMYRA!H30)</f>
        <v>1601</v>
      </c>
      <c r="F30" s="44">
        <f>(ALMYRA!C30*0.18)/E30</f>
        <v>0.1231105559025609</v>
      </c>
      <c r="G30" s="48">
        <f>ALMYRA!Z30</f>
        <v>0</v>
      </c>
      <c r="H30" s="49">
        <v>0.71</v>
      </c>
      <c r="I30" s="52">
        <f>IF(ALMYRA!AB30&lt;0,"0",ALMYRA!AB30)</f>
        <v>33</v>
      </c>
      <c r="J30" s="53">
        <v>2.87</v>
      </c>
      <c r="K30" s="56">
        <f>ALMYRA!U30</f>
        <v>0</v>
      </c>
      <c r="L30" s="57">
        <v>0.7762</v>
      </c>
      <c r="M30" s="60">
        <f>ALMYRA!AJ30</f>
        <v>0</v>
      </c>
      <c r="N30" s="60">
        <f>ALMYRA!AK30</f>
        <v>0</v>
      </c>
    </row>
    <row r="31" spans="1:14" ht="15" x14ac:dyDescent="0.25">
      <c r="A31" s="39" t="s">
        <v>13</v>
      </c>
      <c r="B31" s="4">
        <f t="shared" si="0"/>
        <v>30</v>
      </c>
      <c r="C31" s="63">
        <v>1</v>
      </c>
      <c r="D31" s="64">
        <v>2026</v>
      </c>
      <c r="E31" s="43">
        <f>IF(ALMYRA!H29&lt;0,"0",ALMYRA!H29)</f>
        <v>1544</v>
      </c>
      <c r="F31" s="44">
        <f>(ALMYRA!C30*0.18)/E31</f>
        <v>0.12765544041450777</v>
      </c>
      <c r="G31" s="48">
        <f>ALMYRA!Z29</f>
        <v>25</v>
      </c>
      <c r="H31" s="49">
        <v>0.71</v>
      </c>
      <c r="I31" s="52">
        <f>IF(ALMYRA!AB29&lt;0,"0",ALMYRA!AB29)</f>
        <v>34</v>
      </c>
      <c r="J31" s="53">
        <v>2.87</v>
      </c>
      <c r="K31" s="56">
        <f>ALMYRA!U29</f>
        <v>0</v>
      </c>
      <c r="L31" s="57">
        <v>0.7762</v>
      </c>
      <c r="M31" s="60">
        <f>ALMYRA!AJ29</f>
        <v>0</v>
      </c>
      <c r="N31" s="60">
        <f>ALMYRA!AK29</f>
        <v>0</v>
      </c>
    </row>
    <row r="32" spans="1:14" ht="15" x14ac:dyDescent="0.25">
      <c r="A32" s="39" t="s">
        <v>13</v>
      </c>
      <c r="B32" s="4">
        <f t="shared" si="0"/>
        <v>31</v>
      </c>
      <c r="C32" s="63">
        <v>1</v>
      </c>
      <c r="D32" s="64">
        <v>2026</v>
      </c>
      <c r="E32" s="43">
        <f>IF(ALMYRA!H30&lt;0,"0",ALMYRA!H30)</f>
        <v>1601</v>
      </c>
      <c r="F32" s="44">
        <f>(ALMYRA!C31*0.18)/E32</f>
        <v>0.11632729544007056</v>
      </c>
      <c r="G32" s="48">
        <f>ALMYRA!Z30</f>
        <v>0</v>
      </c>
      <c r="H32" s="49">
        <v>0.71</v>
      </c>
      <c r="I32" s="52">
        <f>IF(ALMYRA!AB30&lt;0,"0",ALMYRA!AB30)</f>
        <v>33</v>
      </c>
      <c r="J32" s="53">
        <v>2.87</v>
      </c>
      <c r="K32" s="56">
        <f>ALMYRA!U30</f>
        <v>0</v>
      </c>
      <c r="L32" s="57">
        <v>0.7762</v>
      </c>
      <c r="M32" s="60">
        <f>ALMYRA!AJ30</f>
        <v>0</v>
      </c>
      <c r="N32" s="60">
        <f>ALMYRA!AK30</f>
        <v>0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9"/>
  <sheetViews>
    <sheetView tabSelected="1" zoomScaleNormal="100" workbookViewId="0">
      <selection activeCell="A35" sqref="A35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46023</v>
      </c>
      <c r="B2" s="6">
        <v>33750194.5</v>
      </c>
      <c r="C2" s="75">
        <f t="shared" ref="C2:C9" si="0">IF(OR(B3="", B2=""), "", B3 - B2)</f>
        <v>849.5</v>
      </c>
      <c r="D2" s="20">
        <v>1630120</v>
      </c>
      <c r="E2" s="75">
        <f t="shared" ref="E2" si="1">IF(OR(D3="", D2=""), "", D3 - D2)</f>
        <v>274</v>
      </c>
      <c r="F2" s="85">
        <v>199421</v>
      </c>
      <c r="G2" s="75">
        <f t="shared" ref="G2" si="2">IF(OR(F3="", F2=""), "", F3 - F2)</f>
        <v>110</v>
      </c>
      <c r="H2" s="79">
        <f t="shared" ref="H2:H8" si="3">IF(OR(C2="", E2="", G2=""), "", C2 + E2 - G2)</f>
        <v>1013.5</v>
      </c>
      <c r="I2" s="80">
        <f t="shared" ref="I2:I10" si="4">IF(OR(H2="", K2="", M2="", O2="", Q2=""), "", H2 - K2 - M2 - O2 - Q2)</f>
        <v>695.39144736732851</v>
      </c>
      <c r="J2" s="86">
        <v>5004790.5999999996</v>
      </c>
      <c r="K2" s="75">
        <f>IF(OR(J3="", J2=""), "", J3 - J2)</f>
        <v>126.40000000037253</v>
      </c>
      <c r="L2" s="9">
        <v>478115.84210526402</v>
      </c>
      <c r="M2" s="75">
        <f t="shared" ref="M2:M10" si="5">IF(OR(L3="", L2=""), "", L3 - L2)</f>
        <v>14.736842105980031</v>
      </c>
      <c r="N2" s="9">
        <v>155970.64736842099</v>
      </c>
      <c r="O2" s="75">
        <f t="shared" ref="O2:O10" si="6">IF(OR(N3="", N2=""), "", N3 - N2)</f>
        <v>70.245394736848539</v>
      </c>
      <c r="P2" s="35">
        <v>36375.857894736902</v>
      </c>
      <c r="Q2" s="75">
        <f t="shared" ref="Q2:Q10" si="7">IF(OR(P3="", P2=""), "", P3 - P2)</f>
        <v>106.72631578947039</v>
      </c>
      <c r="R2" s="95">
        <f>A2</f>
        <v>46023</v>
      </c>
      <c r="S2" s="90">
        <v>4884</v>
      </c>
      <c r="T2" s="88"/>
      <c r="U2" s="75">
        <f>IF(OR(S2="", S3=""), "", S2 + T2 - S3)</f>
        <v>0</v>
      </c>
      <c r="V2" s="11">
        <v>0.77</v>
      </c>
      <c r="W2" s="26">
        <v>0.76</v>
      </c>
      <c r="X2" s="25">
        <f>IF(OR(V2="", W2=""), "", (V2 * 2500) + (W2 * 2500))</f>
        <v>3825</v>
      </c>
      <c r="Y2" s="84"/>
      <c r="Z2" s="75">
        <f>IF(OR(X2="", X3=""), "", X2 + Y2 - X3)</f>
        <v>0</v>
      </c>
      <c r="AA2" s="28">
        <v>136959</v>
      </c>
      <c r="AB2" s="75">
        <f t="shared" ref="AB2:AB10" si="8">IF(OR(AA3="", AA2=""), "", AA3 - AA2)</f>
        <v>13</v>
      </c>
      <c r="AC2" s="28">
        <v>4057.1000000000004</v>
      </c>
      <c r="AD2" s="75">
        <f t="shared" ref="AD2:AD10" si="9">IF(OR(AC3="", AC2=""), "", AC3 - AC2)</f>
        <v>0.29999999999972715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0</v>
      </c>
      <c r="AK2" s="12">
        <v>0</v>
      </c>
    </row>
    <row r="3" spans="1:37" x14ac:dyDescent="0.2">
      <c r="A3" s="94">
        <f t="shared" ref="A3:A33" si="12">A2+1</f>
        <v>46024</v>
      </c>
      <c r="B3" s="6">
        <v>33751044</v>
      </c>
      <c r="C3" s="75">
        <f t="shared" si="0"/>
        <v>790</v>
      </c>
      <c r="D3" s="20">
        <v>1630394</v>
      </c>
      <c r="E3" s="75">
        <f t="shared" ref="E3" si="13">IF(OR(D4="", D3=""), "", D4 - D3)</f>
        <v>437</v>
      </c>
      <c r="F3" s="20">
        <v>199531</v>
      </c>
      <c r="G3" s="75">
        <f t="shared" ref="G3" si="14">IF(OR(F4="", F3=""), "", F4 - F3)</f>
        <v>201.33333333334303</v>
      </c>
      <c r="H3" s="79">
        <f t="shared" si="3"/>
        <v>1025.666666666657</v>
      </c>
      <c r="I3" s="80">
        <f t="shared" si="4"/>
        <v>778.2914473673809</v>
      </c>
      <c r="J3" s="35">
        <v>5004917</v>
      </c>
      <c r="K3" s="75">
        <f>IF(OR(J4="", J3=""), "", J4 - J3)</f>
        <v>55.666666666977108</v>
      </c>
      <c r="L3" s="9">
        <v>478130.57894737</v>
      </c>
      <c r="M3" s="75">
        <f t="shared" si="5"/>
        <v>14.736842105980031</v>
      </c>
      <c r="N3" s="9">
        <v>156040.89276315784</v>
      </c>
      <c r="O3" s="75">
        <f t="shared" si="6"/>
        <v>70.245394736848539</v>
      </c>
      <c r="P3" s="35">
        <v>36482.584210526373</v>
      </c>
      <c r="Q3" s="75">
        <f t="shared" si="7"/>
        <v>106.72631578947039</v>
      </c>
      <c r="R3" s="94">
        <f>A3</f>
        <v>46024</v>
      </c>
      <c r="S3" s="87">
        <v>4884</v>
      </c>
      <c r="T3" s="89"/>
      <c r="U3" s="75">
        <f t="shared" ref="U3:U33" si="15">IF(OR(S3="", S4=""), "", S3 + T3 - S4)</f>
        <v>0</v>
      </c>
      <c r="V3" s="11">
        <v>0.77</v>
      </c>
      <c r="W3" s="26">
        <v>0.76</v>
      </c>
      <c r="X3" s="96">
        <f t="shared" ref="X3:X34" si="16">IF(OR(V3="", W3=""), "", (V3 * 2500) + (W3 * 2500))</f>
        <v>3825</v>
      </c>
      <c r="Y3" s="84"/>
      <c r="Z3" s="75">
        <f t="shared" ref="Z3:Z33" si="17">IF(OR(X3="", X4=""), "", X3 + Y3 - X4)</f>
        <v>0</v>
      </c>
      <c r="AA3" s="28">
        <v>136972</v>
      </c>
      <c r="AB3" s="75">
        <f t="shared" si="8"/>
        <v>5.3333333333430346</v>
      </c>
      <c r="AC3" s="28">
        <v>4057.4</v>
      </c>
      <c r="AD3" s="75">
        <f t="shared" si="9"/>
        <v>0.36666666666678793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0</v>
      </c>
      <c r="AK3" s="13">
        <v>0</v>
      </c>
    </row>
    <row r="4" spans="1:37" x14ac:dyDescent="0.2">
      <c r="A4" s="94">
        <f t="shared" si="12"/>
        <v>46025</v>
      </c>
      <c r="B4" s="6">
        <v>33751834</v>
      </c>
      <c r="C4" s="75">
        <f t="shared" si="0"/>
        <v>790</v>
      </c>
      <c r="D4" s="20">
        <v>1630831</v>
      </c>
      <c r="E4" s="75">
        <f t="shared" ref="E4" si="18">IF(OR(D5="", D4=""), "", D5 - D4)</f>
        <v>437</v>
      </c>
      <c r="F4" s="20">
        <v>199732.33333333334</v>
      </c>
      <c r="G4" s="75">
        <f t="shared" ref="G4" si="19">IF(OR(F5="", F4=""), "", F5 - F4)</f>
        <v>201.33333333334303</v>
      </c>
      <c r="H4" s="79">
        <f t="shared" si="3"/>
        <v>1025.666666666657</v>
      </c>
      <c r="I4" s="80">
        <f t="shared" si="4"/>
        <v>778.29144736687158</v>
      </c>
      <c r="J4" s="35">
        <v>5004972.666666667</v>
      </c>
      <c r="K4" s="75">
        <f>IF(OR(J5="", J4=""), "", J5 - J4)</f>
        <v>55.666666666977108</v>
      </c>
      <c r="L4" s="9">
        <v>478145.31578947598</v>
      </c>
      <c r="M4" s="75">
        <f t="shared" si="5"/>
        <v>14.736842106038239</v>
      </c>
      <c r="N4" s="9">
        <v>156111.13815789469</v>
      </c>
      <c r="O4" s="75">
        <f t="shared" si="6"/>
        <v>70.2453947373142</v>
      </c>
      <c r="P4" s="35">
        <v>36589.310526315843</v>
      </c>
      <c r="Q4" s="75">
        <f t="shared" si="7"/>
        <v>106.72631578945584</v>
      </c>
      <c r="R4" s="94">
        <f t="shared" ref="R4:R32" si="20">A4</f>
        <v>46025</v>
      </c>
      <c r="S4" s="87">
        <v>4884</v>
      </c>
      <c r="T4" s="89"/>
      <c r="U4" s="75">
        <f t="shared" si="15"/>
        <v>0</v>
      </c>
      <c r="V4" s="11">
        <v>0.77</v>
      </c>
      <c r="W4" s="26">
        <v>0.76</v>
      </c>
      <c r="X4" s="96">
        <f t="shared" si="16"/>
        <v>3825</v>
      </c>
      <c r="Y4" s="84"/>
      <c r="Z4" s="75">
        <f t="shared" si="17"/>
        <v>0</v>
      </c>
      <c r="AA4" s="28">
        <v>136977.33333333334</v>
      </c>
      <c r="AB4" s="75">
        <f t="shared" si="8"/>
        <v>5.3333333333430346</v>
      </c>
      <c r="AC4" s="28">
        <v>4057.7666666666669</v>
      </c>
      <c r="AD4" s="75">
        <f t="shared" si="9"/>
        <v>0.36666666666678793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0</v>
      </c>
      <c r="AK4" s="13">
        <v>0</v>
      </c>
    </row>
    <row r="5" spans="1:37" x14ac:dyDescent="0.2">
      <c r="A5" s="94">
        <f t="shared" si="12"/>
        <v>46026</v>
      </c>
      <c r="B5" s="6">
        <v>33752624</v>
      </c>
      <c r="C5" s="75">
        <f t="shared" si="0"/>
        <v>790</v>
      </c>
      <c r="D5" s="20">
        <v>1631268</v>
      </c>
      <c r="E5" s="75">
        <f t="shared" ref="E5" si="21">IF(OR(D6="", D5=""), "", D6 - D5)</f>
        <v>437</v>
      </c>
      <c r="F5" s="20">
        <v>199933.66666666669</v>
      </c>
      <c r="G5" s="75">
        <f t="shared" ref="G5" si="22">IF(OR(F6="", F5=""), "", F6 - F5)</f>
        <v>201.33333333331393</v>
      </c>
      <c r="H5" s="79">
        <f t="shared" si="3"/>
        <v>1025.6666666666861</v>
      </c>
      <c r="I5" s="80">
        <f t="shared" si="4"/>
        <v>778.29144736915623</v>
      </c>
      <c r="J5" s="35">
        <v>5005028.333333334</v>
      </c>
      <c r="K5" s="75">
        <f t="shared" ref="K5:K10" si="23">IF(OR(J6="", J5=""), "", J6 - J5)</f>
        <v>55.666666666045785</v>
      </c>
      <c r="L5" s="9">
        <v>478160.05263158202</v>
      </c>
      <c r="M5" s="75">
        <f t="shared" si="5"/>
        <v>14.736842105980031</v>
      </c>
      <c r="N5" s="9">
        <v>156181.383552632</v>
      </c>
      <c r="O5" s="75">
        <f t="shared" si="6"/>
        <v>70.245394736004528</v>
      </c>
      <c r="P5" s="35">
        <v>36696.036842105299</v>
      </c>
      <c r="Q5" s="75">
        <f t="shared" si="7"/>
        <v>106.72631578949949</v>
      </c>
      <c r="R5" s="94">
        <f t="shared" si="20"/>
        <v>46026</v>
      </c>
      <c r="S5" s="87">
        <v>4884</v>
      </c>
      <c r="T5" s="89"/>
      <c r="U5" s="75">
        <f t="shared" si="15"/>
        <v>0</v>
      </c>
      <c r="V5" s="11">
        <v>0.77</v>
      </c>
      <c r="W5" s="26">
        <v>0.76</v>
      </c>
      <c r="X5" s="96">
        <f t="shared" si="16"/>
        <v>3825</v>
      </c>
      <c r="Y5" s="84"/>
      <c r="Z5" s="75">
        <f t="shared" si="17"/>
        <v>0</v>
      </c>
      <c r="AA5" s="28">
        <v>136982.66666666669</v>
      </c>
      <c r="AB5" s="75">
        <f t="shared" si="8"/>
        <v>5.3333333333139308</v>
      </c>
      <c r="AC5" s="28">
        <v>4058.1333333333337</v>
      </c>
      <c r="AD5" s="75">
        <f t="shared" si="9"/>
        <v>0.36666666666633319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0</v>
      </c>
      <c r="AK5" s="13">
        <v>0</v>
      </c>
    </row>
    <row r="6" spans="1:37" x14ac:dyDescent="0.2">
      <c r="A6" s="94">
        <f t="shared" si="12"/>
        <v>46027</v>
      </c>
      <c r="B6" s="6">
        <v>33753414</v>
      </c>
      <c r="C6" s="75">
        <f t="shared" si="0"/>
        <v>858.5</v>
      </c>
      <c r="D6" s="20">
        <v>1631705</v>
      </c>
      <c r="E6" s="75">
        <f t="shared" ref="E6" si="24">IF(OR(D7="", D6=""), "", D7 - D6)</f>
        <v>392.5</v>
      </c>
      <c r="F6" s="20">
        <v>200135</v>
      </c>
      <c r="G6" s="75">
        <f t="shared" ref="G6" si="25">IF(OR(F7="", F6=""), "", F7 - F6)</f>
        <v>149</v>
      </c>
      <c r="H6" s="79">
        <f t="shared" si="3"/>
        <v>1102</v>
      </c>
      <c r="I6" s="80">
        <f t="shared" si="4"/>
        <v>795.09144736734015</v>
      </c>
      <c r="J6" s="35">
        <v>5005084</v>
      </c>
      <c r="K6" s="75">
        <f t="shared" si="23"/>
        <v>115.20000000018626</v>
      </c>
      <c r="L6" s="9">
        <v>478174.789473688</v>
      </c>
      <c r="M6" s="75">
        <f t="shared" si="5"/>
        <v>14.736842105980031</v>
      </c>
      <c r="N6" s="9">
        <v>156251.62894736801</v>
      </c>
      <c r="O6" s="75">
        <f t="shared" si="6"/>
        <v>70.245394736994058</v>
      </c>
      <c r="P6" s="35">
        <v>36802.763157894798</v>
      </c>
      <c r="Q6" s="75">
        <f t="shared" si="7"/>
        <v>106.72631578949949</v>
      </c>
      <c r="R6" s="94">
        <f t="shared" si="20"/>
        <v>46027</v>
      </c>
      <c r="S6" s="87">
        <v>4884</v>
      </c>
      <c r="T6" s="89"/>
      <c r="U6" s="75">
        <f t="shared" si="15"/>
        <v>0</v>
      </c>
      <c r="V6" s="11">
        <v>0.77</v>
      </c>
      <c r="W6" s="26">
        <v>0.76</v>
      </c>
      <c r="X6" s="96">
        <f t="shared" si="16"/>
        <v>3825</v>
      </c>
      <c r="Y6" s="84"/>
      <c r="Z6" s="75">
        <f t="shared" si="17"/>
        <v>0</v>
      </c>
      <c r="AA6" s="28">
        <v>136988</v>
      </c>
      <c r="AB6" s="75">
        <f t="shared" si="8"/>
        <v>6</v>
      </c>
      <c r="AC6" s="28">
        <v>4058.5</v>
      </c>
      <c r="AD6" s="75">
        <f t="shared" si="9"/>
        <v>0.3000000000001819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0</v>
      </c>
      <c r="AK6" s="13">
        <v>0</v>
      </c>
    </row>
    <row r="7" spans="1:37" x14ac:dyDescent="0.2">
      <c r="A7" s="94">
        <f t="shared" si="12"/>
        <v>46028</v>
      </c>
      <c r="B7" s="6">
        <v>33754272.5</v>
      </c>
      <c r="C7" s="75">
        <f t="shared" si="0"/>
        <v>858.5</v>
      </c>
      <c r="D7" s="20">
        <v>1632097.5</v>
      </c>
      <c r="E7" s="75">
        <f t="shared" ref="E7" si="26">IF(OR(D8="", D7=""), "", D8 - D7)</f>
        <v>392.5</v>
      </c>
      <c r="F7" s="20">
        <v>200284</v>
      </c>
      <c r="G7" s="75">
        <f t="shared" ref="G7" si="27">IF(OR(F8="", F7=""), "", F8 - F7)</f>
        <v>149</v>
      </c>
      <c r="H7" s="79">
        <f t="shared" si="3"/>
        <v>1102</v>
      </c>
      <c r="I7" s="80">
        <f t="shared" si="4"/>
        <v>795.09144736737653</v>
      </c>
      <c r="J7" s="35">
        <v>5005199.2</v>
      </c>
      <c r="K7" s="75">
        <f t="shared" si="23"/>
        <v>115.20000000018626</v>
      </c>
      <c r="L7" s="9">
        <v>478189.52631579398</v>
      </c>
      <c r="M7" s="75">
        <f t="shared" si="5"/>
        <v>14.736842106038239</v>
      </c>
      <c r="N7" s="9">
        <v>156321.874342105</v>
      </c>
      <c r="O7" s="75">
        <f t="shared" si="6"/>
        <v>70.245394736994058</v>
      </c>
      <c r="P7" s="35">
        <v>36909.489473684298</v>
      </c>
      <c r="Q7" s="75">
        <f t="shared" si="7"/>
        <v>106.72631578940491</v>
      </c>
      <c r="R7" s="94">
        <f t="shared" si="20"/>
        <v>46028</v>
      </c>
      <c r="S7" s="87">
        <v>4884</v>
      </c>
      <c r="T7" s="89"/>
      <c r="U7" s="75">
        <f t="shared" si="15"/>
        <v>0</v>
      </c>
      <c r="V7" s="11">
        <v>0.77</v>
      </c>
      <c r="W7" s="26">
        <v>0.76</v>
      </c>
      <c r="X7" s="96">
        <f t="shared" si="16"/>
        <v>3825</v>
      </c>
      <c r="Y7" s="84"/>
      <c r="Z7" s="75">
        <f t="shared" si="17"/>
        <v>0</v>
      </c>
      <c r="AA7" s="28">
        <v>136994</v>
      </c>
      <c r="AB7" s="75">
        <f t="shared" si="8"/>
        <v>6</v>
      </c>
      <c r="AC7" s="28">
        <v>4058.8</v>
      </c>
      <c r="AD7" s="75">
        <f t="shared" si="9"/>
        <v>0.29999999999972715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0</v>
      </c>
      <c r="AK7" s="13">
        <v>0</v>
      </c>
    </row>
    <row r="8" spans="1:37" x14ac:dyDescent="0.2">
      <c r="A8" s="94">
        <f t="shared" si="12"/>
        <v>46029</v>
      </c>
      <c r="B8" s="6">
        <v>33755131</v>
      </c>
      <c r="C8" s="75">
        <f t="shared" si="0"/>
        <v>665</v>
      </c>
      <c r="D8" s="20">
        <v>1632490</v>
      </c>
      <c r="E8" s="75">
        <f t="shared" ref="E8" si="28">IF(OR(D9="", D8=""), "", D9 - D8)</f>
        <v>700</v>
      </c>
      <c r="F8" s="20">
        <v>200433</v>
      </c>
      <c r="G8" s="75">
        <f t="shared" ref="G8" si="29">IF(OR(F9="", F8=""), "", F9 - F8)</f>
        <v>314</v>
      </c>
      <c r="H8" s="79">
        <f t="shared" si="3"/>
        <v>1051</v>
      </c>
      <c r="I8" s="80">
        <f t="shared" si="4"/>
        <v>760.49144736771268</v>
      </c>
      <c r="J8" s="35">
        <v>5005314.4000000004</v>
      </c>
      <c r="K8" s="75">
        <f t="shared" si="23"/>
        <v>98.799999999813735</v>
      </c>
      <c r="L8" s="9">
        <v>478204.26315790002</v>
      </c>
      <c r="M8" s="75">
        <f t="shared" si="5"/>
        <v>14.736842105980031</v>
      </c>
      <c r="N8" s="9">
        <v>156392.119736842</v>
      </c>
      <c r="O8" s="75">
        <f t="shared" si="6"/>
        <v>70.245394736994058</v>
      </c>
      <c r="P8" s="35">
        <v>37016.215789473703</v>
      </c>
      <c r="Q8" s="75">
        <f t="shared" si="7"/>
        <v>106.72631578949949</v>
      </c>
      <c r="R8" s="94">
        <f t="shared" si="20"/>
        <v>46029</v>
      </c>
      <c r="S8" s="87">
        <v>4884</v>
      </c>
      <c r="T8" s="89"/>
      <c r="U8" s="75">
        <f t="shared" si="15"/>
        <v>0</v>
      </c>
      <c r="V8" s="11">
        <v>0.77</v>
      </c>
      <c r="W8" s="26">
        <v>0.76</v>
      </c>
      <c r="X8" s="96">
        <f t="shared" si="16"/>
        <v>3825</v>
      </c>
      <c r="Y8" s="84"/>
      <c r="Z8" s="75">
        <f t="shared" si="17"/>
        <v>0</v>
      </c>
      <c r="AA8" s="28">
        <v>137000</v>
      </c>
      <c r="AB8" s="75">
        <f t="shared" si="8"/>
        <v>14</v>
      </c>
      <c r="AC8" s="28">
        <v>4059.1</v>
      </c>
      <c r="AD8" s="75">
        <f t="shared" si="9"/>
        <v>0.20000000000027285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0</v>
      </c>
      <c r="AK8" s="13">
        <v>0</v>
      </c>
    </row>
    <row r="9" spans="1:37" x14ac:dyDescent="0.2">
      <c r="A9" s="94">
        <f t="shared" si="12"/>
        <v>46030</v>
      </c>
      <c r="B9" s="6">
        <v>33755796</v>
      </c>
      <c r="C9" s="75">
        <f t="shared" si="0"/>
        <v>848</v>
      </c>
      <c r="D9" s="20">
        <v>1633190</v>
      </c>
      <c r="E9" s="75">
        <f t="shared" ref="E9" si="30">IF(OR(D10="", D9=""), "", D10 - D9)</f>
        <v>431</v>
      </c>
      <c r="F9" s="20">
        <v>200747</v>
      </c>
      <c r="G9" s="75">
        <f t="shared" ref="G9" si="31">IF(OR(F10="", F9=""), "", F10 - F9)</f>
        <v>132</v>
      </c>
      <c r="H9" s="79">
        <f t="shared" ref="H9:H10" si="32">IF(OR(C9="", E9="", G9=""), "", C9 + E9 - G9)</f>
        <v>1147</v>
      </c>
      <c r="I9" s="80">
        <f t="shared" si="4"/>
        <v>845.69144736786984</v>
      </c>
      <c r="J9" s="35">
        <v>5005413.2</v>
      </c>
      <c r="K9" s="75">
        <f t="shared" si="23"/>
        <v>109.59999999962747</v>
      </c>
      <c r="L9" s="9">
        <v>478219.000000006</v>
      </c>
      <c r="M9" s="75">
        <f t="shared" si="5"/>
        <v>14.736842105980031</v>
      </c>
      <c r="N9" s="9">
        <v>156462.36513157899</v>
      </c>
      <c r="O9" s="75">
        <f t="shared" si="6"/>
        <v>70.245394737023162</v>
      </c>
      <c r="P9" s="35">
        <v>37122.942105263202</v>
      </c>
      <c r="Q9" s="75">
        <f t="shared" si="7"/>
        <v>106.72631578949949</v>
      </c>
      <c r="R9" s="94">
        <f t="shared" si="20"/>
        <v>46030</v>
      </c>
      <c r="S9" s="87">
        <v>4884</v>
      </c>
      <c r="T9" s="89"/>
      <c r="U9" s="75">
        <f t="shared" si="15"/>
        <v>0</v>
      </c>
      <c r="V9" s="11">
        <v>0.77</v>
      </c>
      <c r="W9" s="26">
        <v>0.76</v>
      </c>
      <c r="X9" s="96">
        <f t="shared" si="16"/>
        <v>3825</v>
      </c>
      <c r="Y9" s="84"/>
      <c r="Z9" s="75">
        <f t="shared" si="17"/>
        <v>0</v>
      </c>
      <c r="AA9" s="28">
        <v>137014</v>
      </c>
      <c r="AB9" s="75">
        <f t="shared" si="8"/>
        <v>8</v>
      </c>
      <c r="AC9" s="28">
        <v>4059.3</v>
      </c>
      <c r="AD9" s="75">
        <f t="shared" si="9"/>
        <v>0.3999999999996362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0</v>
      </c>
      <c r="AK9" s="13">
        <v>0</v>
      </c>
    </row>
    <row r="10" spans="1:37" x14ac:dyDescent="0.2">
      <c r="A10" s="94">
        <f t="shared" si="12"/>
        <v>46031</v>
      </c>
      <c r="B10" s="6">
        <v>33756644</v>
      </c>
      <c r="C10" s="75">
        <f>IF(OR(B11="", B10=""), "", B11 - B10)</f>
        <v>871.66666666418314</v>
      </c>
      <c r="D10" s="20">
        <v>1633621</v>
      </c>
      <c r="E10" s="75">
        <f t="shared" ref="E10" si="33">IF(OR(D11="", D10=""), "", D11 - D10)</f>
        <v>239</v>
      </c>
      <c r="F10" s="20">
        <v>200879</v>
      </c>
      <c r="G10" s="75">
        <f t="shared" ref="G10" si="34">IF(OR(F11="", F10=""), "", F11 - F10)</f>
        <v>79.666666666656965</v>
      </c>
      <c r="H10" s="79">
        <f t="shared" si="32"/>
        <v>1030.9999999975262</v>
      </c>
      <c r="I10" s="80">
        <f t="shared" si="4"/>
        <v>718.75811403188709</v>
      </c>
      <c r="J10" s="35">
        <v>5005522.8</v>
      </c>
      <c r="K10" s="75">
        <f t="shared" si="23"/>
        <v>120.53333333320916</v>
      </c>
      <c r="L10" s="9">
        <v>478233.73684211198</v>
      </c>
      <c r="M10" s="75">
        <f t="shared" si="5"/>
        <v>14.736842106038239</v>
      </c>
      <c r="N10" s="9">
        <v>156532.61052631601</v>
      </c>
      <c r="O10" s="75">
        <f t="shared" si="6"/>
        <v>70.245394736994058</v>
      </c>
      <c r="P10" s="35">
        <v>37229.668421052702</v>
      </c>
      <c r="Q10" s="75">
        <f t="shared" si="7"/>
        <v>106.72631578939763</v>
      </c>
      <c r="R10" s="94">
        <f t="shared" si="20"/>
        <v>46031</v>
      </c>
      <c r="S10" s="87">
        <v>4884</v>
      </c>
      <c r="T10" s="89"/>
      <c r="U10" s="75">
        <f t="shared" si="15"/>
        <v>0</v>
      </c>
      <c r="V10" s="11">
        <v>0.77</v>
      </c>
      <c r="W10" s="26">
        <v>0.76</v>
      </c>
      <c r="X10" s="96">
        <f t="shared" si="16"/>
        <v>3825</v>
      </c>
      <c r="Y10" s="84"/>
      <c r="Z10" s="75">
        <f t="shared" si="17"/>
        <v>0</v>
      </c>
      <c r="AA10" s="28">
        <v>137022</v>
      </c>
      <c r="AB10" s="75">
        <f t="shared" si="8"/>
        <v>7</v>
      </c>
      <c r="AC10" s="28">
        <v>4059.7</v>
      </c>
      <c r="AD10" s="75">
        <f t="shared" si="9"/>
        <v>0.26666666666687888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0</v>
      </c>
      <c r="AK10" s="13">
        <v>0</v>
      </c>
    </row>
    <row r="11" spans="1:37" x14ac:dyDescent="0.2">
      <c r="A11" s="94">
        <f t="shared" si="12"/>
        <v>46032</v>
      </c>
      <c r="B11" s="6">
        <v>33757515.666666664</v>
      </c>
      <c r="C11" s="75">
        <f t="shared" ref="C11:G32" si="35">IF(OR(B12="", B11=""), "", B12 - B11)</f>
        <v>871.66666666418314</v>
      </c>
      <c r="D11" s="20">
        <v>1633860</v>
      </c>
      <c r="E11" s="75">
        <f t="shared" si="35"/>
        <v>239</v>
      </c>
      <c r="F11" s="20">
        <v>200958.66666666666</v>
      </c>
      <c r="G11" s="75">
        <f t="shared" si="35"/>
        <v>79.666666666656965</v>
      </c>
      <c r="H11" s="79">
        <f>IF(OR(C11="", E11="", G11=""), "", C11 + E11 - G11)</f>
        <v>1030.9999999975262</v>
      </c>
      <c r="I11" s="80">
        <f>IF(OR(H11="", K11="", M11="", O11="", Q11=""), "", H11 - K11 - M11 - O11 - Q11)</f>
        <v>718.75811403283296</v>
      </c>
      <c r="J11" s="35">
        <v>5005643.333333333</v>
      </c>
      <c r="K11" s="75">
        <f t="shared" ref="K11:K33" si="36">IF(OR(J12="", J11=""), "", J12 - J11)</f>
        <v>120.53333333320916</v>
      </c>
      <c r="L11" s="9">
        <v>478248.47368421801</v>
      </c>
      <c r="M11" s="75">
        <f t="shared" ref="M11:M33" si="37">IF(OR(L12="", L11=""), "", L12 - L11)</f>
        <v>14.736842105980031</v>
      </c>
      <c r="N11" s="9">
        <v>156602.85592105301</v>
      </c>
      <c r="O11" s="75">
        <f t="shared" ref="O11:O33" si="38">IF(OR(N12="", N11=""), "", N12 - N11)</f>
        <v>70.245394736004528</v>
      </c>
      <c r="P11" s="35">
        <v>37336.3947368421</v>
      </c>
      <c r="Q11" s="75">
        <f t="shared" ref="Q11:Q33" si="39">IF(OR(P12="", P11=""), "", P12 - P11)</f>
        <v>106.72631578949949</v>
      </c>
      <c r="R11" s="94">
        <f t="shared" si="20"/>
        <v>46032</v>
      </c>
      <c r="S11" s="87">
        <v>4884</v>
      </c>
      <c r="T11" s="89"/>
      <c r="U11" s="75">
        <f t="shared" si="15"/>
        <v>0</v>
      </c>
      <c r="V11" s="11">
        <v>0.77</v>
      </c>
      <c r="W11" s="26">
        <v>0.76</v>
      </c>
      <c r="X11" s="96">
        <f t="shared" si="16"/>
        <v>3825</v>
      </c>
      <c r="Y11" s="84"/>
      <c r="Z11" s="75">
        <f t="shared" si="17"/>
        <v>0</v>
      </c>
      <c r="AA11" s="28">
        <v>137029</v>
      </c>
      <c r="AB11" s="75">
        <f t="shared" ref="AB11:AB33" si="40">IF(OR(AA12="", AA11=""), "", AA12 - AA11)</f>
        <v>7</v>
      </c>
      <c r="AC11" s="28">
        <v>4059.9666666666667</v>
      </c>
      <c r="AD11" s="75">
        <f t="shared" ref="AD11:AD33" si="41">IF(OR(AC12="", AC11=""), "", AC12 - AC11)</f>
        <v>0.26666666666687888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4">
        <f t="shared" si="12"/>
        <v>46033</v>
      </c>
      <c r="B12" s="6">
        <v>33758387.333333328</v>
      </c>
      <c r="C12" s="75">
        <f t="shared" si="35"/>
        <v>871.66666667163372</v>
      </c>
      <c r="D12" s="20">
        <v>1634099</v>
      </c>
      <c r="E12" s="75">
        <f t="shared" ref="E12" si="44">IF(OR(D13="", D12=""), "", D13 - D12)</f>
        <v>239</v>
      </c>
      <c r="F12" s="20">
        <v>201038.33333333331</v>
      </c>
      <c r="G12" s="75">
        <f t="shared" ref="G12" si="45">IF(OR(F13="", F12=""), "", F13 - F12)</f>
        <v>79.666666666686069</v>
      </c>
      <c r="H12" s="79">
        <f t="shared" ref="H12:H33" si="46">IF(OR(C12="", E12="", G12=""), "", C12 + E12 - G12)</f>
        <v>1031.0000000049477</v>
      </c>
      <c r="I12" s="80">
        <f t="shared" ref="I12:I33" si="47">IF(OR(H12="", K12="", M12="", O12="", Q12=""), "", H12 - K12 - M12 - O12 - Q12)</f>
        <v>718.75811403833359</v>
      </c>
      <c r="J12" s="35">
        <v>5005763.8666666662</v>
      </c>
      <c r="K12" s="75">
        <f t="shared" si="36"/>
        <v>120.53333333414048</v>
      </c>
      <c r="L12" s="9">
        <v>478263.21052632399</v>
      </c>
      <c r="M12" s="75">
        <f t="shared" si="37"/>
        <v>14.736842105980031</v>
      </c>
      <c r="N12" s="9">
        <v>156673.10131578901</v>
      </c>
      <c r="O12" s="75">
        <f t="shared" si="38"/>
        <v>70.245394736994058</v>
      </c>
      <c r="P12" s="35">
        <v>37443.121052631599</v>
      </c>
      <c r="Q12" s="75">
        <f t="shared" si="39"/>
        <v>106.72631578949949</v>
      </c>
      <c r="R12" s="94">
        <f t="shared" si="20"/>
        <v>46033</v>
      </c>
      <c r="S12" s="87">
        <v>4884</v>
      </c>
      <c r="T12" s="89"/>
      <c r="U12" s="75">
        <f t="shared" si="15"/>
        <v>0</v>
      </c>
      <c r="V12" s="11">
        <v>0.77</v>
      </c>
      <c r="W12" s="26">
        <v>0.76</v>
      </c>
      <c r="X12" s="96">
        <f t="shared" si="16"/>
        <v>3825</v>
      </c>
      <c r="Y12" s="84"/>
      <c r="Z12" s="75">
        <f t="shared" si="17"/>
        <v>0</v>
      </c>
      <c r="AA12" s="28">
        <v>137036</v>
      </c>
      <c r="AB12" s="75">
        <f t="shared" si="40"/>
        <v>7</v>
      </c>
      <c r="AC12" s="28">
        <v>4060.2333333333336</v>
      </c>
      <c r="AD12" s="75">
        <f t="shared" si="41"/>
        <v>0.26666666666642413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0</v>
      </c>
      <c r="AK12" s="13">
        <v>0</v>
      </c>
    </row>
    <row r="13" spans="1:37" x14ac:dyDescent="0.2">
      <c r="A13" s="94">
        <f t="shared" si="12"/>
        <v>46034</v>
      </c>
      <c r="B13" s="6">
        <v>33759259</v>
      </c>
      <c r="C13" s="75">
        <f t="shared" si="35"/>
        <v>913</v>
      </c>
      <c r="D13" s="20">
        <v>1634338</v>
      </c>
      <c r="E13" s="75">
        <f t="shared" ref="E13" si="48">IF(OR(D14="", D13=""), "", D14 - D13)</f>
        <v>315</v>
      </c>
      <c r="F13" s="20">
        <v>201118</v>
      </c>
      <c r="G13" s="75">
        <f t="shared" ref="G13" si="49">IF(OR(F14="", F13=""), "", F14 - F13)</f>
        <v>46</v>
      </c>
      <c r="H13" s="79">
        <f t="shared" si="46"/>
        <v>1182</v>
      </c>
      <c r="I13" s="80">
        <f t="shared" si="47"/>
        <v>870.2914473675628</v>
      </c>
      <c r="J13" s="35">
        <v>5005884.4000000004</v>
      </c>
      <c r="K13" s="75">
        <f t="shared" si="36"/>
        <v>120</v>
      </c>
      <c r="L13" s="9">
        <v>478277.94736842997</v>
      </c>
      <c r="M13" s="75">
        <f t="shared" si="37"/>
        <v>14.736842106038239</v>
      </c>
      <c r="N13" s="9">
        <v>156743.34671052601</v>
      </c>
      <c r="O13" s="75">
        <f t="shared" si="38"/>
        <v>70.245394736994058</v>
      </c>
      <c r="P13" s="35">
        <v>37549.847368421099</v>
      </c>
      <c r="Q13" s="75">
        <f t="shared" si="39"/>
        <v>106.72631578940491</v>
      </c>
      <c r="R13" s="94">
        <f t="shared" si="20"/>
        <v>46034</v>
      </c>
      <c r="S13" s="87">
        <v>4884</v>
      </c>
      <c r="T13" s="89"/>
      <c r="U13" s="75">
        <f t="shared" si="15"/>
        <v>0</v>
      </c>
      <c r="V13" s="11">
        <v>0.77</v>
      </c>
      <c r="W13" s="26">
        <v>0.76</v>
      </c>
      <c r="X13" s="96">
        <f t="shared" si="16"/>
        <v>3825</v>
      </c>
      <c r="Y13" s="84"/>
      <c r="Z13" s="75">
        <f t="shared" si="17"/>
        <v>0</v>
      </c>
      <c r="AA13" s="28">
        <v>137043</v>
      </c>
      <c r="AB13" s="75">
        <f t="shared" si="40"/>
        <v>16</v>
      </c>
      <c r="AC13" s="28">
        <v>4060.5</v>
      </c>
      <c r="AD13" s="75">
        <f t="shared" si="41"/>
        <v>0.40000000000009095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0</v>
      </c>
      <c r="AK13" s="13">
        <v>0</v>
      </c>
    </row>
    <row r="14" spans="1:37" x14ac:dyDescent="0.2">
      <c r="A14" s="94">
        <f t="shared" si="12"/>
        <v>46035</v>
      </c>
      <c r="B14" s="6">
        <v>33760172</v>
      </c>
      <c r="C14" s="75">
        <f t="shared" si="35"/>
        <v>781</v>
      </c>
      <c r="D14" s="20">
        <v>1634653</v>
      </c>
      <c r="E14" s="75">
        <f t="shared" ref="E14" si="50">IF(OR(D15="", D14=""), "", D15 - D14)</f>
        <v>691</v>
      </c>
      <c r="F14" s="20">
        <v>201164</v>
      </c>
      <c r="G14" s="75">
        <f t="shared" ref="G14" si="51">IF(OR(F15="", F14=""), "", F15 - F14)</f>
        <v>244</v>
      </c>
      <c r="H14" s="79">
        <f t="shared" si="46"/>
        <v>1228</v>
      </c>
      <c r="I14" s="80">
        <f t="shared" si="47"/>
        <v>914.29144736752642</v>
      </c>
      <c r="J14" s="35">
        <v>5006004.4000000004</v>
      </c>
      <c r="K14" s="75">
        <f t="shared" si="36"/>
        <v>122</v>
      </c>
      <c r="L14" s="9">
        <v>478292.68421053601</v>
      </c>
      <c r="M14" s="75">
        <f t="shared" si="37"/>
        <v>14.736842105980031</v>
      </c>
      <c r="N14" s="9">
        <v>156813.592105263</v>
      </c>
      <c r="O14" s="75">
        <f t="shared" si="38"/>
        <v>70.245394736994058</v>
      </c>
      <c r="P14" s="35">
        <v>37656.573684210503</v>
      </c>
      <c r="Q14" s="75">
        <f t="shared" si="39"/>
        <v>106.72631578949949</v>
      </c>
      <c r="R14" s="94">
        <f t="shared" si="20"/>
        <v>46035</v>
      </c>
      <c r="S14" s="87">
        <v>4884</v>
      </c>
      <c r="T14" s="89"/>
      <c r="U14" s="75">
        <f t="shared" si="15"/>
        <v>0</v>
      </c>
      <c r="V14" s="11">
        <v>0.77</v>
      </c>
      <c r="W14" s="26">
        <v>0.76</v>
      </c>
      <c r="X14" s="96">
        <f t="shared" si="16"/>
        <v>3825</v>
      </c>
      <c r="Y14" s="84"/>
      <c r="Z14" s="75">
        <f t="shared" si="17"/>
        <v>0</v>
      </c>
      <c r="AA14" s="28">
        <v>137059</v>
      </c>
      <c r="AB14" s="75">
        <f t="shared" si="40"/>
        <v>15</v>
      </c>
      <c r="AC14" s="28">
        <v>4060.9</v>
      </c>
      <c r="AD14" s="75">
        <f t="shared" si="41"/>
        <v>0.1999999999998181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0</v>
      </c>
      <c r="AK14" s="13">
        <v>0</v>
      </c>
    </row>
    <row r="15" spans="1:37" x14ac:dyDescent="0.2">
      <c r="A15" s="94">
        <f t="shared" si="12"/>
        <v>46036</v>
      </c>
      <c r="B15" s="6">
        <v>33760953</v>
      </c>
      <c r="C15" s="75">
        <f t="shared" si="35"/>
        <v>1092</v>
      </c>
      <c r="D15" s="20">
        <v>1635344</v>
      </c>
      <c r="E15" s="75">
        <f t="shared" ref="E15" si="52">IF(OR(D16="", D15=""), "", D16 - D15)</f>
        <v>197</v>
      </c>
      <c r="F15" s="20">
        <v>201408</v>
      </c>
      <c r="G15" s="75">
        <f t="shared" ref="G15" si="53">IF(OR(F16="", F15=""), "", F16 - F15)</f>
        <v>63</v>
      </c>
      <c r="H15" s="79">
        <f t="shared" si="46"/>
        <v>1226</v>
      </c>
      <c r="I15" s="80">
        <f t="shared" si="47"/>
        <v>915.49144736771268</v>
      </c>
      <c r="J15" s="35">
        <v>5006126.4000000004</v>
      </c>
      <c r="K15" s="75">
        <f t="shared" si="36"/>
        <v>118.79999999981374</v>
      </c>
      <c r="L15" s="9">
        <v>478307.42105264199</v>
      </c>
      <c r="M15" s="75">
        <f t="shared" si="37"/>
        <v>14.736842105980031</v>
      </c>
      <c r="N15" s="9">
        <v>156883.83749999999</v>
      </c>
      <c r="O15" s="75">
        <f t="shared" si="38"/>
        <v>70.245394736994058</v>
      </c>
      <c r="P15" s="35">
        <v>37763.300000000003</v>
      </c>
      <c r="Q15" s="75">
        <f t="shared" si="39"/>
        <v>106.72631578949949</v>
      </c>
      <c r="R15" s="94">
        <f t="shared" si="20"/>
        <v>46036</v>
      </c>
      <c r="S15" s="87">
        <v>4884</v>
      </c>
      <c r="T15" s="89"/>
      <c r="U15" s="75">
        <f t="shared" si="15"/>
        <v>0</v>
      </c>
      <c r="V15" s="11">
        <v>0.77</v>
      </c>
      <c r="W15" s="26">
        <v>0.76</v>
      </c>
      <c r="X15" s="96">
        <f t="shared" si="16"/>
        <v>3825</v>
      </c>
      <c r="Y15" s="84"/>
      <c r="Z15" s="75">
        <f t="shared" si="17"/>
        <v>0</v>
      </c>
      <c r="AA15" s="28">
        <v>137074</v>
      </c>
      <c r="AB15" s="75">
        <f t="shared" si="40"/>
        <v>14</v>
      </c>
      <c r="AC15" s="28">
        <v>4061.1</v>
      </c>
      <c r="AD15" s="75">
        <f t="shared" si="41"/>
        <v>0.40000000000009095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0</v>
      </c>
      <c r="AK15" s="13">
        <v>0</v>
      </c>
    </row>
    <row r="16" spans="1:37" x14ac:dyDescent="0.2">
      <c r="A16" s="94">
        <f t="shared" si="12"/>
        <v>46037</v>
      </c>
      <c r="B16" s="6">
        <v>33762045</v>
      </c>
      <c r="C16" s="75">
        <f t="shared" si="35"/>
        <v>859</v>
      </c>
      <c r="D16" s="20">
        <v>1635541</v>
      </c>
      <c r="E16" s="75">
        <f t="shared" ref="E16" si="54">IF(OR(D17="", D16=""), "", D17 - D16)</f>
        <v>679</v>
      </c>
      <c r="F16" s="20">
        <v>201471</v>
      </c>
      <c r="G16" s="75">
        <f t="shared" ref="G16" si="55">IF(OR(F17="", F16=""), "", F17 - F16)</f>
        <v>315</v>
      </c>
      <c r="H16" s="79">
        <f t="shared" si="46"/>
        <v>1223</v>
      </c>
      <c r="I16" s="80">
        <f t="shared" si="47"/>
        <v>912.09144736725284</v>
      </c>
      <c r="J16" s="35">
        <v>5006245.2</v>
      </c>
      <c r="K16" s="75">
        <f t="shared" si="36"/>
        <v>119.20000000018626</v>
      </c>
      <c r="L16" s="9">
        <v>478322.15789474797</v>
      </c>
      <c r="M16" s="75">
        <f t="shared" si="37"/>
        <v>14.736842106038239</v>
      </c>
      <c r="N16" s="9">
        <v>156954.08289473699</v>
      </c>
      <c r="O16" s="75">
        <f t="shared" si="38"/>
        <v>70.245394737023162</v>
      </c>
      <c r="P16" s="35">
        <v>37870.026315789502</v>
      </c>
      <c r="Q16" s="75">
        <f t="shared" si="39"/>
        <v>106.72631578949949</v>
      </c>
      <c r="R16" s="94">
        <f t="shared" si="20"/>
        <v>46037</v>
      </c>
      <c r="S16" s="87">
        <v>4884</v>
      </c>
      <c r="T16" s="89"/>
      <c r="U16" s="75">
        <f t="shared" si="15"/>
        <v>0</v>
      </c>
      <c r="V16" s="11">
        <v>0.77</v>
      </c>
      <c r="W16" s="26">
        <v>0.76</v>
      </c>
      <c r="X16" s="96">
        <f t="shared" si="16"/>
        <v>3825</v>
      </c>
      <c r="Y16" s="84"/>
      <c r="Z16" s="75">
        <f t="shared" si="17"/>
        <v>0</v>
      </c>
      <c r="AA16" s="28">
        <v>137088</v>
      </c>
      <c r="AB16" s="75">
        <f t="shared" si="40"/>
        <v>14</v>
      </c>
      <c r="AC16" s="28">
        <v>4061.5</v>
      </c>
      <c r="AD16" s="75">
        <f t="shared" si="41"/>
        <v>0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0</v>
      </c>
      <c r="AK16" s="13">
        <v>0</v>
      </c>
    </row>
    <row r="17" spans="1:37" x14ac:dyDescent="0.2">
      <c r="A17" s="94">
        <f t="shared" si="12"/>
        <v>46038</v>
      </c>
      <c r="B17" s="6">
        <v>33762904</v>
      </c>
      <c r="C17" s="75">
        <f t="shared" si="35"/>
        <v>833.33333333581686</v>
      </c>
      <c r="D17" s="20">
        <v>1636220</v>
      </c>
      <c r="E17" s="75">
        <f t="shared" ref="E17" si="56">IF(OR(D18="", D17=""), "", D18 - D17)</f>
        <v>525.33333333325572</v>
      </c>
      <c r="F17" s="20">
        <v>201786</v>
      </c>
      <c r="G17" s="75">
        <f t="shared" ref="G17" si="57">IF(OR(F18="", F17=""), "", F18 - F17)</f>
        <v>292.33333333334303</v>
      </c>
      <c r="H17" s="79">
        <f t="shared" si="46"/>
        <v>1066.3333333357295</v>
      </c>
      <c r="I17" s="80">
        <f t="shared" si="47"/>
        <v>761.42478070317156</v>
      </c>
      <c r="J17" s="35">
        <v>5006364.4000000004</v>
      </c>
      <c r="K17" s="75">
        <f t="shared" si="36"/>
        <v>113.20000000018626</v>
      </c>
      <c r="L17" s="9">
        <v>478336.89473685401</v>
      </c>
      <c r="M17" s="75">
        <f t="shared" si="37"/>
        <v>14.736842105980031</v>
      </c>
      <c r="N17" s="9">
        <v>157024.32828947401</v>
      </c>
      <c r="O17" s="75">
        <f t="shared" si="38"/>
        <v>70.245394736994058</v>
      </c>
      <c r="P17" s="35">
        <v>37976.752631579002</v>
      </c>
      <c r="Q17" s="75">
        <f t="shared" si="39"/>
        <v>106.72631578939763</v>
      </c>
      <c r="R17" s="94">
        <f t="shared" si="20"/>
        <v>46038</v>
      </c>
      <c r="S17" s="87">
        <v>4884</v>
      </c>
      <c r="T17" s="89"/>
      <c r="U17" s="75">
        <f t="shared" si="15"/>
        <v>0</v>
      </c>
      <c r="V17" s="11">
        <v>0.77</v>
      </c>
      <c r="W17" s="26">
        <v>0.76</v>
      </c>
      <c r="X17" s="96">
        <f t="shared" si="16"/>
        <v>3825</v>
      </c>
      <c r="Y17" s="84"/>
      <c r="Z17" s="75">
        <f t="shared" si="17"/>
        <v>0</v>
      </c>
      <c r="AA17" s="28">
        <v>137102</v>
      </c>
      <c r="AB17" s="75">
        <f t="shared" si="40"/>
        <v>11.333333333343035</v>
      </c>
      <c r="AC17" s="28">
        <v>4061.5</v>
      </c>
      <c r="AD17" s="75">
        <f t="shared" si="41"/>
        <v>0.36666666666678793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0</v>
      </c>
      <c r="AK17" s="13">
        <v>0</v>
      </c>
    </row>
    <row r="18" spans="1:37" x14ac:dyDescent="0.2">
      <c r="A18" s="94">
        <f t="shared" si="12"/>
        <v>46039</v>
      </c>
      <c r="B18" s="6">
        <v>33763737.333333336</v>
      </c>
      <c r="C18" s="75">
        <f t="shared" si="35"/>
        <v>833.33333333581686</v>
      </c>
      <c r="D18" s="20">
        <v>1636745.3333333333</v>
      </c>
      <c r="E18" s="75">
        <f t="shared" ref="E18" si="58">IF(OR(D19="", D18=""), "", D19 - D18)</f>
        <v>525.33333333325572</v>
      </c>
      <c r="F18" s="20">
        <v>202078.33333333334</v>
      </c>
      <c r="G18" s="75">
        <f t="shared" ref="G18" si="59">IF(OR(F19="", F18=""), "", F19 - F18)</f>
        <v>292.33333333334303</v>
      </c>
      <c r="H18" s="79">
        <f t="shared" si="46"/>
        <v>1066.3333333357295</v>
      </c>
      <c r="I18" s="80">
        <f t="shared" si="47"/>
        <v>761.42478070400102</v>
      </c>
      <c r="J18" s="35">
        <v>5006477.6000000006</v>
      </c>
      <c r="K18" s="75">
        <f t="shared" si="36"/>
        <v>113.20000000018626</v>
      </c>
      <c r="L18" s="9">
        <v>478351.63157895999</v>
      </c>
      <c r="M18" s="75">
        <f t="shared" si="37"/>
        <v>14.736842106038239</v>
      </c>
      <c r="N18" s="9">
        <v>157094.57368421101</v>
      </c>
      <c r="O18" s="75">
        <f t="shared" si="38"/>
        <v>70.245394736004528</v>
      </c>
      <c r="P18" s="35">
        <v>38083.4789473684</v>
      </c>
      <c r="Q18" s="75">
        <f t="shared" si="39"/>
        <v>106.72631578949949</v>
      </c>
      <c r="R18" s="94">
        <f t="shared" si="20"/>
        <v>46039</v>
      </c>
      <c r="S18" s="87">
        <v>4884</v>
      </c>
      <c r="T18" s="89"/>
      <c r="U18" s="75">
        <f t="shared" si="15"/>
        <v>0</v>
      </c>
      <c r="V18" s="11">
        <v>0.77</v>
      </c>
      <c r="W18" s="26">
        <v>0.76</v>
      </c>
      <c r="X18" s="96">
        <f t="shared" si="16"/>
        <v>3825</v>
      </c>
      <c r="Y18" s="84"/>
      <c r="Z18" s="75">
        <f t="shared" si="17"/>
        <v>0</v>
      </c>
      <c r="AA18" s="28">
        <v>137113.33333333334</v>
      </c>
      <c r="AB18" s="75">
        <f t="shared" si="40"/>
        <v>11.333333333343035</v>
      </c>
      <c r="AC18" s="28">
        <v>4061.8666666666668</v>
      </c>
      <c r="AD18" s="75">
        <f t="shared" si="41"/>
        <v>0.36666666666678793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0</v>
      </c>
      <c r="AK18" s="13">
        <v>0</v>
      </c>
    </row>
    <row r="19" spans="1:37" x14ac:dyDescent="0.2">
      <c r="A19" s="94">
        <f t="shared" si="12"/>
        <v>46040</v>
      </c>
      <c r="B19" s="6">
        <v>33764570.666666672</v>
      </c>
      <c r="C19" s="75">
        <f t="shared" si="35"/>
        <v>833.33333332836628</v>
      </c>
      <c r="D19" s="20">
        <v>1637270.6666666665</v>
      </c>
      <c r="E19" s="75">
        <f t="shared" ref="E19" si="60">IF(OR(D20="", D19=""), "", D20 - D19)</f>
        <v>525.33333333348855</v>
      </c>
      <c r="F19" s="20">
        <v>202370.66666666669</v>
      </c>
      <c r="G19" s="75">
        <f t="shared" ref="G19" si="61">IF(OR(F20="", F19=""), "", F20 - F19)</f>
        <v>292.33333333331393</v>
      </c>
      <c r="H19" s="79">
        <f t="shared" si="46"/>
        <v>1066.3333333285409</v>
      </c>
      <c r="I19" s="80">
        <f t="shared" si="47"/>
        <v>761.42478069681238</v>
      </c>
      <c r="J19" s="35">
        <v>5006590.8000000007</v>
      </c>
      <c r="K19" s="75">
        <f t="shared" si="36"/>
        <v>113.19999999925494</v>
      </c>
      <c r="L19" s="9">
        <v>478366.36842106603</v>
      </c>
      <c r="M19" s="75">
        <f t="shared" si="37"/>
        <v>14.736842105980031</v>
      </c>
      <c r="N19" s="9">
        <v>157164.81907894701</v>
      </c>
      <c r="O19" s="75">
        <f t="shared" si="38"/>
        <v>70.245394736994058</v>
      </c>
      <c r="P19" s="35">
        <v>38190.205263157899</v>
      </c>
      <c r="Q19" s="75">
        <f t="shared" si="39"/>
        <v>106.72631578949949</v>
      </c>
      <c r="R19" s="94">
        <f t="shared" si="20"/>
        <v>46040</v>
      </c>
      <c r="S19" s="87">
        <v>4884</v>
      </c>
      <c r="T19" s="89"/>
      <c r="U19" s="75">
        <f t="shared" si="15"/>
        <v>0</v>
      </c>
      <c r="V19" s="11">
        <v>0.77</v>
      </c>
      <c r="W19" s="26">
        <v>0.76</v>
      </c>
      <c r="X19" s="96">
        <f t="shared" si="16"/>
        <v>3825</v>
      </c>
      <c r="Y19" s="84"/>
      <c r="Z19" s="75">
        <f t="shared" si="17"/>
        <v>0</v>
      </c>
      <c r="AA19" s="28">
        <v>137124.66666666669</v>
      </c>
      <c r="AB19" s="75">
        <f t="shared" si="40"/>
        <v>11.333333333313931</v>
      </c>
      <c r="AC19" s="28">
        <v>4062.2333333333336</v>
      </c>
      <c r="AD19" s="75">
        <f t="shared" si="41"/>
        <v>0.36666666666633319</v>
      </c>
      <c r="AE19" s="30">
        <v>73027</v>
      </c>
      <c r="AF19" s="75">
        <f t="shared" si="42"/>
        <v>0</v>
      </c>
      <c r="AG19" s="33">
        <v>3100</v>
      </c>
      <c r="AH19" s="71"/>
      <c r="AI19" s="75" t="str">
        <f t="shared" si="43"/>
        <v/>
      </c>
      <c r="AJ19" s="8">
        <v>0</v>
      </c>
      <c r="AK19" s="13">
        <v>0</v>
      </c>
    </row>
    <row r="20" spans="1:37" x14ac:dyDescent="0.2">
      <c r="A20" s="94">
        <f t="shared" si="12"/>
        <v>46041</v>
      </c>
      <c r="B20" s="6">
        <v>33765404</v>
      </c>
      <c r="C20" s="75">
        <f t="shared" si="35"/>
        <v>867</v>
      </c>
      <c r="D20" s="20">
        <v>1637796</v>
      </c>
      <c r="E20" s="75">
        <f t="shared" ref="E20" si="62">IF(OR(D21="", D20=""), "", D21 - D20)</f>
        <v>851</v>
      </c>
      <c r="F20" s="20">
        <v>202663</v>
      </c>
      <c r="G20" s="75">
        <f t="shared" ref="G20" si="63">IF(OR(F21="", F20=""), "", F21 - F20)</f>
        <v>241</v>
      </c>
      <c r="H20" s="79">
        <f t="shared" si="46"/>
        <v>1477</v>
      </c>
      <c r="I20" s="80">
        <f t="shared" si="47"/>
        <v>1172.0914473674347</v>
      </c>
      <c r="J20" s="35">
        <v>5006704</v>
      </c>
      <c r="K20" s="75">
        <f t="shared" si="36"/>
        <v>113.20000000018626</v>
      </c>
      <c r="L20" s="9">
        <v>478381.10526317201</v>
      </c>
      <c r="M20" s="75">
        <f t="shared" si="37"/>
        <v>14.736842105980031</v>
      </c>
      <c r="N20" s="9">
        <v>157235.064473684</v>
      </c>
      <c r="O20" s="75">
        <f t="shared" si="38"/>
        <v>70.245394736994058</v>
      </c>
      <c r="P20" s="35">
        <v>38296.931578947399</v>
      </c>
      <c r="Q20" s="75">
        <f t="shared" si="39"/>
        <v>106.72631578940491</v>
      </c>
      <c r="R20" s="94">
        <f t="shared" si="20"/>
        <v>46041</v>
      </c>
      <c r="S20" s="87">
        <v>4884</v>
      </c>
      <c r="T20" s="89"/>
      <c r="U20" s="75">
        <f t="shared" si="15"/>
        <v>0</v>
      </c>
      <c r="V20" s="11">
        <v>0.77</v>
      </c>
      <c r="W20" s="26">
        <v>0.76</v>
      </c>
      <c r="X20" s="96">
        <f t="shared" si="16"/>
        <v>3825</v>
      </c>
      <c r="Y20" s="84"/>
      <c r="Z20" s="75">
        <f t="shared" si="17"/>
        <v>0</v>
      </c>
      <c r="AA20" s="28">
        <v>137136</v>
      </c>
      <c r="AB20" s="75">
        <f t="shared" si="40"/>
        <v>10</v>
      </c>
      <c r="AC20" s="28">
        <v>4062.6</v>
      </c>
      <c r="AD20" s="75">
        <f t="shared" si="41"/>
        <v>0.3000000000001819</v>
      </c>
      <c r="AE20" s="30">
        <v>73027</v>
      </c>
      <c r="AF20" s="75">
        <f t="shared" si="42"/>
        <v>0</v>
      </c>
      <c r="AG20" s="33">
        <v>3100</v>
      </c>
      <c r="AH20" s="71"/>
      <c r="AI20" s="75" t="str">
        <f t="shared" si="43"/>
        <v/>
      </c>
      <c r="AJ20" s="8">
        <v>0</v>
      </c>
      <c r="AK20" s="13">
        <v>0</v>
      </c>
    </row>
    <row r="21" spans="1:37" x14ac:dyDescent="0.2">
      <c r="A21" s="94">
        <f t="shared" si="12"/>
        <v>46042</v>
      </c>
      <c r="B21" s="6">
        <v>33766271</v>
      </c>
      <c r="C21" s="75">
        <f t="shared" si="35"/>
        <v>1114</v>
      </c>
      <c r="D21" s="20">
        <v>1638647</v>
      </c>
      <c r="E21" s="75">
        <f t="shared" ref="E21" si="64">IF(OR(D22="", D21=""), "", D22 - D21)</f>
        <v>387</v>
      </c>
      <c r="F21" s="20">
        <v>202904</v>
      </c>
      <c r="G21" s="75">
        <f t="shared" ref="G21" si="65">IF(OR(F22="", F21=""), "", F22 - F21)</f>
        <v>130</v>
      </c>
      <c r="H21" s="79">
        <f t="shared" si="46"/>
        <v>1371</v>
      </c>
      <c r="I21" s="80">
        <f t="shared" si="47"/>
        <v>1066.4914473676545</v>
      </c>
      <c r="J21" s="35">
        <v>5006817.2</v>
      </c>
      <c r="K21" s="75">
        <f t="shared" si="36"/>
        <v>112.79999999981374</v>
      </c>
      <c r="L21" s="9">
        <v>478395.84210527799</v>
      </c>
      <c r="M21" s="75">
        <f t="shared" si="37"/>
        <v>14.736842106038239</v>
      </c>
      <c r="N21" s="9">
        <v>157305.309868421</v>
      </c>
      <c r="O21" s="75">
        <f t="shared" si="38"/>
        <v>70.245394736994058</v>
      </c>
      <c r="P21" s="35">
        <v>38403.657894736803</v>
      </c>
      <c r="Q21" s="75">
        <f t="shared" si="39"/>
        <v>106.72631578949949</v>
      </c>
      <c r="R21" s="94">
        <f t="shared" si="20"/>
        <v>46042</v>
      </c>
      <c r="S21" s="87">
        <v>4884</v>
      </c>
      <c r="T21" s="89"/>
      <c r="U21" s="75">
        <f t="shared" si="15"/>
        <v>0</v>
      </c>
      <c r="V21" s="11">
        <v>0.77</v>
      </c>
      <c r="W21" s="26">
        <v>0.76</v>
      </c>
      <c r="X21" s="96">
        <f t="shared" si="16"/>
        <v>3825</v>
      </c>
      <c r="Y21" s="84"/>
      <c r="Z21" s="75">
        <f t="shared" si="17"/>
        <v>0</v>
      </c>
      <c r="AA21" s="28">
        <v>137146</v>
      </c>
      <c r="AB21" s="75">
        <f t="shared" si="40"/>
        <v>12</v>
      </c>
      <c r="AC21" s="28">
        <v>4062.9</v>
      </c>
      <c r="AD21" s="75">
        <f t="shared" si="41"/>
        <v>1</v>
      </c>
      <c r="AE21" s="30">
        <v>73027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0</v>
      </c>
      <c r="AK21" s="13">
        <v>0</v>
      </c>
    </row>
    <row r="22" spans="1:37" x14ac:dyDescent="0.2">
      <c r="A22" s="94">
        <f t="shared" si="12"/>
        <v>46043</v>
      </c>
      <c r="B22" s="6">
        <v>33767385</v>
      </c>
      <c r="C22" s="75">
        <f t="shared" si="35"/>
        <v>798</v>
      </c>
      <c r="D22" s="20">
        <v>1639034</v>
      </c>
      <c r="E22" s="75">
        <f t="shared" ref="E22" si="66">IF(OR(D23="", D22=""), "", D23 - D22)</f>
        <v>759</v>
      </c>
      <c r="F22" s="20">
        <v>203034</v>
      </c>
      <c r="G22" s="75">
        <f t="shared" ref="G22" si="67">IF(OR(F23="", F22=""), "", F23 - F22)</f>
        <v>210</v>
      </c>
      <c r="H22" s="79">
        <f t="shared" si="46"/>
        <v>1347</v>
      </c>
      <c r="I22" s="80">
        <f t="shared" si="47"/>
        <v>1041.6914473678989</v>
      </c>
      <c r="J22" s="35">
        <v>5006930</v>
      </c>
      <c r="K22" s="75">
        <f t="shared" si="36"/>
        <v>113.59999999962747</v>
      </c>
      <c r="L22" s="9">
        <v>478410.57894738403</v>
      </c>
      <c r="M22" s="75">
        <f t="shared" si="37"/>
        <v>14.736842105980031</v>
      </c>
      <c r="N22" s="9">
        <v>157375.55526315799</v>
      </c>
      <c r="O22" s="75">
        <f t="shared" si="38"/>
        <v>70.245394736994058</v>
      </c>
      <c r="P22" s="35">
        <v>38510.384210526303</v>
      </c>
      <c r="Q22" s="75">
        <f t="shared" si="39"/>
        <v>106.72631578949949</v>
      </c>
      <c r="R22" s="94">
        <f t="shared" si="20"/>
        <v>46043</v>
      </c>
      <c r="S22" s="87">
        <v>4884</v>
      </c>
      <c r="T22" s="89"/>
      <c r="U22" s="75">
        <f t="shared" si="15"/>
        <v>0</v>
      </c>
      <c r="V22" s="11">
        <v>0.77</v>
      </c>
      <c r="W22" s="26">
        <v>0.76</v>
      </c>
      <c r="X22" s="96">
        <f t="shared" si="16"/>
        <v>3825</v>
      </c>
      <c r="Y22" s="84"/>
      <c r="Z22" s="75">
        <f t="shared" si="17"/>
        <v>0</v>
      </c>
      <c r="AA22" s="28">
        <v>137158</v>
      </c>
      <c r="AB22" s="75">
        <f t="shared" si="40"/>
        <v>0</v>
      </c>
      <c r="AC22" s="28">
        <v>4063.9</v>
      </c>
      <c r="AD22" s="75">
        <f t="shared" si="41"/>
        <v>9.9999999999909051E-2</v>
      </c>
      <c r="AE22" s="30">
        <v>73027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0</v>
      </c>
      <c r="AK22" s="13">
        <v>0</v>
      </c>
    </row>
    <row r="23" spans="1:37" x14ac:dyDescent="0.2">
      <c r="A23" s="94">
        <f t="shared" si="12"/>
        <v>46044</v>
      </c>
      <c r="B23" s="6">
        <v>33768183</v>
      </c>
      <c r="C23" s="75">
        <f t="shared" si="35"/>
        <v>1261</v>
      </c>
      <c r="D23" s="20">
        <v>1639793</v>
      </c>
      <c r="E23" s="75">
        <f t="shared" ref="E23" si="68">IF(OR(D24="", D23=""), "", D24 - D23)</f>
        <v>164</v>
      </c>
      <c r="F23" s="20">
        <v>203244</v>
      </c>
      <c r="G23" s="75">
        <f t="shared" ref="G23" si="69">IF(OR(F24="", F23=""), "", F24 - F23)</f>
        <v>80</v>
      </c>
      <c r="H23" s="79">
        <f t="shared" si="46"/>
        <v>1345</v>
      </c>
      <c r="I23" s="80">
        <f t="shared" si="47"/>
        <v>1042.091447367311</v>
      </c>
      <c r="J23" s="35">
        <v>5007043.5999999996</v>
      </c>
      <c r="K23" s="75">
        <f t="shared" si="36"/>
        <v>111.20000000018626</v>
      </c>
      <c r="L23" s="9">
        <v>478425.31578949001</v>
      </c>
      <c r="M23" s="75">
        <f t="shared" si="37"/>
        <v>14.736842105980031</v>
      </c>
      <c r="N23" s="9">
        <v>157445.80065789499</v>
      </c>
      <c r="O23" s="75">
        <f t="shared" si="38"/>
        <v>70.245394737023162</v>
      </c>
      <c r="P23" s="35">
        <v>38617.110526315802</v>
      </c>
      <c r="Q23" s="75">
        <f t="shared" si="39"/>
        <v>106.72631578949949</v>
      </c>
      <c r="R23" s="94">
        <f t="shared" si="20"/>
        <v>46044</v>
      </c>
      <c r="S23" s="87">
        <v>4884</v>
      </c>
      <c r="T23" s="89"/>
      <c r="U23" s="75">
        <f t="shared" si="15"/>
        <v>0</v>
      </c>
      <c r="V23" s="11">
        <v>0.77</v>
      </c>
      <c r="W23" s="26">
        <v>0.76</v>
      </c>
      <c r="X23" s="96">
        <f t="shared" si="16"/>
        <v>3825</v>
      </c>
      <c r="Y23" s="84"/>
      <c r="Z23" s="75">
        <f t="shared" si="17"/>
        <v>0</v>
      </c>
      <c r="AA23" s="28">
        <v>137158</v>
      </c>
      <c r="AB23" s="75">
        <f t="shared" si="40"/>
        <v>0</v>
      </c>
      <c r="AC23" s="28">
        <v>4064</v>
      </c>
      <c r="AD23" s="75">
        <f t="shared" si="41"/>
        <v>0.3000000000001819</v>
      </c>
      <c r="AE23" s="30">
        <v>73027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0</v>
      </c>
      <c r="AK23" s="13">
        <v>0</v>
      </c>
    </row>
    <row r="24" spans="1:37" x14ac:dyDescent="0.2">
      <c r="A24" s="94">
        <f t="shared" si="12"/>
        <v>46045</v>
      </c>
      <c r="B24" s="6">
        <v>33769444</v>
      </c>
      <c r="C24" s="75">
        <f t="shared" si="35"/>
        <v>988</v>
      </c>
      <c r="D24" s="20">
        <v>1639957</v>
      </c>
      <c r="E24" s="75">
        <f t="shared" ref="E24" si="70">IF(OR(D25="", D24=""), "", D25 - D24)</f>
        <v>551</v>
      </c>
      <c r="F24" s="20">
        <v>203324</v>
      </c>
      <c r="G24" s="75">
        <f t="shared" ref="G24" si="71">IF(OR(F25="", F24=""), "", F25 - F24)</f>
        <v>237.66666666665697</v>
      </c>
      <c r="H24" s="79">
        <f t="shared" si="46"/>
        <v>1301.333333333343</v>
      </c>
      <c r="I24" s="80">
        <f t="shared" si="47"/>
        <v>992.55811403449479</v>
      </c>
      <c r="J24" s="35">
        <v>5007154.8</v>
      </c>
      <c r="K24" s="75">
        <f t="shared" si="36"/>
        <v>117.06666666641831</v>
      </c>
      <c r="L24" s="9">
        <v>478440.05263159599</v>
      </c>
      <c r="M24" s="75">
        <f t="shared" si="37"/>
        <v>14.736842106038239</v>
      </c>
      <c r="N24" s="9">
        <v>157516.04605263201</v>
      </c>
      <c r="O24" s="75">
        <f t="shared" si="38"/>
        <v>70.245394736994058</v>
      </c>
      <c r="P24" s="35">
        <v>38723.836842105302</v>
      </c>
      <c r="Q24" s="75">
        <f t="shared" si="39"/>
        <v>106.72631578939763</v>
      </c>
      <c r="R24" s="94">
        <f t="shared" si="20"/>
        <v>46045</v>
      </c>
      <c r="S24" s="87">
        <v>4884</v>
      </c>
      <c r="T24" s="89"/>
      <c r="U24" s="75">
        <f t="shared" si="15"/>
        <v>0</v>
      </c>
      <c r="V24" s="11">
        <v>0.77</v>
      </c>
      <c r="W24" s="26">
        <v>0.76</v>
      </c>
      <c r="X24" s="96">
        <f t="shared" si="16"/>
        <v>3825</v>
      </c>
      <c r="Y24" s="84"/>
      <c r="Z24" s="75">
        <f t="shared" si="17"/>
        <v>0</v>
      </c>
      <c r="AA24" s="28">
        <v>137158</v>
      </c>
      <c r="AB24" s="75">
        <f t="shared" si="40"/>
        <v>39.333333333343035</v>
      </c>
      <c r="AC24" s="28">
        <v>4064.3</v>
      </c>
      <c r="AD24" s="75">
        <f t="shared" si="41"/>
        <v>0.1999999999998181</v>
      </c>
      <c r="AE24" s="30">
        <v>73027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0</v>
      </c>
      <c r="AK24" s="13">
        <v>0</v>
      </c>
    </row>
    <row r="25" spans="1:37" x14ac:dyDescent="0.2">
      <c r="A25" s="94">
        <f t="shared" si="12"/>
        <v>46046</v>
      </c>
      <c r="B25" s="6">
        <v>33770432</v>
      </c>
      <c r="C25" s="75">
        <f t="shared" si="35"/>
        <v>988</v>
      </c>
      <c r="D25" s="20">
        <v>1640508</v>
      </c>
      <c r="E25" s="75">
        <f t="shared" ref="E25" si="72">IF(OR(D26="", D25=""), "", D26 - D25)</f>
        <v>551</v>
      </c>
      <c r="F25" s="20">
        <v>203561.66666666666</v>
      </c>
      <c r="G25" s="75">
        <f t="shared" ref="G25" si="73">IF(OR(F26="", F25=""), "", F26 - F25)</f>
        <v>237.66666666665697</v>
      </c>
      <c r="H25" s="79">
        <f t="shared" si="46"/>
        <v>1301.333333333343</v>
      </c>
      <c r="I25" s="80">
        <f t="shared" si="47"/>
        <v>992.55811403544067</v>
      </c>
      <c r="J25" s="35">
        <v>5007271.8666666662</v>
      </c>
      <c r="K25" s="75">
        <f t="shared" si="36"/>
        <v>117.06666666641831</v>
      </c>
      <c r="L25" s="9">
        <v>478454.78947370203</v>
      </c>
      <c r="M25" s="75">
        <f t="shared" si="37"/>
        <v>14.736842105980031</v>
      </c>
      <c r="N25" s="9">
        <v>157586.291447369</v>
      </c>
      <c r="O25" s="75">
        <f t="shared" si="38"/>
        <v>70.245394736004528</v>
      </c>
      <c r="P25" s="35">
        <v>38830.5631578947</v>
      </c>
      <c r="Q25" s="75">
        <f t="shared" si="39"/>
        <v>106.72631578949949</v>
      </c>
      <c r="R25" s="94">
        <f t="shared" si="20"/>
        <v>46046</v>
      </c>
      <c r="S25" s="87">
        <v>4884</v>
      </c>
      <c r="T25" s="89"/>
      <c r="U25" s="75">
        <f t="shared" si="15"/>
        <v>0</v>
      </c>
      <c r="V25" s="11">
        <v>0.77</v>
      </c>
      <c r="W25" s="26">
        <v>0.76</v>
      </c>
      <c r="X25" s="96">
        <f t="shared" si="16"/>
        <v>3825</v>
      </c>
      <c r="Y25" s="84"/>
      <c r="Z25" s="75">
        <f t="shared" si="17"/>
        <v>0</v>
      </c>
      <c r="AA25" s="28">
        <v>137197.33333333334</v>
      </c>
      <c r="AB25" s="75">
        <f t="shared" si="40"/>
        <v>39.333333333343035</v>
      </c>
      <c r="AC25" s="28">
        <v>4064.5</v>
      </c>
      <c r="AD25" s="75">
        <f t="shared" si="41"/>
        <v>0.1999999999998181</v>
      </c>
      <c r="AE25" s="30">
        <v>73027</v>
      </c>
      <c r="AF25" s="75">
        <f t="shared" si="42"/>
        <v>0</v>
      </c>
      <c r="AG25" s="33">
        <v>3100</v>
      </c>
      <c r="AH25" s="71"/>
      <c r="AI25" s="75" t="str">
        <f t="shared" si="43"/>
        <v/>
      </c>
      <c r="AJ25" s="8">
        <v>0</v>
      </c>
      <c r="AK25" s="13">
        <v>0</v>
      </c>
    </row>
    <row r="26" spans="1:37" x14ac:dyDescent="0.2">
      <c r="A26" s="94">
        <f t="shared" si="12"/>
        <v>46047</v>
      </c>
      <c r="B26" s="6">
        <v>33771420</v>
      </c>
      <c r="C26" s="75">
        <f t="shared" si="35"/>
        <v>988</v>
      </c>
      <c r="D26" s="20">
        <v>1641059</v>
      </c>
      <c r="E26" s="75">
        <f t="shared" ref="E26" si="74">IF(OR(D27="", D26=""), "", D27 - D26)</f>
        <v>551</v>
      </c>
      <c r="F26" s="20">
        <v>203799.33333333331</v>
      </c>
      <c r="G26" s="75">
        <f t="shared" ref="G26" si="75">IF(OR(F27="", F26=""), "", F27 - F26)</f>
        <v>237.66666666668607</v>
      </c>
      <c r="H26" s="79">
        <f t="shared" si="46"/>
        <v>1301.3333333333139</v>
      </c>
      <c r="I26" s="80">
        <f t="shared" si="47"/>
        <v>992.55811403349071</v>
      </c>
      <c r="J26" s="35">
        <v>5007388.9333333327</v>
      </c>
      <c r="K26" s="75">
        <f t="shared" si="36"/>
        <v>117.06666666734964</v>
      </c>
      <c r="L26" s="9">
        <v>478469.52631580801</v>
      </c>
      <c r="M26" s="75">
        <f t="shared" si="37"/>
        <v>14.736842105980031</v>
      </c>
      <c r="N26" s="9">
        <v>157656.53684210501</v>
      </c>
      <c r="O26" s="75">
        <f t="shared" si="38"/>
        <v>70.245394736994058</v>
      </c>
      <c r="P26" s="35">
        <v>38937.289473684199</v>
      </c>
      <c r="Q26" s="75">
        <f t="shared" si="39"/>
        <v>106.72631578949949</v>
      </c>
      <c r="R26" s="94">
        <f t="shared" si="20"/>
        <v>46047</v>
      </c>
      <c r="S26" s="87">
        <v>4884</v>
      </c>
      <c r="T26" s="89"/>
      <c r="U26" s="75">
        <f t="shared" si="15"/>
        <v>0</v>
      </c>
      <c r="V26" s="11">
        <v>0.77</v>
      </c>
      <c r="W26" s="26">
        <v>0.76</v>
      </c>
      <c r="X26" s="96">
        <f>IF(OR(V26="", W26=""), "", (V26 * 2500) + (W26 * 2500))</f>
        <v>3825</v>
      </c>
      <c r="Y26" s="84"/>
      <c r="Z26" s="75">
        <f t="shared" si="17"/>
        <v>0</v>
      </c>
      <c r="AA26" s="28">
        <v>137236.66666666669</v>
      </c>
      <c r="AB26" s="75">
        <f t="shared" si="40"/>
        <v>39.333333333313931</v>
      </c>
      <c r="AC26" s="28">
        <v>4064.7</v>
      </c>
      <c r="AD26" s="75">
        <f t="shared" si="41"/>
        <v>0.20000000000027285</v>
      </c>
      <c r="AE26" s="30">
        <v>73027</v>
      </c>
      <c r="AF26" s="75">
        <f t="shared" si="42"/>
        <v>0</v>
      </c>
      <c r="AG26" s="33">
        <v>3100</v>
      </c>
      <c r="AH26" s="71"/>
      <c r="AI26" s="75" t="str">
        <f t="shared" si="43"/>
        <v/>
      </c>
      <c r="AJ26" s="8">
        <v>0</v>
      </c>
      <c r="AK26" s="13">
        <v>0</v>
      </c>
    </row>
    <row r="27" spans="1:37" x14ac:dyDescent="0.2">
      <c r="A27" s="94">
        <f t="shared" si="12"/>
        <v>46048</v>
      </c>
      <c r="B27" s="6">
        <v>33772408</v>
      </c>
      <c r="C27" s="75">
        <f t="shared" si="35"/>
        <v>1473</v>
      </c>
      <c r="D27" s="20">
        <v>1641610</v>
      </c>
      <c r="E27" s="75">
        <f t="shared" ref="E27" si="76">IF(OR(D28="", D27=""), "", D28 - D27)</f>
        <v>105</v>
      </c>
      <c r="F27" s="20">
        <v>204037</v>
      </c>
      <c r="G27" s="75">
        <f t="shared" ref="G27" si="77">IF(OR(F28="", F27=""), "", F28 - F27)</f>
        <v>16</v>
      </c>
      <c r="H27" s="79">
        <f t="shared" si="46"/>
        <v>1562</v>
      </c>
      <c r="I27" s="80">
        <f t="shared" si="47"/>
        <v>1259.8914473671903</v>
      </c>
      <c r="J27" s="35">
        <v>5007506</v>
      </c>
      <c r="K27" s="75">
        <f t="shared" si="36"/>
        <v>110.40000000037253</v>
      </c>
      <c r="L27" s="9">
        <v>478484.26315791399</v>
      </c>
      <c r="M27" s="75">
        <f t="shared" si="37"/>
        <v>14.736842106038239</v>
      </c>
      <c r="N27" s="9">
        <v>157726.782236842</v>
      </c>
      <c r="O27" s="75">
        <f t="shared" si="38"/>
        <v>70.245394736994058</v>
      </c>
      <c r="P27" s="35">
        <v>39044.015789473699</v>
      </c>
      <c r="Q27" s="75">
        <f t="shared" si="39"/>
        <v>106.72631578940491</v>
      </c>
      <c r="R27" s="94">
        <f t="shared" si="20"/>
        <v>46048</v>
      </c>
      <c r="S27" s="87">
        <v>4884</v>
      </c>
      <c r="T27" s="89"/>
      <c r="U27" s="75">
        <f t="shared" si="15"/>
        <v>0</v>
      </c>
      <c r="V27" s="11">
        <v>0.77</v>
      </c>
      <c r="W27" s="26">
        <v>0.76</v>
      </c>
      <c r="X27" s="96">
        <f>IF(OR(V27="", W27=""), "", (V27 * 2500) + (W27 * 2500))</f>
        <v>3825</v>
      </c>
      <c r="Y27" s="84"/>
      <c r="Z27" s="75">
        <f t="shared" si="17"/>
        <v>0</v>
      </c>
      <c r="AA27" s="28">
        <v>137276</v>
      </c>
      <c r="AB27" s="75">
        <f t="shared" si="40"/>
        <v>42</v>
      </c>
      <c r="AC27" s="28">
        <v>4064.9</v>
      </c>
      <c r="AD27" s="75">
        <f t="shared" si="41"/>
        <v>2</v>
      </c>
      <c r="AE27" s="30">
        <v>73027</v>
      </c>
      <c r="AF27" s="75">
        <f t="shared" si="42"/>
        <v>0</v>
      </c>
      <c r="AG27" s="33">
        <v>3100</v>
      </c>
      <c r="AH27" s="71"/>
      <c r="AI27" s="75" t="str">
        <f t="shared" si="43"/>
        <v/>
      </c>
      <c r="AJ27" s="8">
        <v>0</v>
      </c>
      <c r="AK27" s="13">
        <v>0</v>
      </c>
    </row>
    <row r="28" spans="1:37" x14ac:dyDescent="0.2">
      <c r="A28" s="94">
        <f t="shared" si="12"/>
        <v>46049</v>
      </c>
      <c r="B28" s="6">
        <v>33773881</v>
      </c>
      <c r="C28" s="75">
        <f t="shared" si="35"/>
        <v>1339</v>
      </c>
      <c r="D28" s="20">
        <v>1641715</v>
      </c>
      <c r="E28" s="75">
        <f t="shared" ref="E28" si="78">IF(OR(D29="", D28=""), "", D29 - D28)</f>
        <v>395</v>
      </c>
      <c r="F28" s="20">
        <v>204053</v>
      </c>
      <c r="G28" s="75">
        <f t="shared" ref="G28" si="79">IF(OR(F29="", F28=""), "", F29 - F28)</f>
        <v>0</v>
      </c>
      <c r="H28" s="79">
        <f t="shared" si="46"/>
        <v>1734</v>
      </c>
      <c r="I28" s="80">
        <f t="shared" si="47"/>
        <v>1425.4914473677127</v>
      </c>
      <c r="J28" s="35">
        <v>5007616.4000000004</v>
      </c>
      <c r="K28" s="75">
        <f t="shared" si="36"/>
        <v>116.79999999981374</v>
      </c>
      <c r="L28" s="9">
        <v>478499.00000002002</v>
      </c>
      <c r="M28" s="75">
        <f t="shared" si="37"/>
        <v>14.736842105980031</v>
      </c>
      <c r="N28" s="9">
        <v>157797.027631579</v>
      </c>
      <c r="O28" s="75">
        <f t="shared" si="38"/>
        <v>70.245394736994058</v>
      </c>
      <c r="P28" s="35">
        <v>39150.742105263103</v>
      </c>
      <c r="Q28" s="75">
        <f t="shared" si="39"/>
        <v>106.72631578949949</v>
      </c>
      <c r="R28" s="94">
        <f t="shared" si="20"/>
        <v>46049</v>
      </c>
      <c r="S28" s="87">
        <v>4884</v>
      </c>
      <c r="T28" s="89"/>
      <c r="U28" s="75">
        <f t="shared" si="15"/>
        <v>0</v>
      </c>
      <c r="V28" s="11">
        <v>0.77</v>
      </c>
      <c r="W28" s="26">
        <v>0.76</v>
      </c>
      <c r="X28" s="96">
        <f t="shared" si="16"/>
        <v>3825</v>
      </c>
      <c r="Y28" s="84"/>
      <c r="Z28" s="75">
        <f t="shared" si="17"/>
        <v>0</v>
      </c>
      <c r="AA28" s="28">
        <v>137318</v>
      </c>
      <c r="AB28" s="75">
        <f t="shared" si="40"/>
        <v>32</v>
      </c>
      <c r="AC28" s="28">
        <v>4066.9</v>
      </c>
      <c r="AD28" s="75">
        <f t="shared" si="41"/>
        <v>0.29999999999972715</v>
      </c>
      <c r="AE28" s="30">
        <v>73027</v>
      </c>
      <c r="AF28" s="75">
        <f t="shared" si="42"/>
        <v>0</v>
      </c>
      <c r="AG28" s="33">
        <v>3100</v>
      </c>
      <c r="AH28" s="71"/>
      <c r="AI28" s="75" t="str">
        <f t="shared" si="43"/>
        <v/>
      </c>
      <c r="AJ28" s="8">
        <v>0</v>
      </c>
      <c r="AK28" s="13">
        <v>0</v>
      </c>
    </row>
    <row r="29" spans="1:37" x14ac:dyDescent="0.2">
      <c r="A29" s="94">
        <f t="shared" si="12"/>
        <v>46050</v>
      </c>
      <c r="B29" s="6">
        <v>33775220</v>
      </c>
      <c r="C29" s="75">
        <f t="shared" si="35"/>
        <v>917</v>
      </c>
      <c r="D29" s="20">
        <v>1642110</v>
      </c>
      <c r="E29" s="75">
        <f t="shared" ref="E29" si="80">IF(OR(D30="", D29=""), "", D30 - D29)</f>
        <v>859</v>
      </c>
      <c r="F29" s="20">
        <v>204053</v>
      </c>
      <c r="G29" s="75">
        <f t="shared" ref="G29" si="81">IF(OR(F30="", F29=""), "", F30 - F29)</f>
        <v>232</v>
      </c>
      <c r="H29" s="79">
        <f t="shared" si="46"/>
        <v>1544</v>
      </c>
      <c r="I29" s="80">
        <f t="shared" si="47"/>
        <v>1240.2914473674973</v>
      </c>
      <c r="J29" s="35">
        <v>5007733.2</v>
      </c>
      <c r="K29" s="75">
        <f t="shared" si="36"/>
        <v>112</v>
      </c>
      <c r="L29" s="9">
        <v>478513.736842126</v>
      </c>
      <c r="M29" s="75">
        <f t="shared" si="37"/>
        <v>14.736842105980031</v>
      </c>
      <c r="N29" s="9">
        <v>157867.27302631599</v>
      </c>
      <c r="O29" s="75">
        <f t="shared" si="38"/>
        <v>70.245394737023162</v>
      </c>
      <c r="P29" s="35">
        <v>39257.468421052603</v>
      </c>
      <c r="Q29" s="75">
        <f t="shared" si="39"/>
        <v>106.72631578949949</v>
      </c>
      <c r="R29" s="94">
        <f t="shared" si="20"/>
        <v>46050</v>
      </c>
      <c r="S29" s="87">
        <v>4884</v>
      </c>
      <c r="T29" s="89"/>
      <c r="U29" s="75">
        <f t="shared" si="15"/>
        <v>0</v>
      </c>
      <c r="V29" s="11">
        <v>0.77</v>
      </c>
      <c r="W29" s="26">
        <v>0.76</v>
      </c>
      <c r="X29" s="96">
        <f t="shared" si="16"/>
        <v>3825</v>
      </c>
      <c r="Y29" s="84"/>
      <c r="Z29" s="75">
        <f t="shared" si="17"/>
        <v>25</v>
      </c>
      <c r="AA29" s="28">
        <v>137350</v>
      </c>
      <c r="AB29" s="75">
        <f t="shared" si="40"/>
        <v>34</v>
      </c>
      <c r="AC29" s="28">
        <v>4067.2</v>
      </c>
      <c r="AD29" s="75">
        <f t="shared" si="41"/>
        <v>0.3000000000001819</v>
      </c>
      <c r="AE29" s="30">
        <v>73027</v>
      </c>
      <c r="AF29" s="75">
        <f t="shared" si="42"/>
        <v>0</v>
      </c>
      <c r="AG29" s="33">
        <v>3100</v>
      </c>
      <c r="AH29" s="71"/>
      <c r="AI29" s="75" t="str">
        <f t="shared" si="43"/>
        <v/>
      </c>
      <c r="AJ29" s="8">
        <v>0</v>
      </c>
      <c r="AK29" s="13">
        <v>0</v>
      </c>
    </row>
    <row r="30" spans="1:37" x14ac:dyDescent="0.2">
      <c r="A30" s="94">
        <f t="shared" si="12"/>
        <v>46051</v>
      </c>
      <c r="B30" s="6">
        <v>33776137</v>
      </c>
      <c r="C30" s="75">
        <f t="shared" si="35"/>
        <v>1095</v>
      </c>
      <c r="D30" s="20">
        <v>1642969</v>
      </c>
      <c r="E30" s="75">
        <f t="shared" ref="E30" si="82">IF(OR(D31="", D30=""), "", D31 - D30)</f>
        <v>610</v>
      </c>
      <c r="F30" s="20">
        <v>204285</v>
      </c>
      <c r="G30" s="75">
        <f t="shared" ref="G30" si="83">IF(OR(F31="", F30=""), "", F31 - F30)</f>
        <v>104</v>
      </c>
      <c r="H30" s="79">
        <f t="shared" si="46"/>
        <v>1601</v>
      </c>
      <c r="I30" s="80">
        <f t="shared" si="47"/>
        <v>1295.6914473679426</v>
      </c>
      <c r="J30" s="35">
        <v>5007845.2</v>
      </c>
      <c r="K30" s="75">
        <f t="shared" si="36"/>
        <v>113.59999999962747</v>
      </c>
      <c r="L30" s="9">
        <v>478528.47368423198</v>
      </c>
      <c r="M30" s="75">
        <f t="shared" si="37"/>
        <v>14.736842106038239</v>
      </c>
      <c r="N30" s="9">
        <v>157937.51842105301</v>
      </c>
      <c r="O30" s="75">
        <f t="shared" si="38"/>
        <v>70.245394736994058</v>
      </c>
      <c r="P30" s="35">
        <v>39364.194736842102</v>
      </c>
      <c r="Q30" s="75">
        <f t="shared" si="39"/>
        <v>106.72631578939763</v>
      </c>
      <c r="R30" s="94">
        <f t="shared" si="20"/>
        <v>46051</v>
      </c>
      <c r="S30" s="87">
        <v>4884</v>
      </c>
      <c r="T30" s="89"/>
      <c r="U30" s="75">
        <f t="shared" si="15"/>
        <v>0</v>
      </c>
      <c r="V30" s="11">
        <v>0.77</v>
      </c>
      <c r="W30" s="26">
        <v>0.75</v>
      </c>
      <c r="X30" s="96">
        <f t="shared" si="16"/>
        <v>3800</v>
      </c>
      <c r="Y30" s="84"/>
      <c r="Z30" s="75">
        <f t="shared" si="17"/>
        <v>0</v>
      </c>
      <c r="AA30" s="28">
        <v>137384</v>
      </c>
      <c r="AB30" s="75">
        <f t="shared" si="40"/>
        <v>33</v>
      </c>
      <c r="AC30" s="28">
        <v>4067.5</v>
      </c>
      <c r="AD30" s="75">
        <f t="shared" si="41"/>
        <v>0.3000000000001819</v>
      </c>
      <c r="AE30" s="30">
        <v>73027</v>
      </c>
      <c r="AF30" s="75">
        <f t="shared" si="42"/>
        <v>0</v>
      </c>
      <c r="AG30" s="33">
        <v>3100</v>
      </c>
      <c r="AH30" s="71"/>
      <c r="AI30" s="75" t="str">
        <f t="shared" si="43"/>
        <v/>
      </c>
      <c r="AJ30" s="8">
        <v>0</v>
      </c>
      <c r="AK30" s="13">
        <v>0</v>
      </c>
    </row>
    <row r="31" spans="1:37" x14ac:dyDescent="0.2">
      <c r="A31" s="94">
        <f t="shared" si="12"/>
        <v>46052</v>
      </c>
      <c r="B31" s="6">
        <v>33777232</v>
      </c>
      <c r="C31" s="75">
        <f t="shared" si="35"/>
        <v>1034.6666666641831</v>
      </c>
      <c r="D31" s="20">
        <v>1643579</v>
      </c>
      <c r="E31" s="75">
        <f t="shared" ref="E31" si="84">IF(OR(D32="", D31=""), "", D32 - D31)</f>
        <v>409</v>
      </c>
      <c r="F31" s="20">
        <v>204389</v>
      </c>
      <c r="G31" s="75">
        <f t="shared" ref="G31" si="85">IF(OR(F32="", F31=""), "", F32 - F31)</f>
        <v>124</v>
      </c>
      <c r="H31" s="79">
        <f t="shared" si="46"/>
        <v>1319.6666666641831</v>
      </c>
      <c r="I31" s="80">
        <f t="shared" si="47"/>
        <v>1012.4914473659082</v>
      </c>
      <c r="J31" s="86">
        <v>5007958.8</v>
      </c>
      <c r="K31" s="75">
        <f t="shared" si="36"/>
        <v>115.46666666679084</v>
      </c>
      <c r="L31" s="9">
        <v>478543.21052633802</v>
      </c>
      <c r="M31" s="75">
        <f t="shared" si="37"/>
        <v>14.736842105980031</v>
      </c>
      <c r="N31" s="9">
        <v>158007.76381579001</v>
      </c>
      <c r="O31" s="75">
        <f t="shared" si="38"/>
        <v>70.245394736004528</v>
      </c>
      <c r="P31" s="35">
        <v>39470.9210526315</v>
      </c>
      <c r="Q31" s="75">
        <f t="shared" si="39"/>
        <v>106.72631578949949</v>
      </c>
      <c r="R31" s="94">
        <f t="shared" si="20"/>
        <v>46052</v>
      </c>
      <c r="S31" s="87">
        <v>4884</v>
      </c>
      <c r="T31" s="89"/>
      <c r="U31" s="75">
        <f t="shared" si="15"/>
        <v>0</v>
      </c>
      <c r="V31" s="11">
        <v>0.77</v>
      </c>
      <c r="W31" s="26">
        <v>0.75</v>
      </c>
      <c r="X31" s="96">
        <f t="shared" si="16"/>
        <v>3800</v>
      </c>
      <c r="Y31" s="84"/>
      <c r="Z31" s="75">
        <f t="shared" si="17"/>
        <v>25</v>
      </c>
      <c r="AA31" s="28">
        <v>137417</v>
      </c>
      <c r="AB31" s="75">
        <f t="shared" si="40"/>
        <v>13.666666666656965</v>
      </c>
      <c r="AC31" s="28">
        <v>4067.8</v>
      </c>
      <c r="AD31" s="75">
        <f t="shared" si="41"/>
        <v>0.46666666666669698</v>
      </c>
      <c r="AE31" s="30">
        <v>73027</v>
      </c>
      <c r="AF31" s="75">
        <f t="shared" si="42"/>
        <v>0</v>
      </c>
      <c r="AG31" s="33">
        <v>3100</v>
      </c>
      <c r="AH31" s="71"/>
      <c r="AI31" s="75" t="str">
        <f t="shared" si="43"/>
        <v/>
      </c>
      <c r="AJ31" s="8">
        <v>0</v>
      </c>
      <c r="AK31" s="13">
        <v>0</v>
      </c>
    </row>
    <row r="32" spans="1:37" x14ac:dyDescent="0.2">
      <c r="A32" s="94">
        <f t="shared" si="12"/>
        <v>46053</v>
      </c>
      <c r="B32" s="6">
        <v>33778266.666666664</v>
      </c>
      <c r="C32" s="75">
        <f t="shared" si="35"/>
        <v>1034.6666666641831</v>
      </c>
      <c r="D32" s="20">
        <v>1643988</v>
      </c>
      <c r="E32" s="75">
        <f t="shared" ref="E32" si="86">IF(OR(D33="", D32=""), "", D33 - D32)</f>
        <v>409</v>
      </c>
      <c r="F32" s="20">
        <v>204513</v>
      </c>
      <c r="G32" s="75">
        <f t="shared" ref="G32" si="87">IF(OR(F33="", F32=""), "", F33 - F32)</f>
        <v>124</v>
      </c>
      <c r="H32" s="79">
        <f t="shared" si="46"/>
        <v>1319.6666666641831</v>
      </c>
      <c r="I32" s="80">
        <f t="shared" si="47"/>
        <v>1012.4914473649187</v>
      </c>
      <c r="J32" s="86">
        <v>5008074.2666666666</v>
      </c>
      <c r="K32" s="75">
        <f t="shared" si="36"/>
        <v>115.46666666679084</v>
      </c>
      <c r="L32" s="9">
        <v>478557.947368444</v>
      </c>
      <c r="M32" s="75">
        <f t="shared" si="37"/>
        <v>14.736842105980031</v>
      </c>
      <c r="N32" s="9">
        <v>158078.00921052601</v>
      </c>
      <c r="O32" s="75">
        <f t="shared" si="38"/>
        <v>70.245394736994058</v>
      </c>
      <c r="P32" s="35">
        <v>39577.647368421</v>
      </c>
      <c r="Q32" s="75">
        <f t="shared" si="39"/>
        <v>106.72631578949949</v>
      </c>
      <c r="R32" s="94">
        <f t="shared" si="20"/>
        <v>46053</v>
      </c>
      <c r="S32" s="87">
        <v>4884</v>
      </c>
      <c r="T32" s="89"/>
      <c r="U32" s="75">
        <f t="shared" si="15"/>
        <v>0</v>
      </c>
      <c r="V32" s="11">
        <v>0.77</v>
      </c>
      <c r="W32" s="26">
        <v>0.74</v>
      </c>
      <c r="X32" s="96">
        <f t="shared" si="16"/>
        <v>3775</v>
      </c>
      <c r="Y32" s="84"/>
      <c r="Z32" s="75">
        <f t="shared" si="17"/>
        <v>0</v>
      </c>
      <c r="AA32" s="28">
        <v>137430.66666666666</v>
      </c>
      <c r="AB32" s="75">
        <f t="shared" si="40"/>
        <v>13.666666666656965</v>
      </c>
      <c r="AC32" s="28">
        <v>4068.2666666666669</v>
      </c>
      <c r="AD32" s="75">
        <f t="shared" si="41"/>
        <v>0.46666666666669698</v>
      </c>
      <c r="AE32" s="30">
        <v>73027</v>
      </c>
      <c r="AF32" s="75">
        <f t="shared" si="42"/>
        <v>0</v>
      </c>
      <c r="AG32" s="33">
        <v>3100</v>
      </c>
      <c r="AH32" s="71"/>
      <c r="AI32" s="75" t="str">
        <f t="shared" si="43"/>
        <v/>
      </c>
      <c r="AJ32" s="8">
        <v>0</v>
      </c>
      <c r="AK32" s="13">
        <v>0</v>
      </c>
    </row>
    <row r="33" spans="1:37" x14ac:dyDescent="0.2">
      <c r="A33" s="94">
        <f t="shared" si="12"/>
        <v>46054</v>
      </c>
      <c r="B33" s="6">
        <v>33779301.333333328</v>
      </c>
      <c r="C33" s="75"/>
      <c r="D33" s="20">
        <v>1644397</v>
      </c>
      <c r="E33" s="75" t="str">
        <f t="shared" ref="E33" si="88">IF(OR(D34="", D33=""), "", D34 - D33)</f>
        <v/>
      </c>
      <c r="F33" s="20">
        <v>204637</v>
      </c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>
        <v>5008189.7333333334</v>
      </c>
      <c r="K33" s="75" t="str">
        <f t="shared" si="36"/>
        <v/>
      </c>
      <c r="L33" s="9">
        <v>478572.68421054998</v>
      </c>
      <c r="M33" s="75" t="str">
        <f t="shared" si="37"/>
        <v/>
      </c>
      <c r="N33" s="9">
        <v>158148.25460526301</v>
      </c>
      <c r="O33" s="75" t="str">
        <f t="shared" si="38"/>
        <v/>
      </c>
      <c r="P33" s="35">
        <v>39684.373684210499</v>
      </c>
      <c r="Q33" s="75" t="str">
        <f t="shared" si="39"/>
        <v/>
      </c>
      <c r="R33" s="94">
        <f>A33</f>
        <v>46054</v>
      </c>
      <c r="S33" s="87">
        <v>4884</v>
      </c>
      <c r="T33" s="89"/>
      <c r="U33" s="75" t="str">
        <f t="shared" si="15"/>
        <v/>
      </c>
      <c r="V33" s="11">
        <v>0.77</v>
      </c>
      <c r="W33" s="26">
        <v>0.74</v>
      </c>
      <c r="X33" s="96">
        <f t="shared" si="16"/>
        <v>3775</v>
      </c>
      <c r="Y33" s="84"/>
      <c r="Z33" s="75" t="str">
        <f t="shared" si="17"/>
        <v/>
      </c>
      <c r="AA33" s="28">
        <v>137444.33333333331</v>
      </c>
      <c r="AB33" s="75" t="str">
        <f t="shared" si="40"/>
        <v/>
      </c>
      <c r="AC33" s="28">
        <v>4068.7333333333336</v>
      </c>
      <c r="AD33" s="75" t="str">
        <f t="shared" si="41"/>
        <v/>
      </c>
      <c r="AE33" s="30">
        <v>73027</v>
      </c>
      <c r="AF33" s="75" t="str">
        <f t="shared" si="42"/>
        <v/>
      </c>
      <c r="AG33" s="33">
        <v>3100</v>
      </c>
      <c r="AH33" s="71"/>
      <c r="AI33" s="75" t="str">
        <f t="shared" si="43"/>
        <v/>
      </c>
      <c r="AJ33" s="8"/>
      <c r="AK33" s="13"/>
    </row>
    <row r="34" spans="1:37" s="69" customFormat="1" ht="9" x14ac:dyDescent="0.15">
      <c r="A34" s="67"/>
      <c r="B34" s="67"/>
      <c r="C34" s="97">
        <f>SUM(C2:C33)</f>
        <v>29106.833333328366</v>
      </c>
      <c r="D34" s="68"/>
      <c r="E34" s="97">
        <f>SUM(E2:E33)</f>
        <v>14277</v>
      </c>
      <c r="F34" s="91"/>
      <c r="G34" s="99">
        <f>SUM(G2:G33)</f>
        <v>5216</v>
      </c>
      <c r="H34" s="100">
        <f>SUM(H2:H33)</f>
        <v>38167.833333328366</v>
      </c>
      <c r="I34" s="101">
        <f>SUM(I2:I32)</f>
        <v>28825.734868393025</v>
      </c>
      <c r="J34" s="91"/>
      <c r="K34" s="98">
        <f>SUM(K2:K33)</f>
        <v>3399.133333333768</v>
      </c>
      <c r="L34" s="91"/>
      <c r="M34" s="98">
        <f>SUM(M2:M33)</f>
        <v>456.84210528596304</v>
      </c>
      <c r="N34" s="91"/>
      <c r="O34" s="98">
        <f>SUM(O2:O33)</f>
        <v>2177.6072368420137</v>
      </c>
      <c r="P34" s="91"/>
      <c r="Q34" s="102">
        <f>SUM(Q2:Q33)</f>
        <v>3308.5157894735967</v>
      </c>
      <c r="R34" s="68"/>
      <c r="S34" s="68"/>
      <c r="T34" s="68"/>
      <c r="U34" s="92">
        <f>SUM(U2:U33)</f>
        <v>0</v>
      </c>
      <c r="V34" s="68"/>
      <c r="W34" s="68"/>
      <c r="X34" s="68" t="str">
        <f t="shared" si="16"/>
        <v/>
      </c>
      <c r="Y34" s="103">
        <f>SUM(Y2:Y33)</f>
        <v>0</v>
      </c>
      <c r="Z34" s="104">
        <f>SUM(Z2:Z33)</f>
        <v>50</v>
      </c>
      <c r="AA34" s="68"/>
      <c r="AB34" s="93">
        <f>SUM(AB2:AB33)</f>
        <v>485.33333333331393</v>
      </c>
      <c r="AC34" s="91"/>
      <c r="AD34" s="93">
        <f>SUM(AD2:AD33)</f>
        <v>11.633333333333212</v>
      </c>
      <c r="AE34" s="68"/>
      <c r="AF34" s="93">
        <f>SUM(AF2:AF33)</f>
        <v>0</v>
      </c>
      <c r="AG34" s="68"/>
      <c r="AH34" s="105">
        <f>SUM(AH2:AH33)</f>
        <v>0</v>
      </c>
      <c r="AI34" s="106">
        <f>SUM(AI2:AI33)</f>
        <v>0</v>
      </c>
      <c r="AJ34" s="107">
        <f>SUM(AJ2:AJ33)</f>
        <v>0</v>
      </c>
      <c r="AK34" s="108">
        <f>SUM(AK2:AK32)</f>
        <v>0</v>
      </c>
    </row>
    <row r="35" spans="1:37" x14ac:dyDescent="0.2">
      <c r="D35" s="3"/>
      <c r="L35" s="1"/>
      <c r="N35" s="1"/>
      <c r="P35" s="1"/>
    </row>
    <row r="36" spans="1:37" x14ac:dyDescent="0.2">
      <c r="B36" s="109"/>
      <c r="D36" s="109"/>
      <c r="F36" s="109"/>
      <c r="J36" s="109"/>
      <c r="L36" s="1"/>
      <c r="N36" s="109"/>
      <c r="P36" s="109"/>
      <c r="S36" s="109"/>
      <c r="AA36" s="109"/>
      <c r="AC36" s="109"/>
    </row>
    <row r="37" spans="1:37" x14ac:dyDescent="0.2">
      <c r="D37"/>
      <c r="F37"/>
      <c r="J37"/>
      <c r="L37" s="1"/>
      <c r="N37"/>
      <c r="P37"/>
      <c r="S37"/>
      <c r="AC37"/>
    </row>
    <row r="38" spans="1:37" x14ac:dyDescent="0.2">
      <c r="B38" s="109"/>
      <c r="D38" s="109"/>
      <c r="F38" s="109"/>
      <c r="J38" s="109"/>
      <c r="L38" s="1"/>
      <c r="N38" s="109"/>
      <c r="P38" s="109"/>
      <c r="S38" s="109"/>
      <c r="AA38" s="109"/>
      <c r="AC38" s="109"/>
    </row>
    <row r="39" spans="1:37" x14ac:dyDescent="0.2">
      <c r="B39" s="109"/>
      <c r="D39" s="109"/>
      <c r="F39" s="109"/>
      <c r="J39" s="109"/>
      <c r="L39" s="1"/>
      <c r="N39" s="109"/>
      <c r="P39" s="109"/>
      <c r="S39" s="109"/>
      <c r="AA39" s="109"/>
      <c r="AC39" s="109"/>
    </row>
    <row r="40" spans="1:37" x14ac:dyDescent="0.2">
      <c r="B40" s="109"/>
      <c r="D40" s="109"/>
      <c r="F40" s="109"/>
      <c r="J40" s="109"/>
      <c r="L40" s="1"/>
      <c r="N40" s="109"/>
      <c r="P40" s="109"/>
      <c r="S40" s="4"/>
      <c r="AA40" s="109"/>
      <c r="AC40" s="109"/>
    </row>
    <row r="41" spans="1:37" x14ac:dyDescent="0.2">
      <c r="B41" s="109"/>
      <c r="D41" s="109"/>
      <c r="F41" s="109"/>
      <c r="J41" s="109"/>
      <c r="L41" s="1"/>
      <c r="N41" s="1"/>
      <c r="P41" s="1"/>
      <c r="S41" s="109"/>
      <c r="AA41" s="109"/>
      <c r="AC41" s="109"/>
    </row>
    <row r="42" spans="1:37" x14ac:dyDescent="0.2">
      <c r="D42"/>
      <c r="F42"/>
      <c r="J42"/>
      <c r="L42" s="1"/>
      <c r="N42" s="1"/>
      <c r="P42" s="1"/>
      <c r="S42"/>
      <c r="AC42"/>
    </row>
    <row r="43" spans="1:37" x14ac:dyDescent="0.2">
      <c r="B43" s="109"/>
      <c r="D43" s="109"/>
      <c r="F43" s="109"/>
      <c r="J43" s="109"/>
      <c r="L43" s="1"/>
      <c r="N43" s="1"/>
      <c r="P43" s="1"/>
      <c r="S43" s="109"/>
      <c r="AA43" s="109"/>
      <c r="AC43" s="109"/>
    </row>
    <row r="44" spans="1:37" x14ac:dyDescent="0.2">
      <c r="D44" s="3"/>
      <c r="L44" s="1"/>
      <c r="N44" s="1"/>
      <c r="P44" s="1"/>
      <c r="S44" s="4"/>
      <c r="AA44" s="4"/>
    </row>
    <row r="45" spans="1:37" x14ac:dyDescent="0.2">
      <c r="B45" s="109"/>
      <c r="D45" s="109"/>
      <c r="F45" s="109"/>
      <c r="J45" s="109"/>
      <c r="L45" s="1"/>
      <c r="N45" s="1"/>
      <c r="P45" s="1"/>
      <c r="S45" s="109"/>
      <c r="AA45" s="109"/>
      <c r="AC45" s="109"/>
    </row>
    <row r="46" spans="1:37" x14ac:dyDescent="0.2">
      <c r="D46"/>
      <c r="F46"/>
      <c r="J46"/>
      <c r="L46" s="1"/>
      <c r="N46" s="1"/>
      <c r="P46" s="1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D50" s="3"/>
      <c r="S50" s="4"/>
      <c r="AA50" s="4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D52"/>
      <c r="F52"/>
      <c r="J52"/>
      <c r="S52"/>
      <c r="AC52"/>
    </row>
    <row r="53" spans="2:29" x14ac:dyDescent="0.2">
      <c r="B53" s="109"/>
      <c r="D53" s="109"/>
      <c r="F53" s="109"/>
      <c r="J53" s="109"/>
      <c r="S53" s="109"/>
      <c r="AA53" s="109"/>
      <c r="AC53" s="109"/>
    </row>
    <row r="54" spans="2:29" x14ac:dyDescent="0.2">
      <c r="B54" s="109"/>
      <c r="D54" s="109"/>
      <c r="F54" s="109"/>
      <c r="J54" s="109"/>
      <c r="S54" s="109"/>
      <c r="AA54" s="109"/>
      <c r="AC54" s="109"/>
    </row>
    <row r="55" spans="2:29" x14ac:dyDescent="0.2">
      <c r="D55" s="3"/>
      <c r="S55" s="4"/>
      <c r="AA55" s="4"/>
    </row>
    <row r="56" spans="2:29" x14ac:dyDescent="0.2">
      <c r="B56" s="109"/>
      <c r="D56" s="109"/>
      <c r="F56" s="109"/>
      <c r="J56" s="109"/>
      <c r="S56" s="109"/>
      <c r="AA56" s="109"/>
      <c r="AC56" s="109"/>
    </row>
    <row r="57" spans="2:29" x14ac:dyDescent="0.2">
      <c r="D57"/>
      <c r="F57"/>
      <c r="J57"/>
      <c r="S57"/>
      <c r="AC57"/>
    </row>
    <row r="58" spans="2:29" x14ac:dyDescent="0.2">
      <c r="B58" s="109"/>
      <c r="D58" s="109"/>
      <c r="F58" s="109"/>
      <c r="J58" s="109"/>
      <c r="S58" s="109"/>
      <c r="AA58" s="109"/>
      <c r="AC58" s="109"/>
    </row>
    <row r="59" spans="2:29" x14ac:dyDescent="0.2">
      <c r="B59" s="109"/>
      <c r="D59" s="109"/>
      <c r="F59" s="109"/>
      <c r="J59" s="109"/>
      <c r="S59" s="109"/>
      <c r="AA59" s="109"/>
      <c r="AC59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www.w3.org/XML/1998/namespace"/>
    <ds:schemaRef ds:uri="http://schemas.microsoft.com/office/2006/metadata/properties"/>
    <ds:schemaRef ds:uri="http://purl.org/dc/elements/1.1/"/>
    <ds:schemaRef ds:uri="9b835c19-aa84-4d4c-b4cd-8a6195c383ec"/>
    <ds:schemaRef ds:uri="http://purl.org/dc/dcmitype/"/>
    <ds:schemaRef ds:uri="269db80e-9c6b-4e01-ae27-848f863719c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2026-02-02T07:11:54Z</cp:lastPrinted>
  <dcterms:created xsi:type="dcterms:W3CDTF">2016-09-19T10:41:46Z</dcterms:created>
  <dcterms:modified xsi:type="dcterms:W3CDTF">2026-02-02T07:14:04Z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