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8. August\"/>
    </mc:Choice>
  </mc:AlternateContent>
  <bookViews>
    <workbookView xWindow="-60" yWindow="-60" windowWidth="15480" windowHeight="11640" tabRatio="607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X - Personal View" guid="{91089E3D-1703-4FEE-B13A-4F0669A06DB8}" mergeInterval="0" personalView="1" maximized="1" xWindow="-4" yWindow="-4" windowWidth="1032" windowHeight="776" tabRatio="607" activeSheetId="5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Anish Thottackattu P. Achary - Personal View" guid="{3F0D6565-C55E-43AC-AC5D-87C4E1D85423}" mergeInterval="0" personalView="1" maximized="1" xWindow="-8" yWindow="-8" windowWidth="1936" windowHeight="1056" tabRatio="607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9" i="5" l="1"/>
  <c r="E70" i="5" s="1"/>
  <c r="I29" i="1" l="1"/>
  <c r="I30" i="1"/>
  <c r="I31" i="1"/>
  <c r="I32" i="1"/>
  <c r="I33" i="1"/>
  <c r="J30" i="1" l="1"/>
  <c r="J31" i="1"/>
  <c r="J32" i="1"/>
  <c r="K30" i="1"/>
  <c r="K33" i="1" s="1"/>
  <c r="K31" i="1"/>
  <c r="K32" i="1"/>
  <c r="S38" i="4"/>
  <c r="R38" i="4"/>
  <c r="Q38" i="4"/>
  <c r="D68" i="5" l="1"/>
  <c r="C68" i="5"/>
  <c r="D66" i="5"/>
  <c r="C66" i="5"/>
  <c r="D64" i="5"/>
  <c r="C64" i="5"/>
  <c r="D62" i="5"/>
  <c r="C62" i="5"/>
  <c r="D60" i="5"/>
  <c r="C60" i="5"/>
  <c r="D58" i="5"/>
  <c r="C58" i="5"/>
  <c r="D56" i="5"/>
  <c r="C56" i="5"/>
  <c r="D54" i="5"/>
  <c r="C54" i="5"/>
  <c r="D52" i="5"/>
  <c r="C52" i="5"/>
  <c r="D50" i="5"/>
  <c r="C50" i="5"/>
  <c r="D48" i="5"/>
  <c r="C48" i="5"/>
  <c r="D46" i="5"/>
  <c r="C46" i="5"/>
  <c r="L68" i="4"/>
  <c r="K68" i="4"/>
  <c r="J68" i="4"/>
  <c r="I68" i="4"/>
  <c r="H68" i="4"/>
  <c r="G68" i="4"/>
  <c r="E68" i="4"/>
  <c r="D68" i="4"/>
  <c r="C68" i="4"/>
  <c r="F68" i="4" s="1"/>
  <c r="L66" i="4"/>
  <c r="K66" i="4"/>
  <c r="J66" i="4"/>
  <c r="I66" i="4"/>
  <c r="H66" i="4"/>
  <c r="G66" i="4"/>
  <c r="E66" i="4"/>
  <c r="D66" i="4"/>
  <c r="C66" i="4"/>
  <c r="F66" i="4" s="1"/>
  <c r="L64" i="4"/>
  <c r="K64" i="4"/>
  <c r="J64" i="4"/>
  <c r="I64" i="4"/>
  <c r="H64" i="4"/>
  <c r="G64" i="4"/>
  <c r="E64" i="4"/>
  <c r="D64" i="4"/>
  <c r="C64" i="4"/>
  <c r="F64" i="4" s="1"/>
  <c r="L62" i="4"/>
  <c r="K62" i="4"/>
  <c r="J62" i="4"/>
  <c r="I62" i="4"/>
  <c r="H62" i="4"/>
  <c r="G62" i="4"/>
  <c r="E62" i="4"/>
  <c r="D62" i="4"/>
  <c r="C62" i="4"/>
  <c r="F62" i="4" s="1"/>
  <c r="L60" i="4"/>
  <c r="K60" i="4"/>
  <c r="J60" i="4"/>
  <c r="I60" i="4"/>
  <c r="H60" i="4"/>
  <c r="G60" i="4"/>
  <c r="E60" i="4"/>
  <c r="D60" i="4"/>
  <c r="C60" i="4"/>
  <c r="F60" i="4" s="1"/>
  <c r="L58" i="4"/>
  <c r="K58" i="4"/>
  <c r="J58" i="4"/>
  <c r="I58" i="4"/>
  <c r="H58" i="4"/>
  <c r="G58" i="4"/>
  <c r="E58" i="4"/>
  <c r="D58" i="4"/>
  <c r="C58" i="4"/>
  <c r="F58" i="4" s="1"/>
  <c r="L56" i="4"/>
  <c r="K56" i="4"/>
  <c r="J56" i="4"/>
  <c r="I56" i="4"/>
  <c r="H56" i="4"/>
  <c r="G56" i="4"/>
  <c r="E56" i="4"/>
  <c r="D56" i="4"/>
  <c r="C56" i="4"/>
  <c r="F56" i="4" s="1"/>
  <c r="L54" i="4"/>
  <c r="K54" i="4"/>
  <c r="J54" i="4"/>
  <c r="I54" i="4"/>
  <c r="H54" i="4"/>
  <c r="G54" i="4"/>
  <c r="E54" i="4"/>
  <c r="D54" i="4"/>
  <c r="C54" i="4"/>
  <c r="F54" i="4" s="1"/>
  <c r="L52" i="4"/>
  <c r="K52" i="4"/>
  <c r="J52" i="4"/>
  <c r="I52" i="4"/>
  <c r="H52" i="4"/>
  <c r="G52" i="4"/>
  <c r="E52" i="4"/>
  <c r="D52" i="4"/>
  <c r="C52" i="4"/>
  <c r="F52" i="4" s="1"/>
  <c r="L50" i="4"/>
  <c r="K50" i="4"/>
  <c r="J50" i="4"/>
  <c r="I50" i="4"/>
  <c r="H50" i="4"/>
  <c r="G50" i="4"/>
  <c r="E50" i="4"/>
  <c r="D50" i="4"/>
  <c r="C50" i="4"/>
  <c r="F50" i="4" s="1"/>
  <c r="L48" i="4"/>
  <c r="K48" i="4"/>
  <c r="J48" i="4"/>
  <c r="I48" i="4"/>
  <c r="H48" i="4"/>
  <c r="G48" i="4"/>
  <c r="E48" i="4"/>
  <c r="D48" i="4"/>
  <c r="C48" i="4"/>
  <c r="F48" i="4" s="1"/>
  <c r="P68" i="3"/>
  <c r="O68" i="3"/>
  <c r="N68" i="3"/>
  <c r="M68" i="3"/>
  <c r="L68" i="3"/>
  <c r="K68" i="3"/>
  <c r="J68" i="3"/>
  <c r="I68" i="3"/>
  <c r="G68" i="3"/>
  <c r="F68" i="3"/>
  <c r="E68" i="3"/>
  <c r="D68" i="3"/>
  <c r="C68" i="3"/>
  <c r="P66" i="3"/>
  <c r="O66" i="3"/>
  <c r="N66" i="3"/>
  <c r="M66" i="3"/>
  <c r="L66" i="3"/>
  <c r="K66" i="3"/>
  <c r="J66" i="3"/>
  <c r="I66" i="3"/>
  <c r="G66" i="3"/>
  <c r="F66" i="3"/>
  <c r="E66" i="3"/>
  <c r="D66" i="3"/>
  <c r="C66" i="3"/>
  <c r="P64" i="3"/>
  <c r="O64" i="3"/>
  <c r="N64" i="3"/>
  <c r="M64" i="3"/>
  <c r="L64" i="3"/>
  <c r="K64" i="3"/>
  <c r="J64" i="3"/>
  <c r="I64" i="3"/>
  <c r="G64" i="3"/>
  <c r="F64" i="3"/>
  <c r="E64" i="3"/>
  <c r="D64" i="3"/>
  <c r="C64" i="3"/>
  <c r="P62" i="3"/>
  <c r="O62" i="3"/>
  <c r="N62" i="3"/>
  <c r="M62" i="3"/>
  <c r="L62" i="3"/>
  <c r="K62" i="3"/>
  <c r="J62" i="3"/>
  <c r="I62" i="3"/>
  <c r="G62" i="3"/>
  <c r="F62" i="3"/>
  <c r="E62" i="3"/>
  <c r="D62" i="3"/>
  <c r="C62" i="3"/>
  <c r="P60" i="3"/>
  <c r="O60" i="3"/>
  <c r="N60" i="3"/>
  <c r="M60" i="3"/>
  <c r="L60" i="3"/>
  <c r="K60" i="3"/>
  <c r="J60" i="3"/>
  <c r="I60" i="3"/>
  <c r="G60" i="3"/>
  <c r="F60" i="3"/>
  <c r="E60" i="3"/>
  <c r="D60" i="3"/>
  <c r="C60" i="3"/>
  <c r="P58" i="3"/>
  <c r="O58" i="3"/>
  <c r="N58" i="3"/>
  <c r="M58" i="3"/>
  <c r="L58" i="3"/>
  <c r="K58" i="3"/>
  <c r="J58" i="3"/>
  <c r="I58" i="3"/>
  <c r="G58" i="3"/>
  <c r="F58" i="3"/>
  <c r="E58" i="3"/>
  <c r="D58" i="3"/>
  <c r="C58" i="3"/>
  <c r="P56" i="3"/>
  <c r="O56" i="3"/>
  <c r="N56" i="3"/>
  <c r="M56" i="3"/>
  <c r="L56" i="3"/>
  <c r="K56" i="3"/>
  <c r="J56" i="3"/>
  <c r="I56" i="3"/>
  <c r="G56" i="3"/>
  <c r="F56" i="3"/>
  <c r="E56" i="3"/>
  <c r="D56" i="3"/>
  <c r="C56" i="3"/>
  <c r="P54" i="3"/>
  <c r="O54" i="3"/>
  <c r="N54" i="3"/>
  <c r="M54" i="3"/>
  <c r="L54" i="3"/>
  <c r="K54" i="3"/>
  <c r="J54" i="3"/>
  <c r="I54" i="3"/>
  <c r="G54" i="3"/>
  <c r="F54" i="3"/>
  <c r="E54" i="3"/>
  <c r="D54" i="3"/>
  <c r="C54" i="3"/>
  <c r="P52" i="3"/>
  <c r="O52" i="3"/>
  <c r="N52" i="3"/>
  <c r="M52" i="3"/>
  <c r="L52" i="3"/>
  <c r="K52" i="3"/>
  <c r="J52" i="3"/>
  <c r="I52" i="3"/>
  <c r="G52" i="3"/>
  <c r="F52" i="3"/>
  <c r="E52" i="3"/>
  <c r="D52" i="3"/>
  <c r="C52" i="3"/>
  <c r="P50" i="3"/>
  <c r="O50" i="3"/>
  <c r="N50" i="3"/>
  <c r="M50" i="3"/>
  <c r="L50" i="3"/>
  <c r="K50" i="3"/>
  <c r="J50" i="3"/>
  <c r="I50" i="3"/>
  <c r="G50" i="3"/>
  <c r="F50" i="3"/>
  <c r="E50" i="3"/>
  <c r="D50" i="3"/>
  <c r="C50" i="3"/>
  <c r="P48" i="3"/>
  <c r="O48" i="3"/>
  <c r="N48" i="3"/>
  <c r="M48" i="3"/>
  <c r="L48" i="3"/>
  <c r="K48" i="3"/>
  <c r="J48" i="3"/>
  <c r="I48" i="3"/>
  <c r="G48" i="3"/>
  <c r="F48" i="3"/>
  <c r="E48" i="3"/>
  <c r="D48" i="3"/>
  <c r="C48" i="3"/>
  <c r="H68" i="3" l="1"/>
  <c r="H66" i="3"/>
  <c r="H64" i="3"/>
  <c r="H62" i="3"/>
  <c r="H60" i="3"/>
  <c r="H58" i="3"/>
  <c r="H56" i="3"/>
  <c r="H54" i="3"/>
  <c r="H52" i="3"/>
  <c r="H50" i="3"/>
  <c r="H48" i="3"/>
  <c r="E46" i="5"/>
  <c r="L46" i="4"/>
  <c r="K46" i="4"/>
  <c r="J46" i="4"/>
  <c r="I46" i="4"/>
  <c r="H46" i="4"/>
  <c r="G46" i="4"/>
  <c r="E46" i="4"/>
  <c r="D46" i="4"/>
  <c r="C46" i="4"/>
  <c r="F46" i="4" s="1"/>
  <c r="P46" i="3"/>
  <c r="O46" i="3"/>
  <c r="N46" i="3"/>
  <c r="M46" i="3"/>
  <c r="L46" i="3"/>
  <c r="K46" i="3"/>
  <c r="J46" i="3"/>
  <c r="I46" i="3"/>
  <c r="G46" i="3"/>
  <c r="F46" i="3"/>
  <c r="E46" i="3"/>
  <c r="D46" i="3"/>
  <c r="C46" i="3"/>
  <c r="P44" i="3"/>
  <c r="O44" i="3"/>
  <c r="N44" i="3"/>
  <c r="M44" i="3"/>
  <c r="L44" i="3"/>
  <c r="K44" i="3"/>
  <c r="J44" i="3"/>
  <c r="I44" i="3"/>
  <c r="G44" i="3"/>
  <c r="F44" i="3"/>
  <c r="E44" i="3"/>
  <c r="D44" i="3"/>
  <c r="C44" i="3"/>
  <c r="L44" i="4"/>
  <c r="K44" i="4"/>
  <c r="J44" i="4"/>
  <c r="I44" i="4"/>
  <c r="H44" i="4"/>
  <c r="G44" i="4"/>
  <c r="E44" i="4"/>
  <c r="D44" i="4"/>
  <c r="C44" i="4"/>
  <c r="F44" i="4" s="1"/>
  <c r="D44" i="5"/>
  <c r="C44" i="5"/>
  <c r="E44" i="5" s="1"/>
  <c r="D42" i="5"/>
  <c r="C42" i="5"/>
  <c r="E42" i="5" s="1"/>
  <c r="L42" i="4"/>
  <c r="K42" i="4"/>
  <c r="J42" i="4"/>
  <c r="I42" i="4"/>
  <c r="H42" i="4"/>
  <c r="G42" i="4"/>
  <c r="E42" i="4"/>
  <c r="D42" i="4"/>
  <c r="C42" i="4"/>
  <c r="F42" i="4" s="1"/>
  <c r="P42" i="3"/>
  <c r="O42" i="3"/>
  <c r="N42" i="3"/>
  <c r="M42" i="3"/>
  <c r="L42" i="3"/>
  <c r="K42" i="3"/>
  <c r="J42" i="3"/>
  <c r="I42" i="3"/>
  <c r="G42" i="3"/>
  <c r="F42" i="3"/>
  <c r="E42" i="3"/>
  <c r="D42" i="3"/>
  <c r="C42" i="3"/>
  <c r="P40" i="3"/>
  <c r="O40" i="3"/>
  <c r="N40" i="3"/>
  <c r="M40" i="3"/>
  <c r="L40" i="3"/>
  <c r="K40" i="3"/>
  <c r="J40" i="3"/>
  <c r="I40" i="3"/>
  <c r="G40" i="3"/>
  <c r="F40" i="3"/>
  <c r="E40" i="3"/>
  <c r="D40" i="3"/>
  <c r="C40" i="3"/>
  <c r="L40" i="4"/>
  <c r="K40" i="4"/>
  <c r="J40" i="4"/>
  <c r="I40" i="4"/>
  <c r="H40" i="4"/>
  <c r="G40" i="4"/>
  <c r="E40" i="4"/>
  <c r="D40" i="4"/>
  <c r="C40" i="4"/>
  <c r="F40" i="4" s="1"/>
  <c r="D40" i="5"/>
  <c r="C40" i="5"/>
  <c r="E40" i="5" s="1"/>
  <c r="D38" i="5"/>
  <c r="C38" i="5"/>
  <c r="E38" i="5" s="1"/>
  <c r="L38" i="4"/>
  <c r="K38" i="4"/>
  <c r="J38" i="4"/>
  <c r="I38" i="4"/>
  <c r="H38" i="4"/>
  <c r="G38" i="4"/>
  <c r="E38" i="4"/>
  <c r="D38" i="4"/>
  <c r="C38" i="4"/>
  <c r="F38" i="4" s="1"/>
  <c r="D36" i="5"/>
  <c r="C36" i="5"/>
  <c r="E36" i="5" s="1"/>
  <c r="D34" i="5"/>
  <c r="C34" i="5"/>
  <c r="E34" i="5" s="1"/>
  <c r="D32" i="5"/>
  <c r="C32" i="5"/>
  <c r="E32" i="5" s="1"/>
  <c r="D30" i="5"/>
  <c r="C30" i="5"/>
  <c r="E30" i="5" s="1"/>
  <c r="D28" i="5"/>
  <c r="C28" i="5"/>
  <c r="E28" i="5" s="1"/>
  <c r="L36" i="4"/>
  <c r="K36" i="4"/>
  <c r="J36" i="4"/>
  <c r="I36" i="4"/>
  <c r="H36" i="4"/>
  <c r="G36" i="4"/>
  <c r="E36" i="4"/>
  <c r="D36" i="4"/>
  <c r="C36" i="4"/>
  <c r="F36" i="4" s="1"/>
  <c r="L34" i="4"/>
  <c r="K34" i="4"/>
  <c r="J34" i="4"/>
  <c r="I34" i="4"/>
  <c r="H34" i="4"/>
  <c r="G34" i="4"/>
  <c r="E34" i="4"/>
  <c r="D34" i="4"/>
  <c r="C34" i="4"/>
  <c r="F34" i="4" s="1"/>
  <c r="L32" i="4"/>
  <c r="K32" i="4"/>
  <c r="J32" i="4"/>
  <c r="I32" i="4"/>
  <c r="H32" i="4"/>
  <c r="G32" i="4"/>
  <c r="E32" i="4"/>
  <c r="D32" i="4"/>
  <c r="C32" i="4"/>
  <c r="F32" i="4" s="1"/>
  <c r="L30" i="4"/>
  <c r="K30" i="4"/>
  <c r="J30" i="4"/>
  <c r="I30" i="4"/>
  <c r="H30" i="4"/>
  <c r="G30" i="4"/>
  <c r="E30" i="4"/>
  <c r="D30" i="4"/>
  <c r="C30" i="4"/>
  <c r="F30" i="4" s="1"/>
  <c r="L28" i="4"/>
  <c r="K28" i="4"/>
  <c r="J28" i="4"/>
  <c r="I28" i="4"/>
  <c r="H28" i="4"/>
  <c r="G28" i="4"/>
  <c r="E28" i="4"/>
  <c r="D28" i="4"/>
  <c r="C28" i="4"/>
  <c r="F28" i="4" s="1"/>
  <c r="P38" i="3"/>
  <c r="O38" i="3"/>
  <c r="N38" i="3"/>
  <c r="M38" i="3"/>
  <c r="L38" i="3"/>
  <c r="K38" i="3"/>
  <c r="J38" i="3"/>
  <c r="I38" i="3"/>
  <c r="G38" i="3"/>
  <c r="F38" i="3"/>
  <c r="E38" i="3"/>
  <c r="D38" i="3"/>
  <c r="C38" i="3"/>
  <c r="P36" i="3"/>
  <c r="O36" i="3"/>
  <c r="N36" i="3"/>
  <c r="M36" i="3"/>
  <c r="L36" i="3"/>
  <c r="K36" i="3"/>
  <c r="J36" i="3"/>
  <c r="I36" i="3"/>
  <c r="G36" i="3"/>
  <c r="F36" i="3"/>
  <c r="E36" i="3"/>
  <c r="D36" i="3"/>
  <c r="C36" i="3"/>
  <c r="P34" i="3"/>
  <c r="O34" i="3"/>
  <c r="N34" i="3"/>
  <c r="M34" i="3"/>
  <c r="L34" i="3"/>
  <c r="K34" i="3"/>
  <c r="J34" i="3"/>
  <c r="I34" i="3"/>
  <c r="G34" i="3"/>
  <c r="F34" i="3"/>
  <c r="E34" i="3"/>
  <c r="D34" i="3"/>
  <c r="C34" i="3"/>
  <c r="P32" i="3"/>
  <c r="O32" i="3"/>
  <c r="N32" i="3"/>
  <c r="M32" i="3"/>
  <c r="L32" i="3"/>
  <c r="K32" i="3"/>
  <c r="J32" i="3"/>
  <c r="I32" i="3"/>
  <c r="G32" i="3"/>
  <c r="F32" i="3"/>
  <c r="E32" i="3"/>
  <c r="D32" i="3"/>
  <c r="C32" i="3"/>
  <c r="P30" i="3"/>
  <c r="O30" i="3"/>
  <c r="N30" i="3"/>
  <c r="M30" i="3"/>
  <c r="L30" i="3"/>
  <c r="K30" i="3"/>
  <c r="J30" i="3"/>
  <c r="I30" i="3"/>
  <c r="G30" i="3"/>
  <c r="F30" i="3"/>
  <c r="E30" i="3"/>
  <c r="D30" i="3"/>
  <c r="C30" i="3"/>
  <c r="P28" i="3"/>
  <c r="O28" i="3"/>
  <c r="N28" i="3"/>
  <c r="M28" i="3"/>
  <c r="L28" i="3"/>
  <c r="K28" i="3"/>
  <c r="J28" i="3"/>
  <c r="I28" i="3"/>
  <c r="G28" i="3"/>
  <c r="F28" i="3"/>
  <c r="E28" i="3"/>
  <c r="D28" i="3"/>
  <c r="C28" i="3"/>
  <c r="D26" i="5"/>
  <c r="C26" i="5"/>
  <c r="H26" i="4"/>
  <c r="I26" i="4"/>
  <c r="J26" i="4"/>
  <c r="K26" i="4"/>
  <c r="L26" i="4"/>
  <c r="G26" i="4"/>
  <c r="D26" i="4"/>
  <c r="E26" i="4"/>
  <c r="C26" i="4"/>
  <c r="J26" i="3"/>
  <c r="K26" i="3"/>
  <c r="L26" i="3"/>
  <c r="M26" i="3"/>
  <c r="N26" i="3"/>
  <c r="O26" i="3"/>
  <c r="P26" i="3"/>
  <c r="I26" i="3"/>
  <c r="F26" i="3"/>
  <c r="G26" i="3"/>
  <c r="D26" i="3"/>
  <c r="E26" i="3"/>
  <c r="C26" i="3"/>
  <c r="J24" i="3"/>
  <c r="K24" i="3"/>
  <c r="L24" i="3"/>
  <c r="M24" i="3"/>
  <c r="N24" i="3"/>
  <c r="O24" i="3"/>
  <c r="P24" i="3"/>
  <c r="I24" i="3"/>
  <c r="D24" i="3"/>
  <c r="E24" i="3"/>
  <c r="F24" i="3"/>
  <c r="G24" i="3"/>
  <c r="C24" i="3"/>
  <c r="H24" i="4"/>
  <c r="I24" i="4"/>
  <c r="J24" i="4"/>
  <c r="K24" i="4"/>
  <c r="L24" i="4"/>
  <c r="G24" i="4"/>
  <c r="D24" i="4"/>
  <c r="E24" i="4"/>
  <c r="C24" i="4"/>
  <c r="D24" i="5"/>
  <c r="C24" i="5"/>
  <c r="D22" i="5"/>
  <c r="C22" i="5"/>
  <c r="D22" i="3"/>
  <c r="E22" i="3"/>
  <c r="F22" i="3"/>
  <c r="G22" i="3"/>
  <c r="C22" i="3"/>
  <c r="J22" i="3"/>
  <c r="K22" i="3"/>
  <c r="L22" i="3"/>
  <c r="M22" i="3"/>
  <c r="N22" i="3"/>
  <c r="O22" i="3"/>
  <c r="P22" i="3"/>
  <c r="I22" i="3"/>
  <c r="H22" i="4"/>
  <c r="I22" i="4"/>
  <c r="J22" i="4"/>
  <c r="K22" i="4"/>
  <c r="L22" i="4"/>
  <c r="G22" i="4"/>
  <c r="D22" i="4"/>
  <c r="E22" i="4"/>
  <c r="C22" i="4"/>
  <c r="D20" i="5"/>
  <c r="C20" i="5"/>
  <c r="D18" i="5"/>
  <c r="C18" i="5"/>
  <c r="D16" i="5"/>
  <c r="C16" i="5"/>
  <c r="D14" i="5"/>
  <c r="C14" i="5"/>
  <c r="D12" i="5"/>
  <c r="C12" i="5"/>
  <c r="L20" i="4"/>
  <c r="K20" i="4"/>
  <c r="J20" i="4"/>
  <c r="I20" i="4"/>
  <c r="H20" i="4"/>
  <c r="G20" i="4"/>
  <c r="L18" i="4"/>
  <c r="K18" i="4"/>
  <c r="J18" i="4"/>
  <c r="I18" i="4"/>
  <c r="H18" i="4"/>
  <c r="G18" i="4"/>
  <c r="L16" i="4"/>
  <c r="K16" i="4"/>
  <c r="J16" i="4"/>
  <c r="I16" i="4"/>
  <c r="H16" i="4"/>
  <c r="G16" i="4"/>
  <c r="L14" i="4"/>
  <c r="K14" i="4"/>
  <c r="J14" i="4"/>
  <c r="I14" i="4"/>
  <c r="H14" i="4"/>
  <c r="G14" i="4"/>
  <c r="L12" i="4"/>
  <c r="K12" i="4"/>
  <c r="J12" i="4"/>
  <c r="I12" i="4"/>
  <c r="H12" i="4"/>
  <c r="G12" i="4"/>
  <c r="P20" i="3"/>
  <c r="O20" i="3"/>
  <c r="N20" i="3"/>
  <c r="M20" i="3"/>
  <c r="L20" i="3"/>
  <c r="K20" i="3"/>
  <c r="J20" i="3"/>
  <c r="I20" i="3"/>
  <c r="P18" i="3"/>
  <c r="O18" i="3"/>
  <c r="N18" i="3"/>
  <c r="M18" i="3"/>
  <c r="L18" i="3"/>
  <c r="K18" i="3"/>
  <c r="J18" i="3"/>
  <c r="I18" i="3"/>
  <c r="P16" i="3"/>
  <c r="O16" i="3"/>
  <c r="N16" i="3"/>
  <c r="M16" i="3"/>
  <c r="L16" i="3"/>
  <c r="K16" i="3"/>
  <c r="J16" i="3"/>
  <c r="I16" i="3"/>
  <c r="P14" i="3"/>
  <c r="O14" i="3"/>
  <c r="N14" i="3"/>
  <c r="M14" i="3"/>
  <c r="L14" i="3"/>
  <c r="K14" i="3"/>
  <c r="J14" i="3"/>
  <c r="I14" i="3"/>
  <c r="P12" i="3"/>
  <c r="O12" i="3"/>
  <c r="N12" i="3"/>
  <c r="M12" i="3"/>
  <c r="L12" i="3"/>
  <c r="K12" i="3"/>
  <c r="J12" i="3"/>
  <c r="I12" i="3"/>
  <c r="D20" i="4"/>
  <c r="E20" i="4"/>
  <c r="C20" i="4"/>
  <c r="D18" i="4"/>
  <c r="E18" i="4"/>
  <c r="C18" i="4"/>
  <c r="D16" i="4"/>
  <c r="E16" i="4"/>
  <c r="C16" i="4"/>
  <c r="D14" i="4"/>
  <c r="E14" i="4"/>
  <c r="C14" i="4"/>
  <c r="D12" i="4"/>
  <c r="E12" i="4"/>
  <c r="C12" i="4"/>
  <c r="D20" i="3"/>
  <c r="E20" i="3"/>
  <c r="F20" i="3"/>
  <c r="G20" i="3"/>
  <c r="C20" i="3"/>
  <c r="D18" i="3"/>
  <c r="E18" i="3"/>
  <c r="F18" i="3"/>
  <c r="G18" i="3"/>
  <c r="C18" i="3"/>
  <c r="D16" i="3"/>
  <c r="E16" i="3"/>
  <c r="F16" i="3"/>
  <c r="G16" i="3"/>
  <c r="C16" i="3"/>
  <c r="D14" i="3"/>
  <c r="E14" i="3"/>
  <c r="F14" i="3"/>
  <c r="G14" i="3"/>
  <c r="C14" i="3"/>
  <c r="D12" i="3"/>
  <c r="E12" i="3"/>
  <c r="F12" i="3"/>
  <c r="G12" i="3"/>
  <c r="C12" i="3"/>
  <c r="D10" i="5"/>
  <c r="C10" i="5"/>
  <c r="J10" i="3"/>
  <c r="K10" i="3"/>
  <c r="L10" i="3"/>
  <c r="M10" i="3"/>
  <c r="N10" i="3"/>
  <c r="O10" i="3"/>
  <c r="P10" i="3"/>
  <c r="I10" i="3"/>
  <c r="D10" i="3"/>
  <c r="E10" i="3"/>
  <c r="F10" i="3"/>
  <c r="G10" i="3"/>
  <c r="C10" i="3"/>
  <c r="I10" i="4"/>
  <c r="J10" i="4"/>
  <c r="K10" i="4"/>
  <c r="L10" i="4"/>
  <c r="H10" i="4"/>
  <c r="G10" i="4"/>
  <c r="E10" i="4"/>
  <c r="D10" i="4"/>
  <c r="C10" i="4"/>
  <c r="M46" i="4" l="1"/>
  <c r="H46" i="3"/>
  <c r="Q46" i="3"/>
  <c r="R46" i="3" s="1"/>
  <c r="H44" i="3"/>
  <c r="Q44" i="3"/>
  <c r="R44" i="3" s="1"/>
  <c r="M44" i="4"/>
  <c r="M42" i="4"/>
  <c r="H40" i="3"/>
  <c r="Q40" i="3"/>
  <c r="R40" i="3" s="1"/>
  <c r="H42" i="3"/>
  <c r="Q42" i="3"/>
  <c r="R42" i="3" s="1"/>
  <c r="M40" i="4"/>
  <c r="M38" i="4"/>
  <c r="M28" i="4"/>
  <c r="M30" i="4"/>
  <c r="M32" i="4"/>
  <c r="M34" i="4"/>
  <c r="M36" i="4"/>
  <c r="H28" i="3"/>
  <c r="Q28" i="3"/>
  <c r="R28" i="3" s="1"/>
  <c r="H30" i="3"/>
  <c r="Q30" i="3"/>
  <c r="R30" i="3" s="1"/>
  <c r="H32" i="3"/>
  <c r="Q32" i="3"/>
  <c r="R32" i="3" s="1"/>
  <c r="H34" i="3"/>
  <c r="Q34" i="3"/>
  <c r="R34" i="3" s="1"/>
  <c r="H36" i="3"/>
  <c r="Q36" i="3"/>
  <c r="R36" i="3" s="1"/>
  <c r="H38" i="3"/>
  <c r="Q38" i="3"/>
  <c r="R38" i="3" s="1"/>
  <c r="H8" i="3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N36" i="4"/>
  <c r="G16" i="1" a="1"/>
  <c r="G16" i="1" s="1"/>
  <c r="N34" i="4"/>
  <c r="G15" i="1" a="1"/>
  <c r="G15" i="1" s="1"/>
  <c r="N32" i="4"/>
  <c r="G14" i="1" a="1"/>
  <c r="G14" i="1" s="1"/>
  <c r="N30" i="4"/>
  <c r="G13" i="1" a="1"/>
  <c r="G13" i="1" s="1"/>
  <c r="N28" i="4"/>
  <c r="G12" i="1" a="1"/>
  <c r="G12" i="1" s="1"/>
  <c r="N38" i="4"/>
  <c r="G17" i="1" a="1"/>
  <c r="G17" i="1" s="1"/>
  <c r="N40" i="4"/>
  <c r="G18" i="1" a="1"/>
  <c r="G18" i="1" s="1"/>
  <c r="E19" i="1" a="1"/>
  <c r="E19" i="1" s="1"/>
  <c r="E18" i="1" a="1"/>
  <c r="E18" i="1" s="1"/>
  <c r="N42" i="4"/>
  <c r="G19" i="1" a="1"/>
  <c r="G19" i="1" s="1"/>
  <c r="N44" i="4"/>
  <c r="G20" i="1" a="1"/>
  <c r="G20" i="1" s="1"/>
  <c r="E20" i="1" a="1"/>
  <c r="E20" i="1" s="1"/>
  <c r="E21" i="1" a="1"/>
  <c r="E21" i="1" s="1"/>
  <c r="N46" i="4"/>
  <c r="G21" i="1" a="1"/>
  <c r="G21" i="1" s="1"/>
  <c r="F26" i="4"/>
  <c r="F24" i="4"/>
  <c r="F22" i="4"/>
  <c r="F20" i="4"/>
  <c r="F18" i="4"/>
  <c r="F16" i="4"/>
  <c r="F14" i="4"/>
  <c r="F12" i="4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E68" i="5"/>
  <c r="M68" i="4"/>
  <c r="Q68" i="3"/>
  <c r="E64" i="5"/>
  <c r="E62" i="5"/>
  <c r="E60" i="5"/>
  <c r="E58" i="5"/>
  <c r="E56" i="5"/>
  <c r="E54" i="5"/>
  <c r="E52" i="5"/>
  <c r="E50" i="5"/>
  <c r="E48" i="5"/>
  <c r="N68" i="4" l="1"/>
  <c r="R68" i="3"/>
  <c r="E32" i="1" a="1"/>
  <c r="E32" i="1" s="1"/>
  <c r="G32" i="1" a="1"/>
  <c r="G32" i="1" s="1"/>
  <c r="H12" i="3"/>
  <c r="H14" i="3"/>
  <c r="H10" i="3"/>
  <c r="H26" i="3"/>
  <c r="H24" i="3"/>
  <c r="H22" i="3"/>
  <c r="H20" i="3"/>
  <c r="H18" i="3"/>
  <c r="H16" i="3"/>
  <c r="E26" i="5" l="1"/>
  <c r="Q26" i="3" l="1"/>
  <c r="E11" i="1" s="1" a="1"/>
  <c r="E11" i="1" s="1"/>
  <c r="M26" i="4"/>
  <c r="G11" i="1" s="1" a="1"/>
  <c r="G11" i="1" s="1"/>
  <c r="E24" i="5"/>
  <c r="E22" i="5"/>
  <c r="N26" i="4" l="1"/>
  <c r="M22" i="4"/>
  <c r="G9" i="1" s="1" a="1"/>
  <c r="G9" i="1" s="1"/>
  <c r="R26" i="3"/>
  <c r="Q22" i="3"/>
  <c r="E9" i="1" s="1" a="1"/>
  <c r="E9" i="1" s="1"/>
  <c r="Q24" i="3"/>
  <c r="E10" i="1" s="1" a="1"/>
  <c r="E10" i="1" s="1"/>
  <c r="M24" i="4"/>
  <c r="G10" i="1" s="1" a="1"/>
  <c r="G10" i="1" s="1"/>
  <c r="N22" i="4"/>
  <c r="E20" i="5"/>
  <c r="N24" i="4" l="1"/>
  <c r="R24" i="3"/>
  <c r="R22" i="3"/>
  <c r="Q20" i="3"/>
  <c r="E8" i="1" s="1" a="1"/>
  <c r="E8" i="1" s="1"/>
  <c r="M20" i="4"/>
  <c r="G8" i="1" s="1" a="1"/>
  <c r="G8" i="1" s="1"/>
  <c r="E18" i="5"/>
  <c r="R20" i="3" l="1"/>
  <c r="N20" i="4"/>
  <c r="Q18" i="3"/>
  <c r="E7" i="1" s="1" a="1"/>
  <c r="E7" i="1" s="1"/>
  <c r="M18" i="4"/>
  <c r="G7" i="1" s="1" a="1"/>
  <c r="G7" i="1" s="1"/>
  <c r="E16" i="5"/>
  <c r="N18" i="4" l="1"/>
  <c r="R18" i="3"/>
  <c r="Q16" i="3"/>
  <c r="E6" i="1" s="1" a="1"/>
  <c r="E6" i="1" s="1"/>
  <c r="M16" i="4"/>
  <c r="G6" i="1" s="1" a="1"/>
  <c r="G6" i="1" s="1"/>
  <c r="E14" i="5"/>
  <c r="N16" i="4" l="1"/>
  <c r="R16" i="3"/>
  <c r="Q14" i="3"/>
  <c r="E5" i="1" s="1" a="1"/>
  <c r="E5" i="1" s="1"/>
  <c r="M14" i="4"/>
  <c r="G5" i="1" s="1" a="1"/>
  <c r="G5" i="1" s="1"/>
  <c r="F10" i="4"/>
  <c r="R14" i="3" l="1"/>
  <c r="N14" i="4"/>
  <c r="Q12" i="3"/>
  <c r="E4" i="1" s="1" a="1"/>
  <c r="E4" i="1" s="1"/>
  <c r="R12" i="3" l="1"/>
  <c r="M12" i="4" l="1"/>
  <c r="G4" i="1" s="1" a="1"/>
  <c r="G4" i="1" s="1"/>
  <c r="N12" i="4" l="1"/>
  <c r="E66" i="5"/>
  <c r="M64" i="4" l="1"/>
  <c r="G30" i="1" s="1" a="1"/>
  <c r="G30" i="1" s="1"/>
  <c r="M66" i="4"/>
  <c r="G31" i="1" s="1" a="1"/>
  <c r="G31" i="1" s="1"/>
  <c r="Q64" i="3"/>
  <c r="E30" i="1" s="1" a="1"/>
  <c r="E30" i="1" s="1"/>
  <c r="Q66" i="3"/>
  <c r="E31" i="1" s="1" a="1"/>
  <c r="E31" i="1" s="1"/>
  <c r="N66" i="4" l="1"/>
  <c r="N64" i="4"/>
  <c r="R64" i="3"/>
  <c r="R66" i="3"/>
  <c r="Q56" i="3" l="1"/>
  <c r="E26" i="1" s="1" a="1"/>
  <c r="E26" i="1" s="1"/>
  <c r="Q62" i="3"/>
  <c r="E29" i="1" s="1" a="1"/>
  <c r="E29" i="1" s="1"/>
  <c r="Q60" i="3"/>
  <c r="E28" i="1" s="1" a="1"/>
  <c r="E28" i="1" s="1"/>
  <c r="Q58" i="3"/>
  <c r="E27" i="1" s="1" a="1"/>
  <c r="E27" i="1" s="1"/>
  <c r="Q54" i="3"/>
  <c r="E25" i="1" s="1" a="1"/>
  <c r="E25" i="1" s="1"/>
  <c r="M56" i="4"/>
  <c r="G26" i="1" s="1" a="1"/>
  <c r="G26" i="1" s="1"/>
  <c r="M62" i="4"/>
  <c r="G29" i="1" s="1" a="1"/>
  <c r="G29" i="1" s="1"/>
  <c r="M60" i="4"/>
  <c r="G28" i="1" s="1" a="1"/>
  <c r="G28" i="1" s="1"/>
  <c r="M58" i="4"/>
  <c r="G27" i="1" s="1" a="1"/>
  <c r="G27" i="1" s="1"/>
  <c r="M54" i="4"/>
  <c r="G25" i="1" s="1" a="1"/>
  <c r="G25" i="1" s="1"/>
  <c r="N54" i="4" l="1"/>
  <c r="N58" i="4"/>
  <c r="N60" i="4"/>
  <c r="N62" i="4"/>
  <c r="N56" i="4"/>
  <c r="R58" i="3"/>
  <c r="R62" i="3"/>
  <c r="R60" i="3"/>
  <c r="E8" i="5" l="1"/>
  <c r="E10" i="5"/>
  <c r="E12" i="5"/>
  <c r="M8" i="4"/>
  <c r="G2" i="1" s="1" a="1"/>
  <c r="G2" i="1" s="1"/>
  <c r="M10" i="4"/>
  <c r="G3" i="1" s="1" a="1"/>
  <c r="G3" i="1" s="1"/>
  <c r="M48" i="4"/>
  <c r="G22" i="1" s="1" a="1"/>
  <c r="G22" i="1" s="1"/>
  <c r="M50" i="4"/>
  <c r="G23" i="1" s="1" a="1"/>
  <c r="G23" i="1" s="1"/>
  <c r="M52" i="4"/>
  <c r="G24" i="1" s="1" a="1"/>
  <c r="G24" i="1" s="1"/>
  <c r="Q8" i="3"/>
  <c r="R8" i="3" s="1"/>
  <c r="Q10" i="3"/>
  <c r="E3" i="1" s="1" a="1"/>
  <c r="E3" i="1" s="1"/>
  <c r="Q48" i="3"/>
  <c r="E22" i="1" s="1" a="1"/>
  <c r="E22" i="1" s="1"/>
  <c r="Q50" i="3"/>
  <c r="E23" i="1" s="1" a="1"/>
  <c r="E23" i="1" s="1"/>
  <c r="Q52" i="3"/>
  <c r="E24" i="1" s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I22" i="1" s="1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K24" i="1" s="1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J25" i="1" s="1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I26" i="1" s="1"/>
  <c r="AB26" i="2"/>
  <c r="J26" i="1" s="1"/>
  <c r="AC26" i="2"/>
  <c r="K26" i="1" s="1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J27" i="1" s="1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I28" i="1" s="1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B3" i="1"/>
  <c r="B4" i="1"/>
  <c r="B5" i="1"/>
  <c r="B6" i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15" i="1"/>
  <c r="I16" i="1"/>
  <c r="I17" i="1"/>
  <c r="J17" i="1"/>
  <c r="K17" i="1"/>
  <c r="K20" i="1"/>
  <c r="J21" i="1"/>
  <c r="I23" i="1"/>
  <c r="J23" i="1"/>
  <c r="K23" i="1"/>
  <c r="I24" i="1"/>
  <c r="J24" i="1"/>
  <c r="K25" i="1"/>
  <c r="J29" i="1"/>
  <c r="J33" i="1" l="1"/>
  <c r="G33" i="1"/>
  <c r="R56" i="3"/>
  <c r="R54" i="3"/>
  <c r="N10" i="4"/>
  <c r="N8" i="4"/>
  <c r="R10" i="3"/>
  <c r="N52" i="4"/>
  <c r="R52" i="3"/>
  <c r="R50" i="3"/>
  <c r="N50" i="4"/>
  <c r="R48" i="3"/>
  <c r="N48" i="4"/>
  <c r="E2" i="1" l="1" a="1"/>
  <c r="E2" i="1" s="1"/>
  <c r="E33" i="1" s="1"/>
</calcChain>
</file>

<file path=xl/comments1.xml><?xml version="1.0" encoding="utf-8"?>
<comments xmlns="http://schemas.openxmlformats.org/spreadsheetml/2006/main">
  <authors>
    <author>Central Plant</author>
    <author>Anish Thottackattu P. Achary</author>
  </authors>
  <commentList>
    <comment ref="E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E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E1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1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1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1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1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1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1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1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1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1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2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2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2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2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2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2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2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2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2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2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3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3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3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3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3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3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3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3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3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3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4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4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4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4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4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4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4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4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4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4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5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5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5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5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5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5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5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5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59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5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61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6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63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6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65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6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E67" authorId="0" shapeId="0">
      <text>
        <r>
          <rPr>
            <b/>
            <sz val="8"/>
            <color indexed="81"/>
            <rFont val="Tahoma"/>
            <family val="2"/>
          </rPr>
          <t>Central Plant:</t>
        </r>
        <r>
          <rPr>
            <sz val="8"/>
            <color indexed="81"/>
            <rFont val="Tahoma"/>
            <family val="2"/>
          </rPr>
          <t xml:space="preserve">
Meter is not working
</t>
        </r>
      </text>
    </comment>
    <comment ref="I6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</commentList>
</comments>
</file>

<file path=xl/comments2.xml><?xml version="1.0" encoding="utf-8"?>
<comments xmlns="http://schemas.openxmlformats.org/spreadsheetml/2006/main">
  <authors>
    <author>Anish Thottackattu P. Achary</author>
  </authors>
  <commentList>
    <comment ref="D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<sst xmlns="http://schemas.openxmlformats.org/spreadsheetml/2006/main" count="282" uniqueCount="70">
  <si>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</si>
  <si>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</si>
  <si>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</si>
  <si>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</si>
  <si>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</si>
  <si>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</si>
  <si>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</si>
  <si>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</si>
  <si>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</si>
  <si>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</si>
  <si>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</si>
  <si>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</si>
  <si>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</si>
  <si>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</si>
  <si>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</si>
  <si>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</si>
  <si>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</si>
  <si>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</si>
  <si>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</si>
  <si>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</si>
  <si>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</si>
  <si>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</si>
  <si>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</si>
  <si>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</si>
  <si>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</si>
  <si>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</si>
  <si>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</si>
  <si>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</si>
  <si>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</si>
  <si>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</si>
  <si>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</si>
  <si>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</si>
  <si>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</si>
  <si>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</si>
  <si>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</si>
  <si>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</si>
  <si>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AUGUST- 2022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</si>
  <si>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</si>
  <si>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</si>
  <si>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</si>
  <si>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</si>
  <si>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</si>
  <si>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</si>
  <si>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</si>
  <si>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</si>
  <si>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</si>
  <si>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</si>
  <si>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</si>
  <si>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 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</si>
  <si>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</si>
  <si>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</si>
  <si>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</si>
  <si>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</si>
  <si>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</si>
  <si>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</si>
  <si>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</si>
  <si>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</si>
  <si>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</si>
  <si>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</si>
  <si>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</si>
  <si>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</si>
  <si>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</si>
  <si>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SPA- A</t>
  </si>
  <si>
    <t>Daily LPG Meter Readings</t>
  </si>
  <si>
    <t>Month:  AUGUST- 2022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</si>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</sst>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7" borderId="1" xfId="0" applyFont="1" applyFill="1" applyBorder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/>
    <xf numFmtId="0" fontId="8" fillId="0" borderId="10" xfId="0" applyFont="1" applyFill="1" applyBorder="1" applyAlignment="1"/>
    <xf numFmtId="0" fontId="10" fillId="10" borderId="10" xfId="0" applyFont="1" applyFill="1" applyBorder="1" applyAlignment="1"/>
    <xf numFmtId="0" fontId="8" fillId="13" borderId="9" xfId="0" applyFont="1" applyFill="1" applyBorder="1" applyAlignment="1"/>
    <xf numFmtId="0" fontId="8" fillId="13" borderId="24" xfId="0" applyFont="1" applyFill="1" applyBorder="1" applyAlignment="1"/>
    <xf numFmtId="0" fontId="10" fillId="10" borderId="24" xfId="0" applyFont="1" applyFill="1" applyBorder="1" applyAlignment="1"/>
    <xf numFmtId="0" fontId="8" fillId="0" borderId="9" xfId="0" applyFont="1" applyFill="1" applyBorder="1" applyAlignment="1"/>
    <xf numFmtId="0" fontId="8" fillId="0" borderId="24" xfId="0" applyFont="1" applyFill="1" applyBorder="1" applyAlignment="1"/>
    <xf numFmtId="0" fontId="8" fillId="11" borderId="24" xfId="0" applyFont="1" applyFill="1" applyBorder="1" applyAlignment="1"/>
    <xf numFmtId="0" fontId="8" fillId="0" borderId="0" xfId="0" applyFont="1" applyFill="1" applyBorder="1" applyAlignment="1"/>
    <xf numFmtId="0" fontId="10" fillId="12" borderId="10" xfId="0" applyFont="1" applyFill="1" applyBorder="1" applyAlignment="1"/>
    <xf numFmtId="0" fontId="8" fillId="0" borderId="23" xfId="0" applyFont="1" applyFill="1" applyBorder="1" applyAlignment="1"/>
    <xf numFmtId="0" fontId="8" fillId="11" borderId="23" xfId="0" applyFont="1" applyFill="1" applyBorder="1" applyAlignment="1"/>
    <xf numFmtId="0" fontId="8" fillId="11" borderId="7" xfId="0" applyFont="1" applyFill="1" applyBorder="1" applyAlignment="1"/>
    <xf numFmtId="0" fontId="10" fillId="12" borderId="24" xfId="0" applyFont="1" applyFill="1" applyBorder="1" applyAlignment="1"/>
    <xf numFmtId="0" fontId="8" fillId="0" borderId="25" xfId="0" applyFont="1" applyFill="1" applyBorder="1" applyAlignment="1"/>
    <xf numFmtId="0" fontId="8" fillId="11" borderId="25" xfId="0" applyFont="1" applyFill="1" applyBorder="1" applyAlignment="1"/>
    <xf numFmtId="0" fontId="8" fillId="11" borderId="26" xfId="0" applyFont="1" applyFill="1" applyBorder="1" applyAlignment="1"/>
    <xf numFmtId="0" fontId="8" fillId="0" borderId="26" xfId="0" applyFont="1" applyFill="1" applyBorder="1" applyAlignment="1"/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="" xmlns:a16="http://schemas.microsoft.com/office/drawing/2014/main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619125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="" xmlns:a16="http://schemas.microsoft.com/office/drawing/2014/main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="" xmlns:a16="http://schemas.microsoft.com/office/drawing/2014/main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C1" zoomScale="85" zoomScaleNormal="85" workbookViewId="0">
      <selection activeCell="J33" sqref="J33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8</v>
      </c>
      <c r="D2">
        <v>2022</v>
      </c>
      <c r="E2" s="25" cm="1">
        <f t="array" ref="E2">0.75*INDEX('13 - Electrical Readings'!$H$8:$H$1000,1+(2*(ROWS(A$1:A1)-1)))+INDEX('13 - Electrical Readings'!$Q$8:$Q$1000,1+(2*(ROWS(A$1:A1)-1)))</f>
        <v>87786.5</v>
      </c>
      <c r="F2">
        <v>4.1000000000000002E-2</v>
      </c>
      <c r="G2" s="26" cm="1">
        <f t="array" ref="G2">0.75*INDEX('9 - Water Readings'!$F$8:$F$1000,1+(2*(ROWS(A$1:A1)-1)))+INDEX('9 - Water Readings'!$M$8:$M$1000,1+(2*(ROWS(A$1:A1)-1)))</f>
        <v>392</v>
      </c>
      <c r="H2" s="24">
        <v>1.5571912601017661</v>
      </c>
      <c r="I2" s="24">
        <f>'Submetering '!AA2</f>
        <v>86</v>
      </c>
      <c r="J2">
        <f>'Submetering '!AB2</f>
        <v>254</v>
      </c>
      <c r="K2">
        <f>'Submetering '!AC2</f>
        <v>14.3</v>
      </c>
    </row>
    <row r="3" spans="1:11" x14ac:dyDescent="0.25">
      <c r="A3" t="s">
        <v>11</v>
      </c>
      <c r="B3">
        <f>B2+1</f>
        <v>2</v>
      </c>
      <c r="C3" s="35">
        <v>8</v>
      </c>
      <c r="D3">
        <v>2022</v>
      </c>
      <c r="E3" s="25" cm="1">
        <f t="array" ref="E3">0.75*INDEX('13 - Electrical Readings'!$H$8:$H$1000,1+(2*(ROWS(A$1:A2)-1)))+INDEX('13 - Electrical Readings'!$Q$8:$Q$1000,1+(2*(ROWS(A$1:A2)-1)))</f>
        <v>90230</v>
      </c>
      <c r="F3">
        <v>4.1000000000000002E-2</v>
      </c>
      <c r="G3" s="26" cm="1">
        <f t="array" ref="G3">0.75*INDEX('9 - Water Readings'!$F$8:$F$1000,1+(2*(ROWS(A$1:A2)-1)))+INDEX('9 - Water Readings'!$M$8:$M$1000,1+(2*(ROWS(A$1:A2)-1)))</f>
        <v>384</v>
      </c>
      <c r="H3" s="24">
        <v>1.5571912601017661</v>
      </c>
      <c r="I3" s="24">
        <f>'Submetering '!AA3</f>
        <v>54</v>
      </c>
      <c r="J3">
        <f>'Submetering '!AB3</f>
        <v>184</v>
      </c>
      <c r="K3">
        <f>'Submetering '!AC3</f>
        <v>15.3</v>
      </c>
    </row>
    <row r="4" spans="1:11" x14ac:dyDescent="0.25">
      <c r="A4" t="s">
        <v>11</v>
      </c>
      <c r="B4">
        <f t="shared" ref="B4:B30" si="0">B3+1</f>
        <v>3</v>
      </c>
      <c r="C4" s="35">
        <v>8</v>
      </c>
      <c r="D4">
        <v>2022</v>
      </c>
      <c r="E4" s="25" cm="1">
        <f t="array" ref="E4">0.75*INDEX('13 - Electrical Readings'!$H$8:$H$1000,1+(2*(ROWS(A$1:A3)-1)))+INDEX('13 - Electrical Readings'!$Q$8:$Q$1000,1+(2*(ROWS(A$1:A3)-1)))</f>
        <v>89409</v>
      </c>
      <c r="F4">
        <v>4.1000000000000002E-2</v>
      </c>
      <c r="G4" s="26" cm="1">
        <f t="array" ref="G4">0.75*INDEX('9 - Water Readings'!$F$8:$F$1000,1+(2*(ROWS(A$1:A3)-1)))+INDEX('9 - Water Readings'!$M$8:$M$1000,1+(2*(ROWS(A$1:A3)-1)))</f>
        <v>369</v>
      </c>
      <c r="H4" s="24">
        <v>1.5571912601017661</v>
      </c>
      <c r="I4" s="24">
        <f>'Submetering '!AA4</f>
        <v>42</v>
      </c>
      <c r="J4">
        <f>'Submetering '!AB4</f>
        <v>152</v>
      </c>
      <c r="K4">
        <f>'Submetering '!AC4</f>
        <v>16.8</v>
      </c>
    </row>
    <row r="5" spans="1:11" x14ac:dyDescent="0.25">
      <c r="A5" t="s">
        <v>11</v>
      </c>
      <c r="B5">
        <f t="shared" si="0"/>
        <v>4</v>
      </c>
      <c r="C5" s="35">
        <v>8</v>
      </c>
      <c r="D5">
        <v>2022</v>
      </c>
      <c r="E5" s="25" cm="1">
        <f t="array" ref="E5">0.75*INDEX('13 - Electrical Readings'!$H$8:$H$1000,1+(2*(ROWS(A$1:A4)-1)))+INDEX('13 - Electrical Readings'!$Q$8:$Q$1000,1+(2*(ROWS(A$1:A4)-1)))</f>
        <v>87734.5</v>
      </c>
      <c r="F5">
        <v>4.1000000000000002E-2</v>
      </c>
      <c r="G5" s="26" cm="1">
        <f t="array" ref="G5">0.75*INDEX('9 - Water Readings'!$F$8:$F$1000,1+(2*(ROWS(A$1:A4)-1)))+INDEX('9 - Water Readings'!$M$8:$M$1000,1+(2*(ROWS(A$1:A4)-1)))</f>
        <v>393</v>
      </c>
      <c r="H5" s="24">
        <v>1.5571912601017661</v>
      </c>
      <c r="I5" s="24">
        <f>'Submetering '!AA5</f>
        <v>71</v>
      </c>
      <c r="J5">
        <f>'Submetering '!AB5</f>
        <v>306</v>
      </c>
      <c r="K5">
        <f>'Submetering '!AC5</f>
        <v>16.8</v>
      </c>
    </row>
    <row r="6" spans="1:11" x14ac:dyDescent="0.25">
      <c r="A6" t="s">
        <v>11</v>
      </c>
      <c r="B6">
        <f t="shared" si="0"/>
        <v>5</v>
      </c>
      <c r="C6" s="35">
        <v>8</v>
      </c>
      <c r="D6">
        <v>2022</v>
      </c>
      <c r="E6" s="25" cm="1">
        <f t="array" ref="E6">0.75*INDEX('13 - Electrical Readings'!$H$8:$H$1000,1+(2*(ROWS(A$1:A5)-1)))+INDEX('13 - Electrical Readings'!$Q$8:$Q$1000,1+(2*(ROWS(A$1:A5)-1)))</f>
        <v>91802.5</v>
      </c>
      <c r="F6">
        <v>4.1000000000000002E-2</v>
      </c>
      <c r="G6" s="26" cm="1">
        <f t="array" ref="G6">0.75*INDEX('9 - Water Readings'!$F$8:$F$1000,1+(2*(ROWS(A$1:A5)-1)))+INDEX('9 - Water Readings'!$M$8:$M$1000,1+(2*(ROWS(A$1:A5)-1)))</f>
        <v>371</v>
      </c>
      <c r="H6" s="24">
        <v>1.5571912601017661</v>
      </c>
      <c r="I6" s="24">
        <f>'Submetering '!AA6</f>
        <v>77</v>
      </c>
      <c r="J6">
        <f>'Submetering '!AB6</f>
        <v>328</v>
      </c>
      <c r="K6">
        <f>'Submetering '!AC6</f>
        <v>15.9</v>
      </c>
    </row>
    <row r="7" spans="1:11" x14ac:dyDescent="0.25">
      <c r="A7" t="s">
        <v>11</v>
      </c>
      <c r="B7">
        <f t="shared" si="0"/>
        <v>6</v>
      </c>
      <c r="C7" s="35">
        <v>8</v>
      </c>
      <c r="D7">
        <v>2022</v>
      </c>
      <c r="E7" s="25" cm="1">
        <f t="array" ref="E7">0.75*INDEX('13 - Electrical Readings'!$H$8:$H$1000,1+(2*(ROWS(A$1:A6)-1)))+INDEX('13 - Electrical Readings'!$Q$8:$Q$1000,1+(2*(ROWS(A$1:A6)-1)))</f>
        <v>90023.5</v>
      </c>
      <c r="F7">
        <v>4.1000000000000002E-2</v>
      </c>
      <c r="G7" s="26" cm="1">
        <f t="array" ref="G7">0.75*INDEX('9 - Water Readings'!$F$8:$F$1000,1+(2*(ROWS(A$1:A6)-1)))+INDEX('9 - Water Readings'!$M$8:$M$1000,1+(2*(ROWS(A$1:A6)-1)))</f>
        <v>375</v>
      </c>
      <c r="H7" s="24">
        <v>1.5571912601017661</v>
      </c>
      <c r="I7" s="24">
        <f>'Submetering '!AA7</f>
        <v>52</v>
      </c>
      <c r="J7">
        <f>'Submetering '!AB7</f>
        <v>216</v>
      </c>
      <c r="K7">
        <f>'Submetering '!AC7</f>
        <v>16.3</v>
      </c>
    </row>
    <row r="8" spans="1:11" x14ac:dyDescent="0.25">
      <c r="A8" t="s">
        <v>11</v>
      </c>
      <c r="B8">
        <f t="shared" si="0"/>
        <v>7</v>
      </c>
      <c r="C8" s="35">
        <v>8</v>
      </c>
      <c r="D8">
        <v>2022</v>
      </c>
      <c r="E8" s="25" cm="1">
        <f t="array" ref="E8">0.75*INDEX('13 - Electrical Readings'!$H$8:$H$1000,1+(2*(ROWS(A$1:A7)-1)))+INDEX('13 - Electrical Readings'!$Q$8:$Q$1000,1+(2*(ROWS(A$1:A7)-1)))</f>
        <v>91203.5</v>
      </c>
      <c r="F8">
        <v>4.1000000000000002E-2</v>
      </c>
      <c r="G8" s="26" cm="1">
        <f t="array" ref="G8">0.75*INDEX('9 - Water Readings'!$F$8:$F$1000,1+(2*(ROWS(A$1:A7)-1)))+INDEX('9 - Water Readings'!$M$8:$M$1000,1+(2*(ROWS(A$1:A7)-1)))</f>
        <v>371.25</v>
      </c>
      <c r="H8" s="24">
        <v>1.5571912601017661</v>
      </c>
      <c r="I8" s="24">
        <f>'Submetering '!AA8</f>
        <v>44</v>
      </c>
      <c r="J8">
        <f>'Submetering '!AB8</f>
        <v>166</v>
      </c>
      <c r="K8">
        <f>'Submetering '!AC8</f>
        <v>15.7</v>
      </c>
    </row>
    <row r="9" spans="1:11" x14ac:dyDescent="0.25">
      <c r="A9" t="s">
        <v>11</v>
      </c>
      <c r="B9">
        <f t="shared" si="0"/>
        <v>8</v>
      </c>
      <c r="C9" s="35">
        <v>8</v>
      </c>
      <c r="D9">
        <v>2022</v>
      </c>
      <c r="E9" s="25" cm="1">
        <f t="array" ref="E9">0.75*INDEX('13 - Electrical Readings'!$H$8:$H$1000,1+(2*(ROWS(A$1:A8)-1)))+INDEX('13 - Electrical Readings'!$Q$8:$Q$1000,1+(2*(ROWS(A$1:A8)-1)))</f>
        <v>82724.5</v>
      </c>
      <c r="F9">
        <v>4.1000000000000002E-2</v>
      </c>
      <c r="G9" s="26" cm="1">
        <f t="array" ref="G9">0.75*INDEX('9 - Water Readings'!$F$8:$F$1000,1+(2*(ROWS(A$1:A8)-1)))+INDEX('9 - Water Readings'!$M$8:$M$1000,1+(2*(ROWS(A$1:A8)-1)))</f>
        <v>372.5</v>
      </c>
      <c r="H9" s="24">
        <v>1.5571912601017661</v>
      </c>
      <c r="I9" s="24">
        <f>'Submetering '!AA9</f>
        <v>72</v>
      </c>
      <c r="J9">
        <f>'Submetering '!AB9</f>
        <v>250</v>
      </c>
      <c r="K9">
        <f>'Submetering '!AC9</f>
        <v>15.3</v>
      </c>
    </row>
    <row r="10" spans="1:11" x14ac:dyDescent="0.25">
      <c r="A10" t="s">
        <v>11</v>
      </c>
      <c r="B10">
        <f t="shared" si="0"/>
        <v>9</v>
      </c>
      <c r="C10" s="35">
        <v>8</v>
      </c>
      <c r="D10">
        <v>2022</v>
      </c>
      <c r="E10" s="25" cm="1">
        <f t="array" ref="E10">0.75*INDEX('13 - Electrical Readings'!$H$8:$H$1000,1+(2*(ROWS(A$1:A9)-1)))+INDEX('13 - Electrical Readings'!$Q$8:$Q$1000,1+(2*(ROWS(A$1:A9)-1)))</f>
        <v>82657.5</v>
      </c>
      <c r="F10">
        <v>4.1000000000000002E-2</v>
      </c>
      <c r="G10" s="26" cm="1">
        <f t="array" ref="G10">0.75*INDEX('9 - Water Readings'!$F$8:$F$1000,1+(2*(ROWS(A$1:A9)-1)))+INDEX('9 - Water Readings'!$M$8:$M$1000,1+(2*(ROWS(A$1:A9)-1)))</f>
        <v>344</v>
      </c>
      <c r="H10" s="24">
        <v>1.5571912601017661</v>
      </c>
      <c r="I10" s="24">
        <f>'Submetering '!AA10</f>
        <v>88</v>
      </c>
      <c r="J10">
        <f>'Submetering '!AB10</f>
        <v>312</v>
      </c>
      <c r="K10">
        <f>'Submetering '!AC10</f>
        <v>17.100000000000001</v>
      </c>
    </row>
    <row r="11" spans="1:11" x14ac:dyDescent="0.25">
      <c r="A11" t="s">
        <v>11</v>
      </c>
      <c r="B11">
        <f t="shared" si="0"/>
        <v>10</v>
      </c>
      <c r="C11" s="35">
        <v>8</v>
      </c>
      <c r="D11">
        <v>2022</v>
      </c>
      <c r="E11" s="25" cm="1">
        <f t="array" ref="E11">0.75*INDEX('13 - Electrical Readings'!$H$8:$H$1000,1+(2*(ROWS(A$1:A10)-1)))+INDEX('13 - Electrical Readings'!$Q$8:$Q$1000,1+(2*(ROWS(A$1:A10)-1)))</f>
        <v>84037.75</v>
      </c>
      <c r="F11">
        <v>4.1000000000000002E-2</v>
      </c>
      <c r="G11" s="26" cm="1">
        <f t="array" ref="G11">0.75*INDEX('9 - Water Readings'!$F$8:$F$1000,1+(2*(ROWS(A$1:A10)-1)))+INDEX('9 - Water Readings'!$M$8:$M$1000,1+(2*(ROWS(A$1:A10)-1)))</f>
        <v>391</v>
      </c>
      <c r="H11" s="24">
        <v>1.5571912601017661</v>
      </c>
      <c r="I11" s="24">
        <f>'Submetering '!AA11</f>
        <v>91</v>
      </c>
      <c r="J11">
        <f>'Submetering '!AB11</f>
        <v>342</v>
      </c>
      <c r="K11">
        <f>'Submetering '!AC11</f>
        <v>16.899999999999999</v>
      </c>
    </row>
    <row r="12" spans="1:11" x14ac:dyDescent="0.25">
      <c r="A12" t="s">
        <v>11</v>
      </c>
      <c r="B12">
        <f t="shared" si="0"/>
        <v>11</v>
      </c>
      <c r="C12" s="35">
        <v>8</v>
      </c>
      <c r="D12">
        <v>2022</v>
      </c>
      <c r="E12" s="25" cm="1">
        <f t="array" ref="E12">0.75*INDEX('13 - Electrical Readings'!$H$8:$H$1000,1+(2*(ROWS(A$1:A11)-1)))+INDEX('13 - Electrical Readings'!$Q$8:$Q$1000,1+(2*(ROWS(A$1:A11)-1)))</f>
        <v>90244.5</v>
      </c>
      <c r="F12">
        <v>4.1000000000000002E-2</v>
      </c>
      <c r="G12" s="26" cm="1">
        <f t="array" ref="G12">0.75*INDEX('9 - Water Readings'!$F$8:$F$1000,1+(2*(ROWS(A$1:A11)-1)))+INDEX('9 - Water Readings'!$M$8:$M$1000,1+(2*(ROWS(A$1:A11)-1)))</f>
        <v>444</v>
      </c>
      <c r="H12" s="24">
        <v>1.5571912601017661</v>
      </c>
      <c r="I12" s="24">
        <f>'Submetering '!AA12</f>
        <v>93</v>
      </c>
      <c r="J12">
        <f>'Submetering '!AB12</f>
        <v>358</v>
      </c>
      <c r="K12">
        <f>'Submetering '!AC12</f>
        <v>15.8</v>
      </c>
    </row>
    <row r="13" spans="1:11" x14ac:dyDescent="0.25">
      <c r="A13" t="s">
        <v>11</v>
      </c>
      <c r="B13">
        <f t="shared" si="0"/>
        <v>12</v>
      </c>
      <c r="C13" s="35">
        <v>8</v>
      </c>
      <c r="D13">
        <v>2022</v>
      </c>
      <c r="E13" s="25" cm="1">
        <f t="array" ref="E13">0.75*INDEX('13 - Electrical Readings'!$H$8:$H$1000,1+(2*(ROWS(A$1:A12)-1)))+INDEX('13 - Electrical Readings'!$Q$8:$Q$1000,1+(2*(ROWS(A$1:A12)-1)))</f>
        <v>88863.75</v>
      </c>
      <c r="F13">
        <v>4.1000000000000002E-2</v>
      </c>
      <c r="G13" s="26" cm="1">
        <f t="array" ref="G13">0.75*INDEX('9 - Water Readings'!$F$8:$F$1000,1+(2*(ROWS(A$1:A12)-1)))+INDEX('9 - Water Readings'!$M$8:$M$1000,1+(2*(ROWS(A$1:A12)-1)))</f>
        <v>525</v>
      </c>
      <c r="H13" s="24">
        <v>1.5571912601017661</v>
      </c>
      <c r="I13" s="24">
        <f>'Submetering '!AA13</f>
        <v>123</v>
      </c>
      <c r="J13">
        <f>'Submetering '!AB13</f>
        <v>558</v>
      </c>
      <c r="K13">
        <f>'Submetering '!AC13</f>
        <v>17.100000000000001</v>
      </c>
    </row>
    <row r="14" spans="1:11" x14ac:dyDescent="0.25">
      <c r="A14" t="s">
        <v>11</v>
      </c>
      <c r="B14">
        <f t="shared" si="0"/>
        <v>13</v>
      </c>
      <c r="C14" s="35">
        <v>8</v>
      </c>
      <c r="D14">
        <v>2022</v>
      </c>
      <c r="E14" s="25" cm="1">
        <f t="array" ref="E14">0.75*INDEX('13 - Electrical Readings'!$H$8:$H$1000,1+(2*(ROWS(A$1:A13)-1)))+INDEX('13 - Electrical Readings'!$Q$8:$Q$1000,1+(2*(ROWS(A$1:A13)-1)))</f>
        <v>87171.5</v>
      </c>
      <c r="F14">
        <v>4.1000000000000002E-2</v>
      </c>
      <c r="G14" s="26" cm="1">
        <f t="array" ref="G14">0.75*INDEX('9 - Water Readings'!$F$8:$F$1000,1+(2*(ROWS(A$1:A13)-1)))+INDEX('9 - Water Readings'!$M$8:$M$1000,1+(2*(ROWS(A$1:A13)-1)))</f>
        <v>522.5</v>
      </c>
      <c r="H14" s="24">
        <v>1.5571912601017661</v>
      </c>
      <c r="I14" s="24">
        <f>'Submetering '!AA14</f>
        <v>52</v>
      </c>
      <c r="J14">
        <f>'Submetering '!AB14</f>
        <v>172</v>
      </c>
      <c r="K14">
        <f>'Submetering '!AC14</f>
        <v>15.4</v>
      </c>
    </row>
    <row r="15" spans="1:11" x14ac:dyDescent="0.25">
      <c r="A15" t="s">
        <v>11</v>
      </c>
      <c r="B15">
        <f t="shared" si="0"/>
        <v>14</v>
      </c>
      <c r="C15" s="35">
        <v>8</v>
      </c>
      <c r="D15">
        <v>2022</v>
      </c>
      <c r="E15" s="25" cm="1">
        <f t="array" ref="E15">0.75*INDEX('13 - Electrical Readings'!$H$8:$H$1000,1+(2*(ROWS(A$1:A14)-1)))+INDEX('13 - Electrical Readings'!$Q$8:$Q$1000,1+(2*(ROWS(A$1:A14)-1)))</f>
        <v>85394.75</v>
      </c>
      <c r="F15">
        <v>4.1000000000000002E-2</v>
      </c>
      <c r="G15" s="26" cm="1">
        <f t="array" ref="G15">0.75*INDEX('9 - Water Readings'!$F$8:$F$1000,1+(2*(ROWS(A$1:A14)-1)))+INDEX('9 - Water Readings'!$M$8:$M$1000,1+(2*(ROWS(A$1:A14)-1)))</f>
        <v>384</v>
      </c>
      <c r="H15" s="24">
        <v>1.5571912601017661</v>
      </c>
      <c r="I15" s="24">
        <f>'Submetering '!AA15</f>
        <v>52</v>
      </c>
      <c r="J15">
        <f>'Submetering '!AB15</f>
        <v>160</v>
      </c>
      <c r="K15">
        <f>'Submetering '!AC15</f>
        <v>16.3</v>
      </c>
    </row>
    <row r="16" spans="1:11" x14ac:dyDescent="0.25">
      <c r="A16" t="s">
        <v>11</v>
      </c>
      <c r="B16">
        <f t="shared" si="0"/>
        <v>15</v>
      </c>
      <c r="C16" s="35">
        <v>8</v>
      </c>
      <c r="D16">
        <v>2022</v>
      </c>
      <c r="E16" s="25" cm="1">
        <f t="array" ref="E16">0.75*INDEX('13 - Electrical Readings'!$H$8:$H$1000,1+(2*(ROWS(A$1:A15)-1)))+INDEX('13 - Electrical Readings'!$Q$8:$Q$1000,1+(2*(ROWS(A$1:A15)-1)))</f>
        <v>87773.25</v>
      </c>
      <c r="F16">
        <v>4.1000000000000002E-2</v>
      </c>
      <c r="G16" s="26" cm="1">
        <f t="array" ref="G16">0.75*INDEX('9 - Water Readings'!$F$8:$F$1000,1+(2*(ROWS(A$1:A15)-1)))+INDEX('9 - Water Readings'!$M$8:$M$1000,1+(2*(ROWS(A$1:A15)-1)))</f>
        <v>454</v>
      </c>
      <c r="H16" s="24">
        <v>1.5571912601017661</v>
      </c>
      <c r="I16" s="24">
        <f>'Submetering '!AA16</f>
        <v>63</v>
      </c>
      <c r="J16">
        <f>'Submetering '!AB16</f>
        <v>178</v>
      </c>
      <c r="K16">
        <f>'Submetering '!AC16</f>
        <v>16.2</v>
      </c>
    </row>
    <row r="17" spans="1:11" x14ac:dyDescent="0.25">
      <c r="A17" t="s">
        <v>11</v>
      </c>
      <c r="B17">
        <f t="shared" si="0"/>
        <v>16</v>
      </c>
      <c r="C17" s="35">
        <v>8</v>
      </c>
      <c r="D17">
        <v>2022</v>
      </c>
      <c r="E17" s="25" cm="1">
        <f t="array" ref="E17">0.75*INDEX('13 - Electrical Readings'!$H$8:$H$1000,1+(2*(ROWS(A$1:A16)-1)))+INDEX('13 - Electrical Readings'!$Q$8:$Q$1000,1+(2*(ROWS(A$1:A16)-1)))</f>
        <v>87620</v>
      </c>
      <c r="F17">
        <v>4.1000000000000002E-2</v>
      </c>
      <c r="G17" s="26" cm="1">
        <f t="array" ref="G17">0.75*INDEX('9 - Water Readings'!$F$8:$F$1000,1+(2*(ROWS(A$1:A16)-1)))+INDEX('9 - Water Readings'!$M$8:$M$1000,1+(2*(ROWS(A$1:A16)-1)))</f>
        <v>373.75</v>
      </c>
      <c r="H17" s="24">
        <v>1.5571912601017661</v>
      </c>
      <c r="I17" s="24">
        <f>'Submetering '!AA17</f>
        <v>60</v>
      </c>
      <c r="J17">
        <f>'Submetering '!AB17</f>
        <v>200</v>
      </c>
      <c r="K17">
        <f>'Submetering '!AC17</f>
        <v>16.5</v>
      </c>
    </row>
    <row r="18" spans="1:11" x14ac:dyDescent="0.25">
      <c r="A18" t="s">
        <v>11</v>
      </c>
      <c r="B18">
        <f t="shared" si="0"/>
        <v>17</v>
      </c>
      <c r="C18" s="35">
        <v>8</v>
      </c>
      <c r="D18">
        <v>2022</v>
      </c>
      <c r="E18" s="25" cm="1">
        <f t="array" ref="E18">0.75*INDEX('13 - Electrical Readings'!$H$8:$H$1000,1+(2*(ROWS(A$1:A17)-1)))+INDEX('13 - Electrical Readings'!$Q$8:$Q$1000,1+(2*(ROWS(A$1:A17)-1)))</f>
        <v>88233.25</v>
      </c>
      <c r="F18">
        <v>4.1000000000000002E-2</v>
      </c>
      <c r="G18" s="26" cm="1">
        <f t="array" ref="G18">0.75*INDEX('9 - Water Readings'!$F$8:$F$1000,1+(2*(ROWS(A$1:A17)-1)))+INDEX('9 - Water Readings'!$M$8:$M$1000,1+(2*(ROWS(A$1:A17)-1)))</f>
        <v>402.5</v>
      </c>
      <c r="H18" s="24">
        <v>1.5571912601017661</v>
      </c>
      <c r="I18" s="24">
        <f>'Submetering '!AA18</f>
        <v>66</v>
      </c>
      <c r="J18">
        <f>'Submetering '!AB18</f>
        <v>248</v>
      </c>
      <c r="K18">
        <f>'Submetering '!AC18</f>
        <v>16.600000000000001</v>
      </c>
    </row>
    <row r="19" spans="1:11" x14ac:dyDescent="0.25">
      <c r="A19" t="s">
        <v>11</v>
      </c>
      <c r="B19">
        <f t="shared" si="0"/>
        <v>18</v>
      </c>
      <c r="C19" s="35">
        <v>8</v>
      </c>
      <c r="D19">
        <v>2022</v>
      </c>
      <c r="E19" s="25" cm="1">
        <f t="array" ref="E19">0.75*INDEX('13 - Electrical Readings'!$H$8:$H$1000,1+(2*(ROWS(A$1:A18)-1)))+INDEX('13 - Electrical Readings'!$Q$8:$Q$1000,1+(2*(ROWS(A$1:A18)-1)))</f>
        <v>91235.75</v>
      </c>
      <c r="F19">
        <v>4.1000000000000002E-2</v>
      </c>
      <c r="G19" s="26" cm="1">
        <f t="array" ref="G19">0.75*INDEX('9 - Water Readings'!$F$8:$F$1000,1+(2*(ROWS(A$1:A18)-1)))+INDEX('9 - Water Readings'!$M$8:$M$1000,1+(2*(ROWS(A$1:A18)-1)))</f>
        <v>412</v>
      </c>
      <c r="H19" s="24">
        <v>1.5571912601017661</v>
      </c>
      <c r="I19" s="24">
        <f>'Submetering '!AA19</f>
        <v>81</v>
      </c>
      <c r="J19">
        <f>'Submetering '!AB19</f>
        <v>326</v>
      </c>
      <c r="K19">
        <f>'Submetering '!AC19</f>
        <v>16.2</v>
      </c>
    </row>
    <row r="20" spans="1:11" x14ac:dyDescent="0.25">
      <c r="A20" t="s">
        <v>11</v>
      </c>
      <c r="B20">
        <f t="shared" si="0"/>
        <v>19</v>
      </c>
      <c r="C20" s="35">
        <v>8</v>
      </c>
      <c r="D20">
        <v>2022</v>
      </c>
      <c r="E20" s="25" cm="1">
        <f t="array" ref="E20">0.75*INDEX('13 - Electrical Readings'!$H$8:$H$1000,1+(2*(ROWS(A$1:A19)-1)))+INDEX('13 - Electrical Readings'!$Q$8:$Q$1000,1+(2*(ROWS(A$1:A19)-1)))</f>
        <v>94478</v>
      </c>
      <c r="F20">
        <v>4.1000000000000002E-2</v>
      </c>
      <c r="G20" s="26" cm="1">
        <f t="array" ref="G20">0.75*INDEX('9 - Water Readings'!$F$8:$F$1000,1+(2*(ROWS(A$1:A19)-1)))+INDEX('9 - Water Readings'!$M$8:$M$1000,1+(2*(ROWS(A$1:A19)-1)))</f>
        <v>422</v>
      </c>
      <c r="H20" s="24">
        <v>1.5571912601017661</v>
      </c>
      <c r="I20" s="24">
        <f>'Submetering '!AA20</f>
        <v>76</v>
      </c>
      <c r="J20">
        <f>'Submetering '!AB20</f>
        <v>306</v>
      </c>
      <c r="K20">
        <f>'Submetering '!AC20</f>
        <v>16.2</v>
      </c>
    </row>
    <row r="21" spans="1:11" x14ac:dyDescent="0.25">
      <c r="A21" t="s">
        <v>11</v>
      </c>
      <c r="B21">
        <f t="shared" si="0"/>
        <v>20</v>
      </c>
      <c r="C21" s="35">
        <v>8</v>
      </c>
      <c r="D21">
        <v>2022</v>
      </c>
      <c r="E21" s="25" cm="1">
        <f t="array" ref="E21">0.75*INDEX('13 - Electrical Readings'!$H$8:$H$1000,1+(2*(ROWS(A$1:A20)-1)))+INDEX('13 - Electrical Readings'!$Q$8:$Q$1000,1+(2*(ROWS(A$1:A20)-1)))</f>
        <v>91808.75</v>
      </c>
      <c r="F21">
        <v>4.1000000000000002E-2</v>
      </c>
      <c r="G21" s="26" cm="1">
        <f t="array" ref="G21">0.75*INDEX('9 - Water Readings'!$F$8:$F$1000,1+(2*(ROWS(A$1:A20)-1)))+INDEX('9 - Water Readings'!$M$8:$M$1000,1+(2*(ROWS(A$1:A20)-1)))</f>
        <v>506</v>
      </c>
      <c r="H21" s="24">
        <v>1.5571912601017661</v>
      </c>
      <c r="I21" s="24">
        <f>'Submetering '!AA21</f>
        <v>31</v>
      </c>
      <c r="J21">
        <f>'Submetering '!AB21</f>
        <v>110</v>
      </c>
      <c r="K21">
        <f>'Submetering '!AC21</f>
        <v>16.100000000000001</v>
      </c>
    </row>
    <row r="22" spans="1:11" x14ac:dyDescent="0.25">
      <c r="A22" t="s">
        <v>11</v>
      </c>
      <c r="B22">
        <f t="shared" si="0"/>
        <v>21</v>
      </c>
      <c r="C22" s="35">
        <v>8</v>
      </c>
      <c r="D22">
        <v>2022</v>
      </c>
      <c r="E22" s="25" cm="1">
        <f t="array" ref="E22">0.75*INDEX('13 - Electrical Readings'!$H$8:$H$1000,1+(2*(ROWS(A$1:A21)-1)))+INDEX('13 - Electrical Readings'!$Q$8:$Q$1000,1+(2*(ROWS(A$1:A21)-1)))</f>
        <v>95451.75</v>
      </c>
      <c r="F22">
        <v>4.1000000000000002E-2</v>
      </c>
      <c r="G22" s="26" cm="1">
        <f t="array" ref="G22">0.75*INDEX('9 - Water Readings'!$F$8:$F$1000,1+(2*(ROWS(A$1:A21)-1)))+INDEX('9 - Water Readings'!$M$8:$M$1000,1+(2*(ROWS(A$1:A21)-1)))</f>
        <v>395</v>
      </c>
      <c r="H22" s="24">
        <v>1.5571912601017661</v>
      </c>
      <c r="I22" s="24">
        <f>'Submetering '!AA22</f>
        <v>50</v>
      </c>
      <c r="J22">
        <f>'Submetering '!AB22</f>
        <v>180</v>
      </c>
      <c r="K22">
        <f>'Submetering '!AC22</f>
        <v>15.8</v>
      </c>
    </row>
    <row r="23" spans="1:11" x14ac:dyDescent="0.25">
      <c r="A23" t="s">
        <v>11</v>
      </c>
      <c r="B23">
        <f t="shared" si="0"/>
        <v>22</v>
      </c>
      <c r="C23" s="35">
        <v>8</v>
      </c>
      <c r="D23">
        <v>2022</v>
      </c>
      <c r="E23" s="25" cm="1">
        <f t="array" ref="E23">0.75*INDEX('13 - Electrical Readings'!$H$8:$H$1000,1+(2*(ROWS(A$1:A22)-1)))+INDEX('13 - Electrical Readings'!$Q$8:$Q$1000,1+(2*(ROWS(A$1:A22)-1)))</f>
        <v>95125</v>
      </c>
      <c r="F23">
        <v>4.1000000000000002E-2</v>
      </c>
      <c r="G23" s="26" cm="1">
        <f t="array" ref="G23">0.75*INDEX('9 - Water Readings'!$F$8:$F$1000,1+(2*(ROWS(A$1:A22)-1)))+INDEX('9 - Water Readings'!$M$8:$M$1000,1+(2*(ROWS(A$1:A22)-1)))</f>
        <v>374.25</v>
      </c>
      <c r="H23" s="24">
        <v>1.5571912601017661</v>
      </c>
      <c r="I23" s="24">
        <f>'Submetering '!AA23</f>
        <v>61</v>
      </c>
      <c r="J23">
        <f>'Submetering '!AB23</f>
        <v>232</v>
      </c>
      <c r="K23">
        <f>'Submetering '!AC23</f>
        <v>15.6</v>
      </c>
    </row>
    <row r="24" spans="1:11" x14ac:dyDescent="0.25">
      <c r="A24" t="s">
        <v>11</v>
      </c>
      <c r="B24">
        <f t="shared" si="0"/>
        <v>23</v>
      </c>
      <c r="C24" s="35">
        <v>8</v>
      </c>
      <c r="D24">
        <v>2022</v>
      </c>
      <c r="E24" s="25" cm="1">
        <f t="array" ref="E24">0.75*INDEX('13 - Electrical Readings'!$H$8:$H$1000,1+(2*(ROWS(A$1:A23)-1)))+INDEX('13 - Electrical Readings'!$Q$8:$Q$1000,1+(2*(ROWS(A$1:A23)-1)))</f>
        <v>92206.25</v>
      </c>
      <c r="F24">
        <v>4.1000000000000002E-2</v>
      </c>
      <c r="G24" s="26" cm="1">
        <f t="array" ref="G24">0.75*INDEX('9 - Water Readings'!$F$8:$F$1000,1+(2*(ROWS(A$1:A23)-1)))+INDEX('9 - Water Readings'!$M$8:$M$1000,1+(2*(ROWS(A$1:A23)-1)))</f>
        <v>409</v>
      </c>
      <c r="H24" s="24">
        <v>1.5571912601017661</v>
      </c>
      <c r="I24" s="24">
        <f>'Submetering '!AA24</f>
        <v>52</v>
      </c>
      <c r="J24">
        <f>'Submetering '!AB24</f>
        <v>210</v>
      </c>
      <c r="K24">
        <f>'Submetering '!AC24</f>
        <v>15.9</v>
      </c>
    </row>
    <row r="25" spans="1:11" x14ac:dyDescent="0.25">
      <c r="A25" t="s">
        <v>11</v>
      </c>
      <c r="B25">
        <f t="shared" si="0"/>
        <v>24</v>
      </c>
      <c r="C25" s="35">
        <v>8</v>
      </c>
      <c r="D25">
        <v>2022</v>
      </c>
      <c r="E25" s="25" cm="1">
        <f t="array" ref="E25">0.75*INDEX('13 - Electrical Readings'!$H$8:$H$1000,1+(2*(ROWS(A$1:A24)-1)))+INDEX('13 - Electrical Readings'!$Q$8:$Q$1000,1+(2*(ROWS(A$1:A24)-1)))</f>
        <v>84406.25</v>
      </c>
      <c r="F25">
        <v>4.1000000000000002E-2</v>
      </c>
      <c r="G25" s="26" cm="1">
        <f t="array" ref="G25">0.75*INDEX('9 - Water Readings'!$F$8:$F$1000,1+(2*(ROWS(A$1:A24)-1)))+INDEX('9 - Water Readings'!$M$8:$M$1000,1+(2*(ROWS(A$1:A24)-1)))</f>
        <v>406.5</v>
      </c>
      <c r="H25" s="24">
        <v>1.5571912601017661</v>
      </c>
      <c r="I25" s="24">
        <f>'Submetering '!AA25</f>
        <v>54</v>
      </c>
      <c r="J25">
        <f>'Submetering '!AB25</f>
        <v>194</v>
      </c>
      <c r="K25">
        <f>'Submetering '!AC25</f>
        <v>15.8</v>
      </c>
    </row>
    <row r="26" spans="1:11" x14ac:dyDescent="0.25">
      <c r="A26" t="s">
        <v>11</v>
      </c>
      <c r="B26">
        <f>B25+1</f>
        <v>25</v>
      </c>
      <c r="C26" s="35">
        <v>8</v>
      </c>
      <c r="D26">
        <v>2022</v>
      </c>
      <c r="E26" s="25" cm="1">
        <f t="array" ref="E26">0.75*INDEX('13 - Electrical Readings'!$H$8:$H$1000,1+(2*(ROWS(A$1:A25)-1)))+INDEX('13 - Electrical Readings'!$Q$8:$Q$1000,1+(2*(ROWS(A$1:A25)-1)))</f>
        <v>89173</v>
      </c>
      <c r="F26">
        <v>4.1000000000000002E-2</v>
      </c>
      <c r="G26" s="26" cm="1">
        <f t="array" ref="G26">0.75*INDEX('9 - Water Readings'!$F$8:$F$1000,1+(2*(ROWS(A$1:A25)-1)))+INDEX('9 - Water Readings'!$M$8:$M$1000,1+(2*(ROWS(A$1:A25)-1)))</f>
        <v>361</v>
      </c>
      <c r="H26" s="24">
        <v>1.5571912601017661</v>
      </c>
      <c r="I26" s="24">
        <f>'Submetering '!AA26</f>
        <v>93</v>
      </c>
      <c r="J26">
        <f>'Submetering '!AB26</f>
        <v>342</v>
      </c>
      <c r="K26">
        <f>'Submetering '!AC26</f>
        <v>16.100000000000001</v>
      </c>
    </row>
    <row r="27" spans="1:11" x14ac:dyDescent="0.25">
      <c r="A27" t="s">
        <v>11</v>
      </c>
      <c r="B27">
        <f t="shared" si="0"/>
        <v>26</v>
      </c>
      <c r="C27" s="35">
        <v>8</v>
      </c>
      <c r="D27">
        <v>2022</v>
      </c>
      <c r="E27" s="25" cm="1">
        <f t="array" ref="E27">0.75*INDEX('13 - Electrical Readings'!$H$8:$H$1000,1+(2*(ROWS(A$1:A26)-1)))+INDEX('13 - Electrical Readings'!$Q$8:$Q$1000,1+(2*(ROWS(A$1:A26)-1)))</f>
        <v>95940.5</v>
      </c>
      <c r="F27">
        <v>4.1000000000000002E-2</v>
      </c>
      <c r="G27" s="26" cm="1">
        <f t="array" ref="G27">0.75*INDEX('9 - Water Readings'!$F$8:$F$1000,1+(2*(ROWS(A$1:A26)-1)))+INDEX('9 - Water Readings'!$M$8:$M$1000,1+(2*(ROWS(A$1:A26)-1)))</f>
        <v>372</v>
      </c>
      <c r="H27" s="24">
        <v>1.5571912601017661</v>
      </c>
      <c r="I27" s="24">
        <f>'Submetering '!AA27</f>
        <v>110</v>
      </c>
      <c r="J27">
        <f>'Submetering '!AB27</f>
        <v>474</v>
      </c>
      <c r="K27">
        <f>'Submetering '!AC27</f>
        <v>17.100000000000001</v>
      </c>
    </row>
    <row r="28" spans="1:11" x14ac:dyDescent="0.25">
      <c r="A28" t="s">
        <v>11</v>
      </c>
      <c r="B28">
        <f t="shared" si="0"/>
        <v>27</v>
      </c>
      <c r="C28" s="35">
        <v>8</v>
      </c>
      <c r="D28">
        <v>2022</v>
      </c>
      <c r="E28" s="25" cm="1">
        <f t="array" ref="E28">0.75*INDEX('13 - Electrical Readings'!$H$8:$H$1000,1+(2*(ROWS(A$1:A27)-1)))+INDEX('13 - Electrical Readings'!$Q$8:$Q$1000,1+(2*(ROWS(A$1:A27)-1)))</f>
        <v>91899.5</v>
      </c>
      <c r="F28">
        <v>4.1000000000000002E-2</v>
      </c>
      <c r="G28" s="26" cm="1">
        <f t="array" ref="G28">0.75*INDEX('9 - Water Readings'!$F$8:$F$1000,1+(2*(ROWS(A$1:A27)-1)))+INDEX('9 - Water Readings'!$M$8:$M$1000,1+(2*(ROWS(A$1:A27)-1)))</f>
        <v>366.5</v>
      </c>
      <c r="H28" s="24">
        <v>1.5571912601017661</v>
      </c>
      <c r="I28" s="24">
        <f>'Submetering '!AA28</f>
        <v>49</v>
      </c>
      <c r="J28">
        <f>'Submetering '!AB28</f>
        <v>194</v>
      </c>
      <c r="K28">
        <f>'Submetering '!AC28</f>
        <v>16</v>
      </c>
    </row>
    <row r="29" spans="1:11" x14ac:dyDescent="0.25">
      <c r="A29" t="s">
        <v>11</v>
      </c>
      <c r="B29">
        <f t="shared" si="0"/>
        <v>28</v>
      </c>
      <c r="C29" s="35">
        <v>8</v>
      </c>
      <c r="D29">
        <v>2022</v>
      </c>
      <c r="E29" s="25" cm="1">
        <f t="array" ref="E29">0.75*INDEX('13 - Electrical Readings'!$H$8:$H$1000,1+(2*(ROWS(A$1:A28)-1)))+INDEX('13 - Electrical Readings'!$Q$8:$Q$1000,1+(2*(ROWS(A$1:A28)-1)))</f>
        <v>87013.25</v>
      </c>
      <c r="F29">
        <v>4.1000000000000002E-2</v>
      </c>
      <c r="G29" s="26" cm="1">
        <f t="array" ref="G29">0.75*INDEX('9 - Water Readings'!$F$8:$F$1000,1+(2*(ROWS(A$1:A28)-1)))+INDEX('9 - Water Readings'!$M$8:$M$1000,1+(2*(ROWS(A$1:A28)-1)))</f>
        <v>375</v>
      </c>
      <c r="H29" s="24">
        <v>1.5571912601017661</v>
      </c>
      <c r="I29" s="24">
        <f>'Submetering '!AA29</f>
        <v>42</v>
      </c>
      <c r="J29">
        <f>'Submetering '!AB29</f>
        <v>146</v>
      </c>
      <c r="K29">
        <f>'Submetering '!AC29</f>
        <v>14.8</v>
      </c>
    </row>
    <row r="30" spans="1:11" x14ac:dyDescent="0.25">
      <c r="A30" t="s">
        <v>11</v>
      </c>
      <c r="B30">
        <f t="shared" si="0"/>
        <v>29</v>
      </c>
      <c r="C30" s="35">
        <v>8</v>
      </c>
      <c r="D30">
        <v>2022</v>
      </c>
      <c r="E30" s="25" cm="1">
        <f t="array" ref="E30">0.75*INDEX('13 - Electrical Readings'!$H$8:$H$1000,1+(2*(ROWS(A$1:A29)-1)))+INDEX('13 - Electrical Readings'!$Q$8:$Q$1000,1+(2*(ROWS(A$1:A29)-1)))</f>
        <v>85988.75</v>
      </c>
      <c r="F30">
        <v>4.1000000000000002E-2</v>
      </c>
      <c r="G30" s="26" cm="1">
        <f t="array" ref="G30">0.75*INDEX('9 - Water Readings'!$F$8:$F$1000,1+(2*(ROWS(A$1:A29)-1)))+INDEX('9 - Water Readings'!$M$8:$M$1000,1+(2*(ROWS(A$1:A29)-1)))</f>
        <v>327.5</v>
      </c>
      <c r="H30" s="24">
        <v>1.5571912601017661</v>
      </c>
      <c r="I30" s="24">
        <f>'Submetering '!AA30</f>
        <v>41</v>
      </c>
      <c r="J30">
        <f>'Submetering '!AB30</f>
        <v>142</v>
      </c>
      <c r="K30">
        <f>'Submetering '!AC30</f>
        <v>14</v>
      </c>
    </row>
    <row r="31" spans="1:11" x14ac:dyDescent="0.25">
      <c r="A31" t="s">
        <v>11</v>
      </c>
      <c r="B31">
        <f>B30+1</f>
        <v>30</v>
      </c>
      <c r="C31" s="35">
        <v>8</v>
      </c>
      <c r="D31">
        <v>2022</v>
      </c>
      <c r="E31" s="25" cm="1">
        <f t="array" ref="E31">0.75*INDEX('13 - Electrical Readings'!$H$8:$H$1000,1+(2*(ROWS(A$1:A30)-1)))+INDEX('13 - Electrical Readings'!$Q$8:$Q$1000,1+(2*(ROWS(A$1:A30)-1)))</f>
        <v>83861</v>
      </c>
      <c r="F31">
        <v>4.1000000000000002E-2</v>
      </c>
      <c r="G31" s="26" cm="1">
        <f t="array" ref="G31">0.75*INDEX('9 - Water Readings'!$F$8:$F$1000,1+(2*(ROWS(A$1:A30)-1)))+INDEX('9 - Water Readings'!$M$8:$M$1000,1+(2*(ROWS(A$1:A30)-1)))</f>
        <v>349</v>
      </c>
      <c r="H31" s="24">
        <v>1.5571912601017661</v>
      </c>
      <c r="I31" s="24">
        <f>'Submetering '!AA31</f>
        <v>49</v>
      </c>
      <c r="J31">
        <f>'Submetering '!AB31</f>
        <v>162</v>
      </c>
      <c r="K31">
        <f>'Submetering '!AC31</f>
        <v>14.1</v>
      </c>
    </row>
    <row r="32" spans="1:11" x14ac:dyDescent="0.25">
      <c r="A32" t="s">
        <v>11</v>
      </c>
      <c r="B32">
        <f>B31+1</f>
        <v>31</v>
      </c>
      <c r="C32" s="35">
        <v>8</v>
      </c>
      <c r="D32">
        <v>2022</v>
      </c>
      <c r="E32" s="25" cm="1">
        <f t="array" ref="E32">0.75*INDEX('13 - Electrical Readings'!$H$8:$H$1000,1+(2*(ROWS(A$1:A31)-1)))+INDEX('13 - Electrical Readings'!$Q$8:$Q$1000,1+(2*(ROWS(A$1:A31)-1)))</f>
        <v>85716</v>
      </c>
      <c r="F32">
        <v>4.1000000000000002E-2</v>
      </c>
      <c r="G32" s="26" cm="1">
        <f t="array" ref="G32">0.75*INDEX('9 - Water Readings'!$F$8:$F$1000,1+(2*(ROWS(A$1:A31)-1)))+INDEX('9 - Water Readings'!$M$8:$M$1000,1+(2*(ROWS(A$1:A31)-1)))</f>
        <v>360</v>
      </c>
      <c r="H32" s="24">
        <v>1.5571912601017661</v>
      </c>
      <c r="I32" s="24">
        <f>'Submetering '!AA32</f>
        <v>55</v>
      </c>
      <c r="J32">
        <f>'Submetering '!AB32</f>
        <v>186</v>
      </c>
      <c r="K32">
        <f>'Submetering '!AC32</f>
        <v>14.3</v>
      </c>
    </row>
    <row r="33" spans="5:11" x14ac:dyDescent="0.25">
      <c r="E33" s="23">
        <f>SUM(E2:E32)</f>
        <v>2757214</v>
      </c>
      <c r="G33">
        <f>SUM(G2:G32)</f>
        <v>12304.25</v>
      </c>
      <c r="I33" s="24">
        <f>SUM(I2:I32)</f>
        <v>2030</v>
      </c>
      <c r="J33">
        <f>SUM(J2:J32)</f>
        <v>7588</v>
      </c>
      <c r="K33">
        <f>SUM(K2:K32)</f>
        <v>492.30000000000018</v>
      </c>
    </row>
  </sheetData>
  <customSheetViews>
    <customSheetView guid="{91089E3D-1703-4FEE-B13A-4F0669A06DB8}" scale="85">
      <selection activeCell="U15" sqref="U15"/>
      <pageMargins left="0" right="0" top="0" bottom="0" header="0" footer="0"/>
      <pageSetup orientation="portrait" r:id="rId1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4"/>
    </customSheetView>
    <customSheetView guid="{3F0D6565-C55E-43AC-AC5D-87C4E1D85423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J1" zoomScale="70" zoomScaleNormal="70" workbookViewId="0">
      <selection activeCell="V45" sqref="V45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8</v>
      </c>
      <c r="D2" s="32">
        <v>2022</v>
      </c>
      <c r="E2" s="33">
        <f>INDEX('13 - Electrical Readings'!$C$8:$C$964,1+(2*(ROWS(A$1:A1)-1)))</f>
        <v>19527</v>
      </c>
      <c r="F2" s="33">
        <f>INDEX('13 - Electrical Readings'!$D$6:$D$964,1+(2*(ROWS(A$1:A2)-1)))</f>
        <v>724</v>
      </c>
      <c r="G2" s="32">
        <f>INDEX('13 - Electrical Readings'!$E$6:$E$964,1+(2*(ROWS(A$1:A2)-1)))</f>
        <v>19423</v>
      </c>
      <c r="H2" s="32">
        <f>INDEX('13 - Electrical Readings'!$F$6:$F$964,1+(2*(ROWS(A$1:A2)-1)))</f>
        <v>18092</v>
      </c>
      <c r="I2" s="33">
        <f>INDEX('13 - Electrical Readings'!$G$6:$G$964,1+(2*(ROWS(A$1:A2)-1)))</f>
        <v>12</v>
      </c>
      <c r="J2" s="32">
        <f>INDEX('13 - Electrical Readings'!$I$6:$I$964,1+(2*(ROWS(A$1:A2)-1)))</f>
        <v>2447</v>
      </c>
      <c r="K2" s="32">
        <f>INDEX('13 - Electrical Readings'!$J$6:$J$964,1+(2*(ROWS(B$1:B2)-1)))</f>
        <v>8479</v>
      </c>
      <c r="L2" s="32">
        <f>INDEX('13 - Electrical Readings'!$K$6:$K$964,1+(2*(ROWS(C$1:C2)-1)))</f>
        <v>3302</v>
      </c>
      <c r="M2" s="32">
        <f>INDEX('13 - Electrical Readings'!$L$6:$L$964,1+(2*(ROWS(D$1:D2)-1)))</f>
        <v>4208</v>
      </c>
      <c r="N2" s="32">
        <f>INDEX('13 - Electrical Readings'!$M$6:$M$964,1+(2*(ROWS(E$1:E2)-1)))</f>
        <v>10687</v>
      </c>
      <c r="O2" s="33">
        <f>INDEX('13 - Electrical Readings'!$N$6:$N$964,1+(2*(ROWS(E$1:E2)-1)))</f>
        <v>8690</v>
      </c>
      <c r="P2" s="33">
        <f>INDEX('13 - Electrical Readings'!$O$6:$O$964,1+(2*(ROWS(E$1:E2)-1)))</f>
        <v>3900</v>
      </c>
      <c r="Q2" s="33">
        <f>INDEX('13 - Electrical Readings'!$P$6:$P$964,1+(2*(ROWS(E$1:E2)-1)))</f>
        <v>2740</v>
      </c>
      <c r="R2" s="33">
        <f>INDEX('9 - Water Readings'!$C$8:$C$968,1+(2*(ROWS(A$1:A1)-1)))</f>
        <v>0</v>
      </c>
      <c r="S2" s="33">
        <f>INDEX('9 - Water Readings'!$D$8:$D$967,1+(2*(ROWS(A$1:A1)-1)))</f>
        <v>0</v>
      </c>
      <c r="T2" s="33">
        <f>INDEX('9 - Water Readings'!$E$8:$E$968,1+(2*(ROWS(A$1:A1)-1)))</f>
        <v>0</v>
      </c>
      <c r="U2" s="33">
        <f>INDEX('9 - Water Readings'!$G$8:$G$967,1+(2*(ROWS(A$1:A1)-1)))</f>
        <v>110</v>
      </c>
      <c r="V2" s="33">
        <f>INDEX('9 - Water Readings'!$H$8:$H$968,1+(2*(ROWS(A$1:A1)-1)))</f>
        <v>11</v>
      </c>
      <c r="W2" s="33">
        <f>INDEX('9 - Water Readings'!$I$8:$I$968,1+(2*(ROWS(A$1:A1)-1)))</f>
        <v>45</v>
      </c>
      <c r="X2" s="33">
        <f>INDEX('9 - Water Readings'!$J$8:$J$968,1+(2*(ROWS(A$1:A1)-1)))</f>
        <v>178</v>
      </c>
      <c r="Y2" s="33">
        <f>INDEX('9 - Water Readings'!$K$8:$K$968,1+(2*(ROWS(A$1:A1)-1)))</f>
        <v>21</v>
      </c>
      <c r="Z2" s="33">
        <f>INDEX('9 - Water Readings'!$L$8:$L$968,1+(2*(ROWS(A$1:A1)-1)))</f>
        <v>27</v>
      </c>
      <c r="AA2" s="34">
        <f>'9 - Water Readings'!Q7</f>
        <v>86</v>
      </c>
      <c r="AB2" s="32">
        <f>'9 - Water Readings'!R7</f>
        <v>254</v>
      </c>
      <c r="AC2">
        <f>'9 - Water Readings'!S7</f>
        <v>14.3</v>
      </c>
    </row>
    <row r="3" spans="1:29" x14ac:dyDescent="0.25">
      <c r="A3" s="35" t="s">
        <v>11</v>
      </c>
      <c r="B3" s="35">
        <f>B2+1</f>
        <v>2</v>
      </c>
      <c r="C3" s="35">
        <v>8</v>
      </c>
      <c r="D3" s="32">
        <v>2022</v>
      </c>
      <c r="E3" s="33">
        <f>INDEX('13 - Electrical Readings'!$C$8:$C$964,1+(2*(ROWS(A$1:A2)-1)))</f>
        <v>20856</v>
      </c>
      <c r="F3" s="33">
        <f>INDEX('13 - Electrical Readings'!$D$6:$D$964,1+(2*(ROWS(A$1:A3)-1)))</f>
        <v>724</v>
      </c>
      <c r="G3" s="32">
        <f>INDEX('13 - Electrical Readings'!$E$6:$E$964,1+(2*(ROWS(A$1:A3)-1)))</f>
        <v>20337</v>
      </c>
      <c r="H3" s="32">
        <f>INDEX('13 - Electrical Readings'!$F$6:$F$964,1+(2*(ROWS(A$1:A3)-1)))</f>
        <v>18997</v>
      </c>
      <c r="I3" s="33">
        <f>INDEX('13 - Electrical Readings'!$G$6:$G$964,1+(2*(ROWS(A$1:A3)-1)))</f>
        <v>14</v>
      </c>
      <c r="J3" s="32">
        <f>INDEX('13 - Electrical Readings'!$I$6:$I$964,1+(2*(ROWS(A$1:A3)-1)))</f>
        <v>2352</v>
      </c>
      <c r="K3" s="32">
        <f>INDEX('13 - Electrical Readings'!$J$6:$J$964,1+(2*(ROWS(B$1:B3)-1)))</f>
        <v>8221</v>
      </c>
      <c r="L3" s="32">
        <f>INDEX('13 - Electrical Readings'!$K$6:$K$964,1+(2*(ROWS(C$1:C3)-1)))</f>
        <v>3251</v>
      </c>
      <c r="M3" s="32">
        <f>INDEX('13 - Electrical Readings'!$L$6:$L$964,1+(2*(ROWS(D$1:D3)-1)))</f>
        <v>4382</v>
      </c>
      <c r="N3" s="32">
        <f>INDEX('13 - Electrical Readings'!$M$6:$M$964,1+(2*(ROWS(E$1:E3)-1)))</f>
        <v>10782</v>
      </c>
      <c r="O3" s="33">
        <f>INDEX('13 - Electrical Readings'!$N$6:$N$964,1+(2*(ROWS(E$1:E3)-1)))</f>
        <v>8715</v>
      </c>
      <c r="P3" s="33">
        <f>INDEX('13 - Electrical Readings'!$O$6:$O$964,1+(2*(ROWS(E$1:E3)-1)))</f>
        <v>4041</v>
      </c>
      <c r="Q3" s="33">
        <f>INDEX('13 - Electrical Readings'!$P$6:$P$964,1+(2*(ROWS(E$1:E3)-1)))</f>
        <v>2790</v>
      </c>
      <c r="R3" s="33">
        <f>INDEX('9 - Water Readings'!$C$8:$C$968,1+(2*(ROWS(A$1:A2)-1)))</f>
        <v>0</v>
      </c>
      <c r="S3" s="33">
        <f>INDEX('9 - Water Readings'!$D$8:$D$967,1+(2*(ROWS(A$1:A2)-1)))</f>
        <v>0</v>
      </c>
      <c r="T3" s="33">
        <f>INDEX('9 - Water Readings'!$E$8:$E$968,1+(2*(ROWS(A$1:A2)-1)))</f>
        <v>0</v>
      </c>
      <c r="U3" s="33">
        <f>INDEX('9 - Water Readings'!$G$8:$G$967,1+(2*(ROWS(A$1:A2)-1)))</f>
        <v>109</v>
      </c>
      <c r="V3" s="33">
        <f>INDEX('9 - Water Readings'!$H$8:$H$968,1+(2*(ROWS(A$1:A2)-1)))</f>
        <v>13</v>
      </c>
      <c r="W3" s="33">
        <f>INDEX('9 - Water Readings'!$I$8:$I$968,1+(2*(ROWS(A$1:A2)-1)))</f>
        <v>43</v>
      </c>
      <c r="X3" s="33">
        <f>INDEX('9 - Water Readings'!$J$8:$J$968,1+(2*(ROWS(A$1:A2)-1)))</f>
        <v>160</v>
      </c>
      <c r="Y3" s="33">
        <f>INDEX('9 - Water Readings'!$K$8:$K$968,1+(2*(ROWS(A$1:A2)-1)))</f>
        <v>21</v>
      </c>
      <c r="Z3" s="33">
        <f>INDEX('9 - Water Readings'!$L$8:$L$968,1+(2*(ROWS(A$1:A2)-1)))</f>
        <v>38</v>
      </c>
      <c r="AA3" s="34">
        <f>'9 - Water Readings'!Q8</f>
        <v>54</v>
      </c>
      <c r="AB3" s="32">
        <f>'9 - Water Readings'!R8</f>
        <v>184</v>
      </c>
      <c r="AC3">
        <f>'9 - Water Readings'!S8</f>
        <v>15.3</v>
      </c>
    </row>
    <row r="4" spans="1:29" x14ac:dyDescent="0.25">
      <c r="A4" s="35" t="s">
        <v>11</v>
      </c>
      <c r="B4" s="35">
        <f t="shared" ref="B4:B30" si="0">B3+1</f>
        <v>3</v>
      </c>
      <c r="C4" s="35">
        <v>8</v>
      </c>
      <c r="D4" s="32">
        <v>2022</v>
      </c>
      <c r="E4" s="33">
        <f>INDEX('13 - Electrical Readings'!$C$8:$C$964,1+(2*(ROWS(A$1:A3)-1)))</f>
        <v>20537</v>
      </c>
      <c r="F4" s="33">
        <f>INDEX('13 - Electrical Readings'!$D$6:$D$964,1+(2*(ROWS(A$1:A4)-1)))</f>
        <v>726</v>
      </c>
      <c r="G4" s="32">
        <f>INDEX('13 - Electrical Readings'!$E$6:$E$964,1+(2*(ROWS(A$1:A4)-1)))</f>
        <v>20022</v>
      </c>
      <c r="H4" s="32">
        <f>INDEX('13 - Electrical Readings'!$F$6:$F$964,1+(2*(ROWS(A$1:A4)-1)))</f>
        <v>18685</v>
      </c>
      <c r="I4" s="33">
        <f>INDEX('13 - Electrical Readings'!$G$6:$G$964,1+(2*(ROWS(A$1:A4)-1)))</f>
        <v>14</v>
      </c>
      <c r="J4" s="32">
        <f>INDEX('13 - Electrical Readings'!$I$6:$I$964,1+(2*(ROWS(A$1:A4)-1)))</f>
        <v>2413</v>
      </c>
      <c r="K4" s="32">
        <f>INDEX('13 - Electrical Readings'!$J$6:$J$964,1+(2*(ROWS(B$1:B4)-1)))</f>
        <v>8319</v>
      </c>
      <c r="L4" s="32">
        <f>INDEX('13 - Electrical Readings'!$K$6:$K$964,1+(2*(ROWS(C$1:C4)-1)))</f>
        <v>3310</v>
      </c>
      <c r="M4" s="32">
        <f>INDEX('13 - Electrical Readings'!$L$6:$L$964,1+(2*(ROWS(D$1:D4)-1)))</f>
        <v>4161</v>
      </c>
      <c r="N4" s="32">
        <f>INDEX('13 - Electrical Readings'!$M$6:$M$964,1+(2*(ROWS(E$1:E4)-1)))</f>
        <v>10731</v>
      </c>
      <c r="O4" s="33">
        <f>INDEX('13 - Electrical Readings'!$N$6:$N$964,1+(2*(ROWS(E$1:E4)-1)))</f>
        <v>8566</v>
      </c>
      <c r="P4" s="33">
        <f>INDEX('13 - Electrical Readings'!$O$6:$O$964,1+(2*(ROWS(E$1:E4)-1)))</f>
        <v>4101</v>
      </c>
      <c r="Q4" s="33">
        <f>INDEX('13 - Electrical Readings'!$P$6:$P$964,1+(2*(ROWS(E$1:E4)-1)))</f>
        <v>2820</v>
      </c>
      <c r="R4" s="33">
        <f>INDEX('9 - Water Readings'!$C$8:$C$968,1+(2*(ROWS(A$1:A3)-1)))</f>
        <v>0</v>
      </c>
      <c r="S4" s="33">
        <f>INDEX('9 - Water Readings'!$D$8:$D$967,1+(2*(ROWS(A$1:A3)-1)))</f>
        <v>0</v>
      </c>
      <c r="T4" s="33">
        <f>INDEX('9 - Water Readings'!$E$8:$E$968,1+(2*(ROWS(A$1:A3)-1)))</f>
        <v>0</v>
      </c>
      <c r="U4" s="33">
        <f>INDEX('9 - Water Readings'!$G$8:$G$967,1+(2*(ROWS(A$1:A3)-1)))</f>
        <v>110</v>
      </c>
      <c r="V4" s="33">
        <f>INDEX('9 - Water Readings'!$H$8:$H$968,1+(2*(ROWS(A$1:A3)-1)))</f>
        <v>12</v>
      </c>
      <c r="W4" s="33">
        <f>INDEX('9 - Water Readings'!$I$8:$I$968,1+(2*(ROWS(A$1:A3)-1)))</f>
        <v>0</v>
      </c>
      <c r="X4" s="33">
        <f>INDEX('9 - Water Readings'!$J$8:$J$968,1+(2*(ROWS(A$1:A3)-1)))</f>
        <v>193</v>
      </c>
      <c r="Y4" s="33">
        <f>INDEX('9 - Water Readings'!$K$8:$K$968,1+(2*(ROWS(A$1:A3)-1)))</f>
        <v>20</v>
      </c>
      <c r="Z4" s="33">
        <f>INDEX('9 - Water Readings'!$L$8:$L$968,1+(2*(ROWS(A$1:A3)-1)))</f>
        <v>34</v>
      </c>
      <c r="AA4" s="34">
        <f>'9 - Water Readings'!Q9</f>
        <v>42</v>
      </c>
      <c r="AB4" s="32">
        <f>'9 - Water Readings'!R9</f>
        <v>152</v>
      </c>
      <c r="AC4">
        <f>'9 - Water Readings'!S9</f>
        <v>16.8</v>
      </c>
    </row>
    <row r="5" spans="1:29" x14ac:dyDescent="0.25">
      <c r="A5" s="35" t="s">
        <v>11</v>
      </c>
      <c r="B5" s="35">
        <f t="shared" si="0"/>
        <v>4</v>
      </c>
      <c r="C5" s="35">
        <v>8</v>
      </c>
      <c r="D5" s="32">
        <v>2022</v>
      </c>
      <c r="E5" s="33">
        <f>INDEX('13 - Electrical Readings'!$C$8:$C$964,1+(2*(ROWS(A$1:A4)-1)))</f>
        <v>19447</v>
      </c>
      <c r="F5" s="33">
        <f>INDEX('13 - Electrical Readings'!$D$6:$D$964,1+(2*(ROWS(A$1:A5)-1)))</f>
        <v>744</v>
      </c>
      <c r="G5" s="32">
        <f>INDEX('13 - Electrical Readings'!$E$6:$E$964,1+(2*(ROWS(A$1:A5)-1)))</f>
        <v>19316</v>
      </c>
      <c r="H5" s="32">
        <f>INDEX('13 - Electrical Readings'!$F$6:$F$964,1+(2*(ROWS(A$1:A5)-1)))</f>
        <v>17966</v>
      </c>
      <c r="I5" s="33">
        <f>INDEX('13 - Electrical Readings'!$G$6:$G$964,1+(2*(ROWS(A$1:A5)-1)))</f>
        <v>13</v>
      </c>
      <c r="J5" s="32">
        <f>INDEX('13 - Electrical Readings'!$I$6:$I$964,1+(2*(ROWS(A$1:A5)-1)))</f>
        <v>2462</v>
      </c>
      <c r="K5" s="32">
        <f>INDEX('13 - Electrical Readings'!$J$6:$J$964,1+(2*(ROWS(B$1:B5)-1)))</f>
        <v>8375</v>
      </c>
      <c r="L5" s="32">
        <f>INDEX('13 - Electrical Readings'!$K$6:$K$964,1+(2*(ROWS(C$1:C5)-1)))</f>
        <v>3110</v>
      </c>
      <c r="M5" s="32">
        <f>INDEX('13 - Electrical Readings'!$L$6:$L$964,1+(2*(ROWS(D$1:D5)-1)))</f>
        <v>4237</v>
      </c>
      <c r="N5" s="32">
        <f>INDEX('13 - Electrical Readings'!$M$6:$M$964,1+(2*(ROWS(E$1:E5)-1)))</f>
        <v>10712</v>
      </c>
      <c r="O5" s="33">
        <f>INDEX('13 - Electrical Readings'!$N$6:$N$964,1+(2*(ROWS(E$1:E5)-1)))</f>
        <v>8626</v>
      </c>
      <c r="P5" s="33">
        <f>INDEX('13 - Electrical Readings'!$O$6:$O$964,1+(2*(ROWS(E$1:E5)-1)))</f>
        <v>4198</v>
      </c>
      <c r="Q5" s="33">
        <f>INDEX('13 - Electrical Readings'!$P$6:$P$964,1+(2*(ROWS(E$1:E5)-1)))</f>
        <v>2900</v>
      </c>
      <c r="R5" s="33">
        <f>INDEX('9 - Water Readings'!$C$8:$C$968,1+(2*(ROWS(A$1:A4)-1)))</f>
        <v>0</v>
      </c>
      <c r="S5" s="33">
        <f>INDEX('9 - Water Readings'!$D$8:$D$967,1+(2*(ROWS(A$1:A4)-1)))</f>
        <v>0</v>
      </c>
      <c r="T5" s="33">
        <f>INDEX('9 - Water Readings'!$E$8:$E$968,1+(2*(ROWS(A$1:A4)-1)))</f>
        <v>0</v>
      </c>
      <c r="U5" s="33">
        <f>INDEX('9 - Water Readings'!$G$8:$G$967,1+(2*(ROWS(A$1:A4)-1)))</f>
        <v>111</v>
      </c>
      <c r="V5" s="33">
        <f>INDEX('9 - Water Readings'!$H$8:$H$968,1+(2*(ROWS(A$1:A4)-1)))</f>
        <v>16</v>
      </c>
      <c r="W5" s="33">
        <f>INDEX('9 - Water Readings'!$I$8:$I$968,1+(2*(ROWS(A$1:A4)-1)))</f>
        <v>0</v>
      </c>
      <c r="X5" s="33">
        <f>INDEX('9 - Water Readings'!$J$8:$J$968,1+(2*(ROWS(A$1:A4)-1)))</f>
        <v>186</v>
      </c>
      <c r="Y5" s="33">
        <f>INDEX('9 - Water Readings'!$K$8:$K$968,1+(2*(ROWS(A$1:A4)-1)))</f>
        <v>24</v>
      </c>
      <c r="Z5" s="33">
        <f>INDEX('9 - Water Readings'!$L$8:$L$968,1+(2*(ROWS(A$1:A4)-1)))</f>
        <v>56</v>
      </c>
      <c r="AA5" s="34">
        <f>'9 - Water Readings'!Q10</f>
        <v>71</v>
      </c>
      <c r="AB5" s="32">
        <f>'9 - Water Readings'!R10</f>
        <v>306</v>
      </c>
      <c r="AC5">
        <f>'9 - Water Readings'!S10</f>
        <v>16.8</v>
      </c>
    </row>
    <row r="6" spans="1:29" x14ac:dyDescent="0.25">
      <c r="A6" s="35" t="s">
        <v>11</v>
      </c>
      <c r="B6" s="35">
        <f t="shared" si="0"/>
        <v>5</v>
      </c>
      <c r="C6" s="35">
        <v>8</v>
      </c>
      <c r="D6" s="32">
        <v>2022</v>
      </c>
      <c r="E6" s="33">
        <f>INDEX('13 - Electrical Readings'!$C$8:$C$964,1+(2*(ROWS(A$1:A5)-1)))</f>
        <v>20892</v>
      </c>
      <c r="F6" s="33">
        <f>INDEX('13 - Electrical Readings'!$D$6:$D$964,1+(2*(ROWS(A$1:A6)-1)))</f>
        <v>725</v>
      </c>
      <c r="G6" s="32">
        <f>INDEX('13 - Electrical Readings'!$E$6:$E$964,1+(2*(ROWS(A$1:A6)-1)))</f>
        <v>20252</v>
      </c>
      <c r="H6" s="32">
        <f>INDEX('13 - Electrical Readings'!$F$6:$F$964,1+(2*(ROWS(A$1:A6)-1)))</f>
        <v>18864</v>
      </c>
      <c r="I6" s="33">
        <f>INDEX('13 - Electrical Readings'!$G$6:$G$964,1+(2*(ROWS(A$1:A6)-1)))</f>
        <v>13</v>
      </c>
      <c r="J6" s="32">
        <f>INDEX('13 - Electrical Readings'!$I$6:$I$964,1+(2*(ROWS(A$1:A6)-1)))</f>
        <v>2483</v>
      </c>
      <c r="K6" s="32">
        <f>INDEX('13 - Electrical Readings'!$J$6:$J$964,1+(2*(ROWS(B$1:B6)-1)))</f>
        <v>8814</v>
      </c>
      <c r="L6" s="32">
        <f>INDEX('13 - Electrical Readings'!$K$6:$K$964,1+(2*(ROWS(C$1:C6)-1)))</f>
        <v>3159</v>
      </c>
      <c r="M6" s="32">
        <f>INDEX('13 - Electrical Readings'!$L$6:$L$964,1+(2*(ROWS(D$1:D6)-1)))</f>
        <v>4356</v>
      </c>
      <c r="N6" s="32">
        <f>INDEX('13 - Electrical Readings'!$M$6:$M$964,1+(2*(ROWS(E$1:E6)-1)))</f>
        <v>10866</v>
      </c>
      <c r="O6" s="33">
        <f>INDEX('13 - Electrical Readings'!$N$6:$N$964,1+(2*(ROWS(E$1:E6)-1)))</f>
        <v>9127</v>
      </c>
      <c r="P6" s="33">
        <f>INDEX('13 - Electrical Readings'!$O$6:$O$964,1+(2*(ROWS(E$1:E6)-1)))</f>
        <v>4268</v>
      </c>
      <c r="Q6" s="33">
        <f>INDEX('13 - Electrical Readings'!$P$6:$P$964,1+(2*(ROWS(E$1:E6)-1)))</f>
        <v>3170</v>
      </c>
      <c r="R6" s="33">
        <f>INDEX('9 - Water Readings'!$C$8:$C$968,1+(2*(ROWS(A$1:A5)-1)))</f>
        <v>0</v>
      </c>
      <c r="S6" s="33">
        <f>INDEX('9 - Water Readings'!$D$8:$D$967,1+(2*(ROWS(A$1:A5)-1)))</f>
        <v>0</v>
      </c>
      <c r="T6" s="33">
        <f>INDEX('9 - Water Readings'!$E$8:$E$968,1+(2*(ROWS(A$1:A5)-1)))</f>
        <v>0</v>
      </c>
      <c r="U6" s="33">
        <f>INDEX('9 - Water Readings'!$G$8:$G$967,1+(2*(ROWS(A$1:A5)-1)))</f>
        <v>111</v>
      </c>
      <c r="V6" s="33">
        <f>INDEX('9 - Water Readings'!$H$8:$H$968,1+(2*(ROWS(A$1:A5)-1)))</f>
        <v>13</v>
      </c>
      <c r="W6" s="33">
        <f>INDEX('9 - Water Readings'!$I$8:$I$968,1+(2*(ROWS(A$1:A5)-1)))</f>
        <v>0</v>
      </c>
      <c r="X6" s="33">
        <f>INDEX('9 - Water Readings'!$J$8:$J$968,1+(2*(ROWS(A$1:A5)-1)))</f>
        <v>183</v>
      </c>
      <c r="Y6" s="33">
        <f>INDEX('9 - Water Readings'!$K$8:$K$968,1+(2*(ROWS(A$1:A5)-1)))</f>
        <v>29</v>
      </c>
      <c r="Z6" s="33">
        <f>INDEX('9 - Water Readings'!$L$8:$L$968,1+(2*(ROWS(A$1:A5)-1)))</f>
        <v>35</v>
      </c>
      <c r="AA6" s="34">
        <f>'9 - Water Readings'!Q11</f>
        <v>77</v>
      </c>
      <c r="AB6" s="32">
        <f>'9 - Water Readings'!R11</f>
        <v>328</v>
      </c>
      <c r="AC6">
        <f>'9 - Water Readings'!S11</f>
        <v>15.9</v>
      </c>
    </row>
    <row r="7" spans="1:29" x14ac:dyDescent="0.25">
      <c r="A7" s="35" t="s">
        <v>11</v>
      </c>
      <c r="B7" s="35">
        <f t="shared" si="0"/>
        <v>6</v>
      </c>
      <c r="C7" s="35">
        <v>8</v>
      </c>
      <c r="D7" s="32">
        <v>2022</v>
      </c>
      <c r="E7" s="33">
        <f>INDEX('13 - Electrical Readings'!$C$8:$C$964,1+(2*(ROWS(A$1:A6)-1)))</f>
        <v>21186</v>
      </c>
      <c r="F7" s="33">
        <f>INDEX('13 - Electrical Readings'!$D$6:$D$964,1+(2*(ROWS(A$1:A7)-1)))</f>
        <v>748</v>
      </c>
      <c r="G7" s="32">
        <f>INDEX('13 - Electrical Readings'!$E$6:$E$964,1+(2*(ROWS(A$1:A7)-1)))</f>
        <v>20552</v>
      </c>
      <c r="H7" s="32">
        <f>INDEX('13 - Electrical Readings'!$F$6:$F$964,1+(2*(ROWS(A$1:A7)-1)))</f>
        <v>19082</v>
      </c>
      <c r="I7" s="33">
        <f>INDEX('13 - Electrical Readings'!$G$6:$G$964,1+(2*(ROWS(A$1:A7)-1)))</f>
        <v>14</v>
      </c>
      <c r="J7" s="32">
        <f>INDEX('13 - Electrical Readings'!$I$6:$I$964,1+(2*(ROWS(A$1:A7)-1)))</f>
        <v>2444</v>
      </c>
      <c r="K7" s="32">
        <f>INDEX('13 - Electrical Readings'!$J$6:$J$964,1+(2*(ROWS(B$1:B7)-1)))</f>
        <v>8299</v>
      </c>
      <c r="L7" s="32">
        <f>INDEX('13 - Electrical Readings'!$K$6:$K$964,1+(2*(ROWS(C$1:C7)-1)))</f>
        <v>3069</v>
      </c>
      <c r="M7" s="32">
        <f>INDEX('13 - Electrical Readings'!$L$6:$L$964,1+(2*(ROWS(D$1:D7)-1)))</f>
        <v>4102</v>
      </c>
      <c r="N7" s="32">
        <f>INDEX('13 - Electrical Readings'!$M$6:$M$964,1+(2*(ROWS(E$1:E7)-1)))</f>
        <v>10167</v>
      </c>
      <c r="O7" s="33">
        <f>INDEX('13 - Electrical Readings'!$N$6:$N$964,1+(2*(ROWS(E$1:E7)-1)))</f>
        <v>8713</v>
      </c>
      <c r="P7" s="33">
        <f>INDEX('13 - Electrical Readings'!$O$6:$O$964,1+(2*(ROWS(E$1:E7)-1)))</f>
        <v>4113</v>
      </c>
      <c r="Q7" s="33">
        <f>INDEX('13 - Electrical Readings'!$P$6:$P$964,1+(2*(ROWS(E$1:E7)-1)))</f>
        <v>2930</v>
      </c>
      <c r="R7" s="33">
        <f>INDEX('9 - Water Readings'!$C$8:$C$968,1+(2*(ROWS(A$1:A6)-1)))</f>
        <v>0</v>
      </c>
      <c r="S7" s="33">
        <f>INDEX('9 - Water Readings'!$D$8:$D$967,1+(2*(ROWS(A$1:A6)-1)))</f>
        <v>0</v>
      </c>
      <c r="T7" s="33">
        <f>INDEX('9 - Water Readings'!$E$8:$E$968,1+(2*(ROWS(A$1:A6)-1)))</f>
        <v>0</v>
      </c>
      <c r="U7" s="33">
        <f>INDEX('9 - Water Readings'!$G$8:$G$967,1+(2*(ROWS(A$1:A6)-1)))</f>
        <v>113</v>
      </c>
      <c r="V7" s="33">
        <f>INDEX('9 - Water Readings'!$H$8:$H$968,1+(2*(ROWS(A$1:A6)-1)))</f>
        <v>14</v>
      </c>
      <c r="W7" s="33">
        <f>INDEX('9 - Water Readings'!$I$8:$I$968,1+(2*(ROWS(A$1:A6)-1)))</f>
        <v>0</v>
      </c>
      <c r="X7" s="33">
        <f>INDEX('9 - Water Readings'!$J$8:$J$968,1+(2*(ROWS(A$1:A6)-1)))</f>
        <v>187</v>
      </c>
      <c r="Y7" s="33">
        <f>INDEX('9 - Water Readings'!$K$8:$K$968,1+(2*(ROWS(A$1:A6)-1)))</f>
        <v>26</v>
      </c>
      <c r="Z7" s="33">
        <f>INDEX('9 - Water Readings'!$L$8:$L$968,1+(2*(ROWS(A$1:A6)-1)))</f>
        <v>35</v>
      </c>
      <c r="AA7" s="34">
        <f>'9 - Water Readings'!Q12</f>
        <v>52</v>
      </c>
      <c r="AB7" s="32">
        <f>'9 - Water Readings'!R12</f>
        <v>216</v>
      </c>
      <c r="AC7">
        <f>'9 - Water Readings'!S12</f>
        <v>16.3</v>
      </c>
    </row>
    <row r="8" spans="1:29" x14ac:dyDescent="0.25">
      <c r="A8" s="35" t="s">
        <v>11</v>
      </c>
      <c r="B8" s="35">
        <f t="shared" si="0"/>
        <v>7</v>
      </c>
      <c r="C8" s="35">
        <v>8</v>
      </c>
      <c r="D8" s="32">
        <v>2022</v>
      </c>
      <c r="E8" s="33">
        <f>INDEX('13 - Electrical Readings'!$C$8:$C$964,1+(2*(ROWS(A$1:A7)-1)))</f>
        <v>10267</v>
      </c>
      <c r="F8" s="33">
        <f>INDEX('13 - Electrical Readings'!$D$6:$D$964,1+(2*(ROWS(A$1:A8)-1)))</f>
        <v>11349</v>
      </c>
      <c r="G8" s="32">
        <f>INDEX('13 - Electrical Readings'!$E$6:$E$964,1+(2*(ROWS(A$1:A8)-1)))</f>
        <v>20568</v>
      </c>
      <c r="H8" s="32">
        <f>INDEX('13 - Electrical Readings'!$F$6:$F$964,1+(2*(ROWS(A$1:A8)-1)))</f>
        <v>18551</v>
      </c>
      <c r="I8" s="33">
        <f>INDEX('13 - Electrical Readings'!$G$6:$G$964,1+(2*(ROWS(A$1:A8)-1)))</f>
        <v>27</v>
      </c>
      <c r="J8" s="32">
        <f>INDEX('13 - Electrical Readings'!$I$6:$I$964,1+(2*(ROWS(A$1:A8)-1)))</f>
        <v>2598</v>
      </c>
      <c r="K8" s="32">
        <f>INDEX('13 - Electrical Readings'!$J$6:$J$964,1+(2*(ROWS(B$1:B8)-1)))</f>
        <v>8718</v>
      </c>
      <c r="L8" s="32">
        <f>INDEX('13 - Electrical Readings'!$K$6:$K$964,1+(2*(ROWS(C$1:C8)-1)))</f>
        <v>3153</v>
      </c>
      <c r="M8" s="32">
        <f>INDEX('13 - Electrical Readings'!$L$6:$L$964,1+(2*(ROWS(D$1:D8)-1)))</f>
        <v>4379</v>
      </c>
      <c r="N8" s="32">
        <f>INDEX('13 - Electrical Readings'!$M$6:$M$964,1+(2*(ROWS(E$1:E8)-1)))</f>
        <v>10815</v>
      </c>
      <c r="O8" s="33">
        <f>INDEX('13 - Electrical Readings'!$N$6:$N$964,1+(2*(ROWS(E$1:E8)-1)))</f>
        <v>9221</v>
      </c>
      <c r="P8" s="33">
        <f>INDEX('13 - Electrical Readings'!$O$6:$O$964,1+(2*(ROWS(E$1:E8)-1)))</f>
        <v>4158</v>
      </c>
      <c r="Q8" s="33">
        <f>INDEX('13 - Electrical Readings'!$P$6:$P$964,1+(2*(ROWS(E$1:E8)-1)))</f>
        <v>2590</v>
      </c>
      <c r="R8" s="33">
        <f>INDEX('9 - Water Readings'!$C$8:$C$968,1+(2*(ROWS(A$1:A7)-1)))</f>
        <v>3</v>
      </c>
      <c r="S8" s="33">
        <f>INDEX('9 - Water Readings'!$D$8:$D$967,1+(2*(ROWS(A$1:A7)-1)))</f>
        <v>0</v>
      </c>
      <c r="T8" s="33">
        <f>INDEX('9 - Water Readings'!$E$8:$E$968,1+(2*(ROWS(A$1:A7)-1)))</f>
        <v>0</v>
      </c>
      <c r="U8" s="33">
        <f>INDEX('9 - Water Readings'!$G$8:$G$967,1+(2*(ROWS(A$1:A7)-1)))</f>
        <v>111</v>
      </c>
      <c r="V8" s="33">
        <f>INDEX('9 - Water Readings'!$H$8:$H$968,1+(2*(ROWS(A$1:A7)-1)))</f>
        <v>15</v>
      </c>
      <c r="W8" s="33">
        <f>INDEX('9 - Water Readings'!$I$8:$I$968,1+(2*(ROWS(A$1:A7)-1)))</f>
        <v>0</v>
      </c>
      <c r="X8" s="33">
        <f>INDEX('9 - Water Readings'!$J$8:$J$968,1+(2*(ROWS(A$1:A7)-1)))</f>
        <v>176</v>
      </c>
      <c r="Y8" s="33">
        <f>INDEX('9 - Water Readings'!$K$8:$K$968,1+(2*(ROWS(A$1:A7)-1)))</f>
        <v>22</v>
      </c>
      <c r="Z8" s="33">
        <f>INDEX('9 - Water Readings'!$L$8:$L$968,1+(2*(ROWS(A$1:A7)-1)))</f>
        <v>45</v>
      </c>
      <c r="AA8" s="34">
        <f>'9 - Water Readings'!Q13</f>
        <v>44</v>
      </c>
      <c r="AB8" s="32">
        <f>'9 - Water Readings'!R13</f>
        <v>166</v>
      </c>
      <c r="AC8">
        <f>'9 - Water Readings'!S13</f>
        <v>15.7</v>
      </c>
    </row>
    <row r="9" spans="1:29" x14ac:dyDescent="0.25">
      <c r="A9" s="35" t="s">
        <v>11</v>
      </c>
      <c r="B9" s="35">
        <f t="shared" si="0"/>
        <v>8</v>
      </c>
      <c r="C9" s="35">
        <v>8</v>
      </c>
      <c r="D9" s="32">
        <v>2022</v>
      </c>
      <c r="E9" s="33">
        <f>INDEX('13 - Electrical Readings'!$C$8:$C$964,1+(2*(ROWS(A$1:A8)-1)))</f>
        <v>1</v>
      </c>
      <c r="F9" s="33">
        <f>INDEX('13 - Electrical Readings'!$D$6:$D$964,1+(2*(ROWS(A$1:A9)-1)))</f>
        <v>14072</v>
      </c>
      <c r="G9" s="32">
        <f>INDEX('13 - Electrical Readings'!$E$6:$E$964,1+(2*(ROWS(A$1:A9)-1)))</f>
        <v>18627</v>
      </c>
      <c r="H9" s="32">
        <f>INDEX('13 - Electrical Readings'!$F$6:$F$964,1+(2*(ROWS(A$1:A9)-1)))</f>
        <v>18520</v>
      </c>
      <c r="I9" s="33">
        <f>INDEX('13 - Electrical Readings'!$G$6:$G$964,1+(2*(ROWS(A$1:A9)-1)))</f>
        <v>14</v>
      </c>
      <c r="J9" s="32">
        <f>INDEX('13 - Electrical Readings'!$I$6:$I$964,1+(2*(ROWS(A$1:A9)-1)))</f>
        <v>2523</v>
      </c>
      <c r="K9" s="32">
        <f>INDEX('13 - Electrical Readings'!$J$6:$J$964,1+(2*(ROWS(B$1:B9)-1)))</f>
        <v>8560</v>
      </c>
      <c r="L9" s="32">
        <f>INDEX('13 - Electrical Readings'!$K$6:$K$964,1+(2*(ROWS(C$1:C9)-1)))</f>
        <v>3008</v>
      </c>
      <c r="M9" s="32">
        <f>INDEX('13 - Electrical Readings'!$L$6:$L$964,1+(2*(ROWS(D$1:D9)-1)))</f>
        <v>4209</v>
      </c>
      <c r="N9" s="32">
        <f>INDEX('13 - Electrical Readings'!$M$6:$M$964,1+(2*(ROWS(E$1:E9)-1)))</f>
        <v>10602</v>
      </c>
      <c r="O9" s="33">
        <f>INDEX('13 - Electrical Readings'!$N$6:$N$964,1+(2*(ROWS(E$1:E9)-1)))</f>
        <v>8737</v>
      </c>
      <c r="P9" s="33">
        <f>INDEX('13 - Electrical Readings'!$O$6:$O$964,1+(2*(ROWS(E$1:E9)-1)))</f>
        <v>3900</v>
      </c>
      <c r="Q9" s="33">
        <f>INDEX('13 - Electrical Readings'!$P$6:$P$964,1+(2*(ROWS(E$1:E9)-1)))</f>
        <v>2760</v>
      </c>
      <c r="R9" s="33">
        <f>INDEX('9 - Water Readings'!$C$8:$C$968,1+(2*(ROWS(A$1:A8)-1)))</f>
        <v>0</v>
      </c>
      <c r="S9" s="33">
        <f>INDEX('9 - Water Readings'!$D$8:$D$967,1+(2*(ROWS(A$1:A8)-1)))</f>
        <v>2</v>
      </c>
      <c r="T9" s="33">
        <f>INDEX('9 - Water Readings'!$E$8:$E$968,1+(2*(ROWS(A$1:A8)-1)))</f>
        <v>0</v>
      </c>
      <c r="U9" s="33">
        <f>INDEX('9 - Water Readings'!$G$8:$G$967,1+(2*(ROWS(A$1:A8)-1)))</f>
        <v>112</v>
      </c>
      <c r="V9" s="33">
        <f>INDEX('9 - Water Readings'!$H$8:$H$968,1+(2*(ROWS(A$1:A8)-1)))</f>
        <v>15</v>
      </c>
      <c r="W9" s="33">
        <f>INDEX('9 - Water Readings'!$I$8:$I$968,1+(2*(ROWS(A$1:A8)-1)))</f>
        <v>0</v>
      </c>
      <c r="X9" s="33">
        <f>INDEX('9 - Water Readings'!$J$8:$J$968,1+(2*(ROWS(A$1:A8)-1)))</f>
        <v>183</v>
      </c>
      <c r="Y9" s="33">
        <f>INDEX('9 - Water Readings'!$K$8:$K$968,1+(2*(ROWS(A$1:A8)-1)))</f>
        <v>24</v>
      </c>
      <c r="Z9" s="33">
        <f>INDEX('9 - Water Readings'!$L$8:$L$968,1+(2*(ROWS(A$1:A8)-1)))</f>
        <v>37</v>
      </c>
      <c r="AA9" s="34">
        <f>'9 - Water Readings'!Q14</f>
        <v>72</v>
      </c>
      <c r="AB9" s="32">
        <f>'9 - Water Readings'!R14</f>
        <v>250</v>
      </c>
      <c r="AC9">
        <f>'9 - Water Readings'!S14</f>
        <v>15.3</v>
      </c>
    </row>
    <row r="10" spans="1:29" x14ac:dyDescent="0.25">
      <c r="A10" s="35" t="s">
        <v>11</v>
      </c>
      <c r="B10" s="35">
        <f t="shared" si="0"/>
        <v>9</v>
      </c>
      <c r="C10" s="35">
        <v>8</v>
      </c>
      <c r="D10" s="32">
        <v>2022</v>
      </c>
      <c r="E10" s="33">
        <f>INDEX('13 - Electrical Readings'!$C$8:$C$964,1+(2*(ROWS(A$1:A9)-1)))</f>
        <v>3</v>
      </c>
      <c r="F10" s="33">
        <f>INDEX('13 - Electrical Readings'!$D$6:$D$964,1+(2*(ROWS(A$1:A10)-1)))</f>
        <v>13487</v>
      </c>
      <c r="G10" s="32">
        <f>INDEX('13 - Electrical Readings'!$E$6:$E$964,1+(2*(ROWS(A$1:A10)-1)))</f>
        <v>20046</v>
      </c>
      <c r="H10" s="32">
        <f>INDEX('13 - Electrical Readings'!$F$6:$F$964,1+(2*(ROWS(A$1:A10)-1)))</f>
        <v>17966</v>
      </c>
      <c r="I10" s="33">
        <f>INDEX('13 - Electrical Readings'!$G$6:$G$964,1+(2*(ROWS(A$1:A10)-1)))</f>
        <v>12</v>
      </c>
      <c r="J10" s="32">
        <f>INDEX('13 - Electrical Readings'!$I$6:$I$964,1+(2*(ROWS(A$1:A10)-1)))</f>
        <v>2503</v>
      </c>
      <c r="K10" s="32">
        <f>INDEX('13 - Electrical Readings'!$J$6:$J$964,1+(2*(ROWS(B$1:B10)-1)))</f>
        <v>8721</v>
      </c>
      <c r="L10" s="32">
        <f>INDEX('13 - Electrical Readings'!$K$6:$K$964,1+(2*(ROWS(C$1:C10)-1)))</f>
        <v>3064</v>
      </c>
      <c r="M10" s="32">
        <f>INDEX('13 - Electrical Readings'!$L$6:$L$964,1+(2*(ROWS(D$1:D10)-1)))</f>
        <v>4174</v>
      </c>
      <c r="N10" s="32">
        <f>INDEX('13 - Electrical Readings'!$M$6:$M$964,1+(2*(ROWS(E$1:E10)-1)))</f>
        <v>10125</v>
      </c>
      <c r="O10" s="33">
        <f>INDEX('13 - Electrical Readings'!$N$6:$N$964,1+(2*(ROWS(E$1:E10)-1)))</f>
        <v>8667</v>
      </c>
      <c r="P10" s="33">
        <f>INDEX('13 - Electrical Readings'!$O$6:$O$964,1+(2*(ROWS(E$1:E10)-1)))</f>
        <v>3948</v>
      </c>
      <c r="Q10" s="33">
        <f>INDEX('13 - Electrical Readings'!$P$6:$P$964,1+(2*(ROWS(E$1:E10)-1)))</f>
        <v>2820</v>
      </c>
      <c r="R10" s="33">
        <f>INDEX('9 - Water Readings'!$C$8:$C$968,1+(2*(ROWS(A$1:A9)-1)))</f>
        <v>0</v>
      </c>
      <c r="S10" s="33">
        <f>INDEX('9 - Water Readings'!$D$8:$D$967,1+(2*(ROWS(A$1:A9)-1)))</f>
        <v>0</v>
      </c>
      <c r="T10" s="33">
        <f>INDEX('9 - Water Readings'!$E$8:$E$968,1+(2*(ROWS(A$1:A9)-1)))</f>
        <v>0</v>
      </c>
      <c r="U10" s="33">
        <f>INDEX('9 - Water Readings'!$G$8:$G$967,1+(2*(ROWS(A$1:A9)-1)))</f>
        <v>107</v>
      </c>
      <c r="V10" s="33">
        <f>INDEX('9 - Water Readings'!$H$8:$H$968,1+(2*(ROWS(A$1:A9)-1)))</f>
        <v>12</v>
      </c>
      <c r="W10" s="33">
        <f>INDEX('9 - Water Readings'!$I$8:$I$968,1+(2*(ROWS(A$1:A9)-1)))</f>
        <v>0</v>
      </c>
      <c r="X10" s="33">
        <f>INDEX('9 - Water Readings'!$J$8:$J$968,1+(2*(ROWS(A$1:A9)-1)))</f>
        <v>168</v>
      </c>
      <c r="Y10" s="33">
        <f>INDEX('9 - Water Readings'!$K$8:$K$968,1+(2*(ROWS(A$1:A9)-1)))</f>
        <v>25</v>
      </c>
      <c r="Z10" s="33">
        <f>INDEX('9 - Water Readings'!$L$8:$L$968,1+(2*(ROWS(A$1:A9)-1)))</f>
        <v>32</v>
      </c>
      <c r="AA10" s="34">
        <f>'9 - Water Readings'!Q15</f>
        <v>88</v>
      </c>
      <c r="AB10" s="32">
        <f>'9 - Water Readings'!R15</f>
        <v>312</v>
      </c>
      <c r="AC10">
        <f>'9 - Water Readings'!S15</f>
        <v>17.100000000000001</v>
      </c>
    </row>
    <row r="11" spans="1:29" x14ac:dyDescent="0.25">
      <c r="A11" s="35" t="s">
        <v>11</v>
      </c>
      <c r="B11" s="35">
        <f t="shared" si="0"/>
        <v>10</v>
      </c>
      <c r="C11" s="35">
        <v>8</v>
      </c>
      <c r="D11" s="32">
        <v>2022</v>
      </c>
      <c r="E11" s="33">
        <f>INDEX('13 - Electrical Readings'!$C$8:$C$964,1+(2*(ROWS(A$1:A10)-1)))</f>
        <v>5</v>
      </c>
      <c r="F11" s="33">
        <f>INDEX('13 - Electrical Readings'!$D$6:$D$964,1+(2*(ROWS(A$1:A11)-1)))</f>
        <v>13788</v>
      </c>
      <c r="G11" s="32">
        <f>INDEX('13 - Electrical Readings'!$E$6:$E$964,1+(2*(ROWS(A$1:A11)-1)))</f>
        <v>19334</v>
      </c>
      <c r="H11" s="32">
        <f>INDEX('13 - Electrical Readings'!$F$6:$F$964,1+(2*(ROWS(A$1:A11)-1)))</f>
        <v>18215</v>
      </c>
      <c r="I11" s="33">
        <f>INDEX('13 - Electrical Readings'!$G$6:$G$964,1+(2*(ROWS(A$1:A11)-1)))</f>
        <v>15</v>
      </c>
      <c r="J11" s="32">
        <f>INDEX('13 - Electrical Readings'!$I$6:$I$964,1+(2*(ROWS(A$1:A11)-1)))</f>
        <v>2555</v>
      </c>
      <c r="K11" s="32">
        <f>INDEX('13 - Electrical Readings'!$J$6:$J$964,1+(2*(ROWS(B$1:B11)-1)))</f>
        <v>9127</v>
      </c>
      <c r="L11" s="32">
        <f>INDEX('13 - Electrical Readings'!$K$6:$K$964,1+(2*(ROWS(C$1:C11)-1)))</f>
        <v>3200</v>
      </c>
      <c r="M11" s="32">
        <f>INDEX('13 - Electrical Readings'!$L$6:$L$964,1+(2*(ROWS(D$1:D11)-1)))</f>
        <v>4420</v>
      </c>
      <c r="N11" s="32">
        <f>INDEX('13 - Electrical Readings'!$M$6:$M$964,1+(2*(ROWS(E$1:E11)-1)))</f>
        <v>10801</v>
      </c>
      <c r="O11" s="33">
        <f>INDEX('13 - Electrical Readings'!$N$6:$N$964,1+(2*(ROWS(E$1:E11)-1)))</f>
        <v>8584</v>
      </c>
      <c r="P11" s="33">
        <f>INDEX('13 - Electrical Readings'!$O$6:$O$964,1+(2*(ROWS(E$1:E11)-1)))</f>
        <v>3883</v>
      </c>
      <c r="Q11" s="33">
        <f>INDEX('13 - Electrical Readings'!$P$6:$P$964,1+(2*(ROWS(E$1:E11)-1)))</f>
        <v>2950</v>
      </c>
      <c r="R11" s="33">
        <f>INDEX('9 - Water Readings'!$C$8:$C$968,1+(2*(ROWS(A$1:A10)-1)))</f>
        <v>0</v>
      </c>
      <c r="S11" s="33">
        <f>INDEX('9 - Water Readings'!$D$8:$D$967,1+(2*(ROWS(A$1:A10)-1)))</f>
        <v>0</v>
      </c>
      <c r="T11" s="33">
        <f>INDEX('9 - Water Readings'!$E$8:$E$968,1+(2*(ROWS(A$1:A10)-1)))</f>
        <v>0</v>
      </c>
      <c r="U11" s="33">
        <f>INDEX('9 - Water Readings'!$G$8:$G$967,1+(2*(ROWS(A$1:A10)-1)))</f>
        <v>112</v>
      </c>
      <c r="V11" s="33">
        <f>INDEX('9 - Water Readings'!$H$8:$H$968,1+(2*(ROWS(A$1:A10)-1)))</f>
        <v>14</v>
      </c>
      <c r="W11" s="33">
        <f>INDEX('9 - Water Readings'!$I$8:$I$968,1+(2*(ROWS(A$1:A10)-1)))</f>
        <v>0</v>
      </c>
      <c r="X11" s="33">
        <f>INDEX('9 - Water Readings'!$J$8:$J$968,1+(2*(ROWS(A$1:A10)-1)))</f>
        <v>192</v>
      </c>
      <c r="Y11" s="33">
        <f>INDEX('9 - Water Readings'!$K$8:$K$968,1+(2*(ROWS(A$1:A10)-1)))</f>
        <v>31</v>
      </c>
      <c r="Z11" s="33">
        <f>INDEX('9 - Water Readings'!$L$8:$L$968,1+(2*(ROWS(A$1:A10)-1)))</f>
        <v>42</v>
      </c>
      <c r="AA11" s="34">
        <f>'9 - Water Readings'!Q16</f>
        <v>91</v>
      </c>
      <c r="AB11" s="32">
        <f>'9 - Water Readings'!R16</f>
        <v>342</v>
      </c>
      <c r="AC11">
        <f>'9 - Water Readings'!S16</f>
        <v>16.899999999999999</v>
      </c>
    </row>
    <row r="12" spans="1:29" x14ac:dyDescent="0.25">
      <c r="A12" s="35" t="s">
        <v>11</v>
      </c>
      <c r="B12" s="35">
        <f t="shared" si="0"/>
        <v>11</v>
      </c>
      <c r="C12" s="35">
        <v>8</v>
      </c>
      <c r="D12" s="32">
        <v>2022</v>
      </c>
      <c r="E12" s="33">
        <f>INDEX('13 - Electrical Readings'!$C$8:$C$964,1+(2*(ROWS(A$1:A11)-1)))</f>
        <v>8194</v>
      </c>
      <c r="F12" s="33">
        <f>INDEX('13 - Electrical Readings'!$D$6:$D$964,1+(2*(ROWS(A$1:A12)-1)))</f>
        <v>13829</v>
      </c>
      <c r="G12" s="32">
        <f>INDEX('13 - Electrical Readings'!$E$6:$E$964,1+(2*(ROWS(A$1:A12)-1)))</f>
        <v>20357</v>
      </c>
      <c r="H12" s="32">
        <f>INDEX('13 - Electrical Readings'!$F$6:$F$964,1+(2*(ROWS(A$1:A12)-1)))</f>
        <v>18252</v>
      </c>
      <c r="I12" s="33">
        <f>INDEX('13 - Electrical Readings'!$G$6:$G$964,1+(2*(ROWS(A$1:A12)-1)))</f>
        <v>14</v>
      </c>
      <c r="J12" s="32">
        <f>INDEX('13 - Electrical Readings'!$I$6:$I$964,1+(2*(ROWS(A$1:A12)-1)))</f>
        <v>2523</v>
      </c>
      <c r="K12" s="32">
        <f>INDEX('13 - Electrical Readings'!$J$6:$J$964,1+(2*(ROWS(B$1:B12)-1)))</f>
        <v>9161</v>
      </c>
      <c r="L12" s="32">
        <f>INDEX('13 - Electrical Readings'!$K$6:$K$964,1+(2*(ROWS(C$1:C12)-1)))</f>
        <v>3186</v>
      </c>
      <c r="M12" s="32">
        <f>INDEX('13 - Electrical Readings'!$L$6:$L$964,1+(2*(ROWS(D$1:D12)-1)))</f>
        <v>4403</v>
      </c>
      <c r="N12" s="32">
        <f>INDEX('13 - Electrical Readings'!$M$6:$M$964,1+(2*(ROWS(E$1:E12)-1)))</f>
        <v>9980</v>
      </c>
      <c r="O12" s="33">
        <f>INDEX('13 - Electrical Readings'!$N$6:$N$964,1+(2*(ROWS(E$1:E12)-1)))</f>
        <v>8601</v>
      </c>
      <c r="P12" s="33">
        <f>INDEX('13 - Electrical Readings'!$O$6:$O$964,1+(2*(ROWS(E$1:E12)-1)))</f>
        <v>3966</v>
      </c>
      <c r="Q12" s="33">
        <f>INDEX('13 - Electrical Readings'!$P$6:$P$964,1+(2*(ROWS(E$1:E12)-1)))</f>
        <v>2940</v>
      </c>
      <c r="R12" s="33">
        <f>INDEX('9 - Water Readings'!$C$8:$C$968,1+(2*(ROWS(A$1:A11)-1)))</f>
        <v>0</v>
      </c>
      <c r="S12" s="33">
        <f>INDEX('9 - Water Readings'!$D$8:$D$967,1+(2*(ROWS(A$1:A11)-1)))</f>
        <v>0</v>
      </c>
      <c r="T12" s="33">
        <f>INDEX('9 - Water Readings'!$E$8:$E$968,1+(2*(ROWS(A$1:A11)-1)))</f>
        <v>0</v>
      </c>
      <c r="U12" s="33">
        <f>INDEX('9 - Water Readings'!$G$8:$G$967,1+(2*(ROWS(A$1:A11)-1)))</f>
        <v>112</v>
      </c>
      <c r="V12" s="33">
        <f>INDEX('9 - Water Readings'!$H$8:$H$968,1+(2*(ROWS(A$1:A11)-1)))</f>
        <v>20</v>
      </c>
      <c r="W12" s="33">
        <f>INDEX('9 - Water Readings'!$I$8:$I$968,1+(2*(ROWS(A$1:A11)-1)))</f>
        <v>0</v>
      </c>
      <c r="X12" s="33">
        <f>INDEX('9 - Water Readings'!$J$8:$J$968,1+(2*(ROWS(A$1:A11)-1)))</f>
        <v>234</v>
      </c>
      <c r="Y12" s="33">
        <f>INDEX('9 - Water Readings'!$K$8:$K$968,1+(2*(ROWS(A$1:A11)-1)))</f>
        <v>31</v>
      </c>
      <c r="Z12" s="33">
        <f>INDEX('9 - Water Readings'!$L$8:$L$968,1+(2*(ROWS(A$1:A11)-1)))</f>
        <v>47</v>
      </c>
      <c r="AA12" s="34">
        <f>'9 - Water Readings'!Q17</f>
        <v>93</v>
      </c>
      <c r="AB12" s="32">
        <f>'9 - Water Readings'!R17</f>
        <v>358</v>
      </c>
      <c r="AC12">
        <f>'9 - Water Readings'!S17</f>
        <v>15.8</v>
      </c>
    </row>
    <row r="13" spans="1:29" x14ac:dyDescent="0.25">
      <c r="A13" s="35" t="s">
        <v>11</v>
      </c>
      <c r="B13" s="35">
        <f t="shared" si="0"/>
        <v>12</v>
      </c>
      <c r="C13" s="35">
        <v>8</v>
      </c>
      <c r="D13" s="32">
        <v>2022</v>
      </c>
      <c r="E13" s="33">
        <f>INDEX('13 - Electrical Readings'!$C$8:$C$964,1+(2*(ROWS(A$1:A12)-1)))</f>
        <v>4453</v>
      </c>
      <c r="F13" s="33">
        <f>INDEX('13 - Electrical Readings'!$D$6:$D$964,1+(2*(ROWS(A$1:A13)-1)))</f>
        <v>13773</v>
      </c>
      <c r="G13" s="32">
        <f>INDEX('13 - Electrical Readings'!$E$6:$E$964,1+(2*(ROWS(A$1:A13)-1)))</f>
        <v>19843</v>
      </c>
      <c r="H13" s="32">
        <f>INDEX('13 - Electrical Readings'!$F$6:$F$964,1+(2*(ROWS(A$1:A13)-1)))</f>
        <v>18200</v>
      </c>
      <c r="I13" s="33">
        <f>INDEX('13 - Electrical Readings'!$G$6:$G$964,1+(2*(ROWS(A$1:A13)-1)))</f>
        <v>12</v>
      </c>
      <c r="J13" s="32">
        <f>INDEX('13 - Electrical Readings'!$I$6:$I$964,1+(2*(ROWS(A$1:A13)-1)))</f>
        <v>2537</v>
      </c>
      <c r="K13" s="32">
        <f>INDEX('13 - Electrical Readings'!$J$6:$J$964,1+(2*(ROWS(B$1:B13)-1)))</f>
        <v>9171</v>
      </c>
      <c r="L13" s="32">
        <f>INDEX('13 - Electrical Readings'!$K$6:$K$964,1+(2*(ROWS(C$1:C13)-1)))</f>
        <v>3490</v>
      </c>
      <c r="M13" s="32">
        <f>INDEX('13 - Electrical Readings'!$L$6:$L$964,1+(2*(ROWS(D$1:D13)-1)))</f>
        <v>4356</v>
      </c>
      <c r="N13" s="32">
        <f>INDEX('13 - Electrical Readings'!$M$6:$M$964,1+(2*(ROWS(E$1:E13)-1)))</f>
        <v>11068</v>
      </c>
      <c r="O13" s="33">
        <f>INDEX('13 - Electrical Readings'!$N$6:$N$964,1+(2*(ROWS(E$1:E13)-1)))</f>
        <v>8726</v>
      </c>
      <c r="P13" s="33">
        <f>INDEX('13 - Electrical Readings'!$O$6:$O$964,1+(2*(ROWS(E$1:E13)-1)))</f>
        <v>4075</v>
      </c>
      <c r="Q13" s="33">
        <f>INDEX('13 - Electrical Readings'!$P$6:$P$964,1+(2*(ROWS(E$1:E13)-1)))</f>
        <v>3230</v>
      </c>
      <c r="R13" s="33">
        <f>INDEX('9 - Water Readings'!$C$8:$C$968,1+(2*(ROWS(A$1:A12)-1)))</f>
        <v>0</v>
      </c>
      <c r="S13" s="33">
        <f>INDEX('9 - Water Readings'!$D$8:$D$967,1+(2*(ROWS(A$1:A12)-1)))</f>
        <v>0</v>
      </c>
      <c r="T13" s="33">
        <f>INDEX('9 - Water Readings'!$E$8:$E$968,1+(2*(ROWS(A$1:A12)-1)))</f>
        <v>0</v>
      </c>
      <c r="U13" s="33">
        <f>INDEX('9 - Water Readings'!$G$8:$G$967,1+(2*(ROWS(A$1:A12)-1)))</f>
        <v>113</v>
      </c>
      <c r="V13" s="33">
        <f>INDEX('9 - Water Readings'!$H$8:$H$968,1+(2*(ROWS(A$1:A12)-1)))</f>
        <v>15</v>
      </c>
      <c r="W13" s="33">
        <f>INDEX('9 - Water Readings'!$I$8:$I$968,1+(2*(ROWS(A$1:A12)-1)))</f>
        <v>0</v>
      </c>
      <c r="X13" s="33">
        <f>INDEX('9 - Water Readings'!$J$8:$J$968,1+(2*(ROWS(A$1:A12)-1)))</f>
        <v>309</v>
      </c>
      <c r="Y13" s="33">
        <f>INDEX('9 - Water Readings'!$K$8:$K$968,1+(2*(ROWS(A$1:A12)-1)))</f>
        <v>40</v>
      </c>
      <c r="Z13" s="33">
        <f>INDEX('9 - Water Readings'!$L$8:$L$968,1+(2*(ROWS(A$1:A12)-1)))</f>
        <v>48</v>
      </c>
      <c r="AA13" s="34">
        <f>'9 - Water Readings'!Q18</f>
        <v>123</v>
      </c>
      <c r="AB13" s="32">
        <f>'9 - Water Readings'!R18</f>
        <v>558</v>
      </c>
      <c r="AC13">
        <f>'9 - Water Readings'!S18</f>
        <v>17.100000000000001</v>
      </c>
    </row>
    <row r="14" spans="1:29" x14ac:dyDescent="0.25">
      <c r="A14" s="35" t="s">
        <v>11</v>
      </c>
      <c r="B14" s="35">
        <f t="shared" si="0"/>
        <v>13</v>
      </c>
      <c r="C14" s="35">
        <v>8</v>
      </c>
      <c r="D14" s="32">
        <v>2022</v>
      </c>
      <c r="E14" s="33">
        <f>INDEX('13 - Electrical Readings'!$C$8:$C$964,1+(2*(ROWS(A$1:A13)-1)))</f>
        <v>1711</v>
      </c>
      <c r="F14" s="33">
        <f>INDEX('13 - Electrical Readings'!$D$6:$D$964,1+(2*(ROWS(A$1:A14)-1)))</f>
        <v>14592</v>
      </c>
      <c r="G14" s="32">
        <f>INDEX('13 - Electrical Readings'!$E$6:$E$964,1+(2*(ROWS(A$1:A14)-1)))</f>
        <v>20237</v>
      </c>
      <c r="H14" s="32">
        <f>INDEX('13 - Electrical Readings'!$F$6:$F$964,1+(2*(ROWS(A$1:A14)-1)))</f>
        <v>18987</v>
      </c>
      <c r="I14" s="33">
        <f>INDEX('13 - Electrical Readings'!$G$6:$G$964,1+(2*(ROWS(A$1:A14)-1)))</f>
        <v>15</v>
      </c>
      <c r="J14" s="32">
        <f>INDEX('13 - Electrical Readings'!$I$6:$I$964,1+(2*(ROWS(A$1:A14)-1)))</f>
        <v>2555</v>
      </c>
      <c r="K14" s="32">
        <f>INDEX('13 - Electrical Readings'!$J$6:$J$964,1+(2*(ROWS(B$1:B14)-1)))</f>
        <v>8953</v>
      </c>
      <c r="L14" s="32">
        <f>INDEX('13 - Electrical Readings'!$K$6:$K$964,1+(2*(ROWS(C$1:C14)-1)))</f>
        <v>3244</v>
      </c>
      <c r="M14" s="32">
        <f>INDEX('13 - Electrical Readings'!$L$6:$L$964,1+(2*(ROWS(D$1:D14)-1)))</f>
        <v>4327</v>
      </c>
      <c r="N14" s="32">
        <f>INDEX('13 - Electrical Readings'!$M$6:$M$964,1+(2*(ROWS(E$1:E14)-1)))</f>
        <v>10912</v>
      </c>
      <c r="O14" s="33">
        <f>INDEX('13 - Electrical Readings'!$N$6:$N$964,1+(2*(ROWS(E$1:E14)-1)))</f>
        <v>8634</v>
      </c>
      <c r="P14" s="33">
        <f>INDEX('13 - Electrical Readings'!$O$6:$O$964,1+(2*(ROWS(E$1:E14)-1)))</f>
        <v>4090</v>
      </c>
      <c r="Q14" s="33">
        <f>INDEX('13 - Electrical Readings'!$P$6:$P$964,1+(2*(ROWS(E$1:E14)-1)))</f>
        <v>2800</v>
      </c>
      <c r="R14" s="33">
        <f>INDEX('9 - Water Readings'!$C$8:$C$968,1+(2*(ROWS(A$1:A13)-1)))</f>
        <v>34</v>
      </c>
      <c r="S14" s="33">
        <f>INDEX('9 - Water Readings'!$D$8:$D$967,1+(2*(ROWS(A$1:A13)-1)))</f>
        <v>0</v>
      </c>
      <c r="T14" s="33">
        <f>INDEX('9 - Water Readings'!$E$8:$E$968,1+(2*(ROWS(A$1:A13)-1)))</f>
        <v>0</v>
      </c>
      <c r="U14" s="33">
        <f>INDEX('9 - Water Readings'!$G$8:$G$967,1+(2*(ROWS(A$1:A13)-1)))</f>
        <v>119</v>
      </c>
      <c r="V14" s="33">
        <f>INDEX('9 - Water Readings'!$H$8:$H$968,1+(2*(ROWS(A$1:A13)-1)))</f>
        <v>15</v>
      </c>
      <c r="W14" s="33">
        <f>INDEX('9 - Water Readings'!$I$8:$I$968,1+(2*(ROWS(A$1:A13)-1)))</f>
        <v>0</v>
      </c>
      <c r="X14" s="33">
        <f>INDEX('9 - Water Readings'!$J$8:$J$968,1+(2*(ROWS(A$1:A13)-1)))</f>
        <v>282</v>
      </c>
      <c r="Y14" s="33">
        <f>INDEX('9 - Water Readings'!$K$8:$K$968,1+(2*(ROWS(A$1:A13)-1)))</f>
        <v>36</v>
      </c>
      <c r="Z14" s="33">
        <f>INDEX('9 - Water Readings'!$L$8:$L$968,1+(2*(ROWS(A$1:A13)-1)))</f>
        <v>45</v>
      </c>
      <c r="AA14" s="34">
        <f>'9 - Water Readings'!Q19</f>
        <v>52</v>
      </c>
      <c r="AB14" s="32">
        <f>'9 - Water Readings'!R19</f>
        <v>172</v>
      </c>
      <c r="AC14">
        <f>'9 - Water Readings'!S19</f>
        <v>15.4</v>
      </c>
    </row>
    <row r="15" spans="1:29" x14ac:dyDescent="0.25">
      <c r="A15" s="35" t="s">
        <v>11</v>
      </c>
      <c r="B15" s="35">
        <f t="shared" si="0"/>
        <v>14</v>
      </c>
      <c r="C15" s="35">
        <v>8</v>
      </c>
      <c r="D15" s="32">
        <v>2022</v>
      </c>
      <c r="E15" s="33">
        <f>INDEX('13 - Electrical Readings'!$C$8:$C$964,1+(2*(ROWS(A$1:A14)-1)))</f>
        <v>13628</v>
      </c>
      <c r="F15" s="33">
        <f>INDEX('13 - Electrical Readings'!$D$6:$D$964,1+(2*(ROWS(A$1:A15)-1)))</f>
        <v>13181</v>
      </c>
      <c r="G15" s="32">
        <f>INDEX('13 - Electrical Readings'!$E$6:$E$964,1+(2*(ROWS(A$1:A15)-1)))</f>
        <v>18717</v>
      </c>
      <c r="H15" s="32">
        <f>INDEX('13 - Electrical Readings'!$F$6:$F$964,1+(2*(ROWS(A$1:A15)-1)))</f>
        <v>8482</v>
      </c>
      <c r="I15" s="33">
        <f>INDEX('13 - Electrical Readings'!$G$6:$G$964,1+(2*(ROWS(A$1:A15)-1)))</f>
        <v>13</v>
      </c>
      <c r="J15" s="32">
        <f>INDEX('13 - Electrical Readings'!$I$6:$I$964,1+(2*(ROWS(A$1:A15)-1)))</f>
        <v>2536</v>
      </c>
      <c r="K15" s="32">
        <f>INDEX('13 - Electrical Readings'!$J$6:$J$964,1+(2*(ROWS(B$1:B15)-1)))</f>
        <v>8991</v>
      </c>
      <c r="L15" s="32">
        <f>INDEX('13 - Electrical Readings'!$K$6:$K$964,1+(2*(ROWS(C$1:C15)-1)))</f>
        <v>3298</v>
      </c>
      <c r="M15" s="32">
        <f>INDEX('13 - Electrical Readings'!$L$6:$L$964,1+(2*(ROWS(D$1:D15)-1)))</f>
        <v>4257</v>
      </c>
      <c r="N15" s="32">
        <f>INDEX('13 - Electrical Readings'!$M$6:$M$964,1+(2*(ROWS(E$1:E15)-1)))</f>
        <v>10501</v>
      </c>
      <c r="O15" s="33">
        <f>INDEX('13 - Electrical Readings'!$N$6:$N$964,1+(2*(ROWS(E$1:E15)-1)))</f>
        <v>8652</v>
      </c>
      <c r="P15" s="33">
        <f>INDEX('13 - Electrical Readings'!$O$6:$O$964,1+(2*(ROWS(E$1:E15)-1)))</f>
        <v>4134</v>
      </c>
      <c r="Q15" s="33">
        <f>INDEX('13 - Electrical Readings'!$P$6:$P$964,1+(2*(ROWS(E$1:E15)-1)))</f>
        <v>2510</v>
      </c>
      <c r="R15" s="33">
        <f>INDEX('9 - Water Readings'!$C$8:$C$968,1+(2*(ROWS(A$1:A14)-1)))</f>
        <v>0</v>
      </c>
      <c r="S15" s="33">
        <f>INDEX('9 - Water Readings'!$D$8:$D$967,1+(2*(ROWS(A$1:A14)-1)))</f>
        <v>0</v>
      </c>
      <c r="T15" s="33">
        <f>INDEX('9 - Water Readings'!$E$8:$E$968,1+(2*(ROWS(A$1:A14)-1)))</f>
        <v>0</v>
      </c>
      <c r="U15" s="33">
        <f>INDEX('9 - Water Readings'!$G$8:$G$967,1+(2*(ROWS(A$1:A14)-1)))</f>
        <v>120</v>
      </c>
      <c r="V15" s="33">
        <f>INDEX('9 - Water Readings'!$H$8:$H$968,1+(2*(ROWS(A$1:A14)-1)))</f>
        <v>14</v>
      </c>
      <c r="W15" s="33">
        <f>INDEX('9 - Water Readings'!$I$8:$I$968,1+(2*(ROWS(A$1:A14)-1)))</f>
        <v>0</v>
      </c>
      <c r="X15" s="33">
        <f>INDEX('9 - Water Readings'!$J$8:$J$968,1+(2*(ROWS(A$1:A14)-1)))</f>
        <v>185</v>
      </c>
      <c r="Y15" s="33">
        <f>INDEX('9 - Water Readings'!$K$8:$K$968,1+(2*(ROWS(A$1:A14)-1)))</f>
        <v>25</v>
      </c>
      <c r="Z15" s="33">
        <f>INDEX('9 - Water Readings'!$L$8:$L$968,1+(2*(ROWS(A$1:A14)-1)))</f>
        <v>40</v>
      </c>
      <c r="AA15" s="34">
        <f>'9 - Water Readings'!Q20</f>
        <v>52</v>
      </c>
      <c r="AB15" s="32">
        <f>'9 - Water Readings'!R20</f>
        <v>160</v>
      </c>
      <c r="AC15">
        <f>'9 - Water Readings'!S20</f>
        <v>16.3</v>
      </c>
    </row>
    <row r="16" spans="1:29" x14ac:dyDescent="0.25">
      <c r="A16" s="35" t="s">
        <v>11</v>
      </c>
      <c r="B16" s="35">
        <f t="shared" si="0"/>
        <v>15</v>
      </c>
      <c r="C16" s="35">
        <v>8</v>
      </c>
      <c r="D16" s="32">
        <v>2022</v>
      </c>
      <c r="E16" s="33">
        <f>INDEX('13 - Electrical Readings'!$C$8:$C$964,1+(2*(ROWS(A$1:A15)-1)))</f>
        <v>18949</v>
      </c>
      <c r="F16" s="33">
        <f>INDEX('13 - Electrical Readings'!$D$6:$D$964,1+(2*(ROWS(A$1:A16)-1)))</f>
        <v>13226</v>
      </c>
      <c r="G16" s="32">
        <f>INDEX('13 - Electrical Readings'!$E$6:$E$964,1+(2*(ROWS(A$1:A16)-1)))</f>
        <v>18812</v>
      </c>
      <c r="H16" s="32">
        <f>INDEX('13 - Electrical Readings'!$F$6:$F$964,1+(2*(ROWS(A$1:A16)-1)))</f>
        <v>5175</v>
      </c>
      <c r="I16" s="33">
        <f>INDEX('13 - Electrical Readings'!$G$6:$G$964,1+(2*(ROWS(A$1:A16)-1)))</f>
        <v>13</v>
      </c>
      <c r="J16" s="32">
        <f>INDEX('13 - Electrical Readings'!$I$6:$I$964,1+(2*(ROWS(A$1:A16)-1)))</f>
        <v>2548</v>
      </c>
      <c r="K16" s="32">
        <f>INDEX('13 - Electrical Readings'!$J$6:$J$964,1+(2*(ROWS(B$1:B16)-1)))</f>
        <v>9069</v>
      </c>
      <c r="L16" s="32">
        <f>INDEX('13 - Electrical Readings'!$K$6:$K$964,1+(2*(ROWS(C$1:C16)-1)))</f>
        <v>3223</v>
      </c>
      <c r="M16" s="32">
        <f>INDEX('13 - Electrical Readings'!$L$6:$L$964,1+(2*(ROWS(D$1:D16)-1)))</f>
        <v>4220</v>
      </c>
      <c r="N16" s="32">
        <f>INDEX('13 - Electrical Readings'!$M$6:$M$964,1+(2*(ROWS(E$1:E16)-1)))</f>
        <v>10936</v>
      </c>
      <c r="O16" s="33">
        <f>INDEX('13 - Electrical Readings'!$N$6:$N$964,1+(2*(ROWS(E$1:E16)-1)))</f>
        <v>8454</v>
      </c>
      <c r="P16" s="33">
        <f>INDEX('13 - Electrical Readings'!$O$6:$O$964,1+(2*(ROWS(E$1:E16)-1)))</f>
        <v>4332</v>
      </c>
      <c r="Q16" s="33">
        <f>INDEX('13 - Electrical Readings'!$P$6:$P$964,1+(2*(ROWS(E$1:E16)-1)))</f>
        <v>2860</v>
      </c>
      <c r="R16" s="33">
        <f>INDEX('9 - Water Readings'!$C$8:$C$968,1+(2*(ROWS(A$1:A15)-1)))</f>
        <v>0</v>
      </c>
      <c r="S16" s="33">
        <f>INDEX('9 - Water Readings'!$D$8:$D$967,1+(2*(ROWS(A$1:A15)-1)))</f>
        <v>0</v>
      </c>
      <c r="T16" s="33">
        <f>INDEX('9 - Water Readings'!$E$8:$E$968,1+(2*(ROWS(A$1:A15)-1)))</f>
        <v>0</v>
      </c>
      <c r="U16" s="33">
        <f>INDEX('9 - Water Readings'!$G$8:$G$967,1+(2*(ROWS(A$1:A15)-1)))</f>
        <v>123</v>
      </c>
      <c r="V16" s="33">
        <f>INDEX('9 - Water Readings'!$H$8:$H$968,1+(2*(ROWS(A$1:A15)-1)))</f>
        <v>11</v>
      </c>
      <c r="W16" s="33">
        <f>INDEX('9 - Water Readings'!$I$8:$I$968,1+(2*(ROWS(A$1:A15)-1)))</f>
        <v>0</v>
      </c>
      <c r="X16" s="33">
        <f>INDEX('9 - Water Readings'!$J$8:$J$968,1+(2*(ROWS(A$1:A15)-1)))</f>
        <v>171</v>
      </c>
      <c r="Y16" s="33">
        <f>INDEX('9 - Water Readings'!$K$8:$K$968,1+(2*(ROWS(A$1:A15)-1)))</f>
        <v>24</v>
      </c>
      <c r="Z16" s="33">
        <f>INDEX('9 - Water Readings'!$L$8:$L$968,1+(2*(ROWS(A$1:A15)-1)))</f>
        <v>125</v>
      </c>
      <c r="AA16" s="34">
        <f>'9 - Water Readings'!Q21</f>
        <v>63</v>
      </c>
      <c r="AB16" s="32">
        <f>'9 - Water Readings'!R21</f>
        <v>178</v>
      </c>
      <c r="AC16">
        <f>'9 - Water Readings'!S21</f>
        <v>16.2</v>
      </c>
    </row>
    <row r="17" spans="1:29" x14ac:dyDescent="0.25">
      <c r="A17" s="35" t="s">
        <v>11</v>
      </c>
      <c r="B17" s="35">
        <f t="shared" si="0"/>
        <v>16</v>
      </c>
      <c r="C17" s="35">
        <v>8</v>
      </c>
      <c r="D17" s="32">
        <v>2022</v>
      </c>
      <c r="E17" s="33">
        <f>INDEX('13 - Electrical Readings'!$C$8:$C$964,1+(2*(ROWS(A$1:A16)-1)))</f>
        <v>18597</v>
      </c>
      <c r="F17" s="33">
        <f>INDEX('13 - Electrical Readings'!$D$6:$D$964,1+(2*(ROWS(A$1:A17)-1)))</f>
        <v>13091</v>
      </c>
      <c r="G17" s="32">
        <f>INDEX('13 - Electrical Readings'!$E$6:$E$964,1+(2*(ROWS(A$1:A17)-1)))</f>
        <v>18627</v>
      </c>
      <c r="H17" s="32">
        <f>INDEX('13 - Electrical Readings'!$F$6:$F$964,1+(2*(ROWS(A$1:A17)-1)))</f>
        <v>5134</v>
      </c>
      <c r="I17" s="33">
        <f>INDEX('13 - Electrical Readings'!$G$6:$G$964,1+(2*(ROWS(A$1:A17)-1)))</f>
        <v>15</v>
      </c>
      <c r="J17" s="32">
        <f>INDEX('13 - Electrical Readings'!$I$6:$I$964,1+(2*(ROWS(A$1:A17)-1)))</f>
        <v>2563</v>
      </c>
      <c r="K17" s="32">
        <f>INDEX('13 - Electrical Readings'!$J$6:$J$964,1+(2*(ROWS(B$1:B17)-1)))</f>
        <v>9361</v>
      </c>
      <c r="L17" s="32">
        <f>INDEX('13 - Electrical Readings'!$K$6:$K$964,1+(2*(ROWS(C$1:C17)-1)))</f>
        <v>3372</v>
      </c>
      <c r="M17" s="32">
        <f>INDEX('13 - Electrical Readings'!$L$6:$L$964,1+(2*(ROWS(D$1:D17)-1)))</f>
        <v>4238</v>
      </c>
      <c r="N17" s="32">
        <f>INDEX('13 - Electrical Readings'!$M$6:$M$964,1+(2*(ROWS(E$1:E17)-1)))</f>
        <v>11030</v>
      </c>
      <c r="O17" s="33">
        <f>INDEX('13 - Electrical Readings'!$N$6:$N$964,1+(2*(ROWS(E$1:E17)-1)))</f>
        <v>8615</v>
      </c>
      <c r="P17" s="33">
        <f>INDEX('13 - Electrical Readings'!$O$6:$O$964,1+(2*(ROWS(E$1:E17)-1)))</f>
        <v>4123</v>
      </c>
      <c r="Q17" s="33">
        <f>INDEX('13 - Electrical Readings'!$P$6:$P$964,1+(2*(ROWS(E$1:E17)-1)))</f>
        <v>2720</v>
      </c>
      <c r="R17" s="33">
        <f>INDEX('9 - Water Readings'!$C$8:$C$968,1+(2*(ROWS(A$1:A16)-1)))</f>
        <v>0</v>
      </c>
      <c r="S17" s="33">
        <f>INDEX('9 - Water Readings'!$D$8:$D$967,1+(2*(ROWS(A$1:A16)-1)))</f>
        <v>1</v>
      </c>
      <c r="T17" s="33">
        <f>INDEX('9 - Water Readings'!$E$8:$E$968,1+(2*(ROWS(A$1:A16)-1)))</f>
        <v>0</v>
      </c>
      <c r="U17" s="33">
        <f>INDEX('9 - Water Readings'!$G$8:$G$967,1+(2*(ROWS(A$1:A16)-1)))</f>
        <v>114</v>
      </c>
      <c r="V17" s="33">
        <f>INDEX('9 - Water Readings'!$H$8:$H$968,1+(2*(ROWS(A$1:A16)-1)))</f>
        <v>13</v>
      </c>
      <c r="W17" s="33">
        <f>INDEX('9 - Water Readings'!$I$8:$I$968,1+(2*(ROWS(A$1:A16)-1)))</f>
        <v>0</v>
      </c>
      <c r="X17" s="33">
        <f>INDEX('9 - Water Readings'!$J$8:$J$968,1+(2*(ROWS(A$1:A16)-1)))</f>
        <v>180</v>
      </c>
      <c r="Y17" s="33">
        <f>INDEX('9 - Water Readings'!$K$8:$K$968,1+(2*(ROWS(A$1:A16)-1)))</f>
        <v>27</v>
      </c>
      <c r="Z17" s="33">
        <f>INDEX('9 - Water Readings'!$L$8:$L$968,1+(2*(ROWS(A$1:A16)-1)))</f>
        <v>39</v>
      </c>
      <c r="AA17" s="34">
        <f>'9 - Water Readings'!Q22</f>
        <v>60</v>
      </c>
      <c r="AB17" s="32">
        <f>'9 - Water Readings'!R22</f>
        <v>200</v>
      </c>
      <c r="AC17">
        <f>'9 - Water Readings'!S22</f>
        <v>16.5</v>
      </c>
    </row>
    <row r="18" spans="1:29" x14ac:dyDescent="0.25">
      <c r="A18" s="35" t="s">
        <v>11</v>
      </c>
      <c r="B18" s="35">
        <f t="shared" si="0"/>
        <v>17</v>
      </c>
      <c r="C18" s="35">
        <v>8</v>
      </c>
      <c r="D18" s="32">
        <v>2022</v>
      </c>
      <c r="E18" s="33">
        <f>INDEX('13 - Electrical Readings'!$C$8:$C$964,1+(2*(ROWS(A$1:A17)-1)))</f>
        <v>19631</v>
      </c>
      <c r="F18" s="33">
        <f>INDEX('13 - Electrical Readings'!$D$6:$D$964,1+(2*(ROWS(A$1:A18)-1)))</f>
        <v>13706</v>
      </c>
      <c r="G18" s="32">
        <f>INDEX('13 - Electrical Readings'!$E$6:$E$964,1+(2*(ROWS(A$1:A18)-1)))</f>
        <v>19142</v>
      </c>
      <c r="H18" s="32">
        <f>INDEX('13 - Electrical Readings'!$F$6:$F$964,1+(2*(ROWS(A$1:A18)-1)))</f>
        <v>5107</v>
      </c>
      <c r="I18" s="33">
        <f>INDEX('13 - Electrical Readings'!$G$6:$G$964,1+(2*(ROWS(A$1:A18)-1)))</f>
        <v>17</v>
      </c>
      <c r="J18" s="32">
        <f>INDEX('13 - Electrical Readings'!$I$6:$I$964,1+(2*(ROWS(A$1:A18)-1)))</f>
        <v>2578</v>
      </c>
      <c r="K18" s="32">
        <f>INDEX('13 - Electrical Readings'!$J$6:$J$964,1+(2*(ROWS(B$1:B18)-1)))</f>
        <v>9245</v>
      </c>
      <c r="L18" s="32">
        <f>INDEX('13 - Electrical Readings'!$K$6:$K$964,1+(2*(ROWS(C$1:C18)-1)))</f>
        <v>3247</v>
      </c>
      <c r="M18" s="32">
        <f>INDEX('13 - Electrical Readings'!$L$6:$L$964,1+(2*(ROWS(D$1:D18)-1)))</f>
        <v>4304</v>
      </c>
      <c r="N18" s="32">
        <f>INDEX('13 - Electrical Readings'!$M$6:$M$964,1+(2*(ROWS(E$1:E18)-1)))</f>
        <v>10126</v>
      </c>
      <c r="O18" s="33">
        <f>INDEX('13 - Electrical Readings'!$N$6:$N$964,1+(2*(ROWS(E$1:E18)-1)))</f>
        <v>8633</v>
      </c>
      <c r="P18" s="33">
        <f>INDEX('13 - Electrical Readings'!$O$6:$O$964,1+(2*(ROWS(E$1:E18)-1)))</f>
        <v>4098</v>
      </c>
      <c r="Q18" s="33">
        <f>INDEX('13 - Electrical Readings'!$P$6:$P$964,1+(2*(ROWS(E$1:E18)-1)))</f>
        <v>2800</v>
      </c>
      <c r="R18" s="33">
        <f>INDEX('9 - Water Readings'!$C$8:$C$968,1+(2*(ROWS(A$1:A17)-1)))</f>
        <v>6</v>
      </c>
      <c r="S18" s="33">
        <f>INDEX('9 - Water Readings'!$D$8:$D$967,1+(2*(ROWS(A$1:A17)-1)))</f>
        <v>0</v>
      </c>
      <c r="T18" s="33">
        <f>INDEX('9 - Water Readings'!$E$8:$E$968,1+(2*(ROWS(A$1:A17)-1)))</f>
        <v>0</v>
      </c>
      <c r="U18" s="33">
        <f>INDEX('9 - Water Readings'!$G$8:$G$967,1+(2*(ROWS(A$1:A17)-1)))</f>
        <v>117</v>
      </c>
      <c r="V18" s="33">
        <f>INDEX('9 - Water Readings'!$H$8:$H$968,1+(2*(ROWS(A$1:A17)-1)))</f>
        <v>12</v>
      </c>
      <c r="W18" s="33">
        <f>INDEX('9 - Water Readings'!$I$8:$I$968,1+(2*(ROWS(A$1:A17)-1)))</f>
        <v>0</v>
      </c>
      <c r="X18" s="33">
        <f>INDEX('9 - Water Readings'!$J$8:$J$968,1+(2*(ROWS(A$1:A17)-1)))</f>
        <v>200</v>
      </c>
      <c r="Y18" s="33">
        <f>INDEX('9 - Water Readings'!$K$8:$K$968,1+(2*(ROWS(A$1:A17)-1)))</f>
        <v>26</v>
      </c>
      <c r="Z18" s="33">
        <f>INDEX('9 - Water Readings'!$L$8:$L$968,1+(2*(ROWS(A$1:A17)-1)))</f>
        <v>43</v>
      </c>
      <c r="AA18" s="34">
        <f>'9 - Water Readings'!Q23</f>
        <v>66</v>
      </c>
      <c r="AB18" s="32">
        <f>'9 - Water Readings'!R23</f>
        <v>248</v>
      </c>
      <c r="AC18">
        <f>'9 - Water Readings'!S23</f>
        <v>16.600000000000001</v>
      </c>
    </row>
    <row r="19" spans="1:29" x14ac:dyDescent="0.25">
      <c r="A19" s="35" t="s">
        <v>11</v>
      </c>
      <c r="B19" s="35">
        <f t="shared" si="0"/>
        <v>18</v>
      </c>
      <c r="C19" s="35">
        <v>8</v>
      </c>
      <c r="D19" s="32">
        <v>2022</v>
      </c>
      <c r="E19" s="33">
        <f>INDEX('13 - Electrical Readings'!$C$8:$C$964,1+(2*(ROWS(A$1:A18)-1)))</f>
        <v>20939</v>
      </c>
      <c r="F19" s="33">
        <f>INDEX('13 - Electrical Readings'!$D$6:$D$964,1+(2*(ROWS(A$1:A19)-1)))</f>
        <v>14567</v>
      </c>
      <c r="G19" s="32">
        <f>INDEX('13 - Electrical Readings'!$E$6:$E$964,1+(2*(ROWS(A$1:A19)-1)))</f>
        <v>20056</v>
      </c>
      <c r="H19" s="32">
        <f>INDEX('13 - Electrical Readings'!$F$6:$F$964,1+(2*(ROWS(A$1:A19)-1)))</f>
        <v>5209</v>
      </c>
      <c r="I19" s="33">
        <f>INDEX('13 - Electrical Readings'!$G$6:$G$964,1+(2*(ROWS(A$1:A19)-1)))</f>
        <v>14</v>
      </c>
      <c r="J19" s="32">
        <f>INDEX('13 - Electrical Readings'!$I$6:$I$964,1+(2*(ROWS(A$1:A19)-1)))</f>
        <v>2514</v>
      </c>
      <c r="K19" s="32">
        <f>INDEX('13 - Electrical Readings'!$J$6:$J$964,1+(2*(ROWS(B$1:B19)-1)))</f>
        <v>8899</v>
      </c>
      <c r="L19" s="32">
        <f>INDEX('13 - Electrical Readings'!$K$6:$K$964,1+(2*(ROWS(C$1:C19)-1)))</f>
        <v>3219</v>
      </c>
      <c r="M19" s="32">
        <f>INDEX('13 - Electrical Readings'!$L$6:$L$964,1+(2*(ROWS(D$1:D19)-1)))</f>
        <v>4363</v>
      </c>
      <c r="N19" s="32">
        <f>INDEX('13 - Electrical Readings'!$M$6:$M$964,1+(2*(ROWS(E$1:E19)-1)))</f>
        <v>10708</v>
      </c>
      <c r="O19" s="33">
        <f>INDEX('13 - Electrical Readings'!$N$6:$N$964,1+(2*(ROWS(E$1:E19)-1)))</f>
        <v>8747</v>
      </c>
      <c r="P19" s="33">
        <f>INDEX('13 - Electrical Readings'!$O$6:$O$964,1+(2*(ROWS(E$1:E19)-1)))</f>
        <v>4357</v>
      </c>
      <c r="Q19" s="33">
        <f>INDEX('13 - Electrical Readings'!$P$6:$P$964,1+(2*(ROWS(E$1:E19)-1)))</f>
        <v>2840</v>
      </c>
      <c r="R19" s="33">
        <f>INDEX('9 - Water Readings'!$C$8:$C$968,1+(2*(ROWS(A$1:A18)-1)))</f>
        <v>0</v>
      </c>
      <c r="S19" s="33">
        <f>INDEX('9 - Water Readings'!$D$8:$D$967,1+(2*(ROWS(A$1:A18)-1)))</f>
        <v>0</v>
      </c>
      <c r="T19" s="33">
        <f>INDEX('9 - Water Readings'!$E$8:$E$968,1+(2*(ROWS(A$1:A18)-1)))</f>
        <v>0</v>
      </c>
      <c r="U19" s="33">
        <f>INDEX('9 - Water Readings'!$G$8:$G$967,1+(2*(ROWS(A$1:A18)-1)))</f>
        <v>117</v>
      </c>
      <c r="V19" s="33">
        <f>INDEX('9 - Water Readings'!$H$8:$H$968,1+(2*(ROWS(A$1:A18)-1)))</f>
        <v>13</v>
      </c>
      <c r="W19" s="33">
        <f>INDEX('9 - Water Readings'!$I$8:$I$968,1+(2*(ROWS(A$1:A18)-1)))</f>
        <v>0</v>
      </c>
      <c r="X19" s="33">
        <f>INDEX('9 - Water Readings'!$J$8:$J$968,1+(2*(ROWS(A$1:A18)-1)))</f>
        <v>200</v>
      </c>
      <c r="Y19" s="33">
        <f>INDEX('9 - Water Readings'!$K$8:$K$968,1+(2*(ROWS(A$1:A18)-1)))</f>
        <v>30</v>
      </c>
      <c r="Z19" s="33">
        <f>INDEX('9 - Water Readings'!$L$8:$L$968,1+(2*(ROWS(A$1:A18)-1)))</f>
        <v>52</v>
      </c>
      <c r="AA19" s="34">
        <f>'9 - Water Readings'!Q24</f>
        <v>81</v>
      </c>
      <c r="AB19" s="32">
        <f>'9 - Water Readings'!R24</f>
        <v>326</v>
      </c>
      <c r="AC19">
        <f>'9 - Water Readings'!S24</f>
        <v>16.2</v>
      </c>
    </row>
    <row r="20" spans="1:29" x14ac:dyDescent="0.25">
      <c r="A20" s="35" t="s">
        <v>11</v>
      </c>
      <c r="B20" s="35">
        <f t="shared" si="0"/>
        <v>19</v>
      </c>
      <c r="C20" s="35">
        <v>8</v>
      </c>
      <c r="D20" s="32">
        <v>2022</v>
      </c>
      <c r="E20" s="33">
        <f>INDEX('13 - Electrical Readings'!$C$8:$C$964,1+(2*(ROWS(A$1:A19)-1)))</f>
        <v>19705</v>
      </c>
      <c r="F20" s="33">
        <f>INDEX('13 - Electrical Readings'!$D$6:$D$964,1+(2*(ROWS(A$1:A20)-1)))</f>
        <v>13817</v>
      </c>
      <c r="G20" s="32">
        <f>INDEX('13 - Electrical Readings'!$E$6:$E$964,1+(2*(ROWS(A$1:A20)-1)))</f>
        <v>20258</v>
      </c>
      <c r="H20" s="32">
        <f>INDEX('13 - Electrical Readings'!$F$6:$F$964,1+(2*(ROWS(A$1:A20)-1)))</f>
        <v>10576</v>
      </c>
      <c r="I20" s="33">
        <f>INDEX('13 - Electrical Readings'!$G$6:$G$964,1+(2*(ROWS(A$1:A20)-1)))</f>
        <v>12</v>
      </c>
      <c r="J20" s="32">
        <f>INDEX('13 - Electrical Readings'!$I$6:$I$964,1+(2*(ROWS(A$1:A20)-1)))</f>
        <v>2534</v>
      </c>
      <c r="K20" s="32">
        <f>INDEX('13 - Electrical Readings'!$J$6:$J$964,1+(2*(ROWS(B$1:B20)-1)))</f>
        <v>9506</v>
      </c>
      <c r="L20" s="32">
        <f>INDEX('13 - Electrical Readings'!$K$6:$K$964,1+(2*(ROWS(C$1:C20)-1)))</f>
        <v>3255</v>
      </c>
      <c r="M20" s="32">
        <f>INDEX('13 - Electrical Readings'!$L$6:$L$964,1+(2*(ROWS(D$1:D20)-1)))</f>
        <v>4361</v>
      </c>
      <c r="N20" s="32">
        <f>INDEX('13 - Electrical Readings'!$M$6:$M$964,1+(2*(ROWS(E$1:E20)-1)))</f>
        <v>10461</v>
      </c>
      <c r="O20" s="33">
        <f>INDEX('13 - Electrical Readings'!$N$6:$N$964,1+(2*(ROWS(E$1:E20)-1)))</f>
        <v>8923</v>
      </c>
      <c r="P20" s="33">
        <f>INDEX('13 - Electrical Readings'!$O$6:$O$964,1+(2*(ROWS(E$1:E20)-1)))</f>
        <v>3902</v>
      </c>
      <c r="Q20" s="33">
        <f>INDEX('13 - Electrical Readings'!$P$6:$P$964,1+(2*(ROWS(E$1:E20)-1)))</f>
        <v>3260</v>
      </c>
      <c r="R20" s="33">
        <f>INDEX('9 - Water Readings'!$C$8:$C$968,1+(2*(ROWS(A$1:A19)-1)))</f>
        <v>0</v>
      </c>
      <c r="S20" s="33">
        <f>INDEX('9 - Water Readings'!$D$8:$D$967,1+(2*(ROWS(A$1:A19)-1)))</f>
        <v>0</v>
      </c>
      <c r="T20" s="33">
        <f>INDEX('9 - Water Readings'!$E$8:$E$968,1+(2*(ROWS(A$1:A19)-1)))</f>
        <v>0</v>
      </c>
      <c r="U20" s="33">
        <f>INDEX('9 - Water Readings'!$G$8:$G$967,1+(2*(ROWS(A$1:A19)-1)))</f>
        <v>120</v>
      </c>
      <c r="V20" s="33">
        <f>INDEX('9 - Water Readings'!$H$8:$H$968,1+(2*(ROWS(A$1:A19)-1)))</f>
        <v>11</v>
      </c>
      <c r="W20" s="33">
        <f>INDEX('9 - Water Readings'!$I$8:$I$968,1+(2*(ROWS(A$1:A19)-1)))</f>
        <v>0</v>
      </c>
      <c r="X20" s="33">
        <f>INDEX('9 - Water Readings'!$J$8:$J$968,1+(2*(ROWS(A$1:A19)-1)))</f>
        <v>206</v>
      </c>
      <c r="Y20" s="33">
        <f>INDEX('9 - Water Readings'!$K$8:$K$968,1+(2*(ROWS(A$1:A19)-1)))</f>
        <v>35</v>
      </c>
      <c r="Z20" s="33">
        <f>INDEX('9 - Water Readings'!$L$8:$L$968,1+(2*(ROWS(A$1:A19)-1)))</f>
        <v>50</v>
      </c>
      <c r="AA20" s="34">
        <f>'9 - Water Readings'!Q25</f>
        <v>76</v>
      </c>
      <c r="AB20" s="32">
        <f>'9 - Water Readings'!R25</f>
        <v>306</v>
      </c>
      <c r="AC20">
        <f>'9 - Water Readings'!S25</f>
        <v>16.2</v>
      </c>
    </row>
    <row r="21" spans="1:29" x14ac:dyDescent="0.25">
      <c r="A21" s="35" t="s">
        <v>11</v>
      </c>
      <c r="B21" s="35">
        <f t="shared" si="0"/>
        <v>20</v>
      </c>
      <c r="C21" s="35">
        <v>8</v>
      </c>
      <c r="D21" s="32">
        <v>2022</v>
      </c>
      <c r="E21" s="33">
        <f>INDEX('13 - Electrical Readings'!$C$8:$C$964,1+(2*(ROWS(A$1:A20)-1)))</f>
        <v>20221</v>
      </c>
      <c r="F21" s="33">
        <f>INDEX('13 - Electrical Readings'!$D$6:$D$964,1+(2*(ROWS(A$1:A21)-1)))</f>
        <v>14129</v>
      </c>
      <c r="G21" s="32">
        <f>INDEX('13 - Electrical Readings'!$E$6:$E$964,1+(2*(ROWS(A$1:A21)-1)))</f>
        <v>20145</v>
      </c>
      <c r="H21" s="32">
        <f>INDEX('13 - Electrical Readings'!$F$6:$F$964,1+(2*(ROWS(A$1:A21)-1)))</f>
        <v>8266</v>
      </c>
      <c r="I21" s="33">
        <f>INDEX('13 - Electrical Readings'!$G$6:$G$964,1+(2*(ROWS(A$1:A21)-1)))</f>
        <v>16</v>
      </c>
      <c r="J21" s="32">
        <f>INDEX('13 - Electrical Readings'!$I$6:$I$964,1+(2*(ROWS(A$1:A21)-1)))</f>
        <v>2498</v>
      </c>
      <c r="K21" s="32">
        <f>INDEX('13 - Electrical Readings'!$J$6:$J$964,1+(2*(ROWS(B$1:B21)-1)))</f>
        <v>9109</v>
      </c>
      <c r="L21" s="32">
        <f>INDEX('13 - Electrical Readings'!$K$6:$K$964,1+(2*(ROWS(C$1:C21)-1)))</f>
        <v>3216</v>
      </c>
      <c r="M21" s="32">
        <f>INDEX('13 - Electrical Readings'!$L$6:$L$964,1+(2*(ROWS(D$1:D21)-1)))</f>
        <v>4191</v>
      </c>
      <c r="N21" s="32">
        <f>INDEX('13 - Electrical Readings'!$M$6:$M$964,1+(2*(ROWS(E$1:E21)-1)))</f>
        <v>10490</v>
      </c>
      <c r="O21" s="33">
        <f>INDEX('13 - Electrical Readings'!$N$6:$N$964,1+(2*(ROWS(E$1:E21)-1)))</f>
        <v>8474</v>
      </c>
      <c r="P21" s="33">
        <f>INDEX('13 - Electrical Readings'!$O$6:$O$964,1+(2*(ROWS(E$1:E21)-1)))</f>
        <v>3978</v>
      </c>
      <c r="Q21" s="33">
        <f>INDEX('13 - Electrical Readings'!$P$6:$P$964,1+(2*(ROWS(E$1:E21)-1)))</f>
        <v>2770</v>
      </c>
      <c r="R21" s="33">
        <f>INDEX('9 - Water Readings'!$C$8:$C$968,1+(2*(ROWS(A$1:A20)-1)))</f>
        <v>0</v>
      </c>
      <c r="S21" s="33">
        <f>INDEX('9 - Water Readings'!$D$8:$D$967,1+(2*(ROWS(A$1:A20)-1)))</f>
        <v>0</v>
      </c>
      <c r="T21" s="33">
        <f>INDEX('9 - Water Readings'!$E$8:$E$968,1+(2*(ROWS(A$1:A20)-1)))</f>
        <v>0</v>
      </c>
      <c r="U21" s="33">
        <f>INDEX('9 - Water Readings'!$G$8:$G$967,1+(2*(ROWS(A$1:A20)-1)))</f>
        <v>110</v>
      </c>
      <c r="V21" s="33">
        <f>INDEX('9 - Water Readings'!$H$8:$H$968,1+(2*(ROWS(A$1:A20)-1)))</f>
        <v>14</v>
      </c>
      <c r="W21" s="33">
        <f>INDEX('9 - Water Readings'!$I$8:$I$968,1+(2*(ROWS(A$1:A20)-1)))</f>
        <v>0</v>
      </c>
      <c r="X21" s="33">
        <f>INDEX('9 - Water Readings'!$J$8:$J$968,1+(2*(ROWS(A$1:A20)-1)))</f>
        <v>308</v>
      </c>
      <c r="Y21" s="33">
        <f>INDEX('9 - Water Readings'!$K$8:$K$968,1+(2*(ROWS(A$1:A20)-1)))</f>
        <v>26</v>
      </c>
      <c r="Z21" s="33">
        <f>INDEX('9 - Water Readings'!$L$8:$L$968,1+(2*(ROWS(A$1:A20)-1)))</f>
        <v>48</v>
      </c>
      <c r="AA21" s="34">
        <f>'9 - Water Readings'!Q26</f>
        <v>31</v>
      </c>
      <c r="AB21" s="32">
        <f>'9 - Water Readings'!R26</f>
        <v>110</v>
      </c>
      <c r="AC21">
        <f>'9 - Water Readings'!S26</f>
        <v>16.100000000000001</v>
      </c>
    </row>
    <row r="22" spans="1:29" x14ac:dyDescent="0.25">
      <c r="A22" s="35" t="s">
        <v>11</v>
      </c>
      <c r="B22" s="35">
        <f t="shared" si="0"/>
        <v>21</v>
      </c>
      <c r="C22" s="35">
        <v>8</v>
      </c>
      <c r="D22" s="32">
        <v>2022</v>
      </c>
      <c r="E22" s="33">
        <f>INDEX('13 - Electrical Readings'!$C$8:$C$964,1+(2*(ROWS(A$1:A21)-1)))</f>
        <v>20155</v>
      </c>
      <c r="F22" s="33">
        <f>INDEX('13 - Electrical Readings'!$D$6:$D$964,1+(2*(ROWS(A$1:A22)-1)))</f>
        <v>10332</v>
      </c>
      <c r="G22" s="32">
        <f>INDEX('13 - Electrical Readings'!$E$6:$E$964,1+(2*(ROWS(A$1:A22)-1)))</f>
        <v>10136</v>
      </c>
      <c r="H22" s="32">
        <f>INDEX('13 - Electrical Readings'!$F$6:$F$964,1+(2*(ROWS(A$1:A22)-1)))</f>
        <v>9696</v>
      </c>
      <c r="I22" s="33">
        <f>INDEX('13 - Electrical Readings'!$G$6:$G$964,1+(2*(ROWS(A$1:A22)-1)))</f>
        <v>16406</v>
      </c>
      <c r="J22" s="32">
        <f>INDEX('13 - Electrical Readings'!$I$6:$I$964,1+(2*(ROWS(A$1:A22)-1)))</f>
        <v>2544</v>
      </c>
      <c r="K22" s="32">
        <f>INDEX('13 - Electrical Readings'!$J$6:$J$964,1+(2*(ROWS(B$1:B22)-1)))</f>
        <v>9173</v>
      </c>
      <c r="L22" s="32">
        <f>INDEX('13 - Electrical Readings'!$K$6:$K$964,1+(2*(ROWS(C$1:C22)-1)))</f>
        <v>3341</v>
      </c>
      <c r="M22" s="32">
        <f>INDEX('13 - Electrical Readings'!$L$6:$L$964,1+(2*(ROWS(D$1:D22)-1)))</f>
        <v>4276</v>
      </c>
      <c r="N22" s="32">
        <f>INDEX('13 - Electrical Readings'!$M$6:$M$964,1+(2*(ROWS(E$1:E22)-1)))</f>
        <v>10643</v>
      </c>
      <c r="O22" s="33">
        <f>INDEX('13 - Electrical Readings'!$N$6:$N$964,1+(2*(ROWS(E$1:E22)-1)))</f>
        <v>8705</v>
      </c>
      <c r="P22" s="33">
        <f>INDEX('13 - Electrical Readings'!$O$6:$O$964,1+(2*(ROWS(E$1:E22)-1)))</f>
        <v>4246</v>
      </c>
      <c r="Q22" s="33">
        <f>INDEX('13 - Electrical Readings'!$P$6:$P$964,1+(2*(ROWS(E$1:E22)-1)))</f>
        <v>2480</v>
      </c>
      <c r="R22" s="33">
        <f>INDEX('9 - Water Readings'!$C$8:$C$968,1+(2*(ROWS(A$1:A21)-1)))</f>
        <v>0</v>
      </c>
      <c r="S22" s="33">
        <f>INDEX('9 - Water Readings'!$D$8:$D$967,1+(2*(ROWS(A$1:A21)-1)))</f>
        <v>0</v>
      </c>
      <c r="T22" s="33">
        <f>INDEX('9 - Water Readings'!$E$8:$E$968,1+(2*(ROWS(A$1:A21)-1)))</f>
        <v>0</v>
      </c>
      <c r="U22" s="33">
        <f>INDEX('9 - Water Readings'!$G$8:$G$967,1+(2*(ROWS(A$1:A21)-1)))</f>
        <v>110</v>
      </c>
      <c r="V22" s="33">
        <f>INDEX('9 - Water Readings'!$H$8:$H$968,1+(2*(ROWS(A$1:A21)-1)))</f>
        <v>12</v>
      </c>
      <c r="W22" s="33">
        <f>INDEX('9 - Water Readings'!$I$8:$I$968,1+(2*(ROWS(A$1:A21)-1)))</f>
        <v>0</v>
      </c>
      <c r="X22" s="33">
        <f>INDEX('9 - Water Readings'!$J$8:$J$968,1+(2*(ROWS(A$1:A21)-1)))</f>
        <v>207</v>
      </c>
      <c r="Y22" s="33">
        <f>INDEX('9 - Water Readings'!$K$8:$K$968,1+(2*(ROWS(A$1:A21)-1)))</f>
        <v>23</v>
      </c>
      <c r="Z22" s="33">
        <f>INDEX('9 - Water Readings'!$L$8:$L$968,1+(2*(ROWS(A$1:A21)-1)))</f>
        <v>43</v>
      </c>
      <c r="AA22" s="34">
        <f>'9 - Water Readings'!Q27</f>
        <v>50</v>
      </c>
      <c r="AB22" s="32">
        <f>'9 - Water Readings'!R27</f>
        <v>180</v>
      </c>
      <c r="AC22">
        <f>'9 - Water Readings'!S27</f>
        <v>15.8</v>
      </c>
    </row>
    <row r="23" spans="1:29" x14ac:dyDescent="0.25">
      <c r="A23" s="35" t="s">
        <v>11</v>
      </c>
      <c r="B23" s="35">
        <f t="shared" si="0"/>
        <v>22</v>
      </c>
      <c r="C23" s="35">
        <v>8</v>
      </c>
      <c r="D23" s="32">
        <v>2022</v>
      </c>
      <c r="E23" s="33">
        <f>INDEX('13 - Electrical Readings'!$C$8:$C$964,1+(2*(ROWS(A$1:A22)-1)))</f>
        <v>19821</v>
      </c>
      <c r="F23" s="33">
        <f>INDEX('13 - Electrical Readings'!$D$6:$D$964,1+(2*(ROWS(A$1:A23)-1)))</f>
        <v>750</v>
      </c>
      <c r="G23" s="32">
        <f>INDEX('13 - Electrical Readings'!$E$6:$E$964,1+(2*(ROWS(A$1:A23)-1)))</f>
        <v>6688</v>
      </c>
      <c r="H23" s="32">
        <f>INDEX('13 - Electrical Readings'!$F$6:$F$964,1+(2*(ROWS(A$1:A23)-1)))</f>
        <v>18156</v>
      </c>
      <c r="I23" s="33">
        <f>INDEX('13 - Electrical Readings'!$G$6:$G$964,1+(2*(ROWS(A$1:A23)-1)))</f>
        <v>21549</v>
      </c>
      <c r="J23" s="32">
        <f>INDEX('13 - Electrical Readings'!$I$6:$I$964,1+(2*(ROWS(A$1:A23)-1)))</f>
        <v>2560</v>
      </c>
      <c r="K23" s="32">
        <f>INDEX('13 - Electrical Readings'!$J$6:$J$964,1+(2*(ROWS(B$1:B23)-1)))</f>
        <v>9110</v>
      </c>
      <c r="L23" s="32">
        <f>INDEX('13 - Electrical Readings'!$K$6:$K$964,1+(2*(ROWS(C$1:C23)-1)))</f>
        <v>3348</v>
      </c>
      <c r="M23" s="32">
        <f>INDEX('13 - Electrical Readings'!$L$6:$L$964,1+(2*(ROWS(D$1:D23)-1)))</f>
        <v>4262</v>
      </c>
      <c r="N23" s="32">
        <f>INDEX('13 - Electrical Readings'!$M$6:$M$964,1+(2*(ROWS(E$1:E23)-1)))</f>
        <v>10387</v>
      </c>
      <c r="O23" s="33">
        <f>INDEX('13 - Electrical Readings'!$N$6:$N$964,1+(2*(ROWS(E$1:E23)-1)))</f>
        <v>8507</v>
      </c>
      <c r="P23" s="33">
        <f>INDEX('13 - Electrical Readings'!$O$6:$O$964,1+(2*(ROWS(E$1:E23)-1)))</f>
        <v>4018</v>
      </c>
      <c r="Q23" s="33">
        <f>INDEX('13 - Electrical Readings'!$P$6:$P$964,1+(2*(ROWS(E$1:E23)-1)))</f>
        <v>2710</v>
      </c>
      <c r="R23" s="33">
        <f>INDEX('9 - Water Readings'!$C$8:$C$968,1+(2*(ROWS(A$1:A22)-1)))</f>
        <v>0</v>
      </c>
      <c r="S23" s="33">
        <f>INDEX('9 - Water Readings'!$D$8:$D$967,1+(2*(ROWS(A$1:A22)-1)))</f>
        <v>3</v>
      </c>
      <c r="T23" s="33">
        <f>INDEX('9 - Water Readings'!$E$8:$E$968,1+(2*(ROWS(A$1:A22)-1)))</f>
        <v>0</v>
      </c>
      <c r="U23" s="33">
        <f>INDEX('9 - Water Readings'!$G$8:$G$967,1+(2*(ROWS(A$1:A22)-1)))</f>
        <v>112</v>
      </c>
      <c r="V23" s="33">
        <f>INDEX('9 - Water Readings'!$H$8:$H$968,1+(2*(ROWS(A$1:A22)-1)))</f>
        <v>12</v>
      </c>
      <c r="W23" s="33">
        <f>INDEX('9 - Water Readings'!$I$8:$I$968,1+(2*(ROWS(A$1:A22)-1)))</f>
        <v>0</v>
      </c>
      <c r="X23" s="33">
        <f>INDEX('9 - Water Readings'!$J$8:$J$968,1+(2*(ROWS(A$1:A22)-1)))</f>
        <v>170</v>
      </c>
      <c r="Y23" s="33">
        <f>INDEX('9 - Water Readings'!$K$8:$K$968,1+(2*(ROWS(A$1:A22)-1)))</f>
        <v>27</v>
      </c>
      <c r="Z23" s="33">
        <f>INDEX('9 - Water Readings'!$L$8:$L$968,1+(2*(ROWS(A$1:A22)-1)))</f>
        <v>51</v>
      </c>
      <c r="AA23" s="34">
        <f>'9 - Water Readings'!Q28</f>
        <v>61</v>
      </c>
      <c r="AB23" s="32">
        <f>'9 - Water Readings'!R28</f>
        <v>232</v>
      </c>
      <c r="AC23">
        <f>'9 - Water Readings'!S28</f>
        <v>15.6</v>
      </c>
    </row>
    <row r="24" spans="1:29" x14ac:dyDescent="0.25">
      <c r="A24" s="35" t="s">
        <v>11</v>
      </c>
      <c r="B24" s="35">
        <f t="shared" si="0"/>
        <v>23</v>
      </c>
      <c r="C24" s="35">
        <v>8</v>
      </c>
      <c r="D24" s="32">
        <v>2022</v>
      </c>
      <c r="E24" s="33">
        <f>INDEX('13 - Electrical Readings'!$C$8:$C$964,1+(2*(ROWS(A$1:A23)-1)))</f>
        <v>18331</v>
      </c>
      <c r="F24" s="33">
        <f>INDEX('13 - Electrical Readings'!$D$6:$D$964,1+(2*(ROWS(A$1:A24)-1)))</f>
        <v>790</v>
      </c>
      <c r="G24" s="32">
        <f>INDEX('13 - Electrical Readings'!$E$6:$E$964,1+(2*(ROWS(A$1:A24)-1)))</f>
        <v>6629</v>
      </c>
      <c r="H24" s="32">
        <f>INDEX('13 - Electrical Readings'!$F$6:$F$964,1+(2*(ROWS(A$1:A24)-1)))</f>
        <v>17087</v>
      </c>
      <c r="I24" s="33">
        <f>INDEX('13 - Electrical Readings'!$G$6:$G$964,1+(2*(ROWS(A$1:A24)-1)))</f>
        <v>19774</v>
      </c>
      <c r="J24" s="32">
        <f>INDEX('13 - Electrical Readings'!$I$6:$I$964,1+(2*(ROWS(A$1:A24)-1)))</f>
        <v>2541</v>
      </c>
      <c r="K24" s="32">
        <f>INDEX('13 - Electrical Readings'!$J$6:$J$964,1+(2*(ROWS(B$1:B24)-1)))</f>
        <v>9115</v>
      </c>
      <c r="L24" s="32">
        <f>INDEX('13 - Electrical Readings'!$K$6:$K$964,1+(2*(ROWS(C$1:C24)-1)))</f>
        <v>3303</v>
      </c>
      <c r="M24" s="32">
        <f>INDEX('13 - Electrical Readings'!$L$6:$L$964,1+(2*(ROWS(D$1:D24)-1)))</f>
        <v>4382</v>
      </c>
      <c r="N24" s="32">
        <f>INDEX('13 - Electrical Readings'!$M$6:$M$964,1+(2*(ROWS(E$1:E24)-1)))</f>
        <v>10597</v>
      </c>
      <c r="O24" s="33">
        <f>INDEX('13 - Electrical Readings'!$N$6:$N$964,1+(2*(ROWS(E$1:E24)-1)))</f>
        <v>8412</v>
      </c>
      <c r="P24" s="33">
        <f>INDEX('13 - Electrical Readings'!$O$6:$O$964,1+(2*(ROWS(E$1:E24)-1)))</f>
        <v>4078</v>
      </c>
      <c r="Q24" s="33">
        <f>INDEX('13 - Electrical Readings'!$P$6:$P$964,1+(2*(ROWS(E$1:E24)-1)))</f>
        <v>2820</v>
      </c>
      <c r="R24" s="33">
        <f>INDEX('9 - Water Readings'!$C$8:$C$968,1+(2*(ROWS(A$1:A23)-1)))</f>
        <v>0</v>
      </c>
      <c r="S24" s="33">
        <f>INDEX('9 - Water Readings'!$D$8:$D$967,1+(2*(ROWS(A$1:A23)-1)))</f>
        <v>0</v>
      </c>
      <c r="T24" s="33">
        <f>INDEX('9 - Water Readings'!$E$8:$E$968,1+(2*(ROWS(A$1:A23)-1)))</f>
        <v>0</v>
      </c>
      <c r="U24" s="33">
        <f>INDEX('9 - Water Readings'!$G$8:$G$967,1+(2*(ROWS(A$1:A23)-1)))</f>
        <v>109</v>
      </c>
      <c r="V24" s="33">
        <f>INDEX('9 - Water Readings'!$H$8:$H$968,1+(2*(ROWS(A$1:A23)-1)))</f>
        <v>13</v>
      </c>
      <c r="W24" s="33">
        <f>INDEX('9 - Water Readings'!$I$8:$I$968,1+(2*(ROWS(A$1:A23)-1)))</f>
        <v>0</v>
      </c>
      <c r="X24" s="33">
        <f>INDEX('9 - Water Readings'!$J$8:$J$968,1+(2*(ROWS(A$1:A23)-1)))</f>
        <v>217</v>
      </c>
      <c r="Y24" s="33">
        <f>INDEX('9 - Water Readings'!$K$8:$K$968,1+(2*(ROWS(A$1:A23)-1)))</f>
        <v>25</v>
      </c>
      <c r="Z24" s="33">
        <f>INDEX('9 - Water Readings'!$L$8:$L$968,1+(2*(ROWS(A$1:A23)-1)))</f>
        <v>45</v>
      </c>
      <c r="AA24" s="34">
        <f>'9 - Water Readings'!Q29</f>
        <v>52</v>
      </c>
      <c r="AB24" s="32">
        <f>'9 - Water Readings'!R29</f>
        <v>210</v>
      </c>
      <c r="AC24">
        <f>'9 - Water Readings'!S29</f>
        <v>15.9</v>
      </c>
    </row>
    <row r="25" spans="1:29" x14ac:dyDescent="0.25">
      <c r="A25" s="35" t="s">
        <v>11</v>
      </c>
      <c r="B25" s="35">
        <f t="shared" si="0"/>
        <v>24</v>
      </c>
      <c r="C25" s="35">
        <v>8</v>
      </c>
      <c r="D25" s="32">
        <v>2022</v>
      </c>
      <c r="E25" s="33">
        <f>INDEX('13 - Electrical Readings'!$C$8:$C$964,1+(2*(ROWS(A$1:A24)-1)))</f>
        <v>8639</v>
      </c>
      <c r="F25" s="33">
        <f>INDEX('13 - Electrical Readings'!$D$6:$D$964,1+(2*(ROWS(A$1:A25)-1)))</f>
        <v>10459</v>
      </c>
      <c r="G25" s="32">
        <f>INDEX('13 - Electrical Readings'!$E$6:$E$964,1+(2*(ROWS(A$1:A25)-1)))</f>
        <v>13833</v>
      </c>
      <c r="H25" s="32">
        <f>INDEX('13 - Electrical Readings'!$F$6:$F$964,1+(2*(ROWS(A$1:A25)-1)))</f>
        <v>18619</v>
      </c>
      <c r="I25" s="33">
        <f>INDEX('13 - Electrical Readings'!$G$6:$G$964,1+(2*(ROWS(A$1:A25)-1)))</f>
        <v>13</v>
      </c>
      <c r="J25" s="32">
        <f>INDEX('13 - Electrical Readings'!$I$6:$I$964,1+(2*(ROWS(A$1:A25)-1)))</f>
        <v>2521</v>
      </c>
      <c r="K25" s="32">
        <f>INDEX('13 - Electrical Readings'!$J$6:$J$964,1+(2*(ROWS(B$1:B25)-1)))</f>
        <v>9122</v>
      </c>
      <c r="L25" s="32">
        <f>INDEX('13 - Electrical Readings'!$K$6:$K$964,1+(2*(ROWS(C$1:C25)-1)))</f>
        <v>3166</v>
      </c>
      <c r="M25" s="32">
        <f>INDEX('13 - Electrical Readings'!$L$6:$L$964,1+(2*(ROWS(D$1:D25)-1)))</f>
        <v>4396</v>
      </c>
      <c r="N25" s="32">
        <f>INDEX('13 - Electrical Readings'!$M$6:$M$964,1+(2*(ROWS(E$1:E25)-1)))</f>
        <v>10836</v>
      </c>
      <c r="O25" s="33">
        <f>INDEX('13 - Electrical Readings'!$N$6:$N$964,1+(2*(ROWS(E$1:E25)-1)))</f>
        <v>8564</v>
      </c>
      <c r="P25" s="33">
        <f>INDEX('13 - Electrical Readings'!$O$6:$O$964,1+(2*(ROWS(E$1:E25)-1)))</f>
        <v>4299</v>
      </c>
      <c r="Q25" s="33">
        <f>INDEX('13 - Electrical Readings'!$P$6:$P$964,1+(2*(ROWS(E$1:E25)-1)))</f>
        <v>2830</v>
      </c>
      <c r="R25" s="33">
        <f>INDEX('9 - Water Readings'!$C$8:$C$968,1+(2*(ROWS(A$1:A24)-1)))</f>
        <v>6</v>
      </c>
      <c r="S25" s="33">
        <f>INDEX('9 - Water Readings'!$D$8:$D$967,1+(2*(ROWS(A$1:A24)-1)))</f>
        <v>0</v>
      </c>
      <c r="T25" s="33">
        <f>INDEX('9 - Water Readings'!$E$8:$E$968,1+(2*(ROWS(A$1:A24)-1)))</f>
        <v>0</v>
      </c>
      <c r="U25" s="33">
        <f>INDEX('9 - Water Readings'!$G$8:$G$967,1+(2*(ROWS(A$1:A24)-1)))</f>
        <v>116</v>
      </c>
      <c r="V25" s="33">
        <f>INDEX('9 - Water Readings'!$H$8:$H$968,1+(2*(ROWS(A$1:A24)-1)))</f>
        <v>12</v>
      </c>
      <c r="W25" s="33">
        <f>INDEX('9 - Water Readings'!$I$8:$I$968,1+(2*(ROWS(A$1:A24)-1)))</f>
        <v>0</v>
      </c>
      <c r="X25" s="33">
        <f>INDEX('9 - Water Readings'!$J$8:$J$968,1+(2*(ROWS(A$1:A24)-1)))</f>
        <v>193</v>
      </c>
      <c r="Y25" s="33">
        <f>INDEX('9 - Water Readings'!$K$8:$K$968,1+(2*(ROWS(A$1:A24)-1)))</f>
        <v>37</v>
      </c>
      <c r="Z25" s="33">
        <f>INDEX('9 - Water Readings'!$L$8:$L$968,1+(2*(ROWS(A$1:A24)-1)))</f>
        <v>44</v>
      </c>
      <c r="AA25" s="34">
        <f>'9 - Water Readings'!Q30</f>
        <v>54</v>
      </c>
      <c r="AB25" s="32">
        <f>'9 - Water Readings'!R30</f>
        <v>194</v>
      </c>
      <c r="AC25">
        <f>'9 - Water Readings'!S30</f>
        <v>15.8</v>
      </c>
    </row>
    <row r="26" spans="1:29" x14ac:dyDescent="0.25">
      <c r="A26" s="35" t="s">
        <v>11</v>
      </c>
      <c r="B26" s="35">
        <f>B25+1</f>
        <v>25</v>
      </c>
      <c r="C26" s="35">
        <v>8</v>
      </c>
      <c r="D26" s="32">
        <v>2022</v>
      </c>
      <c r="E26" s="33">
        <f>INDEX('13 - Electrical Readings'!$C$8:$C$964,1+(2*(ROWS(A$1:A25)-1)))</f>
        <v>11254</v>
      </c>
      <c r="F26" s="33">
        <f>INDEX('13 - Electrical Readings'!$D$6:$D$964,1+(2*(ROWS(A$1:A26)-1)))</f>
        <v>7607</v>
      </c>
      <c r="G26" s="32">
        <f>INDEX('13 - Electrical Readings'!$E$6:$E$964,1+(2*(ROWS(A$1:A26)-1)))</f>
        <v>14308</v>
      </c>
      <c r="H26" s="32">
        <f>INDEX('13 - Electrical Readings'!$F$6:$F$964,1+(2*(ROWS(A$1:A26)-1)))</f>
        <v>9672</v>
      </c>
      <c r="I26" s="33">
        <f>INDEX('13 - Electrical Readings'!$G$6:$G$964,1+(2*(ROWS(A$1:A26)-1)))</f>
        <v>15339</v>
      </c>
      <c r="J26" s="32">
        <f>INDEX('13 - Electrical Readings'!$I$6:$I$964,1+(2*(ROWS(A$1:A26)-1)))</f>
        <v>2519</v>
      </c>
      <c r="K26" s="32">
        <f>INDEX('13 - Electrical Readings'!$J$6:$J$964,1+(2*(ROWS(B$1:B26)-1)))</f>
        <v>9204</v>
      </c>
      <c r="L26" s="32">
        <f>INDEX('13 - Electrical Readings'!$K$6:$K$964,1+(2*(ROWS(C$1:C26)-1)))</f>
        <v>3439</v>
      </c>
      <c r="M26" s="32">
        <f>INDEX('13 - Electrical Readings'!$L$6:$L$964,1+(2*(ROWS(D$1:D26)-1)))</f>
        <v>4368</v>
      </c>
      <c r="N26" s="32">
        <f>INDEX('13 - Electrical Readings'!$M$6:$M$964,1+(2*(ROWS(E$1:E26)-1)))</f>
        <v>10473</v>
      </c>
      <c r="O26" s="33">
        <f>INDEX('13 - Electrical Readings'!$N$6:$N$964,1+(2*(ROWS(E$1:E26)-1)))</f>
        <v>8397</v>
      </c>
      <c r="P26" s="33">
        <f>INDEX('13 - Electrical Readings'!$O$6:$O$964,1+(2*(ROWS(E$1:E26)-1)))</f>
        <v>4258</v>
      </c>
      <c r="Q26" s="33">
        <f>INDEX('13 - Electrical Readings'!$P$6:$P$964,1+(2*(ROWS(E$1:E26)-1)))</f>
        <v>2880</v>
      </c>
      <c r="R26" s="33">
        <f>INDEX('9 - Water Readings'!$C$8:$C$968,1+(2*(ROWS(A$1:A25)-1)))</f>
        <v>0</v>
      </c>
      <c r="S26" s="33">
        <f>INDEX('9 - Water Readings'!$D$8:$D$967,1+(2*(ROWS(A$1:A25)-1)))</f>
        <v>0</v>
      </c>
      <c r="T26" s="33">
        <f>INDEX('9 - Water Readings'!$E$8:$E$968,1+(2*(ROWS(A$1:A25)-1)))</f>
        <v>0</v>
      </c>
      <c r="U26" s="33">
        <f>INDEX('9 - Water Readings'!$G$8:$G$967,1+(2*(ROWS(A$1:A25)-1)))</f>
        <v>112</v>
      </c>
      <c r="V26" s="33">
        <f>INDEX('9 - Water Readings'!$H$8:$H$968,1+(2*(ROWS(A$1:A25)-1)))</f>
        <v>12</v>
      </c>
      <c r="W26" s="33">
        <f>INDEX('9 - Water Readings'!$I$8:$I$968,1+(2*(ROWS(A$1:A25)-1)))</f>
        <v>0</v>
      </c>
      <c r="X26" s="33">
        <f>INDEX('9 - Water Readings'!$J$8:$J$968,1+(2*(ROWS(A$1:A25)-1)))</f>
        <v>196</v>
      </c>
      <c r="Y26" s="33">
        <f>INDEX('9 - Water Readings'!$K$8:$K$968,1+(2*(ROWS(A$1:A25)-1)))</f>
        <v>0</v>
      </c>
      <c r="Z26" s="33">
        <f>INDEX('9 - Water Readings'!$L$8:$L$968,1+(2*(ROWS(A$1:A25)-1)))</f>
        <v>41</v>
      </c>
      <c r="AA26" s="34">
        <f>'9 - Water Readings'!Q31</f>
        <v>93</v>
      </c>
      <c r="AB26" s="32">
        <f>'9 - Water Readings'!R31</f>
        <v>342</v>
      </c>
      <c r="AC26">
        <f>'9 - Water Readings'!S31</f>
        <v>16.100000000000001</v>
      </c>
    </row>
    <row r="27" spans="1:29" x14ac:dyDescent="0.25">
      <c r="A27" s="35" t="s">
        <v>11</v>
      </c>
      <c r="B27" s="35">
        <f t="shared" si="0"/>
        <v>26</v>
      </c>
      <c r="C27" s="35">
        <v>8</v>
      </c>
      <c r="D27" s="32">
        <v>2022</v>
      </c>
      <c r="E27" s="33">
        <f>INDEX('13 - Electrical Readings'!$C$8:$C$964,1+(2*(ROWS(A$1:A26)-1)))</f>
        <v>19218</v>
      </c>
      <c r="F27" s="33">
        <f>INDEX('13 - Electrical Readings'!$D$6:$D$964,1+(2*(ROWS(A$1:A27)-1)))</f>
        <v>737</v>
      </c>
      <c r="G27" s="32">
        <f>INDEX('13 - Electrical Readings'!$E$6:$E$964,1+(2*(ROWS(A$1:A27)-1)))</f>
        <v>20091</v>
      </c>
      <c r="H27" s="32">
        <f>INDEX('13 - Electrical Readings'!$F$6:$F$964,1+(2*(ROWS(A$1:A27)-1)))</f>
        <v>5304</v>
      </c>
      <c r="I27" s="33">
        <f>INDEX('13 - Electrical Readings'!$G$6:$G$964,1+(2*(ROWS(A$1:A27)-1)))</f>
        <v>21080</v>
      </c>
      <c r="J27" s="32">
        <f>INDEX('13 - Electrical Readings'!$I$6:$I$964,1+(2*(ROWS(A$1:A27)-1)))</f>
        <v>2536</v>
      </c>
      <c r="K27" s="32">
        <f>INDEX('13 - Electrical Readings'!$J$6:$J$964,1+(2*(ROWS(B$1:B27)-1)))</f>
        <v>9371</v>
      </c>
      <c r="L27" s="32">
        <f>INDEX('13 - Electrical Readings'!$K$6:$K$964,1+(2*(ROWS(C$1:C27)-1)))</f>
        <v>3328</v>
      </c>
      <c r="M27" s="32">
        <f>INDEX('13 - Electrical Readings'!$L$6:$L$964,1+(2*(ROWS(D$1:D27)-1)))</f>
        <v>4404</v>
      </c>
      <c r="N27" s="32">
        <f>INDEX('13 - Electrical Readings'!$M$6:$M$964,1+(2*(ROWS(E$1:E27)-1)))</f>
        <v>10429</v>
      </c>
      <c r="O27" s="33">
        <f>INDEX('13 - Electrical Readings'!$N$6:$N$964,1+(2*(ROWS(E$1:E27)-1)))</f>
        <v>8603</v>
      </c>
      <c r="P27" s="33">
        <f>INDEX('13 - Electrical Readings'!$O$6:$O$964,1+(2*(ROWS(E$1:E27)-1)))</f>
        <v>4357</v>
      </c>
      <c r="Q27" s="33">
        <f>INDEX('13 - Electrical Readings'!$P$6:$P$964,1+(2*(ROWS(E$1:E27)-1)))</f>
        <v>3090</v>
      </c>
      <c r="R27" s="33">
        <f>INDEX('9 - Water Readings'!$C$8:$C$968,1+(2*(ROWS(A$1:A26)-1)))</f>
        <v>0</v>
      </c>
      <c r="S27" s="33">
        <f>INDEX('9 - Water Readings'!$D$8:$D$967,1+(2*(ROWS(A$1:A26)-1)))</f>
        <v>0</v>
      </c>
      <c r="T27" s="33">
        <f>INDEX('9 - Water Readings'!$E$8:$E$968,1+(2*(ROWS(A$1:A26)-1)))</f>
        <v>0</v>
      </c>
      <c r="U27" s="33">
        <f>INDEX('9 - Water Readings'!$G$8:$G$967,1+(2*(ROWS(A$1:A26)-1)))</f>
        <v>116</v>
      </c>
      <c r="V27" s="33">
        <f>INDEX('9 - Water Readings'!$H$8:$H$968,1+(2*(ROWS(A$1:A26)-1)))</f>
        <v>11</v>
      </c>
      <c r="W27" s="33">
        <f>INDEX('9 - Water Readings'!$I$8:$I$968,1+(2*(ROWS(A$1:A26)-1)))</f>
        <v>0</v>
      </c>
      <c r="X27" s="33">
        <f>INDEX('9 - Water Readings'!$J$8:$J$968,1+(2*(ROWS(A$1:A26)-1)))</f>
        <v>201</v>
      </c>
      <c r="Y27" s="33">
        <f>INDEX('9 - Water Readings'!$K$8:$K$968,1+(2*(ROWS(A$1:A26)-1)))</f>
        <v>0</v>
      </c>
      <c r="Z27" s="33">
        <f>INDEX('9 - Water Readings'!$L$8:$L$968,1+(2*(ROWS(A$1:A26)-1)))</f>
        <v>44</v>
      </c>
      <c r="AA27" s="34">
        <f>'9 - Water Readings'!Q32</f>
        <v>110</v>
      </c>
      <c r="AB27" s="32">
        <f>'9 - Water Readings'!R32</f>
        <v>474</v>
      </c>
      <c r="AC27">
        <f>'9 - Water Readings'!S32</f>
        <v>17.100000000000001</v>
      </c>
    </row>
    <row r="28" spans="1:29" x14ac:dyDescent="0.25">
      <c r="A28" s="35" t="s">
        <v>11</v>
      </c>
      <c r="B28" s="35">
        <f t="shared" si="0"/>
        <v>27</v>
      </c>
      <c r="C28" s="35">
        <v>8</v>
      </c>
      <c r="D28" s="32">
        <v>2022</v>
      </c>
      <c r="E28" s="33">
        <f>INDEX('13 - Electrical Readings'!$C$8:$C$964,1+(2*(ROWS(A$1:A27)-1)))</f>
        <v>17852</v>
      </c>
      <c r="F28" s="33">
        <f>INDEX('13 - Electrical Readings'!$D$6:$D$964,1+(2*(ROWS(A$1:A28)-1)))</f>
        <v>762</v>
      </c>
      <c r="G28" s="32">
        <f>INDEX('13 - Electrical Readings'!$E$6:$E$964,1+(2*(ROWS(A$1:A28)-1)))</f>
        <v>17857</v>
      </c>
      <c r="H28" s="32">
        <f>INDEX('13 - Electrical Readings'!$F$6:$F$964,1+(2*(ROWS(A$1:A28)-1)))</f>
        <v>5077</v>
      </c>
      <c r="I28" s="33">
        <f>INDEX('13 - Electrical Readings'!$G$6:$G$964,1+(2*(ROWS(A$1:A28)-1)))</f>
        <v>19554</v>
      </c>
      <c r="J28" s="32">
        <f>INDEX('13 - Electrical Readings'!$I$6:$I$964,1+(2*(ROWS(A$1:A28)-1)))</f>
        <v>2586</v>
      </c>
      <c r="K28" s="32">
        <f>INDEX('13 - Electrical Readings'!$J$6:$J$964,1+(2*(ROWS(B$1:B28)-1)))</f>
        <v>9302</v>
      </c>
      <c r="L28" s="32">
        <f>INDEX('13 - Electrical Readings'!$K$6:$K$964,1+(2*(ROWS(C$1:C28)-1)))</f>
        <v>3654</v>
      </c>
      <c r="M28" s="32">
        <f>INDEX('13 - Electrical Readings'!$L$6:$L$964,1+(2*(ROWS(D$1:D28)-1)))</f>
        <v>4335</v>
      </c>
      <c r="N28" s="32">
        <f>INDEX('13 - Electrical Readings'!$M$6:$M$964,1+(2*(ROWS(E$1:E28)-1)))</f>
        <v>10485</v>
      </c>
      <c r="O28" s="33">
        <f>INDEX('13 - Electrical Readings'!$N$6:$N$964,1+(2*(ROWS(E$1:E28)-1)))</f>
        <v>8721</v>
      </c>
      <c r="P28" s="33">
        <f>INDEX('13 - Electrical Readings'!$O$6:$O$964,1+(2*(ROWS(E$1:E28)-1)))</f>
        <v>4220</v>
      </c>
      <c r="Q28" s="33">
        <f>INDEX('13 - Electrical Readings'!$P$6:$P$964,1+(2*(ROWS(E$1:E28)-1)))</f>
        <v>2770</v>
      </c>
      <c r="R28" s="33">
        <f>INDEX('9 - Water Readings'!$C$8:$C$968,1+(2*(ROWS(A$1:A27)-1)))</f>
        <v>2</v>
      </c>
      <c r="S28" s="33">
        <f>INDEX('9 - Water Readings'!$D$8:$D$967,1+(2*(ROWS(A$1:A27)-1)))</f>
        <v>0</v>
      </c>
      <c r="T28" s="33">
        <f>INDEX('9 - Water Readings'!$E$8:$E$968,1+(2*(ROWS(A$1:A27)-1)))</f>
        <v>0</v>
      </c>
      <c r="U28" s="33">
        <f>INDEX('9 - Water Readings'!$G$8:$G$967,1+(2*(ROWS(A$1:A27)-1)))</f>
        <v>111</v>
      </c>
      <c r="V28" s="33">
        <f>INDEX('9 - Water Readings'!$H$8:$H$968,1+(2*(ROWS(A$1:A27)-1)))</f>
        <v>15</v>
      </c>
      <c r="W28" s="33">
        <f>INDEX('9 - Water Readings'!$I$8:$I$968,1+(2*(ROWS(A$1:A27)-1)))</f>
        <v>0</v>
      </c>
      <c r="X28" s="33">
        <f>INDEX('9 - Water Readings'!$J$8:$J$968,1+(2*(ROWS(A$1:A27)-1)))</f>
        <v>201</v>
      </c>
      <c r="Y28" s="33">
        <f>INDEX('9 - Water Readings'!$K$8:$K$968,1+(2*(ROWS(A$1:A27)-1)))</f>
        <v>0</v>
      </c>
      <c r="Z28" s="33">
        <f>INDEX('9 - Water Readings'!$L$8:$L$968,1+(2*(ROWS(A$1:A27)-1)))</f>
        <v>38</v>
      </c>
      <c r="AA28" s="34">
        <f>'9 - Water Readings'!Q33</f>
        <v>49</v>
      </c>
      <c r="AB28" s="32">
        <f>'9 - Water Readings'!R33</f>
        <v>194</v>
      </c>
      <c r="AC28">
        <f>'9 - Water Readings'!S33</f>
        <v>16</v>
      </c>
    </row>
    <row r="29" spans="1:29" x14ac:dyDescent="0.25">
      <c r="A29" s="35" t="s">
        <v>11</v>
      </c>
      <c r="B29" s="35">
        <f t="shared" si="0"/>
        <v>28</v>
      </c>
      <c r="C29" s="35">
        <v>8</v>
      </c>
      <c r="D29" s="32">
        <v>2022</v>
      </c>
      <c r="E29" s="33">
        <f>INDEX('13 - Electrical Readings'!$C$8:$C$964,1+(2*(ROWS(A$1:A28)-1)))</f>
        <v>16793</v>
      </c>
      <c r="F29" s="33">
        <f>INDEX('13 - Electrical Readings'!$D$6:$D$964,1+(2*(ROWS(A$1:A29)-1)))</f>
        <v>758</v>
      </c>
      <c r="G29" s="32">
        <f>INDEX('13 - Electrical Readings'!$E$6:$E$964,1+(2*(ROWS(A$1:A29)-1)))</f>
        <v>17450</v>
      </c>
      <c r="H29" s="32">
        <f>INDEX('13 - Electrical Readings'!$F$6:$F$964,1+(2*(ROWS(A$1:A29)-1)))</f>
        <v>9177</v>
      </c>
      <c r="I29" s="33">
        <f>INDEX('13 - Electrical Readings'!$G$6:$G$964,1+(2*(ROWS(A$1:A29)-1)))</f>
        <v>11617</v>
      </c>
      <c r="J29" s="32">
        <f>INDEX('13 - Electrical Readings'!$I$6:$I$964,1+(2*(ROWS(A$1:A29)-1)))</f>
        <v>2570</v>
      </c>
      <c r="K29" s="32">
        <f>INDEX('13 - Electrical Readings'!$J$6:$J$964,1+(2*(ROWS(B$1:B29)-1)))</f>
        <v>9336</v>
      </c>
      <c r="L29" s="32">
        <f>INDEX('13 - Electrical Readings'!$K$6:$K$964,1+(2*(ROWS(C$1:C29)-1)))</f>
        <v>3189</v>
      </c>
      <c r="M29" s="32">
        <f>INDEX('13 - Electrical Readings'!$L$6:$L$964,1+(2*(ROWS(D$1:D29)-1)))</f>
        <v>4322</v>
      </c>
      <c r="N29" s="32">
        <f>INDEX('13 - Electrical Readings'!$M$6:$M$964,1+(2*(ROWS(E$1:E29)-1)))</f>
        <v>10879</v>
      </c>
      <c r="O29" s="33">
        <f>INDEX('13 - Electrical Readings'!$N$6:$N$964,1+(2*(ROWS(E$1:E29)-1)))</f>
        <v>8369</v>
      </c>
      <c r="P29" s="33">
        <f>INDEX('13 - Electrical Readings'!$O$6:$O$964,1+(2*(ROWS(E$1:E29)-1)))</f>
        <v>3912</v>
      </c>
      <c r="Q29" s="33">
        <f>INDEX('13 - Electrical Readings'!$P$6:$P$964,1+(2*(ROWS(E$1:E29)-1)))</f>
        <v>2590</v>
      </c>
      <c r="R29" s="33">
        <f>INDEX('9 - Water Readings'!$C$8:$C$968,1+(2*(ROWS(A$1:A28)-1)))</f>
        <v>0</v>
      </c>
      <c r="S29" s="33">
        <f>INDEX('9 - Water Readings'!$D$8:$D$967,1+(2*(ROWS(A$1:A28)-1)))</f>
        <v>0</v>
      </c>
      <c r="T29" s="33">
        <f>INDEX('9 - Water Readings'!$E$8:$E$968,1+(2*(ROWS(A$1:A28)-1)))</f>
        <v>0</v>
      </c>
      <c r="U29" s="33">
        <f>INDEX('9 - Water Readings'!$G$8:$G$967,1+(2*(ROWS(A$1:A28)-1)))</f>
        <v>116</v>
      </c>
      <c r="V29" s="33">
        <f>INDEX('9 - Water Readings'!$H$8:$H$968,1+(2*(ROWS(A$1:A28)-1)))</f>
        <v>20</v>
      </c>
      <c r="W29" s="33">
        <f>INDEX('9 - Water Readings'!$I$8:$I$968,1+(2*(ROWS(A$1:A28)-1)))</f>
        <v>0</v>
      </c>
      <c r="X29" s="33">
        <f>INDEX('9 - Water Readings'!$J$8:$J$968,1+(2*(ROWS(A$1:A28)-1)))</f>
        <v>207</v>
      </c>
      <c r="Y29" s="33">
        <f>INDEX('9 - Water Readings'!$K$8:$K$968,1+(2*(ROWS(A$1:A28)-1)))</f>
        <v>0</v>
      </c>
      <c r="Z29" s="33">
        <f>INDEX('9 - Water Readings'!$L$8:$L$968,1+(2*(ROWS(A$1:A28)-1)))</f>
        <v>32</v>
      </c>
      <c r="AA29" s="34">
        <f>'9 - Water Readings'!Q34</f>
        <v>42</v>
      </c>
      <c r="AB29" s="32">
        <f>'9 - Water Readings'!R34</f>
        <v>146</v>
      </c>
      <c r="AC29">
        <f>'9 - Water Readings'!S34</f>
        <v>14.8</v>
      </c>
    </row>
    <row r="30" spans="1:29" x14ac:dyDescent="0.25">
      <c r="A30" s="35" t="s">
        <v>11</v>
      </c>
      <c r="B30" s="35">
        <f t="shared" si="0"/>
        <v>29</v>
      </c>
      <c r="C30" s="35">
        <v>8</v>
      </c>
      <c r="D30" s="32">
        <v>2022</v>
      </c>
      <c r="E30" s="33">
        <f>INDEX('13 - Electrical Readings'!$C$8:$C$964,1+(2*(ROWS(A$1:A29)-1)))</f>
        <v>19729</v>
      </c>
      <c r="F30" s="33">
        <f>INDEX('13 - Electrical Readings'!$D$6:$D$964,1+(2*(ROWS(A$1:A30)-1)))</f>
        <v>763</v>
      </c>
      <c r="G30" s="32">
        <f>INDEX('13 - Electrical Readings'!$E$6:$E$964,1+(2*(ROWS(A$1:A30)-1)))</f>
        <v>19013</v>
      </c>
      <c r="H30" s="32">
        <f>INDEX('13 - Electrical Readings'!$F$6:$F$964,1+(2*(ROWS(A$1:A30)-1)))</f>
        <v>14219</v>
      </c>
      <c r="I30" s="33">
        <f>INDEX('13 - Electrical Readings'!$G$6:$G$964,1+(2*(ROWS(A$1:A30)-1)))</f>
        <v>1045</v>
      </c>
      <c r="J30" s="32">
        <f>INDEX('13 - Electrical Readings'!$I$6:$I$964,1+(2*(ROWS(A$1:A30)-1)))</f>
        <v>2554</v>
      </c>
      <c r="K30" s="32">
        <f>INDEX('13 - Electrical Readings'!$J$6:$J$964,1+(2*(ROWS(B$1:B30)-1)))</f>
        <v>8998</v>
      </c>
      <c r="L30" s="32">
        <f>INDEX('13 - Electrical Readings'!$K$6:$K$964,1+(2*(ROWS(C$1:C30)-1)))</f>
        <v>3060</v>
      </c>
      <c r="M30" s="32">
        <f>INDEX('13 - Electrical Readings'!$L$6:$L$964,1+(2*(ROWS(D$1:D30)-1)))</f>
        <v>4329</v>
      </c>
      <c r="N30" s="32">
        <f>INDEX('13 - Electrical Readings'!$M$6:$M$964,1+(2*(ROWS(E$1:E30)-1)))</f>
        <v>10065</v>
      </c>
      <c r="O30" s="33">
        <f>INDEX('13 - Electrical Readings'!$N$6:$N$964,1+(2*(ROWS(E$1:E30)-1)))</f>
        <v>8873</v>
      </c>
      <c r="P30" s="33">
        <f>INDEX('13 - Electrical Readings'!$O$6:$O$964,1+(2*(ROWS(E$1:E30)-1)))</f>
        <v>4223</v>
      </c>
      <c r="Q30" s="33">
        <f>INDEX('13 - Electrical Readings'!$P$6:$P$964,1+(2*(ROWS(E$1:E30)-1)))</f>
        <v>2810</v>
      </c>
      <c r="R30" s="33">
        <f>INDEX('9 - Water Readings'!$C$8:$C$968,1+(2*(ROWS(A$1:A29)-1)))</f>
        <v>6</v>
      </c>
      <c r="S30" s="33">
        <f>INDEX('9 - Water Readings'!$D$8:$D$967,1+(2*(ROWS(A$1:A29)-1)))</f>
        <v>0</v>
      </c>
      <c r="T30" s="33">
        <f>INDEX('9 - Water Readings'!$E$8:$E$968,1+(2*(ROWS(A$1:A29)-1)))</f>
        <v>0</v>
      </c>
      <c r="U30" s="33">
        <f>INDEX('9 - Water Readings'!$G$8:$G$967,1+(2*(ROWS(A$1:A29)-1)))</f>
        <v>117</v>
      </c>
      <c r="V30" s="33">
        <f>INDEX('9 - Water Readings'!$H$8:$H$968,1+(2*(ROWS(A$1:A29)-1)))</f>
        <v>12</v>
      </c>
      <c r="W30" s="33">
        <f>INDEX('9 - Water Readings'!$I$8:$I$968,1+(2*(ROWS(A$1:A29)-1)))</f>
        <v>0</v>
      </c>
      <c r="X30" s="33">
        <f>INDEX('9 - Water Readings'!$J$8:$J$968,1+(2*(ROWS(A$1:A29)-1)))</f>
        <v>163</v>
      </c>
      <c r="Y30" s="33">
        <f>INDEX('9 - Water Readings'!$K$8:$K$968,1+(2*(ROWS(A$1:A29)-1)))</f>
        <v>0</v>
      </c>
      <c r="Z30" s="33">
        <f>INDEX('9 - Water Readings'!$L$8:$L$968,1+(2*(ROWS(A$1:A29)-1)))</f>
        <v>31</v>
      </c>
      <c r="AA30" s="34">
        <f>'9 - Water Readings'!Q35</f>
        <v>41</v>
      </c>
      <c r="AB30" s="32">
        <f>'9 - Water Readings'!R35</f>
        <v>142</v>
      </c>
      <c r="AC30">
        <f>'9 - Water Readings'!S35</f>
        <v>14</v>
      </c>
    </row>
    <row r="31" spans="1:29" x14ac:dyDescent="0.25">
      <c r="A31" s="35" t="s">
        <v>11</v>
      </c>
      <c r="B31" s="35">
        <f>B30+1</f>
        <v>30</v>
      </c>
      <c r="C31" s="35">
        <v>8</v>
      </c>
      <c r="D31" s="32">
        <v>2022</v>
      </c>
      <c r="E31" s="33">
        <f>INDEX('13 - Electrical Readings'!$C$8:$C$964,1+(2*(ROWS(A$1:A30)-1)))</f>
        <v>19097</v>
      </c>
      <c r="F31" s="33">
        <f>INDEX('13 - Electrical Readings'!$D$6:$D$964,1+(2*(ROWS(A$1:A31)-1)))</f>
        <v>742</v>
      </c>
      <c r="G31" s="32">
        <f>INDEX('13 - Electrical Readings'!$E$6:$E$964,1+(2*(ROWS(A$1:A31)-1)))</f>
        <v>14013</v>
      </c>
      <c r="H31" s="32">
        <f>INDEX('13 - Electrical Readings'!$F$6:$F$964,1+(2*(ROWS(A$1:A31)-1)))</f>
        <v>17480</v>
      </c>
      <c r="I31" s="33">
        <f>INDEX('13 - Electrical Readings'!$G$6:$G$964,1+(2*(ROWS(A$1:A31)-1)))</f>
        <v>12</v>
      </c>
      <c r="J31" s="32">
        <f>INDEX('13 - Electrical Readings'!$I$6:$I$964,1+(2*(ROWS(A$1:A31)-1)))</f>
        <v>2546</v>
      </c>
      <c r="K31" s="32">
        <f>INDEX('13 - Electrical Readings'!$J$6:$J$964,1+(2*(ROWS(B$1:B31)-1)))</f>
        <v>9210</v>
      </c>
      <c r="L31" s="32">
        <f>INDEX('13 - Electrical Readings'!$K$6:$K$964,1+(2*(ROWS(C$1:C31)-1)))</f>
        <v>3208</v>
      </c>
      <c r="M31" s="32">
        <f>INDEX('13 - Electrical Readings'!$L$6:$L$964,1+(2*(ROWS(D$1:D31)-1)))</f>
        <v>4366</v>
      </c>
      <c r="N31" s="32">
        <f>INDEX('13 - Electrical Readings'!$M$6:$M$964,1+(2*(ROWS(E$1:E31)-1)))</f>
        <v>10386</v>
      </c>
      <c r="O31" s="33">
        <f>INDEX('13 - Electrical Readings'!$N$6:$N$964,1+(2*(ROWS(E$1:E31)-1)))</f>
        <v>8783</v>
      </c>
      <c r="P31" s="33">
        <f>INDEX('13 - Electrical Readings'!$O$6:$O$964,1+(2*(ROWS(E$1:E31)-1)))</f>
        <v>4094</v>
      </c>
      <c r="Q31" s="33">
        <f>INDEX('13 - Electrical Readings'!$P$6:$P$964,1+(2*(ROWS(E$1:E31)-1)))</f>
        <v>2760</v>
      </c>
      <c r="R31" s="33">
        <f>INDEX('9 - Water Readings'!$C$8:$C$968,1+(2*(ROWS(A$1:A30)-1)))</f>
        <v>0</v>
      </c>
      <c r="S31" s="33">
        <f>INDEX('9 - Water Readings'!$D$8:$D$967,1+(2*(ROWS(A$1:A30)-1)))</f>
        <v>0</v>
      </c>
      <c r="T31" s="33">
        <f>INDEX('9 - Water Readings'!$E$8:$E$968,1+(2*(ROWS(A$1:A30)-1)))</f>
        <v>0</v>
      </c>
      <c r="U31" s="33">
        <f>INDEX('9 - Water Readings'!$G$8:$G$967,1+(2*(ROWS(A$1:A30)-1)))</f>
        <v>114</v>
      </c>
      <c r="V31" s="33">
        <f>INDEX('9 - Water Readings'!$H$8:$H$968,1+(2*(ROWS(A$1:A30)-1)))</f>
        <v>19</v>
      </c>
      <c r="W31" s="33">
        <f>INDEX('9 - Water Readings'!$I$8:$I$968,1+(2*(ROWS(A$1:A30)-1)))</f>
        <v>0</v>
      </c>
      <c r="X31" s="33">
        <f>INDEX('9 - Water Readings'!$J$8:$J$968,1+(2*(ROWS(A$1:A30)-1)))</f>
        <v>179</v>
      </c>
      <c r="Y31" s="33">
        <f>INDEX('9 - Water Readings'!$K$8:$K$968,1+(2*(ROWS(A$1:A30)-1)))</f>
        <v>0</v>
      </c>
      <c r="Z31" s="33">
        <f>INDEX('9 - Water Readings'!$L$8:$L$968,1+(2*(ROWS(A$1:A30)-1)))</f>
        <v>37</v>
      </c>
      <c r="AA31" s="34">
        <f>'9 - Water Readings'!Q36</f>
        <v>49</v>
      </c>
      <c r="AB31" s="32">
        <f>'9 - Water Readings'!R36</f>
        <v>162</v>
      </c>
      <c r="AC31">
        <f>'9 - Water Readings'!S36</f>
        <v>14.1</v>
      </c>
    </row>
    <row r="32" spans="1:29" x14ac:dyDescent="0.25">
      <c r="A32" s="35" t="s">
        <v>11</v>
      </c>
      <c r="B32" s="35">
        <f>B31+1</f>
        <v>31</v>
      </c>
      <c r="C32" s="35">
        <v>8</v>
      </c>
      <c r="D32" s="32">
        <v>2022</v>
      </c>
      <c r="E32" s="33">
        <f>INDEX('13 - Electrical Readings'!$C$8:$C$964,1+(2*(ROWS(A$1:A31)-1)))</f>
        <v>19192</v>
      </c>
      <c r="F32" s="33">
        <f>INDEX('13 - Electrical Readings'!$D$6:$D$964,1+(2*(ROWS(A$1:A32)-1)))</f>
        <v>729</v>
      </c>
      <c r="G32" s="32">
        <f>INDEX('13 - Electrical Readings'!$E$6:$E$964,1+(2*(ROWS(A$1:A32)-1)))</f>
        <v>16116</v>
      </c>
      <c r="H32" s="32">
        <f>INDEX('13 - Electrical Readings'!$F$6:$F$964,1+(2*(ROWS(A$1:A32)-1)))</f>
        <v>17607</v>
      </c>
      <c r="I32" s="33">
        <f>INDEX('13 - Electrical Readings'!$G$6:$G$964,1+(2*(ROWS(A$1:A32)-1)))</f>
        <v>12</v>
      </c>
      <c r="J32" s="32">
        <f>INDEX('13 - Electrical Readings'!$I$6:$I$964,1+(2*(ROWS(A$1:A32)-1)))</f>
        <v>2531</v>
      </c>
      <c r="K32" s="32">
        <f>INDEX('13 - Electrical Readings'!$J$6:$J$964,1+(2*(ROWS(B$1:B32)-1)))</f>
        <v>9247</v>
      </c>
      <c r="L32" s="32">
        <f>INDEX('13 - Electrical Readings'!$K$6:$K$964,1+(2*(ROWS(C$1:C32)-1)))</f>
        <v>3122</v>
      </c>
      <c r="M32" s="32">
        <f>INDEX('13 - Electrical Readings'!$L$6:$L$964,1+(2*(ROWS(D$1:D32)-1)))</f>
        <v>4460</v>
      </c>
      <c r="N32" s="32">
        <f>INDEX('13 - Electrical Readings'!$M$6:$M$964,1+(2*(ROWS(E$1:E32)-1)))</f>
        <v>10479</v>
      </c>
      <c r="O32" s="33">
        <f>INDEX('13 - Electrical Readings'!$N$6:$N$964,1+(2*(ROWS(E$1:E32)-1)))</f>
        <v>8737</v>
      </c>
      <c r="P32" s="33">
        <f>INDEX('13 - Electrical Readings'!$O$6:$O$964,1+(2*(ROWS(E$1:E32)-1)))</f>
        <v>4078</v>
      </c>
      <c r="Q32" s="33">
        <f>INDEX('13 - Electrical Readings'!$P$6:$P$964,1+(2*(ROWS(E$1:E32)-1)))</f>
        <v>2820</v>
      </c>
      <c r="R32" s="33">
        <f>INDEX('9 - Water Readings'!$C$8:$C$968,1+(2*(ROWS(A$1:A31)-1)))</f>
        <v>0</v>
      </c>
      <c r="S32" s="33">
        <f>INDEX('9 - Water Readings'!$D$8:$D$967,1+(2*(ROWS(A$1:A31)-1)))</f>
        <v>0</v>
      </c>
      <c r="T32" s="33">
        <f>INDEX('9 - Water Readings'!$E$8:$E$968,1+(2*(ROWS(A$1:A31)-1)))</f>
        <v>0</v>
      </c>
      <c r="U32" s="33">
        <f>INDEX('9 - Water Readings'!$G$8:$G$967,1+(2*(ROWS(A$1:A31)-1)))</f>
        <v>111</v>
      </c>
      <c r="V32" s="33">
        <f>INDEX('9 - Water Readings'!$H$8:$H$968,1+(2*(ROWS(A$1:A31)-1)))</f>
        <v>32</v>
      </c>
      <c r="W32" s="33">
        <f>INDEX('9 - Water Readings'!$I$8:$I$968,1+(2*(ROWS(A$1:A31)-1)))</f>
        <v>0</v>
      </c>
      <c r="X32" s="33">
        <f>INDEX('9 - Water Readings'!$J$8:$J$968,1+(2*(ROWS(A$1:A31)-1)))</f>
        <v>173</v>
      </c>
      <c r="Y32" s="33">
        <f>INDEX('9 - Water Readings'!$K$8:$K$968,1+(2*(ROWS(A$1:A31)-1)))</f>
        <v>0</v>
      </c>
      <c r="Z32" s="33">
        <f>INDEX('9 - Water Readings'!$L$8:$L$968,1+(2*(ROWS(A$1:A31)-1)))</f>
        <v>44</v>
      </c>
      <c r="AA32" s="34">
        <f>'9 - Water Readings'!Q37</f>
        <v>55</v>
      </c>
      <c r="AB32" s="32">
        <f>'9 - Water Readings'!R37</f>
        <v>186</v>
      </c>
      <c r="AC32">
        <f>'9 - Water Readings'!S37</f>
        <v>14.3</v>
      </c>
    </row>
    <row r="33" spans="9:29" x14ac:dyDescent="0.25">
      <c r="I33" s="33"/>
      <c r="AA33" s="34"/>
      <c r="AC33"/>
    </row>
    <row r="34" spans="9:29" x14ac:dyDescent="0.25">
      <c r="I34" s="33"/>
      <c r="AA34" s="34"/>
      <c r="AC34"/>
    </row>
  </sheetData>
  <customSheetViews>
    <customSheetView guid="{91089E3D-1703-4FEE-B13A-4F0669A06DB8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3F0D6565-C55E-43AC-AC5D-87C4E1D85423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3"/>
  <sheetViews>
    <sheetView zoomScaleNormal="100" zoomScaleSheetLayoutView="100" workbookViewId="0">
      <pane ySplit="6" topLeftCell="A49" activePane="bottomLeft" state="frozen"/>
      <selection pane="bottomLeft" activeCell="Q71" sqref="Q71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101" t="s">
        <v>34</v>
      </c>
      <c r="G2" s="101"/>
      <c r="H2" s="101"/>
      <c r="I2" s="101"/>
      <c r="J2" s="101"/>
      <c r="K2" s="101"/>
      <c r="L2" s="101"/>
      <c r="M2" s="101"/>
    </row>
    <row r="3" spans="2:18" ht="21" customHeight="1" x14ac:dyDescent="0.3">
      <c r="F3" s="102" t="s">
        <v>35</v>
      </c>
      <c r="G3" s="102"/>
      <c r="H3" s="102"/>
      <c r="I3" s="102"/>
      <c r="J3" s="102"/>
      <c r="K3" s="102"/>
      <c r="L3" s="102"/>
      <c r="M3" s="102"/>
      <c r="N3" s="98" t="s">
        <v>36</v>
      </c>
      <c r="O3" s="98"/>
      <c r="P3" s="98"/>
    </row>
    <row r="4" spans="2:18" ht="15" customHeight="1" thickBot="1" x14ac:dyDescent="0.3">
      <c r="N4" s="98"/>
      <c r="O4" s="98"/>
      <c r="P4" s="98"/>
    </row>
    <row r="5" spans="2:18" ht="30.75" thickTop="1" x14ac:dyDescent="0.25">
      <c r="B5" s="99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5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3" t="s">
        <v>45</v>
      </c>
      <c r="R5" s="96" t="s">
        <v>46</v>
      </c>
    </row>
    <row r="6" spans="2:18" x14ac:dyDescent="0.25">
      <c r="B6" s="100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6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4"/>
      <c r="R6" s="97"/>
    </row>
    <row r="7" spans="2:18" ht="17.25" customHeight="1" x14ac:dyDescent="0.25">
      <c r="B7" s="22">
        <v>1</v>
      </c>
      <c r="C7" s="7">
        <v>21362000</v>
      </c>
      <c r="D7" s="7">
        <v>15219586</v>
      </c>
      <c r="E7" s="7">
        <v>27518696</v>
      </c>
      <c r="F7" s="7">
        <v>27599874</v>
      </c>
      <c r="G7" s="7">
        <v>17097867</v>
      </c>
      <c r="H7" s="8"/>
      <c r="I7" s="46">
        <v>6163470</v>
      </c>
      <c r="J7" s="46">
        <v>27063381</v>
      </c>
      <c r="K7" s="46">
        <v>8977448</v>
      </c>
      <c r="L7" s="46">
        <v>13393120</v>
      </c>
      <c r="M7" s="46">
        <v>20068069</v>
      </c>
      <c r="N7" s="46">
        <v>25791897</v>
      </c>
      <c r="O7" s="46">
        <v>8321808</v>
      </c>
      <c r="P7" s="46">
        <v>7521750</v>
      </c>
      <c r="Q7" s="9"/>
      <c r="R7" s="10"/>
    </row>
    <row r="8" spans="2:18" ht="17.25" customHeight="1" x14ac:dyDescent="0.25">
      <c r="B8" s="11" t="s">
        <v>47</v>
      </c>
      <c r="C8" s="50">
        <v>19527</v>
      </c>
      <c r="D8" s="50">
        <v>724</v>
      </c>
      <c r="E8" s="50">
        <v>19423</v>
      </c>
      <c r="F8" s="50">
        <v>18092</v>
      </c>
      <c r="G8" s="50">
        <v>12</v>
      </c>
      <c r="H8" s="8">
        <f>+G8+F8+E8+D8+C8</f>
        <v>57778</v>
      </c>
      <c r="I8" s="50">
        <v>2447</v>
      </c>
      <c r="J8" s="50">
        <v>8479</v>
      </c>
      <c r="K8" s="50">
        <v>3302</v>
      </c>
      <c r="L8" s="50">
        <v>4208</v>
      </c>
      <c r="M8" s="50">
        <v>10687</v>
      </c>
      <c r="N8" s="50">
        <v>8690</v>
      </c>
      <c r="O8" s="50">
        <v>3900</v>
      </c>
      <c r="P8" s="50">
        <v>2740</v>
      </c>
      <c r="Q8" s="13">
        <f>P8+O8+N8+M8+L8+K8+J8+I8</f>
        <v>44453</v>
      </c>
      <c r="R8" s="14">
        <f>Q8+H8</f>
        <v>102231</v>
      </c>
    </row>
    <row r="9" spans="2:18" ht="17.25" customHeight="1" x14ac:dyDescent="0.25">
      <c r="B9" s="22">
        <v>2</v>
      </c>
      <c r="C9" s="7">
        <v>21382856</v>
      </c>
      <c r="D9" s="7">
        <v>15220310</v>
      </c>
      <c r="E9" s="7">
        <v>27539033</v>
      </c>
      <c r="F9" s="7">
        <v>27618871</v>
      </c>
      <c r="G9" s="7">
        <v>17097881</v>
      </c>
      <c r="H9" s="8"/>
      <c r="I9" s="46">
        <v>6165822</v>
      </c>
      <c r="J9" s="46">
        <v>27071602</v>
      </c>
      <c r="K9" s="46">
        <v>8980699</v>
      </c>
      <c r="L9" s="46">
        <v>13397502</v>
      </c>
      <c r="M9" s="46">
        <v>20078851</v>
      </c>
      <c r="N9" s="46">
        <v>25800612</v>
      </c>
      <c r="O9" s="46">
        <v>8325849</v>
      </c>
      <c r="P9" s="46">
        <v>7524540</v>
      </c>
      <c r="Q9" s="9"/>
      <c r="R9" s="15"/>
    </row>
    <row r="10" spans="2:18" ht="17.25" customHeight="1" x14ac:dyDescent="0.25">
      <c r="B10" s="11" t="s">
        <v>47</v>
      </c>
      <c r="C10" s="50">
        <f>C9-C7</f>
        <v>20856</v>
      </c>
      <c r="D10" s="50">
        <f t="shared" ref="D10:G10" si="0">D9-D7</f>
        <v>724</v>
      </c>
      <c r="E10" s="50">
        <f t="shared" si="0"/>
        <v>20337</v>
      </c>
      <c r="F10" s="50">
        <f t="shared" si="0"/>
        <v>18997</v>
      </c>
      <c r="G10" s="50">
        <f t="shared" si="0"/>
        <v>14</v>
      </c>
      <c r="H10" s="8">
        <f>+G10+F10+E10+D10+C10</f>
        <v>60928</v>
      </c>
      <c r="I10" s="12">
        <f>I9-I7</f>
        <v>2352</v>
      </c>
      <c r="J10" s="12">
        <f t="shared" ref="J10:P20" si="1">J9-J7</f>
        <v>8221</v>
      </c>
      <c r="K10" s="12">
        <f t="shared" si="1"/>
        <v>3251</v>
      </c>
      <c r="L10" s="12">
        <f t="shared" si="1"/>
        <v>4382</v>
      </c>
      <c r="M10" s="12">
        <f t="shared" si="1"/>
        <v>10782</v>
      </c>
      <c r="N10" s="12">
        <f t="shared" si="1"/>
        <v>8715</v>
      </c>
      <c r="O10" s="12">
        <f t="shared" si="1"/>
        <v>4041</v>
      </c>
      <c r="P10" s="12">
        <f t="shared" si="1"/>
        <v>2790</v>
      </c>
      <c r="Q10" s="13">
        <f>P10+O10+N10+M10+L10+K10+J10+I10</f>
        <v>44534</v>
      </c>
      <c r="R10" s="14">
        <f>Q10+H10</f>
        <v>105462</v>
      </c>
    </row>
    <row r="11" spans="2:18" ht="17.25" customHeight="1" x14ac:dyDescent="0.25">
      <c r="B11" s="22">
        <v>3</v>
      </c>
      <c r="C11" s="7">
        <v>21403393</v>
      </c>
      <c r="D11" s="7">
        <v>15221036</v>
      </c>
      <c r="E11" s="7">
        <v>27559055</v>
      </c>
      <c r="F11" s="7">
        <v>27637556</v>
      </c>
      <c r="G11" s="7">
        <v>17097895</v>
      </c>
      <c r="H11" s="8"/>
      <c r="I11" s="46">
        <v>6168235</v>
      </c>
      <c r="J11" s="46">
        <v>27079921</v>
      </c>
      <c r="K11" s="46">
        <v>8984009</v>
      </c>
      <c r="L11" s="46">
        <v>13401663</v>
      </c>
      <c r="M11" s="46">
        <v>20089582</v>
      </c>
      <c r="N11" s="46">
        <v>25809178</v>
      </c>
      <c r="O11" s="46">
        <v>8329950</v>
      </c>
      <c r="P11" s="46">
        <v>7527360</v>
      </c>
      <c r="Q11" s="9"/>
      <c r="R11" s="10"/>
    </row>
    <row r="12" spans="2:18" ht="17.25" customHeight="1" x14ac:dyDescent="0.25">
      <c r="B12" s="11" t="s">
        <v>47</v>
      </c>
      <c r="C12" s="50">
        <f>C11-C9</f>
        <v>20537</v>
      </c>
      <c r="D12" s="50">
        <f t="shared" ref="D12:G12" si="2">D11-D9</f>
        <v>726</v>
      </c>
      <c r="E12" s="50">
        <f t="shared" si="2"/>
        <v>20022</v>
      </c>
      <c r="F12" s="50">
        <f t="shared" si="2"/>
        <v>18685</v>
      </c>
      <c r="G12" s="50">
        <f t="shared" si="2"/>
        <v>14</v>
      </c>
      <c r="H12" s="8">
        <f>+G12+F12+E12+D12+C12</f>
        <v>59984</v>
      </c>
      <c r="I12" s="12">
        <f>I11-I9</f>
        <v>2413</v>
      </c>
      <c r="J12" s="12">
        <f t="shared" si="1"/>
        <v>8319</v>
      </c>
      <c r="K12" s="12">
        <f t="shared" si="1"/>
        <v>3310</v>
      </c>
      <c r="L12" s="12">
        <f t="shared" si="1"/>
        <v>4161</v>
      </c>
      <c r="M12" s="12">
        <f t="shared" si="1"/>
        <v>10731</v>
      </c>
      <c r="N12" s="12">
        <f t="shared" si="1"/>
        <v>8566</v>
      </c>
      <c r="O12" s="12">
        <f t="shared" si="1"/>
        <v>4101</v>
      </c>
      <c r="P12" s="12">
        <f t="shared" si="1"/>
        <v>2820</v>
      </c>
      <c r="Q12" s="13">
        <f>P12+O12+N12+M12+L12+K12+J12+I12</f>
        <v>44421</v>
      </c>
      <c r="R12" s="14">
        <f>Q12+H12</f>
        <v>104405</v>
      </c>
    </row>
    <row r="13" spans="2:18" ht="17.25" customHeight="1" x14ac:dyDescent="0.25">
      <c r="B13" s="22">
        <v>4</v>
      </c>
      <c r="C13" s="7">
        <v>21422840</v>
      </c>
      <c r="D13" s="7">
        <v>15221780</v>
      </c>
      <c r="E13" s="7">
        <v>27578371</v>
      </c>
      <c r="F13" s="7">
        <v>27655522</v>
      </c>
      <c r="G13" s="7">
        <v>17097908</v>
      </c>
      <c r="H13" s="8"/>
      <c r="I13" s="58">
        <v>6170697</v>
      </c>
      <c r="J13" s="61">
        <v>27088296</v>
      </c>
      <c r="K13" s="59">
        <v>8987119</v>
      </c>
      <c r="L13" s="59">
        <v>13405900</v>
      </c>
      <c r="M13" s="59">
        <v>20100294</v>
      </c>
      <c r="N13" s="59">
        <v>25817804</v>
      </c>
      <c r="O13" s="59">
        <v>8334148</v>
      </c>
      <c r="P13" s="59">
        <v>7530260</v>
      </c>
      <c r="Q13" s="9"/>
      <c r="R13" s="15"/>
    </row>
    <row r="14" spans="2:18" ht="17.25" customHeight="1" x14ac:dyDescent="0.25">
      <c r="B14" s="11" t="s">
        <v>47</v>
      </c>
      <c r="C14" s="50">
        <f>C13-C11</f>
        <v>19447</v>
      </c>
      <c r="D14" s="50">
        <f t="shared" ref="D14:G14" si="3">D13-D11</f>
        <v>744</v>
      </c>
      <c r="E14" s="50">
        <f t="shared" si="3"/>
        <v>19316</v>
      </c>
      <c r="F14" s="50">
        <f t="shared" si="3"/>
        <v>17966</v>
      </c>
      <c r="G14" s="50">
        <f t="shared" si="3"/>
        <v>13</v>
      </c>
      <c r="H14" s="8">
        <f>+G14+F14+E14+D14+C14</f>
        <v>57486</v>
      </c>
      <c r="I14" s="12">
        <f>I13-I11</f>
        <v>2462</v>
      </c>
      <c r="J14" s="12">
        <f t="shared" si="1"/>
        <v>8375</v>
      </c>
      <c r="K14" s="12">
        <f t="shared" si="1"/>
        <v>3110</v>
      </c>
      <c r="L14" s="12">
        <f t="shared" si="1"/>
        <v>4237</v>
      </c>
      <c r="M14" s="12">
        <f t="shared" si="1"/>
        <v>10712</v>
      </c>
      <c r="N14" s="12">
        <f t="shared" si="1"/>
        <v>8626</v>
      </c>
      <c r="O14" s="12">
        <f t="shared" si="1"/>
        <v>4198</v>
      </c>
      <c r="P14" s="12">
        <f t="shared" si="1"/>
        <v>2900</v>
      </c>
      <c r="Q14" s="13">
        <f>P14+O14+N14+M14+L14+K14+J14+I14</f>
        <v>44620</v>
      </c>
      <c r="R14" s="14">
        <f>Q14+H14</f>
        <v>102106</v>
      </c>
    </row>
    <row r="15" spans="2:18" ht="17.25" customHeight="1" x14ac:dyDescent="0.25">
      <c r="B15" s="22">
        <v>5</v>
      </c>
      <c r="C15" s="58">
        <v>21443732</v>
      </c>
      <c r="D15" s="63">
        <v>15222505</v>
      </c>
      <c r="E15" s="58">
        <v>27598623</v>
      </c>
      <c r="F15" s="59">
        <v>27674386</v>
      </c>
      <c r="G15" s="59">
        <v>17097921</v>
      </c>
      <c r="H15" s="60" t="s">
        <v>48</v>
      </c>
      <c r="I15" s="59">
        <v>6173180</v>
      </c>
      <c r="J15" s="59">
        <v>27097110</v>
      </c>
      <c r="K15" s="59">
        <v>8990278</v>
      </c>
      <c r="L15" s="59">
        <v>13410256</v>
      </c>
      <c r="M15" s="61">
        <v>20111160</v>
      </c>
      <c r="N15" s="59">
        <v>25826931</v>
      </c>
      <c r="O15" s="59">
        <v>8338416</v>
      </c>
      <c r="P15" s="59">
        <v>7533430</v>
      </c>
      <c r="Q15" s="9"/>
      <c r="R15" s="10"/>
    </row>
    <row r="16" spans="2:18" ht="17.25" customHeight="1" x14ac:dyDescent="0.25">
      <c r="B16" s="11" t="s">
        <v>47</v>
      </c>
      <c r="C16" s="50">
        <f>C15-C13</f>
        <v>20892</v>
      </c>
      <c r="D16" s="50">
        <f t="shared" ref="D16:G16" si="4">D15-D13</f>
        <v>725</v>
      </c>
      <c r="E16" s="50">
        <f t="shared" si="4"/>
        <v>20252</v>
      </c>
      <c r="F16" s="50">
        <f t="shared" si="4"/>
        <v>18864</v>
      </c>
      <c r="G16" s="50">
        <f t="shared" si="4"/>
        <v>13</v>
      </c>
      <c r="H16" s="8">
        <f>+G16+F16+E16+D16+C16</f>
        <v>60746</v>
      </c>
      <c r="I16" s="12">
        <f>I15-I13</f>
        <v>2483</v>
      </c>
      <c r="J16" s="12">
        <f t="shared" si="1"/>
        <v>8814</v>
      </c>
      <c r="K16" s="12">
        <f t="shared" si="1"/>
        <v>3159</v>
      </c>
      <c r="L16" s="12">
        <f t="shared" si="1"/>
        <v>4356</v>
      </c>
      <c r="M16" s="12">
        <f t="shared" si="1"/>
        <v>10866</v>
      </c>
      <c r="N16" s="12">
        <f t="shared" si="1"/>
        <v>9127</v>
      </c>
      <c r="O16" s="12">
        <f t="shared" si="1"/>
        <v>4268</v>
      </c>
      <c r="P16" s="12">
        <f t="shared" si="1"/>
        <v>3170</v>
      </c>
      <c r="Q16" s="13">
        <f>P16+O16+N16+M16+L16+K16+J16+I16</f>
        <v>46243</v>
      </c>
      <c r="R16" s="14">
        <f>Q16+H16</f>
        <v>106989</v>
      </c>
    </row>
    <row r="17" spans="2:18" ht="17.25" customHeight="1" x14ac:dyDescent="0.25">
      <c r="B17" s="22">
        <v>6</v>
      </c>
      <c r="C17" s="7">
        <v>21464918</v>
      </c>
      <c r="D17" s="47">
        <v>15223253</v>
      </c>
      <c r="E17" s="7">
        <v>27619175</v>
      </c>
      <c r="F17" s="7">
        <v>27693468</v>
      </c>
      <c r="G17" s="7">
        <v>17097935</v>
      </c>
      <c r="H17" s="8"/>
      <c r="I17" s="46">
        <v>6175624</v>
      </c>
      <c r="J17" s="46">
        <v>27105409</v>
      </c>
      <c r="K17" s="46">
        <v>8993347</v>
      </c>
      <c r="L17" s="46">
        <v>13414358</v>
      </c>
      <c r="M17" s="46">
        <v>20121327</v>
      </c>
      <c r="N17" s="46">
        <v>25835644</v>
      </c>
      <c r="O17" s="46">
        <v>8342529</v>
      </c>
      <c r="P17" s="73">
        <v>7536360</v>
      </c>
      <c r="Q17" s="9"/>
      <c r="R17" s="10"/>
    </row>
    <row r="18" spans="2:18" ht="17.25" customHeight="1" x14ac:dyDescent="0.25">
      <c r="B18" s="11" t="s">
        <v>47</v>
      </c>
      <c r="C18" s="50">
        <f>C17-C15</f>
        <v>21186</v>
      </c>
      <c r="D18" s="50">
        <f t="shared" ref="D18:G18" si="5">D17-D15</f>
        <v>748</v>
      </c>
      <c r="E18" s="50">
        <f t="shared" si="5"/>
        <v>20552</v>
      </c>
      <c r="F18" s="50">
        <f t="shared" si="5"/>
        <v>19082</v>
      </c>
      <c r="G18" s="50">
        <f t="shared" si="5"/>
        <v>14</v>
      </c>
      <c r="H18" s="8">
        <f>+G18+F18+E18+D18+C18</f>
        <v>61582</v>
      </c>
      <c r="I18" s="12">
        <f>I17-I15</f>
        <v>2444</v>
      </c>
      <c r="J18" s="12">
        <f t="shared" si="1"/>
        <v>8299</v>
      </c>
      <c r="K18" s="12">
        <f t="shared" si="1"/>
        <v>3069</v>
      </c>
      <c r="L18" s="12">
        <f t="shared" si="1"/>
        <v>4102</v>
      </c>
      <c r="M18" s="12">
        <f t="shared" si="1"/>
        <v>10167</v>
      </c>
      <c r="N18" s="12">
        <f t="shared" si="1"/>
        <v>8713</v>
      </c>
      <c r="O18" s="12">
        <f t="shared" si="1"/>
        <v>4113</v>
      </c>
      <c r="P18" s="12">
        <f t="shared" si="1"/>
        <v>2930</v>
      </c>
      <c r="Q18" s="13">
        <f>P18+O18+N18+M18+L18+K18+J18+I18</f>
        <v>43837</v>
      </c>
      <c r="R18" s="14">
        <f>Q18+H18</f>
        <v>105419</v>
      </c>
    </row>
    <row r="19" spans="2:18" ht="17.25" customHeight="1" x14ac:dyDescent="0.25">
      <c r="B19" s="22">
        <v>7</v>
      </c>
      <c r="C19" s="1">
        <v>21475185</v>
      </c>
      <c r="D19" s="47">
        <v>15234602</v>
      </c>
      <c r="E19" s="7">
        <v>27639743</v>
      </c>
      <c r="F19" s="7">
        <v>27712019</v>
      </c>
      <c r="G19" s="7">
        <v>17097962</v>
      </c>
      <c r="H19" s="8"/>
      <c r="I19" s="46">
        <v>6178222</v>
      </c>
      <c r="J19" s="46">
        <v>27114127</v>
      </c>
      <c r="K19" s="46">
        <v>8996500</v>
      </c>
      <c r="L19" s="46">
        <v>13418737</v>
      </c>
      <c r="M19" s="46">
        <v>20132142</v>
      </c>
      <c r="N19" s="46">
        <v>25844865</v>
      </c>
      <c r="O19" s="46">
        <v>8346687</v>
      </c>
      <c r="P19" s="46">
        <v>7538950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10267</v>
      </c>
      <c r="D20" s="50">
        <f t="shared" ref="D20:G20" si="6">D19-D17</f>
        <v>11349</v>
      </c>
      <c r="E20" s="50">
        <f t="shared" si="6"/>
        <v>20568</v>
      </c>
      <c r="F20" s="50">
        <f t="shared" si="6"/>
        <v>18551</v>
      </c>
      <c r="G20" s="50">
        <f t="shared" si="6"/>
        <v>27</v>
      </c>
      <c r="H20" s="8">
        <f>+G20+F20+E20+D20+C20</f>
        <v>60762</v>
      </c>
      <c r="I20" s="12">
        <f>I19-I17</f>
        <v>2598</v>
      </c>
      <c r="J20" s="12">
        <f t="shared" si="1"/>
        <v>8718</v>
      </c>
      <c r="K20" s="12">
        <f t="shared" si="1"/>
        <v>3153</v>
      </c>
      <c r="L20" s="12">
        <f t="shared" si="1"/>
        <v>4379</v>
      </c>
      <c r="M20" s="12">
        <f t="shared" si="1"/>
        <v>10815</v>
      </c>
      <c r="N20" s="12">
        <f t="shared" si="1"/>
        <v>9221</v>
      </c>
      <c r="O20" s="12">
        <f t="shared" si="1"/>
        <v>4158</v>
      </c>
      <c r="P20" s="12">
        <f t="shared" si="1"/>
        <v>2590</v>
      </c>
      <c r="Q20" s="13">
        <f>P20+O20+N20+M20+L20+K20+J20+I20</f>
        <v>45632</v>
      </c>
      <c r="R20" s="14">
        <f>Q20+H20</f>
        <v>106394</v>
      </c>
    </row>
    <row r="21" spans="2:18" ht="17.25" customHeight="1" x14ac:dyDescent="0.25">
      <c r="B21" s="22">
        <v>8</v>
      </c>
      <c r="C21" s="7">
        <v>21475186</v>
      </c>
      <c r="D21" s="7">
        <v>15248674</v>
      </c>
      <c r="E21" s="7">
        <v>27658370</v>
      </c>
      <c r="F21" s="7">
        <v>27730539</v>
      </c>
      <c r="G21" s="7">
        <v>17097976</v>
      </c>
      <c r="H21" s="8"/>
      <c r="I21" s="58">
        <v>6180745</v>
      </c>
      <c r="J21" s="58">
        <v>27122687</v>
      </c>
      <c r="K21" s="59">
        <v>8999508</v>
      </c>
      <c r="L21" s="59">
        <v>13422946</v>
      </c>
      <c r="M21" s="59">
        <v>20142744</v>
      </c>
      <c r="N21" s="58">
        <v>25853602</v>
      </c>
      <c r="O21" s="58">
        <v>8350587</v>
      </c>
      <c r="P21" s="59">
        <v>7541710</v>
      </c>
      <c r="Q21" s="9"/>
      <c r="R21" s="10"/>
    </row>
    <row r="22" spans="2:18" ht="17.25" customHeight="1" x14ac:dyDescent="0.25">
      <c r="B22" s="11" t="s">
        <v>47</v>
      </c>
      <c r="C22" s="50">
        <f>C21-C19</f>
        <v>1</v>
      </c>
      <c r="D22" s="50">
        <f t="shared" ref="D22:G22" si="7">D21-D19</f>
        <v>14072</v>
      </c>
      <c r="E22" s="50">
        <f t="shared" si="7"/>
        <v>18627</v>
      </c>
      <c r="F22" s="50">
        <f t="shared" si="7"/>
        <v>18520</v>
      </c>
      <c r="G22" s="50">
        <f t="shared" si="7"/>
        <v>14</v>
      </c>
      <c r="H22" s="8">
        <f>+G22+F22+E22+D22+C22</f>
        <v>51234</v>
      </c>
      <c r="I22" s="12">
        <f>I21-I19</f>
        <v>2523</v>
      </c>
      <c r="J22" s="12">
        <f t="shared" ref="J22:P22" si="8">J21-J19</f>
        <v>8560</v>
      </c>
      <c r="K22" s="12">
        <f t="shared" si="8"/>
        <v>3008</v>
      </c>
      <c r="L22" s="12">
        <f t="shared" si="8"/>
        <v>4209</v>
      </c>
      <c r="M22" s="12">
        <f t="shared" si="8"/>
        <v>10602</v>
      </c>
      <c r="N22" s="12">
        <f t="shared" si="8"/>
        <v>8737</v>
      </c>
      <c r="O22" s="12">
        <f t="shared" si="8"/>
        <v>3900</v>
      </c>
      <c r="P22" s="12">
        <f t="shared" si="8"/>
        <v>2760</v>
      </c>
      <c r="Q22" s="13">
        <f>P22+O22+N22+M22+L22+K22+J22+I22</f>
        <v>44299</v>
      </c>
      <c r="R22" s="14">
        <f>Q22+H22</f>
        <v>95533</v>
      </c>
    </row>
    <row r="23" spans="2:18" ht="17.25" customHeight="1" x14ac:dyDescent="0.25">
      <c r="B23" s="22">
        <v>9</v>
      </c>
      <c r="C23" s="7">
        <v>21475189</v>
      </c>
      <c r="D23" s="7">
        <v>15262161</v>
      </c>
      <c r="E23" s="7">
        <v>27678416</v>
      </c>
      <c r="F23" s="7">
        <v>27748505</v>
      </c>
      <c r="G23" s="7">
        <v>17097988</v>
      </c>
      <c r="H23" s="8"/>
      <c r="I23" s="46">
        <v>6183248</v>
      </c>
      <c r="J23" s="46">
        <v>27131408</v>
      </c>
      <c r="K23" s="46">
        <v>9002572</v>
      </c>
      <c r="L23" s="46">
        <v>13427120</v>
      </c>
      <c r="M23" s="46">
        <v>20152869</v>
      </c>
      <c r="N23" s="46">
        <v>25862269</v>
      </c>
      <c r="O23" s="46">
        <v>8354535</v>
      </c>
      <c r="P23" s="46">
        <v>7544530</v>
      </c>
      <c r="Q23" s="9"/>
      <c r="R23" s="10"/>
    </row>
    <row r="24" spans="2:18" ht="17.25" customHeight="1" x14ac:dyDescent="0.25">
      <c r="B24" s="11" t="s">
        <v>47</v>
      </c>
      <c r="C24" s="50">
        <f>C23-C21</f>
        <v>3</v>
      </c>
      <c r="D24" s="50">
        <f t="shared" ref="D24:G24" si="9">D23-D21</f>
        <v>13487</v>
      </c>
      <c r="E24" s="50">
        <f t="shared" si="9"/>
        <v>20046</v>
      </c>
      <c r="F24" s="50">
        <f t="shared" si="9"/>
        <v>17966</v>
      </c>
      <c r="G24" s="50">
        <f t="shared" si="9"/>
        <v>12</v>
      </c>
      <c r="H24" s="8">
        <f>+G24+F24+E24+D24+C24</f>
        <v>51514</v>
      </c>
      <c r="I24" s="12">
        <f>I23-I21</f>
        <v>2503</v>
      </c>
      <c r="J24" s="12">
        <f t="shared" ref="J24:P24" si="10">J23-J21</f>
        <v>8721</v>
      </c>
      <c r="K24" s="12">
        <f t="shared" si="10"/>
        <v>3064</v>
      </c>
      <c r="L24" s="12">
        <f t="shared" si="10"/>
        <v>4174</v>
      </c>
      <c r="M24" s="12">
        <f t="shared" si="10"/>
        <v>10125</v>
      </c>
      <c r="N24" s="12">
        <f t="shared" si="10"/>
        <v>8667</v>
      </c>
      <c r="O24" s="12">
        <f t="shared" si="10"/>
        <v>3948</v>
      </c>
      <c r="P24" s="12">
        <f t="shared" si="10"/>
        <v>2820</v>
      </c>
      <c r="Q24" s="13">
        <f>P24+O24+N24+M24+L24+K24+J24+I24</f>
        <v>44022</v>
      </c>
      <c r="R24" s="14">
        <f>Q24+H24</f>
        <v>95536</v>
      </c>
    </row>
    <row r="25" spans="2:18" ht="17.25" customHeight="1" x14ac:dyDescent="0.25">
      <c r="B25" s="22">
        <v>10</v>
      </c>
      <c r="C25" s="7">
        <v>21475194</v>
      </c>
      <c r="D25" s="7">
        <v>15275949</v>
      </c>
      <c r="E25" s="7">
        <v>27697750</v>
      </c>
      <c r="F25" s="7">
        <v>27766720</v>
      </c>
      <c r="G25" s="7">
        <v>17098003</v>
      </c>
      <c r="H25" s="8"/>
      <c r="I25" s="58">
        <v>6185803</v>
      </c>
      <c r="J25" s="58">
        <v>27140535</v>
      </c>
      <c r="K25" s="59">
        <v>9005772</v>
      </c>
      <c r="L25" s="59">
        <v>13431540</v>
      </c>
      <c r="M25" s="58">
        <v>20163670</v>
      </c>
      <c r="N25" s="58">
        <v>25870853</v>
      </c>
      <c r="O25" s="58">
        <v>8358418</v>
      </c>
      <c r="P25" s="59">
        <v>7547480</v>
      </c>
      <c r="Q25" s="9"/>
      <c r="R25" s="10"/>
    </row>
    <row r="26" spans="2:18" ht="17.25" customHeight="1" x14ac:dyDescent="0.25">
      <c r="B26" s="11" t="s">
        <v>47</v>
      </c>
      <c r="C26" s="50">
        <f>C25-C23</f>
        <v>5</v>
      </c>
      <c r="D26" s="50">
        <f t="shared" ref="D26:E68" si="11">D25-D23</f>
        <v>13788</v>
      </c>
      <c r="E26" s="50">
        <f t="shared" si="11"/>
        <v>19334</v>
      </c>
      <c r="F26" s="50">
        <f>F25-F23</f>
        <v>18215</v>
      </c>
      <c r="G26" s="50">
        <f t="shared" ref="G26:G68" si="12">G25-G23</f>
        <v>15</v>
      </c>
      <c r="H26" s="8">
        <f>+G26+F26+E26+D26+C26</f>
        <v>51357</v>
      </c>
      <c r="I26" s="12">
        <f>I25-I23</f>
        <v>2555</v>
      </c>
      <c r="J26" s="12">
        <f t="shared" ref="J26:P68" si="13">J25-J23</f>
        <v>9127</v>
      </c>
      <c r="K26" s="12">
        <f t="shared" si="13"/>
        <v>3200</v>
      </c>
      <c r="L26" s="12">
        <f t="shared" si="13"/>
        <v>4420</v>
      </c>
      <c r="M26" s="12">
        <f t="shared" si="13"/>
        <v>10801</v>
      </c>
      <c r="N26" s="12">
        <f t="shared" si="13"/>
        <v>8584</v>
      </c>
      <c r="O26" s="12">
        <f t="shared" si="13"/>
        <v>3883</v>
      </c>
      <c r="P26" s="12">
        <f t="shared" si="13"/>
        <v>2950</v>
      </c>
      <c r="Q26" s="13">
        <f>P26+O26+N26+M26+L26+K26+J26+I26</f>
        <v>45520</v>
      </c>
      <c r="R26" s="14">
        <f>Q26+H26</f>
        <v>96877</v>
      </c>
    </row>
    <row r="27" spans="2:18" ht="17.25" customHeight="1" x14ac:dyDescent="0.25">
      <c r="B27" s="22">
        <v>11</v>
      </c>
      <c r="C27" s="58">
        <v>21483388</v>
      </c>
      <c r="D27" s="59">
        <v>15289778</v>
      </c>
      <c r="E27" s="59">
        <v>27718107</v>
      </c>
      <c r="F27" s="59">
        <v>27784972</v>
      </c>
      <c r="G27" s="59">
        <v>17098017</v>
      </c>
      <c r="H27" s="60" t="s">
        <v>48</v>
      </c>
      <c r="I27" s="59">
        <v>6188326</v>
      </c>
      <c r="J27" s="59">
        <v>27149696</v>
      </c>
      <c r="K27" s="59">
        <v>9008958</v>
      </c>
      <c r="L27" s="59">
        <v>13435943</v>
      </c>
      <c r="M27" s="61">
        <v>20173650</v>
      </c>
      <c r="N27" s="59">
        <v>25879454</v>
      </c>
      <c r="O27" s="59">
        <v>8362384</v>
      </c>
      <c r="P27" s="59">
        <v>7550420</v>
      </c>
      <c r="Q27" s="9"/>
      <c r="R27" s="10"/>
    </row>
    <row r="28" spans="2:18" ht="17.25" customHeight="1" x14ac:dyDescent="0.25">
      <c r="B28" s="11" t="s">
        <v>47</v>
      </c>
      <c r="C28" s="50">
        <f>C27-C25</f>
        <v>8194</v>
      </c>
      <c r="D28" s="50">
        <f t="shared" si="11"/>
        <v>13829</v>
      </c>
      <c r="E28" s="50">
        <f t="shared" si="11"/>
        <v>20357</v>
      </c>
      <c r="F28" s="50">
        <f>F27-F25</f>
        <v>18252</v>
      </c>
      <c r="G28" s="50">
        <f t="shared" si="12"/>
        <v>14</v>
      </c>
      <c r="H28" s="8">
        <f>+G28+F28+E28+D28+C28</f>
        <v>60646</v>
      </c>
      <c r="I28" s="12">
        <f>I27-I25</f>
        <v>2523</v>
      </c>
      <c r="J28" s="12">
        <f t="shared" si="13"/>
        <v>9161</v>
      </c>
      <c r="K28" s="12">
        <f t="shared" si="13"/>
        <v>3186</v>
      </c>
      <c r="L28" s="12">
        <f t="shared" si="13"/>
        <v>4403</v>
      </c>
      <c r="M28" s="12">
        <f t="shared" si="13"/>
        <v>9980</v>
      </c>
      <c r="N28" s="12">
        <f t="shared" si="13"/>
        <v>8601</v>
      </c>
      <c r="O28" s="12">
        <f t="shared" si="13"/>
        <v>3966</v>
      </c>
      <c r="P28" s="12">
        <f t="shared" si="13"/>
        <v>2940</v>
      </c>
      <c r="Q28" s="13">
        <f>P28+O28+N28+M28+L28+K28+J28+I28</f>
        <v>44760</v>
      </c>
      <c r="R28" s="14">
        <f>Q28+H28</f>
        <v>105406</v>
      </c>
    </row>
    <row r="29" spans="2:18" ht="17.25" customHeight="1" x14ac:dyDescent="0.25">
      <c r="B29" s="22">
        <v>12</v>
      </c>
      <c r="C29" s="58">
        <v>21487841</v>
      </c>
      <c r="D29" s="59">
        <v>15303551</v>
      </c>
      <c r="E29" s="59">
        <v>27737950</v>
      </c>
      <c r="F29" s="59">
        <v>27803172</v>
      </c>
      <c r="G29" s="59">
        <v>17098029</v>
      </c>
      <c r="H29" s="60" t="s">
        <v>48</v>
      </c>
      <c r="I29" s="59">
        <v>6190863</v>
      </c>
      <c r="J29" s="59">
        <v>27158867</v>
      </c>
      <c r="K29" s="59">
        <v>9012448</v>
      </c>
      <c r="L29" s="59">
        <v>13440299</v>
      </c>
      <c r="M29" s="59">
        <v>20184718</v>
      </c>
      <c r="N29" s="59">
        <v>25888180</v>
      </c>
      <c r="O29" s="59">
        <v>8366459</v>
      </c>
      <c r="P29" s="59">
        <v>7553650</v>
      </c>
      <c r="Q29" s="9"/>
      <c r="R29" s="10"/>
    </row>
    <row r="30" spans="2:18" ht="17.25" customHeight="1" x14ac:dyDescent="0.25">
      <c r="B30" s="11" t="s">
        <v>47</v>
      </c>
      <c r="C30" s="50">
        <f>C29-C27</f>
        <v>4453</v>
      </c>
      <c r="D30" s="50">
        <f t="shared" si="11"/>
        <v>13773</v>
      </c>
      <c r="E30" s="50">
        <f t="shared" si="11"/>
        <v>19843</v>
      </c>
      <c r="F30" s="50">
        <f>F29-F27</f>
        <v>18200</v>
      </c>
      <c r="G30" s="50">
        <f t="shared" si="12"/>
        <v>12</v>
      </c>
      <c r="H30" s="8">
        <f>+G30+F30+E30+D30+C30</f>
        <v>56281</v>
      </c>
      <c r="I30" s="12">
        <f>I29-I27</f>
        <v>2537</v>
      </c>
      <c r="J30" s="74">
        <f t="shared" si="13"/>
        <v>9171</v>
      </c>
      <c r="K30" s="12">
        <f t="shared" si="13"/>
        <v>3490</v>
      </c>
      <c r="L30" s="12">
        <f t="shared" si="13"/>
        <v>4356</v>
      </c>
      <c r="M30" s="12">
        <f t="shared" si="13"/>
        <v>11068</v>
      </c>
      <c r="N30" s="12">
        <f t="shared" si="13"/>
        <v>8726</v>
      </c>
      <c r="O30" s="12">
        <f t="shared" si="13"/>
        <v>4075</v>
      </c>
      <c r="P30" s="12">
        <f t="shared" si="13"/>
        <v>3230</v>
      </c>
      <c r="Q30" s="13">
        <f>P30+O30+N30+M30+L30+K30+J30+I30</f>
        <v>46653</v>
      </c>
      <c r="R30" s="14">
        <f>Q30+H30</f>
        <v>102934</v>
      </c>
    </row>
    <row r="31" spans="2:18" ht="17.25" customHeight="1" x14ac:dyDescent="0.25">
      <c r="B31" s="22">
        <v>13</v>
      </c>
      <c r="C31" s="58">
        <v>21489552</v>
      </c>
      <c r="D31" s="59">
        <v>15318143</v>
      </c>
      <c r="E31" s="59">
        <v>27758187</v>
      </c>
      <c r="F31" s="59">
        <v>27822159</v>
      </c>
      <c r="G31" s="59">
        <v>17098044</v>
      </c>
      <c r="H31" s="60" t="s">
        <v>48</v>
      </c>
      <c r="I31" s="59">
        <v>6193418</v>
      </c>
      <c r="J31" s="59">
        <v>27167820</v>
      </c>
      <c r="K31" s="59">
        <v>9015692</v>
      </c>
      <c r="L31" s="59">
        <v>13444626</v>
      </c>
      <c r="M31" s="59">
        <v>20195630</v>
      </c>
      <c r="N31" s="59">
        <v>25896814</v>
      </c>
      <c r="O31" s="59">
        <v>8370549</v>
      </c>
      <c r="P31" s="59">
        <v>7556450</v>
      </c>
      <c r="Q31" s="9"/>
      <c r="R31" s="10"/>
    </row>
    <row r="32" spans="2:18" ht="17.25" customHeight="1" x14ac:dyDescent="0.25">
      <c r="B32" s="11" t="s">
        <v>47</v>
      </c>
      <c r="C32" s="50">
        <f>C31-C29</f>
        <v>1711</v>
      </c>
      <c r="D32" s="50">
        <f t="shared" si="11"/>
        <v>14592</v>
      </c>
      <c r="E32" s="50">
        <f t="shared" si="11"/>
        <v>20237</v>
      </c>
      <c r="F32" s="50">
        <f>F31-F29</f>
        <v>18987</v>
      </c>
      <c r="G32" s="50">
        <f t="shared" si="12"/>
        <v>15</v>
      </c>
      <c r="H32" s="8">
        <f>+G32+F32+E32+D32+C32</f>
        <v>55542</v>
      </c>
      <c r="I32" s="12">
        <f>I31-I29</f>
        <v>2555</v>
      </c>
      <c r="J32" s="74">
        <f t="shared" si="13"/>
        <v>8953</v>
      </c>
      <c r="K32" s="12">
        <f t="shared" si="13"/>
        <v>3244</v>
      </c>
      <c r="L32" s="12">
        <f t="shared" si="13"/>
        <v>4327</v>
      </c>
      <c r="M32" s="12">
        <f t="shared" si="13"/>
        <v>10912</v>
      </c>
      <c r="N32" s="12">
        <f t="shared" si="13"/>
        <v>8634</v>
      </c>
      <c r="O32" s="12">
        <f t="shared" si="13"/>
        <v>4090</v>
      </c>
      <c r="P32" s="12">
        <f t="shared" si="13"/>
        <v>2800</v>
      </c>
      <c r="Q32" s="13">
        <f>P32+O32+N32+M32+L32+K32+J32+I32</f>
        <v>45515</v>
      </c>
      <c r="R32" s="14">
        <f>Q32+H32</f>
        <v>101057</v>
      </c>
    </row>
    <row r="33" spans="2:18" ht="17.25" customHeight="1" x14ac:dyDescent="0.25">
      <c r="B33" s="22">
        <v>14</v>
      </c>
      <c r="C33" s="58">
        <v>21503180</v>
      </c>
      <c r="D33" s="59">
        <v>15331324</v>
      </c>
      <c r="E33" s="59">
        <v>27776904</v>
      </c>
      <c r="F33" s="59">
        <v>27830641</v>
      </c>
      <c r="G33" s="59">
        <v>17098057</v>
      </c>
      <c r="H33" s="60" t="s">
        <v>48</v>
      </c>
      <c r="I33" s="59">
        <v>6195954</v>
      </c>
      <c r="J33" s="59">
        <v>27176811</v>
      </c>
      <c r="K33" s="59">
        <v>9018990</v>
      </c>
      <c r="L33" s="59">
        <v>13448883</v>
      </c>
      <c r="M33" s="59">
        <v>20206131</v>
      </c>
      <c r="N33" s="59">
        <v>25905466</v>
      </c>
      <c r="O33" s="59">
        <v>8374683</v>
      </c>
      <c r="P33" s="59">
        <v>7558960</v>
      </c>
      <c r="Q33" s="9"/>
      <c r="R33" s="10"/>
    </row>
    <row r="34" spans="2:18" ht="17.25" customHeight="1" x14ac:dyDescent="0.25">
      <c r="B34" s="11" t="s">
        <v>47</v>
      </c>
      <c r="C34" s="50">
        <f>C33-C31</f>
        <v>13628</v>
      </c>
      <c r="D34" s="50">
        <f t="shared" si="11"/>
        <v>13181</v>
      </c>
      <c r="E34" s="50">
        <f t="shared" si="11"/>
        <v>18717</v>
      </c>
      <c r="F34" s="50">
        <f>F33-F31</f>
        <v>8482</v>
      </c>
      <c r="G34" s="50">
        <f t="shared" si="12"/>
        <v>13</v>
      </c>
      <c r="H34" s="8">
        <f>+G34+F34+E34+D34+C34</f>
        <v>54021</v>
      </c>
      <c r="I34" s="12">
        <f>I33-I31</f>
        <v>2536</v>
      </c>
      <c r="J34" s="12">
        <f t="shared" si="13"/>
        <v>8991</v>
      </c>
      <c r="K34" s="12">
        <f t="shared" si="13"/>
        <v>3298</v>
      </c>
      <c r="L34" s="12">
        <f t="shared" si="13"/>
        <v>4257</v>
      </c>
      <c r="M34" s="12">
        <f t="shared" si="13"/>
        <v>10501</v>
      </c>
      <c r="N34" s="12">
        <f t="shared" si="13"/>
        <v>8652</v>
      </c>
      <c r="O34" s="12">
        <f t="shared" si="13"/>
        <v>4134</v>
      </c>
      <c r="P34" s="12">
        <f t="shared" si="13"/>
        <v>2510</v>
      </c>
      <c r="Q34" s="13">
        <f>P34+O34+N34+M34+L34+K34+J34+I34</f>
        <v>44879</v>
      </c>
      <c r="R34" s="14">
        <f>Q34+H34</f>
        <v>98900</v>
      </c>
    </row>
    <row r="35" spans="2:18" ht="17.25" customHeight="1" x14ac:dyDescent="0.25">
      <c r="B35" s="22">
        <v>15</v>
      </c>
      <c r="C35" s="58">
        <v>21522129</v>
      </c>
      <c r="D35" s="59">
        <v>15344550</v>
      </c>
      <c r="E35" s="59">
        <v>27795716</v>
      </c>
      <c r="F35" s="59">
        <v>27835816</v>
      </c>
      <c r="G35" s="59">
        <v>17098070</v>
      </c>
      <c r="H35" s="8"/>
      <c r="I35" s="58">
        <v>6198502</v>
      </c>
      <c r="J35" s="59">
        <v>27185880</v>
      </c>
      <c r="K35" s="59">
        <v>9022213</v>
      </c>
      <c r="L35" s="59">
        <v>13453103</v>
      </c>
      <c r="M35" s="59">
        <v>20217067</v>
      </c>
      <c r="N35" s="59">
        <v>25913920</v>
      </c>
      <c r="O35" s="59">
        <v>8379015</v>
      </c>
      <c r="P35" s="59">
        <v>7561820</v>
      </c>
      <c r="Q35" s="9"/>
      <c r="R35" s="10"/>
    </row>
    <row r="36" spans="2:18" ht="17.25" customHeight="1" x14ac:dyDescent="0.25">
      <c r="B36" s="11" t="s">
        <v>47</v>
      </c>
      <c r="C36" s="50">
        <f>C35-C33</f>
        <v>18949</v>
      </c>
      <c r="D36" s="50">
        <f t="shared" si="11"/>
        <v>13226</v>
      </c>
      <c r="E36" s="50">
        <f t="shared" si="11"/>
        <v>18812</v>
      </c>
      <c r="F36" s="50">
        <f>F35-F33</f>
        <v>5175</v>
      </c>
      <c r="G36" s="50">
        <f t="shared" si="12"/>
        <v>13</v>
      </c>
      <c r="H36" s="8">
        <f>+G36+F36+E36+D36+C36</f>
        <v>56175</v>
      </c>
      <c r="I36" s="12">
        <f>I35-I33</f>
        <v>2548</v>
      </c>
      <c r="J36" s="12">
        <f t="shared" si="13"/>
        <v>9069</v>
      </c>
      <c r="K36" s="12">
        <f t="shared" si="13"/>
        <v>3223</v>
      </c>
      <c r="L36" s="12">
        <f t="shared" si="13"/>
        <v>4220</v>
      </c>
      <c r="M36" s="12">
        <f t="shared" si="13"/>
        <v>10936</v>
      </c>
      <c r="N36" s="12">
        <f t="shared" si="13"/>
        <v>8454</v>
      </c>
      <c r="O36" s="12">
        <f t="shared" si="13"/>
        <v>4332</v>
      </c>
      <c r="P36" s="12">
        <f t="shared" si="13"/>
        <v>2860</v>
      </c>
      <c r="Q36" s="13">
        <f>P36+O36+N36+M36+L36+K36+J36+I36</f>
        <v>45642</v>
      </c>
      <c r="R36" s="14">
        <f>Q36+H36</f>
        <v>101817</v>
      </c>
    </row>
    <row r="37" spans="2:18" ht="17.25" customHeight="1" x14ac:dyDescent="0.25">
      <c r="B37" s="22">
        <v>16</v>
      </c>
      <c r="C37" s="58">
        <v>21540726</v>
      </c>
      <c r="D37" s="59">
        <v>15357641</v>
      </c>
      <c r="E37" s="59">
        <v>27814343</v>
      </c>
      <c r="F37" s="59">
        <v>27840950</v>
      </c>
      <c r="G37" s="59">
        <v>17098085</v>
      </c>
      <c r="H37" s="8"/>
      <c r="I37" s="58">
        <v>6201065</v>
      </c>
      <c r="J37" s="59">
        <v>27195241</v>
      </c>
      <c r="K37" s="59">
        <v>9025585</v>
      </c>
      <c r="L37" s="59">
        <v>13457341</v>
      </c>
      <c r="M37" s="59">
        <v>20228097</v>
      </c>
      <c r="N37" s="59">
        <v>25922535</v>
      </c>
      <c r="O37" s="59">
        <v>8383138</v>
      </c>
      <c r="P37" s="59">
        <v>7564540</v>
      </c>
      <c r="Q37" s="9"/>
      <c r="R37" s="10"/>
    </row>
    <row r="38" spans="2:18" ht="17.25" customHeight="1" x14ac:dyDescent="0.25">
      <c r="B38" s="11" t="s">
        <v>47</v>
      </c>
      <c r="C38" s="50">
        <f>C37-C35</f>
        <v>18597</v>
      </c>
      <c r="D38" s="50">
        <f t="shared" si="11"/>
        <v>13091</v>
      </c>
      <c r="E38" s="50">
        <f t="shared" si="11"/>
        <v>18627</v>
      </c>
      <c r="F38" s="50">
        <f>F37-F35</f>
        <v>5134</v>
      </c>
      <c r="G38" s="50">
        <f t="shared" si="12"/>
        <v>15</v>
      </c>
      <c r="H38" s="8">
        <f>+G38+F38+E38+D38+C38</f>
        <v>55464</v>
      </c>
      <c r="I38" s="12">
        <f>I37-I35</f>
        <v>2563</v>
      </c>
      <c r="J38" s="12">
        <f t="shared" si="13"/>
        <v>9361</v>
      </c>
      <c r="K38" s="12">
        <f t="shared" si="13"/>
        <v>3372</v>
      </c>
      <c r="L38" s="12">
        <f t="shared" si="13"/>
        <v>4238</v>
      </c>
      <c r="M38" s="12">
        <f t="shared" si="13"/>
        <v>11030</v>
      </c>
      <c r="N38" s="12">
        <f t="shared" si="13"/>
        <v>8615</v>
      </c>
      <c r="O38" s="12">
        <f t="shared" si="13"/>
        <v>4123</v>
      </c>
      <c r="P38" s="12">
        <f t="shared" si="13"/>
        <v>2720</v>
      </c>
      <c r="Q38" s="13">
        <f>P38+O38+N38+M38+L38+K38+J38+I38</f>
        <v>46022</v>
      </c>
      <c r="R38" s="14">
        <f>Q38+H38</f>
        <v>101486</v>
      </c>
    </row>
    <row r="39" spans="2:18" ht="17.25" customHeight="1" x14ac:dyDescent="0.25">
      <c r="B39" s="22">
        <v>17</v>
      </c>
      <c r="C39" s="58">
        <v>21560357</v>
      </c>
      <c r="D39" s="59">
        <v>15371347</v>
      </c>
      <c r="E39" s="59">
        <v>27833485</v>
      </c>
      <c r="F39" s="59">
        <v>27846057</v>
      </c>
      <c r="G39" s="59">
        <v>17098102</v>
      </c>
      <c r="H39" s="60"/>
      <c r="I39" s="58">
        <v>6203643</v>
      </c>
      <c r="J39" s="59">
        <v>27204486</v>
      </c>
      <c r="K39" s="59">
        <v>9028832</v>
      </c>
      <c r="L39" s="59">
        <v>13461645</v>
      </c>
      <c r="M39" s="59">
        <v>20238223</v>
      </c>
      <c r="N39" s="59">
        <v>25931168</v>
      </c>
      <c r="O39" s="59">
        <v>8387236</v>
      </c>
      <c r="P39" s="59">
        <v>7567340</v>
      </c>
      <c r="Q39" s="9"/>
      <c r="R39" s="10"/>
    </row>
    <row r="40" spans="2:18" ht="17.25" customHeight="1" x14ac:dyDescent="0.25">
      <c r="B40" s="11" t="s">
        <v>47</v>
      </c>
      <c r="C40" s="50">
        <f>C39-C37</f>
        <v>19631</v>
      </c>
      <c r="D40" s="50">
        <f t="shared" si="11"/>
        <v>13706</v>
      </c>
      <c r="E40" s="50">
        <f t="shared" si="11"/>
        <v>19142</v>
      </c>
      <c r="F40" s="50">
        <f>F39-F37</f>
        <v>5107</v>
      </c>
      <c r="G40" s="50">
        <f t="shared" si="12"/>
        <v>17</v>
      </c>
      <c r="H40" s="8">
        <f>+G40+F40+E40+D40+C40</f>
        <v>57603</v>
      </c>
      <c r="I40" s="12">
        <f>I39-I37</f>
        <v>2578</v>
      </c>
      <c r="J40" s="12">
        <f t="shared" si="13"/>
        <v>9245</v>
      </c>
      <c r="K40" s="12">
        <f t="shared" si="13"/>
        <v>3247</v>
      </c>
      <c r="L40" s="12">
        <f t="shared" si="13"/>
        <v>4304</v>
      </c>
      <c r="M40" s="12">
        <f t="shared" si="13"/>
        <v>10126</v>
      </c>
      <c r="N40" s="12">
        <f t="shared" si="13"/>
        <v>8633</v>
      </c>
      <c r="O40" s="12">
        <f t="shared" si="13"/>
        <v>4098</v>
      </c>
      <c r="P40" s="12">
        <f t="shared" si="13"/>
        <v>2800</v>
      </c>
      <c r="Q40" s="13">
        <f>P40+O40+N40+M40+L40+K40+J40+I40</f>
        <v>45031</v>
      </c>
      <c r="R40" s="14">
        <f>Q40+H40</f>
        <v>102634</v>
      </c>
    </row>
    <row r="41" spans="2:18" ht="17.25" customHeight="1" x14ac:dyDescent="0.25">
      <c r="B41" s="22">
        <v>18</v>
      </c>
      <c r="C41" s="58">
        <v>21581296</v>
      </c>
      <c r="D41" s="59">
        <v>15385914</v>
      </c>
      <c r="E41" s="59">
        <v>27853541</v>
      </c>
      <c r="F41" s="59">
        <v>27851266</v>
      </c>
      <c r="G41" s="59">
        <v>17098116</v>
      </c>
      <c r="H41" s="60"/>
      <c r="I41" s="59">
        <v>6206157</v>
      </c>
      <c r="J41" s="59">
        <v>27213385</v>
      </c>
      <c r="K41" s="59">
        <v>9032051</v>
      </c>
      <c r="L41" s="59">
        <v>13466008</v>
      </c>
      <c r="M41" s="59">
        <v>20248931</v>
      </c>
      <c r="N41" s="59">
        <v>25939915</v>
      </c>
      <c r="O41" s="59">
        <v>8391593</v>
      </c>
      <c r="P41" s="59">
        <v>7570180</v>
      </c>
      <c r="Q41" s="9"/>
      <c r="R41" s="10"/>
    </row>
    <row r="42" spans="2:18" ht="17.25" customHeight="1" x14ac:dyDescent="0.25">
      <c r="B42" s="11" t="s">
        <v>47</v>
      </c>
      <c r="C42" s="50">
        <f>C41-C39</f>
        <v>20939</v>
      </c>
      <c r="D42" s="50">
        <f t="shared" si="11"/>
        <v>14567</v>
      </c>
      <c r="E42" s="50">
        <f t="shared" si="11"/>
        <v>20056</v>
      </c>
      <c r="F42" s="50">
        <f>F41-F39</f>
        <v>5209</v>
      </c>
      <c r="G42" s="50">
        <f t="shared" si="12"/>
        <v>14</v>
      </c>
      <c r="H42" s="8">
        <f>+G42+F42+E42+D42+C42</f>
        <v>60785</v>
      </c>
      <c r="I42" s="12">
        <f>I41-I39</f>
        <v>2514</v>
      </c>
      <c r="J42" s="12">
        <f t="shared" si="13"/>
        <v>8899</v>
      </c>
      <c r="K42" s="12">
        <f t="shared" si="13"/>
        <v>3219</v>
      </c>
      <c r="L42" s="12">
        <f t="shared" si="13"/>
        <v>4363</v>
      </c>
      <c r="M42" s="12">
        <f t="shared" si="13"/>
        <v>10708</v>
      </c>
      <c r="N42" s="12">
        <f t="shared" si="13"/>
        <v>8747</v>
      </c>
      <c r="O42" s="12">
        <f t="shared" si="13"/>
        <v>4357</v>
      </c>
      <c r="P42" s="12">
        <f t="shared" si="13"/>
        <v>2840</v>
      </c>
      <c r="Q42" s="13">
        <f>P42+O42+N42+M42+L42+K42+J42+I42</f>
        <v>45647</v>
      </c>
      <c r="R42" s="14">
        <f>Q42+H42</f>
        <v>106432</v>
      </c>
    </row>
    <row r="43" spans="2:18" ht="17.25" customHeight="1" x14ac:dyDescent="0.25">
      <c r="B43" s="22">
        <v>19</v>
      </c>
      <c r="C43" s="58">
        <v>21601001</v>
      </c>
      <c r="D43" s="59">
        <v>15399731</v>
      </c>
      <c r="E43" s="59">
        <v>27873799</v>
      </c>
      <c r="F43" s="59">
        <v>27861842</v>
      </c>
      <c r="G43" s="59">
        <v>17098128</v>
      </c>
      <c r="H43" s="60"/>
      <c r="I43" s="59">
        <v>6208691</v>
      </c>
      <c r="J43" s="59">
        <v>27222891</v>
      </c>
      <c r="K43" s="59">
        <v>9035306</v>
      </c>
      <c r="L43" s="59">
        <v>13470369</v>
      </c>
      <c r="M43" s="59">
        <v>20259392</v>
      </c>
      <c r="N43" s="59">
        <v>25948838</v>
      </c>
      <c r="O43" s="59">
        <v>8395495</v>
      </c>
      <c r="P43" s="59">
        <v>7573440</v>
      </c>
      <c r="Q43" s="9"/>
      <c r="R43" s="10"/>
    </row>
    <row r="44" spans="2:18" ht="17.25" customHeight="1" x14ac:dyDescent="0.25">
      <c r="B44" s="11" t="s">
        <v>47</v>
      </c>
      <c r="C44" s="50">
        <f>C43-C41</f>
        <v>19705</v>
      </c>
      <c r="D44" s="50">
        <f t="shared" si="11"/>
        <v>13817</v>
      </c>
      <c r="E44" s="50">
        <f t="shared" si="11"/>
        <v>20258</v>
      </c>
      <c r="F44" s="50">
        <f>F43-F41</f>
        <v>10576</v>
      </c>
      <c r="G44" s="50">
        <f t="shared" si="12"/>
        <v>12</v>
      </c>
      <c r="H44" s="8">
        <f>+G44+F44+E44+D44+C44</f>
        <v>64368</v>
      </c>
      <c r="I44" s="12">
        <f>I43-I41</f>
        <v>2534</v>
      </c>
      <c r="J44" s="12">
        <f t="shared" si="13"/>
        <v>9506</v>
      </c>
      <c r="K44" s="12">
        <f t="shared" si="13"/>
        <v>3255</v>
      </c>
      <c r="L44" s="12">
        <f t="shared" si="13"/>
        <v>4361</v>
      </c>
      <c r="M44" s="12">
        <f t="shared" si="13"/>
        <v>10461</v>
      </c>
      <c r="N44" s="12">
        <f t="shared" si="13"/>
        <v>8923</v>
      </c>
      <c r="O44" s="12">
        <f t="shared" si="13"/>
        <v>3902</v>
      </c>
      <c r="P44" s="12">
        <f t="shared" si="13"/>
        <v>3260</v>
      </c>
      <c r="Q44" s="13">
        <f>P44+O44+N44+M44+L44+K44+J44+I44</f>
        <v>46202</v>
      </c>
      <c r="R44" s="14">
        <f>Q44+H44</f>
        <v>110570</v>
      </c>
    </row>
    <row r="45" spans="2:18" ht="17.25" customHeight="1" x14ac:dyDescent="0.25">
      <c r="B45" s="22">
        <v>20</v>
      </c>
      <c r="C45" s="63">
        <v>21621222</v>
      </c>
      <c r="D45" s="58">
        <v>15413860</v>
      </c>
      <c r="E45" s="59">
        <v>27893944</v>
      </c>
      <c r="F45" s="59">
        <v>27870108</v>
      </c>
      <c r="G45" s="59">
        <v>17098144</v>
      </c>
      <c r="H45" s="8"/>
      <c r="I45" s="7">
        <v>6211189</v>
      </c>
      <c r="J45" s="7">
        <v>27232000</v>
      </c>
      <c r="K45" s="7">
        <v>9038522</v>
      </c>
      <c r="L45" s="7">
        <v>13474560</v>
      </c>
      <c r="M45" s="7">
        <v>20269882</v>
      </c>
      <c r="N45" s="7">
        <v>25957312</v>
      </c>
      <c r="O45" s="7">
        <v>8399473</v>
      </c>
      <c r="P45" s="7">
        <v>7576210</v>
      </c>
      <c r="Q45" s="9"/>
      <c r="R45" s="10"/>
    </row>
    <row r="46" spans="2:18" ht="17.25" customHeight="1" x14ac:dyDescent="0.25">
      <c r="B46" s="11" t="s">
        <v>47</v>
      </c>
      <c r="C46" s="50">
        <f>C45-C43</f>
        <v>20221</v>
      </c>
      <c r="D46" s="50">
        <f t="shared" si="11"/>
        <v>14129</v>
      </c>
      <c r="E46" s="50">
        <f t="shared" si="11"/>
        <v>20145</v>
      </c>
      <c r="F46" s="50">
        <f>F45-F43</f>
        <v>8266</v>
      </c>
      <c r="G46" s="50">
        <f t="shared" si="12"/>
        <v>16</v>
      </c>
      <c r="H46" s="8">
        <f>+G46+F46+E46+D46+C46</f>
        <v>62777</v>
      </c>
      <c r="I46" s="12">
        <f>I45-I43</f>
        <v>2498</v>
      </c>
      <c r="J46" s="12">
        <f t="shared" si="13"/>
        <v>9109</v>
      </c>
      <c r="K46" s="12">
        <f t="shared" si="13"/>
        <v>3216</v>
      </c>
      <c r="L46" s="12">
        <f t="shared" si="13"/>
        <v>4191</v>
      </c>
      <c r="M46" s="12">
        <f t="shared" si="13"/>
        <v>10490</v>
      </c>
      <c r="N46" s="12">
        <f t="shared" si="13"/>
        <v>8474</v>
      </c>
      <c r="O46" s="12">
        <f t="shared" si="13"/>
        <v>3978</v>
      </c>
      <c r="P46" s="12">
        <f t="shared" si="13"/>
        <v>2770</v>
      </c>
      <c r="Q46" s="13">
        <f>P46+O46+N46+M46+L46+K46+J46+I46</f>
        <v>44726</v>
      </c>
      <c r="R46" s="14">
        <f>Q46+H46</f>
        <v>107503</v>
      </c>
    </row>
    <row r="47" spans="2:18" ht="17.25" customHeight="1" x14ac:dyDescent="0.25">
      <c r="B47" s="22">
        <v>21</v>
      </c>
      <c r="C47" s="77">
        <v>21641377</v>
      </c>
      <c r="D47" s="78">
        <v>15424192</v>
      </c>
      <c r="E47" s="78">
        <v>27904080</v>
      </c>
      <c r="F47" s="78">
        <v>27879804</v>
      </c>
      <c r="G47" s="78">
        <v>17114550</v>
      </c>
      <c r="H47" s="79" t="s">
        <v>48</v>
      </c>
      <c r="I47" s="78">
        <v>6213733</v>
      </c>
      <c r="J47" s="78">
        <v>27241173</v>
      </c>
      <c r="K47" s="78">
        <v>9041863</v>
      </c>
      <c r="L47" s="78">
        <v>13478836</v>
      </c>
      <c r="M47" s="78">
        <v>20280525</v>
      </c>
      <c r="N47" s="78">
        <v>25966017</v>
      </c>
      <c r="O47" s="78">
        <v>8403719</v>
      </c>
      <c r="P47" s="78">
        <v>7578690</v>
      </c>
      <c r="Q47" s="9"/>
      <c r="R47" s="10"/>
    </row>
    <row r="48" spans="2:18" ht="17.25" customHeight="1" x14ac:dyDescent="0.25">
      <c r="B48" s="11" t="s">
        <v>47</v>
      </c>
      <c r="C48" s="50">
        <f>C47-C45</f>
        <v>20155</v>
      </c>
      <c r="D48" s="50">
        <f t="shared" si="11"/>
        <v>10332</v>
      </c>
      <c r="E48" s="50">
        <f t="shared" si="11"/>
        <v>10136</v>
      </c>
      <c r="F48" s="50">
        <f>F47-F45</f>
        <v>9696</v>
      </c>
      <c r="G48" s="50">
        <f t="shared" si="12"/>
        <v>16406</v>
      </c>
      <c r="H48" s="8">
        <f>+G48+F48+E48+D48+C48</f>
        <v>66725</v>
      </c>
      <c r="I48" s="12">
        <f>I47-I45</f>
        <v>2544</v>
      </c>
      <c r="J48" s="12">
        <f t="shared" si="13"/>
        <v>9173</v>
      </c>
      <c r="K48" s="12">
        <f t="shared" si="13"/>
        <v>3341</v>
      </c>
      <c r="L48" s="12">
        <f t="shared" si="13"/>
        <v>4276</v>
      </c>
      <c r="M48" s="12">
        <f t="shared" si="13"/>
        <v>10643</v>
      </c>
      <c r="N48" s="12">
        <f t="shared" si="13"/>
        <v>8705</v>
      </c>
      <c r="O48" s="12">
        <f t="shared" si="13"/>
        <v>4246</v>
      </c>
      <c r="P48" s="12">
        <f t="shared" si="13"/>
        <v>2480</v>
      </c>
      <c r="Q48" s="13">
        <f>P48+O48+N48+M48+L48+K48+J48+I48</f>
        <v>45408</v>
      </c>
      <c r="R48" s="14">
        <f>Q48+H48</f>
        <v>112133</v>
      </c>
    </row>
    <row r="49" spans="2:18" ht="17.25" customHeight="1" x14ac:dyDescent="0.25">
      <c r="B49" s="22">
        <v>22</v>
      </c>
      <c r="C49" s="83">
        <v>21661198</v>
      </c>
      <c r="D49" s="84">
        <v>15424942</v>
      </c>
      <c r="E49" s="84">
        <v>27910768</v>
      </c>
      <c r="F49" s="84">
        <v>27897960</v>
      </c>
      <c r="G49" s="84">
        <v>17136099</v>
      </c>
      <c r="H49" s="82" t="s">
        <v>48</v>
      </c>
      <c r="I49" s="84">
        <v>6216293</v>
      </c>
      <c r="J49" s="84">
        <v>27250283</v>
      </c>
      <c r="K49" s="84">
        <v>9045211</v>
      </c>
      <c r="L49" s="84">
        <v>13483098</v>
      </c>
      <c r="M49" s="84">
        <v>20290912</v>
      </c>
      <c r="N49" s="84">
        <v>25974524</v>
      </c>
      <c r="O49" s="84">
        <v>8407737</v>
      </c>
      <c r="P49" s="84">
        <v>7581400</v>
      </c>
      <c r="Q49" s="9"/>
      <c r="R49" s="10"/>
    </row>
    <row r="50" spans="2:18" ht="17.25" customHeight="1" x14ac:dyDescent="0.25">
      <c r="B50" s="11" t="s">
        <v>47</v>
      </c>
      <c r="C50" s="50">
        <f>C49-C47</f>
        <v>19821</v>
      </c>
      <c r="D50" s="50">
        <f t="shared" si="11"/>
        <v>750</v>
      </c>
      <c r="E50" s="50">
        <f t="shared" si="11"/>
        <v>6688</v>
      </c>
      <c r="F50" s="50">
        <f>F49-F47</f>
        <v>18156</v>
      </c>
      <c r="G50" s="50">
        <f t="shared" si="12"/>
        <v>21549</v>
      </c>
      <c r="H50" s="8">
        <f>+G50+F50+E50+D50+C50</f>
        <v>66964</v>
      </c>
      <c r="I50" s="12">
        <f>I49-I47</f>
        <v>2560</v>
      </c>
      <c r="J50" s="12">
        <f t="shared" si="13"/>
        <v>9110</v>
      </c>
      <c r="K50" s="12">
        <f t="shared" si="13"/>
        <v>3348</v>
      </c>
      <c r="L50" s="12">
        <f t="shared" si="13"/>
        <v>4262</v>
      </c>
      <c r="M50" s="12">
        <f t="shared" si="13"/>
        <v>10387</v>
      </c>
      <c r="N50" s="12">
        <f t="shared" si="13"/>
        <v>8507</v>
      </c>
      <c r="O50" s="12">
        <f t="shared" si="13"/>
        <v>4018</v>
      </c>
      <c r="P50" s="12">
        <f t="shared" si="13"/>
        <v>2710</v>
      </c>
      <c r="Q50" s="13">
        <f>P50+O50+N50+M50+L50+K50+J50+I50</f>
        <v>44902</v>
      </c>
      <c r="R50" s="14">
        <f>Q50+H50</f>
        <v>111866</v>
      </c>
    </row>
    <row r="51" spans="2:18" ht="17.25" customHeight="1" x14ac:dyDescent="0.25">
      <c r="B51" s="22">
        <v>23</v>
      </c>
      <c r="C51" s="83">
        <v>21679529</v>
      </c>
      <c r="D51" s="84">
        <v>15425732</v>
      </c>
      <c r="E51" s="84">
        <v>27917397</v>
      </c>
      <c r="F51" s="84">
        <v>27915047</v>
      </c>
      <c r="G51" s="84">
        <v>17155873</v>
      </c>
      <c r="H51" s="82" t="s">
        <v>48</v>
      </c>
      <c r="I51" s="84">
        <v>6218834</v>
      </c>
      <c r="J51" s="84">
        <v>27259398</v>
      </c>
      <c r="K51" s="84">
        <v>9048514</v>
      </c>
      <c r="L51" s="84">
        <v>13487480</v>
      </c>
      <c r="M51" s="84">
        <v>20301509</v>
      </c>
      <c r="N51" s="84">
        <v>25982936</v>
      </c>
      <c r="O51" s="84">
        <v>8411815</v>
      </c>
      <c r="P51" s="84">
        <v>7584220</v>
      </c>
      <c r="Q51" s="9"/>
      <c r="R51" s="10"/>
    </row>
    <row r="52" spans="2:18" ht="17.25" customHeight="1" x14ac:dyDescent="0.25">
      <c r="B52" s="11" t="s">
        <v>47</v>
      </c>
      <c r="C52" s="50">
        <f>C51-C49</f>
        <v>18331</v>
      </c>
      <c r="D52" s="50">
        <f t="shared" si="11"/>
        <v>790</v>
      </c>
      <c r="E52" s="50">
        <f t="shared" si="11"/>
        <v>6629</v>
      </c>
      <c r="F52" s="50">
        <f>F51-F49</f>
        <v>17087</v>
      </c>
      <c r="G52" s="50">
        <f t="shared" si="12"/>
        <v>19774</v>
      </c>
      <c r="H52" s="8">
        <f>+G52+F52+E52+D52+C52</f>
        <v>62611</v>
      </c>
      <c r="I52" s="12">
        <f>I51-I49</f>
        <v>2541</v>
      </c>
      <c r="J52" s="12">
        <f t="shared" si="13"/>
        <v>9115</v>
      </c>
      <c r="K52" s="12">
        <f t="shared" si="13"/>
        <v>3303</v>
      </c>
      <c r="L52" s="12">
        <f t="shared" si="13"/>
        <v>4382</v>
      </c>
      <c r="M52" s="12">
        <f t="shared" si="13"/>
        <v>10597</v>
      </c>
      <c r="N52" s="12">
        <f t="shared" si="13"/>
        <v>8412</v>
      </c>
      <c r="O52" s="12">
        <f t="shared" si="13"/>
        <v>4078</v>
      </c>
      <c r="P52" s="12">
        <f t="shared" si="13"/>
        <v>2820</v>
      </c>
      <c r="Q52" s="13">
        <f>P52+O52+N52+M52+L52+K52+J52+I52</f>
        <v>45248</v>
      </c>
      <c r="R52" s="14">
        <f>Q52+H52</f>
        <v>107859</v>
      </c>
    </row>
    <row r="53" spans="2:18" ht="17.25" customHeight="1" x14ac:dyDescent="0.25">
      <c r="B53" s="22">
        <v>24</v>
      </c>
      <c r="C53" s="83">
        <v>21688168</v>
      </c>
      <c r="D53" s="85">
        <v>15436191</v>
      </c>
      <c r="E53" s="85">
        <v>27931230</v>
      </c>
      <c r="F53" s="85">
        <v>27933666</v>
      </c>
      <c r="G53" s="85">
        <v>17155886</v>
      </c>
      <c r="H53" s="82" t="s">
        <v>48</v>
      </c>
      <c r="I53" s="84">
        <v>6221355</v>
      </c>
      <c r="J53" s="84">
        <v>27268520</v>
      </c>
      <c r="K53" s="84">
        <v>9051680</v>
      </c>
      <c r="L53" s="84">
        <v>13491876</v>
      </c>
      <c r="M53" s="84">
        <v>20312345</v>
      </c>
      <c r="N53" s="84">
        <v>25991500</v>
      </c>
      <c r="O53" s="84">
        <v>8416114</v>
      </c>
      <c r="P53" s="84">
        <v>7587050</v>
      </c>
      <c r="Q53" s="9"/>
      <c r="R53" s="10"/>
    </row>
    <row r="54" spans="2:18" ht="17.25" customHeight="1" x14ac:dyDescent="0.25">
      <c r="B54" s="11" t="s">
        <v>47</v>
      </c>
      <c r="C54" s="50">
        <f>C53-C51</f>
        <v>8639</v>
      </c>
      <c r="D54" s="50">
        <f t="shared" si="11"/>
        <v>10459</v>
      </c>
      <c r="E54" s="50">
        <f t="shared" si="11"/>
        <v>13833</v>
      </c>
      <c r="F54" s="50">
        <f>F53-F51</f>
        <v>18619</v>
      </c>
      <c r="G54" s="50">
        <f t="shared" si="12"/>
        <v>13</v>
      </c>
      <c r="H54" s="8">
        <f>+G54+F54+E54+D54+C54</f>
        <v>51563</v>
      </c>
      <c r="I54" s="12">
        <f>I53-I51</f>
        <v>2521</v>
      </c>
      <c r="J54" s="12">
        <f t="shared" si="13"/>
        <v>9122</v>
      </c>
      <c r="K54" s="12">
        <f t="shared" si="13"/>
        <v>3166</v>
      </c>
      <c r="L54" s="12">
        <f t="shared" si="13"/>
        <v>4396</v>
      </c>
      <c r="M54" s="12">
        <f t="shared" si="13"/>
        <v>10836</v>
      </c>
      <c r="N54" s="12">
        <f t="shared" si="13"/>
        <v>8564</v>
      </c>
      <c r="O54" s="12">
        <f t="shared" si="13"/>
        <v>4299</v>
      </c>
      <c r="P54" s="12">
        <f t="shared" si="13"/>
        <v>2830</v>
      </c>
      <c r="Q54" s="13">
        <f>P54+O54+N54+M54+L54+K54+J54+I54</f>
        <v>45734</v>
      </c>
      <c r="R54" s="14">
        <f>Q54+H54</f>
        <v>97297</v>
      </c>
    </row>
    <row r="55" spans="2:18" ht="17.25" customHeight="1" x14ac:dyDescent="0.25">
      <c r="B55" s="22">
        <v>25</v>
      </c>
      <c r="C55" s="83">
        <v>21699422</v>
      </c>
      <c r="D55" s="84">
        <v>15443798</v>
      </c>
      <c r="E55" s="86">
        <v>27945538</v>
      </c>
      <c r="F55" s="83">
        <v>27943338</v>
      </c>
      <c r="G55" s="84">
        <v>17171225</v>
      </c>
      <c r="H55" s="82" t="s">
        <v>48</v>
      </c>
      <c r="I55" s="84">
        <v>6223874</v>
      </c>
      <c r="J55" s="84">
        <v>27277724</v>
      </c>
      <c r="K55" s="84">
        <v>9055119</v>
      </c>
      <c r="L55" s="84">
        <v>13496244</v>
      </c>
      <c r="M55" s="84">
        <v>20322818</v>
      </c>
      <c r="N55" s="84">
        <v>25999897</v>
      </c>
      <c r="O55" s="84">
        <v>8420372</v>
      </c>
      <c r="P55" s="84">
        <v>7589930</v>
      </c>
      <c r="Q55" s="9"/>
      <c r="R55" s="10"/>
    </row>
    <row r="56" spans="2:18" ht="17.25" customHeight="1" x14ac:dyDescent="0.25">
      <c r="B56" s="11" t="s">
        <v>47</v>
      </c>
      <c r="C56" s="50">
        <f>C55-C53</f>
        <v>11254</v>
      </c>
      <c r="D56" s="50">
        <f t="shared" si="11"/>
        <v>7607</v>
      </c>
      <c r="E56" s="50">
        <f t="shared" si="11"/>
        <v>14308</v>
      </c>
      <c r="F56" s="50">
        <f>F55-F53</f>
        <v>9672</v>
      </c>
      <c r="G56" s="50">
        <f t="shared" si="12"/>
        <v>15339</v>
      </c>
      <c r="H56" s="8">
        <f>+G56+F56+E56+D56+C56</f>
        <v>58180</v>
      </c>
      <c r="I56" s="12">
        <f>I55-I53</f>
        <v>2519</v>
      </c>
      <c r="J56" s="12">
        <f t="shared" si="13"/>
        <v>9204</v>
      </c>
      <c r="K56" s="12">
        <f t="shared" si="13"/>
        <v>3439</v>
      </c>
      <c r="L56" s="12">
        <f t="shared" si="13"/>
        <v>4368</v>
      </c>
      <c r="M56" s="12">
        <f t="shared" si="13"/>
        <v>10473</v>
      </c>
      <c r="N56" s="12">
        <f t="shared" si="13"/>
        <v>8397</v>
      </c>
      <c r="O56" s="12">
        <f t="shared" si="13"/>
        <v>4258</v>
      </c>
      <c r="P56" s="12">
        <f t="shared" si="13"/>
        <v>2880</v>
      </c>
      <c r="Q56" s="13">
        <f>P56+O56+N56+M56+L56+K56+J56+I56</f>
        <v>45538</v>
      </c>
      <c r="R56" s="14">
        <f>Q56+H56</f>
        <v>103718</v>
      </c>
    </row>
    <row r="57" spans="2:18" ht="17.25" customHeight="1" x14ac:dyDescent="0.25">
      <c r="B57" s="22">
        <v>26</v>
      </c>
      <c r="C57" s="83">
        <v>21718640</v>
      </c>
      <c r="D57" s="84">
        <v>15444535</v>
      </c>
      <c r="E57" s="84">
        <v>27965629</v>
      </c>
      <c r="F57" s="84">
        <v>27948642</v>
      </c>
      <c r="G57" s="84">
        <v>17192305</v>
      </c>
      <c r="H57" s="82" t="s">
        <v>48</v>
      </c>
      <c r="I57" s="84">
        <v>6226410</v>
      </c>
      <c r="J57" s="84">
        <v>27287095</v>
      </c>
      <c r="K57" s="84">
        <v>9058447</v>
      </c>
      <c r="L57" s="84">
        <v>13500648</v>
      </c>
      <c r="M57" s="84">
        <v>20333247</v>
      </c>
      <c r="N57" s="84">
        <v>26008500</v>
      </c>
      <c r="O57" s="84">
        <v>8424729</v>
      </c>
      <c r="P57" s="84">
        <v>7593020</v>
      </c>
      <c r="Q57" s="9"/>
      <c r="R57" s="10"/>
    </row>
    <row r="58" spans="2:18" ht="17.25" customHeight="1" x14ac:dyDescent="0.25">
      <c r="B58" s="11" t="s">
        <v>47</v>
      </c>
      <c r="C58" s="50">
        <f>C57-C55</f>
        <v>19218</v>
      </c>
      <c r="D58" s="50">
        <f t="shared" si="11"/>
        <v>737</v>
      </c>
      <c r="E58" s="50">
        <f t="shared" si="11"/>
        <v>20091</v>
      </c>
      <c r="F58" s="50">
        <f>F57-F55</f>
        <v>5304</v>
      </c>
      <c r="G58" s="50">
        <f t="shared" si="12"/>
        <v>21080</v>
      </c>
      <c r="H58" s="8">
        <f>+G58+F58+E58+D58+C58</f>
        <v>66430</v>
      </c>
      <c r="I58" s="12">
        <f>I57-I55</f>
        <v>2536</v>
      </c>
      <c r="J58" s="12">
        <f t="shared" si="13"/>
        <v>9371</v>
      </c>
      <c r="K58" s="12">
        <f t="shared" si="13"/>
        <v>3328</v>
      </c>
      <c r="L58" s="12">
        <f t="shared" si="13"/>
        <v>4404</v>
      </c>
      <c r="M58" s="12">
        <f t="shared" si="13"/>
        <v>10429</v>
      </c>
      <c r="N58" s="12">
        <f t="shared" si="13"/>
        <v>8603</v>
      </c>
      <c r="O58" s="12">
        <f t="shared" si="13"/>
        <v>4357</v>
      </c>
      <c r="P58" s="12">
        <f t="shared" si="13"/>
        <v>3090</v>
      </c>
      <c r="Q58" s="13">
        <f>P58+O58+N58+M58+L58+K58+J58+I58</f>
        <v>46118</v>
      </c>
      <c r="R58" s="14">
        <f>Q58+H58</f>
        <v>112548</v>
      </c>
    </row>
    <row r="59" spans="2:18" ht="17.25" customHeight="1" x14ac:dyDescent="0.25">
      <c r="B59" s="22">
        <v>27</v>
      </c>
      <c r="C59" s="80">
        <v>21736492</v>
      </c>
      <c r="D59" s="81">
        <v>15445297</v>
      </c>
      <c r="E59" s="81">
        <v>27983486</v>
      </c>
      <c r="F59" s="81">
        <v>27953719</v>
      </c>
      <c r="G59" s="81">
        <v>17211859</v>
      </c>
      <c r="H59" s="82" t="s">
        <v>48</v>
      </c>
      <c r="I59" s="81">
        <v>6228996</v>
      </c>
      <c r="J59" s="81">
        <v>27296397</v>
      </c>
      <c r="K59" s="81">
        <v>9062101</v>
      </c>
      <c r="L59" s="81">
        <v>13504983</v>
      </c>
      <c r="M59" s="81">
        <v>20343732</v>
      </c>
      <c r="N59" s="81">
        <v>26017221</v>
      </c>
      <c r="O59" s="81">
        <v>8428949</v>
      </c>
      <c r="P59" s="81">
        <v>7595790</v>
      </c>
      <c r="Q59" s="9"/>
      <c r="R59" s="10"/>
    </row>
    <row r="60" spans="2:18" ht="17.25" customHeight="1" x14ac:dyDescent="0.25">
      <c r="B60" s="11" t="s">
        <v>47</v>
      </c>
      <c r="C60" s="50">
        <f>C59-C57</f>
        <v>17852</v>
      </c>
      <c r="D60" s="50">
        <f t="shared" si="11"/>
        <v>762</v>
      </c>
      <c r="E60" s="50">
        <f t="shared" si="11"/>
        <v>17857</v>
      </c>
      <c r="F60" s="50">
        <f>F59-F57</f>
        <v>5077</v>
      </c>
      <c r="G60" s="50">
        <f t="shared" si="12"/>
        <v>19554</v>
      </c>
      <c r="H60" s="8">
        <f>+G60+F60+E60+D60+C60</f>
        <v>61102</v>
      </c>
      <c r="I60" s="12">
        <f>I59-I57</f>
        <v>2586</v>
      </c>
      <c r="J60" s="12">
        <f t="shared" si="13"/>
        <v>9302</v>
      </c>
      <c r="K60" s="12">
        <f t="shared" si="13"/>
        <v>3654</v>
      </c>
      <c r="L60" s="12">
        <f t="shared" si="13"/>
        <v>4335</v>
      </c>
      <c r="M60" s="12">
        <f t="shared" si="13"/>
        <v>10485</v>
      </c>
      <c r="N60" s="12">
        <f t="shared" si="13"/>
        <v>8721</v>
      </c>
      <c r="O60" s="12">
        <f t="shared" si="13"/>
        <v>4220</v>
      </c>
      <c r="P60" s="12">
        <f t="shared" si="13"/>
        <v>2770</v>
      </c>
      <c r="Q60" s="13">
        <f>P60+O60+N60+M60+L60+K60+J60+I60</f>
        <v>46073</v>
      </c>
      <c r="R60" s="14">
        <f>Q60+H60</f>
        <v>107175</v>
      </c>
    </row>
    <row r="61" spans="2:18" ht="17.25" customHeight="1" x14ac:dyDescent="0.25">
      <c r="B61" s="22">
        <v>28</v>
      </c>
      <c r="C61" s="83">
        <v>21753285</v>
      </c>
      <c r="D61" s="84">
        <v>15446055</v>
      </c>
      <c r="E61" s="84">
        <v>28000936</v>
      </c>
      <c r="F61" s="84">
        <v>27962896</v>
      </c>
      <c r="G61" s="84">
        <v>17223476</v>
      </c>
      <c r="H61" s="82" t="s">
        <v>48</v>
      </c>
      <c r="I61" s="84">
        <v>6231566</v>
      </c>
      <c r="J61" s="84">
        <v>27305733</v>
      </c>
      <c r="K61" s="84">
        <v>9065290</v>
      </c>
      <c r="L61" s="85">
        <v>13509305</v>
      </c>
      <c r="M61" s="84">
        <v>20354611</v>
      </c>
      <c r="N61" s="84">
        <v>26025590</v>
      </c>
      <c r="O61" s="84">
        <v>8432861</v>
      </c>
      <c r="P61" s="84">
        <v>7598380</v>
      </c>
      <c r="Q61" s="9"/>
      <c r="R61" s="10"/>
    </row>
    <row r="62" spans="2:18" ht="17.25" customHeight="1" x14ac:dyDescent="0.25">
      <c r="B62" s="11" t="s">
        <v>47</v>
      </c>
      <c r="C62" s="50">
        <f>C61-C59</f>
        <v>16793</v>
      </c>
      <c r="D62" s="50">
        <f t="shared" si="11"/>
        <v>758</v>
      </c>
      <c r="E62" s="50">
        <f t="shared" si="11"/>
        <v>17450</v>
      </c>
      <c r="F62" s="50">
        <f>F61-F59</f>
        <v>9177</v>
      </c>
      <c r="G62" s="50">
        <f t="shared" si="12"/>
        <v>11617</v>
      </c>
      <c r="H62" s="8">
        <f>+G62+F62+E62+D62+C62</f>
        <v>55795</v>
      </c>
      <c r="I62" s="12">
        <f>I61-I59</f>
        <v>2570</v>
      </c>
      <c r="J62" s="12">
        <f t="shared" si="13"/>
        <v>9336</v>
      </c>
      <c r="K62" s="12">
        <f t="shared" si="13"/>
        <v>3189</v>
      </c>
      <c r="L62" s="12">
        <f t="shared" si="13"/>
        <v>4322</v>
      </c>
      <c r="M62" s="12">
        <f t="shared" si="13"/>
        <v>10879</v>
      </c>
      <c r="N62" s="12">
        <f t="shared" si="13"/>
        <v>8369</v>
      </c>
      <c r="O62" s="12">
        <f t="shared" si="13"/>
        <v>3912</v>
      </c>
      <c r="P62" s="12">
        <f t="shared" si="13"/>
        <v>2590</v>
      </c>
      <c r="Q62" s="13">
        <f>P62+O62+N62+M62+L62+K62+J62+I62</f>
        <v>45167</v>
      </c>
      <c r="R62" s="14">
        <f>Q62+H62</f>
        <v>100962</v>
      </c>
    </row>
    <row r="63" spans="2:18" ht="17.25" customHeight="1" x14ac:dyDescent="0.25">
      <c r="B63" s="22">
        <v>29</v>
      </c>
      <c r="C63" s="83">
        <v>21773014</v>
      </c>
      <c r="D63" s="84">
        <v>15446818</v>
      </c>
      <c r="E63" s="84">
        <v>28019949</v>
      </c>
      <c r="F63" s="84">
        <v>27977115</v>
      </c>
      <c r="G63" s="84">
        <v>17224521</v>
      </c>
      <c r="H63" s="82" t="s">
        <v>48</v>
      </c>
      <c r="I63" s="84">
        <v>6234120</v>
      </c>
      <c r="J63" s="84">
        <v>27314731</v>
      </c>
      <c r="K63" s="84">
        <v>9068350</v>
      </c>
      <c r="L63" s="85">
        <v>13513634</v>
      </c>
      <c r="M63" s="84">
        <v>20364676</v>
      </c>
      <c r="N63" s="84">
        <v>26034463</v>
      </c>
      <c r="O63" s="84">
        <v>8437084</v>
      </c>
      <c r="P63" s="84">
        <v>7601190</v>
      </c>
      <c r="Q63" s="9"/>
      <c r="R63" s="10"/>
    </row>
    <row r="64" spans="2:18" ht="17.25" customHeight="1" x14ac:dyDescent="0.25">
      <c r="B64" s="11" t="s">
        <v>47</v>
      </c>
      <c r="C64" s="50">
        <f>C63-C61</f>
        <v>19729</v>
      </c>
      <c r="D64" s="50">
        <f t="shared" si="11"/>
        <v>763</v>
      </c>
      <c r="E64" s="50">
        <f t="shared" si="11"/>
        <v>19013</v>
      </c>
      <c r="F64" s="50">
        <f>F63-F61</f>
        <v>14219</v>
      </c>
      <c r="G64" s="50">
        <f t="shared" si="12"/>
        <v>1045</v>
      </c>
      <c r="H64" s="8">
        <f>+G64+F64+E64+D64+C64</f>
        <v>54769</v>
      </c>
      <c r="I64" s="12">
        <f>I63-I61</f>
        <v>2554</v>
      </c>
      <c r="J64" s="12">
        <f t="shared" si="13"/>
        <v>8998</v>
      </c>
      <c r="K64" s="12">
        <f t="shared" si="13"/>
        <v>3060</v>
      </c>
      <c r="L64" s="12">
        <f t="shared" si="13"/>
        <v>4329</v>
      </c>
      <c r="M64" s="12">
        <f t="shared" si="13"/>
        <v>10065</v>
      </c>
      <c r="N64" s="12">
        <f t="shared" si="13"/>
        <v>8873</v>
      </c>
      <c r="O64" s="12">
        <f t="shared" si="13"/>
        <v>4223</v>
      </c>
      <c r="P64" s="12">
        <f t="shared" si="13"/>
        <v>2810</v>
      </c>
      <c r="Q64" s="13">
        <f>P64+O64+N64+M64+L64+K64+J64+I64</f>
        <v>44912</v>
      </c>
      <c r="R64" s="14">
        <f>Q64+H64</f>
        <v>99681</v>
      </c>
    </row>
    <row r="65" spans="2:18" ht="17.25" customHeight="1" x14ac:dyDescent="0.25">
      <c r="B65" s="22">
        <v>30</v>
      </c>
      <c r="C65" s="83">
        <v>21792111</v>
      </c>
      <c r="D65" s="84">
        <v>15447560</v>
      </c>
      <c r="E65" s="84">
        <v>28033962</v>
      </c>
      <c r="F65" s="84">
        <v>27994595</v>
      </c>
      <c r="G65" s="84">
        <v>17224533</v>
      </c>
      <c r="H65" s="82" t="s">
        <v>48</v>
      </c>
      <c r="I65" s="84">
        <v>6236666</v>
      </c>
      <c r="J65" s="84">
        <v>27323941</v>
      </c>
      <c r="K65" s="84">
        <v>9071558</v>
      </c>
      <c r="L65" s="85">
        <v>13518000</v>
      </c>
      <c r="M65" s="84">
        <v>20375062</v>
      </c>
      <c r="N65" s="84">
        <v>26043246</v>
      </c>
      <c r="O65" s="84">
        <v>8441178</v>
      </c>
      <c r="P65" s="84">
        <v>7603950</v>
      </c>
      <c r="Q65" s="9"/>
      <c r="R65" s="10"/>
    </row>
    <row r="66" spans="2:18" ht="15.75" customHeight="1" x14ac:dyDescent="0.25">
      <c r="B66" s="11" t="s">
        <v>47</v>
      </c>
      <c r="C66" s="50">
        <f>C65-C63</f>
        <v>19097</v>
      </c>
      <c r="D66" s="50">
        <f t="shared" si="11"/>
        <v>742</v>
      </c>
      <c r="E66" s="50">
        <f t="shared" si="11"/>
        <v>14013</v>
      </c>
      <c r="F66" s="50">
        <f>F65-F63</f>
        <v>17480</v>
      </c>
      <c r="G66" s="50">
        <f t="shared" si="12"/>
        <v>12</v>
      </c>
      <c r="H66" s="8">
        <f>+G66+F66+E66+D66+C66</f>
        <v>51344</v>
      </c>
      <c r="I66" s="12">
        <f>I65-I63</f>
        <v>2546</v>
      </c>
      <c r="J66" s="12">
        <f t="shared" si="13"/>
        <v>9210</v>
      </c>
      <c r="K66" s="12">
        <f t="shared" si="13"/>
        <v>3208</v>
      </c>
      <c r="L66" s="12">
        <f t="shared" si="13"/>
        <v>4366</v>
      </c>
      <c r="M66" s="12">
        <f t="shared" si="13"/>
        <v>10386</v>
      </c>
      <c r="N66" s="12">
        <f t="shared" si="13"/>
        <v>8783</v>
      </c>
      <c r="O66" s="12">
        <f t="shared" si="13"/>
        <v>4094</v>
      </c>
      <c r="P66" s="12">
        <f t="shared" si="13"/>
        <v>2760</v>
      </c>
      <c r="Q66" s="13">
        <f>P66+O66+N66+M66+L66+K66+J66+I66</f>
        <v>45353</v>
      </c>
      <c r="R66" s="14">
        <f>Q66+H66</f>
        <v>96697</v>
      </c>
    </row>
    <row r="67" spans="2:18" ht="15.75" x14ac:dyDescent="0.25">
      <c r="B67" s="22">
        <v>31</v>
      </c>
      <c r="C67" s="83">
        <v>21811303</v>
      </c>
      <c r="D67" s="84">
        <v>15448289</v>
      </c>
      <c r="E67" s="84">
        <v>28050078</v>
      </c>
      <c r="F67" s="84">
        <v>28012202</v>
      </c>
      <c r="G67" s="84">
        <v>17224545</v>
      </c>
      <c r="H67" s="82" t="s">
        <v>48</v>
      </c>
      <c r="I67" s="84">
        <v>6239197</v>
      </c>
      <c r="J67" s="84">
        <v>27333188</v>
      </c>
      <c r="K67" s="84">
        <v>9074680</v>
      </c>
      <c r="L67" s="85">
        <v>13522460</v>
      </c>
      <c r="M67" s="84">
        <v>20385541</v>
      </c>
      <c r="N67" s="84">
        <v>26051983</v>
      </c>
      <c r="O67" s="84">
        <v>8445256</v>
      </c>
      <c r="P67" s="84">
        <v>7606770</v>
      </c>
      <c r="Q67" s="9"/>
      <c r="R67" s="10"/>
    </row>
    <row r="68" spans="2:18" ht="15.75" x14ac:dyDescent="0.25">
      <c r="B68" s="11" t="s">
        <v>47</v>
      </c>
      <c r="C68" s="50">
        <f>C67-C65</f>
        <v>19192</v>
      </c>
      <c r="D68" s="50">
        <f t="shared" si="11"/>
        <v>729</v>
      </c>
      <c r="E68" s="50">
        <f t="shared" si="11"/>
        <v>16116</v>
      </c>
      <c r="F68" s="50">
        <f>F67-F65</f>
        <v>17607</v>
      </c>
      <c r="G68" s="50">
        <f t="shared" si="12"/>
        <v>12</v>
      </c>
      <c r="H68" s="8">
        <f>+G68+F68+E68+D68+C68</f>
        <v>53656</v>
      </c>
      <c r="I68" s="12">
        <f>I67-I65</f>
        <v>2531</v>
      </c>
      <c r="J68" s="12">
        <f t="shared" si="13"/>
        <v>9247</v>
      </c>
      <c r="K68" s="12">
        <f t="shared" si="13"/>
        <v>3122</v>
      </c>
      <c r="L68" s="12">
        <f t="shared" si="13"/>
        <v>4460</v>
      </c>
      <c r="M68" s="12">
        <f t="shared" si="13"/>
        <v>10479</v>
      </c>
      <c r="N68" s="12">
        <f t="shared" si="13"/>
        <v>8737</v>
      </c>
      <c r="O68" s="12">
        <f t="shared" si="13"/>
        <v>4078</v>
      </c>
      <c r="P68" s="12">
        <f t="shared" si="13"/>
        <v>2820</v>
      </c>
      <c r="Q68" s="13">
        <f>P68+O68+N68+M68+L68+K68+J68+I68</f>
        <v>45474</v>
      </c>
      <c r="R68" s="14">
        <f>Q68+H68</f>
        <v>99130</v>
      </c>
    </row>
    <row r="72" spans="2:18" x14ac:dyDescent="0.25">
      <c r="C72" s="47"/>
      <c r="D72" s="47"/>
      <c r="E72" s="47"/>
      <c r="F72" s="47"/>
      <c r="G72" s="47"/>
    </row>
    <row r="73" spans="2:18" x14ac:dyDescent="0.25">
      <c r="C73" s="53"/>
      <c r="D73" s="53"/>
      <c r="E73" s="53"/>
      <c r="F73" s="53"/>
      <c r="G73" s="53"/>
    </row>
  </sheetData>
  <customSheetViews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1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4"/>
    </customSheetView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="80" zoomScaleNormal="80" zoomScaleSheetLayoutView="100" workbookViewId="0">
      <pane ySplit="6" topLeftCell="A7" activePane="bottomLeft" state="frozen"/>
      <selection pane="bottomLeft" activeCell="V39" sqref="V39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3.5703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101" t="s">
        <v>34</v>
      </c>
      <c r="G2" s="101"/>
      <c r="H2" s="101"/>
      <c r="I2" s="101"/>
      <c r="J2" s="101"/>
      <c r="K2" s="20"/>
      <c r="L2" s="20"/>
    </row>
    <row r="3" spans="2:21" ht="21" customHeight="1" x14ac:dyDescent="0.25">
      <c r="F3" s="107" t="s">
        <v>49</v>
      </c>
      <c r="G3" s="107"/>
      <c r="H3" s="107"/>
      <c r="I3" s="107"/>
      <c r="J3" s="107"/>
      <c r="K3" s="21"/>
      <c r="L3" s="21"/>
      <c r="M3" s="98" t="s">
        <v>36</v>
      </c>
      <c r="N3" s="98"/>
    </row>
    <row r="4" spans="2:21" ht="15" customHeight="1" thickBot="1" x14ac:dyDescent="0.3"/>
    <row r="5" spans="2:21" ht="30.75" customHeight="1" thickTop="1" x14ac:dyDescent="0.25">
      <c r="B5" s="112" t="s">
        <v>37</v>
      </c>
      <c r="C5" s="4" t="s">
        <v>50</v>
      </c>
      <c r="D5" s="4" t="s">
        <v>51</v>
      </c>
      <c r="E5" s="4" t="s">
        <v>52</v>
      </c>
      <c r="F5" s="114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08" t="s">
        <v>59</v>
      </c>
      <c r="N5" s="110" t="s">
        <v>60</v>
      </c>
      <c r="O5" s="6"/>
      <c r="P5" s="117" t="s">
        <v>1</v>
      </c>
      <c r="Q5" s="117" t="s">
        <v>8</v>
      </c>
      <c r="R5" s="117" t="s">
        <v>9</v>
      </c>
      <c r="S5" s="117" t="s">
        <v>10</v>
      </c>
    </row>
    <row r="6" spans="2:21" ht="15.75" customHeight="1" x14ac:dyDescent="0.25">
      <c r="B6" s="113"/>
      <c r="C6" s="3">
        <v>130465</v>
      </c>
      <c r="D6" s="3">
        <v>130460</v>
      </c>
      <c r="E6" s="3">
        <v>130461</v>
      </c>
      <c r="F6" s="115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9"/>
      <c r="N6" s="111"/>
      <c r="O6" s="6"/>
      <c r="P6" s="118"/>
      <c r="Q6" s="118"/>
      <c r="R6" s="118"/>
      <c r="S6" s="118"/>
      <c r="T6" s="116" t="s">
        <v>61</v>
      </c>
      <c r="U6" s="116"/>
    </row>
    <row r="7" spans="2:21" ht="17.25" customHeight="1" x14ac:dyDescent="0.25">
      <c r="B7" s="22">
        <v>1</v>
      </c>
      <c r="C7" s="68">
        <v>8227</v>
      </c>
      <c r="D7" s="61">
        <v>497</v>
      </c>
      <c r="E7" s="61">
        <v>46762</v>
      </c>
      <c r="F7" s="62" t="s">
        <v>48</v>
      </c>
      <c r="G7" s="66">
        <v>278645</v>
      </c>
      <c r="H7" s="66">
        <v>165736</v>
      </c>
      <c r="I7" s="65">
        <v>178857</v>
      </c>
      <c r="J7" s="66">
        <v>862863</v>
      </c>
      <c r="K7" s="63">
        <v>639364</v>
      </c>
      <c r="L7" s="67">
        <v>324</v>
      </c>
      <c r="M7" s="19"/>
      <c r="N7" s="16"/>
      <c r="P7" s="54">
        <v>1</v>
      </c>
      <c r="Q7" s="55">
        <v>86</v>
      </c>
      <c r="R7" s="7">
        <v>254</v>
      </c>
      <c r="S7" s="7">
        <v>14.3</v>
      </c>
      <c r="T7" s="75">
        <v>130461</v>
      </c>
      <c r="U7" s="76" t="s">
        <v>52</v>
      </c>
    </row>
    <row r="8" spans="2:21" ht="17.25" customHeight="1" x14ac:dyDescent="0.25">
      <c r="B8" s="11" t="s">
        <v>47</v>
      </c>
      <c r="C8" s="69">
        <v>0</v>
      </c>
      <c r="D8" s="70">
        <v>0</v>
      </c>
      <c r="E8" s="70">
        <v>0</v>
      </c>
      <c r="F8" s="71">
        <v>0</v>
      </c>
      <c r="G8" s="72">
        <v>110</v>
      </c>
      <c r="H8" s="72">
        <v>11</v>
      </c>
      <c r="I8" s="72">
        <v>45</v>
      </c>
      <c r="J8" s="72">
        <v>178</v>
      </c>
      <c r="K8" s="72">
        <v>21</v>
      </c>
      <c r="L8" s="72">
        <v>27</v>
      </c>
      <c r="M8" s="19">
        <f>L8+K8+J8+I8+H8+G8</f>
        <v>392</v>
      </c>
      <c r="N8" s="51">
        <f>M8+F8</f>
        <v>392</v>
      </c>
      <c r="P8" s="54">
        <v>2</v>
      </c>
      <c r="Q8" s="55">
        <v>54</v>
      </c>
      <c r="R8" s="7">
        <v>184</v>
      </c>
      <c r="S8" s="7">
        <v>15.3</v>
      </c>
      <c r="T8" s="57">
        <v>130457</v>
      </c>
      <c r="U8" s="76" t="s">
        <v>62</v>
      </c>
    </row>
    <row r="9" spans="2:21" ht="17.25" customHeight="1" x14ac:dyDescent="0.25">
      <c r="B9" s="22">
        <v>2</v>
      </c>
      <c r="C9" s="68">
        <v>8227</v>
      </c>
      <c r="D9" s="61">
        <v>497</v>
      </c>
      <c r="E9" s="61">
        <v>46762</v>
      </c>
      <c r="F9" s="62" t="s">
        <v>48</v>
      </c>
      <c r="G9" s="59">
        <v>278754</v>
      </c>
      <c r="H9" s="59">
        <v>165749</v>
      </c>
      <c r="I9" s="65">
        <v>178900</v>
      </c>
      <c r="J9" s="66">
        <v>863023</v>
      </c>
      <c r="K9" s="63">
        <v>639385</v>
      </c>
      <c r="L9" s="67">
        <v>362</v>
      </c>
      <c r="M9" s="19"/>
      <c r="N9" s="17"/>
      <c r="P9" s="54">
        <v>3</v>
      </c>
      <c r="Q9" s="55">
        <v>42</v>
      </c>
      <c r="R9" s="7">
        <v>152</v>
      </c>
      <c r="S9" s="7">
        <v>16.8</v>
      </c>
    </row>
    <row r="10" spans="2:21" ht="17.25" customHeight="1" x14ac:dyDescent="0.25">
      <c r="B10" s="11" t="s">
        <v>47</v>
      </c>
      <c r="C10" s="12">
        <f>C9-C7</f>
        <v>0</v>
      </c>
      <c r="D10" s="12">
        <f>D9-D7</f>
        <v>0</v>
      </c>
      <c r="E10" s="12">
        <f>E9-E7</f>
        <v>0</v>
      </c>
      <c r="F10" s="18">
        <f>+C10+D10+E10</f>
        <v>0</v>
      </c>
      <c r="G10" s="12">
        <f>G9-G7</f>
        <v>109</v>
      </c>
      <c r="H10" s="12">
        <f>H9-H7</f>
        <v>13</v>
      </c>
      <c r="I10" s="12">
        <f t="shared" ref="I10:L20" si="0">I9-I7</f>
        <v>43</v>
      </c>
      <c r="J10" s="12">
        <f t="shared" si="0"/>
        <v>160</v>
      </c>
      <c r="K10" s="12">
        <f t="shared" si="0"/>
        <v>21</v>
      </c>
      <c r="L10" s="12">
        <f t="shared" si="0"/>
        <v>38</v>
      </c>
      <c r="M10" s="19">
        <f>L10+K10+J10+I10+H10+G10</f>
        <v>384</v>
      </c>
      <c r="N10" s="51">
        <f>M10+F10</f>
        <v>384</v>
      </c>
      <c r="P10" s="54">
        <v>4</v>
      </c>
      <c r="Q10" s="55">
        <v>71</v>
      </c>
      <c r="R10" s="7">
        <v>306</v>
      </c>
      <c r="S10" s="7">
        <v>16.8</v>
      </c>
    </row>
    <row r="11" spans="2:21" ht="17.25" customHeight="1" x14ac:dyDescent="0.25">
      <c r="B11" s="22">
        <v>3</v>
      </c>
      <c r="C11" s="68">
        <v>8227</v>
      </c>
      <c r="D11" s="61">
        <v>497</v>
      </c>
      <c r="E11" s="61">
        <v>46762</v>
      </c>
      <c r="F11" s="62" t="s">
        <v>48</v>
      </c>
      <c r="G11" s="61">
        <v>278864</v>
      </c>
      <c r="H11" s="61">
        <v>165761</v>
      </c>
      <c r="I11" s="65">
        <v>178900</v>
      </c>
      <c r="J11" s="66">
        <v>863216</v>
      </c>
      <c r="K11" s="63">
        <v>639405</v>
      </c>
      <c r="L11" s="67">
        <v>396</v>
      </c>
      <c r="M11" s="19"/>
      <c r="N11" s="17"/>
      <c r="P11" s="54">
        <v>5</v>
      </c>
      <c r="Q11" s="55">
        <v>77</v>
      </c>
      <c r="R11" s="7">
        <v>328</v>
      </c>
      <c r="S11" s="7">
        <v>15.9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ref="D12:E12" si="1">D11-D9</f>
        <v>0</v>
      </c>
      <c r="E12" s="12">
        <f t="shared" si="1"/>
        <v>0</v>
      </c>
      <c r="F12" s="18">
        <f>+C12+D12+E12</f>
        <v>0</v>
      </c>
      <c r="G12" s="12">
        <f>G11-G9</f>
        <v>110</v>
      </c>
      <c r="H12" s="12">
        <f>H11-H9</f>
        <v>12</v>
      </c>
      <c r="I12" s="12">
        <f t="shared" si="0"/>
        <v>0</v>
      </c>
      <c r="J12" s="12">
        <f t="shared" si="0"/>
        <v>193</v>
      </c>
      <c r="K12" s="12">
        <f t="shared" si="0"/>
        <v>20</v>
      </c>
      <c r="L12" s="12">
        <f t="shared" si="0"/>
        <v>34</v>
      </c>
      <c r="M12" s="19">
        <f>L12+K12+J12+I12+H12+G12</f>
        <v>369</v>
      </c>
      <c r="N12" s="51">
        <f>M12+F12</f>
        <v>369</v>
      </c>
      <c r="P12" s="54">
        <v>6</v>
      </c>
      <c r="Q12" s="55">
        <v>52</v>
      </c>
      <c r="R12" s="7">
        <v>216</v>
      </c>
      <c r="S12" s="7">
        <v>16.3</v>
      </c>
    </row>
    <row r="13" spans="2:21" ht="17.25" customHeight="1" x14ac:dyDescent="0.25">
      <c r="B13" s="22">
        <v>4</v>
      </c>
      <c r="C13" s="68">
        <v>8227</v>
      </c>
      <c r="D13" s="61">
        <v>497</v>
      </c>
      <c r="E13" s="61">
        <v>46762</v>
      </c>
      <c r="F13" s="18"/>
      <c r="G13" s="58">
        <v>278975</v>
      </c>
      <c r="H13" s="61">
        <v>165777</v>
      </c>
      <c r="I13" s="65">
        <v>178900</v>
      </c>
      <c r="J13" s="66">
        <v>863402</v>
      </c>
      <c r="K13" s="63">
        <v>639429</v>
      </c>
      <c r="L13" s="67">
        <v>452</v>
      </c>
      <c r="M13" s="19"/>
      <c r="N13" s="17"/>
      <c r="P13" s="54">
        <v>7</v>
      </c>
      <c r="Q13" s="55">
        <v>44</v>
      </c>
      <c r="R13" s="7">
        <v>166</v>
      </c>
      <c r="S13" s="7">
        <v>15.7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ref="D14:E14" si="2">D13-D11</f>
        <v>0</v>
      </c>
      <c r="E14" s="12">
        <f t="shared" si="2"/>
        <v>0</v>
      </c>
      <c r="F14" s="18">
        <f>+C14+D14+E14</f>
        <v>0</v>
      </c>
      <c r="G14" s="12">
        <f>G13-G11</f>
        <v>111</v>
      </c>
      <c r="H14" s="12">
        <f>H13-H11</f>
        <v>16</v>
      </c>
      <c r="I14" s="12">
        <f t="shared" si="0"/>
        <v>0</v>
      </c>
      <c r="J14" s="12">
        <f t="shared" si="0"/>
        <v>186</v>
      </c>
      <c r="K14" s="12">
        <f t="shared" si="0"/>
        <v>24</v>
      </c>
      <c r="L14" s="12">
        <f t="shared" si="0"/>
        <v>56</v>
      </c>
      <c r="M14" s="19">
        <f>L14+K14+J14+I14+H14+G14</f>
        <v>393</v>
      </c>
      <c r="N14" s="51">
        <f>M14+F14</f>
        <v>393</v>
      </c>
      <c r="P14" s="54">
        <v>8</v>
      </c>
      <c r="Q14" s="55">
        <v>72</v>
      </c>
      <c r="R14" s="7">
        <v>250</v>
      </c>
      <c r="S14" s="7">
        <v>15.3</v>
      </c>
    </row>
    <row r="15" spans="2:21" ht="17.25" customHeight="1" x14ac:dyDescent="0.25">
      <c r="B15" s="22">
        <v>5</v>
      </c>
      <c r="C15" s="68">
        <v>8227</v>
      </c>
      <c r="D15" s="61">
        <v>497</v>
      </c>
      <c r="E15" s="61">
        <v>46762</v>
      </c>
      <c r="F15" s="62" t="s">
        <v>48</v>
      </c>
      <c r="G15" s="65">
        <v>279086</v>
      </c>
      <c r="H15" s="61">
        <v>165790</v>
      </c>
      <c r="I15" s="65">
        <v>178900</v>
      </c>
      <c r="J15" s="65">
        <v>863585</v>
      </c>
      <c r="K15" s="63">
        <v>639458</v>
      </c>
      <c r="L15" s="67">
        <v>487</v>
      </c>
      <c r="M15" s="19"/>
      <c r="N15" s="17"/>
      <c r="P15" s="54">
        <v>9</v>
      </c>
      <c r="Q15" s="55">
        <v>88</v>
      </c>
      <c r="R15" s="7">
        <v>312</v>
      </c>
      <c r="S15" s="7">
        <v>17.100000000000001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ref="D16:E16" si="3">D15-D13</f>
        <v>0</v>
      </c>
      <c r="E16" s="12">
        <f t="shared" si="3"/>
        <v>0</v>
      </c>
      <c r="F16" s="18">
        <f>+C16+D16+E16</f>
        <v>0</v>
      </c>
      <c r="G16" s="12">
        <f>G15-G13</f>
        <v>111</v>
      </c>
      <c r="H16" s="12">
        <f>H15-H13</f>
        <v>13</v>
      </c>
      <c r="I16" s="12">
        <f t="shared" si="0"/>
        <v>0</v>
      </c>
      <c r="J16" s="12">
        <f t="shared" si="0"/>
        <v>183</v>
      </c>
      <c r="K16" s="12">
        <f t="shared" si="0"/>
        <v>29</v>
      </c>
      <c r="L16" s="12">
        <f t="shared" si="0"/>
        <v>35</v>
      </c>
      <c r="M16" s="19">
        <f>L16+K16+J16+I16+H16+G16</f>
        <v>371</v>
      </c>
      <c r="N16" s="51">
        <f>M16+F16</f>
        <v>371</v>
      </c>
      <c r="P16" s="54">
        <v>10</v>
      </c>
      <c r="Q16" s="55">
        <v>91</v>
      </c>
      <c r="R16" s="7">
        <v>342</v>
      </c>
      <c r="S16" s="7">
        <v>16.899999999999999</v>
      </c>
    </row>
    <row r="17" spans="2:19" ht="17.25" customHeight="1" x14ac:dyDescent="0.25">
      <c r="B17" s="22">
        <v>6</v>
      </c>
      <c r="C17" s="68">
        <v>8227</v>
      </c>
      <c r="D17" s="61">
        <v>497</v>
      </c>
      <c r="E17" s="61">
        <v>46762</v>
      </c>
      <c r="F17" s="18"/>
      <c r="G17" s="46">
        <v>279199</v>
      </c>
      <c r="H17" s="46">
        <v>165804</v>
      </c>
      <c r="I17" s="65">
        <v>178900</v>
      </c>
      <c r="J17" s="46">
        <v>863772</v>
      </c>
      <c r="K17" s="63">
        <v>639484</v>
      </c>
      <c r="L17" s="67">
        <v>522</v>
      </c>
      <c r="M17" s="19"/>
      <c r="N17" s="17"/>
      <c r="P17" s="54">
        <v>11</v>
      </c>
      <c r="Q17" s="55">
        <v>93</v>
      </c>
      <c r="R17" s="7">
        <v>358</v>
      </c>
      <c r="S17" s="7">
        <v>15.8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ref="D18:E18" si="4">D17-D15</f>
        <v>0</v>
      </c>
      <c r="E18" s="12">
        <f t="shared" si="4"/>
        <v>0</v>
      </c>
      <c r="F18" s="18">
        <f>+C18+D18+E18</f>
        <v>0</v>
      </c>
      <c r="G18" s="12">
        <f>G17-G15</f>
        <v>113</v>
      </c>
      <c r="H18" s="12">
        <f>H17-H15</f>
        <v>14</v>
      </c>
      <c r="I18" s="12">
        <f t="shared" si="0"/>
        <v>0</v>
      </c>
      <c r="J18" s="12">
        <f t="shared" si="0"/>
        <v>187</v>
      </c>
      <c r="K18" s="12">
        <f t="shared" si="0"/>
        <v>26</v>
      </c>
      <c r="L18" s="12">
        <f t="shared" si="0"/>
        <v>35</v>
      </c>
      <c r="M18" s="19">
        <f>L18+K18+J18+I18+H18+G18</f>
        <v>375</v>
      </c>
      <c r="N18" s="51">
        <f>M18+F18</f>
        <v>375</v>
      </c>
      <c r="P18" s="54">
        <v>12</v>
      </c>
      <c r="Q18" s="55">
        <v>123</v>
      </c>
      <c r="R18" s="7">
        <v>558</v>
      </c>
      <c r="S18" s="7">
        <v>17.100000000000001</v>
      </c>
    </row>
    <row r="19" spans="2:19" ht="17.25" customHeight="1" x14ac:dyDescent="0.25">
      <c r="B19" s="22">
        <v>7</v>
      </c>
      <c r="C19" s="45">
        <v>8230</v>
      </c>
      <c r="D19" s="61">
        <v>497</v>
      </c>
      <c r="E19" s="61">
        <v>46762</v>
      </c>
      <c r="F19" s="18"/>
      <c r="G19" s="46">
        <v>279310</v>
      </c>
      <c r="H19" s="46">
        <v>165819</v>
      </c>
      <c r="I19" s="65">
        <v>178900</v>
      </c>
      <c r="J19" s="46">
        <v>863948</v>
      </c>
      <c r="K19" s="63">
        <v>639506</v>
      </c>
      <c r="L19" s="67">
        <v>567</v>
      </c>
      <c r="M19" s="19"/>
      <c r="N19" s="17"/>
      <c r="P19" s="54">
        <v>13</v>
      </c>
      <c r="Q19" s="55">
        <v>52</v>
      </c>
      <c r="R19" s="7">
        <v>172</v>
      </c>
      <c r="S19" s="7">
        <v>15.4</v>
      </c>
    </row>
    <row r="20" spans="2:19" ht="17.25" customHeight="1" x14ac:dyDescent="0.25">
      <c r="B20" s="11" t="s">
        <v>47</v>
      </c>
      <c r="C20" s="12">
        <f>C19-C17</f>
        <v>3</v>
      </c>
      <c r="D20" s="12">
        <f t="shared" ref="D20:E20" si="5">D19-D17</f>
        <v>0</v>
      </c>
      <c r="E20" s="12">
        <f t="shared" si="5"/>
        <v>0</v>
      </c>
      <c r="F20" s="18">
        <f>+C20+D20+E20</f>
        <v>3</v>
      </c>
      <c r="G20" s="12">
        <f>G19-G17</f>
        <v>111</v>
      </c>
      <c r="H20" s="12">
        <f>H19-H17</f>
        <v>15</v>
      </c>
      <c r="I20" s="12">
        <f t="shared" si="0"/>
        <v>0</v>
      </c>
      <c r="J20" s="12">
        <f t="shared" si="0"/>
        <v>176</v>
      </c>
      <c r="K20" s="12">
        <f t="shared" si="0"/>
        <v>22</v>
      </c>
      <c r="L20" s="12">
        <f t="shared" si="0"/>
        <v>45</v>
      </c>
      <c r="M20" s="19">
        <f>L20+K20+J20+I20+H20+G20</f>
        <v>369</v>
      </c>
      <c r="N20" s="51">
        <f>M20+F20</f>
        <v>372</v>
      </c>
      <c r="P20" s="54">
        <v>14</v>
      </c>
      <c r="Q20" s="55">
        <v>52</v>
      </c>
      <c r="R20" s="7">
        <v>160</v>
      </c>
      <c r="S20" s="7">
        <v>16.3</v>
      </c>
    </row>
    <row r="21" spans="2:19" ht="17.25" customHeight="1" x14ac:dyDescent="0.25">
      <c r="B21" s="22">
        <v>8</v>
      </c>
      <c r="C21" s="45">
        <v>8230</v>
      </c>
      <c r="D21" s="45">
        <v>499</v>
      </c>
      <c r="E21" s="61">
        <v>46762</v>
      </c>
      <c r="F21" s="18"/>
      <c r="G21" s="58">
        <v>279422</v>
      </c>
      <c r="H21" s="58">
        <v>165834</v>
      </c>
      <c r="I21" s="65">
        <v>178900</v>
      </c>
      <c r="J21" s="58">
        <v>864131</v>
      </c>
      <c r="K21" s="63">
        <v>639530</v>
      </c>
      <c r="L21" s="67">
        <v>604</v>
      </c>
      <c r="M21" s="19"/>
      <c r="N21" s="17"/>
      <c r="P21" s="54">
        <v>15</v>
      </c>
      <c r="Q21" s="55">
        <v>63</v>
      </c>
      <c r="R21" s="7">
        <v>178</v>
      </c>
      <c r="S21" s="7">
        <v>16.2</v>
      </c>
    </row>
    <row r="22" spans="2:19" ht="17.25" customHeight="1" x14ac:dyDescent="0.25">
      <c r="B22" s="11" t="s">
        <v>47</v>
      </c>
      <c r="C22" s="12">
        <f>C21-C19</f>
        <v>0</v>
      </c>
      <c r="D22" s="12">
        <f t="shared" ref="D22:E22" si="6">D21-D19</f>
        <v>2</v>
      </c>
      <c r="E22" s="12">
        <f t="shared" si="6"/>
        <v>0</v>
      </c>
      <c r="F22" s="18">
        <f>+C22+D22+E22</f>
        <v>2</v>
      </c>
      <c r="G22" s="12">
        <f>G21-G19</f>
        <v>112</v>
      </c>
      <c r="H22" s="12">
        <f t="shared" ref="H22:L22" si="7">H21-H19</f>
        <v>15</v>
      </c>
      <c r="I22" s="12">
        <f t="shared" si="7"/>
        <v>0</v>
      </c>
      <c r="J22" s="12">
        <f t="shared" si="7"/>
        <v>183</v>
      </c>
      <c r="K22" s="12">
        <f t="shared" si="7"/>
        <v>24</v>
      </c>
      <c r="L22" s="12">
        <f t="shared" si="7"/>
        <v>37</v>
      </c>
      <c r="M22" s="19">
        <f>L22+K22+J22+I22+H22+G22</f>
        <v>371</v>
      </c>
      <c r="N22" s="51">
        <f>M22+F22</f>
        <v>373</v>
      </c>
      <c r="P22" s="54">
        <v>16</v>
      </c>
      <c r="Q22" s="55">
        <v>60</v>
      </c>
      <c r="R22" s="7">
        <v>200</v>
      </c>
      <c r="S22" s="7">
        <v>16.5</v>
      </c>
    </row>
    <row r="23" spans="2:19" ht="17.25" customHeight="1" x14ac:dyDescent="0.25">
      <c r="B23" s="22">
        <v>9</v>
      </c>
      <c r="C23" s="45">
        <v>8230</v>
      </c>
      <c r="D23" s="45">
        <v>499</v>
      </c>
      <c r="E23" s="61">
        <v>46762</v>
      </c>
      <c r="F23" s="18"/>
      <c r="G23" s="46">
        <v>279529</v>
      </c>
      <c r="H23" s="46">
        <v>165846</v>
      </c>
      <c r="I23" s="65">
        <v>178900</v>
      </c>
      <c r="J23" s="46">
        <v>864299</v>
      </c>
      <c r="K23" s="63">
        <v>639555</v>
      </c>
      <c r="L23" s="67">
        <v>636</v>
      </c>
      <c r="M23" s="19"/>
      <c r="N23" s="17"/>
      <c r="P23" s="54">
        <v>17</v>
      </c>
      <c r="Q23" s="55">
        <v>66</v>
      </c>
      <c r="R23" s="7">
        <v>248</v>
      </c>
      <c r="S23" s="7">
        <v>16.600000000000001</v>
      </c>
    </row>
    <row r="24" spans="2:19" ht="17.25" customHeight="1" x14ac:dyDescent="0.25">
      <c r="B24" s="11" t="s">
        <v>47</v>
      </c>
      <c r="C24" s="12">
        <f>C23-C21</f>
        <v>0</v>
      </c>
      <c r="D24" s="12">
        <f t="shared" ref="D24:E24" si="8">D23-D21</f>
        <v>0</v>
      </c>
      <c r="E24" s="12">
        <f t="shared" si="8"/>
        <v>0</v>
      </c>
      <c r="F24" s="18">
        <f>+C24+D24+E24</f>
        <v>0</v>
      </c>
      <c r="G24" s="12">
        <f>G23-G21</f>
        <v>107</v>
      </c>
      <c r="H24" s="12">
        <f t="shared" ref="H24:L24" si="9">H23-H21</f>
        <v>12</v>
      </c>
      <c r="I24" s="12">
        <f t="shared" si="9"/>
        <v>0</v>
      </c>
      <c r="J24" s="12">
        <f t="shared" si="9"/>
        <v>168</v>
      </c>
      <c r="K24" s="12">
        <f t="shared" si="9"/>
        <v>25</v>
      </c>
      <c r="L24" s="12">
        <f t="shared" si="9"/>
        <v>32</v>
      </c>
      <c r="M24" s="19">
        <f>L24+K24+J24+I24+H24+G24</f>
        <v>344</v>
      </c>
      <c r="N24" s="51">
        <f>M24+F24</f>
        <v>344</v>
      </c>
      <c r="P24" s="54">
        <v>18</v>
      </c>
      <c r="Q24" s="55">
        <v>81</v>
      </c>
      <c r="R24" s="7">
        <v>326</v>
      </c>
      <c r="S24" s="7">
        <v>16.2</v>
      </c>
    </row>
    <row r="25" spans="2:19" ht="17.25" customHeight="1" x14ac:dyDescent="0.25">
      <c r="B25" s="22">
        <v>10</v>
      </c>
      <c r="C25" s="45">
        <v>8230</v>
      </c>
      <c r="D25" s="45">
        <v>499</v>
      </c>
      <c r="E25" s="61">
        <v>46762</v>
      </c>
      <c r="F25" s="18"/>
      <c r="G25" s="58">
        <v>279641</v>
      </c>
      <c r="H25" s="58">
        <v>165860</v>
      </c>
      <c r="I25" s="65">
        <v>178900</v>
      </c>
      <c r="J25" s="58">
        <v>864491</v>
      </c>
      <c r="K25" s="63">
        <v>639586</v>
      </c>
      <c r="L25" s="67">
        <v>678</v>
      </c>
      <c r="M25" s="19"/>
      <c r="N25" s="17"/>
      <c r="P25" s="54">
        <v>19</v>
      </c>
      <c r="Q25" s="55">
        <v>76</v>
      </c>
      <c r="R25" s="7">
        <v>306</v>
      </c>
      <c r="S25" s="7">
        <v>16.2</v>
      </c>
    </row>
    <row r="26" spans="2:19" ht="17.25" customHeight="1" x14ac:dyDescent="0.25">
      <c r="B26" s="11" t="s">
        <v>47</v>
      </c>
      <c r="C26" s="12">
        <f>C25-C23</f>
        <v>0</v>
      </c>
      <c r="D26" s="12">
        <f t="shared" ref="D26:E68" si="10">D25-D23</f>
        <v>0</v>
      </c>
      <c r="E26" s="12">
        <f t="shared" si="10"/>
        <v>0</v>
      </c>
      <c r="F26" s="18">
        <f>+C26+D26+E26</f>
        <v>0</v>
      </c>
      <c r="G26" s="12">
        <f>G25-G23</f>
        <v>112</v>
      </c>
      <c r="H26" s="12">
        <f t="shared" ref="H26:L68" si="11">H25-H23</f>
        <v>14</v>
      </c>
      <c r="I26" s="12">
        <f t="shared" si="11"/>
        <v>0</v>
      </c>
      <c r="J26" s="12">
        <f t="shared" si="11"/>
        <v>192</v>
      </c>
      <c r="K26" s="12">
        <f t="shared" si="11"/>
        <v>31</v>
      </c>
      <c r="L26" s="12">
        <f t="shared" si="11"/>
        <v>42</v>
      </c>
      <c r="M26" s="19">
        <f>L26+K26+J26+I26+H26+G26</f>
        <v>391</v>
      </c>
      <c r="N26" s="51">
        <f>M26+F26</f>
        <v>391</v>
      </c>
      <c r="P26" s="54">
        <v>20</v>
      </c>
      <c r="Q26" s="55">
        <v>31</v>
      </c>
      <c r="R26" s="7">
        <v>110</v>
      </c>
      <c r="S26" s="7">
        <v>16.100000000000001</v>
      </c>
    </row>
    <row r="27" spans="2:19" ht="17.25" customHeight="1" x14ac:dyDescent="0.25">
      <c r="B27" s="22">
        <v>11</v>
      </c>
      <c r="C27" s="58">
        <v>8230</v>
      </c>
      <c r="D27" s="59">
        <v>499</v>
      </c>
      <c r="E27" s="61">
        <v>46762</v>
      </c>
      <c r="F27" s="62" t="s">
        <v>48</v>
      </c>
      <c r="G27" s="65">
        <v>279753</v>
      </c>
      <c r="H27" s="65">
        <v>165880</v>
      </c>
      <c r="I27" s="65">
        <v>178900</v>
      </c>
      <c r="J27" s="66">
        <v>864725</v>
      </c>
      <c r="K27" s="63">
        <v>639617</v>
      </c>
      <c r="L27" s="67">
        <v>725</v>
      </c>
      <c r="M27" s="19"/>
      <c r="N27" s="17"/>
      <c r="P27" s="54">
        <v>21</v>
      </c>
      <c r="Q27" s="55">
        <v>50</v>
      </c>
      <c r="R27" s="7">
        <v>180</v>
      </c>
      <c r="S27" s="7">
        <v>15.8</v>
      </c>
    </row>
    <row r="28" spans="2:19" ht="17.25" customHeight="1" x14ac:dyDescent="0.25">
      <c r="B28" s="11" t="s">
        <v>47</v>
      </c>
      <c r="C28" s="12">
        <f>C27-C25</f>
        <v>0</v>
      </c>
      <c r="D28" s="12">
        <f t="shared" si="10"/>
        <v>0</v>
      </c>
      <c r="E28" s="12">
        <f t="shared" si="10"/>
        <v>0</v>
      </c>
      <c r="F28" s="18">
        <f>+C28+D28+E28</f>
        <v>0</v>
      </c>
      <c r="G28" s="12">
        <f>G27-G25</f>
        <v>112</v>
      </c>
      <c r="H28" s="12">
        <f t="shared" si="11"/>
        <v>20</v>
      </c>
      <c r="I28" s="12">
        <f t="shared" si="11"/>
        <v>0</v>
      </c>
      <c r="J28" s="12">
        <f t="shared" si="11"/>
        <v>234</v>
      </c>
      <c r="K28" s="12">
        <f t="shared" si="11"/>
        <v>31</v>
      </c>
      <c r="L28" s="12">
        <f t="shared" si="11"/>
        <v>47</v>
      </c>
      <c r="M28" s="19">
        <f>L28+K28+J28+I28+H28+G28</f>
        <v>444</v>
      </c>
      <c r="N28" s="51">
        <f>M28+F28</f>
        <v>444</v>
      </c>
      <c r="P28" s="54">
        <v>22</v>
      </c>
      <c r="Q28" s="55">
        <v>61</v>
      </c>
      <c r="R28" s="7">
        <v>232</v>
      </c>
      <c r="S28" s="7">
        <v>15.6</v>
      </c>
    </row>
    <row r="29" spans="2:19" ht="17.25" customHeight="1" x14ac:dyDescent="0.25">
      <c r="B29" s="22">
        <v>12</v>
      </c>
      <c r="C29" s="58">
        <v>8230</v>
      </c>
      <c r="D29" s="59">
        <v>499</v>
      </c>
      <c r="E29" s="61">
        <v>46762</v>
      </c>
      <c r="F29" s="62" t="s">
        <v>48</v>
      </c>
      <c r="G29" s="59">
        <v>279866</v>
      </c>
      <c r="H29" s="59">
        <v>165895</v>
      </c>
      <c r="I29" s="65">
        <v>178900</v>
      </c>
      <c r="J29" s="66">
        <v>865034</v>
      </c>
      <c r="K29" s="63">
        <v>639657</v>
      </c>
      <c r="L29" s="67">
        <v>773</v>
      </c>
      <c r="M29" s="19"/>
      <c r="N29" s="17"/>
      <c r="P29" s="54">
        <v>23</v>
      </c>
      <c r="Q29" s="55">
        <v>52</v>
      </c>
      <c r="R29" s="7">
        <v>210</v>
      </c>
      <c r="S29" s="7">
        <v>15.9</v>
      </c>
    </row>
    <row r="30" spans="2:19" ht="17.25" customHeight="1" x14ac:dyDescent="0.25">
      <c r="B30" s="11" t="s">
        <v>47</v>
      </c>
      <c r="C30" s="12">
        <f>C29-C27</f>
        <v>0</v>
      </c>
      <c r="D30" s="12">
        <f t="shared" si="10"/>
        <v>0</v>
      </c>
      <c r="E30" s="12">
        <f t="shared" si="10"/>
        <v>0</v>
      </c>
      <c r="F30" s="18">
        <f>+C30+D30+E30</f>
        <v>0</v>
      </c>
      <c r="G30" s="12">
        <f>G29-G27</f>
        <v>113</v>
      </c>
      <c r="H30" s="12">
        <f t="shared" si="11"/>
        <v>15</v>
      </c>
      <c r="I30" s="12">
        <f t="shared" si="11"/>
        <v>0</v>
      </c>
      <c r="J30" s="12">
        <f t="shared" si="11"/>
        <v>309</v>
      </c>
      <c r="K30" s="12">
        <f t="shared" si="11"/>
        <v>40</v>
      </c>
      <c r="L30" s="12">
        <f t="shared" si="11"/>
        <v>48</v>
      </c>
      <c r="M30" s="19">
        <f>L30+K30+J30+I30+H30+G30</f>
        <v>525</v>
      </c>
      <c r="N30" s="51">
        <f>M30+F30</f>
        <v>525</v>
      </c>
      <c r="P30" s="54">
        <v>24</v>
      </c>
      <c r="Q30" s="55">
        <v>54</v>
      </c>
      <c r="R30" s="7">
        <v>194</v>
      </c>
      <c r="S30" s="7">
        <v>15.8</v>
      </c>
    </row>
    <row r="31" spans="2:19" ht="17.25" customHeight="1" x14ac:dyDescent="0.25">
      <c r="B31" s="22">
        <v>13</v>
      </c>
      <c r="C31" s="58">
        <v>8264</v>
      </c>
      <c r="D31" s="59">
        <v>499</v>
      </c>
      <c r="E31" s="61">
        <v>46762</v>
      </c>
      <c r="F31" s="62" t="s">
        <v>48</v>
      </c>
      <c r="G31" s="65">
        <v>279985</v>
      </c>
      <c r="H31" s="65">
        <v>165910</v>
      </c>
      <c r="I31" s="65">
        <v>178900</v>
      </c>
      <c r="J31" s="66">
        <v>865316</v>
      </c>
      <c r="K31" s="63">
        <v>639693</v>
      </c>
      <c r="L31" s="67">
        <v>818</v>
      </c>
      <c r="M31" s="19"/>
      <c r="N31" s="17"/>
      <c r="P31" s="54">
        <v>25</v>
      </c>
      <c r="Q31" s="55">
        <v>93</v>
      </c>
      <c r="R31" s="7">
        <v>342</v>
      </c>
      <c r="S31" s="7">
        <v>16.100000000000001</v>
      </c>
    </row>
    <row r="32" spans="2:19" ht="17.25" customHeight="1" x14ac:dyDescent="0.25">
      <c r="B32" s="11" t="s">
        <v>47</v>
      </c>
      <c r="C32" s="12">
        <f>C31-C29</f>
        <v>34</v>
      </c>
      <c r="D32" s="12">
        <f t="shared" si="10"/>
        <v>0</v>
      </c>
      <c r="E32" s="12">
        <f t="shared" si="10"/>
        <v>0</v>
      </c>
      <c r="F32" s="18">
        <f>+C32+D32+E32</f>
        <v>34</v>
      </c>
      <c r="G32" s="12">
        <f>G31-G29</f>
        <v>119</v>
      </c>
      <c r="H32" s="12">
        <f t="shared" si="11"/>
        <v>15</v>
      </c>
      <c r="I32" s="12">
        <f t="shared" si="11"/>
        <v>0</v>
      </c>
      <c r="J32" s="12">
        <f t="shared" si="11"/>
        <v>282</v>
      </c>
      <c r="K32" s="12">
        <f t="shared" si="11"/>
        <v>36</v>
      </c>
      <c r="L32" s="12">
        <f t="shared" si="11"/>
        <v>45</v>
      </c>
      <c r="M32" s="19">
        <f>L32+K32+J32+I32+H32+G32</f>
        <v>497</v>
      </c>
      <c r="N32" s="51">
        <f>M32+F32</f>
        <v>531</v>
      </c>
      <c r="P32" s="54">
        <v>26</v>
      </c>
      <c r="Q32" s="55">
        <v>110</v>
      </c>
      <c r="R32" s="7">
        <v>474</v>
      </c>
      <c r="S32" s="7">
        <v>17.100000000000001</v>
      </c>
    </row>
    <row r="33" spans="2:19" ht="17.25" customHeight="1" x14ac:dyDescent="0.25">
      <c r="B33" s="22">
        <v>14</v>
      </c>
      <c r="C33" s="58">
        <v>8264</v>
      </c>
      <c r="D33" s="59">
        <v>499</v>
      </c>
      <c r="E33" s="61">
        <v>46762</v>
      </c>
      <c r="F33" s="62" t="s">
        <v>48</v>
      </c>
      <c r="G33" s="59">
        <v>280105</v>
      </c>
      <c r="H33" s="59">
        <v>165924</v>
      </c>
      <c r="I33" s="65">
        <v>178900</v>
      </c>
      <c r="J33" s="59">
        <v>865501</v>
      </c>
      <c r="K33" s="63">
        <v>639718</v>
      </c>
      <c r="L33" s="67">
        <v>858</v>
      </c>
      <c r="M33" s="19"/>
      <c r="N33" s="17"/>
      <c r="P33" s="54">
        <v>27</v>
      </c>
      <c r="Q33" s="55">
        <v>49</v>
      </c>
      <c r="R33" s="7">
        <v>194</v>
      </c>
      <c r="S33" s="7">
        <v>16</v>
      </c>
    </row>
    <row r="34" spans="2:19" ht="17.25" customHeight="1" x14ac:dyDescent="0.25">
      <c r="B34" s="11" t="s">
        <v>47</v>
      </c>
      <c r="C34" s="12">
        <f>C33-C31</f>
        <v>0</v>
      </c>
      <c r="D34" s="12">
        <f t="shared" si="10"/>
        <v>0</v>
      </c>
      <c r="E34" s="12">
        <f t="shared" si="10"/>
        <v>0</v>
      </c>
      <c r="F34" s="18">
        <f>+C34+D34+E34</f>
        <v>0</v>
      </c>
      <c r="G34" s="12">
        <f>G33-G31</f>
        <v>120</v>
      </c>
      <c r="H34" s="12">
        <f t="shared" si="11"/>
        <v>14</v>
      </c>
      <c r="I34" s="12">
        <f t="shared" si="11"/>
        <v>0</v>
      </c>
      <c r="J34" s="12">
        <f t="shared" si="11"/>
        <v>185</v>
      </c>
      <c r="K34" s="12">
        <f t="shared" si="11"/>
        <v>25</v>
      </c>
      <c r="L34" s="12">
        <f t="shared" si="11"/>
        <v>40</v>
      </c>
      <c r="M34" s="19">
        <f>L34+K34+J34+I34+H34+G34</f>
        <v>384</v>
      </c>
      <c r="N34" s="51">
        <f>M34+F34</f>
        <v>384</v>
      </c>
      <c r="P34" s="54">
        <v>28</v>
      </c>
      <c r="Q34" s="55">
        <v>42</v>
      </c>
      <c r="R34" s="7">
        <v>146</v>
      </c>
      <c r="S34" s="7">
        <v>14.8</v>
      </c>
    </row>
    <row r="35" spans="2:19" ht="17.25" customHeight="1" x14ac:dyDescent="0.25">
      <c r="B35" s="22">
        <v>15</v>
      </c>
      <c r="C35" s="58">
        <v>8264</v>
      </c>
      <c r="D35" s="59">
        <v>499</v>
      </c>
      <c r="E35" s="61">
        <v>46762</v>
      </c>
      <c r="F35" s="62"/>
      <c r="G35" s="65">
        <v>280228</v>
      </c>
      <c r="H35" s="65">
        <v>165935</v>
      </c>
      <c r="I35" s="65">
        <v>178900</v>
      </c>
      <c r="J35" s="66">
        <v>865672</v>
      </c>
      <c r="K35" s="63">
        <v>639742</v>
      </c>
      <c r="L35" s="67">
        <v>983</v>
      </c>
      <c r="M35" s="19"/>
      <c r="N35" s="17"/>
      <c r="P35" s="54">
        <v>29</v>
      </c>
      <c r="Q35" s="55">
        <v>41</v>
      </c>
      <c r="R35" s="7">
        <v>142</v>
      </c>
      <c r="S35" s="7">
        <v>14</v>
      </c>
    </row>
    <row r="36" spans="2:19" ht="17.25" customHeight="1" x14ac:dyDescent="0.25">
      <c r="B36" s="11" t="s">
        <v>47</v>
      </c>
      <c r="C36" s="12">
        <f>C35-C33</f>
        <v>0</v>
      </c>
      <c r="D36" s="12">
        <f t="shared" si="10"/>
        <v>0</v>
      </c>
      <c r="E36" s="12">
        <f t="shared" si="10"/>
        <v>0</v>
      </c>
      <c r="F36" s="18">
        <f>+C36+D36+E36</f>
        <v>0</v>
      </c>
      <c r="G36" s="12">
        <f>G35-G33</f>
        <v>123</v>
      </c>
      <c r="H36" s="12">
        <f t="shared" si="11"/>
        <v>11</v>
      </c>
      <c r="I36" s="12">
        <f t="shared" si="11"/>
        <v>0</v>
      </c>
      <c r="J36" s="12">
        <f t="shared" si="11"/>
        <v>171</v>
      </c>
      <c r="K36" s="12">
        <f t="shared" si="11"/>
        <v>24</v>
      </c>
      <c r="L36" s="12">
        <f t="shared" si="11"/>
        <v>125</v>
      </c>
      <c r="M36" s="19">
        <f>L36+K36+J36+I36+H36+G36</f>
        <v>454</v>
      </c>
      <c r="N36" s="51">
        <f>M36+F36</f>
        <v>454</v>
      </c>
      <c r="P36" s="54">
        <v>30</v>
      </c>
      <c r="Q36" s="55">
        <v>49</v>
      </c>
      <c r="R36" s="7">
        <v>162</v>
      </c>
      <c r="S36" s="7">
        <v>14.1</v>
      </c>
    </row>
    <row r="37" spans="2:19" ht="17.25" customHeight="1" x14ac:dyDescent="0.25">
      <c r="B37" s="22">
        <v>16</v>
      </c>
      <c r="C37" s="58">
        <v>8264</v>
      </c>
      <c r="D37" s="59">
        <v>500</v>
      </c>
      <c r="E37" s="61">
        <v>46762</v>
      </c>
      <c r="F37" s="62"/>
      <c r="G37" s="59">
        <v>280342</v>
      </c>
      <c r="H37" s="59">
        <v>165948</v>
      </c>
      <c r="I37" s="65">
        <v>178900</v>
      </c>
      <c r="J37" s="66">
        <v>865852</v>
      </c>
      <c r="K37" s="63">
        <v>639769</v>
      </c>
      <c r="L37" s="67">
        <v>1022</v>
      </c>
      <c r="M37" s="19"/>
      <c r="N37" s="17"/>
      <c r="P37" s="54">
        <v>31</v>
      </c>
      <c r="Q37" s="55">
        <v>55</v>
      </c>
      <c r="R37" s="7">
        <v>186</v>
      </c>
      <c r="S37" s="7">
        <v>14.3</v>
      </c>
    </row>
    <row r="38" spans="2:19" ht="17.25" customHeight="1" x14ac:dyDescent="0.25">
      <c r="B38" s="11" t="s">
        <v>47</v>
      </c>
      <c r="C38" s="12">
        <f>C37-C35</f>
        <v>0</v>
      </c>
      <c r="D38" s="12">
        <f t="shared" si="10"/>
        <v>1</v>
      </c>
      <c r="E38" s="12">
        <f t="shared" si="10"/>
        <v>0</v>
      </c>
      <c r="F38" s="18">
        <f>+C38+D38+E38</f>
        <v>1</v>
      </c>
      <c r="G38" s="12">
        <f>G37-G35</f>
        <v>114</v>
      </c>
      <c r="H38" s="12">
        <f t="shared" si="11"/>
        <v>13</v>
      </c>
      <c r="I38" s="12">
        <f t="shared" si="11"/>
        <v>0</v>
      </c>
      <c r="J38" s="12">
        <f t="shared" si="11"/>
        <v>180</v>
      </c>
      <c r="K38" s="12">
        <f t="shared" si="11"/>
        <v>27</v>
      </c>
      <c r="L38" s="12">
        <f t="shared" si="11"/>
        <v>39</v>
      </c>
      <c r="M38" s="19">
        <f>L38+K38+J38+I38+H38+G38</f>
        <v>373</v>
      </c>
      <c r="N38" s="51">
        <f>M38+F38</f>
        <v>374</v>
      </c>
      <c r="P38" s="35"/>
      <c r="Q38" s="56">
        <f>SUM(Q7:Q37)</f>
        <v>2030</v>
      </c>
      <c r="R38" s="53">
        <f>SUM(R7:R37)</f>
        <v>7588</v>
      </c>
      <c r="S38" s="56">
        <f>SUM(S7:S37)</f>
        <v>492.30000000000018</v>
      </c>
    </row>
    <row r="39" spans="2:19" ht="17.25" customHeight="1" x14ac:dyDescent="0.25">
      <c r="B39" s="22">
        <v>17</v>
      </c>
      <c r="C39" s="58">
        <v>8270</v>
      </c>
      <c r="D39" s="59">
        <v>500</v>
      </c>
      <c r="E39" s="61">
        <v>46762</v>
      </c>
      <c r="F39" s="62"/>
      <c r="G39" s="65">
        <v>280459</v>
      </c>
      <c r="H39" s="65">
        <v>165960</v>
      </c>
      <c r="I39" s="65">
        <v>178900</v>
      </c>
      <c r="J39" s="66">
        <v>866052</v>
      </c>
      <c r="K39" s="63">
        <v>639795</v>
      </c>
      <c r="L39" s="67">
        <v>1065</v>
      </c>
      <c r="M39" s="19"/>
      <c r="N39" s="17"/>
    </row>
    <row r="40" spans="2:19" ht="17.25" customHeight="1" x14ac:dyDescent="0.25">
      <c r="B40" s="11" t="s">
        <v>47</v>
      </c>
      <c r="C40" s="12">
        <f>C39-C37</f>
        <v>6</v>
      </c>
      <c r="D40" s="12">
        <f t="shared" si="10"/>
        <v>0</v>
      </c>
      <c r="E40" s="12">
        <f t="shared" si="10"/>
        <v>0</v>
      </c>
      <c r="F40" s="18">
        <f>+C40+D40+E40</f>
        <v>6</v>
      </c>
      <c r="G40" s="12">
        <f>G39-G37</f>
        <v>117</v>
      </c>
      <c r="H40" s="12">
        <f t="shared" si="11"/>
        <v>12</v>
      </c>
      <c r="I40" s="12">
        <f t="shared" si="11"/>
        <v>0</v>
      </c>
      <c r="J40" s="12">
        <f t="shared" si="11"/>
        <v>200</v>
      </c>
      <c r="K40" s="12">
        <f t="shared" si="11"/>
        <v>26</v>
      </c>
      <c r="L40" s="12">
        <f t="shared" si="11"/>
        <v>43</v>
      </c>
      <c r="M40" s="19">
        <f>L40+K40+J40+I40+H40+G40</f>
        <v>398</v>
      </c>
      <c r="N40" s="51">
        <f>M40+F40</f>
        <v>404</v>
      </c>
      <c r="P40" s="35"/>
      <c r="Q40" s="56"/>
      <c r="R40" s="53"/>
      <c r="S40" s="53"/>
    </row>
    <row r="41" spans="2:19" ht="17.25" customHeight="1" x14ac:dyDescent="0.25">
      <c r="B41" s="22">
        <v>18</v>
      </c>
      <c r="C41" s="58">
        <v>8270</v>
      </c>
      <c r="D41" s="59">
        <v>500</v>
      </c>
      <c r="E41" s="61">
        <v>46762</v>
      </c>
      <c r="F41" s="62"/>
      <c r="G41" s="65">
        <v>280576</v>
      </c>
      <c r="H41" s="59">
        <v>165973</v>
      </c>
      <c r="I41" s="65">
        <v>178900</v>
      </c>
      <c r="J41" s="66">
        <v>866252</v>
      </c>
      <c r="K41" s="63">
        <v>639825</v>
      </c>
      <c r="L41" s="67">
        <v>1117</v>
      </c>
      <c r="M41" s="19"/>
      <c r="N41" s="17"/>
    </row>
    <row r="42" spans="2:19" ht="17.25" customHeight="1" x14ac:dyDescent="0.25">
      <c r="B42" s="11" t="s">
        <v>47</v>
      </c>
      <c r="C42" s="12">
        <f>C41-C39</f>
        <v>0</v>
      </c>
      <c r="D42" s="12">
        <f t="shared" si="10"/>
        <v>0</v>
      </c>
      <c r="E42" s="12">
        <f t="shared" si="10"/>
        <v>0</v>
      </c>
      <c r="F42" s="18">
        <f>+C42+D42+E42</f>
        <v>0</v>
      </c>
      <c r="G42" s="12">
        <f>G41-G39</f>
        <v>117</v>
      </c>
      <c r="H42" s="12">
        <f t="shared" si="11"/>
        <v>13</v>
      </c>
      <c r="I42" s="12">
        <f t="shared" si="11"/>
        <v>0</v>
      </c>
      <c r="J42" s="12">
        <f t="shared" si="11"/>
        <v>200</v>
      </c>
      <c r="K42" s="12">
        <f t="shared" si="11"/>
        <v>30</v>
      </c>
      <c r="L42" s="12">
        <f t="shared" si="11"/>
        <v>52</v>
      </c>
      <c r="M42" s="19">
        <f>L42+K42+J42+I42+H42+G42</f>
        <v>412</v>
      </c>
      <c r="N42" s="51">
        <f>M42+F42</f>
        <v>412</v>
      </c>
      <c r="P42" s="35"/>
      <c r="Q42" s="56"/>
      <c r="R42" s="53"/>
      <c r="S42" s="53"/>
    </row>
    <row r="43" spans="2:19" ht="17.25" customHeight="1" x14ac:dyDescent="0.25">
      <c r="B43" s="22">
        <v>19</v>
      </c>
      <c r="C43" s="58">
        <v>8270</v>
      </c>
      <c r="D43" s="59">
        <v>500</v>
      </c>
      <c r="E43" s="61">
        <v>46762</v>
      </c>
      <c r="F43" s="62"/>
      <c r="G43" s="7">
        <v>280696</v>
      </c>
      <c r="H43" s="65">
        <v>165984</v>
      </c>
      <c r="I43" s="65">
        <v>178900</v>
      </c>
      <c r="J43" s="66">
        <v>866458</v>
      </c>
      <c r="K43" s="63">
        <v>639860</v>
      </c>
      <c r="L43" s="67">
        <v>1167</v>
      </c>
      <c r="M43" s="19"/>
      <c r="N43" s="17"/>
    </row>
    <row r="44" spans="2:19" ht="17.25" customHeight="1" x14ac:dyDescent="0.25">
      <c r="B44" s="11" t="s">
        <v>47</v>
      </c>
      <c r="C44" s="12">
        <f>C43-C41</f>
        <v>0</v>
      </c>
      <c r="D44" s="12">
        <f t="shared" si="10"/>
        <v>0</v>
      </c>
      <c r="E44" s="12">
        <f t="shared" si="10"/>
        <v>0</v>
      </c>
      <c r="F44" s="18">
        <f>+C44+D44+E44</f>
        <v>0</v>
      </c>
      <c r="G44" s="12">
        <f>G43-G41</f>
        <v>120</v>
      </c>
      <c r="H44" s="12">
        <f t="shared" si="11"/>
        <v>11</v>
      </c>
      <c r="I44" s="12">
        <f t="shared" si="11"/>
        <v>0</v>
      </c>
      <c r="J44" s="12">
        <f t="shared" si="11"/>
        <v>206</v>
      </c>
      <c r="K44" s="12">
        <f t="shared" si="11"/>
        <v>35</v>
      </c>
      <c r="L44" s="12">
        <f t="shared" si="11"/>
        <v>50</v>
      </c>
      <c r="M44" s="19">
        <f>L44+K44+J44+I44+H44+G44</f>
        <v>422</v>
      </c>
      <c r="N44" s="51">
        <f>M44+F44</f>
        <v>422</v>
      </c>
      <c r="P44" s="35"/>
      <c r="Q44" s="56"/>
      <c r="R44" s="53"/>
      <c r="S44" s="53"/>
    </row>
    <row r="45" spans="2:19" ht="17.25" customHeight="1" x14ac:dyDescent="0.25">
      <c r="B45" s="22">
        <v>20</v>
      </c>
      <c r="C45" s="58">
        <v>8270</v>
      </c>
      <c r="D45" s="59">
        <v>500</v>
      </c>
      <c r="E45" s="61">
        <v>46762</v>
      </c>
      <c r="F45" s="18"/>
      <c r="G45" s="7">
        <v>280806</v>
      </c>
      <c r="H45" s="7">
        <v>165998</v>
      </c>
      <c r="I45" s="65">
        <v>178900</v>
      </c>
      <c r="J45" s="48">
        <v>866766</v>
      </c>
      <c r="K45" s="63">
        <v>639886</v>
      </c>
      <c r="L45" s="67">
        <v>1215</v>
      </c>
      <c r="M45" s="19"/>
      <c r="N45" s="17"/>
    </row>
    <row r="46" spans="2:19" ht="17.25" customHeight="1" x14ac:dyDescent="0.25">
      <c r="B46" s="11" t="s">
        <v>47</v>
      </c>
      <c r="C46" s="12">
        <f>C45-C43</f>
        <v>0</v>
      </c>
      <c r="D46" s="12">
        <f t="shared" si="10"/>
        <v>0</v>
      </c>
      <c r="E46" s="12">
        <f t="shared" si="10"/>
        <v>0</v>
      </c>
      <c r="F46" s="18">
        <f>+C46+D46+E46</f>
        <v>0</v>
      </c>
      <c r="G46" s="12">
        <f>G45-G43</f>
        <v>110</v>
      </c>
      <c r="H46" s="12">
        <f t="shared" si="11"/>
        <v>14</v>
      </c>
      <c r="I46" s="12">
        <f t="shared" si="11"/>
        <v>0</v>
      </c>
      <c r="J46" s="12">
        <f t="shared" si="11"/>
        <v>308</v>
      </c>
      <c r="K46" s="12">
        <f t="shared" si="11"/>
        <v>26</v>
      </c>
      <c r="L46" s="12">
        <f t="shared" si="11"/>
        <v>48</v>
      </c>
      <c r="M46" s="19">
        <f>L46+K46+J46+I46+H46+G46</f>
        <v>506</v>
      </c>
      <c r="N46" s="51">
        <f>M46+F46</f>
        <v>506</v>
      </c>
      <c r="P46" s="35"/>
      <c r="Q46" s="56"/>
      <c r="R46" s="53"/>
      <c r="S46" s="53"/>
    </row>
    <row r="47" spans="2:19" ht="17.25" customHeight="1" x14ac:dyDescent="0.25">
      <c r="B47" s="22">
        <v>21</v>
      </c>
      <c r="C47" s="77">
        <v>8270</v>
      </c>
      <c r="D47" s="78">
        <v>500</v>
      </c>
      <c r="E47" s="61">
        <v>46762</v>
      </c>
      <c r="F47" s="87" t="s">
        <v>48</v>
      </c>
      <c r="G47" s="88">
        <v>280916</v>
      </c>
      <c r="H47" s="78">
        <v>166010</v>
      </c>
      <c r="I47" s="65">
        <v>178900</v>
      </c>
      <c r="J47" s="89">
        <v>866973</v>
      </c>
      <c r="K47" s="86">
        <v>639909</v>
      </c>
      <c r="L47" s="90">
        <v>1258</v>
      </c>
      <c r="M47" s="19"/>
      <c r="N47" s="17"/>
    </row>
    <row r="48" spans="2:19" ht="17.25" customHeight="1" x14ac:dyDescent="0.25">
      <c r="B48" s="11" t="s">
        <v>47</v>
      </c>
      <c r="C48" s="12">
        <f>C47-C45</f>
        <v>0</v>
      </c>
      <c r="D48" s="12">
        <f t="shared" si="10"/>
        <v>0</v>
      </c>
      <c r="E48" s="12">
        <f t="shared" si="10"/>
        <v>0</v>
      </c>
      <c r="F48" s="18">
        <f>+C48+D48+E48</f>
        <v>0</v>
      </c>
      <c r="G48" s="12">
        <f>G47-G45</f>
        <v>110</v>
      </c>
      <c r="H48" s="12">
        <f t="shared" si="11"/>
        <v>12</v>
      </c>
      <c r="I48" s="12">
        <f t="shared" si="11"/>
        <v>0</v>
      </c>
      <c r="J48" s="12">
        <f t="shared" si="11"/>
        <v>207</v>
      </c>
      <c r="K48" s="12">
        <f t="shared" si="11"/>
        <v>23</v>
      </c>
      <c r="L48" s="12">
        <f t="shared" si="11"/>
        <v>43</v>
      </c>
      <c r="M48" s="19">
        <f>L48+K48+J48+I48+H48+G48</f>
        <v>395</v>
      </c>
      <c r="N48" s="51">
        <f>M48+F48</f>
        <v>395</v>
      </c>
    </row>
    <row r="49" spans="2:14" ht="17.25" customHeight="1" x14ac:dyDescent="0.25">
      <c r="B49" s="22">
        <v>22</v>
      </c>
      <c r="C49" s="83">
        <v>8270</v>
      </c>
      <c r="D49" s="84">
        <v>503</v>
      </c>
      <c r="E49" s="61">
        <v>46762</v>
      </c>
      <c r="F49" s="91" t="s">
        <v>48</v>
      </c>
      <c r="G49" s="92">
        <v>281028</v>
      </c>
      <c r="H49" s="92">
        <v>166022</v>
      </c>
      <c r="I49" s="65">
        <v>178900</v>
      </c>
      <c r="J49" s="93">
        <v>867143</v>
      </c>
      <c r="K49" s="86">
        <v>639936</v>
      </c>
      <c r="L49" s="94">
        <v>1309</v>
      </c>
      <c r="M49" s="19"/>
      <c r="N49" s="17"/>
    </row>
    <row r="50" spans="2:14" ht="17.25" customHeight="1" x14ac:dyDescent="0.25">
      <c r="B50" s="11" t="s">
        <v>47</v>
      </c>
      <c r="C50" s="12">
        <f>C49-C47</f>
        <v>0</v>
      </c>
      <c r="D50" s="12">
        <f t="shared" si="10"/>
        <v>3</v>
      </c>
      <c r="E50" s="12">
        <f t="shared" si="10"/>
        <v>0</v>
      </c>
      <c r="F50" s="18">
        <f>+C50+D50+E50</f>
        <v>3</v>
      </c>
      <c r="G50" s="12">
        <f>G49-G47</f>
        <v>112</v>
      </c>
      <c r="H50" s="12">
        <f t="shared" si="11"/>
        <v>12</v>
      </c>
      <c r="I50" s="12">
        <f t="shared" si="11"/>
        <v>0</v>
      </c>
      <c r="J50" s="12">
        <f t="shared" si="11"/>
        <v>170</v>
      </c>
      <c r="K50" s="12">
        <f t="shared" si="11"/>
        <v>27</v>
      </c>
      <c r="L50" s="12">
        <f t="shared" si="11"/>
        <v>51</v>
      </c>
      <c r="M50" s="19">
        <f>L50+K50+J50+I50+H50+G50</f>
        <v>372</v>
      </c>
      <c r="N50" s="51">
        <f>M50+F50</f>
        <v>375</v>
      </c>
    </row>
    <row r="51" spans="2:14" ht="17.25" customHeight="1" x14ac:dyDescent="0.25">
      <c r="B51" s="22">
        <v>23</v>
      </c>
      <c r="C51" s="83">
        <v>8270</v>
      </c>
      <c r="D51" s="84">
        <v>503</v>
      </c>
      <c r="E51" s="61">
        <v>46762</v>
      </c>
      <c r="F51" s="91" t="s">
        <v>48</v>
      </c>
      <c r="G51" s="92">
        <v>281137</v>
      </c>
      <c r="H51" s="92">
        <v>166035</v>
      </c>
      <c r="I51" s="65">
        <v>178900</v>
      </c>
      <c r="J51" s="93">
        <v>867360</v>
      </c>
      <c r="K51" s="86">
        <v>639961</v>
      </c>
      <c r="L51" s="95">
        <v>1354</v>
      </c>
      <c r="M51" s="19"/>
      <c r="N51" s="17"/>
    </row>
    <row r="52" spans="2:14" ht="17.25" customHeight="1" x14ac:dyDescent="0.25">
      <c r="B52" s="11" t="s">
        <v>47</v>
      </c>
      <c r="C52" s="12">
        <f>C51-C49</f>
        <v>0</v>
      </c>
      <c r="D52" s="12">
        <f t="shared" si="10"/>
        <v>0</v>
      </c>
      <c r="E52" s="12">
        <f t="shared" si="10"/>
        <v>0</v>
      </c>
      <c r="F52" s="18">
        <f>+C52+D52+E52</f>
        <v>0</v>
      </c>
      <c r="G52" s="12">
        <f>G51-G49</f>
        <v>109</v>
      </c>
      <c r="H52" s="12">
        <f t="shared" si="11"/>
        <v>13</v>
      </c>
      <c r="I52" s="12">
        <f t="shared" si="11"/>
        <v>0</v>
      </c>
      <c r="J52" s="12">
        <f t="shared" si="11"/>
        <v>217</v>
      </c>
      <c r="K52" s="12">
        <f t="shared" si="11"/>
        <v>25</v>
      </c>
      <c r="L52" s="12">
        <f t="shared" si="11"/>
        <v>45</v>
      </c>
      <c r="M52" s="19">
        <f>L52+K52+J52+I52+H52+G52</f>
        <v>409</v>
      </c>
      <c r="N52" s="51">
        <f>M52+F52</f>
        <v>409</v>
      </c>
    </row>
    <row r="53" spans="2:14" ht="17.25" customHeight="1" x14ac:dyDescent="0.25">
      <c r="B53" s="22">
        <v>24</v>
      </c>
      <c r="C53" s="83">
        <v>8276</v>
      </c>
      <c r="D53" s="84">
        <v>503</v>
      </c>
      <c r="E53" s="61">
        <v>46762</v>
      </c>
      <c r="F53" s="91" t="s">
        <v>48</v>
      </c>
      <c r="G53" s="84">
        <v>281253</v>
      </c>
      <c r="H53" s="84">
        <v>166047</v>
      </c>
      <c r="I53" s="65">
        <v>178900</v>
      </c>
      <c r="J53" s="93">
        <v>867553</v>
      </c>
      <c r="K53" s="86">
        <v>639998</v>
      </c>
      <c r="L53" s="94">
        <v>1398</v>
      </c>
      <c r="M53" s="19"/>
      <c r="N53" s="17"/>
    </row>
    <row r="54" spans="2:14" ht="17.25" customHeight="1" x14ac:dyDescent="0.25">
      <c r="B54" s="11" t="s">
        <v>47</v>
      </c>
      <c r="C54" s="12">
        <f>C53-C51</f>
        <v>6</v>
      </c>
      <c r="D54" s="12">
        <f t="shared" si="10"/>
        <v>0</v>
      </c>
      <c r="E54" s="12">
        <f t="shared" si="10"/>
        <v>0</v>
      </c>
      <c r="F54" s="18">
        <f>+C54+D54+E54</f>
        <v>6</v>
      </c>
      <c r="G54" s="12">
        <f>G53-G51</f>
        <v>116</v>
      </c>
      <c r="H54" s="12">
        <f t="shared" si="11"/>
        <v>12</v>
      </c>
      <c r="I54" s="12">
        <f t="shared" si="11"/>
        <v>0</v>
      </c>
      <c r="J54" s="12">
        <f t="shared" si="11"/>
        <v>193</v>
      </c>
      <c r="K54" s="12">
        <f t="shared" si="11"/>
        <v>37</v>
      </c>
      <c r="L54" s="12">
        <f t="shared" si="11"/>
        <v>44</v>
      </c>
      <c r="M54" s="19">
        <f>L54+K54+J54+I54+H54+G54</f>
        <v>402</v>
      </c>
      <c r="N54" s="51">
        <f>M54+F54</f>
        <v>408</v>
      </c>
    </row>
    <row r="55" spans="2:14" ht="17.25" customHeight="1" x14ac:dyDescent="0.25">
      <c r="B55" s="22">
        <v>25</v>
      </c>
      <c r="C55" s="83">
        <v>8276</v>
      </c>
      <c r="D55" s="84">
        <v>503</v>
      </c>
      <c r="E55" s="61">
        <v>46762</v>
      </c>
      <c r="F55" s="91" t="s">
        <v>48</v>
      </c>
      <c r="G55" s="92">
        <v>281365</v>
      </c>
      <c r="H55" s="92">
        <v>166059</v>
      </c>
      <c r="I55" s="65">
        <v>178900</v>
      </c>
      <c r="J55" s="93">
        <v>867749</v>
      </c>
      <c r="K55" s="86">
        <v>639998</v>
      </c>
      <c r="L55" s="94">
        <v>1439</v>
      </c>
      <c r="M55" s="19"/>
      <c r="N55" s="17"/>
    </row>
    <row r="56" spans="2:14" ht="17.25" customHeight="1" x14ac:dyDescent="0.25">
      <c r="B56" s="11" t="s">
        <v>47</v>
      </c>
      <c r="C56" s="12">
        <f>C55-C53</f>
        <v>0</v>
      </c>
      <c r="D56" s="12">
        <f t="shared" si="10"/>
        <v>0</v>
      </c>
      <c r="E56" s="12">
        <f t="shared" si="10"/>
        <v>0</v>
      </c>
      <c r="F56" s="18">
        <f>+C56+D56+E56</f>
        <v>0</v>
      </c>
      <c r="G56" s="12">
        <f>G55-G53</f>
        <v>112</v>
      </c>
      <c r="H56" s="12">
        <f t="shared" si="11"/>
        <v>12</v>
      </c>
      <c r="I56" s="12">
        <f t="shared" si="11"/>
        <v>0</v>
      </c>
      <c r="J56" s="12">
        <f t="shared" si="11"/>
        <v>196</v>
      </c>
      <c r="K56" s="12">
        <f t="shared" si="11"/>
        <v>0</v>
      </c>
      <c r="L56" s="12">
        <f t="shared" si="11"/>
        <v>41</v>
      </c>
      <c r="M56" s="19">
        <f>L56+K56+J56+I56+H56+G56</f>
        <v>361</v>
      </c>
      <c r="N56" s="51">
        <f>M56+F56</f>
        <v>361</v>
      </c>
    </row>
    <row r="57" spans="2:14" ht="17.25" customHeight="1" x14ac:dyDescent="0.25">
      <c r="B57" s="22">
        <v>26</v>
      </c>
      <c r="C57" s="83">
        <v>8276</v>
      </c>
      <c r="D57" s="84">
        <v>503</v>
      </c>
      <c r="E57" s="61">
        <v>46762</v>
      </c>
      <c r="F57" s="91" t="s">
        <v>48</v>
      </c>
      <c r="G57" s="92">
        <v>281481</v>
      </c>
      <c r="H57" s="92">
        <v>166070</v>
      </c>
      <c r="I57" s="65">
        <v>178900</v>
      </c>
      <c r="J57" s="93">
        <v>867950</v>
      </c>
      <c r="K57" s="86">
        <v>639998</v>
      </c>
      <c r="L57" s="94">
        <v>1483</v>
      </c>
      <c r="M57" s="19"/>
      <c r="N57" s="17"/>
    </row>
    <row r="58" spans="2:14" ht="17.25" customHeight="1" x14ac:dyDescent="0.25">
      <c r="B58" s="11" t="s">
        <v>47</v>
      </c>
      <c r="C58" s="12">
        <f>C57-C55</f>
        <v>0</v>
      </c>
      <c r="D58" s="12">
        <f t="shared" si="10"/>
        <v>0</v>
      </c>
      <c r="E58" s="12">
        <f t="shared" si="10"/>
        <v>0</v>
      </c>
      <c r="F58" s="18">
        <f>+C58+D58+E58</f>
        <v>0</v>
      </c>
      <c r="G58" s="12">
        <f>G57-G55</f>
        <v>116</v>
      </c>
      <c r="H58" s="12">
        <f t="shared" si="11"/>
        <v>11</v>
      </c>
      <c r="I58" s="12">
        <f t="shared" si="11"/>
        <v>0</v>
      </c>
      <c r="J58" s="12">
        <f t="shared" si="11"/>
        <v>201</v>
      </c>
      <c r="K58" s="12">
        <f t="shared" si="11"/>
        <v>0</v>
      </c>
      <c r="L58" s="12">
        <f t="shared" si="11"/>
        <v>44</v>
      </c>
      <c r="M58" s="19">
        <f>L58+K58+J58+I58+H58+G58</f>
        <v>372</v>
      </c>
      <c r="N58" s="51">
        <f>M58+F58</f>
        <v>372</v>
      </c>
    </row>
    <row r="59" spans="2:14" ht="17.25" customHeight="1" x14ac:dyDescent="0.25">
      <c r="B59" s="22">
        <v>27</v>
      </c>
      <c r="C59" s="83">
        <v>8278</v>
      </c>
      <c r="D59" s="84">
        <v>503</v>
      </c>
      <c r="E59" s="61">
        <v>46762</v>
      </c>
      <c r="F59" s="91" t="s">
        <v>48</v>
      </c>
      <c r="G59" s="92">
        <v>281592</v>
      </c>
      <c r="H59" s="92">
        <v>166085</v>
      </c>
      <c r="I59" s="65">
        <v>178900</v>
      </c>
      <c r="J59" s="93">
        <v>868151</v>
      </c>
      <c r="K59" s="86">
        <v>639998</v>
      </c>
      <c r="L59" s="94">
        <v>1521</v>
      </c>
      <c r="M59" s="19"/>
      <c r="N59" s="17"/>
    </row>
    <row r="60" spans="2:14" ht="17.25" customHeight="1" x14ac:dyDescent="0.25">
      <c r="B60" s="11" t="s">
        <v>47</v>
      </c>
      <c r="C60" s="12">
        <f>C59-C57</f>
        <v>2</v>
      </c>
      <c r="D60" s="12">
        <f t="shared" si="10"/>
        <v>0</v>
      </c>
      <c r="E60" s="12">
        <f t="shared" si="10"/>
        <v>0</v>
      </c>
      <c r="F60" s="18">
        <f>+C60+D60+E60</f>
        <v>2</v>
      </c>
      <c r="G60" s="12">
        <f>G59-G57</f>
        <v>111</v>
      </c>
      <c r="H60" s="12">
        <f t="shared" si="11"/>
        <v>15</v>
      </c>
      <c r="I60" s="12">
        <f t="shared" si="11"/>
        <v>0</v>
      </c>
      <c r="J60" s="12">
        <f t="shared" si="11"/>
        <v>201</v>
      </c>
      <c r="K60" s="12">
        <f t="shared" si="11"/>
        <v>0</v>
      </c>
      <c r="L60" s="12">
        <f t="shared" si="11"/>
        <v>38</v>
      </c>
      <c r="M60" s="19">
        <f>L60+K60+J60+I60+H60+G60</f>
        <v>365</v>
      </c>
      <c r="N60" s="51">
        <f>M60+F60</f>
        <v>367</v>
      </c>
    </row>
    <row r="61" spans="2:14" ht="17.25" customHeight="1" x14ac:dyDescent="0.25">
      <c r="B61" s="22">
        <v>28</v>
      </c>
      <c r="C61" s="83">
        <v>8278</v>
      </c>
      <c r="D61" s="84">
        <v>503</v>
      </c>
      <c r="E61" s="61">
        <v>46762</v>
      </c>
      <c r="F61" s="91" t="s">
        <v>48</v>
      </c>
      <c r="G61" s="84">
        <v>281708</v>
      </c>
      <c r="H61" s="84">
        <v>166105</v>
      </c>
      <c r="I61" s="65">
        <v>178900</v>
      </c>
      <c r="J61" s="93">
        <v>868358</v>
      </c>
      <c r="K61" s="86">
        <v>639998</v>
      </c>
      <c r="L61" s="94">
        <v>1553</v>
      </c>
      <c r="M61" s="19"/>
      <c r="N61" s="17"/>
    </row>
    <row r="62" spans="2:14" ht="17.25" customHeight="1" x14ac:dyDescent="0.25">
      <c r="B62" s="11" t="s">
        <v>47</v>
      </c>
      <c r="C62" s="12">
        <f>C61-C59</f>
        <v>0</v>
      </c>
      <c r="D62" s="12">
        <f t="shared" si="10"/>
        <v>0</v>
      </c>
      <c r="E62" s="12">
        <f t="shared" si="10"/>
        <v>0</v>
      </c>
      <c r="F62" s="18">
        <f>+C62+D62+E62</f>
        <v>0</v>
      </c>
      <c r="G62" s="12">
        <f>G61-G59</f>
        <v>116</v>
      </c>
      <c r="H62" s="12">
        <f t="shared" si="11"/>
        <v>20</v>
      </c>
      <c r="I62" s="12">
        <f t="shared" si="11"/>
        <v>0</v>
      </c>
      <c r="J62" s="12">
        <f t="shared" si="11"/>
        <v>207</v>
      </c>
      <c r="K62" s="12">
        <f t="shared" si="11"/>
        <v>0</v>
      </c>
      <c r="L62" s="12">
        <f t="shared" si="11"/>
        <v>32</v>
      </c>
      <c r="M62" s="19">
        <f>L62+K62+J62+I62+H62+G62</f>
        <v>375</v>
      </c>
      <c r="N62" s="51">
        <f>M62+F62</f>
        <v>375</v>
      </c>
    </row>
    <row r="63" spans="2:14" ht="17.25" customHeight="1" x14ac:dyDescent="0.25">
      <c r="B63" s="22">
        <v>29</v>
      </c>
      <c r="C63" s="83">
        <v>8284</v>
      </c>
      <c r="D63" s="84">
        <v>503</v>
      </c>
      <c r="E63" s="61">
        <v>46762</v>
      </c>
      <c r="F63" s="91" t="s">
        <v>48</v>
      </c>
      <c r="G63" s="84">
        <v>281825</v>
      </c>
      <c r="H63" s="84">
        <v>166117</v>
      </c>
      <c r="I63" s="65">
        <v>178900</v>
      </c>
      <c r="J63" s="93">
        <v>868521</v>
      </c>
      <c r="K63" s="86">
        <v>639998</v>
      </c>
      <c r="L63" s="94">
        <v>1584</v>
      </c>
      <c r="M63" s="19"/>
      <c r="N63" s="17"/>
    </row>
    <row r="64" spans="2:14" ht="17.25" customHeight="1" x14ac:dyDescent="0.25">
      <c r="B64" s="11" t="s">
        <v>47</v>
      </c>
      <c r="C64" s="12">
        <f>C63-C61</f>
        <v>6</v>
      </c>
      <c r="D64" s="12">
        <f t="shared" si="10"/>
        <v>0</v>
      </c>
      <c r="E64" s="12">
        <f t="shared" si="10"/>
        <v>0</v>
      </c>
      <c r="F64" s="18">
        <f>+C64+D64+E64</f>
        <v>6</v>
      </c>
      <c r="G64" s="12">
        <f>G63-G61</f>
        <v>117</v>
      </c>
      <c r="H64" s="12">
        <f t="shared" si="11"/>
        <v>12</v>
      </c>
      <c r="I64" s="12">
        <f t="shared" si="11"/>
        <v>0</v>
      </c>
      <c r="J64" s="12">
        <f t="shared" si="11"/>
        <v>163</v>
      </c>
      <c r="K64" s="12">
        <f t="shared" si="11"/>
        <v>0</v>
      </c>
      <c r="L64" s="12">
        <f t="shared" si="11"/>
        <v>31</v>
      </c>
      <c r="M64" s="19">
        <f>L64+K64+J64+I64+H64+G64</f>
        <v>323</v>
      </c>
      <c r="N64" s="51">
        <f>M64+F64</f>
        <v>329</v>
      </c>
    </row>
    <row r="65" spans="2:14" ht="17.25" customHeight="1" x14ac:dyDescent="0.25">
      <c r="B65" s="22">
        <v>30</v>
      </c>
      <c r="C65" s="83">
        <v>8284</v>
      </c>
      <c r="D65" s="84">
        <v>503</v>
      </c>
      <c r="E65" s="61">
        <v>46762</v>
      </c>
      <c r="F65" s="91" t="s">
        <v>48</v>
      </c>
      <c r="G65" s="84">
        <v>281939</v>
      </c>
      <c r="H65" s="84">
        <v>166136</v>
      </c>
      <c r="I65" s="65">
        <v>178900</v>
      </c>
      <c r="J65" s="93">
        <v>868700</v>
      </c>
      <c r="K65" s="86">
        <v>639998</v>
      </c>
      <c r="L65" s="94">
        <v>1621</v>
      </c>
      <c r="M65" s="19"/>
      <c r="N65" s="17"/>
    </row>
    <row r="66" spans="2:14" ht="17.25" customHeight="1" x14ac:dyDescent="0.25">
      <c r="B66" s="11" t="s">
        <v>47</v>
      </c>
      <c r="C66" s="12">
        <f>C65-C63</f>
        <v>0</v>
      </c>
      <c r="D66" s="12">
        <f t="shared" si="10"/>
        <v>0</v>
      </c>
      <c r="E66" s="12">
        <f t="shared" si="10"/>
        <v>0</v>
      </c>
      <c r="F66" s="18">
        <f>+C66+D66+E66</f>
        <v>0</v>
      </c>
      <c r="G66" s="12">
        <f>G65-G63</f>
        <v>114</v>
      </c>
      <c r="H66" s="12">
        <f t="shared" si="11"/>
        <v>19</v>
      </c>
      <c r="I66" s="12">
        <f t="shared" si="11"/>
        <v>0</v>
      </c>
      <c r="J66" s="12">
        <f t="shared" si="11"/>
        <v>179</v>
      </c>
      <c r="K66" s="12">
        <f t="shared" si="11"/>
        <v>0</v>
      </c>
      <c r="L66" s="12">
        <f t="shared" si="11"/>
        <v>37</v>
      </c>
      <c r="M66" s="19">
        <f>L66+K66+J66+I66+H66+G66</f>
        <v>349</v>
      </c>
      <c r="N66" s="51">
        <f>M66+F66</f>
        <v>349</v>
      </c>
    </row>
    <row r="67" spans="2:14" ht="15.75" x14ac:dyDescent="0.25">
      <c r="B67" s="22">
        <v>31</v>
      </c>
      <c r="C67" s="83">
        <v>8284</v>
      </c>
      <c r="D67" s="84">
        <v>503</v>
      </c>
      <c r="E67" s="61">
        <v>46762</v>
      </c>
      <c r="F67" s="91" t="s">
        <v>48</v>
      </c>
      <c r="G67" s="84">
        <v>282050</v>
      </c>
      <c r="H67" s="84">
        <v>166168</v>
      </c>
      <c r="I67" s="65">
        <v>178900</v>
      </c>
      <c r="J67" s="93">
        <v>868873</v>
      </c>
      <c r="K67" s="86">
        <v>639998</v>
      </c>
      <c r="L67" s="94">
        <v>1665</v>
      </c>
      <c r="M67" s="19"/>
      <c r="N67" s="17"/>
    </row>
    <row r="68" spans="2:14" ht="15.75" x14ac:dyDescent="0.25">
      <c r="B68" s="11" t="s">
        <v>47</v>
      </c>
      <c r="C68" s="12">
        <f>C67-C65</f>
        <v>0</v>
      </c>
      <c r="D68" s="12">
        <f t="shared" si="10"/>
        <v>0</v>
      </c>
      <c r="E68" s="12">
        <f t="shared" si="10"/>
        <v>0</v>
      </c>
      <c r="F68" s="18">
        <f>+C68+D68+E68</f>
        <v>0</v>
      </c>
      <c r="G68" s="12">
        <f>G67-G65</f>
        <v>111</v>
      </c>
      <c r="H68" s="12">
        <f t="shared" si="11"/>
        <v>32</v>
      </c>
      <c r="I68" s="12">
        <f t="shared" si="11"/>
        <v>0</v>
      </c>
      <c r="J68" s="12">
        <f t="shared" si="11"/>
        <v>173</v>
      </c>
      <c r="K68" s="12">
        <f t="shared" si="11"/>
        <v>0</v>
      </c>
      <c r="L68" s="12">
        <f t="shared" si="11"/>
        <v>44</v>
      </c>
      <c r="M68" s="19">
        <f>L68+K68+J68+I68+H68+G68</f>
        <v>360</v>
      </c>
      <c r="N68" s="51">
        <f>M68+F68</f>
        <v>360</v>
      </c>
    </row>
  </sheetData>
  <customSheetViews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B5:B6"/>
    <mergeCell ref="F5:F6"/>
    <mergeCell ref="T6:U6"/>
    <mergeCell ref="S5:S6"/>
    <mergeCell ref="R5:R6"/>
    <mergeCell ref="Q5:Q6"/>
    <mergeCell ref="P5:P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70"/>
  <sheetViews>
    <sheetView zoomScaleNormal="100" workbookViewId="0">
      <pane ySplit="6" topLeftCell="A49" activePane="bottomLeft" state="frozen"/>
      <selection pane="bottomLeft" activeCell="E70" sqref="E7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63</v>
      </c>
      <c r="F3" s="98"/>
      <c r="G3" s="98"/>
      <c r="H3" s="98"/>
    </row>
    <row r="4" spans="2:8" ht="15" customHeight="1" thickBot="1" x14ac:dyDescent="0.3">
      <c r="D4" s="121" t="s">
        <v>64</v>
      </c>
      <c r="E4" s="121"/>
      <c r="F4" s="98"/>
      <c r="G4" s="98"/>
      <c r="H4" s="98"/>
    </row>
    <row r="5" spans="2:8" ht="30.75" customHeight="1" thickTop="1" x14ac:dyDescent="0.25">
      <c r="B5" s="112" t="s">
        <v>37</v>
      </c>
      <c r="C5" s="4" t="s">
        <v>65</v>
      </c>
      <c r="D5" s="4" t="s">
        <v>66</v>
      </c>
      <c r="E5" s="119" t="s">
        <v>67</v>
      </c>
    </row>
    <row r="6" spans="2:8" ht="15.75" customHeight="1" x14ac:dyDescent="0.25">
      <c r="B6" s="113"/>
      <c r="C6" s="3" t="s">
        <v>68</v>
      </c>
      <c r="D6" s="3"/>
      <c r="E6" s="120"/>
    </row>
    <row r="7" spans="2:8" ht="17.25" customHeight="1" x14ac:dyDescent="0.25">
      <c r="B7" s="22">
        <v>1</v>
      </c>
      <c r="C7" s="58">
        <v>277562</v>
      </c>
      <c r="D7" s="63">
        <v>54220</v>
      </c>
      <c r="E7" s="52"/>
      <c r="H7" s="1" t="s">
        <v>69</v>
      </c>
    </row>
    <row r="8" spans="2:8" ht="17.25" customHeight="1" x14ac:dyDescent="0.25">
      <c r="B8" s="11" t="s">
        <v>47</v>
      </c>
      <c r="C8" s="69">
        <v>166</v>
      </c>
      <c r="D8" s="72"/>
      <c r="E8" s="52">
        <f>C8</f>
        <v>166</v>
      </c>
    </row>
    <row r="9" spans="2:8" ht="17.25" customHeight="1" x14ac:dyDescent="0.25">
      <c r="B9" s="22">
        <v>2</v>
      </c>
      <c r="C9" s="58">
        <v>277758</v>
      </c>
      <c r="D9" s="63">
        <v>54220</v>
      </c>
      <c r="E9" s="52"/>
    </row>
    <row r="10" spans="2:8" ht="17.25" customHeight="1" x14ac:dyDescent="0.25">
      <c r="B10" s="11" t="s">
        <v>47</v>
      </c>
      <c r="C10" s="49">
        <f>C9-C7</f>
        <v>196</v>
      </c>
      <c r="D10" s="49">
        <f>D9-D7</f>
        <v>0</v>
      </c>
      <c r="E10" s="52">
        <f>C10</f>
        <v>196</v>
      </c>
      <c r="G10"/>
      <c r="H10" s="53"/>
    </row>
    <row r="11" spans="2:8" ht="17.25" customHeight="1" x14ac:dyDescent="0.25">
      <c r="B11" s="22">
        <v>3</v>
      </c>
      <c r="C11" s="68">
        <v>277955</v>
      </c>
      <c r="D11" s="63">
        <v>54220</v>
      </c>
      <c r="E11" s="52"/>
    </row>
    <row r="12" spans="2:8" ht="17.25" customHeight="1" x14ac:dyDescent="0.25">
      <c r="B12" s="11" t="s">
        <v>47</v>
      </c>
      <c r="C12" s="49">
        <f>C11-C9</f>
        <v>197</v>
      </c>
      <c r="D12" s="49">
        <f>D11-D9</f>
        <v>0</v>
      </c>
      <c r="E12" s="52">
        <f>C12</f>
        <v>197</v>
      </c>
      <c r="G12"/>
      <c r="H12" s="53"/>
    </row>
    <row r="13" spans="2:8" ht="17.25" customHeight="1" x14ac:dyDescent="0.25">
      <c r="B13" s="22">
        <v>4</v>
      </c>
      <c r="C13" s="46">
        <v>278152</v>
      </c>
      <c r="D13" s="63">
        <v>54220</v>
      </c>
      <c r="E13" s="52"/>
    </row>
    <row r="14" spans="2:8" ht="17.25" customHeight="1" x14ac:dyDescent="0.25">
      <c r="B14" s="11" t="s">
        <v>47</v>
      </c>
      <c r="C14" s="49">
        <f>C13-C11</f>
        <v>197</v>
      </c>
      <c r="D14" s="49">
        <f>D13-D11</f>
        <v>0</v>
      </c>
      <c r="E14" s="52">
        <f>C14</f>
        <v>197</v>
      </c>
      <c r="G14"/>
      <c r="H14" s="53"/>
    </row>
    <row r="15" spans="2:8" ht="17.25" customHeight="1" x14ac:dyDescent="0.25">
      <c r="B15" s="22">
        <v>5</v>
      </c>
      <c r="C15" s="46">
        <v>278360</v>
      </c>
      <c r="D15" s="63">
        <v>54220</v>
      </c>
      <c r="E15" s="52"/>
    </row>
    <row r="16" spans="2:8" ht="17.25" customHeight="1" x14ac:dyDescent="0.25">
      <c r="B16" s="11" t="s">
        <v>47</v>
      </c>
      <c r="C16" s="49">
        <f>C15-C13</f>
        <v>208</v>
      </c>
      <c r="D16" s="49">
        <f>D15-D13</f>
        <v>0</v>
      </c>
      <c r="E16" s="52">
        <f>C16</f>
        <v>208</v>
      </c>
      <c r="G16"/>
      <c r="H16" s="53"/>
    </row>
    <row r="17" spans="2:8" ht="17.25" customHeight="1" x14ac:dyDescent="0.25">
      <c r="B17" s="22">
        <v>6</v>
      </c>
      <c r="C17" s="46">
        <v>278565</v>
      </c>
      <c r="D17" s="63">
        <v>54220</v>
      </c>
      <c r="E17" s="52"/>
    </row>
    <row r="18" spans="2:8" ht="17.25" customHeight="1" x14ac:dyDescent="0.25">
      <c r="B18" s="11" t="s">
        <v>47</v>
      </c>
      <c r="C18" s="49">
        <f>C17-C15</f>
        <v>205</v>
      </c>
      <c r="D18" s="49">
        <f>D17-D15</f>
        <v>0</v>
      </c>
      <c r="E18" s="52">
        <f>C18</f>
        <v>205</v>
      </c>
      <c r="G18"/>
      <c r="H18" s="53"/>
    </row>
    <row r="19" spans="2:8" ht="17.25" customHeight="1" x14ac:dyDescent="0.25">
      <c r="B19" s="22">
        <v>7</v>
      </c>
      <c r="C19" s="46">
        <v>278753</v>
      </c>
      <c r="D19" s="63">
        <v>54220</v>
      </c>
      <c r="E19" s="52"/>
    </row>
    <row r="20" spans="2:8" ht="17.25" customHeight="1" x14ac:dyDescent="0.25">
      <c r="B20" s="11" t="s">
        <v>47</v>
      </c>
      <c r="C20" s="49">
        <f>C19-C17</f>
        <v>188</v>
      </c>
      <c r="D20" s="49">
        <f>D19-D17</f>
        <v>0</v>
      </c>
      <c r="E20" s="52">
        <f>C20</f>
        <v>188</v>
      </c>
      <c r="G20"/>
      <c r="H20" s="53"/>
    </row>
    <row r="21" spans="2:8" ht="17.25" customHeight="1" x14ac:dyDescent="0.25">
      <c r="B21" s="22">
        <v>8</v>
      </c>
      <c r="C21" s="46">
        <v>278938</v>
      </c>
      <c r="D21" s="63">
        <v>54220</v>
      </c>
      <c r="E21" s="52"/>
    </row>
    <row r="22" spans="2:8" ht="17.25" customHeight="1" x14ac:dyDescent="0.25">
      <c r="B22" s="11" t="s">
        <v>47</v>
      </c>
      <c r="C22" s="49">
        <f>C21-C19</f>
        <v>185</v>
      </c>
      <c r="D22" s="49">
        <f>D21-D19</f>
        <v>0</v>
      </c>
      <c r="E22" s="52">
        <f>C22</f>
        <v>185</v>
      </c>
      <c r="G22"/>
      <c r="H22" s="53"/>
    </row>
    <row r="23" spans="2:8" ht="17.25" customHeight="1" x14ac:dyDescent="0.25">
      <c r="B23" s="22">
        <v>9</v>
      </c>
      <c r="C23" s="46">
        <v>279131</v>
      </c>
      <c r="D23" s="63">
        <v>54220</v>
      </c>
      <c r="E23" s="52"/>
    </row>
    <row r="24" spans="2:8" ht="17.25" customHeight="1" x14ac:dyDescent="0.25">
      <c r="B24" s="11" t="s">
        <v>47</v>
      </c>
      <c r="C24" s="49">
        <f>C23-C21</f>
        <v>193</v>
      </c>
      <c r="D24" s="49">
        <f>D23-D21</f>
        <v>0</v>
      </c>
      <c r="E24" s="52">
        <f>C24</f>
        <v>193</v>
      </c>
      <c r="G24"/>
      <c r="H24" s="53"/>
    </row>
    <row r="25" spans="2:8" ht="17.25" customHeight="1" x14ac:dyDescent="0.25">
      <c r="B25" s="22">
        <v>10</v>
      </c>
      <c r="C25" s="64">
        <v>279336</v>
      </c>
      <c r="D25" s="63">
        <v>54220</v>
      </c>
      <c r="E25" s="52"/>
    </row>
    <row r="26" spans="2:8" ht="17.25" customHeight="1" x14ac:dyDescent="0.25">
      <c r="B26" s="11" t="s">
        <v>47</v>
      </c>
      <c r="C26" s="49">
        <f>C25-C23</f>
        <v>205</v>
      </c>
      <c r="D26" s="49">
        <f>D25-D23</f>
        <v>0</v>
      </c>
      <c r="E26" s="52">
        <f>C26</f>
        <v>205</v>
      </c>
      <c r="G26"/>
      <c r="H26" s="53"/>
    </row>
    <row r="27" spans="2:8" ht="17.25" customHeight="1" x14ac:dyDescent="0.25">
      <c r="B27" s="22">
        <v>11</v>
      </c>
      <c r="C27" s="58">
        <v>279554</v>
      </c>
      <c r="D27" s="63">
        <v>54220</v>
      </c>
      <c r="E27" s="52"/>
    </row>
    <row r="28" spans="2:8" ht="17.25" customHeight="1" x14ac:dyDescent="0.25">
      <c r="B28" s="11" t="s">
        <v>47</v>
      </c>
      <c r="C28" s="49">
        <f>C27-C25</f>
        <v>218</v>
      </c>
      <c r="D28" s="49">
        <f>D27-D25</f>
        <v>0</v>
      </c>
      <c r="E28" s="52">
        <f>C28</f>
        <v>218</v>
      </c>
    </row>
    <row r="29" spans="2:8" ht="17.25" customHeight="1" x14ac:dyDescent="0.25">
      <c r="B29" s="22">
        <v>12</v>
      </c>
      <c r="C29" s="46">
        <v>279769</v>
      </c>
      <c r="D29" s="63">
        <v>54220</v>
      </c>
      <c r="E29" s="52"/>
    </row>
    <row r="30" spans="2:8" ht="17.25" customHeight="1" x14ac:dyDescent="0.25">
      <c r="B30" s="11" t="s">
        <v>47</v>
      </c>
      <c r="C30" s="49">
        <f>C29-C27</f>
        <v>215</v>
      </c>
      <c r="D30" s="49">
        <f>D29-D27</f>
        <v>0</v>
      </c>
      <c r="E30" s="52">
        <f>C30</f>
        <v>215</v>
      </c>
    </row>
    <row r="31" spans="2:8" ht="17.25" customHeight="1" x14ac:dyDescent="0.25">
      <c r="B31" s="22">
        <v>13</v>
      </c>
      <c r="C31" s="46">
        <v>279995</v>
      </c>
      <c r="D31" s="63">
        <v>54220</v>
      </c>
      <c r="E31" s="52"/>
    </row>
    <row r="32" spans="2:8" ht="17.25" customHeight="1" x14ac:dyDescent="0.25">
      <c r="B32" s="11" t="s">
        <v>47</v>
      </c>
      <c r="C32" s="49">
        <f>C31-C29</f>
        <v>226</v>
      </c>
      <c r="D32" s="49">
        <f>D31-D29</f>
        <v>0</v>
      </c>
      <c r="E32" s="52">
        <f>C32</f>
        <v>226</v>
      </c>
    </row>
    <row r="33" spans="2:5" ht="17.25" customHeight="1" x14ac:dyDescent="0.25">
      <c r="B33" s="22">
        <v>14</v>
      </c>
      <c r="C33" s="46">
        <v>280201</v>
      </c>
      <c r="D33" s="63">
        <v>54220</v>
      </c>
      <c r="E33" s="52"/>
    </row>
    <row r="34" spans="2:5" ht="17.25" customHeight="1" x14ac:dyDescent="0.25">
      <c r="B34" s="11" t="s">
        <v>47</v>
      </c>
      <c r="C34" s="49">
        <f>C33-C31</f>
        <v>206</v>
      </c>
      <c r="D34" s="49">
        <f>D33-D31</f>
        <v>0</v>
      </c>
      <c r="E34" s="52">
        <f>C34</f>
        <v>206</v>
      </c>
    </row>
    <row r="35" spans="2:5" ht="17.25" customHeight="1" x14ac:dyDescent="0.25">
      <c r="B35" s="22">
        <v>15</v>
      </c>
      <c r="C35" s="58">
        <v>280409</v>
      </c>
      <c r="D35" s="63">
        <v>54220</v>
      </c>
      <c r="E35" s="52"/>
    </row>
    <row r="36" spans="2:5" ht="17.25" customHeight="1" x14ac:dyDescent="0.25">
      <c r="B36" s="11" t="s">
        <v>47</v>
      </c>
      <c r="C36" s="49">
        <f>C35-C33</f>
        <v>208</v>
      </c>
      <c r="D36" s="49">
        <f>D35-D33</f>
        <v>0</v>
      </c>
      <c r="E36" s="52">
        <f>C36</f>
        <v>208</v>
      </c>
    </row>
    <row r="37" spans="2:5" ht="17.25" customHeight="1" x14ac:dyDescent="0.25">
      <c r="B37" s="22">
        <v>16</v>
      </c>
      <c r="C37" s="58">
        <v>280605</v>
      </c>
      <c r="D37" s="63">
        <v>54220</v>
      </c>
      <c r="E37" s="52"/>
    </row>
    <row r="38" spans="2:5" ht="17.25" customHeight="1" x14ac:dyDescent="0.25">
      <c r="B38" s="11" t="s">
        <v>47</v>
      </c>
      <c r="C38" s="49">
        <f>C37-C35</f>
        <v>196</v>
      </c>
      <c r="D38" s="49">
        <f>D37-D35</f>
        <v>0</v>
      </c>
      <c r="E38" s="52">
        <f>C38</f>
        <v>196</v>
      </c>
    </row>
    <row r="39" spans="2:5" ht="17.25" customHeight="1" x14ac:dyDescent="0.25">
      <c r="B39" s="22">
        <v>17</v>
      </c>
      <c r="C39" s="58">
        <v>280805</v>
      </c>
      <c r="D39" s="63">
        <v>54220</v>
      </c>
      <c r="E39" s="52"/>
    </row>
    <row r="40" spans="2:5" ht="17.25" customHeight="1" x14ac:dyDescent="0.25">
      <c r="B40" s="11" t="s">
        <v>47</v>
      </c>
      <c r="C40" s="49">
        <f>C39-C37</f>
        <v>200</v>
      </c>
      <c r="D40" s="49">
        <f>D39-D37</f>
        <v>0</v>
      </c>
      <c r="E40" s="52">
        <f>C40</f>
        <v>200</v>
      </c>
    </row>
    <row r="41" spans="2:5" ht="17.25" customHeight="1" x14ac:dyDescent="0.25">
      <c r="B41" s="22">
        <v>18</v>
      </c>
      <c r="C41" s="58">
        <v>281012</v>
      </c>
      <c r="D41" s="63">
        <v>54220</v>
      </c>
      <c r="E41" s="52"/>
    </row>
    <row r="42" spans="2:5" ht="17.25" customHeight="1" x14ac:dyDescent="0.25">
      <c r="B42" s="11" t="s">
        <v>47</v>
      </c>
      <c r="C42" s="49">
        <f>C41-C39</f>
        <v>207</v>
      </c>
      <c r="D42" s="49">
        <f>D41-D39</f>
        <v>0</v>
      </c>
      <c r="E42" s="52">
        <f>C42</f>
        <v>207</v>
      </c>
    </row>
    <row r="43" spans="2:5" ht="17.25" customHeight="1" x14ac:dyDescent="0.25">
      <c r="B43" s="22">
        <v>19</v>
      </c>
      <c r="C43" s="58">
        <v>281231</v>
      </c>
      <c r="D43" s="63">
        <v>54220</v>
      </c>
      <c r="E43" s="52"/>
    </row>
    <row r="44" spans="2:5" ht="17.25" customHeight="1" x14ac:dyDescent="0.25">
      <c r="B44" s="11" t="s">
        <v>47</v>
      </c>
      <c r="C44" s="49">
        <f>C43-C41</f>
        <v>219</v>
      </c>
      <c r="D44" s="49">
        <f>D43-D41</f>
        <v>0</v>
      </c>
      <c r="E44" s="52">
        <f>C44</f>
        <v>219</v>
      </c>
    </row>
    <row r="45" spans="2:5" ht="17.25" customHeight="1" x14ac:dyDescent="0.25">
      <c r="B45" s="22">
        <v>20</v>
      </c>
      <c r="C45" s="58">
        <v>281442</v>
      </c>
      <c r="D45" s="63">
        <v>54220</v>
      </c>
      <c r="E45" s="52"/>
    </row>
    <row r="46" spans="2:5" ht="17.25" customHeight="1" x14ac:dyDescent="0.25">
      <c r="B46" s="11" t="s">
        <v>47</v>
      </c>
      <c r="C46" s="49">
        <f>C45-C43</f>
        <v>211</v>
      </c>
      <c r="D46" s="49">
        <f>D45-D43</f>
        <v>0</v>
      </c>
      <c r="E46" s="52">
        <f>C46</f>
        <v>211</v>
      </c>
    </row>
    <row r="47" spans="2:5" ht="17.25" customHeight="1" x14ac:dyDescent="0.25">
      <c r="B47" s="22">
        <v>21</v>
      </c>
      <c r="C47" s="77">
        <v>281640</v>
      </c>
      <c r="D47" s="63">
        <v>54220</v>
      </c>
      <c r="E47" s="52"/>
    </row>
    <row r="48" spans="2:5" ht="17.25" customHeight="1" x14ac:dyDescent="0.25">
      <c r="B48" s="11" t="s">
        <v>47</v>
      </c>
      <c r="C48" s="49">
        <f>C47-C45</f>
        <v>198</v>
      </c>
      <c r="D48" s="49">
        <f>D47-D45</f>
        <v>0</v>
      </c>
      <c r="E48" s="52">
        <f>C48</f>
        <v>198</v>
      </c>
    </row>
    <row r="49" spans="2:5" ht="17.25" customHeight="1" x14ac:dyDescent="0.25">
      <c r="B49" s="22">
        <v>22</v>
      </c>
      <c r="C49" s="83">
        <v>281841</v>
      </c>
      <c r="D49" s="63">
        <v>54220</v>
      </c>
      <c r="E49" s="52"/>
    </row>
    <row r="50" spans="2:5" ht="17.25" customHeight="1" x14ac:dyDescent="0.25">
      <c r="B50" s="11" t="s">
        <v>47</v>
      </c>
      <c r="C50" s="49">
        <f>C49-C47</f>
        <v>201</v>
      </c>
      <c r="D50" s="49">
        <f>D49-D47</f>
        <v>0</v>
      </c>
      <c r="E50" s="52">
        <f>C50</f>
        <v>201</v>
      </c>
    </row>
    <row r="51" spans="2:5" ht="17.25" customHeight="1" x14ac:dyDescent="0.25">
      <c r="B51" s="22">
        <v>23</v>
      </c>
      <c r="C51" s="83">
        <v>282014</v>
      </c>
      <c r="D51" s="63">
        <v>54220</v>
      </c>
      <c r="E51" s="52"/>
    </row>
    <row r="52" spans="2:5" ht="17.25" customHeight="1" x14ac:dyDescent="0.25">
      <c r="B52" s="11" t="s">
        <v>47</v>
      </c>
      <c r="C52" s="49">
        <f>C51-C49</f>
        <v>173</v>
      </c>
      <c r="D52" s="49">
        <f>D51-D49</f>
        <v>0</v>
      </c>
      <c r="E52" s="52">
        <f>C52</f>
        <v>173</v>
      </c>
    </row>
    <row r="53" spans="2:5" ht="17.25" customHeight="1" x14ac:dyDescent="0.25">
      <c r="B53" s="22">
        <v>24</v>
      </c>
      <c r="C53" s="83">
        <v>282241</v>
      </c>
      <c r="D53" s="63">
        <v>54220</v>
      </c>
      <c r="E53" s="52"/>
    </row>
    <row r="54" spans="2:5" ht="17.25" customHeight="1" x14ac:dyDescent="0.25">
      <c r="B54" s="11" t="s">
        <v>47</v>
      </c>
      <c r="C54" s="49">
        <f>C53-C51</f>
        <v>227</v>
      </c>
      <c r="D54" s="49">
        <f>D53-D51</f>
        <v>0</v>
      </c>
      <c r="E54" s="52">
        <f>C54</f>
        <v>227</v>
      </c>
    </row>
    <row r="55" spans="2:5" ht="17.25" customHeight="1" x14ac:dyDescent="0.25">
      <c r="B55" s="22">
        <v>25</v>
      </c>
      <c r="C55" s="83">
        <v>282448</v>
      </c>
      <c r="D55" s="63">
        <v>54220</v>
      </c>
      <c r="E55" s="52"/>
    </row>
    <row r="56" spans="2:5" ht="17.25" customHeight="1" x14ac:dyDescent="0.25">
      <c r="B56" s="11" t="s">
        <v>47</v>
      </c>
      <c r="C56" s="49">
        <f>C55-C53</f>
        <v>207</v>
      </c>
      <c r="D56" s="49">
        <f>D55-D53</f>
        <v>0</v>
      </c>
      <c r="E56" s="52">
        <f>C56</f>
        <v>207</v>
      </c>
    </row>
    <row r="57" spans="2:5" ht="17.25" customHeight="1" x14ac:dyDescent="0.25">
      <c r="B57" s="22">
        <v>26</v>
      </c>
      <c r="C57" s="83">
        <v>282665</v>
      </c>
      <c r="D57" s="63">
        <v>54220</v>
      </c>
      <c r="E57" s="52"/>
    </row>
    <row r="58" spans="2:5" ht="17.25" customHeight="1" x14ac:dyDescent="0.25">
      <c r="B58" s="11" t="s">
        <v>47</v>
      </c>
      <c r="C58" s="49">
        <f>C57-C55</f>
        <v>217</v>
      </c>
      <c r="D58" s="49">
        <f>D57-D55</f>
        <v>0</v>
      </c>
      <c r="E58" s="52">
        <f>C58</f>
        <v>217</v>
      </c>
    </row>
    <row r="59" spans="2:5" ht="17.25" customHeight="1" x14ac:dyDescent="0.25">
      <c r="B59" s="22">
        <v>27</v>
      </c>
      <c r="C59" s="83">
        <v>282888</v>
      </c>
      <c r="D59" s="63">
        <v>54220</v>
      </c>
      <c r="E59" s="52"/>
    </row>
    <row r="60" spans="2:5" ht="17.25" customHeight="1" x14ac:dyDescent="0.25">
      <c r="B60" s="11" t="s">
        <v>47</v>
      </c>
      <c r="C60" s="49">
        <f>C59-C57</f>
        <v>223</v>
      </c>
      <c r="D60" s="49">
        <f>D59-D57</f>
        <v>0</v>
      </c>
      <c r="E60" s="52">
        <f>C60</f>
        <v>223</v>
      </c>
    </row>
    <row r="61" spans="2:5" ht="17.25" customHeight="1" x14ac:dyDescent="0.25">
      <c r="B61" s="22">
        <v>28</v>
      </c>
      <c r="C61" s="83">
        <v>283096</v>
      </c>
      <c r="D61" s="63">
        <v>54220</v>
      </c>
      <c r="E61" s="52"/>
    </row>
    <row r="62" spans="2:5" ht="17.25" customHeight="1" x14ac:dyDescent="0.25">
      <c r="B62" s="11" t="s">
        <v>47</v>
      </c>
      <c r="C62" s="49">
        <f>C61-C59</f>
        <v>208</v>
      </c>
      <c r="D62" s="49">
        <f>D61-D59</f>
        <v>0</v>
      </c>
      <c r="E62" s="52">
        <f>C62</f>
        <v>208</v>
      </c>
    </row>
    <row r="63" spans="2:5" ht="17.25" customHeight="1" x14ac:dyDescent="0.25">
      <c r="B63" s="22">
        <v>29</v>
      </c>
      <c r="C63" s="83">
        <v>283294</v>
      </c>
      <c r="D63" s="63">
        <v>54220</v>
      </c>
      <c r="E63" s="52"/>
    </row>
    <row r="64" spans="2:5" ht="17.25" customHeight="1" x14ac:dyDescent="0.25">
      <c r="B64" s="11" t="s">
        <v>47</v>
      </c>
      <c r="C64" s="49">
        <f>C63-C61</f>
        <v>198</v>
      </c>
      <c r="D64" s="49">
        <f>D63-D61</f>
        <v>0</v>
      </c>
      <c r="E64" s="52">
        <f>C64</f>
        <v>198</v>
      </c>
    </row>
    <row r="65" spans="2:5" ht="17.25" customHeight="1" x14ac:dyDescent="0.25">
      <c r="B65" s="22">
        <v>30</v>
      </c>
      <c r="C65" s="83">
        <v>283501</v>
      </c>
      <c r="D65" s="63">
        <v>54220</v>
      </c>
      <c r="E65" s="52"/>
    </row>
    <row r="66" spans="2:5" ht="17.25" customHeight="1" x14ac:dyDescent="0.25">
      <c r="B66" s="11" t="s">
        <v>47</v>
      </c>
      <c r="C66" s="49">
        <f>C65-C63</f>
        <v>207</v>
      </c>
      <c r="D66" s="49">
        <f>D65-D63</f>
        <v>0</v>
      </c>
      <c r="E66" s="52">
        <f>C66</f>
        <v>207</v>
      </c>
    </row>
    <row r="67" spans="2:5" ht="15.75" x14ac:dyDescent="0.25">
      <c r="B67" s="22">
        <v>31</v>
      </c>
      <c r="C67" s="83">
        <v>283689</v>
      </c>
      <c r="D67" s="63">
        <v>54220</v>
      </c>
      <c r="E67" s="52"/>
    </row>
    <row r="68" spans="2:5" ht="15.75" x14ac:dyDescent="0.25">
      <c r="B68" s="11" t="s">
        <v>47</v>
      </c>
      <c r="C68" s="49">
        <f>C67-C65</f>
        <v>188</v>
      </c>
      <c r="D68" s="49">
        <f>D67-D65</f>
        <v>0</v>
      </c>
      <c r="E68" s="52">
        <f>C68</f>
        <v>188</v>
      </c>
    </row>
    <row r="69" spans="2:5" x14ac:dyDescent="0.25">
      <c r="E69" s="1">
        <f>SUM(E8:E68)</f>
        <v>6293</v>
      </c>
    </row>
    <row r="70" spans="2:5" x14ac:dyDescent="0.25">
      <c r="E70" s="1">
        <f>E69*3.7*0.51</f>
        <v>11874.891000000001</v>
      </c>
    </row>
  </sheetData>
  <customSheetViews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1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4"/>
    </customSheetView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5"/>
    </customSheetView>
  </customSheetViews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1089E3D-1703-4FEE-B13A-4F0669A06DB8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3F0D6565-C55E-43AC-AC5D-87C4E1D85423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BF3A3-18DF-4468-91ED-FD95BA27F38E}">
  <ds:schemaRefs>
    <ds:schemaRef ds:uri="http://purl.org/dc/terms/"/>
    <ds:schemaRef ds:uri="4a585a97-453b-43f7-adce-c4bafe4f356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85f80d94-36c6-4cfa-b190-3af03c89e98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2022-09-01T10:31:18Z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