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357" documentId="11_3BED31AB7A40F8CCF12F63B4977459FD7BE6FFE9" xr6:coauthVersionLast="47" xr6:coauthVersionMax="47" xr10:uidLastSave="{73DB5EC4-D86A-4DC2-878B-BF36BAA7A428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C35" i="3"/>
  <c r="D35" i="3"/>
  <c r="E35" i="3"/>
  <c r="F35" i="3"/>
  <c r="G35" i="3"/>
  <c r="H35" i="3"/>
  <c r="I35" i="3"/>
  <c r="J35" i="3"/>
  <c r="B35" i="3"/>
  <c r="B36" i="3"/>
  <c r="L35" i="3"/>
  <c r="K35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2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F36" i="3"/>
  <c r="D36" i="3"/>
</calcChain>
</file>

<file path=xl/sharedStrings.xml><?xml version="1.0" encoding="utf-8"?>
<sst xmlns="http://schemas.openxmlformats.org/spreadsheetml/2006/main" count="98" uniqueCount="32">
  <si>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</si>
  <si>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</si>
  <si>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</si>
  <si>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</si>
  <si>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</si>
  <si>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</si>
  <si>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</si>
  <si>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</si>
  <si>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</si>
  <si>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</si>
  <si>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</si>
  <si>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</si>
  <si>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</si>
  <si>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</si>
  <si>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</si>
  <si>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</si>
  <si>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</si>
  <si>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</si>
  <si>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</si>
  <si>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</si>
  <si>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</si>
  <si>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 xml:space="preserve"> </t>
  </si>
  <si>
    <t>Meter Readings San Domenico Palace Taormina</t>
  </si>
  <si>
    <t>MONTH: FEBRUARY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</si>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</sst>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43"/>
  <sheetViews>
    <sheetView topLeftCell="B1" workbookViewId="0">
      <selection activeCell="E3" sqref="E3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54.7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2</v>
      </c>
      <c r="D2" s="12">
        <v>2022</v>
      </c>
      <c r="E2" s="13">
        <f>IF(('DAILY READINGS'!B7-'DAILY READINGS'!B6)&gt;0,('DAILY READINGS'!B7-'DAILY READINGS'!B6),0)</f>
        <v>5220</v>
      </c>
      <c r="F2" s="10">
        <v>0.26</v>
      </c>
      <c r="G2" s="13">
        <f>IF(('DAILY READINGS'!D7-'DAILY READINGS'!D6)+('DAILY READINGS'!E7-'DAILY READINGS'!E6)&gt;0,('DAILY READINGS'!D7-'DAILY READINGS'!D6)+('DAILY READINGS'!E7-'DAILY READINGS'!E6),0)</f>
        <v>153</v>
      </c>
      <c r="H2" s="10">
        <v>0.71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36</v>
      </c>
      <c r="J2" s="10">
        <v>1.45</v>
      </c>
      <c r="K2" s="13">
        <f>'DAILY READINGS'!K7</f>
        <v>22</v>
      </c>
      <c r="L2" s="8">
        <f>'DAILY READINGS'!L7</f>
        <v>22</v>
      </c>
    </row>
    <row r="3" spans="1:23">
      <c r="A3" s="2" t="s">
        <v>12</v>
      </c>
      <c r="B3" s="11">
        <f t="shared" ref="B3:B29" si="0">B2+1</f>
        <v>2</v>
      </c>
      <c r="C3" s="12">
        <v>2</v>
      </c>
      <c r="D3" s="12">
        <v>2022</v>
      </c>
      <c r="E3" s="13">
        <f>IF(('DAILY READINGS'!B8-'DAILY READINGS'!B7)&gt;0,('DAILY READINGS'!B8-'DAILY READINGS'!B7),0)</f>
        <v>4912</v>
      </c>
      <c r="F3" s="10">
        <v>0.26</v>
      </c>
      <c r="G3" s="13">
        <f>IF(('DAILY READINGS'!D8-'DAILY READINGS'!D7)+('DAILY READINGS'!E8-'DAILY READINGS'!E7)&gt;0,('DAILY READINGS'!D8-'DAILY READINGS'!D7)+('DAILY READINGS'!E8-'DAILY READINGS'!E7),0)</f>
        <v>155</v>
      </c>
      <c r="H3" s="10">
        <v>0.71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34</v>
      </c>
      <c r="J3" s="10">
        <v>1.45</v>
      </c>
      <c r="K3" s="13">
        <f>'DAILY READINGS'!K8</f>
        <v>23</v>
      </c>
      <c r="L3" s="8">
        <f>'DAILY READINGS'!L8</f>
        <v>23</v>
      </c>
      <c r="M3" s="13"/>
    </row>
    <row r="4" spans="1:23">
      <c r="A4" s="2" t="s">
        <v>12</v>
      </c>
      <c r="B4" s="11">
        <f t="shared" si="0"/>
        <v>3</v>
      </c>
      <c r="C4" s="12">
        <v>2</v>
      </c>
      <c r="D4" s="12">
        <v>2022</v>
      </c>
      <c r="E4" s="13">
        <f>IF(('DAILY READINGS'!B9-'DAILY READINGS'!B8)&gt;0,('DAILY READINGS'!B9-'DAILY READINGS'!B8),0)</f>
        <v>5000</v>
      </c>
      <c r="F4" s="10">
        <v>0.26</v>
      </c>
      <c r="G4" s="13">
        <f>IF(('DAILY READINGS'!D9-'DAILY READINGS'!D8)+('DAILY READINGS'!E9-'DAILY READINGS'!E8)&gt;0,('DAILY READINGS'!D9-'DAILY READINGS'!D8)+('DAILY READINGS'!E9-'DAILY READINGS'!E8),0)</f>
        <v>155</v>
      </c>
      <c r="H4" s="10">
        <v>0.71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14</v>
      </c>
      <c r="J4" s="10">
        <v>1.45</v>
      </c>
      <c r="K4" s="13">
        <f>'DAILY READINGS'!K9</f>
        <v>22</v>
      </c>
      <c r="L4" s="8">
        <f>'DAILY READINGS'!L9</f>
        <v>22</v>
      </c>
    </row>
    <row r="5" spans="1:23">
      <c r="A5" s="2" t="s">
        <v>12</v>
      </c>
      <c r="B5" s="11">
        <f t="shared" si="0"/>
        <v>4</v>
      </c>
      <c r="C5" s="12">
        <v>2</v>
      </c>
      <c r="D5" s="12">
        <v>2022</v>
      </c>
      <c r="E5" s="13">
        <f>IF(('DAILY READINGS'!B10-'DAILY READINGS'!B9)&gt;0,('DAILY READINGS'!B10-'DAILY READINGS'!B9),0)</f>
        <v>4838</v>
      </c>
      <c r="F5" s="10">
        <v>0.26</v>
      </c>
      <c r="G5" s="13">
        <f>IF(('DAILY READINGS'!D10-'DAILY READINGS'!D9)+('DAILY READINGS'!E10-'DAILY READINGS'!E9)&gt;0,('DAILY READINGS'!D10-'DAILY READINGS'!D9)+('DAILY READINGS'!E10-'DAILY READINGS'!E9),0)</f>
        <v>195</v>
      </c>
      <c r="H5" s="10">
        <v>0.71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146</v>
      </c>
      <c r="J5" s="10">
        <v>1.45</v>
      </c>
      <c r="K5" s="13">
        <f>'DAILY READINGS'!K10</f>
        <v>23</v>
      </c>
      <c r="L5" s="8">
        <f>'DAILY READINGS'!L10</f>
        <v>22</v>
      </c>
    </row>
    <row r="6" spans="1:23">
      <c r="A6" s="2" t="s">
        <v>12</v>
      </c>
      <c r="B6" s="11">
        <f t="shared" si="0"/>
        <v>5</v>
      </c>
      <c r="C6" s="12">
        <v>2</v>
      </c>
      <c r="D6" s="12">
        <v>2022</v>
      </c>
      <c r="E6" s="13">
        <f>IF(('DAILY READINGS'!B11-'DAILY READINGS'!B10)&gt;0,('DAILY READINGS'!B11-'DAILY READINGS'!B10),0)</f>
        <v>4226</v>
      </c>
      <c r="F6" s="10">
        <v>0.26</v>
      </c>
      <c r="G6" s="13">
        <f>IF(('DAILY READINGS'!D11-'DAILY READINGS'!D10)+('DAILY READINGS'!E11-'DAILY READINGS'!E10)&gt;0,('DAILY READINGS'!D11-'DAILY READINGS'!D10)+('DAILY READINGS'!E11-'DAILY READINGS'!E10),0)</f>
        <v>132</v>
      </c>
      <c r="H6" s="10">
        <v>0.71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90</v>
      </c>
      <c r="J6" s="10">
        <v>1.45</v>
      </c>
      <c r="K6" s="13">
        <f>'DAILY READINGS'!K11</f>
        <v>21</v>
      </c>
      <c r="L6" s="8">
        <f>'DAILY READINGS'!L11</f>
        <v>24</v>
      </c>
    </row>
    <row r="7" spans="1:23">
      <c r="A7" s="2" t="s">
        <v>12</v>
      </c>
      <c r="B7" s="11">
        <f t="shared" si="0"/>
        <v>6</v>
      </c>
      <c r="C7" s="12">
        <v>2</v>
      </c>
      <c r="D7" s="12">
        <v>2022</v>
      </c>
      <c r="E7" s="13">
        <f>IF(('DAILY READINGS'!B12-'DAILY READINGS'!B11)&gt;0,('DAILY READINGS'!B12-'DAILY READINGS'!B11),0)</f>
        <v>4322</v>
      </c>
      <c r="F7" s="10">
        <v>0.26</v>
      </c>
      <c r="G7" s="13">
        <f>IF(('DAILY READINGS'!D12-'DAILY READINGS'!D11)+('DAILY READINGS'!E12-'DAILY READINGS'!E11)&gt;0,('DAILY READINGS'!D12-'DAILY READINGS'!D11)+('DAILY READINGS'!E12-'DAILY READINGS'!E11),0)</f>
        <v>161</v>
      </c>
      <c r="H7" s="10">
        <v>0.71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25</v>
      </c>
      <c r="J7" s="10">
        <v>1.45</v>
      </c>
      <c r="K7" s="13">
        <f>'DAILY READINGS'!K12</f>
        <v>24</v>
      </c>
      <c r="L7" s="8">
        <f>'DAILY READINGS'!L12</f>
        <v>38</v>
      </c>
    </row>
    <row r="8" spans="1:23">
      <c r="A8" s="2" t="s">
        <v>12</v>
      </c>
      <c r="B8" s="11">
        <f t="shared" si="0"/>
        <v>7</v>
      </c>
      <c r="C8" s="12">
        <v>2</v>
      </c>
      <c r="D8" s="12">
        <v>2022</v>
      </c>
      <c r="E8" s="13">
        <f>IF(('DAILY READINGS'!B13-'DAILY READINGS'!B12)&gt;0,('DAILY READINGS'!B13-'DAILY READINGS'!B12),0)</f>
        <v>4578</v>
      </c>
      <c r="F8" s="10">
        <v>0.26</v>
      </c>
      <c r="G8" s="13">
        <f>IF(('DAILY READINGS'!D13-'DAILY READINGS'!D12)+('DAILY READINGS'!E13-'DAILY READINGS'!E12)&gt;0,('DAILY READINGS'!D13-'DAILY READINGS'!D12)+('DAILY READINGS'!E13-'DAILY READINGS'!E12),0)</f>
        <v>148</v>
      </c>
      <c r="H8" s="10">
        <v>0.71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32</v>
      </c>
      <c r="J8" s="10">
        <v>1.45</v>
      </c>
      <c r="K8" s="13">
        <f>'DAILY READINGS'!K13</f>
        <v>33</v>
      </c>
      <c r="L8" s="8">
        <f>'DAILY READINGS'!L13</f>
        <v>42</v>
      </c>
    </row>
    <row r="9" spans="1:23">
      <c r="A9" s="2" t="s">
        <v>12</v>
      </c>
      <c r="B9" s="11">
        <f t="shared" si="0"/>
        <v>8</v>
      </c>
      <c r="C9" s="12">
        <v>2</v>
      </c>
      <c r="D9" s="12">
        <v>2022</v>
      </c>
      <c r="E9" s="13">
        <f>IF(('DAILY READINGS'!B14-'DAILY READINGS'!B13)&gt;0,('DAILY READINGS'!B14-'DAILY READINGS'!B13),0)</f>
        <v>4990</v>
      </c>
      <c r="F9" s="10">
        <v>0.26</v>
      </c>
      <c r="G9" s="13">
        <f>IF(('DAILY READINGS'!D14-'DAILY READINGS'!D13)+('DAILY READINGS'!E14-'DAILY READINGS'!E13)&gt;0,('DAILY READINGS'!D14-'DAILY READINGS'!D13)+('DAILY READINGS'!E14-'DAILY READINGS'!E13),0)</f>
        <v>153</v>
      </c>
      <c r="H9" s="10">
        <v>0.71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35</v>
      </c>
      <c r="J9" s="10">
        <v>1.45</v>
      </c>
      <c r="K9" s="13">
        <f>'DAILY READINGS'!K14</f>
        <v>35</v>
      </c>
      <c r="L9" s="8">
        <f>'DAILY READINGS'!L14</f>
        <v>50</v>
      </c>
    </row>
    <row r="10" spans="1:23">
      <c r="A10" s="2" t="s">
        <v>12</v>
      </c>
      <c r="B10" s="11">
        <f t="shared" si="0"/>
        <v>9</v>
      </c>
      <c r="C10" s="12">
        <v>2</v>
      </c>
      <c r="D10" s="12">
        <v>2022</v>
      </c>
      <c r="E10" s="13">
        <f>IF(('DAILY READINGS'!B15-'DAILY READINGS'!B14)&gt;0,('DAILY READINGS'!B15-'DAILY READINGS'!B14),0)</f>
        <v>5000</v>
      </c>
      <c r="F10" s="10">
        <v>0.26</v>
      </c>
      <c r="G10" s="13">
        <f>IF(('DAILY READINGS'!D15-'DAILY READINGS'!D14)+('DAILY READINGS'!E15-'DAILY READINGS'!E14)&gt;0,('DAILY READINGS'!D15-'DAILY READINGS'!D14)+('DAILY READINGS'!E15-'DAILY READINGS'!E14),0)</f>
        <v>159</v>
      </c>
      <c r="H10" s="10">
        <v>0.71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38</v>
      </c>
      <c r="J10" s="10">
        <v>1.45</v>
      </c>
      <c r="K10" s="13">
        <f>'DAILY READINGS'!K15</f>
        <v>43</v>
      </c>
      <c r="L10" s="8">
        <f>'DAILY READINGS'!L15</f>
        <v>49</v>
      </c>
    </row>
    <row r="11" spans="1:23">
      <c r="A11" s="2" t="s">
        <v>12</v>
      </c>
      <c r="B11" s="11">
        <f t="shared" si="0"/>
        <v>10</v>
      </c>
      <c r="C11" s="12">
        <v>2</v>
      </c>
      <c r="D11" s="12">
        <v>2022</v>
      </c>
      <c r="E11" s="13">
        <f>IF(('DAILY READINGS'!B16-'DAILY READINGS'!B15)&gt;0,('DAILY READINGS'!B16-'DAILY READINGS'!B15),0)</f>
        <v>5178</v>
      </c>
      <c r="F11" s="10">
        <v>0.26</v>
      </c>
      <c r="G11" s="13">
        <f>IF(('DAILY READINGS'!D16-'DAILY READINGS'!D15)+('DAILY READINGS'!E16-'DAILY READINGS'!E15)&gt;0,('DAILY READINGS'!D16-'DAILY READINGS'!D15)+('DAILY READINGS'!E16-'DAILY READINGS'!E15),0)</f>
        <v>178</v>
      </c>
      <c r="H11" s="10">
        <v>0.71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39</v>
      </c>
      <c r="J11" s="10">
        <v>1.45</v>
      </c>
      <c r="K11" s="13">
        <f>'DAILY READINGS'!K16</f>
        <v>44</v>
      </c>
      <c r="L11" s="8">
        <f>'DAILY READINGS'!L16</f>
        <v>41</v>
      </c>
    </row>
    <row r="12" spans="1:23">
      <c r="A12" s="2" t="s">
        <v>12</v>
      </c>
      <c r="B12" s="11">
        <f t="shared" si="0"/>
        <v>11</v>
      </c>
      <c r="C12" s="12">
        <v>2</v>
      </c>
      <c r="D12" s="12">
        <v>2022</v>
      </c>
      <c r="E12" s="13">
        <f>IF(('DAILY READINGS'!B17-'DAILY READINGS'!B16)&gt;0,('DAILY READINGS'!B17-'DAILY READINGS'!B16),0)</f>
        <v>3978</v>
      </c>
      <c r="F12" s="10">
        <v>0.26</v>
      </c>
      <c r="G12" s="13">
        <f>IF(('DAILY READINGS'!D17-'DAILY READINGS'!D16)+('DAILY READINGS'!E17-'DAILY READINGS'!E16)&gt;0,('DAILY READINGS'!D17-'DAILY READINGS'!D16)+('DAILY READINGS'!E17-'DAILY READINGS'!E16),0)</f>
        <v>132</v>
      </c>
      <c r="H12" s="10">
        <v>0.71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26</v>
      </c>
      <c r="J12" s="10">
        <v>1.45</v>
      </c>
      <c r="K12" s="13">
        <f>'DAILY READINGS'!K17</f>
        <v>35</v>
      </c>
      <c r="L12" s="8">
        <f>'DAILY READINGS'!L17</f>
        <v>36</v>
      </c>
    </row>
    <row r="13" spans="1:23">
      <c r="A13" s="2" t="s">
        <v>12</v>
      </c>
      <c r="B13" s="11">
        <f t="shared" si="0"/>
        <v>12</v>
      </c>
      <c r="C13" s="12">
        <v>2</v>
      </c>
      <c r="D13" s="12">
        <v>2022</v>
      </c>
      <c r="E13" s="13">
        <f>IF(('DAILY READINGS'!B18-'DAILY READINGS'!B17)&gt;0,('DAILY READINGS'!B18-'DAILY READINGS'!B17),0)</f>
        <v>4746</v>
      </c>
      <c r="F13" s="10">
        <v>0.26</v>
      </c>
      <c r="G13" s="13">
        <f>IF(('DAILY READINGS'!D18-'DAILY READINGS'!D17)+('DAILY READINGS'!E18-'DAILY READINGS'!E17)&gt;0,('DAILY READINGS'!D18-'DAILY READINGS'!D17)+('DAILY READINGS'!E18-'DAILY READINGS'!E17),0)</f>
        <v>152</v>
      </c>
      <c r="H13" s="10">
        <v>0.71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34</v>
      </c>
      <c r="J13" s="10">
        <v>1.45</v>
      </c>
      <c r="K13" s="13">
        <f>'DAILY READINGS'!K18</f>
        <v>40</v>
      </c>
      <c r="L13" s="8">
        <f>'DAILY READINGS'!L18</f>
        <v>41</v>
      </c>
    </row>
    <row r="14" spans="1:23">
      <c r="A14" s="2" t="s">
        <v>12</v>
      </c>
      <c r="B14" s="11">
        <f t="shared" si="0"/>
        <v>13</v>
      </c>
      <c r="C14" s="12">
        <v>2</v>
      </c>
      <c r="D14" s="12">
        <v>2022</v>
      </c>
      <c r="E14" s="13">
        <f>IF(('DAILY READINGS'!B19-'DAILY READINGS'!B18)&gt;0,('DAILY READINGS'!B19-'DAILY READINGS'!B18),0)</f>
        <v>4328</v>
      </c>
      <c r="F14" s="10">
        <v>0.26</v>
      </c>
      <c r="G14" s="13">
        <f>IF(('DAILY READINGS'!D19-'DAILY READINGS'!D18)+('DAILY READINGS'!E19-'DAILY READINGS'!E18)&gt;0,('DAILY READINGS'!D19-'DAILY READINGS'!D18)+('DAILY READINGS'!E19-'DAILY READINGS'!E18),0)</f>
        <v>145</v>
      </c>
      <c r="H14" s="10">
        <v>0.71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39</v>
      </c>
      <c r="J14" s="10">
        <v>1.45</v>
      </c>
      <c r="K14" s="13">
        <v>0</v>
      </c>
      <c r="L14" s="8">
        <f>'DAILY READINGS'!L19</f>
        <v>43</v>
      </c>
    </row>
    <row r="15" spans="1:23">
      <c r="A15" s="2" t="s">
        <v>12</v>
      </c>
      <c r="B15" s="11">
        <f t="shared" si="0"/>
        <v>14</v>
      </c>
      <c r="C15" s="12">
        <v>2</v>
      </c>
      <c r="D15" s="12">
        <v>2022</v>
      </c>
      <c r="E15" s="13">
        <f>IF(('DAILY READINGS'!B20-'DAILY READINGS'!B19)&gt;0,('DAILY READINGS'!B20-'DAILY READINGS'!B19),0)</f>
        <v>6486</v>
      </c>
      <c r="F15" s="10">
        <v>0.26</v>
      </c>
      <c r="G15" s="13">
        <f>IF(('DAILY READINGS'!D20-'DAILY READINGS'!D19)+('DAILY READINGS'!E20-'DAILY READINGS'!E19)&gt;0,('DAILY READINGS'!D20-'DAILY READINGS'!D19)+('DAILY READINGS'!E20-'DAILY READINGS'!E19),0)</f>
        <v>152</v>
      </c>
      <c r="H15" s="10">
        <v>0.71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26</v>
      </c>
      <c r="J15" s="10">
        <v>1.45</v>
      </c>
      <c r="K15" s="13">
        <f>'DAILY READINGS'!K20</f>
        <v>49</v>
      </c>
      <c r="L15" s="8">
        <f>'DAILY READINGS'!L20</f>
        <v>51</v>
      </c>
    </row>
    <row r="16" spans="1:23">
      <c r="A16" s="2" t="s">
        <v>12</v>
      </c>
      <c r="B16" s="11">
        <f t="shared" si="0"/>
        <v>15</v>
      </c>
      <c r="C16" s="12">
        <v>2</v>
      </c>
      <c r="D16" s="12">
        <v>2022</v>
      </c>
      <c r="E16" s="13">
        <f>IF(('DAILY READINGS'!B21-'DAILY READINGS'!B20)&gt;0,('DAILY READINGS'!B21-'DAILY READINGS'!B20),0)</f>
        <v>2604</v>
      </c>
      <c r="F16" s="10">
        <v>0.26</v>
      </c>
      <c r="G16" s="13">
        <f>IF(('DAILY READINGS'!D21-'DAILY READINGS'!D20)+('DAILY READINGS'!E21-'DAILY READINGS'!E20)&gt;0,('DAILY READINGS'!D21-'DAILY READINGS'!D20)+('DAILY READINGS'!E21-'DAILY READINGS'!E20),0)</f>
        <v>156</v>
      </c>
      <c r="H16" s="10">
        <v>0.71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51</v>
      </c>
      <c r="J16" s="10">
        <v>1.45</v>
      </c>
      <c r="K16" s="13">
        <f>'DAILY READINGS'!K21</f>
        <v>56</v>
      </c>
      <c r="L16" s="8">
        <f>'DAILY READINGS'!L21</f>
        <v>58</v>
      </c>
    </row>
    <row r="17" spans="1:12">
      <c r="A17" s="2" t="s">
        <v>12</v>
      </c>
      <c r="B17" s="11">
        <f t="shared" si="0"/>
        <v>16</v>
      </c>
      <c r="C17" s="12">
        <v>2</v>
      </c>
      <c r="D17" s="12">
        <v>2022</v>
      </c>
      <c r="E17" s="13">
        <f>IF(('DAILY READINGS'!B22-'DAILY READINGS'!B21)&gt;0,('DAILY READINGS'!B22-'DAILY READINGS'!B21),0)</f>
        <v>5046</v>
      </c>
      <c r="F17" s="10">
        <v>0.26</v>
      </c>
      <c r="G17" s="13">
        <f>IF(('DAILY READINGS'!D22-'DAILY READINGS'!D21)+('DAILY READINGS'!E22-'DAILY READINGS'!E21)&gt;0,('DAILY READINGS'!D22-'DAILY READINGS'!D21)+('DAILY READINGS'!E22-'DAILY READINGS'!E21),0)</f>
        <v>162</v>
      </c>
      <c r="H17" s="10">
        <v>0.71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50</v>
      </c>
      <c r="J17" s="10">
        <v>1.45</v>
      </c>
      <c r="K17" s="13">
        <f>'DAILY READINGS'!K22</f>
        <v>56</v>
      </c>
      <c r="L17" s="8">
        <f>'DAILY READINGS'!L22</f>
        <v>57</v>
      </c>
    </row>
    <row r="18" spans="1:12">
      <c r="A18" s="2" t="s">
        <v>12</v>
      </c>
      <c r="B18" s="11">
        <f t="shared" si="0"/>
        <v>17</v>
      </c>
      <c r="C18" s="12">
        <v>2</v>
      </c>
      <c r="D18" s="12">
        <v>2022</v>
      </c>
      <c r="E18" s="13">
        <f>IF(('DAILY READINGS'!B23-'DAILY READINGS'!B22)&gt;0,('DAILY READINGS'!B23-'DAILY READINGS'!B22),0)</f>
        <v>4743</v>
      </c>
      <c r="F18" s="10">
        <v>0.26</v>
      </c>
      <c r="G18" s="13">
        <f>IF(('DAILY READINGS'!D23-'DAILY READINGS'!D22)+('DAILY READINGS'!E23-'DAILY READINGS'!E22)&gt;0,('DAILY READINGS'!D23-'DAILY READINGS'!D22)+('DAILY READINGS'!E23-'DAILY READINGS'!E22),0)</f>
        <v>159</v>
      </c>
      <c r="H18" s="10">
        <v>0.71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70</v>
      </c>
      <c r="J18" s="10">
        <v>1.45</v>
      </c>
      <c r="K18" s="13">
        <f>'DAILY READINGS'!K23</f>
        <v>55</v>
      </c>
      <c r="L18" s="8">
        <f>'DAILY READINGS'!L23</f>
        <v>56</v>
      </c>
    </row>
    <row r="19" spans="1:12">
      <c r="A19" s="2" t="s">
        <v>12</v>
      </c>
      <c r="B19" s="11">
        <f t="shared" si="0"/>
        <v>18</v>
      </c>
      <c r="C19" s="12">
        <v>2</v>
      </c>
      <c r="D19" s="12">
        <v>2022</v>
      </c>
      <c r="E19" s="13">
        <f>IF(('DAILY READINGS'!B24-'DAILY READINGS'!B23)&gt;0,('DAILY READINGS'!B24-'DAILY READINGS'!B23),0)</f>
        <v>9319</v>
      </c>
      <c r="F19" s="10">
        <v>0.26</v>
      </c>
      <c r="G19" s="13">
        <f>IF(('DAILY READINGS'!D24-'DAILY READINGS'!D23)+('DAILY READINGS'!E24-'DAILY READINGS'!E23)&gt;0,('DAILY READINGS'!D24-'DAILY READINGS'!D23)+('DAILY READINGS'!E24-'DAILY READINGS'!E23),0)</f>
        <v>315</v>
      </c>
      <c r="H19" s="10">
        <v>0.71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87</v>
      </c>
      <c r="J19" s="10">
        <v>1.45</v>
      </c>
      <c r="K19" s="13">
        <f>'DAILY READINGS'!K24</f>
        <v>53</v>
      </c>
      <c r="L19" s="8">
        <f>'DAILY READINGS'!L24</f>
        <v>54</v>
      </c>
    </row>
    <row r="20" spans="1:12">
      <c r="A20" s="2" t="s">
        <v>12</v>
      </c>
      <c r="B20" s="11">
        <f t="shared" si="0"/>
        <v>19</v>
      </c>
      <c r="C20" s="12">
        <v>2</v>
      </c>
      <c r="D20" s="12">
        <v>2022</v>
      </c>
      <c r="E20" s="13">
        <f>IF(('DAILY READINGS'!B25-'DAILY READINGS'!B24)&gt;0,('DAILY READINGS'!B25-'DAILY READINGS'!B24),0)</f>
        <v>4788</v>
      </c>
      <c r="F20" s="10">
        <v>0.26</v>
      </c>
      <c r="G20" s="13">
        <f>IF(('DAILY READINGS'!D25-'DAILY READINGS'!D24)+('DAILY READINGS'!E25-'DAILY READINGS'!E24)&gt;0,('DAILY READINGS'!D25-'DAILY READINGS'!D24)+('DAILY READINGS'!E25-'DAILY READINGS'!E24),0)</f>
        <v>168</v>
      </c>
      <c r="H20" s="10">
        <v>0.71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55</v>
      </c>
      <c r="J20" s="10">
        <v>1.45</v>
      </c>
      <c r="K20" s="13">
        <f>'DAILY READINGS'!K25</f>
        <v>42</v>
      </c>
      <c r="L20" s="8">
        <f>'DAILY READINGS'!L25</f>
        <v>45</v>
      </c>
    </row>
    <row r="21" spans="1:12">
      <c r="A21" s="2" t="s">
        <v>12</v>
      </c>
      <c r="B21" s="11">
        <f t="shared" si="0"/>
        <v>20</v>
      </c>
      <c r="C21" s="12">
        <v>2</v>
      </c>
      <c r="D21" s="12">
        <v>2022</v>
      </c>
      <c r="E21" s="13">
        <f>IF(('DAILY READINGS'!B26-'DAILY READINGS'!B25)&gt;0,('DAILY READINGS'!B26-'DAILY READINGS'!B25),0)</f>
        <v>0</v>
      </c>
      <c r="F21" s="10">
        <v>0.26</v>
      </c>
      <c r="G21" s="13">
        <f>IF(('DAILY READINGS'!D26-'DAILY READINGS'!D25)+('DAILY READINGS'!E26-'DAILY READINGS'!E25)&gt;0,('DAILY READINGS'!D26-'DAILY READINGS'!D25)+('DAILY READINGS'!E26-'DAILY READINGS'!E25),0)</f>
        <v>0</v>
      </c>
      <c r="H21" s="10">
        <v>0.71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0</v>
      </c>
      <c r="J21" s="10">
        <v>1.45</v>
      </c>
      <c r="K21" s="13">
        <f>'DAILY READINGS'!K26</f>
        <v>39</v>
      </c>
      <c r="L21" s="8">
        <f>'DAILY READINGS'!L26</f>
        <v>42</v>
      </c>
    </row>
    <row r="22" spans="1:12">
      <c r="A22" s="2" t="s">
        <v>12</v>
      </c>
      <c r="B22" s="11">
        <f t="shared" si="0"/>
        <v>21</v>
      </c>
      <c r="C22" s="12">
        <v>2</v>
      </c>
      <c r="D22" s="12">
        <v>2022</v>
      </c>
      <c r="E22" s="13">
        <f>IF(('DAILY READINGS'!B27-'DAILY READINGS'!B26)&gt;0,('DAILY READINGS'!B27-'DAILY READINGS'!B26),0)</f>
        <v>4982</v>
      </c>
      <c r="F22" s="10">
        <v>0.26</v>
      </c>
      <c r="G22" s="13">
        <f>IF(('DAILY READINGS'!D27-'DAILY READINGS'!D26)+('DAILY READINGS'!E27-'DAILY READINGS'!E26)&gt;0,('DAILY READINGS'!D27-'DAILY READINGS'!D26)+('DAILY READINGS'!E27-'DAILY READINGS'!E26),0)</f>
        <v>164</v>
      </c>
      <c r="H22" s="10">
        <v>0.71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39</v>
      </c>
      <c r="J22" s="10">
        <v>1.45</v>
      </c>
      <c r="K22" s="13">
        <f>'DAILY READINGS'!K27</f>
        <v>82</v>
      </c>
      <c r="L22" s="8">
        <f>'DAILY READINGS'!L27</f>
        <v>66</v>
      </c>
    </row>
    <row r="23" spans="1:12">
      <c r="A23" s="2" t="s">
        <v>12</v>
      </c>
      <c r="B23" s="11">
        <f t="shared" si="0"/>
        <v>22</v>
      </c>
      <c r="C23" s="12">
        <v>2</v>
      </c>
      <c r="D23" s="12">
        <v>2022</v>
      </c>
      <c r="E23" s="13">
        <f>IF(('DAILY READINGS'!B28-'DAILY READINGS'!B27)&gt;0,('DAILY READINGS'!B28-'DAILY READINGS'!B27),0)</f>
        <v>6690</v>
      </c>
      <c r="F23" s="10">
        <v>0.26</v>
      </c>
      <c r="G23" s="13">
        <f>IF(('DAILY READINGS'!D28-'DAILY READINGS'!D27)+('DAILY READINGS'!E28-'DAILY READINGS'!E27)&gt;0,('DAILY READINGS'!D28-'DAILY READINGS'!D27)+('DAILY READINGS'!E28-'DAILY READINGS'!E27),0)</f>
        <v>172</v>
      </c>
      <c r="H23" s="10">
        <v>0.71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66</v>
      </c>
      <c r="J23" s="10">
        <v>1.45</v>
      </c>
      <c r="K23" s="13">
        <f>'DAILY READINGS'!K28</f>
        <v>88</v>
      </c>
      <c r="L23" s="8">
        <f>'DAILY READINGS'!L28</f>
        <v>71</v>
      </c>
    </row>
    <row r="24" spans="1:12">
      <c r="A24" s="2" t="s">
        <v>12</v>
      </c>
      <c r="B24" s="11">
        <f t="shared" si="0"/>
        <v>23</v>
      </c>
      <c r="C24" s="12">
        <v>2</v>
      </c>
      <c r="D24" s="12">
        <v>2022</v>
      </c>
      <c r="E24" s="13">
        <f>IF(('DAILY READINGS'!B29-'DAILY READINGS'!B28)&gt;0,('DAILY READINGS'!B29-'DAILY READINGS'!B28),0)</f>
        <v>5716</v>
      </c>
      <c r="F24" s="10">
        <v>0.26</v>
      </c>
      <c r="G24" s="13">
        <f>IF(('DAILY READINGS'!D29-'DAILY READINGS'!D28)+('DAILY READINGS'!E29-'DAILY READINGS'!E28)&gt;0,('DAILY READINGS'!D29-'DAILY READINGS'!D28)+('DAILY READINGS'!E29-'DAILY READINGS'!E28),0)</f>
        <v>186</v>
      </c>
      <c r="H24" s="10">
        <v>0.71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45</v>
      </c>
      <c r="J24" s="10">
        <v>1.45</v>
      </c>
      <c r="K24" s="13">
        <f>'DAILY READINGS'!K29</f>
        <v>95</v>
      </c>
      <c r="L24" s="8">
        <f>'DAILY READINGS'!L29</f>
        <v>77</v>
      </c>
    </row>
    <row r="25" spans="1:12">
      <c r="A25" s="2" t="s">
        <v>12</v>
      </c>
      <c r="B25" s="11">
        <f t="shared" si="0"/>
        <v>24</v>
      </c>
      <c r="C25" s="12">
        <v>2</v>
      </c>
      <c r="D25" s="12">
        <v>2022</v>
      </c>
      <c r="E25" s="13">
        <f>IF(('DAILY READINGS'!B30-'DAILY READINGS'!B29)&gt;0,('DAILY READINGS'!B30-'DAILY READINGS'!B29),0)</f>
        <v>6112</v>
      </c>
      <c r="F25" s="10">
        <v>0.26</v>
      </c>
      <c r="G25" s="13">
        <f>IF(('DAILY READINGS'!D30-'DAILY READINGS'!D29)+('DAILY READINGS'!E30-'DAILY READINGS'!E29)&gt;0,('DAILY READINGS'!D30-'DAILY READINGS'!D29)+('DAILY READINGS'!E30-'DAILY READINGS'!E29),0)</f>
        <v>181</v>
      </c>
      <c r="H25" s="10">
        <v>0.71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68</v>
      </c>
      <c r="J25" s="10">
        <v>1.45</v>
      </c>
      <c r="K25" s="13">
        <f>'DAILY READINGS'!K30</f>
        <v>109</v>
      </c>
      <c r="L25" s="8">
        <f>'DAILY READINGS'!L30</f>
        <v>95</v>
      </c>
    </row>
    <row r="26" spans="1:12">
      <c r="A26" s="2" t="s">
        <v>12</v>
      </c>
      <c r="B26" s="11">
        <f t="shared" si="0"/>
        <v>25</v>
      </c>
      <c r="C26" s="12">
        <v>2</v>
      </c>
      <c r="D26" s="12">
        <v>2022</v>
      </c>
      <c r="E26" s="13">
        <f>IF(('DAILY READINGS'!B31-'DAILY READINGS'!B30)&gt;0,('DAILY READINGS'!B31-'DAILY READINGS'!B30),0)</f>
        <v>6038</v>
      </c>
      <c r="F26" s="10">
        <v>0.26</v>
      </c>
      <c r="G26" s="13">
        <f>IF(('DAILY READINGS'!D31-'DAILY READINGS'!D30)+('DAILY READINGS'!E31-'DAILY READINGS'!E30)&gt;0,('DAILY READINGS'!D31-'DAILY READINGS'!D30)+('DAILY READINGS'!E31-'DAILY READINGS'!E30),0)</f>
        <v>176</v>
      </c>
      <c r="H26" s="10">
        <v>0.71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55</v>
      </c>
      <c r="J26" s="10">
        <v>1.45</v>
      </c>
      <c r="K26" s="13">
        <f>'DAILY READINGS'!K31</f>
        <v>102</v>
      </c>
      <c r="L26" s="8">
        <f>'DAILY READINGS'!L31</f>
        <v>81</v>
      </c>
    </row>
    <row r="27" spans="1:12">
      <c r="A27" s="2" t="s">
        <v>12</v>
      </c>
      <c r="B27" s="11">
        <f t="shared" si="0"/>
        <v>26</v>
      </c>
      <c r="C27" s="12">
        <v>2</v>
      </c>
      <c r="D27" s="12">
        <v>2022</v>
      </c>
      <c r="E27" s="13">
        <f>IF(('DAILY READINGS'!B32-'DAILY READINGS'!B31)&gt;0,('DAILY READINGS'!B32-'DAILY READINGS'!B31),0)</f>
        <v>6070</v>
      </c>
      <c r="F27" s="10">
        <v>0.26</v>
      </c>
      <c r="G27" s="13">
        <f>IF(('DAILY READINGS'!D32-'DAILY READINGS'!D31)+('DAILY READINGS'!E32-'DAILY READINGS'!E31)&gt;0,('DAILY READINGS'!D32-'DAILY READINGS'!D31)+('DAILY READINGS'!E32-'DAILY READINGS'!E31),0)</f>
        <v>180</v>
      </c>
      <c r="H27" s="10">
        <v>0.71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50</v>
      </c>
      <c r="J27" s="10">
        <v>1.45</v>
      </c>
      <c r="K27" s="13">
        <f>'DAILY READINGS'!K32</f>
        <v>103</v>
      </c>
      <c r="L27" s="8">
        <f>'DAILY READINGS'!L32</f>
        <v>82</v>
      </c>
    </row>
    <row r="28" spans="1:12">
      <c r="A28" s="2" t="s">
        <v>12</v>
      </c>
      <c r="B28" s="11">
        <f t="shared" si="0"/>
        <v>27</v>
      </c>
      <c r="C28" s="12">
        <v>2</v>
      </c>
      <c r="D28" s="12">
        <v>2022</v>
      </c>
      <c r="E28" s="13">
        <f>IF(('DAILY READINGS'!B33-'DAILY READINGS'!B32)&gt;0,('DAILY READINGS'!B33-'DAILY READINGS'!B32),0)</f>
        <v>5754</v>
      </c>
      <c r="F28" s="10">
        <v>0.26</v>
      </c>
      <c r="G28" s="13">
        <f>IF(('DAILY READINGS'!D33-'DAILY READINGS'!D32)+('DAILY READINGS'!E33-'DAILY READINGS'!E32)&gt;0,('DAILY READINGS'!D33-'DAILY READINGS'!D32)+('DAILY READINGS'!E33-'DAILY READINGS'!E32),0)</f>
        <v>167</v>
      </c>
      <c r="H28" s="10">
        <v>0.71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43</v>
      </c>
      <c r="J28" s="10">
        <v>1.45</v>
      </c>
      <c r="K28" s="13">
        <f>'DAILY READINGS'!K33</f>
        <v>107</v>
      </c>
      <c r="L28" s="8">
        <f>'DAILY READINGS'!L33</f>
        <v>85</v>
      </c>
    </row>
    <row r="29" spans="1:12">
      <c r="A29" s="2" t="s">
        <v>12</v>
      </c>
      <c r="B29" s="11">
        <f t="shared" si="0"/>
        <v>28</v>
      </c>
      <c r="C29" s="12">
        <v>2</v>
      </c>
      <c r="D29" s="12">
        <v>2022</v>
      </c>
      <c r="E29" s="13">
        <f>IF(('DAILY READINGS'!B34-'DAILY READINGS'!B33)&gt;0,('DAILY READINGS'!B34-'DAILY READINGS'!B33),0)</f>
        <v>6070</v>
      </c>
      <c r="F29" s="10">
        <v>0.26</v>
      </c>
      <c r="G29" s="13">
        <f>IF(('DAILY READINGS'!D34-'DAILY READINGS'!D33)+('DAILY READINGS'!E34-'DAILY READINGS'!E33)&gt;0,('DAILY READINGS'!D34-'DAILY READINGS'!D33)+('DAILY READINGS'!E34-'DAILY READINGS'!E33),0)</f>
        <v>186</v>
      </c>
      <c r="H29" s="10">
        <v>0.71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59</v>
      </c>
      <c r="J29" s="10">
        <v>1.45</v>
      </c>
      <c r="K29" s="13">
        <f>'DAILY READINGS'!K34</f>
        <v>107</v>
      </c>
      <c r="L29" s="8">
        <f>'DAILY READINGS'!L34</f>
        <v>86</v>
      </c>
    </row>
    <row r="30" spans="1:12">
      <c r="D30" s="12"/>
    </row>
    <row r="31" spans="1:12">
      <c r="D31" s="12"/>
    </row>
    <row r="32" spans="1:12">
      <c r="D32" s="12"/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selection activeCell="I28" sqref="I28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2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2</v>
      </c>
      <c r="D2" s="22">
        <v>2022</v>
      </c>
      <c r="E2" s="13">
        <f>IF(('DAILY READINGS'!B7-'DAILY READINGS'!B6)&gt;0,('DAILY READINGS'!B7-'DAILY READINGS'!B6),0)</f>
        <v>5220</v>
      </c>
      <c r="F2" s="13">
        <f>IF(('DAILY READINGS'!D7-'DAILY READINGS'!D6)&gt;0,('DAILY READINGS'!D7-'DAILY READINGS'!D6),0)</f>
        <v>57</v>
      </c>
      <c r="G2" s="13">
        <f>IF(('DAILY READINGS'!E7-'DAILY READINGS'!E6)&gt;0,('DAILY READINGS'!E7-'DAILY READINGS'!E6),0)</f>
        <v>96</v>
      </c>
      <c r="H2" s="13">
        <f>IF(('DAILY READINGS'!F7-'DAILY READINGS'!F6)&gt;0,('DAILY READINGS'!F7-'DAILY READINGS'!F6),0)</f>
        <v>1</v>
      </c>
      <c r="I2" s="13">
        <f>IF(('DAILY READINGS'!G7-'DAILY READINGS'!G6)&gt;0,('DAILY READINGS'!G7-'DAILY READINGS'!G6),0)</f>
        <v>3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32</v>
      </c>
      <c r="M2" s="13">
        <f>'DAILY READINGS'!K7</f>
        <v>22</v>
      </c>
      <c r="N2" s="8">
        <f>'DAILY READINGS'!L7</f>
        <v>22</v>
      </c>
    </row>
    <row r="3" spans="1:14">
      <c r="A3" s="8" t="s">
        <v>12</v>
      </c>
      <c r="B3" s="22">
        <f>B2+1</f>
        <v>2</v>
      </c>
      <c r="C3" s="22">
        <v>2</v>
      </c>
      <c r="D3" s="22">
        <v>2022</v>
      </c>
      <c r="E3" s="13">
        <f>IF(('DAILY READINGS'!B8-'DAILY READINGS'!B7)&gt;0,('DAILY READINGS'!B8-'DAILY READINGS'!B7),0)</f>
        <v>4912</v>
      </c>
      <c r="F3" s="13">
        <f>IF(('DAILY READINGS'!D8-'DAILY READINGS'!D7)&gt;0,('DAILY READINGS'!D8-'DAILY READINGS'!D7),0)</f>
        <v>57</v>
      </c>
      <c r="G3" s="13">
        <f>IF(('DAILY READINGS'!E8-'DAILY READINGS'!E7)&gt;0,('DAILY READINGS'!E8-'DAILY READINGS'!E7),0)</f>
        <v>98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13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20</v>
      </c>
      <c r="M3" s="13">
        <f>'DAILY READINGS'!K8</f>
        <v>23</v>
      </c>
      <c r="N3" s="8">
        <f>'DAILY READINGS'!L8</f>
        <v>23</v>
      </c>
    </row>
    <row r="4" spans="1:14">
      <c r="A4" s="8" t="s">
        <v>12</v>
      </c>
      <c r="B4" s="22">
        <f t="shared" ref="B4:B29" si="0">B3+1</f>
        <v>3</v>
      </c>
      <c r="C4" s="22">
        <v>2</v>
      </c>
      <c r="D4" s="22">
        <v>2022</v>
      </c>
      <c r="E4" s="13">
        <f>IF(('DAILY READINGS'!B9-'DAILY READINGS'!B8)&gt;0,('DAILY READINGS'!B9-'DAILY READINGS'!B8),0)</f>
        <v>5000</v>
      </c>
      <c r="F4" s="13">
        <f>IF(('DAILY READINGS'!D9-'DAILY READINGS'!D8)&gt;0,('DAILY READINGS'!D9-'DAILY READINGS'!D8),0)</f>
        <v>56</v>
      </c>
      <c r="G4" s="13">
        <f>IF(('DAILY READINGS'!E9-'DAILY READINGS'!E8)&gt;0,('DAILY READINGS'!E9-'DAILY READINGS'!E8),0)</f>
        <v>99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4</v>
      </c>
      <c r="J4" s="13">
        <f>IF(('DAILY READINGS'!H9-'DAILY READINGS'!H8)&gt;0,('DAILY READINGS'!H9-'DAILY READINGS'!H8),0)</f>
        <v>1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8</v>
      </c>
      <c r="M4" s="13">
        <f>'DAILY READINGS'!K9</f>
        <v>22</v>
      </c>
      <c r="N4" s="8">
        <f>'DAILY READINGS'!L9</f>
        <v>22</v>
      </c>
    </row>
    <row r="5" spans="1:14">
      <c r="A5" s="8" t="s">
        <v>12</v>
      </c>
      <c r="B5" s="22">
        <f t="shared" si="0"/>
        <v>4</v>
      </c>
      <c r="C5" s="22">
        <v>2</v>
      </c>
      <c r="D5" s="22">
        <v>2022</v>
      </c>
      <c r="E5" s="13">
        <f>IF(('DAILY READINGS'!B10-'DAILY READINGS'!B9)&gt;0,('DAILY READINGS'!B10-'DAILY READINGS'!B9),0)</f>
        <v>4838</v>
      </c>
      <c r="F5" s="13">
        <f>IF(('DAILY READINGS'!D10-'DAILY READINGS'!D9)&gt;0,('DAILY READINGS'!D10-'DAILY READINGS'!D9),0)</f>
        <v>96</v>
      </c>
      <c r="G5" s="13">
        <f>IF(('DAILY READINGS'!E10-'DAILY READINGS'!E9)&gt;0,('DAILY READINGS'!E10-'DAILY READINGS'!E9),0)</f>
        <v>99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8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137</v>
      </c>
      <c r="M5" s="13">
        <f>'DAILY READINGS'!K10</f>
        <v>23</v>
      </c>
      <c r="N5" s="8">
        <f>'DAILY READINGS'!L10</f>
        <v>22</v>
      </c>
    </row>
    <row r="6" spans="1:14">
      <c r="A6" s="8" t="s">
        <v>12</v>
      </c>
      <c r="B6" s="22">
        <f t="shared" si="0"/>
        <v>5</v>
      </c>
      <c r="C6" s="22">
        <v>2</v>
      </c>
      <c r="D6" s="22">
        <v>2022</v>
      </c>
      <c r="E6" s="13">
        <f>IF(('DAILY READINGS'!B11-'DAILY READINGS'!B10)&gt;0,('DAILY READINGS'!B11-'DAILY READINGS'!B10),0)</f>
        <v>4226</v>
      </c>
      <c r="F6" s="13">
        <f>IF(('DAILY READINGS'!D11-'DAILY READINGS'!D10)&gt;0,('DAILY READINGS'!D11-'DAILY READINGS'!D10),0)</f>
        <v>38</v>
      </c>
      <c r="G6" s="13">
        <f>IF(('DAILY READINGS'!E11-'DAILY READINGS'!E10)&gt;0,('DAILY READINGS'!E11-'DAILY READINGS'!E10),0)</f>
        <v>94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50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0</v>
      </c>
      <c r="L6" s="13">
        <f>IF(('DAILY READINGS'!J11-'DAILY READINGS'!J10)&gt;0,('DAILY READINGS'!J11-'DAILY READINGS'!J10),0)</f>
        <v>40</v>
      </c>
      <c r="M6" s="13">
        <f>'DAILY READINGS'!K11</f>
        <v>21</v>
      </c>
      <c r="N6" s="8">
        <f>'DAILY READINGS'!L11</f>
        <v>24</v>
      </c>
    </row>
    <row r="7" spans="1:14">
      <c r="A7" s="8" t="s">
        <v>12</v>
      </c>
      <c r="B7" s="22">
        <f t="shared" si="0"/>
        <v>6</v>
      </c>
      <c r="C7" s="22">
        <v>2</v>
      </c>
      <c r="D7" s="22">
        <v>2022</v>
      </c>
      <c r="E7" s="13">
        <f>IF(('DAILY READINGS'!B12-'DAILY READINGS'!B11)&gt;0,('DAILY READINGS'!B12-'DAILY READINGS'!B11),0)</f>
        <v>4322</v>
      </c>
      <c r="F7" s="13">
        <f>IF(('DAILY READINGS'!D12-'DAILY READINGS'!D11)&gt;0,('DAILY READINGS'!D12-'DAILY READINGS'!D11),0)</f>
        <v>57</v>
      </c>
      <c r="G7" s="13">
        <f>IF(('DAILY READINGS'!E12-'DAILY READINGS'!E11)&gt;0,('DAILY READINGS'!E12-'DAILY READINGS'!E11),0)</f>
        <v>104</v>
      </c>
      <c r="H7" s="13">
        <f>IF(('DAILY READINGS'!F12-'DAILY READINGS'!F11)&gt;0,('DAILY READINGS'!F12-'DAILY READINGS'!F11),0)</f>
        <v>1</v>
      </c>
      <c r="I7" s="13">
        <f>IF(('DAILY READINGS'!G12-'DAILY READINGS'!G11)&gt;0,('DAILY READINGS'!G12-'DAILY READINGS'!G11),0)</f>
        <v>5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19</v>
      </c>
      <c r="M7" s="13">
        <f>'DAILY READINGS'!K12</f>
        <v>24</v>
      </c>
      <c r="N7" s="8">
        <f>'DAILY READINGS'!L12</f>
        <v>38</v>
      </c>
    </row>
    <row r="8" spans="1:14">
      <c r="A8" s="8" t="s">
        <v>12</v>
      </c>
      <c r="B8" s="22">
        <f t="shared" si="0"/>
        <v>7</v>
      </c>
      <c r="C8" s="22">
        <v>2</v>
      </c>
      <c r="D8" s="22">
        <v>2022</v>
      </c>
      <c r="E8" s="13">
        <f>IF(('DAILY READINGS'!B13-'DAILY READINGS'!B12)&gt;0,('DAILY READINGS'!B13-'DAILY READINGS'!B12),0)</f>
        <v>4578</v>
      </c>
      <c r="F8" s="13">
        <f>IF(('DAILY READINGS'!D13-'DAILY READINGS'!D12)&gt;0,('DAILY READINGS'!D13-'DAILY READINGS'!D12),0)</f>
        <v>52</v>
      </c>
      <c r="G8" s="13">
        <f>IF(('DAILY READINGS'!E13-'DAILY READINGS'!E12)&gt;0,('DAILY READINGS'!E13-'DAILY READINGS'!E12),0)</f>
        <v>96</v>
      </c>
      <c r="H8" s="13">
        <f>IF(('DAILY READINGS'!F13-'DAILY READINGS'!F12)&gt;0,('DAILY READINGS'!F13-'DAILY READINGS'!F12),0)</f>
        <v>0</v>
      </c>
      <c r="I8" s="13">
        <f>IF(('DAILY READINGS'!G13-'DAILY READINGS'!G12)&gt;0,('DAILY READINGS'!G13-'DAILY READINGS'!G12),0)</f>
        <v>10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0</v>
      </c>
      <c r="L8" s="13">
        <f>IF(('DAILY READINGS'!J13-'DAILY READINGS'!J12)&gt;0,('DAILY READINGS'!J13-'DAILY READINGS'!J12),0)</f>
        <v>22</v>
      </c>
      <c r="M8" s="13">
        <f>'DAILY READINGS'!K13</f>
        <v>33</v>
      </c>
      <c r="N8" s="8">
        <f>'DAILY READINGS'!L13</f>
        <v>42</v>
      </c>
    </row>
    <row r="9" spans="1:14">
      <c r="A9" s="8" t="s">
        <v>12</v>
      </c>
      <c r="B9" s="22">
        <f t="shared" si="0"/>
        <v>8</v>
      </c>
      <c r="C9" s="22">
        <v>2</v>
      </c>
      <c r="D9" s="22">
        <v>2022</v>
      </c>
      <c r="E9" s="13">
        <f>IF(('DAILY READINGS'!B14-'DAILY READINGS'!B13)&gt;0,('DAILY READINGS'!B14-'DAILY READINGS'!B13),0)</f>
        <v>4990</v>
      </c>
      <c r="F9" s="13">
        <f>IF(('DAILY READINGS'!D14-'DAILY READINGS'!D13)&gt;0,('DAILY READINGS'!D14-'DAILY READINGS'!D13),0)</f>
        <v>55</v>
      </c>
      <c r="G9" s="13">
        <f>IF(('DAILY READINGS'!E14-'DAILY READINGS'!E13)&gt;0,('DAILY READINGS'!E14-'DAILY READINGS'!E13),0)</f>
        <v>98</v>
      </c>
      <c r="H9" s="13">
        <f>IF(('DAILY READINGS'!F14-'DAILY READINGS'!F13)&gt;0,('DAILY READINGS'!F14-'DAILY READINGS'!F13),0)</f>
        <v>2</v>
      </c>
      <c r="I9" s="13">
        <f>IF(('DAILY READINGS'!G14-'DAILY READINGS'!G13)&gt;0,('DAILY READINGS'!G14-'DAILY READINGS'!G13),0)</f>
        <v>5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28</v>
      </c>
      <c r="M9" s="13">
        <f>'DAILY READINGS'!K14</f>
        <v>35</v>
      </c>
      <c r="N9" s="8">
        <f>'DAILY READINGS'!L14</f>
        <v>50</v>
      </c>
    </row>
    <row r="10" spans="1:14">
      <c r="A10" s="8" t="s">
        <v>12</v>
      </c>
      <c r="B10" s="22">
        <f t="shared" si="0"/>
        <v>9</v>
      </c>
      <c r="C10" s="22">
        <v>2</v>
      </c>
      <c r="D10" s="22">
        <v>2022</v>
      </c>
      <c r="E10" s="13">
        <f>IF(('DAILY READINGS'!B15-'DAILY READINGS'!B14)&gt;0,('DAILY READINGS'!B15-'DAILY READINGS'!B14),0)</f>
        <v>5000</v>
      </c>
      <c r="F10" s="13">
        <f>IF(('DAILY READINGS'!D15-'DAILY READINGS'!D14)&gt;0,('DAILY READINGS'!D15-'DAILY READINGS'!D14),0)</f>
        <v>53</v>
      </c>
      <c r="G10" s="13">
        <f>IF(('DAILY READINGS'!E15-'DAILY READINGS'!E14)&gt;0,('DAILY READINGS'!E15-'DAILY READINGS'!E14),0)</f>
        <v>106</v>
      </c>
      <c r="H10" s="13">
        <f>IF(('DAILY READINGS'!F15-'DAILY READINGS'!F14)&gt;0,('DAILY READINGS'!F15-'DAILY READINGS'!F14),0)</f>
        <v>0</v>
      </c>
      <c r="I10" s="13">
        <f>IF(('DAILY READINGS'!G15-'DAILY READINGS'!G14)&gt;0,('DAILY READINGS'!G15-'DAILY READINGS'!G14),0)</f>
        <v>15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23</v>
      </c>
      <c r="M10" s="13">
        <f>'DAILY READINGS'!K15</f>
        <v>43</v>
      </c>
      <c r="N10" s="8">
        <f>'DAILY READINGS'!L15</f>
        <v>49</v>
      </c>
    </row>
    <row r="11" spans="1:14">
      <c r="A11" s="8" t="s">
        <v>12</v>
      </c>
      <c r="B11" s="22">
        <f t="shared" si="0"/>
        <v>10</v>
      </c>
      <c r="C11" s="22">
        <v>2</v>
      </c>
      <c r="D11" s="22">
        <v>2022</v>
      </c>
      <c r="E11" s="13">
        <f>IF(('DAILY READINGS'!B16-'DAILY READINGS'!B15)&gt;0,('DAILY READINGS'!B16-'DAILY READINGS'!B15),0)</f>
        <v>5178</v>
      </c>
      <c r="F11" s="13">
        <f>IF(('DAILY READINGS'!D16-'DAILY READINGS'!D15)&gt;0,('DAILY READINGS'!D16-'DAILY READINGS'!D15),0)</f>
        <v>58</v>
      </c>
      <c r="G11" s="13">
        <f>IF(('DAILY READINGS'!E16-'DAILY READINGS'!E15)&gt;0,('DAILY READINGS'!E16-'DAILY READINGS'!E15),0)</f>
        <v>120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6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33</v>
      </c>
      <c r="M11" s="13">
        <f>'DAILY READINGS'!K16</f>
        <v>44</v>
      </c>
      <c r="N11" s="8">
        <f>'DAILY READINGS'!L16</f>
        <v>41</v>
      </c>
    </row>
    <row r="12" spans="1:14">
      <c r="A12" s="8" t="s">
        <v>12</v>
      </c>
      <c r="B12" s="22">
        <f t="shared" si="0"/>
        <v>11</v>
      </c>
      <c r="C12" s="22">
        <v>2</v>
      </c>
      <c r="D12" s="22">
        <v>2022</v>
      </c>
      <c r="E12" s="13">
        <f>IF(('DAILY READINGS'!B17-'DAILY READINGS'!B16)&gt;0,('DAILY READINGS'!B17-'DAILY READINGS'!B16),0)</f>
        <v>3978</v>
      </c>
      <c r="F12" s="13">
        <f>IF(('DAILY READINGS'!D17-'DAILY READINGS'!D16)&gt;0,('DAILY READINGS'!D17-'DAILY READINGS'!D16),0)</f>
        <v>55</v>
      </c>
      <c r="G12" s="13">
        <f>IF(('DAILY READINGS'!E17-'DAILY READINGS'!E16)&gt;0,('DAILY READINGS'!E17-'DAILY READINGS'!E16),0)</f>
        <v>77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2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2</v>
      </c>
      <c r="L12" s="13">
        <f>IF(('DAILY READINGS'!J17-'DAILY READINGS'!J16)&gt;0,('DAILY READINGS'!J17-'DAILY READINGS'!J16),0)</f>
        <v>21</v>
      </c>
      <c r="M12" s="13">
        <f>'DAILY READINGS'!K17</f>
        <v>35</v>
      </c>
      <c r="N12" s="8">
        <f>'DAILY READINGS'!L17</f>
        <v>36</v>
      </c>
    </row>
    <row r="13" spans="1:14">
      <c r="A13" s="8" t="s">
        <v>12</v>
      </c>
      <c r="B13" s="22">
        <f t="shared" si="0"/>
        <v>12</v>
      </c>
      <c r="C13" s="22">
        <v>2</v>
      </c>
      <c r="D13" s="22">
        <v>2022</v>
      </c>
      <c r="E13" s="13">
        <f>IF(('DAILY READINGS'!B18-'DAILY READINGS'!B17)&gt;0,('DAILY READINGS'!B18-'DAILY READINGS'!B17),0)</f>
        <v>4746</v>
      </c>
      <c r="F13" s="13">
        <f>IF(('DAILY READINGS'!D18-'DAILY READINGS'!D17)&gt;0,('DAILY READINGS'!D18-'DAILY READINGS'!D17),0)</f>
        <v>59</v>
      </c>
      <c r="G13" s="13">
        <f>IF(('DAILY READINGS'!E18-'DAILY READINGS'!E17)&gt;0,('DAILY READINGS'!E18-'DAILY READINGS'!E17),0)</f>
        <v>93</v>
      </c>
      <c r="H13" s="13">
        <f>IF(('DAILY READINGS'!F18-'DAILY READINGS'!F17)&gt;0,('DAILY READINGS'!F18-'DAILY READINGS'!F17),0)</f>
        <v>0</v>
      </c>
      <c r="I13" s="13">
        <f>IF(('DAILY READINGS'!G18-'DAILY READINGS'!G17)&gt;0,('DAILY READINGS'!G18-'DAILY READINGS'!G17),0)</f>
        <v>9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25</v>
      </c>
      <c r="M13" s="13">
        <f>'DAILY READINGS'!K18</f>
        <v>40</v>
      </c>
      <c r="N13" s="8">
        <f>'DAILY READINGS'!L18</f>
        <v>41</v>
      </c>
    </row>
    <row r="14" spans="1:14">
      <c r="A14" s="8" t="s">
        <v>12</v>
      </c>
      <c r="B14" s="22">
        <f t="shared" si="0"/>
        <v>13</v>
      </c>
      <c r="C14" s="22">
        <v>2</v>
      </c>
      <c r="D14" s="22">
        <v>2022</v>
      </c>
      <c r="E14" s="13">
        <f>IF(('DAILY READINGS'!B19-'DAILY READINGS'!B18)&gt;0,('DAILY READINGS'!B19-'DAILY READINGS'!B18),0)</f>
        <v>4328</v>
      </c>
      <c r="F14" s="13">
        <f>IF(('DAILY READINGS'!D19-'DAILY READINGS'!D18)&gt;0,('DAILY READINGS'!D19-'DAILY READINGS'!D18),0)</f>
        <v>53</v>
      </c>
      <c r="G14" s="13">
        <f>IF(('DAILY READINGS'!E19-'DAILY READINGS'!E18)&gt;0,('DAILY READINGS'!E19-'DAILY READINGS'!E18),0)</f>
        <v>92</v>
      </c>
      <c r="H14" s="13">
        <f>IF(('DAILY READINGS'!F19-'DAILY READINGS'!F18)&gt;0,('DAILY READINGS'!F19-'DAILY READINGS'!F18),0)</f>
        <v>3</v>
      </c>
      <c r="I14" s="13">
        <f>IF(('DAILY READINGS'!G19-'DAILY READINGS'!G18)&gt;0,('DAILY READINGS'!G19-'DAILY READINGS'!G18),0)</f>
        <v>14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22</v>
      </c>
      <c r="M14" s="13">
        <f>'DAILY READINGS'!K19</f>
        <v>41</v>
      </c>
      <c r="N14" s="8">
        <f>'DAILY READINGS'!L19</f>
        <v>43</v>
      </c>
    </row>
    <row r="15" spans="1:14">
      <c r="A15" s="8" t="s">
        <v>12</v>
      </c>
      <c r="B15" s="22">
        <f t="shared" si="0"/>
        <v>14</v>
      </c>
      <c r="C15" s="22">
        <v>2</v>
      </c>
      <c r="D15" s="22">
        <v>2022</v>
      </c>
      <c r="E15" s="13">
        <f>IF(('DAILY READINGS'!B20-'DAILY READINGS'!B19)&gt;0,('DAILY READINGS'!B20-'DAILY READINGS'!B19),0)</f>
        <v>6486</v>
      </c>
      <c r="F15" s="13">
        <f>IF(('DAILY READINGS'!D20-'DAILY READINGS'!D19)&gt;0,('DAILY READINGS'!D20-'DAILY READINGS'!D19),0)</f>
        <v>57</v>
      </c>
      <c r="G15" s="13">
        <f>IF(('DAILY READINGS'!E20-'DAILY READINGS'!E19)&gt;0,('DAILY READINGS'!E20-'DAILY READINGS'!E19),0)</f>
        <v>95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10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16</v>
      </c>
      <c r="M15" s="13">
        <f>'DAILY READINGS'!K20</f>
        <v>49</v>
      </c>
      <c r="N15" s="8">
        <f>'DAILY READINGS'!L20</f>
        <v>51</v>
      </c>
    </row>
    <row r="16" spans="1:14">
      <c r="A16" s="8" t="s">
        <v>12</v>
      </c>
      <c r="B16" s="22">
        <f t="shared" si="0"/>
        <v>15</v>
      </c>
      <c r="C16" s="22">
        <v>2</v>
      </c>
      <c r="D16" s="22">
        <v>2022</v>
      </c>
      <c r="E16" s="13">
        <f>IF(('DAILY READINGS'!B21-'DAILY READINGS'!B20)&gt;0,('DAILY READINGS'!B21-'DAILY READINGS'!B20),0)</f>
        <v>2604</v>
      </c>
      <c r="F16" s="13">
        <f>IF(('DAILY READINGS'!D21-'DAILY READINGS'!D20)&gt;0,('DAILY READINGS'!D21-'DAILY READINGS'!D20),0)</f>
        <v>58</v>
      </c>
      <c r="G16" s="13">
        <f>IF(('DAILY READINGS'!E21-'DAILY READINGS'!E20)&gt;0,('DAILY READINGS'!E21-'DAILY READINGS'!E20),0)</f>
        <v>98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9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40</v>
      </c>
      <c r="M16" s="13">
        <f>'DAILY READINGS'!K21</f>
        <v>56</v>
      </c>
      <c r="N16" s="8">
        <f>'DAILY READINGS'!L21</f>
        <v>58</v>
      </c>
    </row>
    <row r="17" spans="1:14">
      <c r="A17" s="8" t="s">
        <v>12</v>
      </c>
      <c r="B17" s="22">
        <f t="shared" si="0"/>
        <v>16</v>
      </c>
      <c r="C17" s="22">
        <v>2</v>
      </c>
      <c r="D17" s="22">
        <v>2022</v>
      </c>
      <c r="E17" s="13">
        <f>IF(('DAILY READINGS'!B22-'DAILY READINGS'!B21)&gt;0,('DAILY READINGS'!B22-'DAILY READINGS'!B21),0)</f>
        <v>5046</v>
      </c>
      <c r="F17" s="13">
        <f>IF(('DAILY READINGS'!D22-'DAILY READINGS'!D21)&gt;0,('DAILY READINGS'!D22-'DAILY READINGS'!D21),0)</f>
        <v>61</v>
      </c>
      <c r="G17" s="13">
        <f>IF(('DAILY READINGS'!E22-'DAILY READINGS'!E21)&gt;0,('DAILY READINGS'!E22-'DAILY READINGS'!E21),0)</f>
        <v>101</v>
      </c>
      <c r="H17" s="13">
        <f>IF(('DAILY READINGS'!F22-'DAILY READINGS'!F21)&gt;0,('DAILY READINGS'!F22-'DAILY READINGS'!F21),0)</f>
        <v>1</v>
      </c>
      <c r="I17" s="13">
        <f>IF(('DAILY READINGS'!G22-'DAILY READINGS'!G21)&gt;0,('DAILY READINGS'!G22-'DAILY READINGS'!G21),0)</f>
        <v>32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17</v>
      </c>
      <c r="M17" s="13">
        <f>'DAILY READINGS'!K22</f>
        <v>56</v>
      </c>
      <c r="N17" s="8">
        <f>'DAILY READINGS'!L22</f>
        <v>57</v>
      </c>
    </row>
    <row r="18" spans="1:14">
      <c r="A18" s="8" t="s">
        <v>12</v>
      </c>
      <c r="B18" s="22">
        <f t="shared" si="0"/>
        <v>17</v>
      </c>
      <c r="C18" s="22">
        <v>2</v>
      </c>
      <c r="D18" s="22">
        <v>2022</v>
      </c>
      <c r="E18" s="13">
        <f>IF(('DAILY READINGS'!B23-'DAILY READINGS'!B22)&gt;0,('DAILY READINGS'!B23-'DAILY READINGS'!B22),0)</f>
        <v>4743</v>
      </c>
      <c r="F18" s="13">
        <f>IF(('DAILY READINGS'!D23-'DAILY READINGS'!D22)&gt;0,('DAILY READINGS'!D23-'DAILY READINGS'!D22),0)</f>
        <v>57</v>
      </c>
      <c r="G18" s="13">
        <f>IF(('DAILY READINGS'!E23-'DAILY READINGS'!E22)&gt;0,('DAILY READINGS'!E23-'DAILY READINGS'!E22),0)</f>
        <v>102</v>
      </c>
      <c r="H18" s="13">
        <f>IF(('DAILY READINGS'!F23-'DAILY READINGS'!F22)&gt;0,('DAILY READINGS'!F23-'DAILY READINGS'!F22),0)</f>
        <v>1</v>
      </c>
      <c r="I18" s="13">
        <f>IF(('DAILY READINGS'!G23-'DAILY READINGS'!G22)&gt;0,('DAILY READINGS'!G23-'DAILY READINGS'!G22),0)</f>
        <v>37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0</v>
      </c>
      <c r="L18" s="13">
        <f>IF(('DAILY READINGS'!J23-'DAILY READINGS'!J22)&gt;0,('DAILY READINGS'!J23-'DAILY READINGS'!J22),0)</f>
        <v>32</v>
      </c>
      <c r="M18" s="13">
        <f>'DAILY READINGS'!K23</f>
        <v>55</v>
      </c>
      <c r="N18" s="8">
        <f>'DAILY READINGS'!L23</f>
        <v>56</v>
      </c>
    </row>
    <row r="19" spans="1:14">
      <c r="A19" s="8" t="s">
        <v>12</v>
      </c>
      <c r="B19" s="22">
        <f t="shared" si="0"/>
        <v>18</v>
      </c>
      <c r="C19" s="22">
        <v>2</v>
      </c>
      <c r="D19" s="22">
        <v>2022</v>
      </c>
      <c r="E19" s="13">
        <f>IF(('DAILY READINGS'!B24-'DAILY READINGS'!B23)&gt;0,('DAILY READINGS'!B24-'DAILY READINGS'!B23),0)</f>
        <v>9319</v>
      </c>
      <c r="F19" s="13">
        <f>IF(('DAILY READINGS'!D24-'DAILY READINGS'!D23)&gt;0,('DAILY READINGS'!D24-'DAILY READINGS'!D23),0)</f>
        <v>121</v>
      </c>
      <c r="G19" s="13">
        <f>IF(('DAILY READINGS'!E24-'DAILY READINGS'!E23)&gt;0,('DAILY READINGS'!E24-'DAILY READINGS'!E23),0)</f>
        <v>194</v>
      </c>
      <c r="H19" s="13">
        <f>IF(('DAILY READINGS'!F24-'DAILY READINGS'!F23)&gt;0,('DAILY READINGS'!F24-'DAILY READINGS'!F23),0)</f>
        <v>2</v>
      </c>
      <c r="I19" s="13">
        <f>IF(('DAILY READINGS'!G24-'DAILY READINGS'!G23)&gt;0,('DAILY READINGS'!G24-'DAILY READINGS'!G23),0)</f>
        <v>34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0</v>
      </c>
      <c r="L19" s="13">
        <f>IF(('DAILY READINGS'!J24-'DAILY READINGS'!J23)&gt;0,('DAILY READINGS'!J24-'DAILY READINGS'!J23),0)</f>
        <v>51</v>
      </c>
      <c r="M19" s="13">
        <f>'DAILY READINGS'!K24</f>
        <v>53</v>
      </c>
      <c r="N19" s="8">
        <f>'DAILY READINGS'!L24</f>
        <v>54</v>
      </c>
    </row>
    <row r="20" spans="1:14">
      <c r="A20" s="8" t="s">
        <v>12</v>
      </c>
      <c r="B20" s="22">
        <f t="shared" si="0"/>
        <v>19</v>
      </c>
      <c r="C20" s="22">
        <v>2</v>
      </c>
      <c r="D20" s="22">
        <v>2022</v>
      </c>
      <c r="E20" s="13">
        <f>IF(('DAILY READINGS'!B25-'DAILY READINGS'!B24)&gt;0,('DAILY READINGS'!B25-'DAILY READINGS'!B24),0)</f>
        <v>4788</v>
      </c>
      <c r="F20" s="13">
        <f>IF(('DAILY READINGS'!D25-'DAILY READINGS'!D24)&gt;0,('DAILY READINGS'!D25-'DAILY READINGS'!D24),0)</f>
        <v>61</v>
      </c>
      <c r="G20" s="13">
        <f>IF(('DAILY READINGS'!E25-'DAILY READINGS'!E24)&gt;0,('DAILY READINGS'!E25-'DAILY READINGS'!E24),0)</f>
        <v>107</v>
      </c>
      <c r="H20" s="13">
        <f>IF(('DAILY READINGS'!F25-'DAILY READINGS'!F24)&gt;0,('DAILY READINGS'!F25-'DAILY READINGS'!F24),0)</f>
        <v>1</v>
      </c>
      <c r="I20" s="13">
        <f>IF(('DAILY READINGS'!G25-'DAILY READINGS'!G24)&gt;0,('DAILY READINGS'!G25-'DAILY READINGS'!G24),0)</f>
        <v>25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29</v>
      </c>
      <c r="M20" s="13">
        <f>'DAILY READINGS'!K25</f>
        <v>42</v>
      </c>
      <c r="N20" s="8">
        <f>'DAILY READINGS'!L25</f>
        <v>45</v>
      </c>
    </row>
    <row r="21" spans="1:14">
      <c r="A21" s="8" t="s">
        <v>12</v>
      </c>
      <c r="B21" s="22">
        <f t="shared" si="0"/>
        <v>20</v>
      </c>
      <c r="C21" s="22">
        <v>2</v>
      </c>
      <c r="D21" s="22">
        <v>2022</v>
      </c>
      <c r="E21" s="13">
        <f>IF(('DAILY READINGS'!B26-'DAILY READINGS'!B25)&gt;0,('DAILY READINGS'!B26-'DAILY READINGS'!B25),0)</f>
        <v>0</v>
      </c>
      <c r="F21" s="13">
        <f>IF(('DAILY READINGS'!D26-'DAILY READINGS'!D25)&gt;0,('DAILY READINGS'!D26-'DAILY READINGS'!D25),0)</f>
        <v>0</v>
      </c>
      <c r="G21" s="13">
        <f>IF(('DAILY READINGS'!E26-'DAILY READINGS'!E25)&gt;0,('DAILY READINGS'!E26-'DAILY READINGS'!E25),0)</f>
        <v>0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0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0</v>
      </c>
      <c r="M21" s="13">
        <f>'DAILY READINGS'!K26</f>
        <v>39</v>
      </c>
      <c r="N21" s="8">
        <f>'DAILY READINGS'!L26</f>
        <v>42</v>
      </c>
    </row>
    <row r="22" spans="1:14">
      <c r="A22" s="8" t="s">
        <v>12</v>
      </c>
      <c r="B22" s="22">
        <f t="shared" si="0"/>
        <v>21</v>
      </c>
      <c r="C22" s="22">
        <v>2</v>
      </c>
      <c r="D22" s="22">
        <v>2022</v>
      </c>
      <c r="E22" s="13">
        <f>IF(('DAILY READINGS'!B27-'DAILY READINGS'!B26)&gt;0,('DAILY READINGS'!B27-'DAILY READINGS'!B26),0)</f>
        <v>4982</v>
      </c>
      <c r="F22" s="13">
        <f>IF(('DAILY READINGS'!D27-'DAILY READINGS'!D26)&gt;0,('DAILY READINGS'!D27-'DAILY READINGS'!D26),0)</f>
        <v>60</v>
      </c>
      <c r="G22" s="13">
        <f>IF(('DAILY READINGS'!E27-'DAILY READINGS'!E26)&gt;0,('DAILY READINGS'!E27-'DAILY READINGS'!E26),0)</f>
        <v>104</v>
      </c>
      <c r="H22" s="13">
        <f>IF(('DAILY READINGS'!F27-'DAILY READINGS'!F26)&gt;0,('DAILY READINGS'!F27-'DAILY READINGS'!F26),0)</f>
        <v>1</v>
      </c>
      <c r="I22" s="13">
        <f>IF(('DAILY READINGS'!G27-'DAILY READINGS'!G26)&gt;0,('DAILY READINGS'!G27-'DAILY READINGS'!G26),0)</f>
        <v>13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25</v>
      </c>
      <c r="M22" s="13">
        <f>'DAILY READINGS'!K27</f>
        <v>82</v>
      </c>
      <c r="N22" s="8">
        <f>'DAILY READINGS'!L27</f>
        <v>66</v>
      </c>
    </row>
    <row r="23" spans="1:14">
      <c r="A23" s="8" t="s">
        <v>12</v>
      </c>
      <c r="B23" s="22">
        <f t="shared" si="0"/>
        <v>22</v>
      </c>
      <c r="C23" s="22">
        <v>2</v>
      </c>
      <c r="D23" s="22">
        <v>2022</v>
      </c>
      <c r="E23" s="13">
        <f>IF(('DAILY READINGS'!B28-'DAILY READINGS'!B27)&gt;0,('DAILY READINGS'!B28-'DAILY READINGS'!B27),0)</f>
        <v>6690</v>
      </c>
      <c r="F23" s="13">
        <f>IF(('DAILY READINGS'!D28-'DAILY READINGS'!D27)&gt;0,('DAILY READINGS'!D28-'DAILY READINGS'!D27),0)</f>
        <v>67</v>
      </c>
      <c r="G23" s="13">
        <f>IF(('DAILY READINGS'!E28-'DAILY READINGS'!E27)&gt;0,('DAILY READINGS'!E28-'DAILY READINGS'!E27),0)</f>
        <v>105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18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0</v>
      </c>
      <c r="L23" s="13">
        <f>IF(('DAILY READINGS'!J28-'DAILY READINGS'!J27)&gt;0,('DAILY READINGS'!J28-'DAILY READINGS'!J27),0)</f>
        <v>47</v>
      </c>
      <c r="M23" s="13">
        <f>'DAILY READINGS'!K28</f>
        <v>88</v>
      </c>
      <c r="N23" s="8">
        <f>'DAILY READINGS'!L28</f>
        <v>71</v>
      </c>
    </row>
    <row r="24" spans="1:14">
      <c r="A24" s="8" t="s">
        <v>12</v>
      </c>
      <c r="B24" s="22">
        <f t="shared" si="0"/>
        <v>23</v>
      </c>
      <c r="C24" s="22">
        <v>2</v>
      </c>
      <c r="D24" s="22">
        <v>2022</v>
      </c>
      <c r="E24" s="13">
        <f>IF(('DAILY READINGS'!B29-'DAILY READINGS'!B28)&gt;0,('DAILY READINGS'!B29-'DAILY READINGS'!B28),0)</f>
        <v>5716</v>
      </c>
      <c r="F24" s="13">
        <f>IF(('DAILY READINGS'!D29-'DAILY READINGS'!D28)&gt;0,('DAILY READINGS'!D29-'DAILY READINGS'!D28),0)</f>
        <v>60</v>
      </c>
      <c r="G24" s="13">
        <f>IF(('DAILY READINGS'!E29-'DAILY READINGS'!E28)&gt;0,('DAILY READINGS'!E29-'DAILY READINGS'!E28),0)</f>
        <v>126</v>
      </c>
      <c r="H24" s="13">
        <f>IF(('DAILY READINGS'!F29-'DAILY READINGS'!F28)&gt;0,('DAILY READINGS'!F29-'DAILY READINGS'!F28),0)</f>
        <v>0</v>
      </c>
      <c r="I24" s="13">
        <f>IF(('DAILY READINGS'!G29-'DAILY READINGS'!G28)&gt;0,('DAILY READINGS'!G29-'DAILY READINGS'!G28),0)</f>
        <v>11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34</v>
      </c>
      <c r="M24" s="13">
        <f>'DAILY READINGS'!K29</f>
        <v>95</v>
      </c>
      <c r="N24" s="8">
        <f>'DAILY READINGS'!L29</f>
        <v>77</v>
      </c>
    </row>
    <row r="25" spans="1:14">
      <c r="A25" s="8" t="s">
        <v>12</v>
      </c>
      <c r="B25" s="22">
        <f t="shared" si="0"/>
        <v>24</v>
      </c>
      <c r="C25" s="22">
        <v>2</v>
      </c>
      <c r="D25" s="22">
        <v>2022</v>
      </c>
      <c r="E25" s="13">
        <f>IF(('DAILY READINGS'!B30-'DAILY READINGS'!B29)&gt;0,('DAILY READINGS'!B30-'DAILY READINGS'!B29),0)</f>
        <v>6112</v>
      </c>
      <c r="F25" s="13">
        <f>IF(('DAILY READINGS'!D30-'DAILY READINGS'!D29)&gt;0,('DAILY READINGS'!D30-'DAILY READINGS'!D29),0)</f>
        <v>67</v>
      </c>
      <c r="G25" s="13">
        <f>IF(('DAILY READINGS'!E30-'DAILY READINGS'!E29)&gt;0,('DAILY READINGS'!E30-'DAILY READINGS'!E29),0)</f>
        <v>114</v>
      </c>
      <c r="H25" s="13">
        <f>IF(('DAILY READINGS'!F30-'DAILY READINGS'!F29)&gt;0,('DAILY READINGS'!F30-'DAILY READINGS'!F29),0)</f>
        <v>1</v>
      </c>
      <c r="I25" s="13">
        <f>IF(('DAILY READINGS'!G30-'DAILY READINGS'!G29)&gt;0,('DAILY READINGS'!G30-'DAILY READINGS'!G29),0)</f>
        <v>20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47</v>
      </c>
      <c r="M25" s="13">
        <f>'DAILY READINGS'!K30</f>
        <v>109</v>
      </c>
      <c r="N25" s="8">
        <f>'DAILY READINGS'!L30</f>
        <v>95</v>
      </c>
    </row>
    <row r="26" spans="1:14">
      <c r="A26" s="8" t="s">
        <v>12</v>
      </c>
      <c r="B26" s="22">
        <f>B25+1</f>
        <v>25</v>
      </c>
      <c r="C26" s="22">
        <v>2</v>
      </c>
      <c r="D26" s="22">
        <v>2022</v>
      </c>
      <c r="E26" s="13">
        <f>IF(('DAILY READINGS'!B31-'DAILY READINGS'!B30)&gt;0,('DAILY READINGS'!B31-'DAILY READINGS'!B30),0)</f>
        <v>6038</v>
      </c>
      <c r="F26" s="13">
        <f>IF(('DAILY READINGS'!D31-'DAILY READINGS'!D30)&gt;0,('DAILY READINGS'!D31-'DAILY READINGS'!D30),0)</f>
        <v>62</v>
      </c>
      <c r="G26" s="13">
        <f>IF(('DAILY READINGS'!E31-'DAILY READINGS'!E30)&gt;0,('DAILY READINGS'!E31-'DAILY READINGS'!E30),0)</f>
        <v>114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16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38</v>
      </c>
      <c r="M26" s="13">
        <f>'DAILY READINGS'!K31</f>
        <v>102</v>
      </c>
      <c r="N26" s="8">
        <f>'DAILY READINGS'!L31</f>
        <v>81</v>
      </c>
    </row>
    <row r="27" spans="1:14">
      <c r="A27" s="8" t="s">
        <v>12</v>
      </c>
      <c r="B27" s="22">
        <f t="shared" si="0"/>
        <v>26</v>
      </c>
      <c r="C27" s="22">
        <v>2</v>
      </c>
      <c r="D27" s="22">
        <v>2022</v>
      </c>
      <c r="E27" s="13">
        <f>IF(('DAILY READINGS'!B32-'DAILY READINGS'!B31)&gt;0,('DAILY READINGS'!B32-'DAILY READINGS'!B31),0)</f>
        <v>6070</v>
      </c>
      <c r="F27" s="13">
        <f>IF(('DAILY READINGS'!D32-'DAILY READINGS'!D31)&gt;0,('DAILY READINGS'!D32-'DAILY READINGS'!D31),0)</f>
        <v>68</v>
      </c>
      <c r="G27" s="13">
        <f>IF(('DAILY READINGS'!E32-'DAILY READINGS'!E31)&gt;0,('DAILY READINGS'!E32-'DAILY READINGS'!E31),0)</f>
        <v>112</v>
      </c>
      <c r="H27" s="13">
        <f>IF(('DAILY READINGS'!F32-'DAILY READINGS'!F31)&gt;0,('DAILY READINGS'!F32-'DAILY READINGS'!F31),0)</f>
        <v>1</v>
      </c>
      <c r="I27" s="13">
        <f>IF(('DAILY READINGS'!G32-'DAILY READINGS'!G31)&gt;0,('DAILY READINGS'!G32-'DAILY READINGS'!G31),0)</f>
        <v>21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0</v>
      </c>
      <c r="L27" s="13">
        <f>IF(('DAILY READINGS'!J32-'DAILY READINGS'!J31)&gt;0,('DAILY READINGS'!J32-'DAILY READINGS'!J31),0)</f>
        <v>28</v>
      </c>
      <c r="M27" s="13">
        <f>'DAILY READINGS'!K32</f>
        <v>103</v>
      </c>
      <c r="N27" s="8">
        <f>'DAILY READINGS'!L32</f>
        <v>82</v>
      </c>
    </row>
    <row r="28" spans="1:14">
      <c r="A28" s="8" t="s">
        <v>12</v>
      </c>
      <c r="B28" s="22">
        <f t="shared" si="0"/>
        <v>27</v>
      </c>
      <c r="C28" s="22">
        <v>2</v>
      </c>
      <c r="D28" s="22">
        <v>2022</v>
      </c>
      <c r="E28" s="13">
        <f>IF(('DAILY READINGS'!B33-'DAILY READINGS'!B32)&gt;0,('DAILY READINGS'!B33-'DAILY READINGS'!B32),0)</f>
        <v>5754</v>
      </c>
      <c r="F28" s="13">
        <f>IF(('DAILY READINGS'!D33-'DAILY READINGS'!D32)&gt;0,('DAILY READINGS'!D33-'DAILY READINGS'!D32),0)</f>
        <v>62</v>
      </c>
      <c r="G28" s="13">
        <f>IF(('DAILY READINGS'!E33-'DAILY READINGS'!E32)&gt;0,('DAILY READINGS'!E33-'DAILY READINGS'!E32),0)</f>
        <v>105</v>
      </c>
      <c r="H28" s="13">
        <f>IF(('DAILY READINGS'!F33-'DAILY READINGS'!F32)&gt;0,('DAILY READINGS'!F33-'DAILY READINGS'!F32),0)</f>
        <v>1</v>
      </c>
      <c r="I28" s="13">
        <f>IF(('DAILY READINGS'!G33-'DAILY READINGS'!G32)&gt;0,('DAILY READINGS'!G33-'DAILY READINGS'!G32),0)</f>
        <v>10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32</v>
      </c>
      <c r="M28" s="13">
        <f>'DAILY READINGS'!K33</f>
        <v>107</v>
      </c>
      <c r="N28" s="8">
        <f>'DAILY READINGS'!L33</f>
        <v>85</v>
      </c>
    </row>
    <row r="29" spans="1:14">
      <c r="A29" s="8" t="s">
        <v>12</v>
      </c>
      <c r="B29" s="22">
        <f t="shared" si="0"/>
        <v>28</v>
      </c>
      <c r="C29" s="22">
        <v>2</v>
      </c>
      <c r="D29" s="22">
        <v>2022</v>
      </c>
      <c r="E29" s="13">
        <f>IF(('DAILY READINGS'!B34-'DAILY READINGS'!B33)&gt;0,('DAILY READINGS'!B34-'DAILY READINGS'!B33),0)</f>
        <v>6070</v>
      </c>
      <c r="F29" s="13">
        <f>IF(('DAILY READINGS'!D34-'DAILY READINGS'!D33)&gt;0,('DAILY READINGS'!D34-'DAILY READINGS'!D33),0)</f>
        <v>70</v>
      </c>
      <c r="G29" s="13">
        <f>IF(('DAILY READINGS'!E34-'DAILY READINGS'!E33)&gt;0,('DAILY READINGS'!E34-'DAILY READINGS'!E33),0)</f>
        <v>116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22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36</v>
      </c>
      <c r="M29" s="13">
        <f>'DAILY READINGS'!K34</f>
        <v>107</v>
      </c>
      <c r="N29" s="8">
        <f>'DAILY READINGS'!L34</f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38"/>
  <sheetViews>
    <sheetView tabSelected="1" topLeftCell="A20" workbookViewId="0">
      <selection activeCell="O33" sqref="O33"/>
    </sheetView>
  </sheetViews>
  <sheetFormatPr defaultColWidth="9.140625" defaultRowHeight="15"/>
  <cols>
    <col min="1" max="1" width="7.140625" customWidth="1"/>
    <col min="2" max="3" width="14.28515625" customWidth="1"/>
    <col min="4" max="6" width="11.42578125" customWidth="1"/>
    <col min="7" max="7" width="13.7109375" customWidth="1"/>
    <col min="8" max="8" width="13.140625" customWidth="1"/>
    <col min="9" max="10" width="11.42578125" customWidth="1"/>
  </cols>
  <sheetData>
    <row r="1" spans="1:12" ht="31.5">
      <c r="A1" t="s">
        <v>21</v>
      </c>
      <c r="C1" s="6" t="s">
        <v>22</v>
      </c>
    </row>
    <row r="3" spans="1:12">
      <c r="C3" s="2" t="s">
        <v>23</v>
      </c>
    </row>
    <row r="5" spans="1:12" ht="68.25">
      <c r="A5" s="3" t="s">
        <v>24</v>
      </c>
      <c r="B5" s="33" t="s">
        <v>25</v>
      </c>
      <c r="C5" s="34"/>
      <c r="D5" s="4" t="s">
        <v>14</v>
      </c>
      <c r="E5" s="4" t="s">
        <v>15</v>
      </c>
      <c r="F5" s="4" t="s">
        <v>16</v>
      </c>
      <c r="G5" s="4" t="s">
        <v>26</v>
      </c>
      <c r="H5" s="4" t="s">
        <v>27</v>
      </c>
      <c r="I5" s="4" t="s">
        <v>28</v>
      </c>
      <c r="J5" s="4" t="s">
        <v>20</v>
      </c>
      <c r="K5" s="4" t="s">
        <v>29</v>
      </c>
      <c r="L5" s="4" t="s">
        <v>11</v>
      </c>
    </row>
    <row r="6" spans="1:12">
      <c r="A6" s="3">
        <v>31</v>
      </c>
      <c r="B6" s="28">
        <f>1418888*2</f>
        <v>2837776</v>
      </c>
      <c r="C6" s="29">
        <v>47918</v>
      </c>
      <c r="D6" s="29">
        <v>13080</v>
      </c>
      <c r="E6" s="29">
        <v>22384</v>
      </c>
      <c r="F6" s="29">
        <v>6646</v>
      </c>
      <c r="G6" s="29">
        <v>67122</v>
      </c>
      <c r="H6" s="29">
        <v>49451</v>
      </c>
      <c r="I6" s="29">
        <v>45040</v>
      </c>
      <c r="J6" s="29">
        <v>45687</v>
      </c>
      <c r="K6" s="4"/>
      <c r="L6" s="4"/>
    </row>
    <row r="7" spans="1:12" ht="22.5" customHeight="1">
      <c r="A7" s="1">
        <v>1</v>
      </c>
      <c r="B7" s="25">
        <v>2842996</v>
      </c>
      <c r="C7" s="25">
        <v>479707</v>
      </c>
      <c r="D7" s="25">
        <v>13137</v>
      </c>
      <c r="E7" s="25">
        <v>22480</v>
      </c>
      <c r="F7" s="25">
        <v>6647</v>
      </c>
      <c r="G7" s="25">
        <v>67125</v>
      </c>
      <c r="H7" s="25">
        <v>49451</v>
      </c>
      <c r="I7" s="25">
        <v>45040</v>
      </c>
      <c r="J7" s="25">
        <v>45719</v>
      </c>
      <c r="K7" s="25">
        <v>22</v>
      </c>
      <c r="L7" s="25">
        <v>22</v>
      </c>
    </row>
    <row r="8" spans="1:12" ht="22.5" customHeight="1">
      <c r="A8" s="1">
        <v>2</v>
      </c>
      <c r="B8" s="25">
        <v>2847908</v>
      </c>
      <c r="C8" s="25">
        <v>480135</v>
      </c>
      <c r="D8" s="25">
        <v>13194</v>
      </c>
      <c r="E8" s="25">
        <v>22578</v>
      </c>
      <c r="F8" s="25">
        <v>6648</v>
      </c>
      <c r="G8" s="25">
        <v>67138</v>
      </c>
      <c r="H8" s="25">
        <v>49451</v>
      </c>
      <c r="I8" s="25">
        <v>45040</v>
      </c>
      <c r="J8" s="25">
        <v>45739</v>
      </c>
      <c r="K8" s="25">
        <v>23</v>
      </c>
      <c r="L8" s="25">
        <v>23</v>
      </c>
    </row>
    <row r="9" spans="1:12" ht="22.5" customHeight="1">
      <c r="A9" s="1">
        <v>3</v>
      </c>
      <c r="B9" s="25">
        <v>2852908</v>
      </c>
      <c r="C9" s="25">
        <v>480608</v>
      </c>
      <c r="D9" s="25">
        <v>13250</v>
      </c>
      <c r="E9" s="25">
        <v>22677</v>
      </c>
      <c r="F9" s="25">
        <v>6649</v>
      </c>
      <c r="G9" s="25">
        <v>67142</v>
      </c>
      <c r="H9" s="25">
        <v>49452</v>
      </c>
      <c r="I9" s="25">
        <v>45040</v>
      </c>
      <c r="J9" s="25">
        <v>45747</v>
      </c>
      <c r="K9" s="25">
        <v>22</v>
      </c>
      <c r="L9" s="25">
        <v>22</v>
      </c>
    </row>
    <row r="10" spans="1:12" ht="22.5" customHeight="1">
      <c r="A10" s="1">
        <v>4</v>
      </c>
      <c r="B10" s="25">
        <v>2857746</v>
      </c>
      <c r="C10" s="25">
        <v>480930</v>
      </c>
      <c r="D10" s="25">
        <v>13346</v>
      </c>
      <c r="E10" s="25">
        <v>22776</v>
      </c>
      <c r="F10" s="25">
        <v>6650</v>
      </c>
      <c r="G10" s="25">
        <v>67150</v>
      </c>
      <c r="H10" s="25">
        <v>49452</v>
      </c>
      <c r="I10" s="25">
        <v>45040</v>
      </c>
      <c r="J10" s="25">
        <v>45884</v>
      </c>
      <c r="K10" s="25">
        <v>23</v>
      </c>
      <c r="L10" s="25">
        <v>22</v>
      </c>
    </row>
    <row r="11" spans="1:12" ht="22.5" customHeight="1">
      <c r="A11" s="1">
        <v>5</v>
      </c>
      <c r="B11" s="25">
        <v>2861972</v>
      </c>
      <c r="C11" s="25">
        <v>481214</v>
      </c>
      <c r="D11" s="25">
        <v>13384</v>
      </c>
      <c r="E11" s="25">
        <v>22870</v>
      </c>
      <c r="F11" s="25">
        <v>6651</v>
      </c>
      <c r="G11" s="25">
        <v>67200</v>
      </c>
      <c r="H11" s="25">
        <v>49451</v>
      </c>
      <c r="I11" s="25">
        <v>45040</v>
      </c>
      <c r="J11" s="25">
        <v>45924</v>
      </c>
      <c r="K11" s="25">
        <v>21</v>
      </c>
      <c r="L11" s="25">
        <v>24</v>
      </c>
    </row>
    <row r="12" spans="1:12" ht="22.5" customHeight="1">
      <c r="A12" s="1">
        <v>6</v>
      </c>
      <c r="B12" s="25">
        <v>2866294</v>
      </c>
      <c r="C12" s="25">
        <v>481517</v>
      </c>
      <c r="D12" s="25">
        <v>13441</v>
      </c>
      <c r="E12" s="25">
        <v>22974</v>
      </c>
      <c r="F12" s="25">
        <v>6652</v>
      </c>
      <c r="G12" s="25">
        <v>67205</v>
      </c>
      <c r="H12" s="25">
        <v>49451</v>
      </c>
      <c r="I12" s="25">
        <v>45040</v>
      </c>
      <c r="J12" s="25">
        <v>45943</v>
      </c>
      <c r="K12" s="25">
        <v>24</v>
      </c>
      <c r="L12" s="25">
        <v>38</v>
      </c>
    </row>
    <row r="13" spans="1:12" ht="22.5" customHeight="1">
      <c r="A13" s="1">
        <v>7</v>
      </c>
      <c r="B13" s="25">
        <v>2870872</v>
      </c>
      <c r="C13" s="25">
        <v>481856</v>
      </c>
      <c r="D13" s="25">
        <v>13493</v>
      </c>
      <c r="E13" s="25">
        <v>23070</v>
      </c>
      <c r="F13" s="25">
        <v>6652</v>
      </c>
      <c r="G13" s="25">
        <v>67215</v>
      </c>
      <c r="H13" s="25">
        <v>49451</v>
      </c>
      <c r="I13" s="25">
        <v>45040</v>
      </c>
      <c r="J13" s="25">
        <v>45965</v>
      </c>
      <c r="K13" s="25">
        <v>33</v>
      </c>
      <c r="L13" s="25">
        <v>42</v>
      </c>
    </row>
    <row r="14" spans="1:12" ht="22.5" customHeight="1">
      <c r="A14" s="1">
        <v>8</v>
      </c>
      <c r="B14" s="25">
        <v>2875862</v>
      </c>
      <c r="C14" s="25">
        <v>482268</v>
      </c>
      <c r="D14" s="25">
        <v>13548</v>
      </c>
      <c r="E14" s="25">
        <v>23168</v>
      </c>
      <c r="F14" s="25">
        <v>6654</v>
      </c>
      <c r="G14" s="25">
        <v>67220</v>
      </c>
      <c r="H14" s="25">
        <v>49451</v>
      </c>
      <c r="I14" s="25">
        <v>45040</v>
      </c>
      <c r="J14" s="25">
        <v>45993</v>
      </c>
      <c r="K14" s="25">
        <v>35</v>
      </c>
      <c r="L14" s="25">
        <v>50</v>
      </c>
    </row>
    <row r="15" spans="1:12" ht="22.5" customHeight="1">
      <c r="A15" s="1">
        <v>9</v>
      </c>
      <c r="B15" s="25">
        <v>2880862</v>
      </c>
      <c r="C15" s="25">
        <v>482688</v>
      </c>
      <c r="D15" s="25">
        <v>13601</v>
      </c>
      <c r="E15" s="25">
        <v>23274</v>
      </c>
      <c r="F15" s="25">
        <v>6654</v>
      </c>
      <c r="G15" s="25">
        <v>67235</v>
      </c>
      <c r="H15" s="25">
        <v>49451</v>
      </c>
      <c r="I15" s="25">
        <v>45040</v>
      </c>
      <c r="J15" s="25">
        <v>46016</v>
      </c>
      <c r="K15" s="25">
        <v>43</v>
      </c>
      <c r="L15" s="25">
        <v>49</v>
      </c>
    </row>
    <row r="16" spans="1:12" ht="22.5" customHeight="1">
      <c r="A16" s="1">
        <v>10</v>
      </c>
      <c r="B16" s="25">
        <v>2886040</v>
      </c>
      <c r="C16" s="25">
        <v>490026</v>
      </c>
      <c r="D16" s="25">
        <v>13659</v>
      </c>
      <c r="E16" s="25">
        <v>23394</v>
      </c>
      <c r="F16" s="25">
        <v>6654</v>
      </c>
      <c r="G16" s="25">
        <v>67241</v>
      </c>
      <c r="H16" s="25">
        <v>49451</v>
      </c>
      <c r="I16" s="25">
        <v>45040</v>
      </c>
      <c r="J16" s="25">
        <v>46049</v>
      </c>
      <c r="K16" s="25">
        <v>44</v>
      </c>
      <c r="L16" s="25">
        <v>41</v>
      </c>
    </row>
    <row r="17" spans="1:12" ht="22.5" customHeight="1">
      <c r="A17" s="1">
        <v>11</v>
      </c>
      <c r="B17" s="25">
        <v>2890018</v>
      </c>
      <c r="C17" s="1">
        <v>483363</v>
      </c>
      <c r="D17" s="3">
        <v>13714</v>
      </c>
      <c r="E17" s="3">
        <v>23471</v>
      </c>
      <c r="F17" s="3">
        <v>6655</v>
      </c>
      <c r="G17" s="3">
        <v>67243</v>
      </c>
      <c r="H17" s="25">
        <v>49451</v>
      </c>
      <c r="I17" s="25">
        <v>45042</v>
      </c>
      <c r="J17" s="3">
        <v>46070</v>
      </c>
      <c r="K17" s="25">
        <v>35</v>
      </c>
      <c r="L17" s="25">
        <v>36</v>
      </c>
    </row>
    <row r="18" spans="1:12" ht="22.5" customHeight="1">
      <c r="A18" s="1">
        <v>12</v>
      </c>
      <c r="B18" s="25">
        <v>2894764</v>
      </c>
      <c r="C18" s="1">
        <v>483734</v>
      </c>
      <c r="D18" s="3">
        <v>13773</v>
      </c>
      <c r="E18" s="3">
        <v>23564</v>
      </c>
      <c r="F18" s="3">
        <v>6655</v>
      </c>
      <c r="G18" s="3">
        <v>67252</v>
      </c>
      <c r="H18" s="25">
        <v>49451</v>
      </c>
      <c r="I18" s="25">
        <v>45042</v>
      </c>
      <c r="J18" s="3">
        <v>46095</v>
      </c>
      <c r="K18" s="25">
        <v>40</v>
      </c>
      <c r="L18" s="25">
        <v>41</v>
      </c>
    </row>
    <row r="19" spans="1:12" ht="22.5" customHeight="1">
      <c r="A19" s="1">
        <v>13</v>
      </c>
      <c r="B19" s="25">
        <v>2899092</v>
      </c>
      <c r="C19" s="1">
        <v>484060</v>
      </c>
      <c r="D19" s="3">
        <v>13826</v>
      </c>
      <c r="E19" s="3">
        <v>23656</v>
      </c>
      <c r="F19" s="3">
        <v>6658</v>
      </c>
      <c r="G19" s="3">
        <v>67266</v>
      </c>
      <c r="H19" s="25">
        <v>49451</v>
      </c>
      <c r="I19" s="3">
        <v>45042</v>
      </c>
      <c r="J19" s="3">
        <v>46117</v>
      </c>
      <c r="K19" s="25">
        <v>41</v>
      </c>
      <c r="L19" s="25">
        <v>43</v>
      </c>
    </row>
    <row r="20" spans="1:12" ht="22.5" customHeight="1">
      <c r="A20" s="1">
        <v>14</v>
      </c>
      <c r="B20" s="25">
        <v>2905578</v>
      </c>
      <c r="C20" s="1">
        <v>484356</v>
      </c>
      <c r="D20" s="3">
        <v>13883</v>
      </c>
      <c r="E20" s="3">
        <v>23751</v>
      </c>
      <c r="F20" s="3">
        <v>6658</v>
      </c>
      <c r="G20" s="3">
        <v>67276</v>
      </c>
      <c r="H20" s="25">
        <v>49451</v>
      </c>
      <c r="I20" s="3">
        <v>45042</v>
      </c>
      <c r="J20" s="3">
        <v>46133</v>
      </c>
      <c r="K20" s="25">
        <v>49</v>
      </c>
      <c r="L20" s="25">
        <v>51</v>
      </c>
    </row>
    <row r="21" spans="1:12" ht="22.5" customHeight="1">
      <c r="A21" s="1">
        <v>15</v>
      </c>
      <c r="B21" s="25">
        <v>2908182</v>
      </c>
      <c r="C21" s="1">
        <v>484669</v>
      </c>
      <c r="D21" s="3">
        <v>13941</v>
      </c>
      <c r="E21" s="3">
        <v>23849</v>
      </c>
      <c r="F21" s="3">
        <v>6659</v>
      </c>
      <c r="G21" s="3">
        <v>67285</v>
      </c>
      <c r="H21" s="25">
        <v>49451</v>
      </c>
      <c r="I21" s="3">
        <v>45043</v>
      </c>
      <c r="J21" s="3">
        <v>46173</v>
      </c>
      <c r="K21" s="25">
        <v>56</v>
      </c>
      <c r="L21" s="25">
        <v>58</v>
      </c>
    </row>
    <row r="22" spans="1:12" ht="22.5" customHeight="1">
      <c r="A22" s="1">
        <v>16</v>
      </c>
      <c r="B22" s="25">
        <v>2913228</v>
      </c>
      <c r="C22" s="1">
        <v>485057</v>
      </c>
      <c r="D22" s="3">
        <v>14002</v>
      </c>
      <c r="E22" s="3">
        <v>23950</v>
      </c>
      <c r="F22" s="3">
        <v>6660</v>
      </c>
      <c r="G22" s="3">
        <v>67317</v>
      </c>
      <c r="H22" s="3">
        <v>49451</v>
      </c>
      <c r="I22" s="3">
        <v>45043</v>
      </c>
      <c r="J22" s="3">
        <v>46190</v>
      </c>
      <c r="K22" s="25">
        <v>56</v>
      </c>
      <c r="L22" s="25">
        <v>57</v>
      </c>
    </row>
    <row r="23" spans="1:12" ht="22.5" customHeight="1">
      <c r="A23" s="1">
        <v>17</v>
      </c>
      <c r="B23" s="25">
        <v>2917971</v>
      </c>
      <c r="C23" s="1">
        <v>485409</v>
      </c>
      <c r="D23" s="3">
        <v>14059</v>
      </c>
      <c r="E23" s="3">
        <v>24052</v>
      </c>
      <c r="F23" s="3">
        <v>6661</v>
      </c>
      <c r="G23" s="3">
        <v>67354</v>
      </c>
      <c r="H23" s="3">
        <v>49451</v>
      </c>
      <c r="I23" s="3">
        <v>45043</v>
      </c>
      <c r="J23" s="3">
        <v>46222</v>
      </c>
      <c r="K23" s="25">
        <v>55</v>
      </c>
      <c r="L23" s="25">
        <v>56</v>
      </c>
    </row>
    <row r="24" spans="1:12" ht="22.5" customHeight="1">
      <c r="A24" s="1">
        <v>18</v>
      </c>
      <c r="B24" s="25">
        <v>2927290</v>
      </c>
      <c r="C24" s="1">
        <v>486009</v>
      </c>
      <c r="D24" s="3">
        <v>14180</v>
      </c>
      <c r="E24" s="3">
        <v>24246</v>
      </c>
      <c r="F24" s="24">
        <v>6663</v>
      </c>
      <c r="G24" s="3">
        <v>67388</v>
      </c>
      <c r="H24" s="3">
        <v>49451</v>
      </c>
      <c r="I24" s="3">
        <v>45043</v>
      </c>
      <c r="J24" s="3">
        <v>46273</v>
      </c>
      <c r="K24" s="25">
        <v>53</v>
      </c>
      <c r="L24" s="25">
        <v>54</v>
      </c>
    </row>
    <row r="25" spans="1:12" ht="22.5" customHeight="1">
      <c r="A25" s="1">
        <v>19</v>
      </c>
      <c r="B25" s="25">
        <v>2932078</v>
      </c>
      <c r="C25" s="1">
        <v>486288</v>
      </c>
      <c r="D25" s="3">
        <v>14241</v>
      </c>
      <c r="E25" s="3">
        <v>24353</v>
      </c>
      <c r="F25" s="3">
        <v>6664</v>
      </c>
      <c r="G25" s="3">
        <v>67413</v>
      </c>
      <c r="H25" s="3">
        <v>49451</v>
      </c>
      <c r="I25" s="3">
        <v>45043</v>
      </c>
      <c r="J25" s="3">
        <v>46302</v>
      </c>
      <c r="K25" s="25">
        <v>42</v>
      </c>
      <c r="L25" s="25">
        <v>45</v>
      </c>
    </row>
    <row r="26" spans="1:12" ht="22.5" customHeight="1">
      <c r="A26" s="1">
        <v>20</v>
      </c>
      <c r="B26" s="25">
        <v>2932078</v>
      </c>
      <c r="C26" s="1">
        <v>486288</v>
      </c>
      <c r="D26" s="3">
        <v>14241</v>
      </c>
      <c r="E26" s="3">
        <v>24353</v>
      </c>
      <c r="F26" s="3">
        <v>6664</v>
      </c>
      <c r="G26" s="3">
        <v>67413</v>
      </c>
      <c r="H26" s="3">
        <v>49451</v>
      </c>
      <c r="I26" s="3">
        <v>45043</v>
      </c>
      <c r="J26" s="3">
        <v>46302</v>
      </c>
      <c r="K26" s="25">
        <v>39</v>
      </c>
      <c r="L26" s="25">
        <v>42</v>
      </c>
    </row>
    <row r="27" spans="1:12" ht="22.5" customHeight="1">
      <c r="A27" s="1">
        <v>21</v>
      </c>
      <c r="B27" s="25">
        <v>2937060</v>
      </c>
      <c r="C27" s="1">
        <v>486578</v>
      </c>
      <c r="D27" s="3">
        <v>14301</v>
      </c>
      <c r="E27" s="3">
        <v>24457</v>
      </c>
      <c r="F27" s="3">
        <v>6665</v>
      </c>
      <c r="G27" s="3">
        <v>67426</v>
      </c>
      <c r="H27" s="3">
        <v>49451</v>
      </c>
      <c r="I27" s="3">
        <v>45043</v>
      </c>
      <c r="J27" s="3">
        <v>46327</v>
      </c>
      <c r="K27" s="25">
        <v>82</v>
      </c>
      <c r="L27" s="25">
        <v>66</v>
      </c>
    </row>
    <row r="28" spans="1:12" ht="22.5" customHeight="1">
      <c r="A28" s="1">
        <v>22</v>
      </c>
      <c r="B28" s="25">
        <v>2943750</v>
      </c>
      <c r="C28" s="1">
        <v>487089</v>
      </c>
      <c r="D28" s="3">
        <v>14368</v>
      </c>
      <c r="E28" s="3">
        <v>24562</v>
      </c>
      <c r="F28" s="3">
        <v>6666</v>
      </c>
      <c r="G28" s="3">
        <v>67444</v>
      </c>
      <c r="H28" s="3">
        <v>49451</v>
      </c>
      <c r="I28" s="3">
        <v>45043</v>
      </c>
      <c r="J28" s="3">
        <v>46374</v>
      </c>
      <c r="K28" s="25">
        <v>88</v>
      </c>
      <c r="L28" s="25">
        <v>71</v>
      </c>
    </row>
    <row r="29" spans="1:12" ht="22.5" customHeight="1">
      <c r="A29" s="1">
        <v>23</v>
      </c>
      <c r="B29" s="25">
        <v>2949466</v>
      </c>
      <c r="C29" s="1">
        <v>487565</v>
      </c>
      <c r="D29" s="3">
        <v>14428</v>
      </c>
      <c r="E29" s="3">
        <v>24688</v>
      </c>
      <c r="F29" s="3">
        <v>6666</v>
      </c>
      <c r="G29" s="3">
        <v>67455</v>
      </c>
      <c r="H29" s="3">
        <v>49451</v>
      </c>
      <c r="I29" s="3">
        <v>45043</v>
      </c>
      <c r="J29" s="3">
        <v>46408</v>
      </c>
      <c r="K29" s="25">
        <v>95</v>
      </c>
      <c r="L29" s="25">
        <v>77</v>
      </c>
    </row>
    <row r="30" spans="1:12" ht="22.5" customHeight="1">
      <c r="A30" s="1">
        <v>24</v>
      </c>
      <c r="B30" s="25">
        <v>2955578</v>
      </c>
      <c r="C30" s="1">
        <v>488041</v>
      </c>
      <c r="D30" s="3">
        <v>14495</v>
      </c>
      <c r="E30" s="3">
        <v>24802</v>
      </c>
      <c r="F30" s="3">
        <v>6667</v>
      </c>
      <c r="G30" s="3">
        <v>67475</v>
      </c>
      <c r="H30" s="3">
        <v>49451</v>
      </c>
      <c r="I30" s="3">
        <v>45043</v>
      </c>
      <c r="J30" s="3">
        <v>46455</v>
      </c>
      <c r="K30" s="25">
        <v>109</v>
      </c>
      <c r="L30" s="25">
        <v>95</v>
      </c>
    </row>
    <row r="31" spans="1:12" ht="22.5" customHeight="1">
      <c r="A31" s="1">
        <v>25</v>
      </c>
      <c r="B31" s="25">
        <v>2961616</v>
      </c>
      <c r="C31" s="1">
        <v>488508</v>
      </c>
      <c r="D31" s="3">
        <v>14557</v>
      </c>
      <c r="E31" s="3">
        <v>24916</v>
      </c>
      <c r="F31" s="3">
        <v>6668</v>
      </c>
      <c r="G31" s="3">
        <v>67491</v>
      </c>
      <c r="H31" s="3">
        <v>49451</v>
      </c>
      <c r="I31" s="3">
        <v>45043</v>
      </c>
      <c r="J31" s="3">
        <v>46493</v>
      </c>
      <c r="K31" s="25">
        <v>102</v>
      </c>
      <c r="L31" s="25">
        <v>81</v>
      </c>
    </row>
    <row r="32" spans="1:12" ht="22.5" customHeight="1">
      <c r="A32" s="1">
        <v>26</v>
      </c>
      <c r="B32" s="25">
        <v>2967686</v>
      </c>
      <c r="C32" s="1">
        <v>489028</v>
      </c>
      <c r="D32" s="3">
        <v>14625</v>
      </c>
      <c r="E32" s="3">
        <v>25028</v>
      </c>
      <c r="F32" s="3">
        <v>6669</v>
      </c>
      <c r="G32" s="3">
        <v>67512</v>
      </c>
      <c r="H32" s="3">
        <v>49451</v>
      </c>
      <c r="I32" s="3">
        <v>45043</v>
      </c>
      <c r="J32" s="3">
        <v>46521</v>
      </c>
      <c r="K32" s="25">
        <v>103</v>
      </c>
      <c r="L32" s="25">
        <v>82</v>
      </c>
    </row>
    <row r="33" spans="1:12" ht="22.5" customHeight="1">
      <c r="A33" s="1">
        <v>27</v>
      </c>
      <c r="B33" s="25">
        <v>2973440</v>
      </c>
      <c r="C33" s="1">
        <v>489538</v>
      </c>
      <c r="D33" s="3">
        <v>14687</v>
      </c>
      <c r="E33" s="3">
        <v>25133</v>
      </c>
      <c r="F33" s="3">
        <v>6670</v>
      </c>
      <c r="G33" s="3">
        <v>67522</v>
      </c>
      <c r="H33" s="3">
        <v>49451</v>
      </c>
      <c r="I33" s="3">
        <v>45043</v>
      </c>
      <c r="J33" s="3">
        <v>46553</v>
      </c>
      <c r="K33" s="25">
        <v>107</v>
      </c>
      <c r="L33" s="25">
        <v>85</v>
      </c>
    </row>
    <row r="34" spans="1:12" ht="22.5" customHeight="1">
      <c r="A34" s="1">
        <v>28</v>
      </c>
      <c r="B34" s="25">
        <v>2979510</v>
      </c>
      <c r="C34" s="3">
        <v>490057</v>
      </c>
      <c r="D34" s="3">
        <v>14757</v>
      </c>
      <c r="E34" s="3">
        <v>25249</v>
      </c>
      <c r="F34" s="3">
        <v>6671</v>
      </c>
      <c r="G34" s="3">
        <v>67544</v>
      </c>
      <c r="H34" s="3">
        <v>49451</v>
      </c>
      <c r="I34" s="3">
        <v>45043</v>
      </c>
      <c r="J34" s="3">
        <v>46589</v>
      </c>
      <c r="K34" s="25">
        <v>107</v>
      </c>
      <c r="L34" s="25">
        <v>86</v>
      </c>
    </row>
    <row r="35" spans="1:12">
      <c r="A35" s="5" t="s">
        <v>30</v>
      </c>
      <c r="B35" s="26">
        <f>B34-B6</f>
        <v>141734</v>
      </c>
      <c r="C35" s="26">
        <f>C36</f>
        <v>0</v>
      </c>
      <c r="D35" s="26">
        <f t="shared" ref="C35:J35" si="0">D34-D6</f>
        <v>1677</v>
      </c>
      <c r="E35" s="26">
        <f t="shared" si="0"/>
        <v>2865</v>
      </c>
      <c r="F35" s="26">
        <f t="shared" si="0"/>
        <v>25</v>
      </c>
      <c r="G35" s="26">
        <f t="shared" si="0"/>
        <v>422</v>
      </c>
      <c r="H35" s="26">
        <f t="shared" si="0"/>
        <v>0</v>
      </c>
      <c r="I35" s="26">
        <f t="shared" si="0"/>
        <v>3</v>
      </c>
      <c r="J35" s="26">
        <f t="shared" si="0"/>
        <v>902</v>
      </c>
      <c r="K35" s="3">
        <f>SUM(K7:K34)</f>
        <v>1549</v>
      </c>
      <c r="L35" s="3">
        <f>SUM(L7:L34)</f>
        <v>1459</v>
      </c>
    </row>
    <row r="36" spans="1:12" ht="22.5" customHeight="1">
      <c r="A36" s="1" t="s">
        <v>31</v>
      </c>
      <c r="B36" s="27">
        <f>B35</f>
        <v>141734</v>
      </c>
      <c r="C36" s="7"/>
      <c r="D36" s="30">
        <f>D35+E35</f>
        <v>4542</v>
      </c>
      <c r="E36" s="31"/>
      <c r="F36" s="30">
        <f>F35+G35+H35+I35+J35</f>
        <v>1352</v>
      </c>
      <c r="G36" s="32"/>
      <c r="H36" s="32"/>
      <c r="I36" s="32"/>
      <c r="J36" s="31"/>
    </row>
    <row r="38" spans="1:12" ht="22.5" customHeight="1"/>
  </sheetData>
  <mergeCells count="3">
    <mergeCell ref="D36:E36"/>
    <mergeCell ref="F36:J36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B7B61178-4FE2-4197-9985-9229B9EF3F1E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Gaya Lo Po</cp:lastModifiedBy>
  <cp:revision/>
  <dcterms:created xsi:type="dcterms:W3CDTF">2021-06-27T18:11:07Z</dcterms:created>
  <dcterms:modified xsi:type="dcterms:W3CDTF">2022-03-01T10:32:12Z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