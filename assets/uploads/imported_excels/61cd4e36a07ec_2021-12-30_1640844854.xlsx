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5" i="4" l="1"/>
  <c r="J366" i="4"/>
  <c r="J367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I367" i="4"/>
  <c r="S366" i="4"/>
  <c r="R366" i="4"/>
  <c r="O366" i="4"/>
  <c r="L366" i="4"/>
  <c r="M366" i="4" s="1"/>
  <c r="K366" i="4"/>
  <c r="I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4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4" i="1" s="1"/>
  <c r="K346" i="3"/>
  <c r="I346" i="3"/>
  <c r="H346" i="3"/>
  <c r="L345" i="3"/>
  <c r="I343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E339" i="1"/>
  <c r="E366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E341" i="1"/>
  <c r="E343" i="1"/>
  <c r="E345" i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E358" i="1"/>
  <c r="E363" i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E352" i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E308" i="1"/>
  <c r="E322" i="1"/>
  <c r="E327" i="1"/>
  <c r="E337" i="1"/>
  <c r="E342" i="1"/>
  <c r="E351" i="1"/>
  <c r="E355" i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E365" i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E10" i="1"/>
  <c r="E128" i="1"/>
  <c r="E359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Q346" i="3"/>
  <c r="Q349" i="3"/>
  <c r="Q352" i="3"/>
  <c r="I350" i="1"/>
  <c r="M363" i="3"/>
  <c r="G361" i="1" s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<sst xmlns="http://schemas.openxmlformats.org/spreadsheetml/2006/main" count="608" uniqueCount="78">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</sst>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31" workbookViewId="0">
      <selection activeCell="P354" sqref="P35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14.15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14.15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14.15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14.15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14.15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14.15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14.15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14.15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14.15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14.15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14.15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14.15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14.15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14.15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14.15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14.15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14.15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14.15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14.15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14.15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14.15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14.15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14.15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14.15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14.15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14.15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14.15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14.15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14.15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14.15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14.95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14.95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14.95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14.95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14.95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14.95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14.95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14.95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14.95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14.95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14.95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14.95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14.95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14.95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14.95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14.95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14.95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14.95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14.95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14.95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14.95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14.95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14.95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14.95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14.95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14.95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14.95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14.95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14.95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14.95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14.95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1.1599999999999999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14.95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1.1599999999999999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14.95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1.1599999999999999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14.95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1.1599999999999999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14.95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1.1599999999999999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14.95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1.1599999999999999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14.95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1.1599999999999999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14.95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1.1599999999999999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14.95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1.1599999999999999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14.95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1.1599999999999999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14.95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1.1599999999999999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14.95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1.1599999999999999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14.95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1.1599999999999999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14.95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1.1599999999999999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14.95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1.1599999999999999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14.95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1.1599999999999999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14.95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1.1599999999999999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14.95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1.1599999999999999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14.95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1.1599999999999999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14.95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1.1599999999999999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14.95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1.1599999999999999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14.95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1.1599999999999999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14.95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1.1599999999999999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14.95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53">
        <v>1.1599999999999999</v>
      </c>
      <c r="G329" s="4">
        <f>'Gas Water'!M331</f>
        <v>2248</v>
      </c>
      <c r="H329" s="153">
        <v>3.85</v>
      </c>
      <c r="I329" s="2">
        <f>'Gas Water'!L331</f>
        <v>286</v>
      </c>
      <c r="J329" s="153">
        <v>14.95</v>
      </c>
      <c r="K329" s="5">
        <v>138</v>
      </c>
      <c r="L329" s="5">
        <v>229</v>
      </c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53">
        <v>1.1599999999999999</v>
      </c>
      <c r="G330" s="4">
        <f>'Gas Water'!M332</f>
        <v>2253</v>
      </c>
      <c r="H330" s="153">
        <v>3.85</v>
      </c>
      <c r="I330" s="2">
        <f>'Gas Water'!L332</f>
        <v>159</v>
      </c>
      <c r="J330" s="153">
        <v>14.95</v>
      </c>
      <c r="K330" s="5">
        <v>147</v>
      </c>
      <c r="L330" s="5">
        <v>271</v>
      </c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53">
        <v>1.1599999999999999</v>
      </c>
      <c r="G331" s="4">
        <f>'Gas Water'!M333</f>
        <v>1849</v>
      </c>
      <c r="H331" s="153">
        <v>3.85</v>
      </c>
      <c r="I331" s="2">
        <f>'Gas Water'!L333</f>
        <v>181</v>
      </c>
      <c r="J331" s="153">
        <v>14.95</v>
      </c>
      <c r="K331" s="5">
        <v>136</v>
      </c>
      <c r="L331" s="5">
        <v>265</v>
      </c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>
        <f>'Electricity '!I333+'Electricity '!O333</f>
        <v>22749.299999999548</v>
      </c>
      <c r="F332" s="153">
        <v>1.1599999999999999</v>
      </c>
      <c r="G332" s="4">
        <f>'Gas Water'!M334</f>
        <v>1632</v>
      </c>
      <c r="H332" s="153">
        <v>3.85</v>
      </c>
      <c r="I332" s="2">
        <f>'Gas Water'!L334</f>
        <v>219</v>
      </c>
      <c r="J332" s="153">
        <v>14.95</v>
      </c>
      <c r="K332" s="5">
        <v>141</v>
      </c>
      <c r="L332" s="5">
        <v>280</v>
      </c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>
        <f>'Electricity '!I334+'Electricity '!O334</f>
        <v>23573.159999999836</v>
      </c>
      <c r="F333" s="153">
        <v>1.1599999999999999</v>
      </c>
      <c r="G333" s="4">
        <f>'Gas Water'!M335</f>
        <v>1526</v>
      </c>
      <c r="H333" s="153">
        <v>3.85</v>
      </c>
      <c r="I333" s="2">
        <f>'Gas Water'!L335</f>
        <v>184</v>
      </c>
      <c r="J333" s="153">
        <v>14.95</v>
      </c>
      <c r="K333" s="5">
        <v>111</v>
      </c>
      <c r="L333" s="5">
        <v>206</v>
      </c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>
        <f>'Electricity '!I335+'Electricity '!O335</f>
        <v>19391.760000000813</v>
      </c>
      <c r="F334" s="153">
        <v>1.1599999999999999</v>
      </c>
      <c r="G334" s="4">
        <f>'Gas Water'!M336</f>
        <v>1550</v>
      </c>
      <c r="H334" s="153">
        <v>3.85</v>
      </c>
      <c r="I334" s="2">
        <f>'Gas Water'!L336</f>
        <v>145</v>
      </c>
      <c r="J334" s="153">
        <v>14.95</v>
      </c>
      <c r="K334" s="5">
        <v>86</v>
      </c>
      <c r="L334" s="5">
        <v>164</v>
      </c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>
        <f>'Electricity '!I336+'Electricity '!O336</f>
        <v>21565.259999999307</v>
      </c>
      <c r="F335" s="153">
        <v>1.1599999999999999</v>
      </c>
      <c r="G335" s="4">
        <f>'Gas Water'!M337</f>
        <v>2192</v>
      </c>
      <c r="H335" s="153">
        <v>3.85</v>
      </c>
      <c r="I335" s="2">
        <f>'Gas Water'!L337</f>
        <v>178</v>
      </c>
      <c r="J335" s="153">
        <v>14.95</v>
      </c>
      <c r="K335" s="5">
        <v>98</v>
      </c>
      <c r="L335" s="5">
        <v>184</v>
      </c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>
        <f>'Electricity '!I337+'Electricity '!O337</f>
        <v>20911.140000000654</v>
      </c>
      <c r="F336" s="153">
        <v>1.1599999999999999</v>
      </c>
      <c r="G336" s="4">
        <f>'Gas Water'!M338</f>
        <v>2217</v>
      </c>
      <c r="H336" s="153">
        <v>3.85</v>
      </c>
      <c r="I336" s="2">
        <f>'Gas Water'!L338</f>
        <v>189</v>
      </c>
      <c r="J336" s="153">
        <v>14.95</v>
      </c>
      <c r="K336" s="5">
        <v>95</v>
      </c>
      <c r="L336" s="5">
        <v>169</v>
      </c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>
        <f>'Electricity '!I338+'Electricity '!O338</f>
        <v>23366.160000000022</v>
      </c>
      <c r="F337" s="153">
        <v>1.1599999999999999</v>
      </c>
      <c r="G337" s="4">
        <f>'Gas Water'!M339</f>
        <v>1907</v>
      </c>
      <c r="H337" s="153">
        <v>3.85</v>
      </c>
      <c r="I337" s="2">
        <f>'Gas Water'!L339</f>
        <v>166</v>
      </c>
      <c r="J337" s="153">
        <v>14.95</v>
      </c>
      <c r="K337" s="5">
        <v>111</v>
      </c>
      <c r="L337" s="5">
        <v>192</v>
      </c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>
        <f>'Electricity '!I339+'Electricity '!O339</f>
        <v>24152.759999999307</v>
      </c>
      <c r="F338" s="153">
        <v>1.1599999999999999</v>
      </c>
      <c r="G338" s="4">
        <f>'Gas Water'!M340</f>
        <v>1777</v>
      </c>
      <c r="H338" s="153">
        <v>3.85</v>
      </c>
      <c r="I338" s="2">
        <f>'Gas Water'!L340</f>
        <v>168</v>
      </c>
      <c r="J338" s="153">
        <v>14.95</v>
      </c>
      <c r="K338" s="5">
        <v>129</v>
      </c>
      <c r="L338" s="5">
        <v>203</v>
      </c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>
        <f>'Electricity '!I340+'Electricity '!O340</f>
        <v>23175.720000000762</v>
      </c>
      <c r="F339" s="153">
        <v>1.1599999999999999</v>
      </c>
      <c r="G339" s="4">
        <f>'Gas Water'!M341</f>
        <v>2070</v>
      </c>
      <c r="H339" s="153">
        <v>3.85</v>
      </c>
      <c r="I339" s="2">
        <f>'Gas Water'!L341</f>
        <v>163</v>
      </c>
      <c r="J339" s="153">
        <v>14.95</v>
      </c>
      <c r="K339" s="5">
        <v>113</v>
      </c>
      <c r="L339" s="5">
        <v>206</v>
      </c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>
        <f>'Electricity '!I341+'Electricity '!O341</f>
        <v>24181.739999999561</v>
      </c>
      <c r="F340" s="153">
        <v>1.1599999999999999</v>
      </c>
      <c r="G340" s="4">
        <f>'Gas Water'!M342</f>
        <v>2060</v>
      </c>
      <c r="H340" s="153">
        <v>3.85</v>
      </c>
      <c r="I340" s="2">
        <f>'Gas Water'!L342</f>
        <v>178</v>
      </c>
      <c r="J340" s="153">
        <v>14.95</v>
      </c>
      <c r="K340" s="5">
        <v>91</v>
      </c>
      <c r="L340" s="5">
        <v>160</v>
      </c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>
        <f>'Electricity '!I342+'Electricity '!O342</f>
        <v>24223.139999999526</v>
      </c>
      <c r="F341" s="153">
        <v>1.1599999999999999</v>
      </c>
      <c r="G341" s="4">
        <f>'Gas Water'!M343</f>
        <v>1894</v>
      </c>
      <c r="H341" s="153">
        <v>3.85</v>
      </c>
      <c r="I341" s="2">
        <f>'Gas Water'!L343</f>
        <v>196</v>
      </c>
      <c r="J341" s="153">
        <v>14.95</v>
      </c>
      <c r="K341" s="5">
        <v>127</v>
      </c>
      <c r="L341" s="5">
        <v>189</v>
      </c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>
        <f>'Electricity '!I343+'Electricity '!O343</f>
        <v>25059.42000000046</v>
      </c>
      <c r="F342" s="153">
        <v>1.1599999999999999</v>
      </c>
      <c r="G342" s="4">
        <f>'Gas Water'!M344</f>
        <v>1912</v>
      </c>
      <c r="H342" s="153">
        <v>3.85</v>
      </c>
      <c r="I342" s="2">
        <f>'Gas Water'!L344</f>
        <v>157</v>
      </c>
      <c r="J342" s="153">
        <v>14.95</v>
      </c>
      <c r="K342" s="5">
        <v>154</v>
      </c>
      <c r="L342" s="5">
        <v>205</v>
      </c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>
        <f>'Electricity '!I344+'Electricity '!O344</f>
        <v>23577.299999999737</v>
      </c>
      <c r="F343" s="153">
        <v>1.1599999999999999</v>
      </c>
      <c r="G343" s="4">
        <f>'Gas Water'!M345</f>
        <v>2628</v>
      </c>
      <c r="H343" s="153">
        <v>3.85</v>
      </c>
      <c r="I343" s="2">
        <f>'Gas Water'!L345</f>
        <v>165</v>
      </c>
      <c r="J343" s="153">
        <v>14.95</v>
      </c>
      <c r="K343" s="5">
        <v>155</v>
      </c>
      <c r="L343" s="5">
        <v>216</v>
      </c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>
        <f>'Electricity '!I345+'Electricity '!O345</f>
        <v>22525.740000000129</v>
      </c>
      <c r="F344" s="153">
        <v>1.1599999999999999</v>
      </c>
      <c r="G344" s="4">
        <f>'Gas Water'!M346</f>
        <v>2057</v>
      </c>
      <c r="H344" s="153">
        <v>3.85</v>
      </c>
      <c r="I344" s="2">
        <f>'Gas Water'!L346</f>
        <v>182</v>
      </c>
      <c r="J344" s="153">
        <v>14.95</v>
      </c>
      <c r="K344" s="5">
        <v>147</v>
      </c>
      <c r="L344" s="5">
        <v>221</v>
      </c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>
        <f>'Electricity '!I346+'Electricity '!O346</f>
        <v>22505.039999999677</v>
      </c>
      <c r="F345" s="153">
        <v>1.1599999999999999</v>
      </c>
      <c r="G345" s="4">
        <f>'Gas Water'!M347</f>
        <v>2042</v>
      </c>
      <c r="H345" s="153">
        <v>3.85</v>
      </c>
      <c r="I345" s="2">
        <f>'Gas Water'!L347</f>
        <v>169</v>
      </c>
      <c r="J345" s="153">
        <v>14.95</v>
      </c>
      <c r="K345" s="5">
        <v>142</v>
      </c>
      <c r="L345" s="5">
        <v>224</v>
      </c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>
        <f>'Electricity '!I347+'Electricity '!O347</f>
        <v>24926.940000000766</v>
      </c>
      <c r="F346" s="153">
        <v>1.1599999999999999</v>
      </c>
      <c r="G346" s="4">
        <f>'Gas Water'!M348</f>
        <v>1816</v>
      </c>
      <c r="H346" s="153">
        <v>3.85</v>
      </c>
      <c r="I346" s="2">
        <f>'Gas Water'!L348</f>
        <v>179</v>
      </c>
      <c r="J346" s="153">
        <v>14.95</v>
      </c>
      <c r="K346" s="5">
        <v>91</v>
      </c>
      <c r="L346" s="5">
        <v>153</v>
      </c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>
        <f>'Electricity '!I348+'Electricity '!O348</f>
        <v>22782.419999999707</v>
      </c>
      <c r="F347" s="153">
        <v>1.1599999999999999</v>
      </c>
      <c r="G347" s="4">
        <f>'Gas Water'!M349</f>
        <v>2010</v>
      </c>
      <c r="H347" s="153">
        <v>3.85</v>
      </c>
      <c r="I347" s="2">
        <f>'Gas Water'!L349</f>
        <v>165</v>
      </c>
      <c r="J347" s="153">
        <v>14.95</v>
      </c>
      <c r="K347" s="5">
        <v>93</v>
      </c>
      <c r="L347" s="5">
        <v>153</v>
      </c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>
        <f>'Electricity '!I349+'Electricity '!O349</f>
        <v>24376.319999999669</v>
      </c>
      <c r="F348" s="153">
        <v>1.1599999999999999</v>
      </c>
      <c r="G348" s="4">
        <f>'Gas Water'!M350</f>
        <v>2301</v>
      </c>
      <c r="H348" s="153">
        <v>3.85</v>
      </c>
      <c r="I348" s="2">
        <f>'Gas Water'!L350</f>
        <v>155</v>
      </c>
      <c r="J348" s="153">
        <v>14.95</v>
      </c>
      <c r="K348" s="5">
        <v>125</v>
      </c>
      <c r="L348" s="5">
        <v>181</v>
      </c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>
        <f>'Electricity '!I350+'Electricity '!O350</f>
        <v>24633.000000000189</v>
      </c>
      <c r="F349" s="153">
        <v>1.1599999999999999</v>
      </c>
      <c r="G349" s="4">
        <f>'Gas Water'!M351</f>
        <v>2543</v>
      </c>
      <c r="H349" s="153">
        <v>3.85</v>
      </c>
      <c r="I349" s="2">
        <f>'Gas Water'!L351</f>
        <v>169</v>
      </c>
      <c r="J349" s="153">
        <v>14.95</v>
      </c>
      <c r="K349" s="5">
        <v>143</v>
      </c>
      <c r="L349" s="5">
        <v>197</v>
      </c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>
        <f>'Electricity '!I351+'Electricity '!O351</f>
        <v>26044.739999999751</v>
      </c>
      <c r="F350" s="153">
        <v>1.1599999999999999</v>
      </c>
      <c r="G350" s="4">
        <f>'Gas Water'!M352</f>
        <v>3272</v>
      </c>
      <c r="H350" s="153">
        <v>3.85</v>
      </c>
      <c r="I350" s="2">
        <f>'Gas Water'!L352</f>
        <v>160</v>
      </c>
      <c r="J350" s="153">
        <v>14.95</v>
      </c>
      <c r="K350" s="5">
        <v>141</v>
      </c>
      <c r="L350" s="5">
        <v>211</v>
      </c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>
        <f>'Electricity '!I352+'Electricity '!O352</f>
        <v>24500.520000000499</v>
      </c>
      <c r="F351" s="153">
        <v>1.1599999999999999</v>
      </c>
      <c r="G351" s="4">
        <f>'Gas Water'!M353</f>
        <v>3224</v>
      </c>
      <c r="H351" s="153">
        <v>3.85</v>
      </c>
      <c r="I351" s="2">
        <f>'Gas Water'!L353</f>
        <v>183</v>
      </c>
      <c r="J351" s="153">
        <v>14.95</v>
      </c>
      <c r="K351" s="5">
        <v>152</v>
      </c>
      <c r="L351" s="5">
        <v>240</v>
      </c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>
        <f>'Electricity '!I353+'Electricity '!O353</f>
        <v>25142.219999999441</v>
      </c>
      <c r="F352" s="153">
        <v>1.1599999999999999</v>
      </c>
      <c r="G352" s="4">
        <f>'Gas Water'!M354</f>
        <v>3264</v>
      </c>
      <c r="H352" s="153">
        <v>3.85</v>
      </c>
      <c r="I352" s="2">
        <f>'Gas Water'!L354</f>
        <v>163</v>
      </c>
      <c r="J352" s="153">
        <v>14.95</v>
      </c>
      <c r="K352" s="5">
        <v>141</v>
      </c>
      <c r="L352" s="5">
        <v>248</v>
      </c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>
        <f>'Electricity '!I354+'Electricity '!O354</f>
        <v>23304.060000000551</v>
      </c>
      <c r="F353" s="153">
        <v>1.1599999999999999</v>
      </c>
      <c r="G353" s="4">
        <f>'Gas Water'!M355</f>
        <v>2973</v>
      </c>
      <c r="H353" s="153">
        <v>3.85</v>
      </c>
      <c r="I353" s="2">
        <f>'Gas Water'!L355</f>
        <v>173</v>
      </c>
      <c r="J353" s="153">
        <v>14.95</v>
      </c>
      <c r="K353" s="5">
        <v>140</v>
      </c>
      <c r="L353" s="5">
        <v>256</v>
      </c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>
        <f>'Electricity '!I355+'Electricity '!O355</f>
        <v>23817.419999999707</v>
      </c>
      <c r="F354" s="153">
        <v>1.1599999999999999</v>
      </c>
      <c r="G354" s="4">
        <f>'Gas Water'!M356</f>
        <v>3010</v>
      </c>
      <c r="H354" s="153">
        <v>3.85</v>
      </c>
      <c r="I354" s="2">
        <f>'Gas Water'!L356</f>
        <v>196</v>
      </c>
      <c r="J354" s="153">
        <v>14.95</v>
      </c>
      <c r="K354" s="5">
        <v>122</v>
      </c>
      <c r="L354" s="5">
        <v>223</v>
      </c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>
        <f>'Electricity '!I356+'Electricity '!O356</f>
        <v>25696.980000000443</v>
      </c>
      <c r="F355" s="153">
        <v>1.1599999999999999</v>
      </c>
      <c r="G355" s="4">
        <f>'Gas Water'!M357</f>
        <v>3228</v>
      </c>
      <c r="H355" s="153">
        <v>3.85</v>
      </c>
      <c r="I355" s="2">
        <f>'Gas Water'!L357</f>
        <v>215</v>
      </c>
      <c r="J355" s="153">
        <v>14.95</v>
      </c>
      <c r="K355" s="5">
        <v>156</v>
      </c>
      <c r="L355" s="5">
        <v>288</v>
      </c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>
        <f>'Electricity '!I357+'Electricity '!O357</f>
        <v>24761.339999999978</v>
      </c>
      <c r="F356" s="153">
        <v>1.1599999999999999</v>
      </c>
      <c r="G356" s="4">
        <f>'Gas Water'!M358</f>
        <v>3545</v>
      </c>
      <c r="H356" s="153">
        <v>3.85</v>
      </c>
      <c r="I356" s="2">
        <f>'Gas Water'!L358</f>
        <v>197</v>
      </c>
      <c r="J356" s="153">
        <v>14.95</v>
      </c>
      <c r="K356" s="5">
        <v>149</v>
      </c>
      <c r="L356" s="5">
        <v>274</v>
      </c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>
        <f>'Electricity '!I358+'Electricity '!O358</f>
        <v>23821.559999999608</v>
      </c>
      <c r="F357" s="153">
        <v>1.1599999999999999</v>
      </c>
      <c r="G357" s="4">
        <f>'Gas Water'!M359</f>
        <v>3520</v>
      </c>
      <c r="H357" s="153">
        <v>3.85</v>
      </c>
      <c r="I357" s="2">
        <f>'Gas Water'!L359</f>
        <v>169</v>
      </c>
      <c r="J357" s="153">
        <v>14.95</v>
      </c>
      <c r="K357" s="5">
        <v>141</v>
      </c>
      <c r="L357" s="5">
        <v>286</v>
      </c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>
        <f>'Electricity '!I359+'Electricity '!O359</f>
        <v>22169.700000000077</v>
      </c>
      <c r="F358" s="153">
        <v>1.1599999999999999</v>
      </c>
      <c r="G358" s="4">
        <f>'Gas Water'!M360</f>
        <v>3676</v>
      </c>
      <c r="H358" s="153">
        <v>3.85</v>
      </c>
      <c r="I358" s="2">
        <f>'Gas Water'!L360</f>
        <v>180</v>
      </c>
      <c r="J358" s="153">
        <v>14.95</v>
      </c>
      <c r="K358" s="5">
        <v>132</v>
      </c>
      <c r="L358" s="5">
        <v>276</v>
      </c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>
        <f>'Electricity '!I360+'Electricity '!O360</f>
        <v>24297.659999999647</v>
      </c>
      <c r="F359" s="153">
        <v>1.1599999999999999</v>
      </c>
      <c r="G359" s="4">
        <f>'Gas Water'!M361</f>
        <v>3213</v>
      </c>
      <c r="H359" s="153">
        <v>3.85</v>
      </c>
      <c r="I359" s="2">
        <f>'Gas Water'!L361</f>
        <v>182</v>
      </c>
      <c r="J359" s="153">
        <v>14.95</v>
      </c>
      <c r="K359" s="5">
        <v>153</v>
      </c>
      <c r="L359" s="5">
        <v>312</v>
      </c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>
        <f>'Electricity '!I361+'Electricity '!O361</f>
        <v>23072.220000000383</v>
      </c>
      <c r="F360" s="153">
        <v>1.1599999999999999</v>
      </c>
      <c r="G360" s="4">
        <f>'Gas Water'!M362</f>
        <v>2824</v>
      </c>
      <c r="H360" s="153">
        <v>3.85</v>
      </c>
      <c r="I360" s="2">
        <f>'Gas Water'!L362</f>
        <v>184</v>
      </c>
      <c r="J360" s="153">
        <v>14.95</v>
      </c>
      <c r="K360" s="5">
        <v>149</v>
      </c>
      <c r="L360" s="5">
        <v>298</v>
      </c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>
        <f>'Electricity '!I362+'Electricity '!O362</f>
        <v>24852.419999999707</v>
      </c>
      <c r="F361" s="153">
        <v>1.1599999999999999</v>
      </c>
      <c r="G361" s="4">
        <f>'Gas Water'!M363</f>
        <v>2495</v>
      </c>
      <c r="H361" s="153">
        <v>3.85</v>
      </c>
      <c r="I361" s="2">
        <f>'Gas Water'!L363</f>
        <v>193</v>
      </c>
      <c r="J361" s="153">
        <v>14.95</v>
      </c>
      <c r="K361" s="5">
        <v>150</v>
      </c>
      <c r="L361" s="5">
        <v>291</v>
      </c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>
        <f>'Electricity '!I363+'Electricity '!O363</f>
        <v>20132.820000000233</v>
      </c>
      <c r="F362" s="153">
        <v>1.1599999999999999</v>
      </c>
      <c r="G362" s="4">
        <f>'Gas Water'!M364</f>
        <v>2194</v>
      </c>
      <c r="H362" s="153">
        <v>3.85</v>
      </c>
      <c r="I362" s="2">
        <f>'Gas Water'!L364</f>
        <v>170</v>
      </c>
      <c r="J362" s="153">
        <v>14.95</v>
      </c>
      <c r="K362" s="5">
        <v>140</v>
      </c>
      <c r="L362" s="5">
        <v>265</v>
      </c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>
        <f>'Electricity '!I364+'Electricity '!O364</f>
        <v>24761.339999999978</v>
      </c>
      <c r="F363" s="153">
        <v>1.1599999999999999</v>
      </c>
      <c r="G363" s="4">
        <f>'Gas Water'!M365</f>
        <v>2330</v>
      </c>
      <c r="H363" s="153">
        <v>3.85</v>
      </c>
      <c r="I363" s="2">
        <f>'Gas Water'!L365</f>
        <v>178</v>
      </c>
      <c r="J363" s="153">
        <v>14.95</v>
      </c>
      <c r="K363" s="5">
        <v>157</v>
      </c>
      <c r="L363" s="5">
        <v>291</v>
      </c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>
        <f>'Electricity '!I365+'Electricity '!O365</f>
        <v>23618.699999999699</v>
      </c>
      <c r="F364" s="153">
        <v>1.1599999999999999</v>
      </c>
      <c r="G364" s="4">
        <f>'Gas Water'!M366</f>
        <v>2358</v>
      </c>
      <c r="H364" s="153">
        <v>3.85</v>
      </c>
      <c r="I364" s="2">
        <f>'Gas Water'!L366</f>
        <v>195</v>
      </c>
      <c r="J364" s="153">
        <v>14.95</v>
      </c>
      <c r="K364" s="5">
        <v>148</v>
      </c>
      <c r="L364" s="5">
        <v>285</v>
      </c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>
        <v>1.1599999999999999</v>
      </c>
      <c r="G365" s="4" t="str">
        <f>'Gas Water'!M367</f>
        <v/>
      </c>
      <c r="H365" s="153">
        <v>3.85</v>
      </c>
      <c r="I365" s="2" t="str">
        <f>'Gas Water'!L367</f>
        <v/>
      </c>
      <c r="J365" s="153">
        <v>14.95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>
        <v>1.1599999999999999</v>
      </c>
      <c r="G366" s="4" t="str">
        <f>'Gas Water'!M368</f>
        <v/>
      </c>
      <c r="H366" s="153">
        <v>3.85</v>
      </c>
      <c r="I366" s="2" t="str">
        <f>'Gas Water'!L368</f>
        <v/>
      </c>
      <c r="J366" s="153">
        <v>14.95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328" workbookViewId="0">
      <selection activeCell="R352" sqref="R35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5673</v>
      </c>
      <c r="O331" s="32">
        <f>SUM(M309:M338)</f>
        <v>56908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98" t="s">
        <v>23</v>
      </c>
      <c r="O332" s="198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200"/>
      <c r="O333" s="200"/>
      <c r="Q333" s="20">
        <f t="shared" si="25"/>
        <v>0</v>
      </c>
    </row>
    <row r="334" spans="1:17" ht="12.95" customHeight="1" thickBot="1" x14ac:dyDescent="0.25">
      <c r="B334" s="22">
        <v>44527</v>
      </c>
      <c r="C334" s="41">
        <v>16228335</v>
      </c>
      <c r="D334" s="24">
        <v>5027374</v>
      </c>
      <c r="E334" s="25">
        <v>237440</v>
      </c>
      <c r="F334" s="26">
        <v>632378</v>
      </c>
      <c r="G334" s="27">
        <v>287981</v>
      </c>
      <c r="H334" s="28">
        <f t="shared" si="26"/>
        <v>0</v>
      </c>
      <c r="I334" s="28">
        <f t="shared" si="26"/>
        <v>1256</v>
      </c>
      <c r="J334" s="28">
        <f t="shared" si="26"/>
        <v>139</v>
      </c>
      <c r="K334" s="28">
        <f t="shared" si="26"/>
        <v>237</v>
      </c>
      <c r="L334" s="29">
        <f t="shared" si="26"/>
        <v>219</v>
      </c>
      <c r="M334" s="30">
        <f t="shared" si="27"/>
        <v>1632</v>
      </c>
      <c r="N334" s="32">
        <f>AVERAGE(L309:L338)</f>
        <v>189.1</v>
      </c>
      <c r="O334" s="32">
        <f>AVERAGE(M309:M338)</f>
        <v>1896.9333333333334</v>
      </c>
      <c r="Q334" s="20">
        <f t="shared" si="25"/>
        <v>0</v>
      </c>
    </row>
    <row r="335" spans="1:17" ht="12.95" customHeight="1" x14ac:dyDescent="0.2">
      <c r="B335" s="22">
        <v>44528</v>
      </c>
      <c r="C335" s="41">
        <v>16228335</v>
      </c>
      <c r="D335" s="24">
        <v>5028519</v>
      </c>
      <c r="E335" s="25">
        <v>237609</v>
      </c>
      <c r="F335" s="26">
        <v>632590</v>
      </c>
      <c r="G335" s="27">
        <v>288165</v>
      </c>
      <c r="H335" s="28">
        <f t="shared" si="26"/>
        <v>0</v>
      </c>
      <c r="I335" s="28">
        <f t="shared" si="26"/>
        <v>1145</v>
      </c>
      <c r="J335" s="28">
        <f t="shared" si="26"/>
        <v>169</v>
      </c>
      <c r="K335" s="28">
        <f t="shared" si="26"/>
        <v>212</v>
      </c>
      <c r="L335" s="29">
        <f t="shared" si="26"/>
        <v>184</v>
      </c>
      <c r="M335" s="30">
        <f t="shared" si="27"/>
        <v>1526</v>
      </c>
      <c r="O335" s="20">
        <f>IF(L335="",1,0)</f>
        <v>0</v>
      </c>
    </row>
    <row r="336" spans="1:17" ht="12.95" customHeight="1" x14ac:dyDescent="0.2">
      <c r="B336" s="22">
        <v>44529</v>
      </c>
      <c r="C336" s="41">
        <v>16228335</v>
      </c>
      <c r="D336" s="24">
        <v>5029676</v>
      </c>
      <c r="E336" s="25">
        <v>237773</v>
      </c>
      <c r="F336" s="26">
        <v>632819</v>
      </c>
      <c r="G336" s="27">
        <v>288310</v>
      </c>
      <c r="H336" s="28">
        <f t="shared" si="26"/>
        <v>0</v>
      </c>
      <c r="I336" s="28">
        <f t="shared" si="26"/>
        <v>1157</v>
      </c>
      <c r="J336" s="28">
        <f>IF(E336="","",+(E336-E335))</f>
        <v>164</v>
      </c>
      <c r="K336" s="28">
        <f t="shared" si="26"/>
        <v>229</v>
      </c>
      <c r="L336" s="29">
        <f t="shared" si="26"/>
        <v>145</v>
      </c>
      <c r="M336" s="30">
        <f t="shared" si="27"/>
        <v>1550</v>
      </c>
      <c r="O336" s="20">
        <f>IF(L336="",1,0)</f>
        <v>0</v>
      </c>
    </row>
    <row r="337" spans="2:17" ht="12.95" customHeight="1" x14ac:dyDescent="0.2">
      <c r="B337" s="22">
        <v>44530</v>
      </c>
      <c r="C337" s="41">
        <v>16228335</v>
      </c>
      <c r="D337" s="24">
        <v>5031550</v>
      </c>
      <c r="E337" s="25">
        <v>237912</v>
      </c>
      <c r="F337" s="26">
        <v>632998</v>
      </c>
      <c r="G337" s="27">
        <v>288488</v>
      </c>
      <c r="H337" s="28">
        <f t="shared" si="26"/>
        <v>0</v>
      </c>
      <c r="I337" s="28">
        <f t="shared" si="26"/>
        <v>1874</v>
      </c>
      <c r="J337" s="28">
        <f>IF(E337="","",+(E337-E336))</f>
        <v>139</v>
      </c>
      <c r="K337" s="28">
        <f t="shared" si="26"/>
        <v>179</v>
      </c>
      <c r="L337" s="29">
        <f>IF(G337="","",+(G337-G336))</f>
        <v>178</v>
      </c>
      <c r="M337" s="30">
        <f t="shared" si="27"/>
        <v>2192</v>
      </c>
      <c r="O337" s="20">
        <f>IF(L337="",1,0)</f>
        <v>0</v>
      </c>
    </row>
    <row r="338" spans="2:17" ht="12.95" customHeight="1" x14ac:dyDescent="0.2">
      <c r="B338" s="22">
        <v>44531</v>
      </c>
      <c r="C338" s="41">
        <v>16228335</v>
      </c>
      <c r="D338" s="34">
        <v>5033393</v>
      </c>
      <c r="E338" s="34">
        <v>238107</v>
      </c>
      <c r="F338" s="34">
        <v>633177</v>
      </c>
      <c r="G338" s="34">
        <v>288677</v>
      </c>
      <c r="H338" s="35">
        <f t="shared" si="26"/>
        <v>0</v>
      </c>
      <c r="I338" s="39">
        <f t="shared" si="26"/>
        <v>1843</v>
      </c>
      <c r="J338" s="35">
        <f t="shared" si="26"/>
        <v>195</v>
      </c>
      <c r="K338" s="35">
        <f t="shared" si="26"/>
        <v>179</v>
      </c>
      <c r="L338" s="36">
        <f t="shared" si="26"/>
        <v>189</v>
      </c>
      <c r="M338" s="35">
        <f t="shared" si="27"/>
        <v>2217</v>
      </c>
      <c r="Q338" s="20">
        <f t="shared" si="25"/>
        <v>0</v>
      </c>
    </row>
    <row r="339" spans="2:17" ht="12.95" customHeight="1" x14ac:dyDescent="0.2">
      <c r="B339" s="22">
        <v>44532</v>
      </c>
      <c r="C339" s="41">
        <v>16228335</v>
      </c>
      <c r="D339" s="24">
        <v>5034906</v>
      </c>
      <c r="E339" s="25">
        <v>238333</v>
      </c>
      <c r="F339" s="26">
        <v>633345</v>
      </c>
      <c r="G339" s="27">
        <v>288843</v>
      </c>
      <c r="H339" s="28">
        <f t="shared" si="26"/>
        <v>0</v>
      </c>
      <c r="I339" s="28">
        <f t="shared" si="26"/>
        <v>1513</v>
      </c>
      <c r="J339" s="28">
        <f t="shared" si="26"/>
        <v>226</v>
      </c>
      <c r="K339" s="28">
        <f t="shared" si="26"/>
        <v>168</v>
      </c>
      <c r="L339" s="29">
        <f t="shared" si="26"/>
        <v>166</v>
      </c>
      <c r="M339" s="30">
        <f t="shared" si="27"/>
        <v>1907</v>
      </c>
      <c r="Q339" s="20">
        <f t="shared" si="25"/>
        <v>0</v>
      </c>
    </row>
    <row r="340" spans="2:17" ht="12.95" customHeight="1" x14ac:dyDescent="0.2">
      <c r="B340" s="22">
        <v>44533</v>
      </c>
      <c r="C340" s="41">
        <v>16228335</v>
      </c>
      <c r="D340" s="24">
        <v>5036298</v>
      </c>
      <c r="E340" s="25">
        <v>238541</v>
      </c>
      <c r="F340" s="26">
        <v>633522</v>
      </c>
      <c r="G340" s="27">
        <v>289011</v>
      </c>
      <c r="H340" s="28">
        <f t="shared" si="26"/>
        <v>0</v>
      </c>
      <c r="I340" s="28">
        <f t="shared" si="26"/>
        <v>1392</v>
      </c>
      <c r="J340" s="28">
        <f t="shared" si="26"/>
        <v>208</v>
      </c>
      <c r="K340" s="28">
        <f t="shared" si="26"/>
        <v>177</v>
      </c>
      <c r="L340" s="29">
        <f t="shared" si="26"/>
        <v>168</v>
      </c>
      <c r="M340" s="30">
        <f t="shared" si="27"/>
        <v>1777</v>
      </c>
      <c r="Q340" s="20">
        <f t="shared" si="25"/>
        <v>0</v>
      </c>
    </row>
    <row r="341" spans="2:17" ht="12.95" customHeight="1" x14ac:dyDescent="0.2">
      <c r="B341" s="22">
        <v>44534</v>
      </c>
      <c r="C341" s="41">
        <v>16228335</v>
      </c>
      <c r="D341" s="24">
        <v>5038011</v>
      </c>
      <c r="E341" s="25">
        <v>238711</v>
      </c>
      <c r="F341" s="26">
        <v>633709</v>
      </c>
      <c r="G341" s="27">
        <v>289174</v>
      </c>
      <c r="H341" s="28">
        <f t="shared" si="26"/>
        <v>0</v>
      </c>
      <c r="I341" s="28">
        <f t="shared" si="26"/>
        <v>1713</v>
      </c>
      <c r="J341" s="28">
        <f t="shared" si="26"/>
        <v>170</v>
      </c>
      <c r="K341" s="28">
        <f t="shared" si="26"/>
        <v>187</v>
      </c>
      <c r="L341" s="29">
        <f t="shared" si="26"/>
        <v>163</v>
      </c>
      <c r="M341" s="30">
        <f t="shared" si="27"/>
        <v>2070</v>
      </c>
      <c r="Q341" s="20">
        <f t="shared" si="25"/>
        <v>0</v>
      </c>
    </row>
    <row r="342" spans="2:17" ht="12.95" customHeight="1" x14ac:dyDescent="0.2">
      <c r="B342" s="22">
        <v>44535</v>
      </c>
      <c r="C342" s="41">
        <v>16228335</v>
      </c>
      <c r="D342" s="24">
        <v>5039691</v>
      </c>
      <c r="E342" s="25">
        <v>238912</v>
      </c>
      <c r="F342" s="26">
        <v>633888</v>
      </c>
      <c r="G342" s="27">
        <v>289352</v>
      </c>
      <c r="H342" s="28">
        <f t="shared" si="26"/>
        <v>0</v>
      </c>
      <c r="I342" s="28">
        <f t="shared" si="26"/>
        <v>1680</v>
      </c>
      <c r="J342" s="28">
        <f t="shared" si="26"/>
        <v>201</v>
      </c>
      <c r="K342" s="28">
        <f t="shared" si="26"/>
        <v>179</v>
      </c>
      <c r="L342" s="29">
        <f t="shared" si="26"/>
        <v>178</v>
      </c>
      <c r="M342" s="30">
        <f t="shared" si="27"/>
        <v>2060</v>
      </c>
      <c r="Q342" s="20">
        <f t="shared" si="25"/>
        <v>0</v>
      </c>
    </row>
    <row r="343" spans="2:17" ht="12.95" customHeight="1" x14ac:dyDescent="0.2">
      <c r="B343" s="22">
        <v>44536</v>
      </c>
      <c r="C343" s="41">
        <v>16228335</v>
      </c>
      <c r="D343" s="24">
        <v>5041198</v>
      </c>
      <c r="E343" s="25">
        <v>239111</v>
      </c>
      <c r="F343" s="26">
        <v>634076</v>
      </c>
      <c r="G343" s="27">
        <v>289548</v>
      </c>
      <c r="H343" s="28">
        <f t="shared" si="26"/>
        <v>0</v>
      </c>
      <c r="I343" s="28">
        <f t="shared" si="26"/>
        <v>1507</v>
      </c>
      <c r="J343" s="28">
        <f t="shared" si="26"/>
        <v>199</v>
      </c>
      <c r="K343" s="28">
        <f t="shared" si="26"/>
        <v>188</v>
      </c>
      <c r="L343" s="29">
        <f t="shared" si="26"/>
        <v>196</v>
      </c>
      <c r="M343" s="30">
        <f t="shared" si="27"/>
        <v>1894</v>
      </c>
      <c r="Q343" s="20">
        <f t="shared" si="25"/>
        <v>0</v>
      </c>
    </row>
    <row r="344" spans="2:17" ht="12.95" customHeight="1" x14ac:dyDescent="0.2">
      <c r="B344" s="22">
        <v>44537</v>
      </c>
      <c r="C344" s="41">
        <v>16228335</v>
      </c>
      <c r="D344" s="24">
        <v>5042744</v>
      </c>
      <c r="E344" s="25">
        <v>239299</v>
      </c>
      <c r="F344" s="26">
        <v>634254</v>
      </c>
      <c r="G344" s="27">
        <v>289705</v>
      </c>
      <c r="H344" s="28">
        <f t="shared" si="26"/>
        <v>0</v>
      </c>
      <c r="I344" s="28">
        <f t="shared" si="26"/>
        <v>1546</v>
      </c>
      <c r="J344" s="28">
        <f t="shared" ref="J344:J347" si="28">IF(E344="","",+(E344-E343))</f>
        <v>188</v>
      </c>
      <c r="K344" s="28">
        <f t="shared" si="26"/>
        <v>178</v>
      </c>
      <c r="L344" s="29">
        <f t="shared" si="26"/>
        <v>157</v>
      </c>
      <c r="M344" s="30">
        <f t="shared" si="27"/>
        <v>1912</v>
      </c>
      <c r="Q344" s="20">
        <f t="shared" ref="Q344:Q369" si="29">IF(L344="",1,0)</f>
        <v>0</v>
      </c>
    </row>
    <row r="345" spans="2:17" ht="12.95" customHeight="1" x14ac:dyDescent="0.2">
      <c r="B345" s="22">
        <v>44538</v>
      </c>
      <c r="C345" s="41">
        <v>16228335</v>
      </c>
      <c r="D345" s="24">
        <v>5044951</v>
      </c>
      <c r="E345" s="25">
        <v>239535</v>
      </c>
      <c r="F345" s="26">
        <v>634439</v>
      </c>
      <c r="G345" s="27">
        <v>289870</v>
      </c>
      <c r="H345" s="28">
        <f t="shared" si="26"/>
        <v>0</v>
      </c>
      <c r="I345" s="28">
        <f t="shared" si="26"/>
        <v>2207</v>
      </c>
      <c r="J345" s="28">
        <f t="shared" si="28"/>
        <v>236</v>
      </c>
      <c r="K345" s="28">
        <f t="shared" si="26"/>
        <v>185</v>
      </c>
      <c r="L345" s="29">
        <f t="shared" si="26"/>
        <v>165</v>
      </c>
      <c r="M345" s="30">
        <f t="shared" si="27"/>
        <v>2628</v>
      </c>
      <c r="Q345" s="20">
        <f t="shared" si="29"/>
        <v>0</v>
      </c>
    </row>
    <row r="346" spans="2:17" ht="12.95" customHeight="1" x14ac:dyDescent="0.2">
      <c r="B346" s="22">
        <v>44539</v>
      </c>
      <c r="C346" s="41">
        <v>16228335</v>
      </c>
      <c r="D346" s="24">
        <v>5046625</v>
      </c>
      <c r="E346" s="25">
        <v>239738</v>
      </c>
      <c r="F346" s="26">
        <v>634619</v>
      </c>
      <c r="G346" s="27">
        <v>290052</v>
      </c>
      <c r="H346" s="28">
        <f t="shared" si="26"/>
        <v>0</v>
      </c>
      <c r="I346" s="28">
        <f t="shared" si="26"/>
        <v>1674</v>
      </c>
      <c r="J346" s="28">
        <f t="shared" si="28"/>
        <v>203</v>
      </c>
      <c r="K346" s="28">
        <f t="shared" si="26"/>
        <v>180</v>
      </c>
      <c r="L346" s="29">
        <f t="shared" si="26"/>
        <v>182</v>
      </c>
      <c r="M346" s="30">
        <f t="shared" si="27"/>
        <v>2057</v>
      </c>
      <c r="Q346" s="20">
        <f t="shared" si="29"/>
        <v>0</v>
      </c>
    </row>
    <row r="347" spans="2:17" ht="12.95" customHeight="1" x14ac:dyDescent="0.2">
      <c r="B347" s="22">
        <v>44540</v>
      </c>
      <c r="C347" s="41">
        <v>16228335</v>
      </c>
      <c r="D347" s="24">
        <v>5048240</v>
      </c>
      <c r="E347" s="25">
        <v>239966</v>
      </c>
      <c r="F347" s="26">
        <v>634818</v>
      </c>
      <c r="G347" s="27">
        <v>290221</v>
      </c>
      <c r="H347" s="28">
        <f t="shared" si="26"/>
        <v>0</v>
      </c>
      <c r="I347" s="28">
        <f t="shared" si="26"/>
        <v>1615</v>
      </c>
      <c r="J347" s="28">
        <f t="shared" si="28"/>
        <v>228</v>
      </c>
      <c r="K347" s="28">
        <f t="shared" si="26"/>
        <v>199</v>
      </c>
      <c r="L347" s="29">
        <f t="shared" si="26"/>
        <v>169</v>
      </c>
      <c r="M347" s="30">
        <f t="shared" si="27"/>
        <v>2042</v>
      </c>
      <c r="Q347" s="20">
        <f t="shared" si="29"/>
        <v>0</v>
      </c>
    </row>
    <row r="348" spans="2:17" ht="12.95" customHeight="1" x14ac:dyDescent="0.2">
      <c r="B348" s="22">
        <v>44541</v>
      </c>
      <c r="C348" s="41">
        <v>16228335</v>
      </c>
      <c r="D348" s="24">
        <v>5049628</v>
      </c>
      <c r="E348" s="25">
        <v>240143</v>
      </c>
      <c r="F348" s="26">
        <v>635069</v>
      </c>
      <c r="G348" s="27">
        <v>290400</v>
      </c>
      <c r="H348" s="28">
        <f t="shared" si="26"/>
        <v>0</v>
      </c>
      <c r="I348" s="28">
        <f t="shared" si="26"/>
        <v>1388</v>
      </c>
      <c r="J348" s="28">
        <f t="shared" si="26"/>
        <v>177</v>
      </c>
      <c r="K348" s="28">
        <f t="shared" si="26"/>
        <v>251</v>
      </c>
      <c r="L348" s="29">
        <f t="shared" si="26"/>
        <v>179</v>
      </c>
      <c r="M348" s="30">
        <f t="shared" si="27"/>
        <v>1816</v>
      </c>
      <c r="Q348" s="20">
        <f t="shared" si="29"/>
        <v>0</v>
      </c>
    </row>
    <row r="349" spans="2:17" ht="12.95" customHeight="1" x14ac:dyDescent="0.2">
      <c r="B349" s="22">
        <v>44542</v>
      </c>
      <c r="C349" s="41">
        <v>16228335</v>
      </c>
      <c r="D349" s="24">
        <v>5051291</v>
      </c>
      <c r="E349" s="25">
        <v>240285</v>
      </c>
      <c r="F349" s="26">
        <v>635274</v>
      </c>
      <c r="G349" s="27">
        <v>290565</v>
      </c>
      <c r="H349" s="28">
        <f t="shared" si="26"/>
        <v>0</v>
      </c>
      <c r="I349" s="28">
        <f t="shared" si="26"/>
        <v>1663</v>
      </c>
      <c r="J349" s="28">
        <f t="shared" si="26"/>
        <v>142</v>
      </c>
      <c r="K349" s="28">
        <f t="shared" si="26"/>
        <v>205</v>
      </c>
      <c r="L349" s="29">
        <f t="shared" si="26"/>
        <v>165</v>
      </c>
      <c r="M349" s="30">
        <f t="shared" si="27"/>
        <v>2010</v>
      </c>
      <c r="Q349" s="20">
        <f t="shared" si="29"/>
        <v>0</v>
      </c>
    </row>
    <row r="350" spans="2:17" ht="12.95" customHeight="1" x14ac:dyDescent="0.2">
      <c r="B350" s="22">
        <v>44543</v>
      </c>
      <c r="C350" s="41">
        <v>16228335</v>
      </c>
      <c r="D350" s="24">
        <v>5053237</v>
      </c>
      <c r="E350" s="25">
        <v>240475</v>
      </c>
      <c r="F350" s="26">
        <v>635439</v>
      </c>
      <c r="G350" s="27">
        <v>290720</v>
      </c>
      <c r="H350" s="28">
        <f t="shared" si="26"/>
        <v>0</v>
      </c>
      <c r="I350" s="28">
        <f t="shared" si="26"/>
        <v>1946</v>
      </c>
      <c r="J350" s="28">
        <f t="shared" si="26"/>
        <v>190</v>
      </c>
      <c r="K350" s="28">
        <f t="shared" si="26"/>
        <v>165</v>
      </c>
      <c r="L350" s="29">
        <f t="shared" si="26"/>
        <v>155</v>
      </c>
      <c r="M350" s="30">
        <f t="shared" si="27"/>
        <v>2301</v>
      </c>
      <c r="Q350" s="20">
        <f t="shared" si="29"/>
        <v>0</v>
      </c>
    </row>
    <row r="351" spans="2:17" ht="12.95" customHeight="1" x14ac:dyDescent="0.2">
      <c r="B351" s="22">
        <v>44544</v>
      </c>
      <c r="C351" s="41">
        <v>16228335</v>
      </c>
      <c r="D351" s="24">
        <v>5055422</v>
      </c>
      <c r="E351" s="25">
        <v>240666</v>
      </c>
      <c r="F351" s="26">
        <v>635606</v>
      </c>
      <c r="G351" s="27">
        <v>290889</v>
      </c>
      <c r="H351" s="28">
        <f t="shared" si="26"/>
        <v>0</v>
      </c>
      <c r="I351" s="28">
        <f t="shared" si="26"/>
        <v>2185</v>
      </c>
      <c r="J351" s="28">
        <f t="shared" si="26"/>
        <v>191</v>
      </c>
      <c r="K351" s="28">
        <f t="shared" si="26"/>
        <v>167</v>
      </c>
      <c r="L351" s="29">
        <f t="shared" si="26"/>
        <v>169</v>
      </c>
      <c r="M351" s="30">
        <f t="shared" si="27"/>
        <v>2543</v>
      </c>
      <c r="Q351" s="20">
        <f t="shared" si="29"/>
        <v>0</v>
      </c>
    </row>
    <row r="352" spans="2:17" ht="12.95" customHeight="1" x14ac:dyDescent="0.2">
      <c r="B352" s="22">
        <v>44545</v>
      </c>
      <c r="C352" s="41">
        <v>16228335</v>
      </c>
      <c r="D352" s="24">
        <v>5058277</v>
      </c>
      <c r="E352" s="25">
        <v>240907</v>
      </c>
      <c r="F352" s="26">
        <v>635782</v>
      </c>
      <c r="G352" s="27">
        <v>291049</v>
      </c>
      <c r="H352" s="28">
        <f t="shared" si="26"/>
        <v>0</v>
      </c>
      <c r="I352" s="28">
        <f t="shared" si="26"/>
        <v>2855</v>
      </c>
      <c r="J352" s="28">
        <f t="shared" si="26"/>
        <v>241</v>
      </c>
      <c r="K352" s="28">
        <f t="shared" si="26"/>
        <v>176</v>
      </c>
      <c r="L352" s="29">
        <f t="shared" si="26"/>
        <v>160</v>
      </c>
      <c r="M352" s="30">
        <f t="shared" si="27"/>
        <v>3272</v>
      </c>
      <c r="Q352" s="20">
        <f t="shared" si="29"/>
        <v>0</v>
      </c>
    </row>
    <row r="353" spans="2:17" ht="12.95" customHeight="1" x14ac:dyDescent="0.2">
      <c r="B353" s="22">
        <v>44546</v>
      </c>
      <c r="C353" s="41">
        <v>16228335</v>
      </c>
      <c r="D353" s="24">
        <v>5061091</v>
      </c>
      <c r="E353" s="25">
        <v>241132</v>
      </c>
      <c r="F353" s="26">
        <v>635967</v>
      </c>
      <c r="G353" s="27">
        <v>291232</v>
      </c>
      <c r="H353" s="28">
        <f t="shared" si="26"/>
        <v>0</v>
      </c>
      <c r="I353" s="28">
        <f t="shared" si="26"/>
        <v>2814</v>
      </c>
      <c r="J353" s="28">
        <f t="shared" si="26"/>
        <v>225</v>
      </c>
      <c r="K353" s="28">
        <f>IF(F353="","",+(F353-F352))</f>
        <v>185</v>
      </c>
      <c r="L353" s="29">
        <f t="shared" si="26"/>
        <v>183</v>
      </c>
      <c r="M353" s="30">
        <f t="shared" si="27"/>
        <v>3224</v>
      </c>
      <c r="Q353" s="20">
        <f t="shared" si="29"/>
        <v>0</v>
      </c>
    </row>
    <row r="354" spans="2:17" ht="12.95" customHeight="1" x14ac:dyDescent="0.2">
      <c r="B354" s="22">
        <v>44547</v>
      </c>
      <c r="C354" s="41">
        <v>16228335</v>
      </c>
      <c r="D354" s="24">
        <v>5063979</v>
      </c>
      <c r="E354" s="25">
        <v>241324</v>
      </c>
      <c r="F354" s="26">
        <v>636151</v>
      </c>
      <c r="G354" s="27">
        <v>291395</v>
      </c>
      <c r="H354" s="28">
        <f t="shared" si="26"/>
        <v>0</v>
      </c>
      <c r="I354" s="28">
        <f t="shared" si="26"/>
        <v>2888</v>
      </c>
      <c r="J354" s="28">
        <f t="shared" si="26"/>
        <v>192</v>
      </c>
      <c r="K354" s="28">
        <f t="shared" si="26"/>
        <v>184</v>
      </c>
      <c r="L354" s="29">
        <f t="shared" si="26"/>
        <v>163</v>
      </c>
      <c r="M354" s="30">
        <f t="shared" si="27"/>
        <v>3264</v>
      </c>
      <c r="Q354" s="20">
        <f t="shared" si="29"/>
        <v>0</v>
      </c>
    </row>
    <row r="355" spans="2:17" ht="12.95" customHeight="1" x14ac:dyDescent="0.2">
      <c r="B355" s="22">
        <v>44548</v>
      </c>
      <c r="C355" s="41">
        <v>16228335</v>
      </c>
      <c r="D355" s="24">
        <v>5066626</v>
      </c>
      <c r="E355" s="25">
        <v>241451</v>
      </c>
      <c r="F355" s="26">
        <v>636350</v>
      </c>
      <c r="G355" s="27">
        <v>291568</v>
      </c>
      <c r="H355" s="28">
        <f t="shared" si="26"/>
        <v>0</v>
      </c>
      <c r="I355" s="28">
        <f t="shared" si="26"/>
        <v>2647</v>
      </c>
      <c r="J355" s="28">
        <f t="shared" si="26"/>
        <v>127</v>
      </c>
      <c r="K355" s="28">
        <f t="shared" si="26"/>
        <v>199</v>
      </c>
      <c r="L355" s="29">
        <f t="shared" si="26"/>
        <v>173</v>
      </c>
      <c r="M355" s="30">
        <f t="shared" si="27"/>
        <v>2973</v>
      </c>
      <c r="Q355" s="20">
        <f t="shared" si="29"/>
        <v>0</v>
      </c>
    </row>
    <row r="356" spans="2:17" ht="12.95" customHeight="1" x14ac:dyDescent="0.2">
      <c r="B356" s="22">
        <v>44549</v>
      </c>
      <c r="C356" s="41">
        <v>16228335</v>
      </c>
      <c r="D356" s="24">
        <v>5069280</v>
      </c>
      <c r="E356" s="25">
        <v>241602</v>
      </c>
      <c r="F356" s="26">
        <v>636555</v>
      </c>
      <c r="G356" s="27">
        <v>291764</v>
      </c>
      <c r="H356" s="28">
        <f t="shared" si="26"/>
        <v>0</v>
      </c>
      <c r="I356" s="28">
        <f t="shared" si="26"/>
        <v>2654</v>
      </c>
      <c r="J356" s="28">
        <f t="shared" si="26"/>
        <v>151</v>
      </c>
      <c r="K356" s="28">
        <f t="shared" si="26"/>
        <v>205</v>
      </c>
      <c r="L356" s="29">
        <f t="shared" si="26"/>
        <v>196</v>
      </c>
      <c r="M356" s="30">
        <f t="shared" si="27"/>
        <v>3010</v>
      </c>
      <c r="Q356" s="20">
        <f t="shared" si="29"/>
        <v>0</v>
      </c>
    </row>
    <row r="357" spans="2:17" ht="12.95" customHeight="1" x14ac:dyDescent="0.2">
      <c r="B357" s="22">
        <v>44550</v>
      </c>
      <c r="C357" s="41">
        <v>16228335</v>
      </c>
      <c r="D357" s="24">
        <v>5072117</v>
      </c>
      <c r="E357" s="25">
        <v>241794</v>
      </c>
      <c r="F357" s="26">
        <v>636754</v>
      </c>
      <c r="G357" s="27">
        <v>291979</v>
      </c>
      <c r="H357" s="28">
        <f t="shared" si="26"/>
        <v>0</v>
      </c>
      <c r="I357" s="28">
        <f t="shared" si="26"/>
        <v>2837</v>
      </c>
      <c r="J357" s="28">
        <f t="shared" si="26"/>
        <v>192</v>
      </c>
      <c r="K357" s="28">
        <f t="shared" si="26"/>
        <v>199</v>
      </c>
      <c r="L357" s="29">
        <f t="shared" si="26"/>
        <v>215</v>
      </c>
      <c r="M357" s="30">
        <f t="shared" si="27"/>
        <v>3228</v>
      </c>
      <c r="Q357" s="20">
        <f t="shared" si="29"/>
        <v>0</v>
      </c>
    </row>
    <row r="358" spans="2:17" ht="12.95" customHeight="1" thickBot="1" x14ac:dyDescent="0.25">
      <c r="B358" s="22">
        <v>44551</v>
      </c>
      <c r="C358" s="41">
        <v>16228335</v>
      </c>
      <c r="D358" s="24">
        <v>5075308</v>
      </c>
      <c r="E358" s="25">
        <v>241941</v>
      </c>
      <c r="F358" s="26">
        <v>636961</v>
      </c>
      <c r="G358" s="27">
        <v>292176</v>
      </c>
      <c r="H358" s="28">
        <f t="shared" si="26"/>
        <v>0</v>
      </c>
      <c r="I358" s="28">
        <f t="shared" si="26"/>
        <v>3191</v>
      </c>
      <c r="J358" s="28">
        <f t="shared" si="26"/>
        <v>147</v>
      </c>
      <c r="K358" s="28">
        <f t="shared" si="26"/>
        <v>207</v>
      </c>
      <c r="L358" s="29">
        <f t="shared" si="26"/>
        <v>197</v>
      </c>
      <c r="M358" s="30">
        <f t="shared" si="27"/>
        <v>3545</v>
      </c>
      <c r="Q358" s="20">
        <f t="shared" si="29"/>
        <v>0</v>
      </c>
    </row>
    <row r="359" spans="2:17" ht="12.95" customHeight="1" x14ac:dyDescent="0.2">
      <c r="B359" s="22">
        <v>44552</v>
      </c>
      <c r="C359" s="41">
        <v>16228335</v>
      </c>
      <c r="D359" s="24">
        <v>5078487</v>
      </c>
      <c r="E359" s="25">
        <v>242090</v>
      </c>
      <c r="F359" s="26">
        <v>637153</v>
      </c>
      <c r="G359" s="27">
        <v>292345</v>
      </c>
      <c r="H359" s="28">
        <f t="shared" si="26"/>
        <v>0</v>
      </c>
      <c r="I359" s="28">
        <f t="shared" si="26"/>
        <v>3179</v>
      </c>
      <c r="J359" s="28">
        <f t="shared" si="26"/>
        <v>149</v>
      </c>
      <c r="K359" s="28">
        <f t="shared" si="26"/>
        <v>192</v>
      </c>
      <c r="L359" s="29">
        <f t="shared" si="26"/>
        <v>169</v>
      </c>
      <c r="M359" s="30">
        <f t="shared" si="27"/>
        <v>3520</v>
      </c>
      <c r="N359" s="198" t="s">
        <v>21</v>
      </c>
      <c r="O359" s="198" t="s">
        <v>22</v>
      </c>
      <c r="Q359" s="20">
        <f t="shared" si="29"/>
        <v>0</v>
      </c>
    </row>
    <row r="360" spans="2:17" ht="12.95" customHeight="1" x14ac:dyDescent="0.2">
      <c r="B360" s="22">
        <v>44553</v>
      </c>
      <c r="C360" s="41">
        <v>16228335</v>
      </c>
      <c r="D360" s="24">
        <v>5081780</v>
      </c>
      <c r="E360" s="25">
        <v>242289</v>
      </c>
      <c r="F360" s="26">
        <v>637337</v>
      </c>
      <c r="G360" s="27">
        <v>292525</v>
      </c>
      <c r="H360" s="28">
        <f t="shared" si="26"/>
        <v>0</v>
      </c>
      <c r="I360" s="28">
        <f t="shared" si="26"/>
        <v>3293</v>
      </c>
      <c r="J360" s="28">
        <f t="shared" si="26"/>
        <v>199</v>
      </c>
      <c r="K360" s="28">
        <f t="shared" si="26"/>
        <v>184</v>
      </c>
      <c r="L360" s="29">
        <f t="shared" si="26"/>
        <v>180</v>
      </c>
      <c r="M360" s="30">
        <f t="shared" si="27"/>
        <v>3676</v>
      </c>
      <c r="N360" s="199"/>
      <c r="O360" s="199"/>
      <c r="Q360" s="20">
        <f t="shared" si="29"/>
        <v>0</v>
      </c>
    </row>
    <row r="361" spans="2:17" ht="12.95" customHeight="1" thickBot="1" x14ac:dyDescent="0.25">
      <c r="B361" s="22">
        <v>44554</v>
      </c>
      <c r="C361" s="41">
        <v>16228335</v>
      </c>
      <c r="D361" s="24">
        <v>5084617</v>
      </c>
      <c r="E361" s="25">
        <v>242469</v>
      </c>
      <c r="F361" s="26">
        <v>637533</v>
      </c>
      <c r="G361" s="27">
        <v>292707</v>
      </c>
      <c r="H361" s="28">
        <f t="shared" si="26"/>
        <v>0</v>
      </c>
      <c r="I361" s="28">
        <f t="shared" si="26"/>
        <v>2837</v>
      </c>
      <c r="J361" s="28">
        <f t="shared" si="26"/>
        <v>180</v>
      </c>
      <c r="K361" s="28">
        <f t="shared" si="26"/>
        <v>196</v>
      </c>
      <c r="L361" s="29">
        <f t="shared" si="26"/>
        <v>182</v>
      </c>
      <c r="M361" s="30">
        <f t="shared" si="27"/>
        <v>3213</v>
      </c>
      <c r="N361" s="200"/>
      <c r="O361" s="200"/>
      <c r="Q361" s="20">
        <f t="shared" si="29"/>
        <v>0</v>
      </c>
    </row>
    <row r="362" spans="2:17" ht="12.95" customHeight="1" thickBot="1" x14ac:dyDescent="0.25">
      <c r="B362" s="22">
        <v>44555</v>
      </c>
      <c r="C362" s="41">
        <v>16228335</v>
      </c>
      <c r="D362" s="24">
        <v>5087062</v>
      </c>
      <c r="E362" s="25">
        <v>242652</v>
      </c>
      <c r="F362" s="26">
        <v>637729</v>
      </c>
      <c r="G362" s="27">
        <v>292891</v>
      </c>
      <c r="H362" s="28">
        <f t="shared" si="26"/>
        <v>0</v>
      </c>
      <c r="I362" s="28">
        <f t="shared" si="26"/>
        <v>2445</v>
      </c>
      <c r="J362" s="28">
        <f t="shared" si="26"/>
        <v>183</v>
      </c>
      <c r="K362" s="28">
        <f t="shared" si="26"/>
        <v>196</v>
      </c>
      <c r="L362" s="29">
        <f t="shared" si="26"/>
        <v>184</v>
      </c>
      <c r="M362" s="30">
        <f t="shared" si="27"/>
        <v>2824</v>
      </c>
      <c r="N362" s="32">
        <f>SUM(L339:L369)</f>
        <v>4950</v>
      </c>
      <c r="O362" s="32">
        <f>SUM(M339:M369)</f>
        <v>72143</v>
      </c>
      <c r="Q362" s="20">
        <f t="shared" si="29"/>
        <v>0</v>
      </c>
    </row>
    <row r="363" spans="2:17" ht="12.95" customHeight="1" x14ac:dyDescent="0.2">
      <c r="B363" s="22">
        <v>44556</v>
      </c>
      <c r="C363" s="41">
        <v>16228335</v>
      </c>
      <c r="D363" s="24">
        <v>5089145</v>
      </c>
      <c r="E363" s="25">
        <v>242861</v>
      </c>
      <c r="F363" s="26">
        <v>637932</v>
      </c>
      <c r="G363" s="27">
        <v>293084</v>
      </c>
      <c r="H363" s="28">
        <f t="shared" si="26"/>
        <v>0</v>
      </c>
      <c r="I363" s="28">
        <f t="shared" si="26"/>
        <v>2083</v>
      </c>
      <c r="J363" s="28">
        <f t="shared" si="26"/>
        <v>209</v>
      </c>
      <c r="K363" s="28">
        <f t="shared" si="26"/>
        <v>203</v>
      </c>
      <c r="L363" s="29">
        <f t="shared" si="26"/>
        <v>193</v>
      </c>
      <c r="M363" s="30">
        <f t="shared" si="27"/>
        <v>2495</v>
      </c>
      <c r="N363" s="198" t="s">
        <v>23</v>
      </c>
      <c r="O363" s="198" t="s">
        <v>24</v>
      </c>
      <c r="Q363" s="20">
        <f t="shared" si="29"/>
        <v>0</v>
      </c>
    </row>
    <row r="364" spans="2:17" ht="12.95" customHeight="1" thickBot="1" x14ac:dyDescent="0.25">
      <c r="B364" s="22">
        <v>44557</v>
      </c>
      <c r="C364" s="41">
        <v>16228335</v>
      </c>
      <c r="D364" s="24">
        <v>5090992</v>
      </c>
      <c r="E364" s="25">
        <v>242995</v>
      </c>
      <c r="F364" s="26">
        <v>638145</v>
      </c>
      <c r="G364" s="27">
        <v>293254</v>
      </c>
      <c r="H364" s="28">
        <f t="shared" si="26"/>
        <v>0</v>
      </c>
      <c r="I364" s="28">
        <f t="shared" si="26"/>
        <v>1847</v>
      </c>
      <c r="J364" s="28">
        <f t="shared" si="26"/>
        <v>134</v>
      </c>
      <c r="K364" s="28">
        <f t="shared" si="26"/>
        <v>213</v>
      </c>
      <c r="L364" s="29">
        <f t="shared" si="26"/>
        <v>170</v>
      </c>
      <c r="M364" s="30">
        <f t="shared" si="27"/>
        <v>2194</v>
      </c>
      <c r="N364" s="200"/>
      <c r="O364" s="200"/>
      <c r="Q364" s="20">
        <f t="shared" si="29"/>
        <v>0</v>
      </c>
    </row>
    <row r="365" spans="2:17" ht="12.95" customHeight="1" thickBot="1" x14ac:dyDescent="0.25">
      <c r="B365" s="22">
        <v>44558</v>
      </c>
      <c r="C365" s="41">
        <v>16228335</v>
      </c>
      <c r="D365" s="24">
        <v>5092921</v>
      </c>
      <c r="E365" s="25">
        <v>243191</v>
      </c>
      <c r="F365" s="26">
        <v>638350</v>
      </c>
      <c r="G365" s="27">
        <v>293432</v>
      </c>
      <c r="H365" s="28">
        <f t="shared" si="26"/>
        <v>0</v>
      </c>
      <c r="I365" s="28">
        <f t="shared" si="26"/>
        <v>1929</v>
      </c>
      <c r="J365" s="28">
        <f t="shared" si="26"/>
        <v>196</v>
      </c>
      <c r="K365" s="28">
        <f t="shared" si="26"/>
        <v>205</v>
      </c>
      <c r="L365" s="29">
        <f t="shared" si="26"/>
        <v>178</v>
      </c>
      <c r="M365" s="30">
        <f t="shared" si="27"/>
        <v>2330</v>
      </c>
      <c r="N365" s="32">
        <f>AVERAGE(L339:L369)</f>
        <v>176.78571428571428</v>
      </c>
      <c r="O365" s="32">
        <f>AVERAGE(M339:M369)</f>
        <v>2576.5357142857142</v>
      </c>
      <c r="Q365" s="20">
        <f t="shared" si="29"/>
        <v>0</v>
      </c>
    </row>
    <row r="366" spans="2:17" ht="12.95" customHeight="1" x14ac:dyDescent="0.2">
      <c r="B366" s="22">
        <v>44559</v>
      </c>
      <c r="C366" s="41">
        <v>16228335</v>
      </c>
      <c r="D366" s="24">
        <v>5094857</v>
      </c>
      <c r="E366" s="25">
        <v>243401</v>
      </c>
      <c r="F366" s="26">
        <v>638562</v>
      </c>
      <c r="G366" s="27">
        <v>293627</v>
      </c>
      <c r="H366" s="28">
        <f t="shared" si="26"/>
        <v>0</v>
      </c>
      <c r="I366" s="28">
        <f t="shared" si="26"/>
        <v>1936</v>
      </c>
      <c r="J366" s="28">
        <f t="shared" si="26"/>
        <v>210</v>
      </c>
      <c r="K366" s="28">
        <f t="shared" si="26"/>
        <v>212</v>
      </c>
      <c r="L366" s="29">
        <f t="shared" si="26"/>
        <v>195</v>
      </c>
      <c r="M366" s="30">
        <f t="shared" si="27"/>
        <v>2358</v>
      </c>
      <c r="O366" s="20">
        <f>IF(L366="",1,0)</f>
        <v>0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7"/>
        <v/>
      </c>
      <c r="Q369" s="20">
        <f t="shared" si="29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1">SUM(H4:H369)</f>
        <v>0</v>
      </c>
      <c r="I371" s="46">
        <f>SUM(I4:I369)</f>
        <v>654295</v>
      </c>
      <c r="J371" s="40">
        <f t="shared" si="31"/>
        <v>67119</v>
      </c>
      <c r="K371" s="40">
        <f t="shared" si="31"/>
        <v>62772</v>
      </c>
      <c r="L371" s="40">
        <f t="shared" si="31"/>
        <v>68069</v>
      </c>
      <c r="M371" s="40">
        <f t="shared" si="31"/>
        <v>784186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35" workbookViewId="0">
      <selection activeCell="S357" sqref="S357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65" si="42">IF(D316="","",+(E316-E315)*4140)</f>
        <v>22960.440000000202</v>
      </c>
      <c r="J316" s="59">
        <f t="shared" ref="J316:J367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2.667364940009298E-2</v>
      </c>
      <c r="Q328" s="70">
        <f>IF(L308="",0,+SUM(L308:L337)/SUM(I308:I337))</f>
        <v>2.667364940009298E-2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>
        <v>0.14199999999999999</v>
      </c>
      <c r="E330" s="57">
        <v>1666.82</v>
      </c>
      <c r="F330" s="58">
        <v>56.622999999999998</v>
      </c>
      <c r="G330" s="59"/>
      <c r="H330" s="59">
        <v>4140</v>
      </c>
      <c r="I330" s="59">
        <f t="shared" si="42"/>
        <v>24111.359999999346</v>
      </c>
      <c r="J330" s="59">
        <f t="shared" si="43"/>
        <v>728.63999999997861</v>
      </c>
      <c r="K330" s="60">
        <f t="shared" si="39"/>
        <v>3.0219780219780154E-2</v>
      </c>
      <c r="L330" s="59">
        <f t="shared" si="46"/>
        <v>728.63999999997861</v>
      </c>
      <c r="M330" s="60">
        <f t="shared" si="40"/>
        <v>3.0219780219780154E-2</v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>
        <v>0.14199999999999999</v>
      </c>
      <c r="E331" s="57">
        <v>1672.65</v>
      </c>
      <c r="F331" s="58">
        <v>56.802</v>
      </c>
      <c r="G331" s="59"/>
      <c r="H331" s="59">
        <v>4140</v>
      </c>
      <c r="I331" s="59">
        <f t="shared" si="42"/>
        <v>24136.200000000641</v>
      </c>
      <c r="J331" s="59">
        <f t="shared" si="43"/>
        <v>741.06000000000847</v>
      </c>
      <c r="K331" s="60">
        <f t="shared" si="39"/>
        <v>3.0703259005145332E-2</v>
      </c>
      <c r="L331" s="59">
        <f t="shared" si="46"/>
        <v>741.06000000000847</v>
      </c>
      <c r="M331" s="60">
        <f t="shared" si="40"/>
        <v>3.0703259005145332E-2</v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>
        <v>0.14199999999999999</v>
      </c>
      <c r="E332" s="57">
        <v>1678.7670000000001</v>
      </c>
      <c r="F332" s="58">
        <v>57.036999999999999</v>
      </c>
      <c r="G332" s="59"/>
      <c r="H332" s="59">
        <v>4140</v>
      </c>
      <c r="I332" s="59">
        <f t="shared" si="42"/>
        <v>25324.379999999841</v>
      </c>
      <c r="J332" s="59">
        <f t="shared" si="43"/>
        <v>972.89999999999759</v>
      </c>
      <c r="K332" s="60">
        <f t="shared" si="39"/>
        <v>3.841752493052164E-2</v>
      </c>
      <c r="L332" s="59">
        <f t="shared" si="46"/>
        <v>972.89999999999759</v>
      </c>
      <c r="M332" s="60">
        <f t="shared" si="40"/>
        <v>3.841752493052164E-2</v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>
        <v>0.14199999999999999</v>
      </c>
      <c r="E333" s="57">
        <v>1684.2619999999999</v>
      </c>
      <c r="F333" s="58">
        <v>57.143999999999998</v>
      </c>
      <c r="G333" s="59"/>
      <c r="H333" s="59">
        <v>4140</v>
      </c>
      <c r="I333" s="59">
        <f t="shared" si="42"/>
        <v>22749.299999999548</v>
      </c>
      <c r="J333" s="59">
        <f t="shared" si="43"/>
        <v>442.97999999999718</v>
      </c>
      <c r="K333" s="60">
        <f t="shared" ref="K333:K337" si="49">IF(J333="","",+(J333/I333))</f>
        <v>1.9472247497725467E-2</v>
      </c>
      <c r="L333" s="59">
        <f t="shared" si="46"/>
        <v>442.97999999999718</v>
      </c>
      <c r="M333" s="60">
        <f t="shared" ref="M333:M362" si="50">IF(L333="","",(L333/I333))</f>
        <v>1.9472247497725467E-2</v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>
        <v>0.14199999999999999</v>
      </c>
      <c r="E334" s="57">
        <v>1689.9559999999999</v>
      </c>
      <c r="F334" s="58">
        <v>57.305</v>
      </c>
      <c r="G334" s="59"/>
      <c r="H334" s="59">
        <v>4140</v>
      </c>
      <c r="I334" s="59">
        <f t="shared" si="42"/>
        <v>23573.159999999836</v>
      </c>
      <c r="J334" s="59">
        <f t="shared" si="43"/>
        <v>666.54000000000565</v>
      </c>
      <c r="K334" s="60">
        <f t="shared" si="49"/>
        <v>2.8275377590446519E-2</v>
      </c>
      <c r="L334" s="59">
        <f t="shared" si="46"/>
        <v>666.54000000000565</v>
      </c>
      <c r="M334" s="60">
        <f t="shared" si="50"/>
        <v>2.8275377590446519E-2</v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>
        <v>0.14199999999999999</v>
      </c>
      <c r="E335" s="57">
        <v>1694.64</v>
      </c>
      <c r="F335" s="58">
        <v>57.460999999999999</v>
      </c>
      <c r="G335" s="59"/>
      <c r="H335" s="59">
        <v>4140</v>
      </c>
      <c r="I335" s="59">
        <f t="shared" si="42"/>
        <v>19391.760000000813</v>
      </c>
      <c r="J335" s="59">
        <f t="shared" si="43"/>
        <v>645.83999999999503</v>
      </c>
      <c r="K335" s="60">
        <f t="shared" si="49"/>
        <v>3.3304867634498775E-2</v>
      </c>
      <c r="L335" s="59">
        <f t="shared" si="46"/>
        <v>645.83999999999503</v>
      </c>
      <c r="M335" s="60">
        <f t="shared" si="50"/>
        <v>3.3304867634498775E-2</v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>
        <v>0.14199999999999999</v>
      </c>
      <c r="E336" s="57">
        <v>1699.8489999999999</v>
      </c>
      <c r="F336" s="58">
        <v>57.747</v>
      </c>
      <c r="G336" s="59"/>
      <c r="H336" s="59">
        <v>4140</v>
      </c>
      <c r="I336" s="59">
        <f t="shared" si="42"/>
        <v>21565.259999999307</v>
      </c>
      <c r="J336" s="59">
        <f t="shared" si="43"/>
        <v>1184.0400000000056</v>
      </c>
      <c r="K336" s="60">
        <f t="shared" si="49"/>
        <v>5.4904972163565088E-2</v>
      </c>
      <c r="L336" s="59">
        <f t="shared" si="46"/>
        <v>1184.0400000000056</v>
      </c>
      <c r="M336" s="60">
        <f t="shared" si="50"/>
        <v>5.4904972163565088E-2</v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56">
        <v>0.14199999999999999</v>
      </c>
      <c r="E337" s="57">
        <v>1704.9</v>
      </c>
      <c r="F337" s="58">
        <v>57.865000000000002</v>
      </c>
      <c r="G337" s="90"/>
      <c r="H337" s="59">
        <v>4140</v>
      </c>
      <c r="I337" s="59">
        <f t="shared" si="42"/>
        <v>20911.140000000654</v>
      </c>
      <c r="J337" s="59">
        <f t="shared" si="43"/>
        <v>488.52000000000874</v>
      </c>
      <c r="K337" s="60">
        <f t="shared" si="49"/>
        <v>2.3361710552365553E-2</v>
      </c>
      <c r="L337" s="59">
        <f t="shared" si="46"/>
        <v>488.52000000000874</v>
      </c>
      <c r="M337" s="60">
        <f t="shared" si="50"/>
        <v>2.3361710552365553E-2</v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>
        <v>0.14199999999999999</v>
      </c>
      <c r="E338" s="57">
        <v>1710.5440000000001</v>
      </c>
      <c r="F338" s="58">
        <v>58.009</v>
      </c>
      <c r="G338" s="59"/>
      <c r="H338" s="59">
        <v>4140</v>
      </c>
      <c r="I338" s="59">
        <f t="shared" si="42"/>
        <v>23366.160000000022</v>
      </c>
      <c r="J338" s="59">
        <f t="shared" si="43"/>
        <v>596.15999999999315</v>
      </c>
      <c r="K338" s="60">
        <f t="shared" ref="K338:K368" si="51">IF(J338="","",+(J338/I338))</f>
        <v>2.5513819985825338E-2</v>
      </c>
      <c r="L338" s="59">
        <f t="shared" si="46"/>
        <v>596.15999999999315</v>
      </c>
      <c r="M338" s="60">
        <f t="shared" si="50"/>
        <v>2.5513819985825338E-2</v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>
        <v>0.14199999999999999</v>
      </c>
      <c r="E339" s="57">
        <v>1716.3779999999999</v>
      </c>
      <c r="F339" s="58">
        <v>58.185000000000002</v>
      </c>
      <c r="G339" s="59"/>
      <c r="H339" s="59">
        <v>4140</v>
      </c>
      <c r="I339" s="59">
        <f t="shared" si="42"/>
        <v>24152.759999999307</v>
      </c>
      <c r="J339" s="59">
        <f t="shared" si="43"/>
        <v>728.64000000000806</v>
      </c>
      <c r="K339" s="60">
        <f t="shared" si="51"/>
        <v>3.0167980802195234E-2</v>
      </c>
      <c r="L339" s="59">
        <f t="shared" si="46"/>
        <v>728.64000000000806</v>
      </c>
      <c r="M339" s="60">
        <f t="shared" si="50"/>
        <v>3.0167980802195234E-2</v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>
        <v>0.14199999999999999</v>
      </c>
      <c r="E340" s="57">
        <v>1721.9760000000001</v>
      </c>
      <c r="F340" s="58">
        <v>58.350999999999999</v>
      </c>
      <c r="G340" s="59"/>
      <c r="H340" s="59">
        <v>4140</v>
      </c>
      <c r="I340" s="59">
        <f t="shared" si="42"/>
        <v>23175.720000000762</v>
      </c>
      <c r="J340" s="59">
        <f t="shared" si="43"/>
        <v>687.23999999998682</v>
      </c>
      <c r="K340" s="60">
        <f t="shared" si="51"/>
        <v>2.9653447659876986E-2</v>
      </c>
      <c r="L340" s="59">
        <f t="shared" si="46"/>
        <v>687.23999999998682</v>
      </c>
      <c r="M340" s="60">
        <f t="shared" si="50"/>
        <v>2.9653447659876986E-2</v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>
        <v>0.14199999999999999</v>
      </c>
      <c r="E341" s="57">
        <v>1727.817</v>
      </c>
      <c r="F341" s="58">
        <v>58.515999999999998</v>
      </c>
      <c r="G341" s="59"/>
      <c r="H341" s="59">
        <v>4140</v>
      </c>
      <c r="I341" s="59">
        <f t="shared" si="42"/>
        <v>24181.739999999561</v>
      </c>
      <c r="J341" s="59">
        <f t="shared" si="43"/>
        <v>683.0999999999965</v>
      </c>
      <c r="K341" s="60">
        <f t="shared" si="51"/>
        <v>2.8248587570621837E-2</v>
      </c>
      <c r="L341" s="59">
        <f t="shared" si="46"/>
        <v>683.0999999999965</v>
      </c>
      <c r="M341" s="60">
        <f t="shared" si="50"/>
        <v>2.8248587570621837E-2</v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>
        <v>0.14199999999999999</v>
      </c>
      <c r="E342" s="57">
        <v>1733.6679999999999</v>
      </c>
      <c r="F342" s="58">
        <v>58.686999999999998</v>
      </c>
      <c r="G342" s="59"/>
      <c r="H342" s="59">
        <v>4140</v>
      </c>
      <c r="I342" s="59">
        <f t="shared" si="42"/>
        <v>24223.139999999526</v>
      </c>
      <c r="J342" s="59">
        <f t="shared" si="43"/>
        <v>707.93999999999744</v>
      </c>
      <c r="K342" s="60">
        <f t="shared" si="51"/>
        <v>2.9225773372073615E-2</v>
      </c>
      <c r="L342" s="59">
        <f t="shared" si="46"/>
        <v>707.93999999999744</v>
      </c>
      <c r="M342" s="60">
        <f t="shared" si="50"/>
        <v>2.9225773372073615E-2</v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>
        <v>0.14199999999999999</v>
      </c>
      <c r="E343" s="57">
        <v>1739.721</v>
      </c>
      <c r="F343" s="58">
        <v>58.877000000000002</v>
      </c>
      <c r="G343" s="59"/>
      <c r="H343" s="59">
        <v>4140</v>
      </c>
      <c r="I343" s="59">
        <f t="shared" si="42"/>
        <v>25059.42000000046</v>
      </c>
      <c r="J343" s="59">
        <f t="shared" si="43"/>
        <v>786.60000000002003</v>
      </c>
      <c r="K343" s="60">
        <f t="shared" si="51"/>
        <v>3.1389393689080017E-2</v>
      </c>
      <c r="L343" s="59">
        <f t="shared" si="46"/>
        <v>786.60000000002003</v>
      </c>
      <c r="M343" s="60">
        <f t="shared" si="50"/>
        <v>3.1389393689080017E-2</v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>
        <v>0.14199999999999999</v>
      </c>
      <c r="E344" s="57">
        <v>1745.4159999999999</v>
      </c>
      <c r="F344" s="58">
        <v>59.048000000000002</v>
      </c>
      <c r="G344" s="59"/>
      <c r="H344" s="59">
        <v>4140</v>
      </c>
      <c r="I344" s="59">
        <f t="shared" si="42"/>
        <v>23577.299999999737</v>
      </c>
      <c r="J344" s="59">
        <f t="shared" si="43"/>
        <v>707.93999999999744</v>
      </c>
      <c r="K344" s="60">
        <f t="shared" si="51"/>
        <v>3.0026338893766689E-2</v>
      </c>
      <c r="L344" s="59">
        <f t="shared" si="46"/>
        <v>707.93999999999744</v>
      </c>
      <c r="M344" s="60">
        <f t="shared" si="50"/>
        <v>3.0026338893766689E-2</v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>
        <v>0.14199999999999999</v>
      </c>
      <c r="E345" s="57">
        <v>1750.857</v>
      </c>
      <c r="F345" s="58">
        <v>59.198</v>
      </c>
      <c r="G345" s="59"/>
      <c r="H345" s="59">
        <v>4140</v>
      </c>
      <c r="I345" s="59">
        <f t="shared" si="42"/>
        <v>22525.740000000129</v>
      </c>
      <c r="J345" s="59">
        <f t="shared" si="43"/>
        <v>620.99999999999409</v>
      </c>
      <c r="K345" s="60">
        <f t="shared" si="51"/>
        <v>2.7568461679837845E-2</v>
      </c>
      <c r="L345" s="59">
        <f t="shared" si="46"/>
        <v>620.99999999999409</v>
      </c>
      <c r="M345" s="60">
        <f t="shared" si="50"/>
        <v>2.7568461679837845E-2</v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>
        <v>0.14199999999999999</v>
      </c>
      <c r="E346" s="57">
        <v>1756.2929999999999</v>
      </c>
      <c r="F346" s="58">
        <v>59.341000000000001</v>
      </c>
      <c r="G346" s="59"/>
      <c r="H346" s="59">
        <v>4140</v>
      </c>
      <c r="I346" s="59">
        <f t="shared" si="42"/>
        <v>22505.039999999677</v>
      </c>
      <c r="J346" s="59">
        <f t="shared" si="43"/>
        <v>592.02000000000282</v>
      </c>
      <c r="K346" s="60">
        <f t="shared" si="51"/>
        <v>2.630610743193575E-2</v>
      </c>
      <c r="L346" s="59">
        <f t="shared" si="46"/>
        <v>592.02000000000282</v>
      </c>
      <c r="M346" s="60">
        <f t="shared" si="50"/>
        <v>2.630610743193575E-2</v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>
        <v>0.14199999999999999</v>
      </c>
      <c r="E347" s="57">
        <v>1762.3140000000001</v>
      </c>
      <c r="F347" s="58">
        <v>59.505000000000003</v>
      </c>
      <c r="G347" s="59"/>
      <c r="H347" s="59">
        <v>4140</v>
      </c>
      <c r="I347" s="59">
        <f t="shared" si="42"/>
        <v>24926.940000000766</v>
      </c>
      <c r="J347" s="59">
        <f t="shared" si="43"/>
        <v>678.96000000000618</v>
      </c>
      <c r="K347" s="60">
        <f t="shared" si="51"/>
        <v>2.7238000332170147E-2</v>
      </c>
      <c r="L347" s="59">
        <f t="shared" si="46"/>
        <v>678.96000000000618</v>
      </c>
      <c r="M347" s="60">
        <f t="shared" si="50"/>
        <v>2.7238000332170147E-2</v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>
        <v>0.14199999999999999</v>
      </c>
      <c r="E348" s="57">
        <v>1767.817</v>
      </c>
      <c r="F348" s="58">
        <v>59.643000000000001</v>
      </c>
      <c r="G348" s="59"/>
      <c r="H348" s="59">
        <v>4140</v>
      </c>
      <c r="I348" s="59">
        <f t="shared" si="42"/>
        <v>22782.419999999707</v>
      </c>
      <c r="J348" s="59">
        <f t="shared" si="43"/>
        <v>571.31999999999221</v>
      </c>
      <c r="K348" s="60">
        <f t="shared" si="51"/>
        <v>2.5077230601490075E-2</v>
      </c>
      <c r="L348" s="59">
        <f t="shared" si="46"/>
        <v>571.31999999999221</v>
      </c>
      <c r="M348" s="60">
        <f t="shared" si="50"/>
        <v>2.5077230601490075E-2</v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>
        <v>0.14199999999999999</v>
      </c>
      <c r="E349" s="57">
        <v>1773.7049999999999</v>
      </c>
      <c r="F349" s="58">
        <v>59.829000000000001</v>
      </c>
      <c r="G349" s="59"/>
      <c r="H349" s="59">
        <v>4140</v>
      </c>
      <c r="I349" s="59">
        <f t="shared" si="42"/>
        <v>24376.319999999669</v>
      </c>
      <c r="J349" s="59">
        <f t="shared" si="43"/>
        <v>770.03999999999974</v>
      </c>
      <c r="K349" s="60">
        <f t="shared" si="51"/>
        <v>3.1589673913043896E-2</v>
      </c>
      <c r="L349" s="59">
        <f t="shared" si="46"/>
        <v>770.03999999999974</v>
      </c>
      <c r="M349" s="60">
        <f t="shared" si="50"/>
        <v>3.1589673913043896E-2</v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>
        <v>0.14199999999999999</v>
      </c>
      <c r="E350" s="57">
        <v>1779.655</v>
      </c>
      <c r="F350" s="58">
        <v>59.942</v>
      </c>
      <c r="G350" s="59"/>
      <c r="H350" s="59">
        <v>4140</v>
      </c>
      <c r="I350" s="59">
        <f t="shared" si="42"/>
        <v>24633.000000000189</v>
      </c>
      <c r="J350" s="59">
        <f t="shared" si="43"/>
        <v>467.81999999999812</v>
      </c>
      <c r="K350" s="60">
        <f t="shared" si="51"/>
        <v>1.8991596638655239E-2</v>
      </c>
      <c r="L350" s="59">
        <f t="shared" si="46"/>
        <v>467.81999999999812</v>
      </c>
      <c r="M350" s="60">
        <f t="shared" si="50"/>
        <v>1.8991596638655239E-2</v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>
        <v>0.14199999999999999</v>
      </c>
      <c r="E351" s="57">
        <v>1785.9459999999999</v>
      </c>
      <c r="F351" s="58">
        <v>60.015999999999998</v>
      </c>
      <c r="G351" s="59"/>
      <c r="H351" s="59">
        <v>4140</v>
      </c>
      <c r="I351" s="59">
        <f t="shared" si="42"/>
        <v>26044.739999999751</v>
      </c>
      <c r="J351" s="59">
        <f t="shared" si="43"/>
        <v>306.359999999992</v>
      </c>
      <c r="K351" s="60">
        <f t="shared" si="51"/>
        <v>1.1762835797170367E-2</v>
      </c>
      <c r="L351" s="59">
        <f t="shared" si="46"/>
        <v>306.359999999992</v>
      </c>
      <c r="M351" s="60">
        <f t="shared" si="50"/>
        <v>1.1762835797170367E-2</v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>
        <v>0.14199999999999999</v>
      </c>
      <c r="E352" s="57">
        <v>1791.864</v>
      </c>
      <c r="F352" s="58">
        <v>60.119</v>
      </c>
      <c r="G352" s="59"/>
      <c r="H352" s="59">
        <v>4140</v>
      </c>
      <c r="I352" s="59">
        <f t="shared" si="42"/>
        <v>24500.520000000499</v>
      </c>
      <c r="J352" s="59">
        <f t="shared" si="43"/>
        <v>426.42000000000633</v>
      </c>
      <c r="K352" s="60">
        <f t="shared" si="51"/>
        <v>1.7404528556944819E-2</v>
      </c>
      <c r="L352" s="59">
        <f t="shared" si="46"/>
        <v>426.42000000000633</v>
      </c>
      <c r="M352" s="60">
        <f t="shared" si="50"/>
        <v>1.7404528556944819E-2</v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>
        <v>0.14199999999999999</v>
      </c>
      <c r="E353" s="57">
        <v>1797.9369999999999</v>
      </c>
      <c r="F353" s="58">
        <v>60.216000000000001</v>
      </c>
      <c r="G353" s="59"/>
      <c r="H353" s="59">
        <v>4140</v>
      </c>
      <c r="I353" s="59">
        <f t="shared" si="42"/>
        <v>25142.219999999441</v>
      </c>
      <c r="J353" s="59">
        <f t="shared" si="43"/>
        <v>401.58000000000538</v>
      </c>
      <c r="K353" s="60">
        <f t="shared" si="51"/>
        <v>1.5972336571711421E-2</v>
      </c>
      <c r="L353" s="59">
        <f t="shared" si="46"/>
        <v>401.58000000000538</v>
      </c>
      <c r="M353" s="60">
        <f t="shared" si="50"/>
        <v>1.5972336571711421E-2</v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>
        <v>0.14199999999999999</v>
      </c>
      <c r="E354" s="57">
        <v>1803.566</v>
      </c>
      <c r="F354" s="58">
        <v>60.347999999999999</v>
      </c>
      <c r="G354" s="59"/>
      <c r="H354" s="59">
        <v>4140</v>
      </c>
      <c r="I354" s="59">
        <f t="shared" si="42"/>
        <v>23304.060000000551</v>
      </c>
      <c r="J354" s="59">
        <f t="shared" si="43"/>
        <v>546.47999999999126</v>
      </c>
      <c r="K354" s="60">
        <f t="shared" si="51"/>
        <v>2.3449991117426679E-2</v>
      </c>
      <c r="L354" s="59">
        <f t="shared" si="46"/>
        <v>546.47999999999126</v>
      </c>
      <c r="M354" s="60">
        <f t="shared" si="50"/>
        <v>2.3449991117426679E-2</v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>
        <v>0.14199999999999999</v>
      </c>
      <c r="E355" s="57">
        <v>1809.319</v>
      </c>
      <c r="F355" s="58">
        <v>60.497999999999998</v>
      </c>
      <c r="G355" s="59"/>
      <c r="H355" s="59">
        <v>4140</v>
      </c>
      <c r="I355" s="59">
        <f t="shared" si="42"/>
        <v>23817.419999999707</v>
      </c>
      <c r="J355" s="59">
        <f t="shared" si="43"/>
        <v>620.99999999999409</v>
      </c>
      <c r="K355" s="60">
        <f t="shared" si="51"/>
        <v>2.6073353033200141E-2</v>
      </c>
      <c r="L355" s="59">
        <f t="shared" si="46"/>
        <v>620.99999999999409</v>
      </c>
      <c r="M355" s="60">
        <f t="shared" si="50"/>
        <v>2.6073353033200141E-2</v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>
        <v>0.14199999999999999</v>
      </c>
      <c r="E356" s="57">
        <v>1815.5260000000001</v>
      </c>
      <c r="F356" s="58">
        <v>60.579000000000001</v>
      </c>
      <c r="G356" s="59"/>
      <c r="H356" s="59">
        <v>4140</v>
      </c>
      <c r="I356" s="59">
        <f t="shared" si="42"/>
        <v>25696.980000000443</v>
      </c>
      <c r="J356" s="59">
        <f t="shared" si="43"/>
        <v>335.34000000001271</v>
      </c>
      <c r="K356" s="60">
        <f t="shared" si="51"/>
        <v>1.3049782503625209E-2</v>
      </c>
      <c r="L356" s="59">
        <f t="shared" si="46"/>
        <v>335.34000000001271</v>
      </c>
      <c r="M356" s="60">
        <f t="shared" si="50"/>
        <v>1.3049782503625209E-2</v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>
        <v>0.14199999999999999</v>
      </c>
      <c r="E357" s="57">
        <v>1821.5070000000001</v>
      </c>
      <c r="F357" s="58">
        <v>60.677</v>
      </c>
      <c r="G357" s="59"/>
      <c r="H357" s="59">
        <v>4140</v>
      </c>
      <c r="I357" s="59">
        <f t="shared" si="42"/>
        <v>24761.339999999978</v>
      </c>
      <c r="J357" s="59">
        <f t="shared" si="43"/>
        <v>405.71999999999576</v>
      </c>
      <c r="K357" s="60">
        <f t="shared" si="51"/>
        <v>1.6385219862899023E-2</v>
      </c>
      <c r="L357" s="59">
        <f t="shared" si="46"/>
        <v>405.71999999999576</v>
      </c>
      <c r="M357" s="60">
        <f t="shared" si="50"/>
        <v>1.6385219862899023E-2</v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>
        <v>0.14199999999999999</v>
      </c>
      <c r="E358" s="57">
        <v>1827.261</v>
      </c>
      <c r="F358" s="58">
        <v>60.783999999999999</v>
      </c>
      <c r="G358" s="59"/>
      <c r="H358" s="59">
        <v>4140</v>
      </c>
      <c r="I358" s="59">
        <f t="shared" si="42"/>
        <v>23821.559999999608</v>
      </c>
      <c r="J358" s="59">
        <f t="shared" si="43"/>
        <v>442.97999999999718</v>
      </c>
      <c r="K358" s="60">
        <f t="shared" si="51"/>
        <v>1.8595759471672066E-2</v>
      </c>
      <c r="L358" s="59">
        <f t="shared" si="46"/>
        <v>442.97999999999718</v>
      </c>
      <c r="M358" s="60">
        <f t="shared" si="50"/>
        <v>1.8595759471672066E-2</v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>
        <v>0.14199999999999999</v>
      </c>
      <c r="E359" s="57">
        <v>1832.616</v>
      </c>
      <c r="F359" s="58">
        <v>60.884999999999998</v>
      </c>
      <c r="G359" s="59"/>
      <c r="H359" s="59">
        <v>4140</v>
      </c>
      <c r="I359" s="59">
        <f t="shared" si="42"/>
        <v>22169.700000000077</v>
      </c>
      <c r="J359" s="59">
        <f t="shared" si="43"/>
        <v>418.13999999999623</v>
      </c>
      <c r="K359" s="60">
        <f t="shared" si="51"/>
        <v>1.8860877684406859E-2</v>
      </c>
      <c r="L359" s="59">
        <f t="shared" si="46"/>
        <v>418.13999999999623</v>
      </c>
      <c r="M359" s="60">
        <f t="shared" si="50"/>
        <v>1.8860877684406859E-2</v>
      </c>
      <c r="N359" s="61">
        <v>66068309</v>
      </c>
      <c r="O359" s="61">
        <f t="shared" si="44"/>
        <v>0</v>
      </c>
      <c r="P359" s="70">
        <f>IF(J338="",0,+SUM(J338:J368)/SUM(I338:I368))</f>
        <v>2.2002349885597704E-2</v>
      </c>
      <c r="Q359" s="70">
        <f>IF(L338="",0,+SUM(L338:L368)/SUM(I338:I368))</f>
        <v>2.2002349885597704E-2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>
        <v>0.14199999999999999</v>
      </c>
      <c r="E360" s="57">
        <v>1838.4849999999999</v>
      </c>
      <c r="F360" s="58">
        <v>60.98</v>
      </c>
      <c r="G360" s="59"/>
      <c r="H360" s="59">
        <v>4140</v>
      </c>
      <c r="I360" s="59">
        <f t="shared" si="42"/>
        <v>24297.659999999647</v>
      </c>
      <c r="J360" s="59">
        <f t="shared" si="43"/>
        <v>393.29999999999529</v>
      </c>
      <c r="K360" s="60">
        <f t="shared" si="51"/>
        <v>1.6186743908672727E-2</v>
      </c>
      <c r="L360" s="59">
        <f t="shared" si="46"/>
        <v>393.29999999999529</v>
      </c>
      <c r="M360" s="60">
        <f t="shared" si="50"/>
        <v>1.6186743908672727E-2</v>
      </c>
      <c r="N360" s="61">
        <v>66068309</v>
      </c>
      <c r="O360" s="61">
        <f t="shared" si="44"/>
        <v>0</v>
      </c>
      <c r="P360" s="71" t="e">
        <f>IF(J338="",0,+(+(LOOKUP(9.99999999999999E+307,E338:E368)-E337))/(+(LOOKUP(9.99999999999999E+307,D338:D368)-D337)))</f>
        <v>#DIV/0!</v>
      </c>
      <c r="Q360" s="71" t="e">
        <f>IF(L338="",0,+(+(LOOKUP(9.99999999999999E+307,F338:F368)-F337))/(+(LOOKUP(9.99999999999999E+307,D338:D368)-D337)))</f>
        <v>#DIV/0!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>
        <v>0.14199999999999999</v>
      </c>
      <c r="E361" s="57">
        <v>1844.058</v>
      </c>
      <c r="F361" s="58">
        <v>61.072000000000003</v>
      </c>
      <c r="G361" s="59"/>
      <c r="H361" s="59">
        <v>4140</v>
      </c>
      <c r="I361" s="59">
        <f t="shared" si="42"/>
        <v>23072.220000000383</v>
      </c>
      <c r="J361" s="59">
        <f t="shared" si="43"/>
        <v>380.88000000002421</v>
      </c>
      <c r="K361" s="60">
        <f t="shared" si="51"/>
        <v>1.6508164363898136E-2</v>
      </c>
      <c r="L361" s="59">
        <f t="shared" si="46"/>
        <v>380.88000000002421</v>
      </c>
      <c r="M361" s="60">
        <f t="shared" si="50"/>
        <v>1.6508164363898136E-2</v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>
        <v>0.14199999999999999</v>
      </c>
      <c r="E362" s="57">
        <v>1850.0609999999999</v>
      </c>
      <c r="F362" s="58">
        <v>61.16</v>
      </c>
      <c r="G362" s="59"/>
      <c r="H362" s="59">
        <v>4140</v>
      </c>
      <c r="I362" s="59">
        <f t="shared" si="42"/>
        <v>24852.419999999707</v>
      </c>
      <c r="J362" s="59">
        <f t="shared" si="43"/>
        <v>364.31999999997458</v>
      </c>
      <c r="K362" s="60">
        <f t="shared" si="51"/>
        <v>1.4659336998166734E-2</v>
      </c>
      <c r="L362" s="59">
        <f t="shared" si="46"/>
        <v>364.31999999997458</v>
      </c>
      <c r="M362" s="60">
        <f t="shared" si="50"/>
        <v>1.4659336998166734E-2</v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>
        <v>0.14199999999999999</v>
      </c>
      <c r="E363" s="57">
        <v>1854.924</v>
      </c>
      <c r="F363" s="58">
        <v>61.238</v>
      </c>
      <c r="G363" s="59"/>
      <c r="H363" s="59">
        <v>4140</v>
      </c>
      <c r="I363" s="59">
        <f t="shared" si="42"/>
        <v>20132.820000000233</v>
      </c>
      <c r="J363" s="59">
        <f t="shared" si="43"/>
        <v>322.92000000001224</v>
      </c>
      <c r="K363" s="60">
        <f t="shared" si="51"/>
        <v>1.603948180135761E-2</v>
      </c>
      <c r="L363" s="59">
        <f t="shared" si="46"/>
        <v>322.92000000001224</v>
      </c>
      <c r="M363" s="60">
        <f t="shared" ref="M363:M368" si="52">IF(L363="","",(L363/I363))</f>
        <v>1.603948180135761E-2</v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>
        <v>0.14199999999999999</v>
      </c>
      <c r="E364" s="57">
        <v>1860.905</v>
      </c>
      <c r="F364" s="58">
        <v>61.329000000000001</v>
      </c>
      <c r="G364" s="59"/>
      <c r="H364" s="59">
        <v>4140</v>
      </c>
      <c r="I364" s="59">
        <f t="shared" si="42"/>
        <v>24761.339999999978</v>
      </c>
      <c r="J364" s="59">
        <f t="shared" si="43"/>
        <v>376.74000000000444</v>
      </c>
      <c r="K364" s="60">
        <f t="shared" si="51"/>
        <v>1.5214847015549432E-2</v>
      </c>
      <c r="L364" s="59">
        <f t="shared" si="46"/>
        <v>376.74000000000444</v>
      </c>
      <c r="M364" s="60">
        <f t="shared" si="52"/>
        <v>1.5214847015549432E-2</v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>
        <v>0.14199999999999999</v>
      </c>
      <c r="E365" s="57">
        <v>1866.61</v>
      </c>
      <c r="F365" s="58">
        <v>61.423000000000002</v>
      </c>
      <c r="G365" s="59"/>
      <c r="H365" s="59">
        <v>4140</v>
      </c>
      <c r="I365" s="59">
        <f t="shared" si="42"/>
        <v>23618.699999999699</v>
      </c>
      <c r="J365" s="59">
        <f t="shared" si="43"/>
        <v>389.16000000000497</v>
      </c>
      <c r="K365" s="60">
        <f t="shared" si="51"/>
        <v>1.6476774758983768E-2</v>
      </c>
      <c r="L365" s="59">
        <f t="shared" si="46"/>
        <v>389.16000000000497</v>
      </c>
      <c r="M365" s="60">
        <f t="shared" si="52"/>
        <v>1.6476774758983768E-2</v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3"/>
        <v/>
      </c>
      <c r="K366" s="60" t="str">
        <f t="shared" si="51"/>
        <v/>
      </c>
      <c r="L366" s="59" t="str">
        <f t="shared" si="46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ref="I365:J368" si="53">IF(D367="","",+(D367-D366)*4140)</f>
        <v/>
      </c>
      <c r="J367" s="59" t="str">
        <f t="shared" si="43"/>
        <v/>
      </c>
      <c r="K367" s="60" t="str">
        <f t="shared" si="51"/>
        <v/>
      </c>
      <c r="L367" s="59" t="str">
        <f t="shared" si="46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53"/>
        <v/>
      </c>
      <c r="J368" s="90" t="str">
        <f t="shared" si="53"/>
        <v/>
      </c>
      <c r="K368" s="91" t="str">
        <f t="shared" si="51"/>
        <v/>
      </c>
      <c r="L368" s="90" t="str">
        <f t="shared" si="46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9316382.2800000012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2021-12-30T06:13:41Z</dcterms:modified>
  <cp:category/>
  <cp:contentStatus/>
</cp:coreProperties>
</file>