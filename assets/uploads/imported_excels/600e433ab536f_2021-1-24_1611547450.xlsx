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 activeTab="2"/>
  </bookViews>
  <sheets>
    <sheet name="Total Daily " sheetId="3" r:id="rId1"/>
    <sheet name="Submetering Daily " sheetId="2" r:id="rId2"/>
    <sheet name="1 - 2020" sheetId="1" r:id="rId3"/>
  </sheets>
  <definedNames>
    <definedName name="_xlnm.Print_Area" localSheetId="2">'1 - 2020'!$A$1:$J$36</definedName>
  </definedNames>
  <calcPr calcId="162913"/>
</workbook>
</file>

<file path=xl/calcChain.xml><?xml version="1.0" encoding="utf-8"?>
<calcChain xmlns="http://schemas.openxmlformats.org/spreadsheetml/2006/main">
  <c r="L26" i="3" l="1"/>
  <c r="K26" i="3"/>
  <c r="I26" i="3"/>
  <c r="G26" i="3"/>
  <c r="E26" i="3"/>
  <c r="J26" i="2"/>
  <c r="I26" i="2"/>
  <c r="H26" i="2"/>
  <c r="F26" i="2"/>
  <c r="E26" i="2"/>
  <c r="L25" i="3" l="1"/>
  <c r="K25" i="3"/>
  <c r="I25" i="3"/>
  <c r="G25" i="3"/>
  <c r="E25" i="3"/>
  <c r="J25" i="2"/>
  <c r="I25" i="2"/>
  <c r="H25" i="2"/>
  <c r="F25" i="2"/>
  <c r="E25" i="2"/>
  <c r="J23" i="2" l="1"/>
  <c r="I23" i="2"/>
  <c r="H23" i="2"/>
  <c r="F23" i="2"/>
  <c r="E23" i="2"/>
  <c r="L23" i="3"/>
  <c r="K23" i="3"/>
  <c r="I23" i="3"/>
  <c r="G23" i="3"/>
  <c r="E23" i="3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A24" i="1"/>
  <c r="L16" i="3" l="1"/>
  <c r="K16" i="3"/>
  <c r="I16" i="3"/>
  <c r="G16" i="3"/>
  <c r="E16" i="3"/>
  <c r="J16" i="2"/>
  <c r="I16" i="2"/>
  <c r="H16" i="2"/>
  <c r="F16" i="2"/>
  <c r="E16" i="2"/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L13" i="3" l="1"/>
  <c r="K13" i="3"/>
  <c r="I13" i="3"/>
  <c r="G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11" i="3" l="1"/>
  <c r="K11" i="3"/>
  <c r="I11" i="3"/>
  <c r="G11" i="3"/>
  <c r="E11" i="3"/>
  <c r="J11" i="2"/>
  <c r="I11" i="2"/>
  <c r="H11" i="2"/>
  <c r="F11" i="2"/>
  <c r="E11" i="2"/>
  <c r="L9" i="3" l="1"/>
  <c r="K9" i="3"/>
  <c r="I9" i="3"/>
  <c r="G9" i="3"/>
  <c r="E9" i="3"/>
  <c r="J9" i="2"/>
  <c r="I9" i="2"/>
  <c r="H9" i="2"/>
  <c r="F9" i="2"/>
  <c r="E9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L3" i="3"/>
  <c r="I3" i="3"/>
  <c r="G3" i="3"/>
  <c r="E3" i="3"/>
  <c r="L2" i="3"/>
  <c r="I2" i="3"/>
  <c r="G2" i="3"/>
  <c r="E2" i="3"/>
  <c r="J4" i="2" l="1"/>
  <c r="F4" i="2"/>
  <c r="E4" i="2"/>
  <c r="J3" i="2"/>
  <c r="F3" i="2"/>
  <c r="E3" i="2"/>
  <c r="J2" i="2"/>
  <c r="F2" i="2"/>
  <c r="E2" i="2"/>
  <c r="K3" i="3" l="1"/>
  <c r="I4" i="2"/>
  <c r="H4" i="2"/>
  <c r="I3" i="2"/>
  <c r="H3" i="2"/>
  <c r="J42" i="1" l="1"/>
  <c r="J45" i="1" s="1"/>
  <c r="I42" i="1"/>
  <c r="I43" i="1" s="1"/>
  <c r="I46" i="1" s="1"/>
  <c r="H42" i="1"/>
  <c r="G42" i="1"/>
  <c r="F42" i="1"/>
  <c r="E42" i="1"/>
  <c r="C42" i="1"/>
  <c r="B42" i="1"/>
  <c r="H40" i="1"/>
  <c r="K39" i="1"/>
  <c r="J39" i="1"/>
  <c r="I39" i="1"/>
  <c r="I40" i="1" s="1"/>
  <c r="H39" i="1"/>
  <c r="G39" i="1"/>
  <c r="F39" i="1"/>
  <c r="E39" i="1"/>
  <c r="D39" i="1"/>
  <c r="C39" i="1"/>
  <c r="B39" i="1"/>
  <c r="A8" i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C44" i="1" l="1"/>
  <c r="C46" i="1" s="1"/>
  <c r="L32" i="3"/>
  <c r="K32" i="3"/>
  <c r="I32" i="3"/>
  <c r="G32" i="3"/>
  <c r="E32" i="3"/>
  <c r="J32" i="2"/>
  <c r="I32" i="2"/>
  <c r="H32" i="2"/>
  <c r="F32" i="2"/>
  <c r="E32" i="2"/>
  <c r="L31" i="3" l="1"/>
  <c r="K31" i="3"/>
  <c r="I31" i="3"/>
  <c r="G31" i="3"/>
  <c r="E31" i="3"/>
  <c r="J31" i="2" l="1"/>
  <c r="I31" i="2"/>
  <c r="H31" i="2"/>
  <c r="F31" i="2"/>
  <c r="E31" i="2"/>
  <c r="L30" i="3" l="1"/>
  <c r="K30" i="3"/>
  <c r="I30" i="3"/>
  <c r="G30" i="3"/>
  <c r="E30" i="3"/>
  <c r="J30" i="2"/>
  <c r="I30" i="2"/>
  <c r="H30" i="2"/>
  <c r="F30" i="2"/>
  <c r="E30" i="2"/>
  <c r="L29" i="3" l="1"/>
  <c r="K29" i="3"/>
  <c r="I29" i="3"/>
  <c r="G29" i="3"/>
  <c r="E29" i="3"/>
  <c r="J29" i="2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24" i="3" l="1"/>
  <c r="K24" i="3"/>
  <c r="I24" i="3"/>
  <c r="G24" i="3"/>
  <c r="E24" i="3"/>
  <c r="J24" i="2"/>
  <c r="I24" i="2"/>
  <c r="H24" i="2"/>
  <c r="F24" i="2"/>
  <c r="E24" i="2"/>
  <c r="L17" i="3" l="1"/>
  <c r="K17" i="3"/>
  <c r="I17" i="3"/>
  <c r="G17" i="3"/>
  <c r="E17" i="3"/>
  <c r="J17" i="2"/>
  <c r="I17" i="2"/>
  <c r="H17" i="2"/>
  <c r="F17" i="2"/>
  <c r="E17" i="2"/>
  <c r="L10" i="3" l="1"/>
  <c r="K10" i="3"/>
  <c r="I10" i="3"/>
  <c r="G10" i="3"/>
  <c r="E10" i="3"/>
  <c r="J10" i="2" l="1"/>
  <c r="I10" i="2"/>
  <c r="H10" i="2"/>
  <c r="F10" i="2"/>
  <c r="E10" i="2"/>
  <c r="K2" i="3" l="1"/>
  <c r="I2" i="2"/>
  <c r="H2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</calcChain>
</file>

<file path=xl/sharedStrings.xml><?xml version="1.0" encoding="utf-8"?>
<sst xmlns="http://schemas.openxmlformats.org/spreadsheetml/2006/main" count="108" uniqueCount="39">
  <si>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</si>
  <si>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</si>
  <si>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</si>
  <si>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</si>
  <si>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</si>
  <si>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</si>
  <si>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</si>
  <si>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</si>
  <si>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</si>
  <si>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</si>
  <si>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</si>
  <si>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</si>
  <si>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</si>
  <si>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</si>
  <si>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</si>
  <si>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</si>
  <si>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</si>
  <si>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</si>
  <si>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</si>
  <si>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</si>
  <si>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</si>
  <si>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</si>
  <si>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</si>
  <si>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</si>
  <si>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</si>
  <si>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</si>
  <si>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</si>
  <si>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</si>
  <si>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</si>
  <si>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</si>
  <si>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</si>
  <si>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</si>
  <si>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</si>
  <si>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</si>
  <si>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</si>
  <si>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</si>
  <si>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</si>
  <si>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JANUARY' 2021</t>
  </si>
  <si>
    <t>for IG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</si>
</sst>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3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3" fillId="0" borderId="0" xfId="0" applyNumberFormat="1" applyFont="1" applyAlignment="1">
      <alignment horizontal="center"/>
    </xf>
    <xf numFmtId="1" fontId="5" fillId="0" borderId="1" xfId="0" applyNumberFormat="1" applyFont="1" applyFill="1" applyBorder="1" applyAlignment="1">
      <alignment horizontal="center" vertic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1" fontId="0" fillId="0" borderId="5" xfId="0" applyNumberFormat="1" applyBorder="1" applyAlignment="1">
      <alignment horizontal="center"/>
    </xf>
    <xf numFmtId="1" fontId="8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1" xfId="0" applyNumberFormat="1" applyFont="1" applyBorder="1" applyAlignment="1" applyProtection="1">
      <alignment horizontal="center" vertical="center"/>
      <protection locked="0"/>
    </xf>
    <xf numFmtId="1" fontId="5" fillId="0" borderId="1" xfId="0" applyNumberFormat="1" applyFont="1" applyFill="1" applyBorder="1" applyAlignment="1" applyProtection="1">
      <alignment horizontal="center" vertical="center"/>
      <protection locked="0"/>
    </xf>
    <xf numFmtId="1" fontId="10" fillId="0" borderId="1" xfId="0" applyNumberFormat="1" applyFont="1" applyBorder="1" applyAlignment="1" applyProtection="1">
      <alignment horizontal="center"/>
      <protection locked="0"/>
    </xf>
    <xf numFmtId="1" fontId="5" fillId="2" borderId="1" xfId="0" applyNumberFormat="1" applyFont="1" applyFill="1" applyBorder="1" applyAlignment="1" applyProtection="1">
      <alignment horizontal="center" vertical="center"/>
      <protection locked="0"/>
    </xf>
    <xf numFmtId="1" fontId="5" fillId="0" borderId="1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 vertical="top"/>
    </xf>
    <xf numFmtId="0" fontId="0" fillId="0" borderId="0" xfId="0" applyBorder="1" applyAlignment="1">
      <alignment horizontal="center"/>
    </xf>
    <xf numFmtId="1" fontId="6" fillId="0" borderId="0" xfId="0" applyNumberFormat="1" applyFont="1" applyBorder="1" applyAlignment="1">
      <alignment horizontal="center" vertical="center"/>
    </xf>
    <xf numFmtId="1" fontId="0" fillId="0" borderId="0" xfId="0" applyNumberFormat="1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10" fontId="0" fillId="0" borderId="0" xfId="1" applyNumberFormat="1" applyFont="1" applyAlignment="1">
      <alignment horizontal="center"/>
    </xf>
    <xf numFmtId="0" fontId="0" fillId="0" borderId="0" xfId="0" applyFill="1"/>
    <xf numFmtId="1" fontId="0" fillId="0" borderId="0" xfId="0" applyNumberFormat="1" applyFill="1"/>
    <xf numFmtId="165" fontId="0" fillId="0" borderId="0" xfId="1" applyNumberFormat="1" applyFont="1"/>
    <xf numFmtId="10" fontId="0" fillId="0" borderId="0" xfId="1" applyNumberFormat="1" applyFont="1"/>
    <xf numFmtId="0" fontId="7" fillId="0" borderId="0" xfId="0" applyFont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workbookViewId="0">
      <selection activeCell="N27" sqref="N27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45"/>
    <col min="251" max="251" width="13.42578125" customWidth="1"/>
    <col min="252" max="253" width="12.5703125" customWidth="1"/>
  </cols>
  <sheetData>
    <row r="1" spans="1:15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49" t="s">
        <v>19</v>
      </c>
      <c r="L1" s="4" t="s">
        <v>19</v>
      </c>
      <c r="M1" s="7" t="s">
        <v>20</v>
      </c>
      <c r="N1" s="46" t="s">
        <v>21</v>
      </c>
      <c r="O1" s="4"/>
    </row>
    <row r="2" spans="1:15" x14ac:dyDescent="0.25">
      <c r="A2" t="s">
        <v>27</v>
      </c>
      <c r="B2">
        <v>1</v>
      </c>
      <c r="C2" s="22">
        <v>1</v>
      </c>
      <c r="D2">
        <v>2021</v>
      </c>
      <c r="E2" s="24">
        <f>'1 - 2020'!B8-'1 - 2020'!B7+'1 - 2020'!C8-'1 - 2020'!C7</f>
        <v>8754</v>
      </c>
      <c r="F2" s="22">
        <v>0.11799999999999999</v>
      </c>
      <c r="G2" s="24">
        <f>(('1 - 2020'!E8-'1 - 2020'!E7)+('1 - 2020'!F8-'1 - 2020'!F7)+('1 - 2020'!G8-'1 - 2020'!G7))*1.81</f>
        <v>88.472799999996084</v>
      </c>
      <c r="H2" s="22">
        <v>0.99</v>
      </c>
      <c r="I2" s="24">
        <f>'1 - 2020'!J8-'1 - 2020'!J7</f>
        <v>10053</v>
      </c>
      <c r="J2" s="22">
        <v>8.1000000000000003E-2</v>
      </c>
      <c r="K2" s="50">
        <f>'1 - 2020'!H9-'1 - 2020'!H7</f>
        <v>0</v>
      </c>
      <c r="L2" s="24">
        <f>'1 - 2020'!I8-'1 - 2020'!I7</f>
        <v>123</v>
      </c>
      <c r="M2" s="23">
        <v>4.393629424766913</v>
      </c>
      <c r="N2" s="24">
        <v>97</v>
      </c>
    </row>
    <row r="3" spans="1:15" x14ac:dyDescent="0.25">
      <c r="A3" t="s">
        <v>27</v>
      </c>
      <c r="B3">
        <f>B2+1</f>
        <v>2</v>
      </c>
      <c r="C3" s="22">
        <v>1</v>
      </c>
      <c r="D3" s="22">
        <v>2021</v>
      </c>
      <c r="E3" s="24">
        <f>'1 - 2020'!B9-'1 - 2020'!B8+'1 - 2020'!C9-'1 - 2020'!C8</f>
        <v>8952</v>
      </c>
      <c r="F3" s="22">
        <v>0.11799999999999999</v>
      </c>
      <c r="G3" s="24">
        <f>(('1 - 2020'!E9-'1 - 2020'!E8)+('1 - 2020'!F9-'1 - 2020'!F8)+('1 - 2020'!G9-'1 - 2020'!G8))*1.81</f>
        <v>86.88</v>
      </c>
      <c r="H3" s="22">
        <v>0.99</v>
      </c>
      <c r="I3" s="24">
        <f>'1 - 2020'!J9-'1 - 2020'!J8</f>
        <v>14453</v>
      </c>
      <c r="J3" s="22">
        <v>8.1000000000000003E-2</v>
      </c>
      <c r="K3" s="50">
        <f>'1 - 2020'!H10-'1 - 2020'!H8</f>
        <v>0</v>
      </c>
      <c r="L3" s="24">
        <f>'1 - 2020'!I9-'1 - 2020'!I8</f>
        <v>106</v>
      </c>
      <c r="M3" s="23">
        <v>4.393629424766913</v>
      </c>
      <c r="N3" s="43">
        <v>88</v>
      </c>
    </row>
    <row r="4" spans="1:15" x14ac:dyDescent="0.25">
      <c r="A4" t="s">
        <v>27</v>
      </c>
      <c r="B4">
        <f t="shared" ref="B4:B30" si="0">B3+1</f>
        <v>3</v>
      </c>
      <c r="C4" s="22">
        <v>1</v>
      </c>
      <c r="D4" s="22">
        <v>2021</v>
      </c>
      <c r="E4" s="24">
        <f>'1 - 2020'!B10-'1 - 2020'!B9+'1 - 2020'!C10-'1 - 2020'!C9</f>
        <v>8694</v>
      </c>
      <c r="F4" s="22">
        <v>0.11799999999999999</v>
      </c>
      <c r="G4" s="24">
        <f>(('1 - 2020'!E10-'1 - 2020'!E9)+('1 - 2020'!F10-'1 - 2020'!F9)+('1 - 2020'!G10-'1 - 2020'!G9))*1.81</f>
        <v>88.69</v>
      </c>
      <c r="H4" s="22">
        <v>0.99</v>
      </c>
      <c r="I4" s="24">
        <f>'1 - 2020'!J10-'1 - 2020'!J9</f>
        <v>11719</v>
      </c>
      <c r="J4" s="22">
        <v>8.1000000000000003E-2</v>
      </c>
      <c r="K4" s="50">
        <f>'1 - 2020'!H10-'1 - 2020'!H9</f>
        <v>0</v>
      </c>
      <c r="L4" s="24">
        <f>'1 - 2020'!I10-'1 - 2020'!I9</f>
        <v>111</v>
      </c>
      <c r="M4" s="23">
        <v>4.393629424766913</v>
      </c>
      <c r="N4" s="43">
        <v>89</v>
      </c>
    </row>
    <row r="5" spans="1:15" x14ac:dyDescent="0.25">
      <c r="A5" t="s">
        <v>27</v>
      </c>
      <c r="B5">
        <f t="shared" si="0"/>
        <v>4</v>
      </c>
      <c r="C5" s="22">
        <v>1</v>
      </c>
      <c r="D5" s="22">
        <v>2021</v>
      </c>
      <c r="E5" s="24">
        <f>'1 - 2020'!B11-'1 - 2020'!B10+'1 - 2020'!C11-'1 - 2020'!C10</f>
        <v>8937</v>
      </c>
      <c r="F5" s="22">
        <v>0.11799999999999999</v>
      </c>
      <c r="G5" s="24">
        <f>(('1 - 2020'!E11-'1 - 2020'!E10)+('1 - 2020'!F11-'1 - 2020'!F10)+('1 - 2020'!G11-'1 - 2020'!G10))*1.81</f>
        <v>85.070000000000007</v>
      </c>
      <c r="H5" s="22">
        <v>0.99</v>
      </c>
      <c r="I5" s="24">
        <f>'1 - 2020'!J11-'1 - 2020'!J10</f>
        <v>11091</v>
      </c>
      <c r="J5" s="22">
        <v>8.1000000000000003E-2</v>
      </c>
      <c r="K5" s="50">
        <f>'1 - 2020'!H11-'1 - 2020'!H10</f>
        <v>0</v>
      </c>
      <c r="L5" s="24">
        <f>'1 - 2020'!I11-'1 - 2020'!I10</f>
        <v>103</v>
      </c>
      <c r="M5" s="23">
        <v>4.393629424766913</v>
      </c>
      <c r="N5" s="43">
        <v>92</v>
      </c>
    </row>
    <row r="6" spans="1:15" x14ac:dyDescent="0.25">
      <c r="A6" t="s">
        <v>27</v>
      </c>
      <c r="B6">
        <f t="shared" si="0"/>
        <v>5</v>
      </c>
      <c r="C6" s="22">
        <v>1</v>
      </c>
      <c r="D6" s="22">
        <v>2021</v>
      </c>
      <c r="E6" s="24">
        <f>'1 - 2020'!B12-'1 - 2020'!B11+'1 - 2020'!C12-'1 - 2020'!C11</f>
        <v>8817.3999999999069</v>
      </c>
      <c r="F6" s="22">
        <v>0.11799999999999999</v>
      </c>
      <c r="G6" s="24">
        <f>(('1 - 2020'!E12-'1 - 2020'!E11)+('1 - 2020'!F12-'1 - 2020'!F11)+('1 - 2020'!G12-'1 - 2020'!G11))*1.81</f>
        <v>89.432099999999735</v>
      </c>
      <c r="H6" s="22">
        <v>0.99</v>
      </c>
      <c r="I6" s="24">
        <f>'1 - 2020'!J12-'1 - 2020'!J11</f>
        <v>10648</v>
      </c>
      <c r="J6" s="22">
        <v>8.1000000000000003E-2</v>
      </c>
      <c r="K6" s="50">
        <f>'1 - 2020'!H12-'1 - 2020'!H11</f>
        <v>0</v>
      </c>
      <c r="L6" s="24">
        <f>'1 - 2020'!I12-'1 - 2020'!I11</f>
        <v>124</v>
      </c>
      <c r="M6" s="23">
        <v>4.393629424766913</v>
      </c>
      <c r="N6" s="43">
        <v>96</v>
      </c>
    </row>
    <row r="7" spans="1:15" x14ac:dyDescent="0.25">
      <c r="A7" t="s">
        <v>27</v>
      </c>
      <c r="B7">
        <f t="shared" si="0"/>
        <v>6</v>
      </c>
      <c r="C7" s="22">
        <v>1</v>
      </c>
      <c r="D7" s="22">
        <v>2021</v>
      </c>
      <c r="E7" s="24">
        <f>'1 - 2020'!B13-'1 - 2020'!B12+'1 - 2020'!C13-'1 - 2020'!C12</f>
        <v>8693.6000000000931</v>
      </c>
      <c r="F7" s="22">
        <v>0.11799999999999999</v>
      </c>
      <c r="G7" s="24">
        <f>(('1 - 2020'!E13-'1 - 2020'!E12)+('1 - 2020'!F13-'1 - 2020'!F12)+('1 - 2020'!G13-'1 - 2020'!G12))*1.81</f>
        <v>82.517900000000267</v>
      </c>
      <c r="H7" s="22">
        <v>0.99</v>
      </c>
      <c r="I7" s="24">
        <f>'1 - 2020'!J13-'1 - 2020'!J12</f>
        <v>10148</v>
      </c>
      <c r="J7" s="22">
        <v>8.1000000000000003E-2</v>
      </c>
      <c r="K7" s="50">
        <f>'1 - 2020'!H13-'1 - 2020'!H12</f>
        <v>0</v>
      </c>
      <c r="L7" s="24">
        <f>'1 - 2020'!I13-'1 - 2020'!I12</f>
        <v>82</v>
      </c>
      <c r="M7" s="23">
        <v>4.393629424766913</v>
      </c>
      <c r="N7" s="43">
        <v>100</v>
      </c>
    </row>
    <row r="8" spans="1:15" x14ac:dyDescent="0.25">
      <c r="A8" t="s">
        <v>27</v>
      </c>
      <c r="B8">
        <f t="shared" si="0"/>
        <v>7</v>
      </c>
      <c r="C8" s="22">
        <v>1</v>
      </c>
      <c r="D8" s="22">
        <v>2021</v>
      </c>
      <c r="E8" s="24">
        <f>'1 - 2020'!B14-'1 - 2020'!B13+'1 - 2020'!C14-'1 - 2020'!C13</f>
        <v>8444</v>
      </c>
      <c r="F8" s="22">
        <v>0.11799999999999999</v>
      </c>
      <c r="G8" s="24">
        <f>(('1 - 2020'!E14-'1 - 2020'!E13)+('1 - 2020'!F14-'1 - 2020'!F13)+('1 - 2020'!G14-'1 - 2020'!G13))*1.81</f>
        <v>90.5</v>
      </c>
      <c r="H8" s="22">
        <v>0.99</v>
      </c>
      <c r="I8" s="24">
        <f>'1 - 2020'!J14-'1 - 2020'!J13</f>
        <v>9879</v>
      </c>
      <c r="J8" s="22">
        <v>8.1000000000000003E-2</v>
      </c>
      <c r="K8" s="50">
        <f>'1 - 2020'!H14-'1 - 2020'!H13</f>
        <v>0</v>
      </c>
      <c r="L8" s="24">
        <f>'1 - 2020'!I14-'1 - 2020'!I13</f>
        <v>103</v>
      </c>
      <c r="M8" s="23">
        <v>4.393629424766913</v>
      </c>
      <c r="N8" s="45">
        <v>104</v>
      </c>
      <c r="O8" s="24"/>
    </row>
    <row r="9" spans="1:15" x14ac:dyDescent="0.25">
      <c r="A9" t="s">
        <v>27</v>
      </c>
      <c r="B9">
        <f t="shared" si="0"/>
        <v>8</v>
      </c>
      <c r="C9" s="22">
        <v>1</v>
      </c>
      <c r="D9" s="22">
        <v>2021</v>
      </c>
      <c r="E9" s="24">
        <f>'1 - 2020'!B15-'1 - 2020'!B14+'1 - 2020'!C15-'1 - 2020'!C14</f>
        <v>8896</v>
      </c>
      <c r="F9" s="22">
        <v>0.11799999999999999</v>
      </c>
      <c r="G9" s="24">
        <f>(('1 - 2020'!E15-'1 - 2020'!E14)+('1 - 2020'!F15-'1 - 2020'!F14)+('1 - 2020'!G15-'1 - 2020'!G14))*1.81</f>
        <v>90.5</v>
      </c>
      <c r="H9" s="22">
        <v>0.99</v>
      </c>
      <c r="I9" s="24">
        <f>'1 - 2020'!J15-'1 - 2020'!J14</f>
        <v>9891</v>
      </c>
      <c r="J9" s="22">
        <v>8.1000000000000003E-2</v>
      </c>
      <c r="K9" s="50">
        <f>'1 - 2020'!H15-'1 - 2020'!H14</f>
        <v>0</v>
      </c>
      <c r="L9" s="24">
        <f>'1 - 2020'!I15-'1 - 2020'!I14</f>
        <v>113</v>
      </c>
      <c r="M9" s="23">
        <v>4.393629424766913</v>
      </c>
      <c r="N9" s="43">
        <v>105</v>
      </c>
    </row>
    <row r="10" spans="1:15" x14ac:dyDescent="0.25">
      <c r="A10" t="s">
        <v>27</v>
      </c>
      <c r="B10">
        <f t="shared" si="0"/>
        <v>9</v>
      </c>
      <c r="C10" s="22">
        <v>1</v>
      </c>
      <c r="D10" s="22">
        <v>2021</v>
      </c>
      <c r="E10" s="24">
        <f>'1 - 2020'!B16-'1 - 2020'!B15+'1 - 2020'!C16-'1 - 2020'!C15</f>
        <v>8820</v>
      </c>
      <c r="F10" s="22">
        <v>0.11799999999999999</v>
      </c>
      <c r="G10" s="24">
        <f>(('1 - 2020'!E16-'1 - 2020'!E15)+('1 - 2020'!F16-'1 - 2020'!F15)+('1 - 2020'!G16-'1 - 2020'!G15))*1.81</f>
        <v>90.5</v>
      </c>
      <c r="H10" s="22">
        <v>0.99</v>
      </c>
      <c r="I10" s="24">
        <f>'1 - 2020'!J16-'1 - 2020'!J15</f>
        <v>9678</v>
      </c>
      <c r="J10" s="22">
        <v>8.1000000000000003E-2</v>
      </c>
      <c r="K10" s="50">
        <f>'1 - 2020'!H16-'1 - 2020'!H15</f>
        <v>0</v>
      </c>
      <c r="L10" s="24">
        <f>'1 - 2020'!I16-'1 - 2020'!I15</f>
        <v>108</v>
      </c>
      <c r="M10" s="23">
        <v>4.393629424766913</v>
      </c>
      <c r="N10" s="43">
        <v>104</v>
      </c>
    </row>
    <row r="11" spans="1:15" x14ac:dyDescent="0.25">
      <c r="A11" t="s">
        <v>27</v>
      </c>
      <c r="B11">
        <f t="shared" si="0"/>
        <v>10</v>
      </c>
      <c r="C11" s="22">
        <v>1</v>
      </c>
      <c r="D11" s="22">
        <v>2021</v>
      </c>
      <c r="E11" s="24">
        <f>'1 - 2020'!B17-'1 - 2020'!B16+'1 - 2020'!C17-'1 - 2020'!C16</f>
        <v>8621</v>
      </c>
      <c r="F11" s="22">
        <v>0.11799999999999999</v>
      </c>
      <c r="G11" s="24">
        <f>(('1 - 2020'!E17-'1 - 2020'!E16)+('1 - 2020'!F17-'1 - 2020'!F16)+('1 - 2020'!G17-'1 - 2020'!G16))*1.81</f>
        <v>83.26</v>
      </c>
      <c r="H11" s="22">
        <v>0.99</v>
      </c>
      <c r="I11" s="24">
        <f>'1 - 2020'!J17-'1 - 2020'!J16</f>
        <v>9392</v>
      </c>
      <c r="J11" s="22">
        <v>8.1000000000000003E-2</v>
      </c>
      <c r="K11" s="50">
        <f>'1 - 2020'!H17-'1 - 2020'!H16</f>
        <v>0</v>
      </c>
      <c r="L11" s="24">
        <f>'1 - 2020'!I17-'1 - 2020'!I16</f>
        <v>113</v>
      </c>
      <c r="M11" s="23">
        <v>4.393629424766913</v>
      </c>
      <c r="N11" s="43">
        <v>97</v>
      </c>
    </row>
    <row r="12" spans="1:15" x14ac:dyDescent="0.25">
      <c r="A12" t="s">
        <v>27</v>
      </c>
      <c r="B12">
        <f t="shared" si="0"/>
        <v>11</v>
      </c>
      <c r="C12" s="22">
        <v>1</v>
      </c>
      <c r="D12" s="22">
        <v>2021</v>
      </c>
      <c r="E12" s="24">
        <f>'1 - 2020'!B18-'1 - 2020'!B17+'1 - 2020'!C18-'1 - 2020'!C17</f>
        <v>8963</v>
      </c>
      <c r="F12" s="22">
        <v>0.11799999999999999</v>
      </c>
      <c r="G12" s="24">
        <f>(('1 - 2020'!E18-'1 - 2020'!E17)+('1 - 2020'!F18-'1 - 2020'!F17)+('1 - 2020'!G18-'1 - 2020'!G17))*1.81</f>
        <v>86.88</v>
      </c>
      <c r="H12" s="22">
        <v>0.99</v>
      </c>
      <c r="I12" s="24">
        <f>'1 - 2020'!J18-'1 - 2020'!J17</f>
        <v>10095</v>
      </c>
      <c r="J12" s="22">
        <v>8.1000000000000003E-2</v>
      </c>
      <c r="K12" s="50">
        <f>'1 - 2020'!H18-'1 - 2020'!H17</f>
        <v>0</v>
      </c>
      <c r="L12" s="24">
        <f>'1 - 2020'!I18-'1 - 2020'!I17</f>
        <v>105</v>
      </c>
      <c r="M12" s="23">
        <v>4.393629424766913</v>
      </c>
      <c r="N12" s="24">
        <v>86</v>
      </c>
    </row>
    <row r="13" spans="1:15" x14ac:dyDescent="0.25">
      <c r="A13" t="s">
        <v>27</v>
      </c>
      <c r="B13">
        <f t="shared" si="0"/>
        <v>12</v>
      </c>
      <c r="C13" s="22">
        <v>1</v>
      </c>
      <c r="D13" s="22">
        <v>2021</v>
      </c>
      <c r="E13" s="24">
        <f>'1 - 2020'!B19-'1 - 2020'!B18+'1 - 2020'!C19-'1 - 2020'!C18</f>
        <v>10495.699999999953</v>
      </c>
      <c r="F13" s="22">
        <v>0.11799999999999999</v>
      </c>
      <c r="G13" s="24">
        <f>(('1 - 2020'!E19-'1 - 2020'!E18)+('1 - 2020'!F19-'1 - 2020'!F18)+('1 - 2020'!G19-'1 - 2020'!G18))*1.81</f>
        <v>84.708000000000325</v>
      </c>
      <c r="H13" s="22">
        <v>0.99</v>
      </c>
      <c r="I13" s="24">
        <f>'1 - 2020'!J19-'1 - 2020'!J18</f>
        <v>10511</v>
      </c>
      <c r="J13" s="22">
        <v>8.1000000000000003E-2</v>
      </c>
      <c r="K13" s="50">
        <f>'1 - 2020'!H19-'1 - 2020'!H18</f>
        <v>0</v>
      </c>
      <c r="L13" s="24">
        <f>'1 - 2020'!I19-'1 - 2020'!I18</f>
        <v>113</v>
      </c>
      <c r="M13" s="23">
        <v>4.393629424766913</v>
      </c>
      <c r="N13" s="24">
        <v>76</v>
      </c>
    </row>
    <row r="14" spans="1:15" x14ac:dyDescent="0.25">
      <c r="A14" t="s">
        <v>27</v>
      </c>
      <c r="B14">
        <f t="shared" si="0"/>
        <v>13</v>
      </c>
      <c r="C14" s="22">
        <v>1</v>
      </c>
      <c r="D14" s="22">
        <v>2021</v>
      </c>
      <c r="E14" s="24">
        <f>'1 - 2020'!B20-'1 - 2020'!B19+'1 - 2020'!C20-'1 - 2020'!C19</f>
        <v>6878.3000000000466</v>
      </c>
      <c r="F14" s="22">
        <v>0.11799999999999999</v>
      </c>
      <c r="G14" s="24">
        <f>(('1 - 2020'!E20-'1 - 2020'!E19)+('1 - 2020'!F20-'1 - 2020'!F19)+('1 - 2020'!G20-'1 - 2020'!G19))*1.81</f>
        <v>76.381999999999678</v>
      </c>
      <c r="H14" s="22">
        <v>0.99</v>
      </c>
      <c r="I14" s="24">
        <f>'1 - 2020'!J20-'1 - 2020'!J19</f>
        <v>7831</v>
      </c>
      <c r="J14" s="22">
        <v>8.1000000000000003E-2</v>
      </c>
      <c r="K14" s="50">
        <f>'1 - 2020'!H20-'1 - 2020'!H19</f>
        <v>0</v>
      </c>
      <c r="L14" s="24">
        <f>'1 - 2020'!I20-'1 - 2020'!I19</f>
        <v>78</v>
      </c>
      <c r="M14" s="23">
        <v>4.393629424766913</v>
      </c>
      <c r="N14" s="24">
        <v>81</v>
      </c>
      <c r="O14" s="24"/>
    </row>
    <row r="15" spans="1:15" x14ac:dyDescent="0.25">
      <c r="A15" t="s">
        <v>27</v>
      </c>
      <c r="B15">
        <f t="shared" si="0"/>
        <v>14</v>
      </c>
      <c r="C15" s="22">
        <v>1</v>
      </c>
      <c r="D15" s="22">
        <v>2021</v>
      </c>
      <c r="E15" s="24">
        <f>'1 - 2020'!B21-'1 - 2020'!B20+'1 - 2020'!C21-'1 - 2020'!C20</f>
        <v>8275</v>
      </c>
      <c r="F15" s="22">
        <v>0.11799999999999999</v>
      </c>
      <c r="G15" s="24">
        <f>(('1 - 2020'!E21-'1 - 2020'!E20)+('1 - 2020'!F21-'1 - 2020'!F20)+('1 - 2020'!G21-'1 - 2020'!G20))*1.81</f>
        <v>74.210000000000008</v>
      </c>
      <c r="H15" s="22">
        <v>0.99</v>
      </c>
      <c r="I15" s="24">
        <f>'1 - 2020'!J21-'1 - 2020'!J20</f>
        <v>8885</v>
      </c>
      <c r="J15" s="22">
        <v>8.1000000000000003E-2</v>
      </c>
      <c r="K15" s="50">
        <f>'1 - 2020'!H21-'1 - 2020'!H20</f>
        <v>0</v>
      </c>
      <c r="L15" s="24">
        <f>'1 - 2020'!I21-'1 - 2020'!I20</f>
        <v>99</v>
      </c>
      <c r="M15" s="23">
        <v>4.393629424766913</v>
      </c>
      <c r="N15" s="24">
        <v>79</v>
      </c>
    </row>
    <row r="16" spans="1:15" x14ac:dyDescent="0.25">
      <c r="A16" t="s">
        <v>27</v>
      </c>
      <c r="B16">
        <f t="shared" si="0"/>
        <v>15</v>
      </c>
      <c r="C16" s="22">
        <v>1</v>
      </c>
      <c r="D16" s="22">
        <v>2021</v>
      </c>
      <c r="E16" s="24">
        <f>'1 - 2020'!B22-'1 - 2020'!B21+'1 - 2020'!C22-'1 - 2020'!C21</f>
        <v>8309</v>
      </c>
      <c r="F16" s="22">
        <v>0.11799999999999999</v>
      </c>
      <c r="G16" s="24">
        <f>(('1 - 2020'!E22-'1 - 2020'!E21)+('1 - 2020'!F22-'1 - 2020'!F21)+('1 - 2020'!G22-'1 - 2020'!G21))*1.81</f>
        <v>85.070000000000007</v>
      </c>
      <c r="H16" s="22">
        <v>0.99</v>
      </c>
      <c r="I16" s="24">
        <f>'1 - 2020'!J22-'1 - 2020'!J21</f>
        <v>9823</v>
      </c>
      <c r="J16" s="22">
        <v>8.1000000000000003E-2</v>
      </c>
      <c r="K16" s="50">
        <f>'1 - 2020'!H22-'1 - 2020'!H21</f>
        <v>0</v>
      </c>
      <c r="L16" s="24">
        <f>'1 - 2020'!I22-'1 - 2020'!I21</f>
        <v>103</v>
      </c>
      <c r="M16" s="23">
        <v>4.393629424766913</v>
      </c>
      <c r="N16" s="24">
        <v>87</v>
      </c>
    </row>
    <row r="17" spans="1:16" x14ac:dyDescent="0.25">
      <c r="A17" t="s">
        <v>27</v>
      </c>
      <c r="B17">
        <f t="shared" si="0"/>
        <v>16</v>
      </c>
      <c r="C17" s="22">
        <v>1</v>
      </c>
      <c r="D17" s="22">
        <v>2021</v>
      </c>
      <c r="E17" s="24">
        <f>'1 - 2020'!B23-'1 - 2020'!B22+'1 - 2020'!C23-'1 - 2020'!C22</f>
        <v>8362</v>
      </c>
      <c r="F17" s="22">
        <v>0.11799999999999999</v>
      </c>
      <c r="G17" s="24">
        <f>(('1 - 2020'!E23-'1 - 2020'!E22)+('1 - 2020'!F23-'1 - 2020'!F22)+('1 - 2020'!G23-'1 - 2020'!G22))*1.81</f>
        <v>79.64</v>
      </c>
      <c r="H17" s="22">
        <v>0.99</v>
      </c>
      <c r="I17" s="24">
        <f>'1 - 2020'!J23-'1 - 2020'!J22</f>
        <v>10290</v>
      </c>
      <c r="J17" s="22">
        <v>8.1000000000000003E-2</v>
      </c>
      <c r="K17" s="50">
        <f>'1 - 2020'!H23-'1 - 2020'!H22</f>
        <v>0</v>
      </c>
      <c r="L17" s="24">
        <f>'1 - 2020'!I23-'1 - 2020'!I22</f>
        <v>101</v>
      </c>
      <c r="M17" s="23">
        <v>4.393629424766913</v>
      </c>
      <c r="N17" s="24">
        <v>94</v>
      </c>
    </row>
    <row r="18" spans="1:16" x14ac:dyDescent="0.25">
      <c r="A18" t="s">
        <v>27</v>
      </c>
      <c r="B18">
        <f t="shared" si="0"/>
        <v>17</v>
      </c>
      <c r="C18" s="22">
        <v>1</v>
      </c>
      <c r="D18" s="22">
        <v>2021</v>
      </c>
      <c r="E18" s="24">
        <f>'1 - 2020'!B24-'1 - 2020'!B23+'1 - 2020'!C24-'1 - 2020'!C23</f>
        <v>8274</v>
      </c>
      <c r="F18" s="22">
        <v>0.11799999999999999</v>
      </c>
      <c r="G18" s="24">
        <f>(('1 - 2020'!E24-'1 - 2020'!E23)+('1 - 2020'!F24-'1 - 2020'!F23)+('1 - 2020'!G24-'1 - 2020'!G23))*1.81</f>
        <v>86.88</v>
      </c>
      <c r="H18" s="22">
        <v>0.99</v>
      </c>
      <c r="I18" s="24">
        <f>'1 - 2020'!J24-'1 - 2020'!J23</f>
        <v>10298</v>
      </c>
      <c r="J18" s="22">
        <v>8.1000000000000003E-2</v>
      </c>
      <c r="K18" s="50">
        <f>'1 - 2020'!H24-'1 - 2020'!H23</f>
        <v>0</v>
      </c>
      <c r="L18" s="24">
        <f>'1 - 2020'!I24-'1 - 2020'!I23</f>
        <v>104</v>
      </c>
      <c r="M18" s="23">
        <v>4.393629424766913</v>
      </c>
      <c r="N18" s="24">
        <v>95</v>
      </c>
    </row>
    <row r="19" spans="1:16" x14ac:dyDescent="0.25">
      <c r="A19" t="s">
        <v>27</v>
      </c>
      <c r="B19">
        <f>B18+1</f>
        <v>18</v>
      </c>
      <c r="C19" s="22">
        <v>1</v>
      </c>
      <c r="D19" s="22">
        <v>2021</v>
      </c>
      <c r="E19" s="24">
        <f>'1 - 2020'!B25-'1 - 2020'!B24+'1 - 2020'!C25-'1 - 2020'!C24</f>
        <v>8124</v>
      </c>
      <c r="F19" s="22">
        <v>0.11799999999999999</v>
      </c>
      <c r="G19" s="24">
        <f>(('1 - 2020'!E25-'1 - 2020'!E24)+('1 - 2020'!F25-'1 - 2020'!F24)+('1 - 2020'!G25-'1 - 2020'!G24))*1.81</f>
        <v>90.5</v>
      </c>
      <c r="H19" s="22">
        <v>0.99</v>
      </c>
      <c r="I19" s="24">
        <f>'1 - 2020'!J25-'1 - 2020'!J24</f>
        <v>9785</v>
      </c>
      <c r="J19" s="22">
        <v>8.1000000000000003E-2</v>
      </c>
      <c r="K19" s="50">
        <f>'1 - 2020'!H25-'1 - 2020'!H24</f>
        <v>0</v>
      </c>
      <c r="L19" s="24">
        <f>'1 - 2020'!I25-'1 - 2020'!I24</f>
        <v>107</v>
      </c>
      <c r="M19" s="23">
        <v>4.393629424766913</v>
      </c>
      <c r="N19" s="44">
        <v>90</v>
      </c>
    </row>
    <row r="20" spans="1:16" x14ac:dyDescent="0.25">
      <c r="A20" t="s">
        <v>27</v>
      </c>
      <c r="B20">
        <f t="shared" si="0"/>
        <v>19</v>
      </c>
      <c r="C20" s="22">
        <v>1</v>
      </c>
      <c r="D20" s="22">
        <v>2021</v>
      </c>
      <c r="E20" s="24">
        <f>'1 - 2020'!B26-'1 - 2020'!B25+'1 - 2020'!C26-'1 - 2020'!C25</f>
        <v>8715.8000000000466</v>
      </c>
      <c r="F20" s="22">
        <v>0.11799999999999999</v>
      </c>
      <c r="G20" s="24">
        <f>(('1 - 2020'!E26-'1 - 2020'!E25)+('1 - 2020'!F26-'1 - 2020'!F25)+('1 - 2020'!G26-'1 - 2020'!G25))*1.81</f>
        <v>87.314399999999608</v>
      </c>
      <c r="H20" s="22">
        <v>0.99</v>
      </c>
      <c r="I20" s="24">
        <f>'1 - 2020'!J26-'1 - 2020'!J25</f>
        <v>11732</v>
      </c>
      <c r="J20" s="22">
        <v>8.1000000000000003E-2</v>
      </c>
      <c r="K20" s="50">
        <f>'1 - 2020'!H26-'1 - 2020'!H25</f>
        <v>0</v>
      </c>
      <c r="L20" s="24">
        <f>'1 - 2020'!I26-'1 - 2020'!I25</f>
        <v>109</v>
      </c>
      <c r="M20" s="23">
        <v>4.393629424766913</v>
      </c>
      <c r="N20" s="44">
        <v>91</v>
      </c>
    </row>
    <row r="21" spans="1:16" x14ac:dyDescent="0.25">
      <c r="A21" t="s">
        <v>27</v>
      </c>
      <c r="B21">
        <f t="shared" si="0"/>
        <v>20</v>
      </c>
      <c r="C21" s="22">
        <v>1</v>
      </c>
      <c r="D21" s="22">
        <v>2021</v>
      </c>
      <c r="E21" s="24">
        <f>'1 - 2020'!B27-'1 - 2020'!B26+'1 - 2020'!C27-'1 - 2020'!C26</f>
        <v>8458.3000000000466</v>
      </c>
      <c r="F21" s="22">
        <v>0.11799999999999999</v>
      </c>
      <c r="G21" s="24">
        <f>(('1 - 2020'!E27-'1 - 2020'!E26)+('1 - 2020'!F27-'1 - 2020'!F26)+('1 - 2020'!G27-'1 - 2020'!G26))*1.81</f>
        <v>88.328000000001978</v>
      </c>
      <c r="H21" s="22">
        <v>0.99</v>
      </c>
      <c r="I21" s="24">
        <f>'1 - 2020'!J27-'1 - 2020'!J26</f>
        <v>12442</v>
      </c>
      <c r="J21" s="22">
        <v>8.1000000000000003E-2</v>
      </c>
      <c r="K21" s="50">
        <f>'1 - 2020'!H27-'1 - 2020'!H26</f>
        <v>0</v>
      </c>
      <c r="L21" s="24">
        <f>'1 - 2020'!I27-'1 - 2020'!I26</f>
        <v>94</v>
      </c>
      <c r="M21" s="23">
        <v>4.393629424766913</v>
      </c>
      <c r="N21" s="44">
        <v>81</v>
      </c>
    </row>
    <row r="22" spans="1:16" x14ac:dyDescent="0.25">
      <c r="A22" t="s">
        <v>27</v>
      </c>
      <c r="B22">
        <f t="shared" si="0"/>
        <v>21</v>
      </c>
      <c r="C22" s="22">
        <v>1</v>
      </c>
      <c r="D22" s="22">
        <v>2021</v>
      </c>
      <c r="E22" s="24">
        <f>'1 - 2020'!B28-'1 - 2020'!B27+'1 - 2020'!C28-'1 - 2020'!C27</f>
        <v>11060.5</v>
      </c>
      <c r="F22" s="22">
        <v>0.11799999999999999</v>
      </c>
      <c r="G22" s="24">
        <f>(('1 - 2020'!E28-'1 - 2020'!E27)+('1 - 2020'!F28-'1 - 2020'!F27)+('1 - 2020'!G28-'1 - 2020'!G27))*1.81</f>
        <v>87.042899999996976</v>
      </c>
      <c r="H22" s="22">
        <v>0.99</v>
      </c>
      <c r="I22" s="24">
        <f>'1 - 2020'!J28-'1 - 2020'!J27</f>
        <v>11466</v>
      </c>
      <c r="J22" s="22">
        <v>8.1000000000000003E-2</v>
      </c>
      <c r="K22" s="50">
        <f>'1 - 2020'!H28-'1 - 2020'!H27</f>
        <v>0</v>
      </c>
      <c r="L22" s="24">
        <f>'1 - 2020'!I28-'1 - 2020'!I27</f>
        <v>95</v>
      </c>
      <c r="M22" s="23">
        <v>4.393629424766913</v>
      </c>
      <c r="N22" s="44">
        <v>78</v>
      </c>
    </row>
    <row r="23" spans="1:16" x14ac:dyDescent="0.25">
      <c r="A23" t="s">
        <v>27</v>
      </c>
      <c r="B23">
        <f t="shared" si="0"/>
        <v>22</v>
      </c>
      <c r="C23" s="22">
        <v>1</v>
      </c>
      <c r="D23" s="22">
        <v>2021</v>
      </c>
      <c r="E23" s="24">
        <f>'1 - 2020'!B29-'1 - 2020'!B28+'1 - 2020'!C29-'1 - 2020'!C28</f>
        <v>6647.7999999998137</v>
      </c>
      <c r="F23" s="22">
        <v>0.11799999999999999</v>
      </c>
      <c r="G23" s="24">
        <f>(('1 - 2020'!E29-'1 - 2020'!E28)+('1 - 2020'!F29-'1 - 2020'!F28)+('1 - 2020'!G29-'1 - 2020'!G28))*1.81</f>
        <v>89.305400000000262</v>
      </c>
      <c r="H23" s="22">
        <v>0.99</v>
      </c>
      <c r="I23" s="24">
        <f>'1 - 2020'!J29-'1 - 2020'!J28</f>
        <v>12811</v>
      </c>
      <c r="J23" s="22">
        <v>8.1000000000000003E-2</v>
      </c>
      <c r="K23" s="50">
        <f>'1 - 2020'!H29-'1 - 2020'!H28</f>
        <v>0</v>
      </c>
      <c r="L23" s="24">
        <f>'1 - 2020'!I29-'1 - 2020'!I28</f>
        <v>100</v>
      </c>
      <c r="M23" s="23">
        <v>4.393629424766913</v>
      </c>
      <c r="N23" s="44">
        <v>85</v>
      </c>
    </row>
    <row r="24" spans="1:16" x14ac:dyDescent="0.25">
      <c r="A24" t="s">
        <v>27</v>
      </c>
      <c r="B24">
        <f t="shared" si="0"/>
        <v>23</v>
      </c>
      <c r="C24" s="22">
        <v>1</v>
      </c>
      <c r="D24" s="22">
        <v>2021</v>
      </c>
      <c r="E24" s="24">
        <f>'1 - 2020'!B30-'1 - 2020'!B29+'1 - 2020'!C30-'1 - 2020'!C29</f>
        <v>8635.2000000001863</v>
      </c>
      <c r="F24" s="22">
        <v>0.11799999999999999</v>
      </c>
      <c r="G24" s="24">
        <f>(('1 - 2020'!E30-'1 - 2020'!E29)+('1 - 2020'!F30-'1 - 2020'!F29)+('1 - 2020'!G30-'1 - 2020'!G29))*1.81</f>
        <v>77.739500000001314</v>
      </c>
      <c r="H24" s="22">
        <v>0.99</v>
      </c>
      <c r="I24" s="24">
        <f>'1 - 2020'!J30-'1 - 2020'!J29</f>
        <v>8366</v>
      </c>
      <c r="J24" s="22">
        <v>8.1000000000000003E-2</v>
      </c>
      <c r="K24" s="50">
        <f>'1 - 2020'!H30-'1 - 2020'!H29</f>
        <v>0</v>
      </c>
      <c r="L24" s="24">
        <f>'1 - 2020'!I30-'1 - 2020'!I29</f>
        <v>102</v>
      </c>
      <c r="M24" s="23">
        <v>4.393629424766913</v>
      </c>
      <c r="N24" s="44">
        <v>83</v>
      </c>
    </row>
    <row r="25" spans="1:16" x14ac:dyDescent="0.25">
      <c r="A25" t="s">
        <v>27</v>
      </c>
      <c r="B25">
        <f t="shared" si="0"/>
        <v>24</v>
      </c>
      <c r="C25" s="22">
        <v>1</v>
      </c>
      <c r="D25" s="22">
        <v>2021</v>
      </c>
      <c r="E25" s="24">
        <f>'1 - 2020'!B31-'1 - 2020'!B30+'1 - 2020'!C31-'1 - 2020'!C30</f>
        <v>8291.3999999999069</v>
      </c>
      <c r="F25" s="22">
        <v>0.11799999999999999</v>
      </c>
      <c r="G25" s="24">
        <f>(('1 - 2020'!E31-'1 - 2020'!E30)+('1 - 2020'!F31-'1 - 2020'!F30)+('1 - 2020'!G31-'1 - 2020'!G30))*1.81</f>
        <v>85.413900000000922</v>
      </c>
      <c r="H25" s="22">
        <v>0.99</v>
      </c>
      <c r="I25" s="24">
        <f>'1 - 2020'!J31-'1 - 2020'!J30</f>
        <v>10924</v>
      </c>
      <c r="J25" s="22">
        <v>8.1000000000000003E-2</v>
      </c>
      <c r="K25" s="50">
        <f>'1 - 2020'!H31-'1 - 2020'!H30</f>
        <v>0</v>
      </c>
      <c r="L25" s="24">
        <f>'1 - 2020'!I31-'1 - 2020'!I30</f>
        <v>102</v>
      </c>
      <c r="M25" s="23">
        <v>4.393629424766913</v>
      </c>
      <c r="N25" s="44">
        <v>77</v>
      </c>
      <c r="P25" s="14"/>
    </row>
    <row r="26" spans="1:16" x14ac:dyDescent="0.25">
      <c r="A26" t="s">
        <v>27</v>
      </c>
      <c r="B26">
        <f>B25+1</f>
        <v>25</v>
      </c>
      <c r="C26" s="22">
        <v>1</v>
      </c>
      <c r="D26" s="22">
        <v>2021</v>
      </c>
      <c r="E26" s="24">
        <f>'1 - 2020'!B32-'1 - 2020'!B31+'1 - 2020'!C32-'1 - 2020'!C31</f>
        <v>8768</v>
      </c>
      <c r="F26" s="22">
        <v>0.11799999999999999</v>
      </c>
      <c r="G26" s="24">
        <f>(('1 - 2020'!E32-'1 - 2020'!E31)+('1 - 2020'!F32-'1 - 2020'!F31)+('1 - 2020'!G32-'1 - 2020'!G31))*1.81</f>
        <v>83.893499999997374</v>
      </c>
      <c r="H26" s="22">
        <v>0.99</v>
      </c>
      <c r="I26" s="24">
        <f>'1 - 2020'!J32-'1 - 2020'!J31</f>
        <v>9380</v>
      </c>
      <c r="J26" s="22">
        <v>8.1000000000000003E-2</v>
      </c>
      <c r="K26" s="50">
        <f>'1 - 2020'!H32-'1 - 2020'!H31</f>
        <v>0</v>
      </c>
      <c r="L26" s="24">
        <f>'1 - 2020'!I32-'1 - 2020'!I31</f>
        <v>115</v>
      </c>
      <c r="M26" s="23">
        <v>4.393629424766913</v>
      </c>
      <c r="N26" s="44">
        <v>77</v>
      </c>
    </row>
    <row r="27" spans="1:16" x14ac:dyDescent="0.25">
      <c r="A27" t="s">
        <v>27</v>
      </c>
      <c r="B27">
        <f t="shared" si="0"/>
        <v>26</v>
      </c>
      <c r="C27" s="22">
        <v>1</v>
      </c>
      <c r="D27" s="22">
        <v>2021</v>
      </c>
      <c r="E27" s="24">
        <v>0</v>
      </c>
      <c r="F27" s="22">
        <v>0.11799999999999999</v>
      </c>
      <c r="G27" s="24">
        <v>0</v>
      </c>
      <c r="H27" s="22">
        <v>0.99</v>
      </c>
      <c r="I27" s="24">
        <v>0</v>
      </c>
      <c r="J27" s="22">
        <v>8.1000000000000003E-2</v>
      </c>
      <c r="K27" s="50">
        <v>0</v>
      </c>
      <c r="L27" s="24">
        <v>0</v>
      </c>
      <c r="M27" s="23">
        <v>4.393629424766913</v>
      </c>
      <c r="N27" s="44"/>
    </row>
    <row r="28" spans="1:16" x14ac:dyDescent="0.25">
      <c r="A28" t="s">
        <v>27</v>
      </c>
      <c r="B28">
        <f t="shared" si="0"/>
        <v>27</v>
      </c>
      <c r="C28" s="22">
        <v>1</v>
      </c>
      <c r="D28" s="22">
        <v>2021</v>
      </c>
      <c r="E28" s="24">
        <f>'1 - 2020'!B34-'1 - 2020'!B33+'1 - 2020'!C34-'1 - 2020'!C33</f>
        <v>0</v>
      </c>
      <c r="F28" s="22">
        <v>0.11799999999999999</v>
      </c>
      <c r="G28" s="24">
        <f>(('1 - 2020'!E34-'1 - 2020'!E33)+('1 - 2020'!F34-'1 - 2020'!F33)+('1 - 2020'!G34-'1 - 2020'!G33))*1.81</f>
        <v>0</v>
      </c>
      <c r="H28" s="22">
        <v>0.99</v>
      </c>
      <c r="I28" s="24">
        <f>'1 - 2020'!J34-'1 - 2020'!J33</f>
        <v>0</v>
      </c>
      <c r="J28" s="22">
        <v>8.1000000000000003E-2</v>
      </c>
      <c r="K28" s="50">
        <f>'1 - 2020'!H34-'1 - 2020'!H33</f>
        <v>0</v>
      </c>
      <c r="L28" s="24">
        <f>'1 - 2020'!I34-'1 - 2020'!I33</f>
        <v>0</v>
      </c>
      <c r="M28" s="23">
        <v>4.393629424766913</v>
      </c>
      <c r="N28" s="44"/>
    </row>
    <row r="29" spans="1:16" x14ac:dyDescent="0.25">
      <c r="A29" t="s">
        <v>27</v>
      </c>
      <c r="B29">
        <f t="shared" si="0"/>
        <v>28</v>
      </c>
      <c r="C29" s="22">
        <v>1</v>
      </c>
      <c r="D29" s="22">
        <v>2021</v>
      </c>
      <c r="E29" s="24">
        <f>'1 - 2020'!B35-'1 - 2020'!B34+'1 - 2020'!C35-'1 - 2020'!C34</f>
        <v>0</v>
      </c>
      <c r="F29" s="22">
        <v>0.11799999999999999</v>
      </c>
      <c r="G29" s="24">
        <f>(('1 - 2020'!E35-'1 - 2020'!E34)+('1 - 2020'!F35-'1 - 2020'!F34)+('1 - 2020'!G35-'1 - 2020'!G34))*1.81</f>
        <v>0</v>
      </c>
      <c r="H29" s="22">
        <v>0.99</v>
      </c>
      <c r="I29" s="24">
        <f>'1 - 2020'!J35-'1 - 2020'!J34</f>
        <v>0</v>
      </c>
      <c r="J29" s="22">
        <v>8.1000000000000003E-2</v>
      </c>
      <c r="K29" s="50">
        <f>'1 - 2020'!H35-'1 - 2020'!H34</f>
        <v>0</v>
      </c>
      <c r="L29" s="24">
        <f>'1 - 2020'!I35-'1 - 2020'!I34</f>
        <v>0</v>
      </c>
      <c r="M29" s="23">
        <v>4.393629424766913</v>
      </c>
      <c r="N29" s="44"/>
    </row>
    <row r="30" spans="1:16" x14ac:dyDescent="0.25">
      <c r="A30" t="s">
        <v>27</v>
      </c>
      <c r="B30">
        <f t="shared" si="0"/>
        <v>29</v>
      </c>
      <c r="C30" s="22">
        <v>1</v>
      </c>
      <c r="D30" s="22">
        <v>2021</v>
      </c>
      <c r="E30" s="24">
        <f>'1 - 2020'!B36-'1 - 2020'!B35+'1 - 2020'!C36-'1 - 2020'!C35</f>
        <v>0</v>
      </c>
      <c r="F30" s="22">
        <v>0.11799999999999999</v>
      </c>
      <c r="G30" s="24">
        <f>(('1 - 2020'!E36-'1 - 2020'!E35)+('1 - 2020'!F36-'1 - 2020'!F35)+('1 - 2020'!G36-'1 - 2020'!G35))*1.81</f>
        <v>0</v>
      </c>
      <c r="H30" s="22">
        <v>0.99</v>
      </c>
      <c r="I30" s="24">
        <f>'1 - 2020'!J36-'1 - 2020'!J35</f>
        <v>0</v>
      </c>
      <c r="J30" s="22">
        <v>8.1000000000000003E-2</v>
      </c>
      <c r="K30" s="50">
        <f>'1 - 2020'!H36-'1 - 2020'!H35</f>
        <v>0</v>
      </c>
      <c r="L30" s="24">
        <f>'1 - 2020'!I36-'1 - 2020'!I35</f>
        <v>0</v>
      </c>
      <c r="M30" s="23">
        <v>4.393629424766913</v>
      </c>
      <c r="N30" s="44"/>
    </row>
    <row r="31" spans="1:16" x14ac:dyDescent="0.25">
      <c r="A31" s="22" t="s">
        <v>27</v>
      </c>
      <c r="B31">
        <v>30</v>
      </c>
      <c r="C31" s="22">
        <v>1</v>
      </c>
      <c r="D31" s="22">
        <v>2021</v>
      </c>
      <c r="E31" s="24">
        <f>'1 - 2020'!B37-'1 - 2020'!B36+'1 - 2020'!C37-'1 - 2020'!C36</f>
        <v>0</v>
      </c>
      <c r="F31" s="22">
        <v>0.11799999999999999</v>
      </c>
      <c r="G31" s="24">
        <f>(('1 - 2020'!E37-'1 - 2020'!E36)+('1 - 2020'!F37-'1 - 2020'!F36)+('1 - 2020'!G37-'1 - 2020'!G36))*1.81</f>
        <v>0</v>
      </c>
      <c r="H31" s="22">
        <v>0.99</v>
      </c>
      <c r="I31" s="24">
        <f>'1 - 2020'!J37-'1 - 2020'!J36</f>
        <v>0</v>
      </c>
      <c r="J31" s="22">
        <v>8.1000000000000003E-2</v>
      </c>
      <c r="K31" s="50">
        <f>'1 - 2020'!H37-'1 - 2020'!H36</f>
        <v>0</v>
      </c>
      <c r="L31" s="24">
        <f>'1 - 2020'!I37-'1 - 2020'!I36</f>
        <v>0</v>
      </c>
      <c r="M31" s="23">
        <v>4.393629424766913</v>
      </c>
    </row>
    <row r="32" spans="1:16" x14ac:dyDescent="0.25">
      <c r="A32" s="22" t="s">
        <v>27</v>
      </c>
      <c r="B32">
        <v>31</v>
      </c>
      <c r="C32" s="22">
        <v>1</v>
      </c>
      <c r="D32" s="22">
        <v>2021</v>
      </c>
      <c r="E32" s="24">
        <f>'1 - 2020'!B38-'1 - 2020'!B37+'1 - 2020'!C38-'1 - 2020'!C37</f>
        <v>0</v>
      </c>
      <c r="F32" s="22">
        <v>0.11799999999999999</v>
      </c>
      <c r="G32" s="24">
        <f>(('1 - 2020'!E38-'1 - 2020'!E37)+('1 - 2020'!F38-'1 - 2020'!F37)+('1 - 2020'!G38-'1 - 2020'!G37))*1.81</f>
        <v>0</v>
      </c>
      <c r="H32" s="22">
        <v>0.99</v>
      </c>
      <c r="I32" s="24">
        <f>'1 - 2020'!J38-'1 - 2020'!J37</f>
        <v>0</v>
      </c>
      <c r="J32" s="22">
        <v>8.1000000000000003E-2</v>
      </c>
      <c r="K32" s="50">
        <f>'1 - 2020'!H38-'1 - 2020'!H37</f>
        <v>0</v>
      </c>
      <c r="L32" s="24">
        <f>'1 - 2020'!I38-'1 - 2020'!I37</f>
        <v>0</v>
      </c>
      <c r="M32" s="23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topLeftCell="A4" workbookViewId="0">
      <selection activeCell="L32" sqref="L32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 s="22">
        <v>1</v>
      </c>
      <c r="D2">
        <v>2021</v>
      </c>
      <c r="E2" s="24">
        <f>'1 - 2020'!B8-'1 - 2020'!B7</f>
        <v>3178</v>
      </c>
      <c r="F2" s="24">
        <f>'1 - 2020'!C8-'1 - 2020'!C7</f>
        <v>5576</v>
      </c>
      <c r="G2" s="22">
        <v>0.11799999999999999</v>
      </c>
      <c r="H2" s="24">
        <f>'1 - 2020'!E8-'1 - 2020'!E7</f>
        <v>3.3999999999996362</v>
      </c>
      <c r="I2" s="24">
        <f>'1 - 2020'!F8-'1 - 2020'!F7</f>
        <v>4.4699999999997999</v>
      </c>
      <c r="J2" s="24">
        <f>'1 - 2020'!G8-'1 - 2020'!G7</f>
        <v>41.009999999998399</v>
      </c>
      <c r="K2" s="22">
        <v>0.74</v>
      </c>
      <c r="L2" s="24">
        <v>97</v>
      </c>
      <c r="M2" s="12"/>
    </row>
    <row r="3" spans="1:13" x14ac:dyDescent="0.25">
      <c r="A3" t="s">
        <v>27</v>
      </c>
      <c r="B3">
        <f>B2+1</f>
        <v>2</v>
      </c>
      <c r="C3" s="22">
        <v>1</v>
      </c>
      <c r="D3" s="22">
        <v>2021</v>
      </c>
      <c r="E3" s="24">
        <f>'1 - 2020'!B9-'1 - 2020'!B8</f>
        <v>3160</v>
      </c>
      <c r="F3" s="24">
        <f>'1 - 2020'!C9-'1 - 2020'!C8</f>
        <v>5792</v>
      </c>
      <c r="G3" s="22">
        <v>0.11799999999999999</v>
      </c>
      <c r="H3" s="24">
        <f>'1 - 2020'!E9-'1 - 2020'!E8</f>
        <v>4</v>
      </c>
      <c r="I3" s="24">
        <f>'1 - 2020'!F9-'1 - 2020'!F8</f>
        <v>5</v>
      </c>
      <c r="J3" s="24">
        <f>'1 - 2020'!G9-'1 - 2020'!G8</f>
        <v>39</v>
      </c>
      <c r="K3" s="22">
        <v>0.74</v>
      </c>
      <c r="L3" s="43">
        <v>88</v>
      </c>
      <c r="M3" s="12"/>
    </row>
    <row r="4" spans="1:13" x14ac:dyDescent="0.25">
      <c r="A4" t="s">
        <v>27</v>
      </c>
      <c r="B4">
        <f t="shared" ref="B4:B30" si="0">B3+1</f>
        <v>3</v>
      </c>
      <c r="C4" s="22">
        <v>1</v>
      </c>
      <c r="D4" s="22">
        <v>2021</v>
      </c>
      <c r="E4" s="24">
        <f>'1 - 2020'!B10-'1 - 2020'!B9</f>
        <v>3149</v>
      </c>
      <c r="F4" s="24">
        <f>'1 - 2020'!C10-'1 - 2020'!C9</f>
        <v>5545</v>
      </c>
      <c r="G4" s="22">
        <v>0.11799999999999999</v>
      </c>
      <c r="H4" s="24">
        <f>'1 - 2020'!E10-'1 - 2020'!E9</f>
        <v>6</v>
      </c>
      <c r="I4" s="24">
        <f>'1 - 2020'!F10-'1 - 2020'!F9</f>
        <v>5</v>
      </c>
      <c r="J4" s="24">
        <f>'1 - 2020'!G10-'1 - 2020'!G9</f>
        <v>38</v>
      </c>
      <c r="K4" s="22">
        <v>0.74</v>
      </c>
      <c r="L4" s="43">
        <v>89</v>
      </c>
      <c r="M4" s="12"/>
    </row>
    <row r="5" spans="1:13" x14ac:dyDescent="0.25">
      <c r="A5" t="s">
        <v>27</v>
      </c>
      <c r="B5">
        <f t="shared" si="0"/>
        <v>4</v>
      </c>
      <c r="C5" s="22">
        <v>1</v>
      </c>
      <c r="D5" s="22">
        <v>2021</v>
      </c>
      <c r="E5" s="24">
        <f>'1 - 2020'!B11-'1 - 2020'!B10</f>
        <v>3244</v>
      </c>
      <c r="F5" s="24">
        <f>'1 - 2020'!C11-'1 - 2020'!C10</f>
        <v>5693</v>
      </c>
      <c r="G5" s="22">
        <v>0.11799999999999999</v>
      </c>
      <c r="H5" s="24">
        <f>'1 - 2020'!E11-'1 - 2020'!E10</f>
        <v>4</v>
      </c>
      <c r="I5" s="24">
        <f>'1 - 2020'!F11-'1 - 2020'!F10</f>
        <v>5</v>
      </c>
      <c r="J5" s="24">
        <f>'1 - 2020'!G11-'1 - 2020'!G10</f>
        <v>38</v>
      </c>
      <c r="K5" s="22">
        <v>0.74</v>
      </c>
      <c r="L5" s="43">
        <v>92</v>
      </c>
      <c r="M5" s="12"/>
    </row>
    <row r="6" spans="1:13" x14ac:dyDescent="0.25">
      <c r="A6" t="s">
        <v>27</v>
      </c>
      <c r="B6">
        <f t="shared" si="0"/>
        <v>5</v>
      </c>
      <c r="C6" s="22">
        <v>1</v>
      </c>
      <c r="D6" s="22">
        <v>2021</v>
      </c>
      <c r="E6" s="24">
        <f>'1 - 2020'!B12-'1 - 2020'!B11</f>
        <v>3222</v>
      </c>
      <c r="F6" s="24">
        <f>'1 - 2020'!C12-'1 - 2020'!C11</f>
        <v>5595.3999999999069</v>
      </c>
      <c r="G6" s="22">
        <v>0.11799999999999999</v>
      </c>
      <c r="H6" s="24">
        <f>'1 - 2020'!E12-'1 - 2020'!E11</f>
        <v>3.8999999999996362</v>
      </c>
      <c r="I6" s="24">
        <f>'1 - 2020'!F12-'1 - 2020'!F11</f>
        <v>5.5100000000002183</v>
      </c>
      <c r="J6" s="24">
        <f>'1 - 2020'!G12-'1 - 2020'!G11</f>
        <v>40</v>
      </c>
      <c r="K6" s="22">
        <v>0.74</v>
      </c>
      <c r="L6" s="43">
        <v>96</v>
      </c>
      <c r="M6" s="13"/>
    </row>
    <row r="7" spans="1:13" x14ac:dyDescent="0.25">
      <c r="A7" t="s">
        <v>27</v>
      </c>
      <c r="B7">
        <f t="shared" si="0"/>
        <v>6</v>
      </c>
      <c r="C7" s="22">
        <v>1</v>
      </c>
      <c r="D7" s="22">
        <v>2021</v>
      </c>
      <c r="E7" s="24">
        <f>'1 - 2020'!B13-'1 - 2020'!B12</f>
        <v>3152</v>
      </c>
      <c r="F7" s="24">
        <f>'1 - 2020'!C13-'1 - 2020'!C12</f>
        <v>5541.6000000000931</v>
      </c>
      <c r="G7" s="22">
        <v>0.11799999999999999</v>
      </c>
      <c r="H7" s="24">
        <f>'1 - 2020'!E13-'1 - 2020'!E12</f>
        <v>4.1000000000003638</v>
      </c>
      <c r="I7" s="24">
        <f>'1 - 2020'!F13-'1 - 2020'!F12</f>
        <v>3.4899999999997817</v>
      </c>
      <c r="J7" s="24">
        <f>'1 - 2020'!G13-'1 - 2020'!G12</f>
        <v>38</v>
      </c>
      <c r="K7" s="22">
        <v>0.74</v>
      </c>
      <c r="L7" s="43">
        <v>100</v>
      </c>
      <c r="M7" s="13"/>
    </row>
    <row r="8" spans="1:13" x14ac:dyDescent="0.25">
      <c r="A8" t="s">
        <v>27</v>
      </c>
      <c r="B8">
        <f t="shared" si="0"/>
        <v>7</v>
      </c>
      <c r="C8" s="22">
        <v>1</v>
      </c>
      <c r="D8" s="22">
        <v>2021</v>
      </c>
      <c r="E8" s="24">
        <f>'1 - 2020'!B14-'1 - 2020'!B13</f>
        <v>2913</v>
      </c>
      <c r="F8" s="24">
        <f>'1 - 2020'!C14-'1 - 2020'!C13</f>
        <v>5531</v>
      </c>
      <c r="G8" s="22">
        <v>0.11799999999999999</v>
      </c>
      <c r="H8" s="24">
        <f>'1 - 2020'!E14-'1 - 2020'!E13</f>
        <v>7</v>
      </c>
      <c r="I8" s="24">
        <f>'1 - 2020'!F14-'1 - 2020'!F13</f>
        <v>5</v>
      </c>
      <c r="J8" s="24">
        <f>'1 - 2020'!G14-'1 - 2020'!G13</f>
        <v>38</v>
      </c>
      <c r="K8" s="22">
        <v>0.74</v>
      </c>
      <c r="L8" s="43">
        <v>104</v>
      </c>
      <c r="M8" s="13"/>
    </row>
    <row r="9" spans="1:13" x14ac:dyDescent="0.25">
      <c r="A9" t="s">
        <v>27</v>
      </c>
      <c r="B9">
        <f t="shared" si="0"/>
        <v>8</v>
      </c>
      <c r="C9" s="22">
        <v>1</v>
      </c>
      <c r="D9" s="22">
        <v>2021</v>
      </c>
      <c r="E9" s="24">
        <f>'1 - 2020'!B15-'1 - 2020'!B14</f>
        <v>3257</v>
      </c>
      <c r="F9" s="24">
        <f>'1 - 2020'!C15-'1 - 2020'!C14</f>
        <v>5639</v>
      </c>
      <c r="G9" s="22">
        <v>0.11799999999999999</v>
      </c>
      <c r="H9" s="24">
        <f>'1 - 2020'!E15-'1 - 2020'!E14</f>
        <v>5</v>
      </c>
      <c r="I9" s="24">
        <f>'1 - 2020'!F15-'1 - 2020'!F14</f>
        <v>5</v>
      </c>
      <c r="J9" s="24">
        <f>'1 - 2020'!G15-'1 - 2020'!G14</f>
        <v>40</v>
      </c>
      <c r="K9" s="22">
        <v>0.74</v>
      </c>
      <c r="L9" s="43">
        <v>105</v>
      </c>
      <c r="M9" s="13"/>
    </row>
    <row r="10" spans="1:13" x14ac:dyDescent="0.25">
      <c r="A10" t="s">
        <v>27</v>
      </c>
      <c r="B10">
        <f t="shared" si="0"/>
        <v>9</v>
      </c>
      <c r="C10" s="22">
        <v>1</v>
      </c>
      <c r="D10" s="22">
        <v>2021</v>
      </c>
      <c r="E10" s="24">
        <f>'1 - 2020'!B16-'1 - 2020'!B15</f>
        <v>3205</v>
      </c>
      <c r="F10" s="24">
        <f>'1 - 2020'!C16-'1 - 2020'!C15</f>
        <v>5615</v>
      </c>
      <c r="G10" s="22">
        <v>0.11799999999999999</v>
      </c>
      <c r="H10" s="24">
        <f>'1 - 2020'!E16-'1 - 2020'!E15</f>
        <v>4</v>
      </c>
      <c r="I10" s="24">
        <f>'1 - 2020'!F16-'1 - 2020'!F15</f>
        <v>5</v>
      </c>
      <c r="J10" s="24">
        <f>'1 - 2020'!G16-'1 - 2020'!G15</f>
        <v>41</v>
      </c>
      <c r="K10" s="22">
        <v>0.74</v>
      </c>
      <c r="L10" s="43">
        <v>104</v>
      </c>
      <c r="M10" s="13"/>
    </row>
    <row r="11" spans="1:13" x14ac:dyDescent="0.25">
      <c r="A11" t="s">
        <v>27</v>
      </c>
      <c r="B11">
        <f t="shared" si="0"/>
        <v>10</v>
      </c>
      <c r="C11" s="22">
        <v>1</v>
      </c>
      <c r="D11" s="22">
        <v>2021</v>
      </c>
      <c r="E11" s="24">
        <f>'1 - 2020'!B17-'1 - 2020'!B16</f>
        <v>3216</v>
      </c>
      <c r="F11" s="24">
        <f>'1 - 2020'!C17-'1 - 2020'!C16</f>
        <v>5405</v>
      </c>
      <c r="G11" s="22">
        <v>0.11799999999999999</v>
      </c>
      <c r="H11" s="24">
        <f>'1 - 2020'!E17-'1 - 2020'!E16</f>
        <v>3</v>
      </c>
      <c r="I11" s="24">
        <f>'1 - 2020'!F17-'1 - 2020'!F16</f>
        <v>5</v>
      </c>
      <c r="J11" s="24">
        <f>'1 - 2020'!G17-'1 - 2020'!G16</f>
        <v>38</v>
      </c>
      <c r="K11" s="22">
        <v>0.74</v>
      </c>
      <c r="L11" s="43">
        <v>97</v>
      </c>
      <c r="M11" s="13"/>
    </row>
    <row r="12" spans="1:13" x14ac:dyDescent="0.25">
      <c r="A12" t="s">
        <v>27</v>
      </c>
      <c r="B12">
        <f t="shared" si="0"/>
        <v>11</v>
      </c>
      <c r="C12" s="22">
        <v>1</v>
      </c>
      <c r="D12" s="22">
        <v>2021</v>
      </c>
      <c r="E12" s="24">
        <f>'1 - 2020'!B18-'1 - 2020'!B17</f>
        <v>3264</v>
      </c>
      <c r="F12" s="24">
        <f>'1 - 2020'!C18-'1 - 2020'!C17</f>
        <v>5699</v>
      </c>
      <c r="G12" s="22">
        <v>0.11799999999999999</v>
      </c>
      <c r="H12" s="24">
        <f>'1 - 2020'!E18-'1 - 2020'!E17</f>
        <v>3</v>
      </c>
      <c r="I12" s="24">
        <f>'1 - 2020'!F18-'1 - 2020'!F17</f>
        <v>5</v>
      </c>
      <c r="J12" s="24">
        <f>'1 - 2020'!G18-'1 - 2020'!G17</f>
        <v>40</v>
      </c>
      <c r="K12" s="22">
        <v>0.74</v>
      </c>
      <c r="L12" s="24">
        <v>86</v>
      </c>
      <c r="M12" s="13"/>
    </row>
    <row r="13" spans="1:13" x14ac:dyDescent="0.25">
      <c r="A13" t="s">
        <v>27</v>
      </c>
      <c r="B13">
        <f t="shared" si="0"/>
        <v>12</v>
      </c>
      <c r="C13" s="22">
        <v>1</v>
      </c>
      <c r="D13" s="22">
        <v>2021</v>
      </c>
      <c r="E13" s="24">
        <f>'1 - 2020'!B19-'1 - 2020'!B18</f>
        <v>3834</v>
      </c>
      <c r="F13" s="24">
        <f>'1 - 2020'!C19-'1 - 2020'!C18</f>
        <v>6661.6999999999534</v>
      </c>
      <c r="G13" s="22">
        <v>0.11799999999999999</v>
      </c>
      <c r="H13" s="24">
        <f>'1 - 2020'!E19-'1 - 2020'!E18</f>
        <v>5</v>
      </c>
      <c r="I13" s="24">
        <f>'1 - 2020'!F19-'1 - 2020'!F18</f>
        <v>5.8000000000001819</v>
      </c>
      <c r="J13" s="24">
        <f>'1 - 2020'!G19-'1 - 2020'!G18</f>
        <v>36</v>
      </c>
      <c r="K13" s="22">
        <v>0.74</v>
      </c>
      <c r="L13" s="24">
        <v>76</v>
      </c>
      <c r="M13" s="13"/>
    </row>
    <row r="14" spans="1:13" x14ac:dyDescent="0.25">
      <c r="A14" t="s">
        <v>27</v>
      </c>
      <c r="B14">
        <f t="shared" si="0"/>
        <v>13</v>
      </c>
      <c r="C14" s="22">
        <v>1</v>
      </c>
      <c r="D14" s="22">
        <v>2021</v>
      </c>
      <c r="E14" s="24">
        <f>'1 - 2020'!B20-'1 - 2020'!B19</f>
        <v>2621</v>
      </c>
      <c r="F14" s="24">
        <f>'1 - 2020'!C20-'1 - 2020'!C19</f>
        <v>4257.3000000000466</v>
      </c>
      <c r="G14" s="22">
        <v>0.11799999999999999</v>
      </c>
      <c r="H14" s="24">
        <f>'1 - 2020'!E20-'1 - 2020'!E19</f>
        <v>2</v>
      </c>
      <c r="I14" s="24">
        <f>'1 - 2020'!F20-'1 - 2020'!F19</f>
        <v>4.1999999999998181</v>
      </c>
      <c r="J14" s="24">
        <f>'1 - 2020'!G20-'1 - 2020'!G19</f>
        <v>36</v>
      </c>
      <c r="K14" s="22">
        <v>0.74</v>
      </c>
      <c r="L14" s="24">
        <v>81</v>
      </c>
      <c r="M14" s="13"/>
    </row>
    <row r="15" spans="1:13" x14ac:dyDescent="0.25">
      <c r="A15" t="s">
        <v>27</v>
      </c>
      <c r="B15">
        <f t="shared" si="0"/>
        <v>14</v>
      </c>
      <c r="C15" s="22">
        <v>1</v>
      </c>
      <c r="D15" s="22">
        <v>2021</v>
      </c>
      <c r="E15" s="24">
        <f>'1 - 2020'!B21-'1 - 2020'!B20</f>
        <v>3215</v>
      </c>
      <c r="F15" s="24">
        <f>'1 - 2020'!C21-'1 - 2020'!C20</f>
        <v>5060</v>
      </c>
      <c r="G15" s="22">
        <v>0.11799999999999999</v>
      </c>
      <c r="H15" s="24">
        <f>'1 - 2020'!E21-'1 - 2020'!E20</f>
        <v>1</v>
      </c>
      <c r="I15" s="24">
        <f>'1 - 2020'!F21-'1 - 2020'!F20</f>
        <v>5</v>
      </c>
      <c r="J15" s="24">
        <f>'1 - 2020'!G21-'1 - 2020'!G20</f>
        <v>35</v>
      </c>
      <c r="K15" s="22">
        <v>0.74</v>
      </c>
      <c r="L15" s="24">
        <v>79</v>
      </c>
      <c r="M15" s="13"/>
    </row>
    <row r="16" spans="1:13" x14ac:dyDescent="0.25">
      <c r="A16" t="s">
        <v>27</v>
      </c>
      <c r="B16">
        <f t="shared" si="0"/>
        <v>15</v>
      </c>
      <c r="C16" s="22">
        <v>1</v>
      </c>
      <c r="D16" s="22">
        <v>2021</v>
      </c>
      <c r="E16" s="24">
        <f>'1 - 2020'!B22-'1 - 2020'!B21</f>
        <v>3269</v>
      </c>
      <c r="F16" s="24">
        <f>'1 - 2020'!C22-'1 - 2020'!C21</f>
        <v>5040</v>
      </c>
      <c r="G16" s="22">
        <v>0.11799999999999999</v>
      </c>
      <c r="H16" s="24">
        <f>'1 - 2020'!E22-'1 - 2020'!E21</f>
        <v>3</v>
      </c>
      <c r="I16" s="24">
        <f>'1 - 2020'!F22-'1 - 2020'!F21</f>
        <v>5</v>
      </c>
      <c r="J16" s="24">
        <f>'1 - 2020'!G22-'1 - 2020'!G21</f>
        <v>39</v>
      </c>
      <c r="K16" s="22">
        <v>0.74</v>
      </c>
      <c r="L16" s="24">
        <v>87</v>
      </c>
      <c r="M16" s="13"/>
    </row>
    <row r="17" spans="1:13" x14ac:dyDescent="0.25">
      <c r="A17" t="s">
        <v>27</v>
      </c>
      <c r="B17">
        <f t="shared" si="0"/>
        <v>16</v>
      </c>
      <c r="C17" s="22">
        <v>1</v>
      </c>
      <c r="D17" s="22">
        <v>2021</v>
      </c>
      <c r="E17" s="24">
        <f>'1 - 2020'!B23-'1 - 2020'!B22</f>
        <v>3288</v>
      </c>
      <c r="F17" s="24">
        <f>'1 - 2020'!C23-'1 - 2020'!C22</f>
        <v>5074</v>
      </c>
      <c r="G17" s="22">
        <v>0.11799999999999999</v>
      </c>
      <c r="H17" s="24">
        <f>'1 - 2020'!E23-'1 - 2020'!E22</f>
        <v>3</v>
      </c>
      <c r="I17" s="24">
        <f>'1 - 2020'!F23-'1 - 2020'!F22</f>
        <v>4</v>
      </c>
      <c r="J17" s="24">
        <f>'1 - 2020'!G23-'1 - 2020'!G22</f>
        <v>37</v>
      </c>
      <c r="K17" s="22">
        <v>0.74</v>
      </c>
      <c r="L17" s="24">
        <v>94</v>
      </c>
      <c r="M17" s="13"/>
    </row>
    <row r="18" spans="1:13" x14ac:dyDescent="0.25">
      <c r="A18" t="s">
        <v>27</v>
      </c>
      <c r="B18">
        <f t="shared" si="0"/>
        <v>17</v>
      </c>
      <c r="C18" s="22">
        <v>1</v>
      </c>
      <c r="D18" s="22">
        <v>2021</v>
      </c>
      <c r="E18" s="24">
        <f>'1 - 2020'!B24-'1 - 2020'!B23</f>
        <v>3232</v>
      </c>
      <c r="F18" s="24">
        <f>'1 - 2020'!C24-'1 - 2020'!C23</f>
        <v>5042</v>
      </c>
      <c r="G18" s="22">
        <v>0.11799999999999999</v>
      </c>
      <c r="H18" s="24">
        <f>'1 - 2020'!E24-'1 - 2020'!E23</f>
        <v>4</v>
      </c>
      <c r="I18" s="24">
        <f>'1 - 2020'!F24-'1 - 2020'!F23</f>
        <v>5</v>
      </c>
      <c r="J18" s="24">
        <f>'1 - 2020'!G24-'1 - 2020'!G23</f>
        <v>39</v>
      </c>
      <c r="K18" s="22">
        <v>0.74</v>
      </c>
      <c r="L18" s="24">
        <v>95</v>
      </c>
      <c r="M18" s="13"/>
    </row>
    <row r="19" spans="1:13" x14ac:dyDescent="0.25">
      <c r="A19" t="s">
        <v>27</v>
      </c>
      <c r="B19">
        <f>B18+1</f>
        <v>18</v>
      </c>
      <c r="C19" s="22">
        <v>1</v>
      </c>
      <c r="D19" s="22">
        <v>2021</v>
      </c>
      <c r="E19" s="24">
        <f>'1 - 2020'!B25-'1 - 2020'!B24</f>
        <v>3162</v>
      </c>
      <c r="F19" s="24">
        <f>'1 - 2020'!C25-'1 - 2020'!C24</f>
        <v>4962</v>
      </c>
      <c r="G19" s="22">
        <v>0.11799999999999999</v>
      </c>
      <c r="H19" s="24">
        <f>'1 - 2020'!E25-'1 - 2020'!E24</f>
        <v>4</v>
      </c>
      <c r="I19" s="24">
        <f>'1 - 2020'!F25-'1 - 2020'!F24</f>
        <v>5</v>
      </c>
      <c r="J19" s="24">
        <f>'1 - 2020'!G25-'1 - 2020'!G24</f>
        <v>41</v>
      </c>
      <c r="K19" s="22">
        <v>0.74</v>
      </c>
      <c r="L19" s="24">
        <v>90</v>
      </c>
      <c r="M19" s="13"/>
    </row>
    <row r="20" spans="1:13" x14ac:dyDescent="0.25">
      <c r="A20" t="s">
        <v>27</v>
      </c>
      <c r="B20">
        <f t="shared" si="0"/>
        <v>19</v>
      </c>
      <c r="C20" s="22">
        <v>1</v>
      </c>
      <c r="D20" s="22">
        <v>2021</v>
      </c>
      <c r="E20" s="24">
        <f>'1 - 2020'!B26-'1 - 2020'!B25</f>
        <v>3343</v>
      </c>
      <c r="F20" s="24">
        <f>'1 - 2020'!C26-'1 - 2020'!C25</f>
        <v>5372.8000000000466</v>
      </c>
      <c r="G20" s="22">
        <v>0.11799999999999999</v>
      </c>
      <c r="H20" s="24">
        <f>'1 - 2020'!E26-'1 - 2020'!E25</f>
        <v>1.2399999999997817</v>
      </c>
      <c r="I20" s="24">
        <f>'1 - 2020'!F26-'1 - 2020'!F25</f>
        <v>5</v>
      </c>
      <c r="J20" s="24">
        <f>'1 - 2020'!G26-'1 - 2020'!G25</f>
        <v>42</v>
      </c>
      <c r="K20" s="22">
        <v>0.74</v>
      </c>
      <c r="L20" s="6">
        <v>91</v>
      </c>
      <c r="M20" s="13"/>
    </row>
    <row r="21" spans="1:13" x14ac:dyDescent="0.25">
      <c r="A21" t="s">
        <v>27</v>
      </c>
      <c r="B21">
        <f t="shared" si="0"/>
        <v>20</v>
      </c>
      <c r="C21" s="22">
        <v>1</v>
      </c>
      <c r="D21" s="22">
        <v>2021</v>
      </c>
      <c r="E21" s="24">
        <f>'1 - 2020'!B27-'1 - 2020'!B26</f>
        <v>3167</v>
      </c>
      <c r="F21" s="24">
        <f>'1 - 2020'!C27-'1 - 2020'!C26</f>
        <v>5291.3000000000466</v>
      </c>
      <c r="G21" s="22">
        <v>0.11799999999999999</v>
      </c>
      <c r="H21" s="24">
        <f>'1 - 2020'!E27-'1 - 2020'!E26</f>
        <v>4.8000000000010914</v>
      </c>
      <c r="I21" s="24">
        <f>'1 - 2020'!F27-'1 - 2020'!F26</f>
        <v>6</v>
      </c>
      <c r="J21" s="24">
        <f>'1 - 2020'!G27-'1 - 2020'!G26</f>
        <v>38</v>
      </c>
      <c r="K21" s="22">
        <v>0.74</v>
      </c>
      <c r="L21" s="6">
        <v>81</v>
      </c>
      <c r="M21" s="13"/>
    </row>
    <row r="22" spans="1:13" x14ac:dyDescent="0.25">
      <c r="A22" t="s">
        <v>27</v>
      </c>
      <c r="B22">
        <f t="shared" si="0"/>
        <v>21</v>
      </c>
      <c r="C22" s="22">
        <v>1</v>
      </c>
      <c r="D22" s="22">
        <v>2021</v>
      </c>
      <c r="E22" s="24">
        <f>'1 - 2020'!B28-'1 - 2020'!B27</f>
        <v>3399</v>
      </c>
      <c r="F22" s="24">
        <f>'1 - 2020'!C28-'1 - 2020'!C27</f>
        <v>7661.5</v>
      </c>
      <c r="G22" s="22">
        <v>0.11799999999999999</v>
      </c>
      <c r="H22" s="24">
        <f>'1 - 2020'!E28-'1 - 2020'!E27</f>
        <v>5.0899999999983265</v>
      </c>
      <c r="I22" s="24">
        <f>'1 - 2020'!F28-'1 - 2020'!F27</f>
        <v>4</v>
      </c>
      <c r="J22" s="24">
        <f>'1 - 2020'!G28-'1 - 2020'!G27</f>
        <v>39</v>
      </c>
      <c r="K22" s="22">
        <v>0.74</v>
      </c>
      <c r="L22" s="24">
        <v>78</v>
      </c>
      <c r="M22" s="13"/>
    </row>
    <row r="23" spans="1:13" x14ac:dyDescent="0.25">
      <c r="A23" t="s">
        <v>27</v>
      </c>
      <c r="B23">
        <f t="shared" si="0"/>
        <v>22</v>
      </c>
      <c r="C23" s="22">
        <v>1</v>
      </c>
      <c r="D23" s="22">
        <v>2021</v>
      </c>
      <c r="E23" s="24">
        <f>'1 - 2020'!B29-'1 - 2020'!B28</f>
        <v>3273</v>
      </c>
      <c r="F23" s="24">
        <f>'1 - 2020'!C29-'1 - 2020'!C28</f>
        <v>3374.7999999998137</v>
      </c>
      <c r="G23" s="22">
        <v>0.11799999999999999</v>
      </c>
      <c r="H23" s="24">
        <f>'1 - 2020'!E29-'1 - 2020'!E28</f>
        <v>5.5400000000008731</v>
      </c>
      <c r="I23" s="24">
        <f>'1 - 2020'!F29-'1 - 2020'!F28</f>
        <v>4</v>
      </c>
      <c r="J23" s="24">
        <f>'1 - 2020'!G29-'1 - 2020'!G28</f>
        <v>39.799999999999272</v>
      </c>
      <c r="K23" s="22">
        <v>0.74</v>
      </c>
      <c r="L23" s="24">
        <v>85</v>
      </c>
      <c r="M23" s="13"/>
    </row>
    <row r="24" spans="1:13" x14ac:dyDescent="0.25">
      <c r="A24" t="s">
        <v>27</v>
      </c>
      <c r="B24">
        <f t="shared" si="0"/>
        <v>23</v>
      </c>
      <c r="C24" s="22">
        <v>1</v>
      </c>
      <c r="D24" s="22">
        <v>2021</v>
      </c>
      <c r="E24" s="24">
        <f>'1 - 2020'!B30-'1 - 2020'!B29</f>
        <v>3362</v>
      </c>
      <c r="F24" s="24">
        <f>'1 - 2020'!C30-'1 - 2020'!C29</f>
        <v>5273.2000000001863</v>
      </c>
      <c r="G24" s="22">
        <v>0.11799999999999999</v>
      </c>
      <c r="H24" s="24">
        <f>'1 - 2020'!E30-'1 - 2020'!E29</f>
        <v>5</v>
      </c>
      <c r="I24" s="24">
        <f>'1 - 2020'!F30-'1 - 2020'!F29</f>
        <v>4</v>
      </c>
      <c r="J24" s="24">
        <f>'1 - 2020'!G30-'1 - 2020'!G29</f>
        <v>33.950000000000728</v>
      </c>
      <c r="K24" s="22">
        <v>0.74</v>
      </c>
      <c r="L24" s="24">
        <v>83</v>
      </c>
      <c r="M24" s="13"/>
    </row>
    <row r="25" spans="1:13" x14ac:dyDescent="0.25">
      <c r="A25" t="s">
        <v>27</v>
      </c>
      <c r="B25">
        <f t="shared" si="0"/>
        <v>24</v>
      </c>
      <c r="C25" s="22">
        <v>1</v>
      </c>
      <c r="D25" s="22">
        <v>2021</v>
      </c>
      <c r="E25" s="24">
        <f>'1 - 2020'!B31-'1 - 2020'!B30</f>
        <v>3166</v>
      </c>
      <c r="F25" s="24">
        <f>'1 - 2020'!C31-'1 - 2020'!C30</f>
        <v>5125.3999999999069</v>
      </c>
      <c r="G25" s="22">
        <v>0.11799999999999999</v>
      </c>
      <c r="H25" s="24">
        <f>'1 - 2020'!E31-'1 - 2020'!E30</f>
        <v>4.3299999999999272</v>
      </c>
      <c r="I25" s="24">
        <f>'1 - 2020'!F31-'1 - 2020'!F30</f>
        <v>5</v>
      </c>
      <c r="J25" s="24">
        <f>'1 - 2020'!G31-'1 - 2020'!G30</f>
        <v>37.860000000000582</v>
      </c>
      <c r="K25" s="22">
        <v>0.74</v>
      </c>
      <c r="L25" s="6">
        <v>77</v>
      </c>
      <c r="M25" s="13"/>
    </row>
    <row r="26" spans="1:13" x14ac:dyDescent="0.25">
      <c r="A26" t="s">
        <v>27</v>
      </c>
      <c r="B26">
        <f>B25+1</f>
        <v>25</v>
      </c>
      <c r="C26" s="22">
        <v>1</v>
      </c>
      <c r="D26" s="22">
        <v>2021</v>
      </c>
      <c r="E26" s="24">
        <f>'1 - 2020'!B32-'1 - 2020'!B31</f>
        <v>3370</v>
      </c>
      <c r="F26" s="24">
        <f>'1 - 2020'!C32-'1 - 2020'!C31</f>
        <v>5398</v>
      </c>
      <c r="G26" s="22">
        <v>0.11799999999999999</v>
      </c>
      <c r="H26" s="24">
        <f>'1 - 2020'!E32-'1 - 2020'!E31</f>
        <v>5</v>
      </c>
      <c r="I26" s="24">
        <f>'1 - 2020'!F32-'1 - 2020'!F31</f>
        <v>5</v>
      </c>
      <c r="J26" s="24">
        <f>'1 - 2020'!G32-'1 - 2020'!G31</f>
        <v>36.349999999998545</v>
      </c>
      <c r="K26" s="22">
        <v>0.74</v>
      </c>
      <c r="L26" s="6">
        <v>77</v>
      </c>
      <c r="M26" s="13"/>
    </row>
    <row r="27" spans="1:13" x14ac:dyDescent="0.25">
      <c r="A27" t="s">
        <v>27</v>
      </c>
      <c r="B27">
        <f t="shared" si="0"/>
        <v>26</v>
      </c>
      <c r="C27" s="22">
        <v>1</v>
      </c>
      <c r="D27" s="22">
        <v>2021</v>
      </c>
      <c r="E27" s="24">
        <v>0</v>
      </c>
      <c r="F27" s="24">
        <v>0</v>
      </c>
      <c r="G27" s="22">
        <v>0.11799999999999999</v>
      </c>
      <c r="H27" s="24">
        <v>0</v>
      </c>
      <c r="I27" s="24">
        <v>0</v>
      </c>
      <c r="J27" s="24">
        <v>0</v>
      </c>
      <c r="K27" s="22">
        <v>0.74</v>
      </c>
      <c r="L27" s="24"/>
      <c r="M27" s="13"/>
    </row>
    <row r="28" spans="1:13" x14ac:dyDescent="0.25">
      <c r="A28" t="s">
        <v>27</v>
      </c>
      <c r="B28">
        <f t="shared" si="0"/>
        <v>27</v>
      </c>
      <c r="C28" s="22">
        <v>1</v>
      </c>
      <c r="D28" s="22">
        <v>2021</v>
      </c>
      <c r="E28" s="24">
        <f>'1 - 2020'!B34-'1 - 2020'!B33</f>
        <v>0</v>
      </c>
      <c r="F28" s="24">
        <f>'1 - 2020'!C34-'1 - 2020'!C33</f>
        <v>0</v>
      </c>
      <c r="G28" s="22">
        <v>0.11799999999999999</v>
      </c>
      <c r="H28" s="24">
        <f>'1 - 2020'!E34-'1 - 2020'!E33</f>
        <v>0</v>
      </c>
      <c r="I28" s="24">
        <f>'1 - 2020'!F34-'1 - 2020'!F33</f>
        <v>0</v>
      </c>
      <c r="J28" s="24">
        <f>'1 - 2020'!G34-'1 - 2020'!G33</f>
        <v>0</v>
      </c>
      <c r="K28" s="22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22">
        <v>1</v>
      </c>
      <c r="D29" s="22">
        <v>2021</v>
      </c>
      <c r="E29" s="24">
        <f>'1 - 2020'!B35-'1 - 2020'!B34</f>
        <v>0</v>
      </c>
      <c r="F29" s="24">
        <f>'1 - 2020'!C35-'1 - 2020'!C34</f>
        <v>0</v>
      </c>
      <c r="G29" s="22">
        <v>0.11799999999999999</v>
      </c>
      <c r="H29" s="24">
        <f>'1 - 2020'!E35-'1 - 2020'!E34</f>
        <v>0</v>
      </c>
      <c r="I29" s="24">
        <f>'1 - 2020'!F35-'1 - 2020'!F34</f>
        <v>0</v>
      </c>
      <c r="J29" s="24">
        <f>'1 - 2020'!G35-'1 - 2020'!G34</f>
        <v>0</v>
      </c>
      <c r="K29" s="22">
        <v>0.74</v>
      </c>
      <c r="L29" s="6"/>
      <c r="M29" s="13"/>
    </row>
    <row r="30" spans="1:13" x14ac:dyDescent="0.25">
      <c r="A30" t="s">
        <v>27</v>
      </c>
      <c r="B30">
        <f t="shared" si="0"/>
        <v>29</v>
      </c>
      <c r="C30" s="22">
        <v>1</v>
      </c>
      <c r="D30" s="22">
        <v>2021</v>
      </c>
      <c r="E30" s="24">
        <f>'1 - 2020'!B36-'1 - 2020'!B35</f>
        <v>0</v>
      </c>
      <c r="F30" s="24">
        <f>'1 - 2020'!C36-'1 - 2020'!C35</f>
        <v>0</v>
      </c>
      <c r="G30" s="22">
        <v>0.11799999999999999</v>
      </c>
      <c r="H30" s="24">
        <f>'1 - 2020'!E36-'1 - 2020'!E35</f>
        <v>0</v>
      </c>
      <c r="I30" s="24">
        <f>'1 - 2020'!F36-'1 - 2020'!F35</f>
        <v>0</v>
      </c>
      <c r="J30" s="24">
        <f>'1 - 2020'!G36-'1 - 2020'!G35</f>
        <v>0</v>
      </c>
      <c r="K30" s="22">
        <v>0.74</v>
      </c>
      <c r="L30" s="6"/>
    </row>
    <row r="31" spans="1:13" x14ac:dyDescent="0.25">
      <c r="A31" s="22" t="s">
        <v>27</v>
      </c>
      <c r="B31" s="22">
        <v>30</v>
      </c>
      <c r="C31" s="22">
        <v>1</v>
      </c>
      <c r="D31" s="22">
        <v>2021</v>
      </c>
      <c r="E31" s="24">
        <f>'1 - 2020'!B37-'1 - 2020'!B36</f>
        <v>0</v>
      </c>
      <c r="F31" s="24">
        <f>'1 - 2020'!C37-'1 - 2020'!C36</f>
        <v>0</v>
      </c>
      <c r="G31" s="22">
        <v>0.11799999999999999</v>
      </c>
      <c r="H31" s="24">
        <f>'1 - 2020'!E37-'1 - 2020'!E36</f>
        <v>0</v>
      </c>
      <c r="I31" s="24">
        <f>'1 - 2020'!F37-'1 - 2020'!F36</f>
        <v>0</v>
      </c>
      <c r="J31" s="24">
        <f>'1 - 2020'!G37-'1 - 2020'!G36</f>
        <v>0</v>
      </c>
      <c r="K31" s="22">
        <v>0.74</v>
      </c>
      <c r="L31" s="24"/>
    </row>
    <row r="32" spans="1:13" x14ac:dyDescent="0.25">
      <c r="A32" s="22" t="s">
        <v>27</v>
      </c>
      <c r="B32">
        <v>31</v>
      </c>
      <c r="C32" s="22">
        <v>1</v>
      </c>
      <c r="D32" s="22">
        <v>2021</v>
      </c>
      <c r="E32" s="24">
        <f>'1 - 2020'!B38-'1 - 2020'!B37</f>
        <v>0</v>
      </c>
      <c r="F32" s="24">
        <f>'1 - 2020'!C38-'1 - 2020'!C37</f>
        <v>0</v>
      </c>
      <c r="G32" s="22">
        <v>0.11799999999999999</v>
      </c>
      <c r="H32" s="24">
        <f>'1 - 2020'!E38-'1 - 2020'!E37</f>
        <v>0</v>
      </c>
      <c r="I32" s="24">
        <f>'1 - 2020'!F38-'1 - 2020'!F37</f>
        <v>0</v>
      </c>
      <c r="J32" s="24">
        <f>'1 - 2020'!G38-'1 - 2020'!G37</f>
        <v>0</v>
      </c>
      <c r="K32" s="22">
        <v>0.74</v>
      </c>
      <c r="L32" s="2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3"/>
  <sheetViews>
    <sheetView tabSelected="1" topLeftCell="A3" zoomScaleNormal="100" workbookViewId="0">
      <selection activeCell="E34" sqref="E34"/>
    </sheetView>
  </sheetViews>
  <sheetFormatPr defaultRowHeight="15" x14ac:dyDescent="0.25"/>
  <cols>
    <col min="1" max="1" width="13.5703125" style="22" customWidth="1"/>
    <col min="2" max="2" width="11.5703125" style="22" customWidth="1"/>
    <col min="3" max="3" width="12" style="22" customWidth="1"/>
    <col min="4" max="4" width="9.85546875" style="22" customWidth="1"/>
    <col min="5" max="5" width="11.42578125" style="22" customWidth="1"/>
    <col min="6" max="6" width="11.7109375" style="22" customWidth="1"/>
    <col min="7" max="7" width="11.28515625" style="22" customWidth="1"/>
    <col min="8" max="9" width="13.5703125" style="22" customWidth="1"/>
    <col min="10" max="10" width="13" style="22" customWidth="1"/>
    <col min="11" max="11" width="16.42578125" style="22" customWidth="1"/>
    <col min="12" max="12" width="39" style="22" customWidth="1"/>
    <col min="13" max="13" width="14.140625" style="22" customWidth="1"/>
    <col min="14" max="16384" width="9.140625" style="22"/>
  </cols>
  <sheetData>
    <row r="1" spans="1:17" x14ac:dyDescent="0.25">
      <c r="H1" s="23"/>
      <c r="I1" s="23"/>
    </row>
    <row r="3" spans="1:17" ht="18.75" x14ac:dyDescent="0.3">
      <c r="A3" s="72" t="s">
        <v>30</v>
      </c>
      <c r="B3" s="72"/>
      <c r="C3" s="72"/>
      <c r="D3" s="72"/>
      <c r="E3" s="72"/>
      <c r="F3" s="72"/>
      <c r="G3" s="72"/>
      <c r="H3" s="72"/>
      <c r="I3" s="72"/>
      <c r="J3" s="72"/>
    </row>
    <row r="4" spans="1:17" ht="16.5" thickBot="1" x14ac:dyDescent="0.3">
      <c r="A4" s="68" t="s">
        <v>37</v>
      </c>
      <c r="B4" s="68"/>
      <c r="C4" s="68"/>
      <c r="D4" s="68"/>
      <c r="E4" s="68"/>
      <c r="F4" s="68"/>
      <c r="G4" s="68"/>
      <c r="H4" s="68"/>
      <c r="I4" s="68"/>
      <c r="J4" s="68"/>
    </row>
    <row r="5" spans="1:17" ht="16.5" thickBot="1" x14ac:dyDescent="0.3">
      <c r="A5" s="2"/>
      <c r="B5" s="69" t="s">
        <v>36</v>
      </c>
      <c r="C5" s="70"/>
      <c r="D5" s="69" t="s">
        <v>0</v>
      </c>
      <c r="E5" s="71"/>
      <c r="F5" s="71"/>
      <c r="G5" s="70"/>
      <c r="H5" s="69" t="s">
        <v>1</v>
      </c>
      <c r="I5" s="70"/>
      <c r="J5" s="27" t="s">
        <v>2</v>
      </c>
      <c r="K5" s="3"/>
    </row>
    <row r="6" spans="1:17" ht="50.25" customHeight="1" x14ac:dyDescent="0.25">
      <c r="A6" s="36" t="s">
        <v>3</v>
      </c>
      <c r="B6" s="37" t="s">
        <v>33</v>
      </c>
      <c r="C6" s="38" t="s">
        <v>34</v>
      </c>
      <c r="D6" s="38" t="s">
        <v>4</v>
      </c>
      <c r="E6" s="38" t="s">
        <v>5</v>
      </c>
      <c r="F6" s="38" t="s">
        <v>6</v>
      </c>
      <c r="G6" s="39" t="s">
        <v>7</v>
      </c>
      <c r="H6" s="38" t="s">
        <v>28</v>
      </c>
      <c r="I6" s="38" t="s">
        <v>29</v>
      </c>
      <c r="J6" s="38" t="s">
        <v>8</v>
      </c>
      <c r="K6" s="28" t="s">
        <v>31</v>
      </c>
      <c r="L6" s="29" t="s">
        <v>32</v>
      </c>
    </row>
    <row r="7" spans="1:17" s="14" customFormat="1" ht="12.95" customHeight="1" x14ac:dyDescent="0.25">
      <c r="A7" s="40">
        <v>44196</v>
      </c>
      <c r="B7" s="15">
        <v>221075</v>
      </c>
      <c r="C7" s="15">
        <v>1972912</v>
      </c>
      <c r="D7" s="16">
        <v>0.78</v>
      </c>
      <c r="E7" s="17">
        <v>13434.6</v>
      </c>
      <c r="F7" s="17">
        <v>2857.53</v>
      </c>
      <c r="G7" s="17">
        <v>24512.99</v>
      </c>
      <c r="H7" s="15">
        <v>14528</v>
      </c>
      <c r="I7" s="15">
        <v>106033</v>
      </c>
      <c r="J7" s="15">
        <v>43843900</v>
      </c>
      <c r="K7" s="47"/>
      <c r="L7" s="48"/>
      <c r="M7" s="41"/>
    </row>
    <row r="8" spans="1:17" s="14" customFormat="1" ht="12.95" customHeight="1" x14ac:dyDescent="0.25">
      <c r="A8" s="40">
        <f>A7+1</f>
        <v>44197</v>
      </c>
      <c r="B8" s="25">
        <v>224253</v>
      </c>
      <c r="C8" s="25">
        <v>1978488</v>
      </c>
      <c r="D8" s="16">
        <v>0.72</v>
      </c>
      <c r="E8" s="21">
        <v>13438</v>
      </c>
      <c r="F8" s="21">
        <v>2862</v>
      </c>
      <c r="G8" s="25">
        <v>24554</v>
      </c>
      <c r="H8" s="25">
        <v>14528</v>
      </c>
      <c r="I8" s="25">
        <v>106156</v>
      </c>
      <c r="J8" s="25">
        <v>43853953</v>
      </c>
      <c r="K8" s="34"/>
      <c r="L8" s="35"/>
      <c r="M8" s="41"/>
    </row>
    <row r="9" spans="1:17" s="14" customFormat="1" ht="12.95" customHeight="1" x14ac:dyDescent="0.25">
      <c r="A9" s="40">
        <f t="shared" ref="A9:A38" si="0">A8+1</f>
        <v>44198</v>
      </c>
      <c r="B9" s="19">
        <v>227413</v>
      </c>
      <c r="C9" s="17">
        <v>1984280</v>
      </c>
      <c r="D9" s="16">
        <v>0.65</v>
      </c>
      <c r="E9" s="21">
        <v>13442</v>
      </c>
      <c r="F9" s="21">
        <v>2867</v>
      </c>
      <c r="G9" s="21">
        <v>24593</v>
      </c>
      <c r="H9" s="19">
        <v>14528</v>
      </c>
      <c r="I9" s="15">
        <v>106262</v>
      </c>
      <c r="J9" s="15">
        <v>43868406</v>
      </c>
      <c r="K9" s="18"/>
      <c r="L9" s="30"/>
      <c r="M9" s="41"/>
    </row>
    <row r="10" spans="1:17" s="14" customFormat="1" ht="12.95" customHeight="1" x14ac:dyDescent="0.25">
      <c r="A10" s="40">
        <f t="shared" si="0"/>
        <v>44199</v>
      </c>
      <c r="B10" s="15">
        <v>230562</v>
      </c>
      <c r="C10" s="15">
        <v>1989825</v>
      </c>
      <c r="D10" s="16">
        <v>0.6</v>
      </c>
      <c r="E10" s="21">
        <v>13448</v>
      </c>
      <c r="F10" s="21">
        <v>2872</v>
      </c>
      <c r="G10" s="21">
        <v>24631</v>
      </c>
      <c r="H10" s="19">
        <v>14528</v>
      </c>
      <c r="I10" s="15">
        <v>106373</v>
      </c>
      <c r="J10" s="55">
        <v>43880125</v>
      </c>
      <c r="K10" s="18"/>
      <c r="L10" s="30"/>
      <c r="M10" s="41"/>
    </row>
    <row r="11" spans="1:17" s="14" customFormat="1" ht="12.95" customHeight="1" x14ac:dyDescent="0.25">
      <c r="A11" s="40">
        <f t="shared" si="0"/>
        <v>44200</v>
      </c>
      <c r="B11" s="15">
        <v>233806</v>
      </c>
      <c r="C11" s="15">
        <v>1995518</v>
      </c>
      <c r="D11" s="16">
        <v>0.52</v>
      </c>
      <c r="E11" s="21">
        <v>13452</v>
      </c>
      <c r="F11" s="21">
        <v>2877</v>
      </c>
      <c r="G11" s="21">
        <v>24669</v>
      </c>
      <c r="H11" s="19">
        <v>14528</v>
      </c>
      <c r="I11" s="15">
        <v>106476</v>
      </c>
      <c r="J11" s="15">
        <v>43891216</v>
      </c>
      <c r="K11" s="18"/>
      <c r="L11" s="30"/>
      <c r="M11" s="41"/>
    </row>
    <row r="12" spans="1:17" s="14" customFormat="1" ht="12.95" customHeight="1" x14ac:dyDescent="0.25">
      <c r="A12" s="40">
        <f t="shared" si="0"/>
        <v>44201</v>
      </c>
      <c r="B12" s="57">
        <v>237028</v>
      </c>
      <c r="C12" s="57">
        <v>2001113.4</v>
      </c>
      <c r="D12" s="16">
        <v>0.45</v>
      </c>
      <c r="E12" s="57">
        <v>13455.9</v>
      </c>
      <c r="F12" s="57">
        <v>2882.51</v>
      </c>
      <c r="G12" s="57">
        <v>24709</v>
      </c>
      <c r="H12" s="57">
        <v>14528</v>
      </c>
      <c r="I12" s="57">
        <v>106600</v>
      </c>
      <c r="J12" s="57">
        <v>43901864</v>
      </c>
      <c r="K12" s="18"/>
      <c r="L12" s="30"/>
      <c r="M12" s="41"/>
      <c r="N12" s="41"/>
    </row>
    <row r="13" spans="1:17" s="14" customFormat="1" ht="12.95" customHeight="1" x14ac:dyDescent="0.25">
      <c r="A13" s="40">
        <f t="shared" si="0"/>
        <v>44202</v>
      </c>
      <c r="B13" s="58">
        <v>240180</v>
      </c>
      <c r="C13" s="17">
        <v>2006655</v>
      </c>
      <c r="D13" s="16">
        <v>0.38</v>
      </c>
      <c r="E13" s="21">
        <v>13460</v>
      </c>
      <c r="F13" s="21">
        <v>2886</v>
      </c>
      <c r="G13" s="21">
        <v>24747</v>
      </c>
      <c r="H13" s="15">
        <v>14528</v>
      </c>
      <c r="I13" s="17">
        <v>106682</v>
      </c>
      <c r="J13" s="17">
        <v>43912012</v>
      </c>
      <c r="K13" s="18"/>
      <c r="L13" s="30"/>
      <c r="M13" s="41"/>
      <c r="N13" s="59"/>
      <c r="O13" s="59"/>
      <c r="P13" s="59"/>
      <c r="Q13" s="59"/>
    </row>
    <row r="14" spans="1:17" s="14" customFormat="1" ht="12.95" customHeight="1" x14ac:dyDescent="0.25">
      <c r="A14" s="40">
        <f t="shared" si="0"/>
        <v>44203</v>
      </c>
      <c r="B14" s="15">
        <v>243093</v>
      </c>
      <c r="C14" s="15">
        <v>2012186</v>
      </c>
      <c r="D14" s="16">
        <v>0.3</v>
      </c>
      <c r="E14" s="21">
        <v>13467</v>
      </c>
      <c r="F14" s="21">
        <v>2891</v>
      </c>
      <c r="G14" s="17">
        <v>24785</v>
      </c>
      <c r="H14" s="15">
        <v>14528</v>
      </c>
      <c r="I14" s="15">
        <v>106785</v>
      </c>
      <c r="J14" s="15">
        <v>43921891</v>
      </c>
      <c r="K14" s="25"/>
      <c r="L14" s="30"/>
      <c r="M14" s="41"/>
      <c r="N14" s="59"/>
      <c r="O14" s="59"/>
      <c r="P14" s="59"/>
      <c r="Q14" s="59"/>
    </row>
    <row r="15" spans="1:17" s="14" customFormat="1" ht="12.95" customHeight="1" x14ac:dyDescent="0.25">
      <c r="A15" s="40">
        <f t="shared" si="0"/>
        <v>44204</v>
      </c>
      <c r="B15" s="15">
        <v>246350</v>
      </c>
      <c r="C15" s="15">
        <v>2017825</v>
      </c>
      <c r="D15" s="16">
        <v>0.8</v>
      </c>
      <c r="E15" s="21">
        <v>13472</v>
      </c>
      <c r="F15" s="21">
        <v>2896</v>
      </c>
      <c r="G15" s="17">
        <v>24825</v>
      </c>
      <c r="H15" s="15">
        <v>14528</v>
      </c>
      <c r="I15" s="15">
        <v>106898</v>
      </c>
      <c r="J15" s="15">
        <v>43931782</v>
      </c>
      <c r="K15" s="18"/>
      <c r="L15" s="30"/>
      <c r="M15" s="41"/>
      <c r="N15" s="59"/>
      <c r="O15" s="59"/>
      <c r="P15" s="59"/>
      <c r="Q15" s="59"/>
    </row>
    <row r="16" spans="1:17" s="14" customFormat="1" ht="12.95" customHeight="1" x14ac:dyDescent="0.25">
      <c r="A16" s="40">
        <f t="shared" si="0"/>
        <v>44205</v>
      </c>
      <c r="B16" s="41">
        <v>249555</v>
      </c>
      <c r="C16" s="15">
        <v>2023440</v>
      </c>
      <c r="D16" s="16">
        <v>0.73</v>
      </c>
      <c r="E16" s="21">
        <v>13476</v>
      </c>
      <c r="F16" s="21">
        <v>2901</v>
      </c>
      <c r="G16" s="17">
        <v>24866</v>
      </c>
      <c r="H16" s="15">
        <v>14528</v>
      </c>
      <c r="I16" s="15">
        <v>107006</v>
      </c>
      <c r="J16" s="15">
        <v>43941460</v>
      </c>
      <c r="K16" s="18"/>
      <c r="L16" s="30"/>
      <c r="M16" s="41"/>
      <c r="N16" s="59"/>
      <c r="O16" s="59"/>
      <c r="P16" s="59"/>
      <c r="Q16" s="59"/>
    </row>
    <row r="17" spans="1:19" s="14" customFormat="1" ht="12.95" customHeight="1" x14ac:dyDescent="0.25">
      <c r="A17" s="40">
        <f t="shared" si="0"/>
        <v>44206</v>
      </c>
      <c r="B17" s="17">
        <v>252771</v>
      </c>
      <c r="C17" s="17">
        <v>2028845</v>
      </c>
      <c r="D17" s="26">
        <v>0.65</v>
      </c>
      <c r="E17" s="21">
        <v>13479</v>
      </c>
      <c r="F17" s="21">
        <v>2906</v>
      </c>
      <c r="G17" s="17">
        <v>24904</v>
      </c>
      <c r="H17" s="15">
        <v>14528</v>
      </c>
      <c r="I17" s="17">
        <v>107119</v>
      </c>
      <c r="J17" s="17">
        <v>43950852</v>
      </c>
      <c r="K17" s="18"/>
      <c r="L17" s="30"/>
      <c r="M17" s="41"/>
      <c r="N17" s="59"/>
      <c r="O17" s="59"/>
      <c r="P17" s="59"/>
      <c r="Q17" s="59"/>
    </row>
    <row r="18" spans="1:19" s="14" customFormat="1" ht="12.95" customHeight="1" x14ac:dyDescent="0.25">
      <c r="A18" s="40">
        <f t="shared" si="0"/>
        <v>44207</v>
      </c>
      <c r="B18" s="15">
        <v>256035</v>
      </c>
      <c r="C18" s="15">
        <v>2034544</v>
      </c>
      <c r="D18" s="16">
        <v>0.57999999999999996</v>
      </c>
      <c r="E18" s="21">
        <v>13482</v>
      </c>
      <c r="F18" s="21">
        <v>2911</v>
      </c>
      <c r="G18" s="17">
        <v>24944</v>
      </c>
      <c r="H18" s="15">
        <v>14528</v>
      </c>
      <c r="I18" s="15">
        <v>107224</v>
      </c>
      <c r="J18" s="15">
        <v>43960947</v>
      </c>
      <c r="K18" s="18"/>
      <c r="L18" s="30"/>
      <c r="M18" s="41"/>
      <c r="N18" s="59"/>
      <c r="O18" s="60"/>
      <c r="P18" s="59"/>
      <c r="Q18" s="59"/>
    </row>
    <row r="19" spans="1:19" s="14" customFormat="1" ht="12.95" customHeight="1" x14ac:dyDescent="0.25">
      <c r="A19" s="40">
        <f t="shared" si="0"/>
        <v>44208</v>
      </c>
      <c r="B19" s="51">
        <v>259869</v>
      </c>
      <c r="C19" s="51">
        <v>2041205.7</v>
      </c>
      <c r="D19" s="16">
        <v>0.52</v>
      </c>
      <c r="E19" s="52">
        <v>13487</v>
      </c>
      <c r="F19" s="21">
        <v>2916.8</v>
      </c>
      <c r="G19" s="52">
        <v>24980</v>
      </c>
      <c r="H19" s="15">
        <v>14528</v>
      </c>
      <c r="I19" s="51">
        <v>107337</v>
      </c>
      <c r="J19" s="51">
        <v>43971458</v>
      </c>
      <c r="K19" s="18"/>
      <c r="L19" s="30"/>
      <c r="M19" s="41"/>
      <c r="N19" s="59"/>
      <c r="O19" s="60"/>
      <c r="P19" s="59"/>
      <c r="Q19" s="59"/>
    </row>
    <row r="20" spans="1:19" s="14" customFormat="1" ht="12.95" customHeight="1" x14ac:dyDescent="0.25">
      <c r="A20" s="40">
        <f t="shared" si="0"/>
        <v>44209</v>
      </c>
      <c r="B20" s="51">
        <v>262490</v>
      </c>
      <c r="C20" s="51">
        <v>2045463</v>
      </c>
      <c r="D20" s="16">
        <v>0.45</v>
      </c>
      <c r="E20" s="52">
        <v>13489</v>
      </c>
      <c r="F20" s="21">
        <v>2921</v>
      </c>
      <c r="G20" s="52">
        <v>25016</v>
      </c>
      <c r="H20" s="15">
        <v>14528</v>
      </c>
      <c r="I20" s="51">
        <v>107415</v>
      </c>
      <c r="J20" s="51">
        <v>43979289</v>
      </c>
      <c r="K20" s="18"/>
      <c r="L20" s="30"/>
      <c r="M20" s="41"/>
      <c r="N20" s="61"/>
      <c r="O20" s="59"/>
      <c r="P20" s="59"/>
      <c r="Q20" s="59"/>
    </row>
    <row r="21" spans="1:19" s="14" customFormat="1" ht="12.95" customHeight="1" x14ac:dyDescent="0.25">
      <c r="A21" s="40">
        <f t="shared" si="0"/>
        <v>44210</v>
      </c>
      <c r="B21" s="51">
        <v>265705</v>
      </c>
      <c r="C21" s="51">
        <v>2050523</v>
      </c>
      <c r="D21" s="16">
        <v>0.37</v>
      </c>
      <c r="E21" s="52">
        <v>13490</v>
      </c>
      <c r="F21" s="21">
        <v>2926</v>
      </c>
      <c r="G21" s="52">
        <v>25051</v>
      </c>
      <c r="H21" s="15">
        <v>14528</v>
      </c>
      <c r="I21" s="51">
        <v>107514</v>
      </c>
      <c r="J21" s="51">
        <v>43988174</v>
      </c>
      <c r="K21" s="18"/>
      <c r="L21" s="30"/>
      <c r="M21" s="41"/>
      <c r="N21" s="61"/>
      <c r="O21" s="61"/>
      <c r="P21" s="62"/>
      <c r="Q21" s="62"/>
      <c r="S21" s="41"/>
    </row>
    <row r="22" spans="1:19" s="14" customFormat="1" ht="12.95" customHeight="1" x14ac:dyDescent="0.25">
      <c r="A22" s="40">
        <f t="shared" si="0"/>
        <v>44211</v>
      </c>
      <c r="B22" s="51">
        <v>268974</v>
      </c>
      <c r="C22" s="51">
        <v>2055563</v>
      </c>
      <c r="D22" s="16">
        <v>0.3</v>
      </c>
      <c r="E22" s="52">
        <v>13493</v>
      </c>
      <c r="F22" s="21">
        <v>2931</v>
      </c>
      <c r="G22" s="52">
        <v>25090</v>
      </c>
      <c r="H22" s="15">
        <v>14528</v>
      </c>
      <c r="I22" s="52">
        <v>107617</v>
      </c>
      <c r="J22" s="51">
        <v>43997997</v>
      </c>
      <c r="K22" s="25"/>
      <c r="L22" s="30"/>
      <c r="M22" s="41"/>
      <c r="N22" s="61"/>
      <c r="O22" s="61"/>
      <c r="P22" s="59"/>
      <c r="Q22" s="59"/>
    </row>
    <row r="23" spans="1:19" s="14" customFormat="1" ht="12.95" customHeight="1" x14ac:dyDescent="0.25">
      <c r="A23" s="40">
        <f t="shared" si="0"/>
        <v>44212</v>
      </c>
      <c r="B23" s="51">
        <v>272262</v>
      </c>
      <c r="C23" s="51">
        <v>2060637</v>
      </c>
      <c r="D23" s="16">
        <v>0.8</v>
      </c>
      <c r="E23" s="52">
        <v>13496</v>
      </c>
      <c r="F23" s="21">
        <v>2935</v>
      </c>
      <c r="G23" s="52">
        <v>25127</v>
      </c>
      <c r="H23" s="15">
        <v>14528</v>
      </c>
      <c r="I23" s="51">
        <v>107718</v>
      </c>
      <c r="J23" s="51">
        <v>44008287</v>
      </c>
      <c r="K23" s="25"/>
      <c r="L23" s="30"/>
      <c r="M23" s="41"/>
      <c r="N23" s="61"/>
      <c r="O23" s="59"/>
      <c r="P23" s="59"/>
      <c r="Q23" s="59"/>
    </row>
    <row r="24" spans="1:19" s="14" customFormat="1" ht="12.95" customHeight="1" x14ac:dyDescent="0.25">
      <c r="A24" s="40">
        <f t="shared" si="0"/>
        <v>44213</v>
      </c>
      <c r="B24" s="51">
        <v>275494</v>
      </c>
      <c r="C24" s="51">
        <v>2065679</v>
      </c>
      <c r="D24" s="16">
        <v>0.72</v>
      </c>
      <c r="E24" s="52">
        <v>13500</v>
      </c>
      <c r="F24" s="21">
        <v>2940</v>
      </c>
      <c r="G24" s="52">
        <v>25166</v>
      </c>
      <c r="H24" s="15">
        <v>14528</v>
      </c>
      <c r="I24" s="51">
        <v>107822</v>
      </c>
      <c r="J24" s="51">
        <v>44018585</v>
      </c>
      <c r="K24" s="18"/>
      <c r="L24" s="31"/>
      <c r="M24" s="41"/>
      <c r="N24" s="61"/>
      <c r="O24" s="61"/>
      <c r="P24" s="59"/>
      <c r="Q24" s="59"/>
    </row>
    <row r="25" spans="1:19" s="14" customFormat="1" ht="12.95" customHeight="1" x14ac:dyDescent="0.25">
      <c r="A25" s="40">
        <f t="shared" si="0"/>
        <v>44214</v>
      </c>
      <c r="B25" s="52">
        <v>278656</v>
      </c>
      <c r="C25" s="52">
        <v>2070641</v>
      </c>
      <c r="D25" s="26">
        <v>0.65</v>
      </c>
      <c r="E25" s="52">
        <v>13504</v>
      </c>
      <c r="F25" s="21">
        <v>2945</v>
      </c>
      <c r="G25" s="52">
        <v>25207</v>
      </c>
      <c r="H25" s="15">
        <v>14528</v>
      </c>
      <c r="I25" s="51">
        <v>107929</v>
      </c>
      <c r="J25" s="51">
        <v>44028370</v>
      </c>
      <c r="K25" s="57"/>
      <c r="L25" s="31"/>
      <c r="M25" s="41"/>
      <c r="N25" s="61"/>
      <c r="O25" s="61"/>
      <c r="P25" s="59"/>
      <c r="Q25" s="59"/>
    </row>
    <row r="26" spans="1:19" s="14" customFormat="1" ht="12.95" customHeight="1" x14ac:dyDescent="0.25">
      <c r="A26" s="40">
        <f t="shared" si="0"/>
        <v>44215</v>
      </c>
      <c r="B26" s="52">
        <v>281999</v>
      </c>
      <c r="C26" s="52">
        <v>2076013.8</v>
      </c>
      <c r="D26" s="26">
        <v>0.59</v>
      </c>
      <c r="E26" s="52">
        <v>13505.24</v>
      </c>
      <c r="F26" s="21">
        <v>2950</v>
      </c>
      <c r="G26" s="52">
        <v>25249</v>
      </c>
      <c r="H26" s="15">
        <v>14528</v>
      </c>
      <c r="I26" s="51">
        <v>108038</v>
      </c>
      <c r="J26" s="51">
        <v>44040102</v>
      </c>
      <c r="K26" s="25"/>
      <c r="L26" s="31"/>
      <c r="M26" s="41"/>
      <c r="N26" s="61"/>
      <c r="O26" s="61"/>
      <c r="P26" s="59"/>
      <c r="Q26" s="59"/>
    </row>
    <row r="27" spans="1:19" s="14" customFormat="1" ht="12.95" customHeight="1" x14ac:dyDescent="0.25">
      <c r="A27" s="40">
        <f t="shared" si="0"/>
        <v>44216</v>
      </c>
      <c r="B27" s="51">
        <v>285166</v>
      </c>
      <c r="C27" s="51">
        <v>2081305.1</v>
      </c>
      <c r="D27" s="16">
        <v>0.52</v>
      </c>
      <c r="E27" s="52">
        <v>13510.04</v>
      </c>
      <c r="F27" s="21">
        <v>2956</v>
      </c>
      <c r="G27" s="52">
        <v>25287</v>
      </c>
      <c r="H27" s="15">
        <v>14528</v>
      </c>
      <c r="I27" s="51">
        <v>108132</v>
      </c>
      <c r="J27" s="51">
        <v>44052544</v>
      </c>
      <c r="K27" s="18"/>
      <c r="L27" s="30"/>
      <c r="M27" s="41"/>
    </row>
    <row r="28" spans="1:19" s="14" customFormat="1" ht="12.95" customHeight="1" x14ac:dyDescent="0.25">
      <c r="A28" s="40">
        <f t="shared" si="0"/>
        <v>44217</v>
      </c>
      <c r="B28" s="53">
        <v>288565</v>
      </c>
      <c r="C28" s="51">
        <v>2088966.6</v>
      </c>
      <c r="D28" s="16">
        <v>0.45</v>
      </c>
      <c r="E28" s="52">
        <v>13515.13</v>
      </c>
      <c r="F28" s="21">
        <v>2960</v>
      </c>
      <c r="G28" s="52">
        <v>25326</v>
      </c>
      <c r="H28" s="15">
        <v>14528</v>
      </c>
      <c r="I28" s="51">
        <v>108227</v>
      </c>
      <c r="J28" s="51">
        <v>44064010</v>
      </c>
      <c r="K28" s="18"/>
      <c r="L28" s="30"/>
      <c r="M28" s="41"/>
    </row>
    <row r="29" spans="1:19" s="14" customFormat="1" ht="12.95" customHeight="1" x14ac:dyDescent="0.25">
      <c r="A29" s="40">
        <f t="shared" si="0"/>
        <v>44218</v>
      </c>
      <c r="B29" s="51">
        <v>291838</v>
      </c>
      <c r="C29" s="51">
        <v>2092341.4</v>
      </c>
      <c r="D29" s="16">
        <v>0.38</v>
      </c>
      <c r="E29" s="52">
        <v>13520.67</v>
      </c>
      <c r="F29" s="21">
        <v>2964</v>
      </c>
      <c r="G29" s="52">
        <v>25365.8</v>
      </c>
      <c r="H29" s="15">
        <v>14528</v>
      </c>
      <c r="I29" s="51">
        <v>108327</v>
      </c>
      <c r="J29" s="51">
        <v>44076821</v>
      </c>
      <c r="K29" s="18"/>
      <c r="L29" s="30"/>
      <c r="M29" s="41"/>
      <c r="N29" s="41"/>
    </row>
    <row r="30" spans="1:19" s="14" customFormat="1" ht="12.95" customHeight="1" x14ac:dyDescent="0.25">
      <c r="A30" s="40">
        <f t="shared" si="0"/>
        <v>44219</v>
      </c>
      <c r="B30" s="51">
        <v>295200</v>
      </c>
      <c r="C30" s="51">
        <v>2097614.6</v>
      </c>
      <c r="D30" s="16">
        <v>0.3</v>
      </c>
      <c r="E30" s="52">
        <v>13525.67</v>
      </c>
      <c r="F30" s="21">
        <v>2968</v>
      </c>
      <c r="G30" s="52">
        <v>25399.75</v>
      </c>
      <c r="H30" s="15">
        <v>14528</v>
      </c>
      <c r="I30" s="51">
        <v>108429</v>
      </c>
      <c r="J30" s="51">
        <v>44085187</v>
      </c>
      <c r="K30" s="18"/>
      <c r="L30" s="30"/>
      <c r="M30" s="41"/>
    </row>
    <row r="31" spans="1:19" s="14" customFormat="1" ht="12.95" customHeight="1" x14ac:dyDescent="0.25">
      <c r="A31" s="40">
        <f t="shared" si="0"/>
        <v>44220</v>
      </c>
      <c r="B31" s="51">
        <v>298366</v>
      </c>
      <c r="C31" s="51">
        <v>2102740</v>
      </c>
      <c r="D31" s="16">
        <v>0.82</v>
      </c>
      <c r="E31" s="52">
        <v>13530</v>
      </c>
      <c r="F31" s="21">
        <v>2973</v>
      </c>
      <c r="G31" s="52">
        <v>25437.61</v>
      </c>
      <c r="H31" s="15">
        <v>14528</v>
      </c>
      <c r="I31" s="51">
        <v>108531</v>
      </c>
      <c r="J31" s="51">
        <v>44096111</v>
      </c>
      <c r="K31" s="18"/>
      <c r="L31" s="32"/>
      <c r="M31" s="41"/>
      <c r="N31" s="41"/>
      <c r="O31" s="41"/>
    </row>
    <row r="32" spans="1:19" s="14" customFormat="1" ht="12.95" customHeight="1" x14ac:dyDescent="0.25">
      <c r="A32" s="40">
        <f t="shared" si="0"/>
        <v>44221</v>
      </c>
      <c r="B32" s="51">
        <v>301736</v>
      </c>
      <c r="C32" s="51">
        <v>2108138</v>
      </c>
      <c r="D32" s="16">
        <v>0.76</v>
      </c>
      <c r="E32" s="52">
        <v>13535</v>
      </c>
      <c r="F32" s="21">
        <v>2978</v>
      </c>
      <c r="G32" s="52">
        <v>25473.96</v>
      </c>
      <c r="H32" s="15">
        <v>14528</v>
      </c>
      <c r="I32" s="51">
        <v>108646</v>
      </c>
      <c r="J32" s="51">
        <v>44105491</v>
      </c>
      <c r="K32" s="18"/>
      <c r="L32" s="32"/>
      <c r="M32" s="41"/>
      <c r="N32" s="41"/>
      <c r="O32" s="41"/>
    </row>
    <row r="33" spans="1:16" s="14" customFormat="1" ht="12.95" customHeight="1" x14ac:dyDescent="0.25">
      <c r="A33" s="40">
        <f t="shared" si="0"/>
        <v>44222</v>
      </c>
      <c r="B33" s="51"/>
      <c r="C33" s="51"/>
      <c r="D33" s="16"/>
      <c r="E33" s="52"/>
      <c r="F33" s="21"/>
      <c r="G33" s="52"/>
      <c r="H33" s="15"/>
      <c r="I33" s="51"/>
      <c r="J33" s="51"/>
      <c r="K33" s="18"/>
      <c r="L33" s="30"/>
      <c r="N33" s="41"/>
      <c r="O33" s="41"/>
    </row>
    <row r="34" spans="1:16" s="14" customFormat="1" ht="12.95" customHeight="1" x14ac:dyDescent="0.25">
      <c r="A34" s="40">
        <f t="shared" si="0"/>
        <v>44223</v>
      </c>
      <c r="B34" s="52"/>
      <c r="C34" s="54"/>
      <c r="D34" s="26"/>
      <c r="E34" s="52"/>
      <c r="F34" s="21"/>
      <c r="G34" s="52"/>
      <c r="H34" s="15"/>
      <c r="I34" s="52"/>
      <c r="J34" s="52"/>
      <c r="K34" s="18"/>
      <c r="L34" s="30"/>
      <c r="N34" s="41"/>
      <c r="P34" s="41"/>
    </row>
    <row r="35" spans="1:16" s="14" customFormat="1" ht="12.95" customHeight="1" x14ac:dyDescent="0.25">
      <c r="A35" s="40">
        <f t="shared" si="0"/>
        <v>44224</v>
      </c>
      <c r="B35" s="15"/>
      <c r="C35" s="56"/>
      <c r="D35" s="16"/>
      <c r="E35" s="17"/>
      <c r="F35" s="17"/>
      <c r="G35" s="17"/>
      <c r="H35" s="15"/>
      <c r="I35" s="15"/>
      <c r="J35" s="15"/>
      <c r="K35" s="18"/>
      <c r="L35" s="30"/>
      <c r="M35" s="41"/>
      <c r="N35" s="41"/>
      <c r="O35" s="41"/>
    </row>
    <row r="36" spans="1:16" s="14" customFormat="1" ht="12.95" customHeight="1" x14ac:dyDescent="0.25">
      <c r="A36" s="40">
        <f t="shared" si="0"/>
        <v>44225</v>
      </c>
      <c r="B36" s="15"/>
      <c r="C36" s="56"/>
      <c r="D36" s="16"/>
      <c r="E36" s="17"/>
      <c r="F36" s="17"/>
      <c r="G36" s="17"/>
      <c r="H36" s="15"/>
      <c r="I36" s="15"/>
      <c r="J36" s="15"/>
      <c r="K36" s="18"/>
      <c r="L36" s="30"/>
      <c r="N36" s="63"/>
      <c r="P36" s="41"/>
    </row>
    <row r="37" spans="1:16" s="14" customFormat="1" ht="12.95" customHeight="1" x14ac:dyDescent="0.25">
      <c r="A37" s="40">
        <f t="shared" si="0"/>
        <v>44226</v>
      </c>
      <c r="B37" s="15"/>
      <c r="C37" s="15"/>
      <c r="D37" s="16"/>
      <c r="E37" s="17"/>
      <c r="F37" s="17"/>
      <c r="G37" s="17"/>
      <c r="H37" s="15"/>
      <c r="I37" s="15"/>
      <c r="J37" s="15"/>
      <c r="K37" s="18"/>
      <c r="L37" s="30"/>
      <c r="M37" s="41"/>
      <c r="N37" s="41"/>
    </row>
    <row r="38" spans="1:16" s="14" customFormat="1" ht="12.95" customHeight="1" x14ac:dyDescent="0.25">
      <c r="A38" s="40">
        <f t="shared" si="0"/>
        <v>44227</v>
      </c>
      <c r="B38" s="15"/>
      <c r="C38" s="15"/>
      <c r="D38" s="16"/>
      <c r="E38" s="17"/>
      <c r="F38" s="17"/>
      <c r="G38" s="17"/>
      <c r="H38" s="15"/>
      <c r="I38" s="15"/>
      <c r="J38" s="15"/>
      <c r="K38" s="18"/>
      <c r="L38" s="59"/>
      <c r="M38" s="41"/>
      <c r="N38" s="41"/>
    </row>
    <row r="39" spans="1:16" x14ac:dyDescent="0.25">
      <c r="A39" s="42" t="s">
        <v>35</v>
      </c>
      <c r="B39" s="33">
        <f>B38-B7</f>
        <v>-221075</v>
      </c>
      <c r="C39" s="33">
        <f>C38-C7</f>
        <v>-1972912</v>
      </c>
      <c r="D39" s="33">
        <f t="shared" ref="D39:H39" si="1">D38-D7</f>
        <v>-0.78</v>
      </c>
      <c r="E39" s="33">
        <f>E38-E7</f>
        <v>-13434.6</v>
      </c>
      <c r="F39" s="33">
        <f>F38-F7</f>
        <v>-2857.53</v>
      </c>
      <c r="G39" s="33">
        <f>G38-G7</f>
        <v>-24512.99</v>
      </c>
      <c r="H39" s="33">
        <f t="shared" si="1"/>
        <v>-14528</v>
      </c>
      <c r="I39" s="33">
        <f>I38-I7</f>
        <v>-106033</v>
      </c>
      <c r="J39" s="33">
        <f>J38-J7</f>
        <v>-43843900</v>
      </c>
      <c r="K39" s="33">
        <f t="shared" ref="K39" si="2">K37-K7</f>
        <v>0</v>
      </c>
    </row>
    <row r="40" spans="1:16" x14ac:dyDescent="0.25">
      <c r="C40" s="33"/>
      <c r="E40" s="24"/>
      <c r="F40" s="24"/>
      <c r="G40" s="24"/>
      <c r="H40" s="20">
        <f>H39*219.969</f>
        <v>-3195709.6319999998</v>
      </c>
      <c r="I40" s="33">
        <f>I39*219.969</f>
        <v>-23323972.976999998</v>
      </c>
      <c r="J40" s="24"/>
    </row>
    <row r="41" spans="1:16" hidden="1" x14ac:dyDescent="0.25">
      <c r="H41" s="14" t="s">
        <v>38</v>
      </c>
    </row>
    <row r="42" spans="1:16" s="64" customFormat="1" hidden="1" x14ac:dyDescent="0.25">
      <c r="B42" s="65">
        <f>B32-B10</f>
        <v>71174</v>
      </c>
      <c r="C42" s="65">
        <f>C32-C10</f>
        <v>118313</v>
      </c>
      <c r="E42" s="65">
        <f t="shared" ref="E42:J42" si="3">E32-E10</f>
        <v>87</v>
      </c>
      <c r="F42" s="65">
        <f t="shared" si="3"/>
        <v>106</v>
      </c>
      <c r="G42" s="65">
        <f t="shared" si="3"/>
        <v>842.95999999999913</v>
      </c>
      <c r="H42" s="65">
        <f t="shared" si="3"/>
        <v>0</v>
      </c>
      <c r="I42" s="65">
        <f t="shared" si="3"/>
        <v>2273</v>
      </c>
      <c r="J42" s="65">
        <f t="shared" si="3"/>
        <v>225366</v>
      </c>
    </row>
    <row r="43" spans="1:16" hidden="1" x14ac:dyDescent="0.25">
      <c r="I43" s="20">
        <f>I42*219.969</f>
        <v>499989.53700000001</v>
      </c>
      <c r="J43" s="22">
        <v>768611</v>
      </c>
    </row>
    <row r="44" spans="1:16" hidden="1" x14ac:dyDescent="0.25">
      <c r="C44" s="24">
        <f>C42+B42</f>
        <v>189487</v>
      </c>
      <c r="I44" s="22">
        <v>450276.54300000001</v>
      </c>
    </row>
    <row r="45" spans="1:16" hidden="1" x14ac:dyDescent="0.25">
      <c r="C45" s="22">
        <v>178662</v>
      </c>
      <c r="J45" s="66">
        <f>SUM(J43-J42)/J42</f>
        <v>2.410501140367225</v>
      </c>
    </row>
    <row r="46" spans="1:16" hidden="1" x14ac:dyDescent="0.25">
      <c r="C46" s="67">
        <f>SUM(C45-C44)/C44</f>
        <v>-5.7127929620501672E-2</v>
      </c>
      <c r="I46" s="66">
        <f>SUM(I44-I43)/I43</f>
        <v>-9.9428068631764205E-2</v>
      </c>
    </row>
    <row r="47" spans="1:16" hidden="1" x14ac:dyDescent="0.25"/>
    <row r="48" spans="1:16" hidden="1" x14ac:dyDescent="0.25"/>
    <row r="49" spans="9:9" hidden="1" x14ac:dyDescent="0.25"/>
    <row r="50" spans="9:9" hidden="1" x14ac:dyDescent="0.25"/>
    <row r="51" spans="9:9" hidden="1" x14ac:dyDescent="0.25"/>
    <row r="53" spans="9:9" x14ac:dyDescent="0.25">
      <c r="I53" s="24"/>
    </row>
  </sheetData>
  <mergeCells count="5">
    <mergeCell ref="A4:J4"/>
    <mergeCell ref="B5:C5"/>
    <mergeCell ref="D5:G5"/>
    <mergeCell ref="H5:I5"/>
    <mergeCell ref="A3:J3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1 - 2020</vt:lpstr>
      <vt:lpstr>'1 - 2020'!Print_Area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2021-01-25T04:03:18Z</dcterms:modified>
</cp:coreProperties>
</file>