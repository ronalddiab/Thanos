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28" documentId="13_ncr:1_{76C55D63-F869-4AF5-AAA3-3D809A91432B}" xr6:coauthVersionLast="47" xr6:coauthVersionMax="47" xr10:uidLastSave="{63B186FF-0E2B-460A-90F0-6051CAFD57DC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27" l="1"/>
  <c r="J33" i="27"/>
  <c r="J32" i="27"/>
  <c r="J31" i="27"/>
  <c r="J30" i="27"/>
  <c r="J29" i="27"/>
  <c r="J28" i="27"/>
  <c r="J27" i="27"/>
  <c r="E6" i="26"/>
  <c r="J26" i="27"/>
  <c r="I7" i="27"/>
  <c r="J25" i="27"/>
  <c r="J24" i="27"/>
  <c r="J23" i="27"/>
  <c r="J22" i="27"/>
  <c r="J21" i="27"/>
  <c r="J20" i="27"/>
  <c r="J19" i="27"/>
  <c r="J14" i="27"/>
  <c r="J12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7" i="27"/>
  <c r="L37" i="27" s="1"/>
  <c r="F37" i="27"/>
  <c r="H37" i="27" s="1"/>
  <c r="C37" i="27"/>
  <c r="D37" i="27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J18" i="27"/>
  <c r="K18" i="27" s="1"/>
  <c r="F18" i="27"/>
  <c r="C18" i="27"/>
  <c r="J17" i="27"/>
  <c r="K17" i="27" s="1"/>
  <c r="F17" i="27"/>
  <c r="C17" i="27"/>
  <c r="J16" i="27"/>
  <c r="K16" i="27" s="1"/>
  <c r="F16" i="27"/>
  <c r="C16" i="27"/>
  <c r="J15" i="27"/>
  <c r="K15" i="27" s="1"/>
  <c r="F15" i="27"/>
  <c r="C15" i="27"/>
  <c r="K14" i="27"/>
  <c r="F14" i="27"/>
  <c r="C14" i="27"/>
  <c r="J13" i="27"/>
  <c r="K13" i="27" s="1"/>
  <c r="F13" i="27"/>
  <c r="C13" i="27"/>
  <c r="K12" i="27"/>
  <c r="F12" i="27"/>
  <c r="C12" i="27"/>
  <c r="J11" i="27"/>
  <c r="K11" i="27" s="1"/>
  <c r="F11" i="27"/>
  <c r="C11" i="27"/>
  <c r="J10" i="27"/>
  <c r="K10" i="27" s="1"/>
  <c r="F10" i="27"/>
  <c r="C10" i="27"/>
  <c r="J9" i="27"/>
  <c r="K9" i="27" s="1"/>
  <c r="F9" i="27"/>
  <c r="C9" i="27"/>
  <c r="J8" i="27"/>
  <c r="F8" i="27"/>
  <c r="C8" i="27"/>
  <c r="J7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G26" i="26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<sst xmlns="http://schemas.openxmlformats.org/spreadsheetml/2006/main" count="71" uniqueCount="33">
  <si>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</si>
  <si>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</si>
  <si>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</si>
  <si>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</si>
  <si>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</si>
  <si>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</si>
  <si>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</si>
  <si>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</si>
  <si>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</si>
  <si>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</si>
  <si>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</si>
  <si>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</si>
  <si>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</si>
  <si>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</si>
  <si>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</si>
  <si>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September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</si>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</sst>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3" borderId="56" xfId="6" applyFont="1" applyFill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60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4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2" fontId="10" fillId="0" borderId="63" xfId="6" applyNumberFormat="1" applyFont="1" applyBorder="1" applyAlignment="1">
      <alignment horizontal="center" vertical="center"/>
    </xf>
    <xf numFmtId="2" fontId="10" fillId="0" borderId="64" xfId="6" applyNumberFormat="1" applyFont="1" applyBorder="1" applyAlignment="1">
      <alignment horizontal="center" vertical="center"/>
    </xf>
    <xf numFmtId="2" fontId="10" fillId="0" borderId="65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6" applyNumberFormat="1" applyFont="1" applyBorder="1" applyAlignment="1">
      <alignment horizontal="center" vertical="center"/>
    </xf>
    <xf numFmtId="2" fontId="10" fillId="0" borderId="1" xfId="6" applyNumberFormat="1" applyFont="1" applyBorder="1" applyAlignment="1">
      <alignment horizontal="center" vertical="center"/>
    </xf>
    <xf numFmtId="2" fontId="10" fillId="0" borderId="15" xfId="6" applyNumberFormat="1" applyFont="1" applyBorder="1" applyAlignment="1">
      <alignment horizontal="center" vertical="center"/>
    </xf>
    <xf numFmtId="2" fontId="10" fillId="0" borderId="16" xfId="6" applyNumberFormat="1" applyFont="1" applyBorder="1" applyAlignment="1">
      <alignment horizontal="center" vertical="center"/>
    </xf>
    <xf numFmtId="2" fontId="10" fillId="0" borderId="17" xfId="6" applyNumberFormat="1" applyFont="1" applyBorder="1" applyAlignment="1">
      <alignment horizontal="center" vertical="center"/>
    </xf>
    <xf numFmtId="2" fontId="10" fillId="0" borderId="18" xfId="6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workbookViewId="0">
      <selection activeCell="Q11" sqref="Q1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9</v>
      </c>
      <c r="D2" s="10">
        <v>2021</v>
      </c>
      <c r="E2" s="11">
        <f>IF(Electricity!F8&lt;0,0,Electricity!F8)</f>
        <v>21725.000000001273</v>
      </c>
      <c r="F2" s="14">
        <v>0.08</v>
      </c>
      <c r="G2" s="11">
        <f>IF('Water, Gas, Diesel'!K7&lt;0,0,'Water, Gas, Diesel'!K7)</f>
        <v>0</v>
      </c>
      <c r="H2" s="115">
        <v>0.58489999999999998</v>
      </c>
      <c r="I2" s="11">
        <f>IF('Water, Gas, Diesel'!C7&lt;0,0,'Water, Gas, Diesel'!C7)</f>
        <v>721</v>
      </c>
      <c r="J2" s="115">
        <v>0.1694</v>
      </c>
      <c r="K2" s="11">
        <f>IF('Water, Gas, Diesel'!F7&lt;0,0,'Water, Gas, Diesel'!F7)</f>
        <v>210</v>
      </c>
      <c r="L2" s="115">
        <v>1.6949000000000001</v>
      </c>
      <c r="M2" s="11">
        <f>Electricity!H8</f>
        <v>15</v>
      </c>
    </row>
    <row r="3" spans="1:13">
      <c r="A3" s="8" t="s">
        <v>13</v>
      </c>
      <c r="B3" s="9">
        <f>B2+1</f>
        <v>2</v>
      </c>
      <c r="C3" s="9">
        <v>9</v>
      </c>
      <c r="D3" s="10">
        <v>2021</v>
      </c>
      <c r="E3" s="11">
        <f>IF(Electricity!F9&lt;0,0,Electricity!F9)</f>
        <v>21174.999999998363</v>
      </c>
      <c r="F3" s="14">
        <v>0.08</v>
      </c>
      <c r="G3" s="11">
        <f>IF('Water, Gas, Diesel'!K8&lt;0,0,'Water, Gas, Diesel'!K8)</f>
        <v>0</v>
      </c>
      <c r="H3" s="115">
        <v>0.58489999999999998</v>
      </c>
      <c r="I3" s="11">
        <f>IF('Water, Gas, Diesel'!C8&lt;0,0,'Water, Gas, Diesel'!C8)</f>
        <v>730</v>
      </c>
      <c r="J3" s="115">
        <v>0.1694</v>
      </c>
      <c r="K3" s="11">
        <f>IF('Water, Gas, Diesel'!F8&lt;0,0,'Water, Gas, Diesel'!F8)</f>
        <v>255</v>
      </c>
      <c r="L3" s="115">
        <v>1.6949000000000001</v>
      </c>
      <c r="M3" s="11">
        <f>Electricity!H9</f>
        <v>24</v>
      </c>
    </row>
    <row r="4" spans="1:13">
      <c r="A4" s="8" t="s">
        <v>13</v>
      </c>
      <c r="B4" s="9">
        <f t="shared" ref="B4:B31" si="0">B3+1</f>
        <v>3</v>
      </c>
      <c r="C4" s="9">
        <v>9</v>
      </c>
      <c r="D4" s="10">
        <v>2021</v>
      </c>
      <c r="E4" s="11">
        <f>IF(Electricity!F10&lt;0,0,Electricity!F10)</f>
        <v>18722.499999998945</v>
      </c>
      <c r="F4" s="14">
        <v>0.08</v>
      </c>
      <c r="G4" s="11">
        <f>IF('Water, Gas, Diesel'!K9&lt;0,0,'Water, Gas, Diesel'!K9)</f>
        <v>0</v>
      </c>
      <c r="H4" s="115">
        <v>0.58489999999999998</v>
      </c>
      <c r="I4" s="11">
        <f>IF('Water, Gas, Diesel'!C9&lt;0,0,'Water, Gas, Diesel'!C9)</f>
        <v>688</v>
      </c>
      <c r="J4" s="115">
        <v>0.1694</v>
      </c>
      <c r="K4" s="11">
        <f>IF('Water, Gas, Diesel'!F9&lt;0,0,'Water, Gas, Diesel'!F9)</f>
        <v>243</v>
      </c>
      <c r="L4" s="115">
        <v>1.6949000000000001</v>
      </c>
      <c r="M4" s="11">
        <f>Electricity!H10</f>
        <v>23</v>
      </c>
    </row>
    <row r="5" spans="1:13">
      <c r="A5" s="8" t="s">
        <v>13</v>
      </c>
      <c r="B5" s="9">
        <f t="shared" si="0"/>
        <v>4</v>
      </c>
      <c r="C5" s="9">
        <v>9</v>
      </c>
      <c r="D5" s="10">
        <v>2021</v>
      </c>
      <c r="E5" s="11">
        <f>IF(Electricity!F11&lt;0,0,Electricity!F11)</f>
        <v>19435.000000003129</v>
      </c>
      <c r="F5" s="14">
        <v>0.08</v>
      </c>
      <c r="G5" s="11">
        <f>IF('Water, Gas, Diesel'!K10&lt;0,0,'Water, Gas, Diesel'!K10)</f>
        <v>0</v>
      </c>
      <c r="H5" s="115">
        <v>0.58489999999999998</v>
      </c>
      <c r="I5" s="11">
        <f>IF('Water, Gas, Diesel'!C10&lt;0,0,'Water, Gas, Diesel'!C10)</f>
        <v>652</v>
      </c>
      <c r="J5" s="115">
        <v>0.1694</v>
      </c>
      <c r="K5" s="11">
        <f>IF('Water, Gas, Diesel'!F10&lt;0,0,'Water, Gas, Diesel'!F10)</f>
        <v>234</v>
      </c>
      <c r="L5" s="115">
        <v>1.6949000000000001</v>
      </c>
      <c r="M5" s="11">
        <f>Electricity!H11</f>
        <v>21</v>
      </c>
    </row>
    <row r="6" spans="1:13">
      <c r="A6" s="8" t="s">
        <v>13</v>
      </c>
      <c r="B6" s="9">
        <f t="shared" si="0"/>
        <v>5</v>
      </c>
      <c r="C6" s="9">
        <v>9</v>
      </c>
      <c r="D6" s="10">
        <v>2021</v>
      </c>
      <c r="E6" s="11">
        <f>IF(Electricity!F12&lt;0,0,Electricity!F12)</f>
        <v>13784.999999998035</v>
      </c>
      <c r="F6" s="14">
        <v>0.08</v>
      </c>
      <c r="G6" s="11">
        <f>IF('Water, Gas, Diesel'!K11&lt;0,0,'Water, Gas, Diesel'!K11)</f>
        <v>0</v>
      </c>
      <c r="H6" s="115">
        <v>0.58489999999999998</v>
      </c>
      <c r="I6" s="11">
        <f>IF('Water, Gas, Diesel'!C11&lt;0,0,'Water, Gas, Diesel'!C11)</f>
        <v>425</v>
      </c>
      <c r="J6" s="115">
        <v>0.1694</v>
      </c>
      <c r="K6" s="11">
        <f>IF('Water, Gas, Diesel'!F11&lt;0,0,'Water, Gas, Diesel'!F11)</f>
        <v>12</v>
      </c>
      <c r="L6" s="115">
        <v>1.6949000000000001</v>
      </c>
      <c r="M6" s="11">
        <f>Electricity!H12</f>
        <v>24</v>
      </c>
    </row>
    <row r="7" spans="1:13">
      <c r="A7" s="8" t="s">
        <v>13</v>
      </c>
      <c r="B7" s="9">
        <f t="shared" si="0"/>
        <v>6</v>
      </c>
      <c r="C7" s="9">
        <v>9</v>
      </c>
      <c r="D7" s="10">
        <v>2021</v>
      </c>
      <c r="E7" s="11">
        <f>IF(Electricity!F13&lt;0,0,Electricity!F13)</f>
        <v>20492.500000000291</v>
      </c>
      <c r="F7" s="14">
        <v>0.08</v>
      </c>
      <c r="G7" s="11">
        <f>IF('Water, Gas, Diesel'!K12&lt;0,0,'Water, Gas, Diesel'!K12)</f>
        <v>0</v>
      </c>
      <c r="H7" s="115">
        <v>0.58489999999999998</v>
      </c>
      <c r="I7" s="11">
        <f>IF('Water, Gas, Diesel'!C12&lt;0,0,'Water, Gas, Diesel'!C12)</f>
        <v>425</v>
      </c>
      <c r="J7" s="115">
        <v>0.1694</v>
      </c>
      <c r="K7" s="11">
        <f>IF('Water, Gas, Diesel'!F12&lt;0,0,'Water, Gas, Diesel'!F12)</f>
        <v>155</v>
      </c>
      <c r="L7" s="115">
        <v>1.6949000000000001</v>
      </c>
      <c r="M7" s="11">
        <f>Electricity!H13</f>
        <v>29</v>
      </c>
    </row>
    <row r="8" spans="1:13">
      <c r="A8" s="8" t="s">
        <v>13</v>
      </c>
      <c r="B8" s="9">
        <f t="shared" si="0"/>
        <v>7</v>
      </c>
      <c r="C8" s="9">
        <v>9</v>
      </c>
      <c r="D8" s="10">
        <v>2021</v>
      </c>
      <c r="E8" s="11">
        <f>IF(Electricity!F14&lt;0,0,Electricity!F14)</f>
        <v>17714.999999998327</v>
      </c>
      <c r="F8" s="14">
        <v>0.08</v>
      </c>
      <c r="G8" s="11">
        <f>IF('Water, Gas, Diesel'!K13&lt;0,0,'Water, Gas, Diesel'!K13)</f>
        <v>0</v>
      </c>
      <c r="H8" s="115">
        <v>0.58489999999999998</v>
      </c>
      <c r="I8" s="11">
        <f>IF('Water, Gas, Diesel'!C13&lt;0,0,'Water, Gas, Diesel'!C13)</f>
        <v>649</v>
      </c>
      <c r="J8" s="115">
        <v>0.1694</v>
      </c>
      <c r="K8" s="11">
        <f>IF('Water, Gas, Diesel'!F13&lt;0,0,'Water, Gas, Diesel'!F13)</f>
        <v>229</v>
      </c>
      <c r="L8" s="115">
        <v>1.6949000000000001</v>
      </c>
      <c r="M8" s="11">
        <f>Electricity!H14</f>
        <v>35</v>
      </c>
    </row>
    <row r="9" spans="1:13">
      <c r="A9" s="8" t="s">
        <v>13</v>
      </c>
      <c r="B9" s="9">
        <f t="shared" si="0"/>
        <v>8</v>
      </c>
      <c r="C9" s="9">
        <v>9</v>
      </c>
      <c r="D9" s="10">
        <v>2021</v>
      </c>
      <c r="E9" s="11">
        <f>IF(Electricity!F15&lt;0,0,Electricity!F15)</f>
        <v>21840.000000001965</v>
      </c>
      <c r="F9" s="14">
        <v>0.08</v>
      </c>
      <c r="G9" s="11">
        <f>IF('Water, Gas, Diesel'!K14&lt;0,0,'Water, Gas, Diesel'!K14)</f>
        <v>0</v>
      </c>
      <c r="H9" s="115">
        <v>0.58489999999999998</v>
      </c>
      <c r="I9" s="11">
        <f>IF('Water, Gas, Diesel'!C14&lt;0,0,'Water, Gas, Diesel'!C14)</f>
        <v>1171</v>
      </c>
      <c r="J9" s="115">
        <v>0.1694</v>
      </c>
      <c r="K9" s="11">
        <f>IF('Water, Gas, Diesel'!F14&lt;0,0,'Water, Gas, Diesel'!F14)</f>
        <v>290</v>
      </c>
      <c r="L9" s="115">
        <v>1.6949000000000001</v>
      </c>
      <c r="M9" s="11">
        <f>Electricity!H15</f>
        <v>39</v>
      </c>
    </row>
    <row r="10" spans="1:13">
      <c r="A10" s="8" t="s">
        <v>13</v>
      </c>
      <c r="B10" s="9">
        <f t="shared" si="0"/>
        <v>9</v>
      </c>
      <c r="C10" s="9">
        <v>9</v>
      </c>
      <c r="D10" s="10">
        <v>2021</v>
      </c>
      <c r="E10" s="11">
        <f>IF(Electricity!F16&lt;0,0,Electricity!F16)</f>
        <v>18692.500000001928</v>
      </c>
      <c r="F10" s="14">
        <v>0.08</v>
      </c>
      <c r="G10" s="11">
        <f>IF('Water, Gas, Diesel'!K15&lt;0,0,'Water, Gas, Diesel'!K15)</f>
        <v>0</v>
      </c>
      <c r="H10" s="115">
        <v>0.58489999999999998</v>
      </c>
      <c r="I10" s="11">
        <f>IF('Water, Gas, Diesel'!C15&lt;0,0,'Water, Gas, Diesel'!C15)</f>
        <v>879</v>
      </c>
      <c r="J10" s="115">
        <v>0.1694</v>
      </c>
      <c r="K10" s="11">
        <f>IF('Water, Gas, Diesel'!F15&lt;0,0,'Water, Gas, Diesel'!F15)</f>
        <v>54</v>
      </c>
      <c r="L10" s="115">
        <v>1.6949000000000001</v>
      </c>
      <c r="M10" s="11">
        <f>Electricity!H16</f>
        <v>32</v>
      </c>
    </row>
    <row r="11" spans="1:13">
      <c r="A11" s="8" t="s">
        <v>13</v>
      </c>
      <c r="B11" s="9">
        <f t="shared" si="0"/>
        <v>10</v>
      </c>
      <c r="C11" s="9">
        <v>9</v>
      </c>
      <c r="D11" s="10">
        <v>2021</v>
      </c>
      <c r="E11" s="11">
        <f>IF(Electricity!F17&lt;0,0,Electricity!F17)</f>
        <v>21407.499999995707</v>
      </c>
      <c r="F11" s="14">
        <v>0.08</v>
      </c>
      <c r="G11" s="11">
        <f>IF('Water, Gas, Diesel'!K16&lt;0,0,'Water, Gas, Diesel'!K16)</f>
        <v>0</v>
      </c>
      <c r="H11" s="115">
        <v>0.58489999999999998</v>
      </c>
      <c r="I11" s="11">
        <f>IF('Water, Gas, Diesel'!C16&lt;0,0,'Water, Gas, Diesel'!C16)</f>
        <v>947</v>
      </c>
      <c r="J11" s="115">
        <v>0.1694</v>
      </c>
      <c r="K11" s="11">
        <f>IF('Water, Gas, Diesel'!F16&lt;0,0,'Water, Gas, Diesel'!F16)</f>
        <v>31</v>
      </c>
      <c r="L11" s="115">
        <v>1.6949000000000001</v>
      </c>
      <c r="M11" s="11">
        <f>Electricity!H17</f>
        <v>36</v>
      </c>
    </row>
    <row r="12" spans="1:13">
      <c r="A12" s="8" t="s">
        <v>13</v>
      </c>
      <c r="B12" s="9">
        <f t="shared" si="0"/>
        <v>11</v>
      </c>
      <c r="C12" s="9">
        <v>9</v>
      </c>
      <c r="D12" s="10">
        <v>2021</v>
      </c>
      <c r="E12" s="11">
        <f>IF(Electricity!F18&lt;0,0,Electricity!F18)</f>
        <v>20730.000000003201</v>
      </c>
      <c r="F12" s="14">
        <v>0.08</v>
      </c>
      <c r="G12" s="11">
        <f>IF('Water, Gas, Diesel'!K17&lt;0,0,'Water, Gas, Diesel'!K17)</f>
        <v>0</v>
      </c>
      <c r="H12" s="115">
        <v>0.58489999999999998</v>
      </c>
      <c r="I12" s="11">
        <f>IF('Water, Gas, Diesel'!C17&lt;0,0,'Water, Gas, Diesel'!C17)</f>
        <v>787</v>
      </c>
      <c r="J12" s="115">
        <v>0.1694</v>
      </c>
      <c r="K12" s="11">
        <f>IF('Water, Gas, Diesel'!F17&lt;0,0,'Water, Gas, Diesel'!F17)</f>
        <v>17</v>
      </c>
      <c r="L12" s="115">
        <v>1.6949000000000001</v>
      </c>
      <c r="M12" s="11">
        <f>Electricity!H18</f>
        <v>13</v>
      </c>
    </row>
    <row r="13" spans="1:13">
      <c r="A13" s="8" t="s">
        <v>13</v>
      </c>
      <c r="B13" s="9">
        <f t="shared" si="0"/>
        <v>12</v>
      </c>
      <c r="C13" s="9">
        <v>9</v>
      </c>
      <c r="D13" s="10">
        <v>2021</v>
      </c>
      <c r="E13" s="11">
        <f>IF(Electricity!F19&lt;0,0,Electricity!F19)</f>
        <v>15174.999999999272</v>
      </c>
      <c r="F13" s="14">
        <v>0.08</v>
      </c>
      <c r="G13" s="11">
        <f>IF('Water, Gas, Diesel'!K18&lt;0,0,'Water, Gas, Diesel'!K18)</f>
        <v>0</v>
      </c>
      <c r="H13" s="115">
        <v>0.58489999999999998</v>
      </c>
      <c r="I13" s="11">
        <f>IF('Water, Gas, Diesel'!C18&lt;0,0,'Water, Gas, Diesel'!C18)</f>
        <v>649</v>
      </c>
      <c r="J13" s="115">
        <v>0.1694</v>
      </c>
      <c r="K13" s="11">
        <f>IF('Water, Gas, Diesel'!F18&lt;0,0,'Water, Gas, Diesel'!F18)</f>
        <v>137</v>
      </c>
      <c r="L13" s="115">
        <v>1.6949000000000001</v>
      </c>
      <c r="M13" s="11">
        <f>Electricity!H19</f>
        <v>16</v>
      </c>
    </row>
    <row r="14" spans="1:13">
      <c r="A14" s="8" t="s">
        <v>13</v>
      </c>
      <c r="B14" s="9">
        <f t="shared" si="0"/>
        <v>13</v>
      </c>
      <c r="C14" s="9">
        <v>9</v>
      </c>
      <c r="D14" s="10">
        <v>2021</v>
      </c>
      <c r="E14" s="11">
        <f>IF(Electricity!F20&lt;0,0,Electricity!F20)</f>
        <v>20894.999999995889</v>
      </c>
      <c r="F14" s="14">
        <v>0.08</v>
      </c>
      <c r="G14" s="11">
        <f>IF('Water, Gas, Diesel'!K19&lt;0,0,'Water, Gas, Diesel'!K19)</f>
        <v>0</v>
      </c>
      <c r="H14" s="115">
        <v>0.58489999999999998</v>
      </c>
      <c r="I14" s="11">
        <f>IF('Water, Gas, Diesel'!C19&lt;0,0,'Water, Gas, Diesel'!C19)</f>
        <v>879</v>
      </c>
      <c r="J14" s="115">
        <v>0.1694</v>
      </c>
      <c r="K14" s="11">
        <f>IF('Water, Gas, Diesel'!F19&lt;0,0,'Water, Gas, Diesel'!F19)</f>
        <v>234</v>
      </c>
      <c r="L14" s="115">
        <v>1.6949000000000001</v>
      </c>
      <c r="M14" s="11">
        <f>Electricity!H20</f>
        <v>24</v>
      </c>
    </row>
    <row r="15" spans="1:13">
      <c r="A15" s="8" t="s">
        <v>13</v>
      </c>
      <c r="B15" s="9">
        <f t="shared" si="0"/>
        <v>14</v>
      </c>
      <c r="C15" s="9">
        <v>9</v>
      </c>
      <c r="D15" s="10">
        <v>2021</v>
      </c>
      <c r="E15" s="11">
        <f>IF(Electricity!F21&lt;0,0,Electricity!F21)</f>
        <v>18665.000000000873</v>
      </c>
      <c r="F15" s="14">
        <v>0.08</v>
      </c>
      <c r="G15" s="11">
        <f>IF('Water, Gas, Diesel'!K20&lt;0,0,'Water, Gas, Diesel'!K20)</f>
        <v>0</v>
      </c>
      <c r="H15" s="115">
        <v>0.58489999999999998</v>
      </c>
      <c r="I15" s="11">
        <f>IF('Water, Gas, Diesel'!C20&lt;0,0,'Water, Gas, Diesel'!C20)</f>
        <v>786</v>
      </c>
      <c r="J15" s="115">
        <v>0.1694</v>
      </c>
      <c r="K15" s="11">
        <f>IF('Water, Gas, Diesel'!F20&lt;0,0,'Water, Gas, Diesel'!F20)</f>
        <v>272</v>
      </c>
      <c r="L15" s="115">
        <v>1.6949000000000001</v>
      </c>
      <c r="M15" s="11">
        <f>Electricity!H21</f>
        <v>29</v>
      </c>
    </row>
    <row r="16" spans="1:13">
      <c r="A16" s="8" t="s">
        <v>13</v>
      </c>
      <c r="B16" s="9">
        <f t="shared" si="0"/>
        <v>15</v>
      </c>
      <c r="C16" s="9">
        <v>9</v>
      </c>
      <c r="D16" s="10">
        <v>2021</v>
      </c>
      <c r="E16" s="11">
        <f>IF(Electricity!F22&lt;0,0,Electricity!F22)</f>
        <v>24645.000000000437</v>
      </c>
      <c r="F16" s="14">
        <v>0.08</v>
      </c>
      <c r="G16" s="11">
        <f>IF('Water, Gas, Diesel'!K21&lt;0,0,'Water, Gas, Diesel'!K21)</f>
        <v>0</v>
      </c>
      <c r="H16" s="115">
        <v>0.58489999999999998</v>
      </c>
      <c r="I16" s="11">
        <f>IF('Water, Gas, Diesel'!C21&lt;0,0,'Water, Gas, Diesel'!C21)</f>
        <v>1326</v>
      </c>
      <c r="J16" s="115">
        <v>0.1694</v>
      </c>
      <c r="K16" s="11">
        <f>IF('Water, Gas, Diesel'!F21&lt;0,0,'Water, Gas, Diesel'!F21)</f>
        <v>311</v>
      </c>
      <c r="L16" s="115">
        <v>1.6949000000000001</v>
      </c>
      <c r="M16" s="11">
        <f>Electricity!H22</f>
        <v>32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2021</v>
      </c>
      <c r="E17" s="11">
        <f>IF(Electricity!F23&lt;0,0,Electricity!F23)</f>
        <v>19344.999999998436</v>
      </c>
      <c r="F17" s="14">
        <v>0.08</v>
      </c>
      <c r="G17" s="11">
        <f>IF('Water, Gas, Diesel'!K22&lt;0,0,'Water, Gas, Diesel'!K22)</f>
        <v>0</v>
      </c>
      <c r="H17" s="115">
        <v>0.58489999999999998</v>
      </c>
      <c r="I17" s="11">
        <f>IF('Water, Gas, Diesel'!C22&lt;0,0,'Water, Gas, Diesel'!C22)</f>
        <v>909</v>
      </c>
      <c r="J17" s="115">
        <v>0.1694</v>
      </c>
      <c r="K17" s="11">
        <f>IF('Water, Gas, Diesel'!F22&lt;0,0,'Water, Gas, Diesel'!F22)</f>
        <v>235</v>
      </c>
      <c r="L17" s="115">
        <v>1.6949000000000001</v>
      </c>
      <c r="M17" s="11">
        <f>Electricity!H23</f>
        <v>25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2021</v>
      </c>
      <c r="E18" s="11">
        <f>IF(Electricity!F24&lt;0,0,Electricity!F24)</f>
        <v>19292.50000000593</v>
      </c>
      <c r="F18" s="14">
        <v>0.08</v>
      </c>
      <c r="G18" s="11">
        <f>IF('Water, Gas, Diesel'!K23&lt;0,0,'Water, Gas, Diesel'!K23)</f>
        <v>0</v>
      </c>
      <c r="H18" s="115">
        <v>0.58489999999999998</v>
      </c>
      <c r="I18" s="11">
        <f>IF('Water, Gas, Diesel'!C23&lt;0,0,'Water, Gas, Diesel'!C23)</f>
        <v>1162</v>
      </c>
      <c r="J18" s="115">
        <v>0.1694</v>
      </c>
      <c r="K18" s="11">
        <f>IF('Water, Gas, Diesel'!F23&lt;0,0,'Water, Gas, Diesel'!F23)</f>
        <v>54</v>
      </c>
      <c r="L18" s="115">
        <v>1.6949000000000001</v>
      </c>
      <c r="M18" s="11">
        <f>Electricity!H24</f>
        <v>27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2021</v>
      </c>
      <c r="E19" s="11">
        <f>IF(Electricity!F25&lt;0,0,Electricity!F25)</f>
        <v>19689.999999995962</v>
      </c>
      <c r="F19" s="14">
        <v>0.08</v>
      </c>
      <c r="G19" s="11">
        <f>IF('Water, Gas, Diesel'!K24&lt;0,0,'Water, Gas, Diesel'!K24)</f>
        <v>0</v>
      </c>
      <c r="H19" s="115">
        <v>0.58489999999999998</v>
      </c>
      <c r="I19" s="11">
        <f>IF('Water, Gas, Diesel'!C24&lt;0,0,'Water, Gas, Diesel'!C24)</f>
        <v>1022</v>
      </c>
      <c r="J19" s="115">
        <v>0.1694</v>
      </c>
      <c r="K19" s="11">
        <f>IF('Water, Gas, Diesel'!F24&lt;0,0,'Water, Gas, Diesel'!F24)</f>
        <v>9</v>
      </c>
      <c r="L19" s="115">
        <v>1.6949000000000001</v>
      </c>
      <c r="M19" s="11">
        <f>Electricity!H25</f>
        <v>25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2021</v>
      </c>
      <c r="E20" s="11">
        <f>IF(Electricity!F26&lt;0,0,Electricity!F26)</f>
        <v>17160.000000003492</v>
      </c>
      <c r="F20" s="14">
        <v>0.08</v>
      </c>
      <c r="G20" s="11">
        <f>IF('Water, Gas, Diesel'!K25&lt;0,0,'Water, Gas, Diesel'!K25)</f>
        <v>0</v>
      </c>
      <c r="H20" s="115">
        <v>0.58489999999999998</v>
      </c>
      <c r="I20" s="11">
        <f>IF('Water, Gas, Diesel'!C25&lt;0,0,'Water, Gas, Diesel'!C25)</f>
        <v>864</v>
      </c>
      <c r="J20" s="115">
        <v>0.1694</v>
      </c>
      <c r="K20" s="11">
        <f>IF('Water, Gas, Diesel'!F25&lt;0,0,'Water, Gas, Diesel'!F25)</f>
        <v>17</v>
      </c>
      <c r="L20" s="115">
        <v>1.6949000000000001</v>
      </c>
      <c r="M20" s="11">
        <f>Electricity!H26</f>
        <v>30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2021</v>
      </c>
      <c r="E21" s="11">
        <f>IF(Electricity!F27&lt;0,0,Electricity!F27)</f>
        <v>22227.499999999054</v>
      </c>
      <c r="F21" s="14">
        <v>0.08</v>
      </c>
      <c r="G21" s="11">
        <f>IF('Water, Gas, Diesel'!K26&lt;0,0,'Water, Gas, Diesel'!K26)</f>
        <v>360</v>
      </c>
      <c r="H21" s="115">
        <v>0.58489999999999998</v>
      </c>
      <c r="I21" s="11">
        <f>IF('Water, Gas, Diesel'!C26&lt;0,0,'Water, Gas, Diesel'!C26)</f>
        <v>1069</v>
      </c>
      <c r="J21" s="115">
        <v>0.1694</v>
      </c>
      <c r="K21" s="11">
        <f>IF('Water, Gas, Diesel'!F26&lt;0,0,'Water, Gas, Diesel'!F26)</f>
        <v>423</v>
      </c>
      <c r="L21" s="115">
        <v>1.6949000000000001</v>
      </c>
      <c r="M21" s="11">
        <f>Electricity!H27</f>
        <v>40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2021</v>
      </c>
      <c r="E22" s="11">
        <f>IF(Electricity!F28&lt;0,0,Electricity!F28)</f>
        <v>21430.000000000291</v>
      </c>
      <c r="F22" s="14">
        <v>0.08</v>
      </c>
      <c r="G22" s="11">
        <f>IF('Water, Gas, Diesel'!K27&lt;0,0,'Water, Gas, Diesel'!K27)</f>
        <v>0</v>
      </c>
      <c r="H22" s="115">
        <v>0.58489999999999998</v>
      </c>
      <c r="I22" s="11">
        <f>IF('Water, Gas, Diesel'!C27&lt;0,0,'Water, Gas, Diesel'!C27)</f>
        <v>1118</v>
      </c>
      <c r="J22" s="115">
        <v>0.1694</v>
      </c>
      <c r="K22" s="11">
        <f>IF('Water, Gas, Diesel'!F27&lt;0,0,'Water, Gas, Diesel'!F27)</f>
        <v>260</v>
      </c>
      <c r="L22" s="115">
        <v>1.6949000000000001</v>
      </c>
      <c r="M22" s="11">
        <f>Electricity!H28</f>
        <v>57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2021</v>
      </c>
      <c r="E23" s="11">
        <f>IF(Electricity!F29&lt;0,0,Electricity!F29)</f>
        <v>22817.500000001019</v>
      </c>
      <c r="F23" s="14">
        <v>0.08</v>
      </c>
      <c r="G23" s="11">
        <f>IF('Water, Gas, Diesel'!K28&lt;0,0,'Water, Gas, Diesel'!K28)</f>
        <v>0</v>
      </c>
      <c r="H23" s="115">
        <v>0.58489999999999998</v>
      </c>
      <c r="I23" s="11">
        <f>IF('Water, Gas, Diesel'!C28&lt;0,0,'Water, Gas, Diesel'!C28)</f>
        <v>1316</v>
      </c>
      <c r="J23" s="115">
        <v>0.1694</v>
      </c>
      <c r="K23" s="11">
        <f>IF('Water, Gas, Diesel'!F28&lt;0,0,'Water, Gas, Diesel'!F28)</f>
        <v>245</v>
      </c>
      <c r="L23" s="115">
        <v>1.6949000000000001</v>
      </c>
      <c r="M23" s="11">
        <f>Electricity!H29</f>
        <v>75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2021</v>
      </c>
      <c r="E24" s="11">
        <f>IF(Electricity!F30&lt;0,0,Electricity!F30)</f>
        <v>20649.999999995998</v>
      </c>
      <c r="F24" s="14">
        <v>0.08</v>
      </c>
      <c r="G24" s="11">
        <f>IF('Water, Gas, Diesel'!K29&lt;0,0,'Water, Gas, Diesel'!K29)</f>
        <v>0</v>
      </c>
      <c r="H24" s="115">
        <v>0.58489999999999998</v>
      </c>
      <c r="I24" s="11">
        <f>IF('Water, Gas, Diesel'!C29&lt;0,0,'Water, Gas, Diesel'!C29)</f>
        <v>1231</v>
      </c>
      <c r="J24" s="115">
        <v>0.1694</v>
      </c>
      <c r="K24" s="11">
        <f>IF('Water, Gas, Diesel'!F29&lt;0,0,'Water, Gas, Diesel'!F29)</f>
        <v>234</v>
      </c>
      <c r="L24" s="115">
        <v>1.6949000000000001</v>
      </c>
      <c r="M24" s="11">
        <f>Electricity!H30</f>
        <v>88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2021</v>
      </c>
      <c r="E25" s="11">
        <f>IF(Electricity!F31&lt;0,0,Electricity!F31)</f>
        <v>20035.000000002583</v>
      </c>
      <c r="F25" s="14">
        <v>0.08</v>
      </c>
      <c r="G25" s="11">
        <f>IF('Water, Gas, Diesel'!K30&lt;0,0,'Water, Gas, Diesel'!K30)</f>
        <v>0</v>
      </c>
      <c r="H25" s="115">
        <v>0.58489999999999998</v>
      </c>
      <c r="I25" s="11">
        <f>IF('Water, Gas, Diesel'!C30&lt;0,0,'Water, Gas, Diesel'!C30)</f>
        <v>1427</v>
      </c>
      <c r="J25" s="115">
        <v>0.1694</v>
      </c>
      <c r="K25" s="11">
        <f>IF('Water, Gas, Diesel'!F30&lt;0,0,'Water, Gas, Diesel'!F30)</f>
        <v>271</v>
      </c>
      <c r="L25" s="115">
        <v>1.6949000000000001</v>
      </c>
      <c r="M25" s="11">
        <f>Electricity!H31</f>
        <v>60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2021</v>
      </c>
      <c r="E26" s="11">
        <f>IF(Electricity!F32&lt;0,0,Electricity!F32)</f>
        <v>18389.999999999418</v>
      </c>
      <c r="F26" s="14">
        <v>0.08</v>
      </c>
      <c r="G26" s="11">
        <f>IF('Water, Gas, Diesel'!K31&lt;0,0,'Water, Gas, Diesel'!K31)</f>
        <v>0</v>
      </c>
      <c r="H26" s="115">
        <v>0.58489999999999998</v>
      </c>
      <c r="I26" s="11">
        <f>IF('Water, Gas, Diesel'!C31&lt;0,0,'Water, Gas, Diesel'!C31)</f>
        <v>1300</v>
      </c>
      <c r="J26" s="115">
        <v>0.1694</v>
      </c>
      <c r="K26" s="11">
        <f>IF('Water, Gas, Diesel'!F31&lt;0,0,'Water, Gas, Diesel'!F31)</f>
        <v>145</v>
      </c>
      <c r="L26" s="115">
        <v>1.6949000000000001</v>
      </c>
      <c r="M26" s="11">
        <f>Electricity!H32</f>
        <v>45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2021</v>
      </c>
      <c r="E27" s="11">
        <f>IF(Electricity!F33&lt;0,0,Electricity!F33)</f>
        <v>19659.999999998945</v>
      </c>
      <c r="F27" s="14">
        <v>0.08</v>
      </c>
      <c r="G27" s="11">
        <f>IF('Water, Gas, Diesel'!K32&lt;0,0,'Water, Gas, Diesel'!K32)</f>
        <v>0</v>
      </c>
      <c r="H27" s="115">
        <v>0.58489999999999998</v>
      </c>
      <c r="I27" s="11">
        <f>IF('Water, Gas, Diesel'!C32&lt;0,0,'Water, Gas, Diesel'!C32)</f>
        <v>1343</v>
      </c>
      <c r="J27" s="115">
        <v>0.1694</v>
      </c>
      <c r="K27" s="11">
        <f>IF('Water, Gas, Diesel'!F32&lt;0,0,'Water, Gas, Diesel'!F32)</f>
        <v>9</v>
      </c>
      <c r="L27" s="115">
        <v>1.6949000000000001</v>
      </c>
      <c r="M27" s="11">
        <f>Electricity!H33</f>
        <v>37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2021</v>
      </c>
      <c r="E28" s="11">
        <f>IF(Electricity!F34&lt;0,0,Electricity!F34)</f>
        <v>20844.999999999345</v>
      </c>
      <c r="F28" s="14">
        <v>0.08</v>
      </c>
      <c r="G28" s="11">
        <f>IF('Water, Gas, Diesel'!K33&lt;0,0,'Water, Gas, Diesel'!K33)</f>
        <v>0</v>
      </c>
      <c r="H28" s="115">
        <v>0.58489999999999998</v>
      </c>
      <c r="I28" s="11">
        <f>IF('Water, Gas, Diesel'!C33&lt;0,0,'Water, Gas, Diesel'!C33)</f>
        <v>1767</v>
      </c>
      <c r="J28" s="115">
        <v>0.1694</v>
      </c>
      <c r="K28" s="11">
        <f>IF('Water, Gas, Diesel'!F33&lt;0,0,'Water, Gas, Diesel'!F33)</f>
        <v>234</v>
      </c>
      <c r="L28" s="115">
        <v>1.6949000000000001</v>
      </c>
      <c r="M28" s="11">
        <f>Electricity!H34</f>
        <v>46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13930</v>
      </c>
      <c r="H29" s="115">
        <v>0.58489999999999998</v>
      </c>
      <c r="I29" s="11">
        <f>IF('Water, Gas, Diesel'!C34&lt;0,0,'Water, Gas, Diesel'!C34)</f>
        <v>0</v>
      </c>
      <c r="J29" s="115">
        <v>0.1694</v>
      </c>
      <c r="K29" s="11">
        <f>IF('Water, Gas, Diesel'!F34&lt;0,0,'Water, Gas, Diesel'!F34)</f>
        <v>0</v>
      </c>
      <c r="L29" s="115">
        <v>1.6949000000000001</v>
      </c>
      <c r="M29" s="11">
        <f>Electricity!H35</f>
        <v>47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15">
        <v>0.58489999999999998</v>
      </c>
      <c r="I30" s="11">
        <f>IF('Water, Gas, Diesel'!C35&lt;0,0,'Water, Gas, Diesel'!C35)</f>
        <v>0</v>
      </c>
      <c r="J30" s="115">
        <v>0.1694</v>
      </c>
      <c r="K30" s="11">
        <f>IF('Water, Gas, Diesel'!F35&lt;0,0,'Water, Gas, Diesel'!F35)</f>
        <v>0</v>
      </c>
      <c r="L30" s="115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15">
        <v>0.58489999999999998</v>
      </c>
      <c r="I31" s="11">
        <f>IF('Water, Gas, Diesel'!C36&lt;0,0,'Water, Gas, Diesel'!C36)</f>
        <v>0</v>
      </c>
      <c r="J31" s="115">
        <v>0.1694</v>
      </c>
      <c r="K31" s="11">
        <f>IF('Water, Gas, Diesel'!F36&lt;0,0,'Water, Gas, Diesel'!F36)</f>
        <v>0</v>
      </c>
      <c r="L31" s="115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2" activePane="bottomLeft" state="frozen"/>
      <selection pane="bottomLeft" activeCell="K36" sqref="K36"/>
      <selection activeCell="E1" sqref="E1"/>
    </sheetView>
  </sheetViews>
  <sheetFormatPr defaultColWidth="9.140625" defaultRowHeight="15"/>
  <cols>
    <col min="1" max="1" width="11.85546875" style="77" customWidth="1"/>
    <col min="2" max="5" width="21.28515625" style="16" customWidth="1"/>
    <col min="6" max="6" width="21.28515625" style="78" customWidth="1"/>
    <col min="7" max="7" width="21.28515625" style="77" customWidth="1"/>
    <col min="8" max="8" width="11.28515625" style="16" bestFit="1" customWidth="1"/>
    <col min="9" max="16384" width="9.140625" style="16"/>
  </cols>
  <sheetData>
    <row r="1" spans="1:8" ht="28.5" customHeight="1">
      <c r="A1" s="116" t="s">
        <v>14</v>
      </c>
      <c r="B1" s="128">
        <v>50792.07</v>
      </c>
      <c r="C1" s="129"/>
      <c r="D1" s="129"/>
      <c r="E1" s="129"/>
      <c r="F1" s="129"/>
      <c r="G1" s="129"/>
      <c r="H1" s="130"/>
    </row>
    <row r="2" spans="1:8" ht="15.75" customHeight="1">
      <c r="A2" s="133" t="s">
        <v>15</v>
      </c>
      <c r="B2" s="136" t="s">
        <v>16</v>
      </c>
      <c r="C2" s="137"/>
      <c r="D2" s="137"/>
      <c r="E2" s="138"/>
      <c r="F2" s="139" t="s">
        <v>17</v>
      </c>
      <c r="G2" s="131" t="s">
        <v>18</v>
      </c>
      <c r="H2" s="131" t="s">
        <v>19</v>
      </c>
    </row>
    <row r="3" spans="1:8">
      <c r="A3" s="134"/>
      <c r="B3" s="141" t="s">
        <v>20</v>
      </c>
      <c r="C3" s="142"/>
      <c r="D3" s="141" t="s">
        <v>21</v>
      </c>
      <c r="E3" s="142"/>
      <c r="F3" s="139"/>
      <c r="G3" s="131"/>
      <c r="H3" s="131"/>
    </row>
    <row r="4" spans="1:8">
      <c r="A4" s="134"/>
      <c r="B4" s="143"/>
      <c r="C4" s="144"/>
      <c r="D4" s="143"/>
      <c r="E4" s="144"/>
      <c r="F4" s="139"/>
      <c r="G4" s="131"/>
      <c r="H4" s="131"/>
    </row>
    <row r="5" spans="1:8" ht="15.75" thickBot="1">
      <c r="A5" s="135"/>
      <c r="B5" s="17" t="s">
        <v>22</v>
      </c>
      <c r="C5" s="82" t="s">
        <v>23</v>
      </c>
      <c r="D5" s="83" t="s">
        <v>22</v>
      </c>
      <c r="E5" s="82" t="s">
        <v>23</v>
      </c>
      <c r="F5" s="140"/>
      <c r="G5" s="132"/>
      <c r="H5" s="132"/>
    </row>
    <row r="6" spans="1:8" ht="15.75" hidden="1">
      <c r="A6" s="84"/>
      <c r="B6" s="24"/>
      <c r="C6" s="85"/>
      <c r="D6" s="86"/>
      <c r="E6" s="85"/>
      <c r="F6" s="27"/>
      <c r="G6" s="87"/>
    </row>
    <row r="7" spans="1:8" ht="27.75" hidden="1" customHeight="1">
      <c r="A7" s="88">
        <v>31</v>
      </c>
      <c r="B7" s="89">
        <v>14341.978999999999</v>
      </c>
      <c r="C7" s="90">
        <f t="shared" ref="C7:C24" si="0">(B8-B7)*2500</f>
        <v>8135.0000000020373</v>
      </c>
      <c r="D7" s="89">
        <v>14505.421</v>
      </c>
      <c r="E7" s="90">
        <f t="shared" ref="E7:E24" si="1">(D8-D7)*2500</f>
        <v>11427.499999999782</v>
      </c>
      <c r="F7" s="91">
        <f t="shared" ref="F7:F38" si="2">C7+E7</f>
        <v>19562.500000001819</v>
      </c>
      <c r="G7" s="88">
        <f>F7*0.08</f>
        <v>1565.0000000001455</v>
      </c>
    </row>
    <row r="8" spans="1:8" ht="30.95" customHeight="1">
      <c r="A8" s="42">
        <v>1</v>
      </c>
      <c r="B8" s="125">
        <v>14345.233</v>
      </c>
      <c r="C8" s="92">
        <f t="shared" si="0"/>
        <v>9205.0000000017462</v>
      </c>
      <c r="D8" s="93">
        <v>14509.992</v>
      </c>
      <c r="E8" s="92">
        <f t="shared" si="1"/>
        <v>12519.999999999527</v>
      </c>
      <c r="F8" s="53">
        <f t="shared" si="2"/>
        <v>21725.000000001273</v>
      </c>
      <c r="G8" s="88">
        <f>F8*0.08</f>
        <v>1738.0000000001019</v>
      </c>
      <c r="H8" s="88">
        <v>15</v>
      </c>
    </row>
    <row r="9" spans="1:8" ht="30.95" customHeight="1">
      <c r="A9" s="47">
        <v>2</v>
      </c>
      <c r="B9" s="94">
        <v>14348.915000000001</v>
      </c>
      <c r="C9" s="41">
        <f t="shared" si="0"/>
        <v>9119.9999999980719</v>
      </c>
      <c r="D9" s="93">
        <v>14515</v>
      </c>
      <c r="E9" s="41">
        <f t="shared" si="1"/>
        <v>12055.000000000291</v>
      </c>
      <c r="F9" s="49">
        <f t="shared" si="2"/>
        <v>21174.999999998363</v>
      </c>
      <c r="G9" s="95">
        <f>F9*0.08</f>
        <v>1693.999999999869</v>
      </c>
      <c r="H9" s="95">
        <v>24</v>
      </c>
    </row>
    <row r="10" spans="1:8" ht="30.95" customHeight="1">
      <c r="A10" s="42">
        <v>3</v>
      </c>
      <c r="B10" s="96">
        <v>14352.563</v>
      </c>
      <c r="C10" s="92">
        <f t="shared" si="0"/>
        <v>8659.9999999998545</v>
      </c>
      <c r="D10" s="97">
        <v>14519.822</v>
      </c>
      <c r="E10" s="92">
        <f t="shared" si="1"/>
        <v>10062.499999999091</v>
      </c>
      <c r="F10" s="53">
        <f t="shared" si="2"/>
        <v>18722.499999998945</v>
      </c>
      <c r="G10" s="95">
        <f t="shared" ref="G10:G38" si="3">F10*0.08</f>
        <v>1497.7999999999156</v>
      </c>
      <c r="H10" s="95">
        <v>23</v>
      </c>
    </row>
    <row r="11" spans="1:8" ht="30.95" customHeight="1">
      <c r="A11" s="47">
        <v>4</v>
      </c>
      <c r="B11" s="98">
        <v>14356.027</v>
      </c>
      <c r="C11" s="41">
        <f t="shared" si="0"/>
        <v>8890.0000000012369</v>
      </c>
      <c r="D11" s="99">
        <v>14523.847</v>
      </c>
      <c r="E11" s="41">
        <f t="shared" si="1"/>
        <v>10545.000000001892</v>
      </c>
      <c r="F11" s="49">
        <f t="shared" si="2"/>
        <v>19435.000000003129</v>
      </c>
      <c r="G11" s="95">
        <f t="shared" si="3"/>
        <v>1554.8000000002503</v>
      </c>
      <c r="H11" s="95">
        <v>21</v>
      </c>
    </row>
    <row r="12" spans="1:8" ht="30.95" customHeight="1">
      <c r="A12" s="42">
        <v>5</v>
      </c>
      <c r="B12" s="100">
        <v>14359.583000000001</v>
      </c>
      <c r="C12" s="92">
        <f t="shared" si="0"/>
        <v>6089.999999999236</v>
      </c>
      <c r="D12" s="97">
        <v>14528.065000000001</v>
      </c>
      <c r="E12" s="92">
        <f t="shared" si="1"/>
        <v>7694.9999999987995</v>
      </c>
      <c r="F12" s="53">
        <f t="shared" si="2"/>
        <v>13784.999999998035</v>
      </c>
      <c r="G12" s="95">
        <f t="shared" si="3"/>
        <v>1102.7999999998428</v>
      </c>
      <c r="H12" s="95">
        <v>24</v>
      </c>
    </row>
    <row r="13" spans="1:8" ht="30.95" customHeight="1">
      <c r="A13" s="47">
        <v>6</v>
      </c>
      <c r="B13" s="98">
        <v>14362.019</v>
      </c>
      <c r="C13" s="41">
        <f t="shared" si="0"/>
        <v>9329.9999999999272</v>
      </c>
      <c r="D13" s="99">
        <v>14531.143</v>
      </c>
      <c r="E13" s="41">
        <f t="shared" si="1"/>
        <v>11162.500000000364</v>
      </c>
      <c r="F13" s="49">
        <f t="shared" si="2"/>
        <v>20492.500000000291</v>
      </c>
      <c r="G13" s="95">
        <f t="shared" si="3"/>
        <v>1639.4000000000233</v>
      </c>
      <c r="H13" s="95">
        <v>29</v>
      </c>
    </row>
    <row r="14" spans="1:8" ht="30.95" customHeight="1">
      <c r="A14" s="42">
        <v>7</v>
      </c>
      <c r="B14" s="100">
        <v>14365.751</v>
      </c>
      <c r="C14" s="92">
        <f t="shared" si="0"/>
        <v>8292.4999999977445</v>
      </c>
      <c r="D14" s="101">
        <v>14535.608</v>
      </c>
      <c r="E14" s="92">
        <f t="shared" si="1"/>
        <v>9422.5000000005821</v>
      </c>
      <c r="F14" s="53">
        <f t="shared" si="2"/>
        <v>17714.999999998327</v>
      </c>
      <c r="G14" s="95">
        <f t="shared" si="3"/>
        <v>1417.1999999998661</v>
      </c>
      <c r="H14" s="95">
        <v>35</v>
      </c>
    </row>
    <row r="15" spans="1:8" ht="30.95" customHeight="1">
      <c r="A15" s="47">
        <v>8</v>
      </c>
      <c r="B15" s="98">
        <v>14369.067999999999</v>
      </c>
      <c r="C15" s="41">
        <f t="shared" si="0"/>
        <v>10050.000000001091</v>
      </c>
      <c r="D15" s="102">
        <v>14539.377</v>
      </c>
      <c r="E15" s="41">
        <f t="shared" si="1"/>
        <v>11790.000000000873</v>
      </c>
      <c r="F15" s="49">
        <f t="shared" si="2"/>
        <v>21840.000000001965</v>
      </c>
      <c r="G15" s="95">
        <f t="shared" si="3"/>
        <v>1747.2000000001572</v>
      </c>
      <c r="H15" s="95">
        <v>39</v>
      </c>
    </row>
    <row r="16" spans="1:8" ht="30.95" customHeight="1">
      <c r="A16" s="42">
        <v>9</v>
      </c>
      <c r="B16" s="103">
        <v>14373.088</v>
      </c>
      <c r="C16" s="92">
        <f t="shared" si="0"/>
        <v>8292.5000000022919</v>
      </c>
      <c r="D16" s="104">
        <v>14544.093000000001</v>
      </c>
      <c r="E16" s="92">
        <f t="shared" si="1"/>
        <v>10399.999999999636</v>
      </c>
      <c r="F16" s="53">
        <f t="shared" si="2"/>
        <v>18692.500000001928</v>
      </c>
      <c r="G16" s="95">
        <f t="shared" si="3"/>
        <v>1495.4000000001543</v>
      </c>
      <c r="H16" s="95">
        <v>32</v>
      </c>
    </row>
    <row r="17" spans="1:8" ht="30.95" customHeight="1">
      <c r="A17" s="47">
        <v>10</v>
      </c>
      <c r="B17" s="100">
        <v>14376.405000000001</v>
      </c>
      <c r="C17" s="41">
        <f t="shared" si="0"/>
        <v>8899.9999999987267</v>
      </c>
      <c r="D17" s="101">
        <v>14548.253000000001</v>
      </c>
      <c r="E17" s="41">
        <f t="shared" si="1"/>
        <v>12507.49999999698</v>
      </c>
      <c r="F17" s="49">
        <f t="shared" si="2"/>
        <v>21407.499999995707</v>
      </c>
      <c r="G17" s="95">
        <f t="shared" si="3"/>
        <v>1712.5999999996566</v>
      </c>
      <c r="H17" s="95">
        <v>36</v>
      </c>
    </row>
    <row r="18" spans="1:8" ht="30.95" customHeight="1">
      <c r="A18" s="42">
        <v>11</v>
      </c>
      <c r="B18" s="98">
        <v>14379.965</v>
      </c>
      <c r="C18" s="92">
        <f t="shared" si="0"/>
        <v>8887.5000000007276</v>
      </c>
      <c r="D18" s="102">
        <v>14553.255999999999</v>
      </c>
      <c r="E18" s="92">
        <f t="shared" si="1"/>
        <v>11842.500000002474</v>
      </c>
      <c r="F18" s="53">
        <f t="shared" si="2"/>
        <v>20730.000000003201</v>
      </c>
      <c r="G18" s="95">
        <f t="shared" si="3"/>
        <v>1658.4000000002561</v>
      </c>
      <c r="H18" s="95">
        <v>13</v>
      </c>
    </row>
    <row r="19" spans="1:8" ht="30.95" customHeight="1">
      <c r="A19" s="47">
        <v>12</v>
      </c>
      <c r="B19" s="100">
        <v>14383.52</v>
      </c>
      <c r="C19" s="41">
        <f t="shared" si="0"/>
        <v>6277.500000001055</v>
      </c>
      <c r="D19" s="101">
        <v>14557.993</v>
      </c>
      <c r="E19" s="41">
        <f t="shared" si="1"/>
        <v>8897.4999999982174</v>
      </c>
      <c r="F19" s="49">
        <f t="shared" si="2"/>
        <v>15174.999999999272</v>
      </c>
      <c r="G19" s="95">
        <f t="shared" si="3"/>
        <v>1213.9999999999418</v>
      </c>
      <c r="H19" s="95">
        <v>16</v>
      </c>
    </row>
    <row r="20" spans="1:8" ht="30.95" customHeight="1">
      <c r="A20" s="42">
        <v>13</v>
      </c>
      <c r="B20" s="98">
        <v>14386.031000000001</v>
      </c>
      <c r="C20" s="92">
        <f t="shared" si="0"/>
        <v>8574.9999999961801</v>
      </c>
      <c r="D20" s="105">
        <v>14561.552</v>
      </c>
      <c r="E20" s="92">
        <f t="shared" si="1"/>
        <v>12319.999999999709</v>
      </c>
      <c r="F20" s="53">
        <f t="shared" si="2"/>
        <v>20894.999999995889</v>
      </c>
      <c r="G20" s="95">
        <f t="shared" si="3"/>
        <v>1671.5999999996711</v>
      </c>
      <c r="H20" s="95">
        <v>24</v>
      </c>
    </row>
    <row r="21" spans="1:8" ht="30.95" customHeight="1">
      <c r="A21" s="47">
        <v>14</v>
      </c>
      <c r="B21" s="98">
        <v>14389.460999999999</v>
      </c>
      <c r="C21" s="41">
        <f t="shared" si="0"/>
        <v>7687.500000001819</v>
      </c>
      <c r="D21" s="102">
        <v>14566.48</v>
      </c>
      <c r="E21" s="41">
        <f t="shared" si="1"/>
        <v>10977.499999999054</v>
      </c>
      <c r="F21" s="49">
        <f t="shared" si="2"/>
        <v>18665.000000000873</v>
      </c>
      <c r="G21" s="95">
        <f t="shared" si="3"/>
        <v>1493.2000000000698</v>
      </c>
      <c r="H21" s="95">
        <v>29</v>
      </c>
    </row>
    <row r="22" spans="1:8" ht="30.95" customHeight="1">
      <c r="A22" s="42">
        <v>15</v>
      </c>
      <c r="B22" s="98">
        <v>14392.536</v>
      </c>
      <c r="C22" s="92">
        <f t="shared" si="0"/>
        <v>10017.499999999018</v>
      </c>
      <c r="D22" s="77">
        <v>14570.870999999999</v>
      </c>
      <c r="E22" s="92">
        <f t="shared" si="1"/>
        <v>14627.500000001419</v>
      </c>
      <c r="F22" s="53">
        <f t="shared" si="2"/>
        <v>24645.000000000437</v>
      </c>
      <c r="G22" s="95">
        <f t="shared" si="3"/>
        <v>1971.6000000000349</v>
      </c>
      <c r="H22" s="95">
        <v>32</v>
      </c>
    </row>
    <row r="23" spans="1:8" ht="30.95" customHeight="1">
      <c r="A23" s="47">
        <v>16</v>
      </c>
      <c r="B23" s="118">
        <v>14396.543</v>
      </c>
      <c r="C23" s="41">
        <f t="shared" si="0"/>
        <v>8032.4999999993452</v>
      </c>
      <c r="D23" s="119">
        <v>14576.722</v>
      </c>
      <c r="E23" s="41">
        <f t="shared" si="1"/>
        <v>11312.499999999091</v>
      </c>
      <c r="F23" s="49">
        <f t="shared" si="2"/>
        <v>19344.999999998436</v>
      </c>
      <c r="G23" s="95">
        <f t="shared" si="3"/>
        <v>1547.5999999998749</v>
      </c>
      <c r="H23" s="95">
        <v>25</v>
      </c>
    </row>
    <row r="24" spans="1:8" ht="30.95" customHeight="1">
      <c r="A24" s="42">
        <v>17</v>
      </c>
      <c r="B24" s="120">
        <v>14399.755999999999</v>
      </c>
      <c r="C24" s="92">
        <f t="shared" si="0"/>
        <v>8230.0000000032014</v>
      </c>
      <c r="D24" s="101">
        <v>14581.246999999999</v>
      </c>
      <c r="E24" s="92">
        <f t="shared" si="1"/>
        <v>11062.500000002728</v>
      </c>
      <c r="F24" s="53">
        <f t="shared" si="2"/>
        <v>19292.50000000593</v>
      </c>
      <c r="G24" s="95">
        <f t="shared" si="3"/>
        <v>1543.4000000004744</v>
      </c>
      <c r="H24" s="95">
        <v>27</v>
      </c>
    </row>
    <row r="25" spans="1:8" ht="30.95" customHeight="1">
      <c r="A25" s="47">
        <v>18</v>
      </c>
      <c r="B25" s="98">
        <v>14403.048000000001</v>
      </c>
      <c r="C25" s="41">
        <f>(B26-B25)*2500</f>
        <v>8069.99999999789</v>
      </c>
      <c r="D25" s="102">
        <v>14585.672</v>
      </c>
      <c r="E25" s="41">
        <f>(D26-D25)*2500</f>
        <v>11619.999999998072</v>
      </c>
      <c r="F25" s="49">
        <f t="shared" si="2"/>
        <v>19689.999999995962</v>
      </c>
      <c r="G25" s="95">
        <f t="shared" si="3"/>
        <v>1575.1999999996769</v>
      </c>
      <c r="H25" s="95">
        <v>25</v>
      </c>
    </row>
    <row r="26" spans="1:8" ht="30.95" customHeight="1">
      <c r="A26" s="42">
        <v>19</v>
      </c>
      <c r="B26" s="100">
        <v>14406.276</v>
      </c>
      <c r="C26" s="92">
        <f t="shared" ref="C26:C38" si="4">(B27-B26)*2500</f>
        <v>6885.0000000020373</v>
      </c>
      <c r="D26" s="101">
        <v>14590.32</v>
      </c>
      <c r="E26" s="92">
        <f t="shared" ref="E26:E38" si="5">(D27-D26)*2500</f>
        <v>10275.000000001455</v>
      </c>
      <c r="F26" s="49">
        <f t="shared" si="2"/>
        <v>17160.000000003492</v>
      </c>
      <c r="G26" s="95">
        <f t="shared" si="3"/>
        <v>1372.8000000002794</v>
      </c>
      <c r="H26" s="95">
        <v>30</v>
      </c>
    </row>
    <row r="27" spans="1:8" ht="30.95" customHeight="1">
      <c r="A27" s="47">
        <v>20</v>
      </c>
      <c r="B27" s="98">
        <v>14409.03</v>
      </c>
      <c r="C27" s="41">
        <f t="shared" si="4"/>
        <v>8507.5000000006185</v>
      </c>
      <c r="D27" s="102">
        <v>14594.43</v>
      </c>
      <c r="E27" s="41">
        <f t="shared" si="5"/>
        <v>13719.999999998436</v>
      </c>
      <c r="F27" s="53">
        <f t="shared" si="2"/>
        <v>22227.499999999054</v>
      </c>
      <c r="G27" s="95">
        <f t="shared" si="3"/>
        <v>1778.1999999999243</v>
      </c>
      <c r="H27" s="95">
        <v>40</v>
      </c>
    </row>
    <row r="28" spans="1:8" ht="30.95" customHeight="1">
      <c r="A28" s="42">
        <v>21</v>
      </c>
      <c r="B28" s="100">
        <v>14412.433000000001</v>
      </c>
      <c r="C28" s="92">
        <f t="shared" si="4"/>
        <v>9072.4999999974898</v>
      </c>
      <c r="D28" s="101">
        <v>14599.918</v>
      </c>
      <c r="E28" s="92">
        <f t="shared" si="5"/>
        <v>12357.500000002801</v>
      </c>
      <c r="F28" s="49">
        <f t="shared" si="2"/>
        <v>21430.000000000291</v>
      </c>
      <c r="G28" s="95">
        <f t="shared" si="3"/>
        <v>1714.4000000000233</v>
      </c>
      <c r="H28" s="95">
        <v>57</v>
      </c>
    </row>
    <row r="29" spans="1:8" ht="30.95" customHeight="1">
      <c r="A29" s="47">
        <v>22</v>
      </c>
      <c r="B29" s="98">
        <v>14416.062</v>
      </c>
      <c r="C29" s="41">
        <f t="shared" si="4"/>
        <v>9022.5000000009459</v>
      </c>
      <c r="D29" s="102">
        <v>14604.861000000001</v>
      </c>
      <c r="E29" s="41">
        <f t="shared" si="5"/>
        <v>13795.000000000073</v>
      </c>
      <c r="F29" s="53">
        <f t="shared" si="2"/>
        <v>22817.500000001019</v>
      </c>
      <c r="G29" s="95">
        <f t="shared" si="3"/>
        <v>1825.4000000000815</v>
      </c>
      <c r="H29" s="95">
        <v>75</v>
      </c>
    </row>
    <row r="30" spans="1:8" ht="30.95" customHeight="1">
      <c r="A30" s="42">
        <v>23</v>
      </c>
      <c r="B30" s="100">
        <v>14419.671</v>
      </c>
      <c r="C30" s="92">
        <f t="shared" si="4"/>
        <v>8469.9999999975262</v>
      </c>
      <c r="D30" s="101">
        <v>14610.379000000001</v>
      </c>
      <c r="E30" s="92">
        <f t="shared" si="5"/>
        <v>12179.999999998472</v>
      </c>
      <c r="F30" s="49">
        <f t="shared" si="2"/>
        <v>20649.999999995998</v>
      </c>
      <c r="G30" s="95">
        <f t="shared" si="3"/>
        <v>1651.9999999996799</v>
      </c>
      <c r="H30" s="95">
        <v>88</v>
      </c>
    </row>
    <row r="31" spans="1:8" ht="30.95" customHeight="1">
      <c r="A31" s="47">
        <v>24</v>
      </c>
      <c r="B31" s="98">
        <v>14423.058999999999</v>
      </c>
      <c r="C31" s="41">
        <f t="shared" si="4"/>
        <v>8520.000000003165</v>
      </c>
      <c r="D31" s="102">
        <v>14615.251</v>
      </c>
      <c r="E31" s="41">
        <f t="shared" si="5"/>
        <v>11514.999999999418</v>
      </c>
      <c r="F31" s="53">
        <f t="shared" si="2"/>
        <v>20035.000000002583</v>
      </c>
      <c r="G31" s="95">
        <f t="shared" si="3"/>
        <v>1602.8000000002066</v>
      </c>
      <c r="H31" s="95">
        <v>60</v>
      </c>
    </row>
    <row r="32" spans="1:8" ht="30.95" customHeight="1">
      <c r="A32" s="42">
        <v>25</v>
      </c>
      <c r="B32" s="100">
        <v>14426.467000000001</v>
      </c>
      <c r="C32" s="92">
        <f t="shared" si="4"/>
        <v>8432.4999999989814</v>
      </c>
      <c r="D32" s="101">
        <v>14619.857</v>
      </c>
      <c r="E32" s="92">
        <f t="shared" si="5"/>
        <v>9957.5000000004366</v>
      </c>
      <c r="F32" s="49">
        <f t="shared" si="2"/>
        <v>18389.999999999418</v>
      </c>
      <c r="G32" s="95">
        <f t="shared" si="3"/>
        <v>1471.1999999999534</v>
      </c>
      <c r="H32" s="95">
        <v>45</v>
      </c>
    </row>
    <row r="33" spans="1:8" ht="30.95" customHeight="1">
      <c r="A33" s="47">
        <v>26</v>
      </c>
      <c r="B33" s="98">
        <v>14429.84</v>
      </c>
      <c r="C33" s="41">
        <f t="shared" si="4"/>
        <v>8020.0000000013461</v>
      </c>
      <c r="D33" s="102">
        <v>14623.84</v>
      </c>
      <c r="E33" s="41">
        <f t="shared" si="5"/>
        <v>11639.999999997599</v>
      </c>
      <c r="F33" s="53">
        <f t="shared" si="2"/>
        <v>19659.999999998945</v>
      </c>
      <c r="G33" s="95">
        <f t="shared" si="3"/>
        <v>1572.7999999999156</v>
      </c>
      <c r="H33" s="95">
        <v>37</v>
      </c>
    </row>
    <row r="34" spans="1:8" ht="30.95" customHeight="1">
      <c r="A34" s="42">
        <v>27</v>
      </c>
      <c r="B34" s="100">
        <v>14433.048000000001</v>
      </c>
      <c r="C34" s="92">
        <f t="shared" si="4"/>
        <v>8537.4999999976353</v>
      </c>
      <c r="D34" s="101">
        <v>14628.495999999999</v>
      </c>
      <c r="E34" s="41">
        <f t="shared" si="5"/>
        <v>12307.50000000171</v>
      </c>
      <c r="F34" s="49">
        <f t="shared" si="2"/>
        <v>20844.999999999345</v>
      </c>
      <c r="G34" s="95">
        <f t="shared" si="3"/>
        <v>1667.5999999999476</v>
      </c>
      <c r="H34" s="95">
        <v>46</v>
      </c>
    </row>
    <row r="35" spans="1:8" ht="30.95" customHeight="1">
      <c r="A35" s="47">
        <v>28</v>
      </c>
      <c r="B35" s="106">
        <v>14436.463</v>
      </c>
      <c r="C35" s="41">
        <f t="shared" si="4"/>
        <v>-36091157.5</v>
      </c>
      <c r="D35" s="102">
        <v>14633.419</v>
      </c>
      <c r="E35" s="41">
        <f t="shared" si="5"/>
        <v>-36583547.5</v>
      </c>
      <c r="F35" s="49">
        <f t="shared" si="2"/>
        <v>-72674705</v>
      </c>
      <c r="G35" s="95">
        <f t="shared" si="3"/>
        <v>-5813976.4000000004</v>
      </c>
      <c r="H35" s="95">
        <v>47</v>
      </c>
    </row>
    <row r="36" spans="1:8" ht="30.95" customHeight="1">
      <c r="A36" s="42">
        <v>29</v>
      </c>
      <c r="B36" s="100"/>
      <c r="C36" s="90">
        <f t="shared" si="4"/>
        <v>0</v>
      </c>
      <c r="D36" s="77"/>
      <c r="E36" s="90">
        <f t="shared" si="5"/>
        <v>0</v>
      </c>
      <c r="F36" s="44">
        <f t="shared" si="2"/>
        <v>0</v>
      </c>
      <c r="G36" s="88">
        <f t="shared" si="3"/>
        <v>0</v>
      </c>
      <c r="H36" s="88"/>
    </row>
    <row r="37" spans="1:8" ht="30.95" customHeight="1" thickBot="1">
      <c r="A37" s="107">
        <v>30</v>
      </c>
      <c r="B37" s="108"/>
      <c r="C37" s="109">
        <f t="shared" si="4"/>
        <v>0</v>
      </c>
      <c r="D37" s="110"/>
      <c r="E37" s="109">
        <f t="shared" si="5"/>
        <v>0</v>
      </c>
      <c r="F37" s="111">
        <f t="shared" si="2"/>
        <v>0</v>
      </c>
      <c r="G37" s="112">
        <f t="shared" si="3"/>
        <v>0</v>
      </c>
      <c r="H37" s="112"/>
    </row>
    <row r="38" spans="1:8" ht="30.95" customHeight="1" thickBot="1">
      <c r="A38" s="116">
        <v>1</v>
      </c>
      <c r="B38" s="116"/>
      <c r="C38" s="76">
        <f t="shared" si="4"/>
        <v>0</v>
      </c>
      <c r="D38" s="113"/>
      <c r="E38" s="76">
        <f t="shared" si="5"/>
        <v>0</v>
      </c>
      <c r="F38" s="71">
        <f t="shared" si="2"/>
        <v>0</v>
      </c>
      <c r="G38" s="114">
        <f t="shared" si="3"/>
        <v>0</v>
      </c>
      <c r="H38" s="114"/>
    </row>
    <row r="39" spans="1:8">
      <c r="B39" s="77"/>
      <c r="C39" s="77"/>
      <c r="D39" s="77"/>
      <c r="E39" s="77"/>
    </row>
    <row r="40" spans="1:8">
      <c r="B40" s="77"/>
      <c r="C40" s="77"/>
      <c r="D40" s="77"/>
      <c r="E40" s="77"/>
    </row>
    <row r="41" spans="1:8">
      <c r="B41" s="77"/>
      <c r="C41" s="77"/>
      <c r="D41" s="77"/>
      <c r="E41" s="77"/>
    </row>
    <row r="42" spans="1:8">
      <c r="B42" s="77"/>
      <c r="C42" s="77"/>
      <c r="D42" s="77"/>
      <c r="E42" s="77"/>
    </row>
    <row r="43" spans="1:8">
      <c r="B43" s="77"/>
      <c r="C43" s="77"/>
      <c r="D43" s="77"/>
      <c r="E43" s="77"/>
    </row>
    <row r="44" spans="1:8">
      <c r="B44" s="77"/>
      <c r="C44" s="77"/>
      <c r="D44" s="77"/>
      <c r="E44" s="77"/>
    </row>
    <row r="45" spans="1:8">
      <c r="B45" s="77"/>
      <c r="C45" s="77"/>
      <c r="D45" s="77"/>
      <c r="E45" s="77"/>
    </row>
    <row r="46" spans="1:8">
      <c r="B46" s="77"/>
      <c r="C46" s="77"/>
      <c r="D46" s="77"/>
      <c r="E46" s="77"/>
      <c r="F46" s="79"/>
      <c r="G46" s="16"/>
    </row>
    <row r="47" spans="1:8">
      <c r="B47" s="77"/>
      <c r="C47" s="77"/>
      <c r="D47" s="77"/>
      <c r="E47" s="77"/>
      <c r="F47" s="79"/>
      <c r="G47" s="16"/>
    </row>
    <row r="48" spans="1:8">
      <c r="B48" s="77"/>
      <c r="C48" s="77"/>
      <c r="D48" s="77"/>
      <c r="E48" s="77"/>
      <c r="F48" s="79"/>
      <c r="G48" s="16"/>
    </row>
    <row r="49" spans="1:7">
      <c r="B49" s="77"/>
      <c r="C49" s="77"/>
      <c r="D49" s="77"/>
      <c r="E49" s="77"/>
      <c r="F49" s="79"/>
      <c r="G49" s="16"/>
    </row>
    <row r="50" spans="1:7">
      <c r="B50" s="77"/>
      <c r="C50" s="77"/>
      <c r="D50" s="77"/>
      <c r="E50" s="77"/>
      <c r="F50" s="79"/>
      <c r="G50" s="16"/>
    </row>
    <row r="51" spans="1:7">
      <c r="A51" s="80"/>
      <c r="B51" s="77"/>
      <c r="C51" s="77"/>
      <c r="D51" s="77"/>
      <c r="E51" s="77"/>
      <c r="F51" s="79"/>
      <c r="G51" s="16"/>
    </row>
    <row r="52" spans="1:7">
      <c r="A52" s="80"/>
      <c r="B52" s="77"/>
      <c r="C52" s="77"/>
      <c r="D52" s="77"/>
      <c r="E52" s="77"/>
      <c r="F52" s="79"/>
      <c r="G52" s="16"/>
    </row>
    <row r="53" spans="1:7">
      <c r="A53" s="80"/>
      <c r="B53" s="77"/>
      <c r="C53" s="77"/>
      <c r="D53" s="77"/>
      <c r="E53" s="77"/>
      <c r="F53" s="79"/>
      <c r="G53" s="16"/>
    </row>
    <row r="54" spans="1:7">
      <c r="A54" s="80"/>
      <c r="B54" s="77"/>
      <c r="C54" s="77"/>
      <c r="D54" s="77"/>
      <c r="E54" s="77"/>
      <c r="F54" s="79"/>
      <c r="G54" s="16"/>
    </row>
    <row r="55" spans="1:7">
      <c r="A55" s="80"/>
      <c r="B55" s="77"/>
      <c r="C55" s="77"/>
      <c r="D55" s="77"/>
      <c r="E55" s="77"/>
      <c r="F55" s="79"/>
      <c r="G55" s="16"/>
    </row>
    <row r="56" spans="1:7">
      <c r="A56" s="80"/>
      <c r="B56" s="77"/>
      <c r="C56" s="77"/>
      <c r="D56" s="77"/>
      <c r="E56" s="77"/>
      <c r="F56" s="79"/>
      <c r="G56" s="16"/>
    </row>
    <row r="57" spans="1:7">
      <c r="A57" s="80"/>
      <c r="B57" s="77"/>
      <c r="C57" s="77"/>
      <c r="D57" s="77"/>
      <c r="E57" s="77"/>
      <c r="F57" s="79"/>
      <c r="G57" s="16"/>
    </row>
    <row r="58" spans="1:7">
      <c r="A58" s="80"/>
      <c r="B58" s="77"/>
      <c r="C58" s="77"/>
      <c r="D58" s="77"/>
      <c r="E58" s="77"/>
      <c r="F58" s="79"/>
      <c r="G58" s="16"/>
    </row>
    <row r="59" spans="1:7">
      <c r="A59" s="80"/>
      <c r="B59" s="77"/>
      <c r="C59" s="77"/>
      <c r="D59" s="77"/>
      <c r="E59" s="77"/>
      <c r="F59" s="79"/>
      <c r="G59" s="16"/>
    </row>
    <row r="60" spans="1:7">
      <c r="A60" s="80"/>
      <c r="B60" s="77"/>
      <c r="C60" s="77"/>
      <c r="D60" s="77"/>
      <c r="E60" s="77"/>
      <c r="F60" s="79"/>
      <c r="G60" s="16"/>
    </row>
    <row r="61" spans="1:7">
      <c r="A61" s="80"/>
      <c r="B61" s="77"/>
      <c r="C61" s="77"/>
      <c r="D61" s="77"/>
      <c r="E61" s="77"/>
      <c r="F61" s="79"/>
      <c r="G61" s="16"/>
    </row>
    <row r="62" spans="1:7">
      <c r="A62" s="80"/>
      <c r="B62" s="77"/>
      <c r="C62" s="77"/>
      <c r="D62" s="77"/>
      <c r="E62" s="77"/>
      <c r="F62" s="79"/>
      <c r="G62" s="16"/>
    </row>
    <row r="63" spans="1:7">
      <c r="A63" s="80"/>
      <c r="B63" s="77"/>
      <c r="C63" s="77"/>
      <c r="D63" s="77"/>
      <c r="E63" s="77"/>
      <c r="F63" s="79"/>
      <c r="G63" s="16"/>
    </row>
    <row r="64" spans="1:7">
      <c r="A64" s="80"/>
      <c r="B64" s="77"/>
      <c r="C64" s="77"/>
      <c r="D64" s="77"/>
      <c r="E64" s="77"/>
      <c r="F64" s="79"/>
      <c r="G64" s="16"/>
    </row>
    <row r="65" spans="1:7">
      <c r="A65" s="80"/>
      <c r="B65" s="77"/>
      <c r="C65" s="77"/>
      <c r="D65" s="77"/>
      <c r="E65" s="77"/>
      <c r="F65" s="79"/>
      <c r="G65" s="16"/>
    </row>
    <row r="66" spans="1:7">
      <c r="A66" s="80"/>
      <c r="B66" s="77"/>
      <c r="C66" s="77"/>
      <c r="D66" s="77"/>
      <c r="E66" s="77"/>
      <c r="F66" s="79"/>
      <c r="G66" s="16"/>
    </row>
    <row r="67" spans="1:7">
      <c r="A67" s="80"/>
      <c r="B67" s="77"/>
      <c r="C67" s="77"/>
      <c r="D67" s="77"/>
      <c r="E67" s="77"/>
      <c r="F67" s="79"/>
      <c r="G67" s="16"/>
    </row>
    <row r="68" spans="1:7">
      <c r="A68" s="80"/>
      <c r="B68" s="77"/>
      <c r="C68" s="77"/>
      <c r="D68" s="77"/>
      <c r="E68" s="77"/>
      <c r="F68" s="79"/>
      <c r="G68" s="16"/>
    </row>
    <row r="69" spans="1:7">
      <c r="A69" s="80"/>
      <c r="B69" s="77"/>
      <c r="C69" s="77"/>
      <c r="D69" s="77"/>
      <c r="E69" s="77"/>
      <c r="F69" s="79"/>
      <c r="G69" s="16"/>
    </row>
    <row r="70" spans="1:7">
      <c r="A70" s="80"/>
      <c r="B70" s="77"/>
      <c r="C70" s="77"/>
      <c r="D70" s="77"/>
      <c r="E70" s="77"/>
      <c r="F70" s="79"/>
      <c r="G70" s="16"/>
    </row>
    <row r="71" spans="1:7">
      <c r="A71" s="80"/>
      <c r="B71" s="77"/>
      <c r="C71" s="77"/>
      <c r="D71" s="77"/>
      <c r="E71" s="77"/>
      <c r="F71" s="79"/>
      <c r="G71" s="16"/>
    </row>
    <row r="72" spans="1:7">
      <c r="A72" s="80"/>
      <c r="B72" s="77"/>
      <c r="C72" s="77"/>
      <c r="D72" s="77"/>
      <c r="E72" s="77"/>
      <c r="F72" s="79"/>
      <c r="G72" s="16"/>
    </row>
    <row r="73" spans="1:7">
      <c r="A73" s="80"/>
      <c r="B73" s="77"/>
      <c r="C73" s="77"/>
      <c r="D73" s="77"/>
      <c r="E73" s="77"/>
      <c r="F73" s="79"/>
      <c r="G73" s="16"/>
    </row>
    <row r="74" spans="1:7">
      <c r="A74" s="80"/>
      <c r="B74" s="77"/>
      <c r="C74" s="77"/>
      <c r="D74" s="77"/>
      <c r="E74" s="77"/>
      <c r="F74" s="79"/>
      <c r="G74" s="16"/>
    </row>
    <row r="75" spans="1:7">
      <c r="A75" s="80"/>
      <c r="B75" s="77"/>
      <c r="C75" s="77"/>
      <c r="D75" s="77"/>
      <c r="E75" s="77"/>
      <c r="F75" s="79"/>
      <c r="G75" s="16"/>
    </row>
    <row r="76" spans="1:7">
      <c r="A76" s="80"/>
      <c r="B76" s="77"/>
      <c r="C76" s="77"/>
      <c r="D76" s="77"/>
      <c r="E76" s="77"/>
      <c r="F76" s="79"/>
      <c r="G76" s="16"/>
    </row>
    <row r="77" spans="1:7">
      <c r="A77" s="80"/>
      <c r="B77" s="77"/>
      <c r="C77" s="77"/>
      <c r="D77" s="77"/>
      <c r="E77" s="77"/>
      <c r="F77" s="79"/>
      <c r="G77" s="16"/>
    </row>
    <row r="78" spans="1:7">
      <c r="A78" s="80"/>
      <c r="B78" s="77"/>
      <c r="C78" s="77"/>
      <c r="D78" s="77"/>
      <c r="E78" s="77"/>
      <c r="F78" s="79"/>
      <c r="G78" s="16"/>
    </row>
    <row r="79" spans="1:7">
      <c r="A79" s="80"/>
      <c r="B79" s="77"/>
      <c r="C79" s="77"/>
      <c r="D79" s="77"/>
      <c r="E79" s="77"/>
      <c r="F79" s="79"/>
      <c r="G79" s="16"/>
    </row>
    <row r="80" spans="1:7">
      <c r="A80" s="80"/>
      <c r="B80" s="77"/>
      <c r="C80" s="77"/>
      <c r="D80" s="77"/>
      <c r="E80" s="77"/>
      <c r="F80" s="79"/>
      <c r="G80" s="16"/>
    </row>
    <row r="81" spans="1:7">
      <c r="A81" s="80"/>
      <c r="B81" s="77"/>
      <c r="C81" s="77"/>
      <c r="D81" s="77"/>
      <c r="E81" s="77"/>
      <c r="F81" s="79"/>
      <c r="G81" s="16"/>
    </row>
    <row r="82" spans="1:7">
      <c r="A82" s="80"/>
      <c r="B82" s="77"/>
      <c r="C82" s="77"/>
      <c r="D82" s="77"/>
      <c r="E82" s="77"/>
      <c r="F82" s="79"/>
      <c r="G82" s="16"/>
    </row>
    <row r="83" spans="1:7">
      <c r="A83" s="80"/>
      <c r="B83" s="77"/>
      <c r="C83" s="77"/>
      <c r="D83" s="77"/>
      <c r="E83" s="77"/>
      <c r="F83" s="79"/>
      <c r="G83" s="16"/>
    </row>
    <row r="84" spans="1:7">
      <c r="A84" s="80"/>
      <c r="B84" s="77"/>
      <c r="C84" s="77"/>
      <c r="D84" s="77"/>
      <c r="E84" s="77"/>
      <c r="F84" s="79"/>
      <c r="G84" s="16"/>
    </row>
    <row r="85" spans="1:7">
      <c r="A85" s="80"/>
      <c r="B85" s="77"/>
      <c r="C85" s="77"/>
      <c r="D85" s="77"/>
      <c r="E85" s="77"/>
      <c r="F85" s="7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31" activePane="bottomLeft" state="frozen"/>
      <selection pane="bottomLeft" activeCell="J35" sqref="J35"/>
    </sheetView>
  </sheetViews>
  <sheetFormatPr defaultRowHeight="15"/>
  <cols>
    <col min="1" max="1" width="10.7109375" style="77" customWidth="1"/>
    <col min="2" max="2" width="12.7109375" style="16" customWidth="1"/>
    <col min="3" max="6" width="12.7109375" style="79" customWidth="1"/>
    <col min="7" max="9" width="12.7109375" style="16" customWidth="1"/>
    <col min="10" max="12" width="12.7109375" style="81" customWidth="1"/>
    <col min="13" max="13" width="12.7109375" style="16" customWidth="1"/>
    <col min="14" max="16384" width="9.140625" style="16"/>
  </cols>
  <sheetData>
    <row r="1" spans="1:12">
      <c r="A1" s="145" t="s">
        <v>14</v>
      </c>
      <c r="B1" s="141" t="s">
        <v>24</v>
      </c>
      <c r="C1" s="148"/>
      <c r="D1" s="142"/>
      <c r="E1" s="141" t="s">
        <v>25</v>
      </c>
      <c r="F1" s="148"/>
      <c r="G1" s="148"/>
      <c r="H1" s="148"/>
      <c r="I1" s="142"/>
      <c r="J1" s="141" t="s">
        <v>26</v>
      </c>
      <c r="K1" s="148"/>
      <c r="L1" s="142"/>
    </row>
    <row r="2" spans="1:12" ht="15.75" thickBot="1">
      <c r="A2" s="146"/>
      <c r="B2" s="149"/>
      <c r="C2" s="150"/>
      <c r="D2" s="151"/>
      <c r="E2" s="143"/>
      <c r="F2" s="152"/>
      <c r="G2" s="152"/>
      <c r="H2" s="152"/>
      <c r="I2" s="144"/>
      <c r="J2" s="143"/>
      <c r="K2" s="152"/>
      <c r="L2" s="144"/>
    </row>
    <row r="3" spans="1:12" ht="27" customHeight="1" thickBot="1">
      <c r="A3" s="147"/>
      <c r="B3" s="153">
        <v>5496.81</v>
      </c>
      <c r="C3" s="154"/>
      <c r="D3" s="155"/>
      <c r="E3" s="156">
        <v>7867.88</v>
      </c>
      <c r="F3" s="157"/>
      <c r="G3" s="157"/>
      <c r="H3" s="157"/>
      <c r="I3" s="158"/>
      <c r="J3" s="156">
        <v>5666.31</v>
      </c>
      <c r="K3" s="157"/>
      <c r="L3" s="158"/>
    </row>
    <row r="4" spans="1:12" ht="59.25" customHeight="1" thickBot="1">
      <c r="A4" s="127" t="s">
        <v>15</v>
      </c>
      <c r="B4" s="17" t="s">
        <v>22</v>
      </c>
      <c r="C4" s="18" t="s">
        <v>27</v>
      </c>
      <c r="D4" s="19" t="s">
        <v>28</v>
      </c>
      <c r="E4" s="124" t="s">
        <v>22</v>
      </c>
      <c r="F4" s="20" t="s">
        <v>23</v>
      </c>
      <c r="G4" s="21" t="s">
        <v>29</v>
      </c>
      <c r="H4" s="21" t="s">
        <v>30</v>
      </c>
      <c r="I4" s="123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25">
        <v>31</v>
      </c>
      <c r="B6" s="125">
        <v>6099967</v>
      </c>
      <c r="C6" s="34">
        <f>B7-B6</f>
        <v>654</v>
      </c>
      <c r="D6" s="35">
        <f>C6*0.16949153</f>
        <v>110.84746062000001</v>
      </c>
      <c r="E6" s="36">
        <v>482840</v>
      </c>
      <c r="F6" s="37">
        <f>E7-E6</f>
        <v>0</v>
      </c>
      <c r="G6" s="38">
        <f>F6*0.84746</f>
        <v>0</v>
      </c>
      <c r="H6" s="38">
        <f>F6*0.84746</f>
        <v>0</v>
      </c>
      <c r="I6" s="126">
        <f>G6+H6</f>
        <v>0</v>
      </c>
      <c r="J6" s="39">
        <f>7300+6550</f>
        <v>13850</v>
      </c>
      <c r="K6" s="40">
        <f>J6-J7</f>
        <v>-80</v>
      </c>
      <c r="L6" s="41">
        <f>K6*0.59</f>
        <v>-47.199999999999996</v>
      </c>
    </row>
    <row r="7" spans="1:12" ht="32.450000000000003" customHeight="1">
      <c r="A7" s="42">
        <v>1</v>
      </c>
      <c r="B7" s="125">
        <v>6100621</v>
      </c>
      <c r="C7" s="55">
        <f t="shared" ref="C7:C16" si="0">B8-B7</f>
        <v>721</v>
      </c>
      <c r="D7" s="43">
        <f>C7*0.16949153</f>
        <v>122.20339312999999</v>
      </c>
      <c r="E7" s="44">
        <v>482840</v>
      </c>
      <c r="F7" s="56">
        <f t="shared" ref="F7:F16" si="1">E8-E7</f>
        <v>210</v>
      </c>
      <c r="G7" s="45">
        <f>F7*0.84746</f>
        <v>177.9666</v>
      </c>
      <c r="H7" s="45">
        <f>F7*0.84746</f>
        <v>177.9666</v>
      </c>
      <c r="I7" s="46">
        <f t="shared" ref="I7:I37" si="2">G7+H7</f>
        <v>355.9332</v>
      </c>
      <c r="J7" s="39">
        <f>7380+6550</f>
        <v>13930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6101342</v>
      </c>
      <c r="C8" s="57">
        <f t="shared" si="0"/>
        <v>730</v>
      </c>
      <c r="D8" s="48">
        <f>C8*0.16949153</f>
        <v>123.7288169</v>
      </c>
      <c r="E8" s="49">
        <v>483050</v>
      </c>
      <c r="F8" s="58">
        <f t="shared" si="1"/>
        <v>255</v>
      </c>
      <c r="G8" s="50">
        <f t="shared" ref="G8:G37" si="5">F8*0.84746</f>
        <v>216.10229999999999</v>
      </c>
      <c r="H8" s="50">
        <f t="shared" ref="H8:H37" si="6">F8*0.84746</f>
        <v>216.10229999999999</v>
      </c>
      <c r="I8" s="51">
        <f t="shared" si="2"/>
        <v>432.20459999999997</v>
      </c>
      <c r="J8" s="52">
        <f>7380+6550</f>
        <v>13930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6102072</v>
      </c>
      <c r="C9" s="55">
        <f t="shared" si="0"/>
        <v>688</v>
      </c>
      <c r="D9" s="48">
        <f t="shared" ref="D9:D37" si="7">C9*0.16949153</f>
        <v>116.61017264</v>
      </c>
      <c r="E9" s="49">
        <v>483305</v>
      </c>
      <c r="F9" s="56">
        <f t="shared" si="1"/>
        <v>243</v>
      </c>
      <c r="G9" s="45">
        <f t="shared" si="5"/>
        <v>205.93278000000001</v>
      </c>
      <c r="H9" s="45">
        <f t="shared" si="6"/>
        <v>205.93278000000001</v>
      </c>
      <c r="I9" s="51">
        <f t="shared" si="2"/>
        <v>411.86556000000002</v>
      </c>
      <c r="J9" s="52">
        <f>7380+6550</f>
        <v>13930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6102760</v>
      </c>
      <c r="C10" s="57">
        <f t="shared" si="0"/>
        <v>652</v>
      </c>
      <c r="D10" s="48">
        <f t="shared" si="7"/>
        <v>110.50847756</v>
      </c>
      <c r="E10" s="49">
        <v>483548</v>
      </c>
      <c r="F10" s="58">
        <f t="shared" si="1"/>
        <v>234</v>
      </c>
      <c r="G10" s="50">
        <f t="shared" si="5"/>
        <v>198.30564000000001</v>
      </c>
      <c r="H10" s="50">
        <f t="shared" si="6"/>
        <v>198.30564000000001</v>
      </c>
      <c r="I10" s="51">
        <f t="shared" si="2"/>
        <v>396.61128000000002</v>
      </c>
      <c r="J10" s="52">
        <f>7380+6550</f>
        <v>13930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6103412</v>
      </c>
      <c r="C11" s="55">
        <f t="shared" si="0"/>
        <v>425</v>
      </c>
      <c r="D11" s="48">
        <f t="shared" si="7"/>
        <v>72.033900250000002</v>
      </c>
      <c r="E11" s="49">
        <v>483782</v>
      </c>
      <c r="F11" s="56">
        <f t="shared" si="1"/>
        <v>12</v>
      </c>
      <c r="G11" s="45">
        <f t="shared" si="5"/>
        <v>10.16952</v>
      </c>
      <c r="H11" s="45">
        <f t="shared" si="6"/>
        <v>10.16952</v>
      </c>
      <c r="I11" s="51">
        <f t="shared" si="2"/>
        <v>20.339040000000001</v>
      </c>
      <c r="J11" s="52">
        <f>7380+6550</f>
        <v>13930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6103837</v>
      </c>
      <c r="C12" s="57">
        <f t="shared" si="0"/>
        <v>425</v>
      </c>
      <c r="D12" s="48">
        <f t="shared" si="7"/>
        <v>72.033900250000002</v>
      </c>
      <c r="E12" s="49">
        <v>483794</v>
      </c>
      <c r="F12" s="58">
        <f t="shared" si="1"/>
        <v>155</v>
      </c>
      <c r="G12" s="50">
        <f t="shared" si="5"/>
        <v>131.3563</v>
      </c>
      <c r="H12" s="50">
        <f t="shared" si="6"/>
        <v>131.3563</v>
      </c>
      <c r="I12" s="51">
        <f t="shared" si="2"/>
        <v>262.71260000000001</v>
      </c>
      <c r="J12" s="52">
        <f>7380+6550</f>
        <v>13930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6104262</v>
      </c>
      <c r="C13" s="55">
        <f t="shared" si="0"/>
        <v>649</v>
      </c>
      <c r="D13" s="48">
        <f t="shared" si="7"/>
        <v>110.00000297</v>
      </c>
      <c r="E13" s="49">
        <v>483949</v>
      </c>
      <c r="F13" s="56">
        <f t="shared" si="1"/>
        <v>229</v>
      </c>
      <c r="G13" s="45">
        <f t="shared" si="5"/>
        <v>194.06834000000001</v>
      </c>
      <c r="H13" s="45">
        <f t="shared" si="6"/>
        <v>194.06834000000001</v>
      </c>
      <c r="I13" s="51">
        <f t="shared" si="2"/>
        <v>388.13668000000001</v>
      </c>
      <c r="J13" s="52">
        <f>7370+6560</f>
        <v>13930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6104911</v>
      </c>
      <c r="C14" s="57">
        <f t="shared" si="0"/>
        <v>1171</v>
      </c>
      <c r="D14" s="48">
        <f t="shared" si="7"/>
        <v>198.47458162999999</v>
      </c>
      <c r="E14" s="49">
        <v>484178</v>
      </c>
      <c r="F14" s="58">
        <f t="shared" si="1"/>
        <v>290</v>
      </c>
      <c r="G14" s="50">
        <f t="shared" si="5"/>
        <v>245.76339999999999</v>
      </c>
      <c r="H14" s="50">
        <f t="shared" si="6"/>
        <v>245.76339999999999</v>
      </c>
      <c r="I14" s="51">
        <f t="shared" si="2"/>
        <v>491.52679999999998</v>
      </c>
      <c r="J14" s="52">
        <f>7370+6560</f>
        <v>13930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6106082</v>
      </c>
      <c r="C15" s="55">
        <f t="shared" si="0"/>
        <v>879</v>
      </c>
      <c r="D15" s="48">
        <f t="shared" si="7"/>
        <v>148.98305486999999</v>
      </c>
      <c r="E15" s="49">
        <v>484468</v>
      </c>
      <c r="F15" s="56">
        <f t="shared" si="1"/>
        <v>54</v>
      </c>
      <c r="G15" s="50">
        <f t="shared" si="5"/>
        <v>45.762839999999997</v>
      </c>
      <c r="H15" s="45">
        <f t="shared" si="6"/>
        <v>45.762839999999997</v>
      </c>
      <c r="I15" s="51">
        <f t="shared" si="2"/>
        <v>91.525679999999994</v>
      </c>
      <c r="J15" s="52">
        <f>7380+6550</f>
        <v>13930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6106961</v>
      </c>
      <c r="C16" s="57">
        <f t="shared" si="0"/>
        <v>947</v>
      </c>
      <c r="D16" s="48">
        <f t="shared" si="7"/>
        <v>160.50847891000001</v>
      </c>
      <c r="E16" s="49">
        <v>484522</v>
      </c>
      <c r="F16" s="58">
        <f t="shared" si="1"/>
        <v>31</v>
      </c>
      <c r="G16" s="50">
        <f t="shared" si="5"/>
        <v>26.271259999999998</v>
      </c>
      <c r="H16" s="50">
        <f t="shared" si="6"/>
        <v>26.271259999999998</v>
      </c>
      <c r="I16" s="51">
        <f t="shared" si="2"/>
        <v>52.542519999999996</v>
      </c>
      <c r="J16" s="52">
        <f xml:space="preserve"> 7380+6550</f>
        <v>13930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6107908</v>
      </c>
      <c r="C17" s="55">
        <f>B18-B17</f>
        <v>787</v>
      </c>
      <c r="D17" s="48">
        <f t="shared" si="7"/>
        <v>133.38983411000001</v>
      </c>
      <c r="E17" s="49">
        <v>484553</v>
      </c>
      <c r="F17" s="56">
        <f>E18-E17</f>
        <v>17</v>
      </c>
      <c r="G17" s="45">
        <f t="shared" si="5"/>
        <v>14.40682</v>
      </c>
      <c r="H17" s="45">
        <f t="shared" si="6"/>
        <v>14.40682</v>
      </c>
      <c r="I17" s="51">
        <f t="shared" si="2"/>
        <v>28.813639999999999</v>
      </c>
      <c r="J17" s="52">
        <f>7380+6550</f>
        <v>13930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6108695</v>
      </c>
      <c r="C18" s="57">
        <f t="shared" ref="C18:C36" si="8">B19-B18</f>
        <v>649</v>
      </c>
      <c r="D18" s="48">
        <f t="shared" si="7"/>
        <v>110.00000297</v>
      </c>
      <c r="E18" s="49">
        <v>484570</v>
      </c>
      <c r="F18" s="58">
        <f t="shared" ref="F18:F36" si="9">E19-E18</f>
        <v>137</v>
      </c>
      <c r="G18" s="50">
        <f t="shared" si="5"/>
        <v>116.10202</v>
      </c>
      <c r="H18" s="50">
        <f t="shared" si="6"/>
        <v>116.10202</v>
      </c>
      <c r="I18" s="51">
        <f t="shared" si="2"/>
        <v>232.20403999999999</v>
      </c>
      <c r="J18" s="52">
        <f>7380+6550</f>
        <v>13930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6109344</v>
      </c>
      <c r="C19" s="55">
        <f t="shared" si="8"/>
        <v>879</v>
      </c>
      <c r="D19" s="48">
        <f t="shared" si="7"/>
        <v>148.98305486999999</v>
      </c>
      <c r="E19" s="53">
        <v>484707</v>
      </c>
      <c r="F19" s="56">
        <f t="shared" si="9"/>
        <v>234</v>
      </c>
      <c r="G19" s="45">
        <f t="shared" si="5"/>
        <v>198.30564000000001</v>
      </c>
      <c r="H19" s="45">
        <f t="shared" si="6"/>
        <v>198.30564000000001</v>
      </c>
      <c r="I19" s="51">
        <f t="shared" si="2"/>
        <v>396.61128000000002</v>
      </c>
      <c r="J19" s="52">
        <f>7380+6550</f>
        <v>13930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6110223</v>
      </c>
      <c r="C20" s="57">
        <f t="shared" si="8"/>
        <v>786</v>
      </c>
      <c r="D20" s="48">
        <f t="shared" si="7"/>
        <v>133.22034257999999</v>
      </c>
      <c r="E20" s="54">
        <v>484941</v>
      </c>
      <c r="F20" s="58">
        <f t="shared" si="9"/>
        <v>272</v>
      </c>
      <c r="G20" s="50">
        <f t="shared" si="5"/>
        <v>230.50912</v>
      </c>
      <c r="H20" s="50">
        <f t="shared" si="6"/>
        <v>230.50912</v>
      </c>
      <c r="I20" s="51">
        <f t="shared" si="2"/>
        <v>461.01823999999999</v>
      </c>
      <c r="J20" s="52">
        <f>7380+6550</f>
        <v>13930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6111009</v>
      </c>
      <c r="C21" s="55">
        <f t="shared" si="8"/>
        <v>1326</v>
      </c>
      <c r="D21" s="48">
        <f t="shared" si="7"/>
        <v>224.74576877999999</v>
      </c>
      <c r="E21" s="53">
        <v>485213</v>
      </c>
      <c r="F21" s="56">
        <f t="shared" si="9"/>
        <v>311</v>
      </c>
      <c r="G21" s="45">
        <f t="shared" si="5"/>
        <v>263.56006000000002</v>
      </c>
      <c r="H21" s="45">
        <f t="shared" si="6"/>
        <v>263.56006000000002</v>
      </c>
      <c r="I21" s="51">
        <f t="shared" si="2"/>
        <v>527.12012000000004</v>
      </c>
      <c r="J21" s="52">
        <f>7380+6550</f>
        <v>13930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20">
        <v>6112335</v>
      </c>
      <c r="C22" s="57">
        <f t="shared" si="8"/>
        <v>909</v>
      </c>
      <c r="D22" s="48">
        <f t="shared" si="7"/>
        <v>154.06780076999999</v>
      </c>
      <c r="E22" s="121">
        <v>485524</v>
      </c>
      <c r="F22" s="58">
        <f t="shared" si="9"/>
        <v>235</v>
      </c>
      <c r="G22" s="50">
        <f t="shared" si="5"/>
        <v>199.15309999999999</v>
      </c>
      <c r="H22" s="50">
        <f t="shared" si="6"/>
        <v>199.15309999999999</v>
      </c>
      <c r="I22" s="51">
        <f t="shared" si="2"/>
        <v>398.30619999999999</v>
      </c>
      <c r="J22" s="122">
        <f>7380+6550</f>
        <v>13930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6113244</v>
      </c>
      <c r="C23" s="55">
        <f t="shared" si="8"/>
        <v>1162</v>
      </c>
      <c r="D23" s="48">
        <f t="shared" si="7"/>
        <v>196.94915786000001</v>
      </c>
      <c r="E23" s="54">
        <v>485759</v>
      </c>
      <c r="F23" s="56">
        <f t="shared" si="9"/>
        <v>54</v>
      </c>
      <c r="G23" s="45">
        <f t="shared" si="5"/>
        <v>45.762839999999997</v>
      </c>
      <c r="H23" s="45">
        <f t="shared" si="6"/>
        <v>45.762839999999997</v>
      </c>
      <c r="I23" s="51">
        <f t="shared" si="2"/>
        <v>91.525679999999994</v>
      </c>
      <c r="J23" s="122">
        <f>7380+6550</f>
        <v>13930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6114406</v>
      </c>
      <c r="C24" s="57">
        <f t="shared" si="8"/>
        <v>1022</v>
      </c>
      <c r="D24" s="48">
        <f t="shared" si="7"/>
        <v>173.22034366</v>
      </c>
      <c r="E24" s="54">
        <v>485813</v>
      </c>
      <c r="F24" s="58">
        <f t="shared" si="9"/>
        <v>9</v>
      </c>
      <c r="G24" s="50">
        <f t="shared" si="5"/>
        <v>7.6271399999999998</v>
      </c>
      <c r="H24" s="50">
        <f t="shared" si="6"/>
        <v>7.6271399999999998</v>
      </c>
      <c r="I24" s="51">
        <f t="shared" si="2"/>
        <v>15.25428</v>
      </c>
      <c r="J24" s="122">
        <f>7380+6550</f>
        <v>13930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6115428</v>
      </c>
      <c r="C25" s="55">
        <f t="shared" si="8"/>
        <v>864</v>
      </c>
      <c r="D25" s="48">
        <f t="shared" si="7"/>
        <v>146.44068192</v>
      </c>
      <c r="E25" s="54">
        <v>485822</v>
      </c>
      <c r="F25" s="56">
        <f t="shared" si="9"/>
        <v>17</v>
      </c>
      <c r="G25" s="45">
        <f t="shared" si="5"/>
        <v>14.40682</v>
      </c>
      <c r="H25" s="45">
        <f t="shared" si="6"/>
        <v>14.40682</v>
      </c>
      <c r="I25" s="51">
        <f t="shared" si="2"/>
        <v>28.813639999999999</v>
      </c>
      <c r="J25" s="122">
        <f>7380+6550</f>
        <v>13930</v>
      </c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>
        <v>6116292</v>
      </c>
      <c r="C26" s="57">
        <f t="shared" si="8"/>
        <v>1069</v>
      </c>
      <c r="D26" s="48">
        <f t="shared" si="7"/>
        <v>181.18644556999999</v>
      </c>
      <c r="E26" s="54">
        <v>485839</v>
      </c>
      <c r="F26" s="58">
        <f t="shared" si="9"/>
        <v>423</v>
      </c>
      <c r="G26" s="50">
        <f t="shared" si="5"/>
        <v>358.47557999999998</v>
      </c>
      <c r="H26" s="50">
        <f t="shared" si="6"/>
        <v>358.47557999999998</v>
      </c>
      <c r="I26" s="51">
        <f t="shared" si="2"/>
        <v>716.95115999999996</v>
      </c>
      <c r="J26" s="52">
        <f>7380+6550</f>
        <v>13930</v>
      </c>
      <c r="K26" s="40">
        <f t="shared" si="3"/>
        <v>360</v>
      </c>
      <c r="L26" s="41">
        <f t="shared" si="4"/>
        <v>212.39999999999998</v>
      </c>
    </row>
    <row r="27" spans="1:12" ht="32.450000000000003" customHeight="1">
      <c r="A27" s="42">
        <v>21</v>
      </c>
      <c r="B27" s="42">
        <v>6117361</v>
      </c>
      <c r="C27" s="55">
        <f t="shared" si="8"/>
        <v>1118</v>
      </c>
      <c r="D27" s="48">
        <f t="shared" si="7"/>
        <v>189.49153054000001</v>
      </c>
      <c r="E27" s="54">
        <v>486262</v>
      </c>
      <c r="F27" s="56">
        <f t="shared" si="9"/>
        <v>260</v>
      </c>
      <c r="G27" s="45">
        <f t="shared" si="5"/>
        <v>220.33959999999999</v>
      </c>
      <c r="H27" s="45">
        <f t="shared" si="6"/>
        <v>220.33959999999999</v>
      </c>
      <c r="I27" s="51">
        <f t="shared" si="2"/>
        <v>440.67919999999998</v>
      </c>
      <c r="J27" s="52">
        <f>7020+6550</f>
        <v>13570</v>
      </c>
      <c r="K27" s="40">
        <f t="shared" si="3"/>
        <v>-200</v>
      </c>
      <c r="L27" s="41">
        <f t="shared" si="4"/>
        <v>-118</v>
      </c>
    </row>
    <row r="28" spans="1:12" ht="32.450000000000003" customHeight="1">
      <c r="A28" s="47">
        <v>22</v>
      </c>
      <c r="B28" s="47">
        <v>6118479</v>
      </c>
      <c r="C28" s="57">
        <f t="shared" si="8"/>
        <v>1316</v>
      </c>
      <c r="D28" s="48">
        <f t="shared" si="7"/>
        <v>223.05085348</v>
      </c>
      <c r="E28" s="54">
        <v>486522</v>
      </c>
      <c r="F28" s="58">
        <f t="shared" si="9"/>
        <v>245</v>
      </c>
      <c r="G28" s="50">
        <f t="shared" si="5"/>
        <v>207.6277</v>
      </c>
      <c r="H28" s="50">
        <f t="shared" si="6"/>
        <v>207.6277</v>
      </c>
      <c r="I28" s="51">
        <f t="shared" si="2"/>
        <v>415.25540000000001</v>
      </c>
      <c r="J28" s="52">
        <f>7220+6550</f>
        <v>13770</v>
      </c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>
        <v>6119795</v>
      </c>
      <c r="C29" s="55">
        <f t="shared" si="8"/>
        <v>1231</v>
      </c>
      <c r="D29" s="48">
        <f t="shared" si="7"/>
        <v>208.64407342999999</v>
      </c>
      <c r="E29" s="54">
        <v>486767</v>
      </c>
      <c r="F29" s="56">
        <f t="shared" si="9"/>
        <v>234</v>
      </c>
      <c r="G29" s="45">
        <f t="shared" si="5"/>
        <v>198.30564000000001</v>
      </c>
      <c r="H29" s="45">
        <f t="shared" si="6"/>
        <v>198.30564000000001</v>
      </c>
      <c r="I29" s="51">
        <f t="shared" si="2"/>
        <v>396.61128000000002</v>
      </c>
      <c r="J29" s="52">
        <f>7220+6550</f>
        <v>13770</v>
      </c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>
        <v>6121026</v>
      </c>
      <c r="C30" s="57">
        <f t="shared" si="8"/>
        <v>1427</v>
      </c>
      <c r="D30" s="48">
        <f t="shared" si="7"/>
        <v>241.86441331</v>
      </c>
      <c r="E30" s="54">
        <v>487001</v>
      </c>
      <c r="F30" s="58">
        <f t="shared" si="9"/>
        <v>271</v>
      </c>
      <c r="G30" s="50">
        <f t="shared" si="5"/>
        <v>229.66165999999998</v>
      </c>
      <c r="H30" s="50">
        <f t="shared" si="6"/>
        <v>229.66165999999998</v>
      </c>
      <c r="I30" s="51">
        <f t="shared" si="2"/>
        <v>459.32331999999997</v>
      </c>
      <c r="J30" s="52">
        <f>7220+6550</f>
        <v>13770</v>
      </c>
      <c r="K30" s="40">
        <f t="shared" si="3"/>
        <v>-160</v>
      </c>
      <c r="L30" s="41">
        <f t="shared" si="4"/>
        <v>-94.399999999999991</v>
      </c>
    </row>
    <row r="31" spans="1:12" ht="32.450000000000003" customHeight="1">
      <c r="A31" s="42">
        <v>25</v>
      </c>
      <c r="B31" s="42">
        <v>6122453</v>
      </c>
      <c r="C31" s="55">
        <f t="shared" si="8"/>
        <v>1300</v>
      </c>
      <c r="D31" s="48">
        <f t="shared" si="7"/>
        <v>220.338989</v>
      </c>
      <c r="E31" s="54">
        <v>487272</v>
      </c>
      <c r="F31" s="56">
        <f t="shared" si="9"/>
        <v>145</v>
      </c>
      <c r="G31" s="45">
        <f t="shared" si="5"/>
        <v>122.8817</v>
      </c>
      <c r="H31" s="45">
        <f t="shared" si="6"/>
        <v>122.8817</v>
      </c>
      <c r="I31" s="51">
        <f t="shared" si="2"/>
        <v>245.76339999999999</v>
      </c>
      <c r="J31" s="52">
        <f>7380+6550</f>
        <v>13930</v>
      </c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>
        <v>6123753</v>
      </c>
      <c r="C32" s="57">
        <f t="shared" si="8"/>
        <v>1343</v>
      </c>
      <c r="D32" s="48">
        <f t="shared" si="7"/>
        <v>227.62712479000001</v>
      </c>
      <c r="E32" s="54">
        <v>487417</v>
      </c>
      <c r="F32" s="58">
        <f t="shared" si="9"/>
        <v>9</v>
      </c>
      <c r="G32" s="50">
        <f t="shared" si="5"/>
        <v>7.6271399999999998</v>
      </c>
      <c r="H32" s="50">
        <f t="shared" si="6"/>
        <v>7.6271399999999998</v>
      </c>
      <c r="I32" s="51">
        <f t="shared" si="2"/>
        <v>15.25428</v>
      </c>
      <c r="J32" s="52">
        <f>7380+6550</f>
        <v>13930</v>
      </c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>
        <v>6125096</v>
      </c>
      <c r="C33" s="55">
        <f t="shared" si="8"/>
        <v>1767</v>
      </c>
      <c r="D33" s="48">
        <f t="shared" si="7"/>
        <v>299.49153351000001</v>
      </c>
      <c r="E33" s="54">
        <v>487426</v>
      </c>
      <c r="F33" s="57">
        <f t="shared" si="9"/>
        <v>234</v>
      </c>
      <c r="G33" s="45">
        <f t="shared" si="5"/>
        <v>198.30564000000001</v>
      </c>
      <c r="H33" s="45">
        <f t="shared" si="6"/>
        <v>198.30564000000001</v>
      </c>
      <c r="I33" s="51">
        <f t="shared" si="2"/>
        <v>396.61128000000002</v>
      </c>
      <c r="J33" s="52">
        <f>7380+6550</f>
        <v>13930</v>
      </c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>
        <v>6126863</v>
      </c>
      <c r="C34" s="57">
        <f t="shared" si="8"/>
        <v>-6126863</v>
      </c>
      <c r="D34" s="48">
        <f t="shared" si="7"/>
        <v>-1038451.38397039</v>
      </c>
      <c r="E34" s="54">
        <v>487660</v>
      </c>
      <c r="F34" s="56">
        <f t="shared" si="9"/>
        <v>-487660</v>
      </c>
      <c r="G34" s="50">
        <f t="shared" si="5"/>
        <v>-413272.34360000002</v>
      </c>
      <c r="H34" s="50">
        <f t="shared" si="6"/>
        <v>-413272.34360000002</v>
      </c>
      <c r="I34" s="51">
        <f t="shared" si="2"/>
        <v>-826544.68720000004</v>
      </c>
      <c r="J34" s="52">
        <f>7380+6550</f>
        <v>13930</v>
      </c>
      <c r="K34" s="40">
        <f t="shared" si="3"/>
        <v>13930</v>
      </c>
      <c r="L34" s="41">
        <f t="shared" si="4"/>
        <v>8218.6999999999989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 thickBo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 thickBot="1">
      <c r="A37" s="116">
        <v>1</v>
      </c>
      <c r="B37" s="116"/>
      <c r="C37" s="69" t="e">
        <f>#REF!-B37</f>
        <v>#REF!</v>
      </c>
      <c r="D37" s="70" t="e">
        <f t="shared" si="7"/>
        <v>#REF!</v>
      </c>
      <c r="E37" s="71"/>
      <c r="F37" s="72" t="e">
        <f>#REF!-E37</f>
        <v>#REF!</v>
      </c>
      <c r="G37" s="73" t="e">
        <f t="shared" si="5"/>
        <v>#REF!</v>
      </c>
      <c r="H37" s="73" t="e">
        <f t="shared" si="6"/>
        <v>#REF!</v>
      </c>
      <c r="I37" s="117" t="e">
        <f t="shared" si="2"/>
        <v>#REF!</v>
      </c>
      <c r="J37" s="74"/>
      <c r="K37" s="75" t="e">
        <f>J37-#REF!</f>
        <v>#REF!</v>
      </c>
      <c r="L37" s="76" t="e">
        <f t="shared" si="4"/>
        <v>#REF!</v>
      </c>
    </row>
    <row r="38" spans="1:12">
      <c r="B38" s="77"/>
      <c r="C38" s="78"/>
      <c r="D38" s="78"/>
      <c r="J38" s="77"/>
      <c r="K38" s="77"/>
      <c r="L38" s="77"/>
    </row>
    <row r="39" spans="1:12">
      <c r="B39" s="77"/>
      <c r="C39" s="78"/>
      <c r="D39" s="78"/>
      <c r="J39" s="77"/>
      <c r="K39" s="77"/>
      <c r="L39" s="77"/>
    </row>
    <row r="40" spans="1:12">
      <c r="B40" s="77"/>
      <c r="C40" s="78"/>
      <c r="D40" s="78"/>
      <c r="J40" s="77"/>
      <c r="K40" s="77"/>
      <c r="L40" s="77"/>
    </row>
    <row r="41" spans="1:12">
      <c r="B41" s="77"/>
      <c r="C41" s="78"/>
      <c r="D41" s="78"/>
      <c r="J41" s="77"/>
      <c r="K41" s="77"/>
      <c r="L41" s="77"/>
    </row>
    <row r="42" spans="1:12">
      <c r="B42" s="77"/>
      <c r="C42" s="78"/>
      <c r="D42" s="78"/>
      <c r="J42" s="77"/>
      <c r="K42" s="77"/>
      <c r="L42" s="77"/>
    </row>
    <row r="43" spans="1:12">
      <c r="B43" s="77"/>
      <c r="C43" s="78"/>
      <c r="D43" s="78"/>
      <c r="J43" s="77"/>
      <c r="K43" s="77"/>
      <c r="L43" s="77"/>
    </row>
    <row r="44" spans="1:12">
      <c r="B44" s="77"/>
      <c r="C44" s="78"/>
      <c r="D44" s="78"/>
      <c r="J44" s="77"/>
      <c r="K44" s="77"/>
      <c r="L44" s="77"/>
    </row>
    <row r="45" spans="1:12">
      <c r="B45" s="77"/>
      <c r="C45" s="78"/>
      <c r="D45" s="78"/>
      <c r="J45" s="77"/>
      <c r="K45" s="77"/>
      <c r="L45" s="77"/>
    </row>
    <row r="46" spans="1:12">
      <c r="B46" s="77"/>
      <c r="C46" s="78"/>
      <c r="D46" s="78"/>
      <c r="J46" s="77"/>
      <c r="K46" s="77"/>
      <c r="L46" s="77"/>
    </row>
    <row r="47" spans="1:12">
      <c r="B47" s="77"/>
      <c r="C47" s="78"/>
      <c r="D47" s="78"/>
      <c r="J47" s="77"/>
      <c r="K47" s="77"/>
      <c r="L47" s="77"/>
    </row>
    <row r="48" spans="1:12">
      <c r="B48" s="77"/>
      <c r="C48" s="78"/>
      <c r="D48" s="78"/>
      <c r="J48" s="77"/>
      <c r="K48" s="77"/>
      <c r="L48" s="77"/>
    </row>
    <row r="49" spans="1:12">
      <c r="B49" s="77"/>
      <c r="C49" s="78"/>
      <c r="D49" s="78"/>
      <c r="J49" s="77"/>
      <c r="K49" s="77"/>
      <c r="L49" s="77"/>
    </row>
    <row r="50" spans="1:12">
      <c r="A50" s="80"/>
      <c r="B50" s="77"/>
      <c r="C50" s="78"/>
      <c r="D50" s="78"/>
      <c r="J50" s="77"/>
      <c r="K50" s="77"/>
      <c r="L50" s="77"/>
    </row>
    <row r="51" spans="1:12">
      <c r="A51" s="80"/>
      <c r="B51" s="77"/>
      <c r="C51" s="78"/>
      <c r="D51" s="78"/>
      <c r="J51" s="77"/>
      <c r="K51" s="77"/>
      <c r="L51" s="77"/>
    </row>
    <row r="52" spans="1:12">
      <c r="A52" s="80"/>
      <c r="B52" s="77"/>
      <c r="C52" s="78"/>
      <c r="D52" s="78"/>
      <c r="J52" s="77"/>
      <c r="K52" s="77"/>
      <c r="L52" s="77"/>
    </row>
    <row r="53" spans="1:12">
      <c r="A53" s="80"/>
      <c r="B53" s="77"/>
      <c r="C53" s="78"/>
      <c r="D53" s="78"/>
      <c r="J53" s="77"/>
      <c r="K53" s="77"/>
      <c r="L53" s="77"/>
    </row>
    <row r="54" spans="1:12">
      <c r="A54" s="80"/>
      <c r="B54" s="77"/>
      <c r="C54" s="78"/>
      <c r="D54" s="78"/>
      <c r="J54" s="77"/>
      <c r="K54" s="77"/>
      <c r="L54" s="77"/>
    </row>
    <row r="55" spans="1:12">
      <c r="A55" s="80"/>
      <c r="B55" s="77"/>
      <c r="C55" s="78"/>
      <c r="D55" s="78"/>
      <c r="J55" s="77"/>
      <c r="K55" s="77"/>
      <c r="L55" s="77"/>
    </row>
    <row r="56" spans="1:12">
      <c r="A56" s="80"/>
      <c r="B56" s="77"/>
      <c r="C56" s="78"/>
      <c r="D56" s="78"/>
      <c r="J56" s="77"/>
      <c r="K56" s="77"/>
      <c r="L56" s="77"/>
    </row>
    <row r="57" spans="1:12">
      <c r="A57" s="80"/>
      <c r="B57" s="77"/>
      <c r="C57" s="78"/>
      <c r="D57" s="78"/>
      <c r="J57" s="77"/>
      <c r="K57" s="77"/>
      <c r="L57" s="77"/>
    </row>
    <row r="58" spans="1:12">
      <c r="A58" s="80"/>
      <c r="B58" s="77"/>
      <c r="C58" s="78"/>
      <c r="D58" s="78"/>
      <c r="J58" s="77"/>
      <c r="K58" s="77"/>
      <c r="L58" s="77"/>
    </row>
    <row r="59" spans="1:12">
      <c r="A59" s="80"/>
      <c r="B59" s="77"/>
      <c r="C59" s="78"/>
      <c r="D59" s="78"/>
      <c r="J59" s="77"/>
      <c r="K59" s="77"/>
      <c r="L59" s="77"/>
    </row>
    <row r="60" spans="1:12">
      <c r="A60" s="80"/>
      <c r="B60" s="77"/>
      <c r="C60" s="78"/>
      <c r="D60" s="78"/>
      <c r="J60" s="77"/>
      <c r="K60" s="77"/>
      <c r="L60" s="77"/>
    </row>
    <row r="61" spans="1:12">
      <c r="A61" s="80"/>
      <c r="B61" s="77"/>
      <c r="C61" s="78"/>
      <c r="D61" s="78"/>
      <c r="J61" s="77"/>
      <c r="K61" s="77"/>
      <c r="L61" s="77"/>
    </row>
    <row r="62" spans="1:12">
      <c r="A62" s="80"/>
      <c r="B62" s="77"/>
      <c r="C62" s="78"/>
      <c r="D62" s="78"/>
      <c r="J62" s="77"/>
      <c r="K62" s="77"/>
      <c r="L62" s="77"/>
    </row>
    <row r="63" spans="1:12">
      <c r="A63" s="80"/>
      <c r="B63" s="77"/>
      <c r="C63" s="78"/>
      <c r="D63" s="78"/>
      <c r="J63" s="77"/>
      <c r="K63" s="77"/>
      <c r="L63" s="77"/>
    </row>
    <row r="64" spans="1:12">
      <c r="A64" s="80"/>
      <c r="B64" s="77"/>
      <c r="C64" s="78"/>
      <c r="D64" s="78"/>
      <c r="J64" s="77"/>
      <c r="K64" s="77"/>
      <c r="L64" s="77"/>
    </row>
    <row r="65" spans="1:12">
      <c r="A65" s="80"/>
      <c r="B65" s="77"/>
      <c r="C65" s="78"/>
      <c r="D65" s="78"/>
      <c r="J65" s="77"/>
      <c r="K65" s="77"/>
      <c r="L65" s="77"/>
    </row>
    <row r="66" spans="1:12">
      <c r="A66" s="80"/>
      <c r="B66" s="77"/>
      <c r="C66" s="78"/>
      <c r="D66" s="78"/>
      <c r="J66" s="77"/>
      <c r="K66" s="77"/>
      <c r="L66" s="77"/>
    </row>
    <row r="67" spans="1:12">
      <c r="A67" s="80"/>
      <c r="B67" s="77"/>
      <c r="C67" s="78"/>
      <c r="D67" s="78"/>
      <c r="J67" s="77"/>
      <c r="K67" s="77"/>
      <c r="L67" s="77"/>
    </row>
    <row r="68" spans="1:12">
      <c r="A68" s="80"/>
      <c r="B68" s="77"/>
      <c r="C68" s="78"/>
      <c r="D68" s="78"/>
      <c r="J68" s="77"/>
      <c r="K68" s="77"/>
      <c r="L68" s="77"/>
    </row>
    <row r="69" spans="1:12">
      <c r="A69" s="80"/>
      <c r="B69" s="77"/>
      <c r="C69" s="78"/>
      <c r="D69" s="78"/>
      <c r="J69" s="77"/>
      <c r="K69" s="77"/>
      <c r="L69" s="77"/>
    </row>
    <row r="70" spans="1:12">
      <c r="A70" s="80"/>
      <c r="B70" s="77"/>
      <c r="C70" s="78"/>
      <c r="D70" s="78"/>
      <c r="J70" s="77"/>
      <c r="K70" s="77"/>
      <c r="L70" s="77"/>
    </row>
    <row r="71" spans="1:12">
      <c r="A71" s="80"/>
      <c r="B71" s="77"/>
      <c r="C71" s="78"/>
      <c r="D71" s="78"/>
      <c r="J71" s="77"/>
      <c r="K71" s="77"/>
      <c r="L71" s="77"/>
    </row>
    <row r="72" spans="1:12">
      <c r="A72" s="80"/>
      <c r="B72" s="77"/>
      <c r="C72" s="78"/>
      <c r="D72" s="78"/>
      <c r="J72" s="77"/>
      <c r="K72" s="77"/>
      <c r="L72" s="77"/>
    </row>
    <row r="73" spans="1:12">
      <c r="A73" s="80"/>
      <c r="B73" s="77"/>
      <c r="C73" s="78"/>
      <c r="D73" s="78"/>
      <c r="J73" s="77"/>
      <c r="K73" s="77"/>
      <c r="L73" s="77"/>
    </row>
    <row r="74" spans="1:12">
      <c r="A74" s="80"/>
      <c r="B74" s="77"/>
      <c r="C74" s="78"/>
      <c r="D74" s="78"/>
      <c r="J74" s="77"/>
      <c r="K74" s="77"/>
      <c r="L74" s="77"/>
    </row>
    <row r="75" spans="1:12">
      <c r="A75" s="80"/>
      <c r="B75" s="77"/>
      <c r="C75" s="78"/>
      <c r="D75" s="78"/>
      <c r="J75" s="77"/>
      <c r="K75" s="77"/>
      <c r="L75" s="77"/>
    </row>
    <row r="76" spans="1:12">
      <c r="A76" s="80"/>
      <c r="B76" s="77"/>
      <c r="C76" s="78"/>
      <c r="D76" s="78"/>
      <c r="J76" s="77"/>
      <c r="K76" s="77"/>
      <c r="L76" s="77"/>
    </row>
    <row r="77" spans="1:12">
      <c r="A77" s="80"/>
      <c r="B77" s="77"/>
      <c r="C77" s="78"/>
      <c r="D77" s="78"/>
      <c r="J77" s="77"/>
      <c r="K77" s="77"/>
      <c r="L77" s="77"/>
    </row>
    <row r="78" spans="1:12">
      <c r="A78" s="80"/>
      <c r="B78" s="77"/>
      <c r="C78" s="78"/>
      <c r="D78" s="78"/>
      <c r="J78" s="77"/>
      <c r="K78" s="77"/>
      <c r="L78" s="77"/>
    </row>
    <row r="79" spans="1:12">
      <c r="A79" s="80"/>
      <c r="B79" s="77"/>
      <c r="C79" s="78"/>
      <c r="D79" s="78"/>
      <c r="J79" s="77"/>
      <c r="K79" s="77"/>
      <c r="L79" s="77"/>
    </row>
    <row r="80" spans="1:12">
      <c r="A80" s="80"/>
      <c r="B80" s="77"/>
      <c r="C80" s="78"/>
      <c r="D80" s="78"/>
      <c r="J80" s="77"/>
      <c r="K80" s="77"/>
      <c r="L80" s="77"/>
    </row>
    <row r="81" spans="1:12">
      <c r="A81" s="80"/>
      <c r="B81" s="77"/>
      <c r="C81" s="78"/>
      <c r="D81" s="78"/>
      <c r="J81" s="77"/>
      <c r="K81" s="77"/>
      <c r="L81" s="77"/>
    </row>
    <row r="82" spans="1:12">
      <c r="A82" s="80"/>
      <c r="B82" s="77"/>
      <c r="C82" s="78"/>
      <c r="D82" s="78"/>
      <c r="J82" s="77"/>
      <c r="K82" s="77"/>
      <c r="L82" s="77"/>
    </row>
    <row r="83" spans="1:12">
      <c r="A83" s="80"/>
      <c r="B83" s="77"/>
      <c r="C83" s="78"/>
      <c r="D83" s="78"/>
      <c r="J83" s="77"/>
      <c r="K83" s="77"/>
      <c r="L83" s="77"/>
    </row>
    <row r="84" spans="1:12">
      <c r="A84" s="80"/>
      <c r="B84" s="77"/>
      <c r="C84" s="78"/>
      <c r="D84" s="78"/>
      <c r="J84" s="77"/>
      <c r="K84" s="77"/>
      <c r="L84" s="77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2021-09-29T06:37:20Z</dcterms:modified>
  <cp:category/>
  <cp:contentStatus/>
</cp:coreProperties>
</file>