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T29" i="7" l="1"/>
  <c r="H28" i="7" l="1"/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<sst xmlns="http://schemas.openxmlformats.org/spreadsheetml/2006/main" count="313" uniqueCount="148">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</sst>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6870.0000000002556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71</v>
      </c>
      <c r="J12" s="11">
        <f t="shared" si="3"/>
        <v>10.487297712684205</v>
      </c>
      <c r="K12" s="13">
        <f>'FS Desroches Daily'!CN14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8749.9999999993979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61</v>
      </c>
      <c r="J13" s="11">
        <f t="shared" si="3"/>
        <v>10.487297712684205</v>
      </c>
      <c r="K13" s="13">
        <f>'FS Desroches Daily'!CN15</f>
        <v>10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9320.000000000502</v>
      </c>
      <c r="F14" s="11">
        <f t="shared" si="1"/>
        <v>0.58765030286592534</v>
      </c>
      <c r="G14" s="12">
        <f>(Submetering!AX14+Submetering!AY14+Submetering!AZ14+Submetering!BA14+Submetering!BB14)</f>
        <v>10201.455</v>
      </c>
      <c r="H14" s="11">
        <f t="shared" si="2"/>
        <v>0.99</v>
      </c>
      <c r="I14" s="12">
        <f>'FS Desroches Daily'!CM16</f>
        <v>66</v>
      </c>
      <c r="J14" s="11">
        <f t="shared" si="3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8700.0000000002183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55</v>
      </c>
      <c r="J15" s="11">
        <f t="shared" si="3"/>
        <v>10.487297712684205</v>
      </c>
      <c r="K15" s="13">
        <f>'FS Desroches Daily'!CN17</f>
        <v>12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9000.0000000000764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88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8269.9999999998799</v>
      </c>
      <c r="F17" s="11">
        <f t="shared" si="1"/>
        <v>0.58765030286592534</v>
      </c>
      <c r="G17" s="12">
        <f>(Submetering!AX17+Submetering!AY17+Submetering!AZ17+Submetering!BA17+Submetering!BB17)</f>
        <v>16.483499999999999</v>
      </c>
      <c r="H17" s="11">
        <f t="shared" si="2"/>
        <v>0.99</v>
      </c>
      <c r="I17" s="12">
        <f>'FS Desroches Daily'!CM19</f>
        <v>62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8099.9999999995425</v>
      </c>
      <c r="F18" s="11">
        <f t="shared" si="1"/>
        <v>0.58765030286592534</v>
      </c>
      <c r="G18" s="12">
        <f>(Submetering!AX18+Submetering!AY18+Submetering!AZ18+Submetering!BA18+Submetering!BB18)</f>
        <v>42.124499999999998</v>
      </c>
      <c r="H18" s="11">
        <f t="shared" si="2"/>
        <v>0.99</v>
      </c>
      <c r="I18" s="12">
        <f>'FS Desroches Daily'!CM20</f>
        <v>63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8710.0000000004638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8329.9999999999382</v>
      </c>
      <c r="F20" s="11">
        <f t="shared" si="1"/>
        <v>0.58765030286592534</v>
      </c>
      <c r="G20" s="12">
        <f>(Submetering!AX20+Submetering!AY20+Submetering!AZ20+Submetering!BA20+Submetering!BB20)</f>
        <v>23.8095</v>
      </c>
      <c r="H20" s="11">
        <f t="shared" si="2"/>
        <v>0.99</v>
      </c>
      <c r="I20" s="12">
        <f>'FS Desroches Daily'!CM22</f>
        <v>62</v>
      </c>
      <c r="J20" s="11">
        <f t="shared" si="3"/>
        <v>10.487297712684205</v>
      </c>
      <c r="K20" s="13">
        <f>'FS Desroches Daily'!CN22</f>
        <v>10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8529.9999999998363</v>
      </c>
      <c r="F21" s="11">
        <f t="shared" si="1"/>
        <v>0.58765030286592534</v>
      </c>
      <c r="G21" s="12">
        <f>(Submetering!AX21+Submetering!AY21+Submetering!AZ21+Submetering!BA21+Submetering!BB21)</f>
        <v>16.483499999999999</v>
      </c>
      <c r="H21" s="11">
        <f t="shared" si="2"/>
        <v>0.99</v>
      </c>
      <c r="I21" s="12">
        <f>'FS Desroches Daily'!CM23</f>
        <v>58</v>
      </c>
      <c r="J21" s="11">
        <f t="shared" si="3"/>
        <v>10.487297712684205</v>
      </c>
      <c r="K21" s="13">
        <f>'FS Desroches Daily'!CN23</f>
        <v>13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8920.0000000001019</v>
      </c>
      <c r="F22" s="11">
        <f t="shared" si="1"/>
        <v>0.58765030286592534</v>
      </c>
      <c r="G22" s="12">
        <f>(Submetering!AX22+Submetering!AY22+Submetering!AZ22+Submetering!BA22+Submetering!BB22)</f>
        <v>36.629999999999995</v>
      </c>
      <c r="H22" s="11">
        <f t="shared" si="2"/>
        <v>0.99</v>
      </c>
      <c r="I22" s="12">
        <f>'FS Desroches Daily'!CM24</f>
        <v>48</v>
      </c>
      <c r="J22" s="11">
        <f t="shared" si="3"/>
        <v>10.487297712684205</v>
      </c>
      <c r="K22" s="13">
        <f>'FS Desroches Daily'!CN24</f>
        <v>15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8230.0000000000909</v>
      </c>
      <c r="F23" s="11">
        <f t="shared" si="1"/>
        <v>0.58765030286592534</v>
      </c>
      <c r="G23" s="12">
        <f>(Submetering!AX23+Submetering!AY23+Submetering!AZ23+Submetering!BA23+Submetering!BB23)</f>
        <v>29.303999999999995</v>
      </c>
      <c r="H23" s="11">
        <f t="shared" si="2"/>
        <v>0.99</v>
      </c>
      <c r="I23" s="12">
        <f>'FS Desroches Daily'!CM25</f>
        <v>54</v>
      </c>
      <c r="J23" s="11">
        <f t="shared" si="3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8289.9999999996726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58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8770.0000000001255</v>
      </c>
      <c r="F25" s="11">
        <f t="shared" si="1"/>
        <v>0.58765030286592534</v>
      </c>
      <c r="G25" s="12">
        <f>(Submetering!AX25+Submetering!AY25+Submetering!AZ25+Submetering!BA25+Submetering!BB25)</f>
        <v>21.977999999999998</v>
      </c>
      <c r="H25" s="11">
        <f t="shared" si="2"/>
        <v>0.99</v>
      </c>
      <c r="I25" s="12">
        <f>'FS Desroches Daily'!CM27</f>
        <v>59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7929.9999999999027</v>
      </c>
      <c r="F26" s="11">
        <f t="shared" si="1"/>
        <v>0.58765030286592534</v>
      </c>
      <c r="G26" s="12">
        <f>(Submetering!AX26+Submetering!AY26+Submetering!AZ26+Submetering!BA26+Submetering!BB26)</f>
        <v>21.977999999999998</v>
      </c>
      <c r="H26" s="11">
        <f t="shared" si="2"/>
        <v>0.99</v>
      </c>
      <c r="I26" s="12">
        <f>'FS Desroches Daily'!CM28</f>
        <v>52</v>
      </c>
      <c r="J26" s="11">
        <f t="shared" si="3"/>
        <v>10.487297712684205</v>
      </c>
      <c r="K26" s="13">
        <f>'FS Desroches Daily'!CN28</f>
        <v>10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7890.0000000004502</v>
      </c>
      <c r="F27" s="11">
        <f t="shared" si="1"/>
        <v>0.58765030286592534</v>
      </c>
      <c r="G27" s="12">
        <f>(Submetering!AX27+Submetering!AY27+Submetering!AZ27+Submetering!BA27+Submetering!BB27)</f>
        <v>9.1574999999999989</v>
      </c>
      <c r="H27" s="11">
        <f t="shared" si="2"/>
        <v>0.99</v>
      </c>
      <c r="I27" s="12">
        <f>'FS Desroches Daily'!CM29</f>
        <v>53</v>
      </c>
      <c r="J27" s="11">
        <f t="shared" si="3"/>
        <v>10.487297712684205</v>
      </c>
      <c r="K27" s="13">
        <f>'FS Desroches Daily'!CN29</f>
        <v>8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7989.9999999997062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46</v>
      </c>
      <c r="J28" s="11">
        <f t="shared" si="3"/>
        <v>10.487297712684205</v>
      </c>
      <c r="K28" s="13">
        <f>'FS Desroches Daily'!CN30</f>
        <v>8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 t="e">
        <f>Submetering!E29+Submetering!F29+Submetering!G29+Submetering!H29+Submetering!J29-Submetering!AV29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'FS Desroches Daily'!CM31</f>
        <v>#VALUE!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1900.0000000000127</v>
      </c>
      <c r="F12" s="32">
        <f>'FS Desroches Daily'!F14</f>
        <v>2400.0000000001796</v>
      </c>
      <c r="G12" s="31">
        <f>'FS Desroches Daily'!H14</f>
        <v>1199.9999999998679</v>
      </c>
      <c r="H12" s="32">
        <f>'FS Desroches Daily'!J14</f>
        <v>1200.0000000000898</v>
      </c>
      <c r="I12" s="31">
        <f>'FS Desroches Daily'!L14</f>
        <v>1999.9999999997797</v>
      </c>
      <c r="J12" s="32">
        <f>'FS Desroches Daily'!N14</f>
        <v>900.0000000001229</v>
      </c>
      <c r="K12" s="13">
        <f>'FS Desroches Daily'!P14</f>
        <v>1</v>
      </c>
      <c r="L12" s="31">
        <f>'FS Desroches Daily'!R14</f>
        <v>3</v>
      </c>
      <c r="M12" s="31">
        <f>'FS Desroches Daily'!T14</f>
        <v>0.8000000000001819</v>
      </c>
      <c r="N12" s="31">
        <f>'FS Desroches Daily'!V14</f>
        <v>309</v>
      </c>
      <c r="O12" s="31">
        <f>'FS Desroches Daily'!X14</f>
        <v>259.99999999999091</v>
      </c>
      <c r="P12" s="31">
        <f>'FS Desroches Daily'!Z14</f>
        <v>2099.9999999999909</v>
      </c>
      <c r="Q12" s="31">
        <f>'FS Desroches Daily'!AB14</f>
        <v>129.99999999999545</v>
      </c>
      <c r="R12" s="31">
        <f>'FS Desroches Daily'!AD14</f>
        <v>269.99999999998181</v>
      </c>
      <c r="S12" s="31">
        <f>'FS Desroches Daily'!AF14</f>
        <v>210.00000000003638</v>
      </c>
      <c r="T12" s="31">
        <f>'FS Desroches Daily'!AH14</f>
        <v>34</v>
      </c>
      <c r="U12" s="35">
        <f>'FS Desroches Daily'!AJ14</f>
        <v>500</v>
      </c>
      <c r="V12" s="35">
        <f>'FS Desroches Daily'!AL14</f>
        <v>210.00000000000796</v>
      </c>
      <c r="W12" s="35">
        <f>'FS Desroches Daily'!AN14</f>
        <v>139.99999999998636</v>
      </c>
      <c r="X12" s="35">
        <f>'FS Desroches Daily'!AP14</f>
        <v>159.99999999999659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109.9999999999568</v>
      </c>
      <c r="AC12" s="35">
        <f>'FS Desroches Daily'!AZ14</f>
        <v>50.000000000011369</v>
      </c>
      <c r="AD12" s="35">
        <f>'FS Desroches Daily'!BB14</f>
        <v>29.999999999972715</v>
      </c>
      <c r="AE12" s="35">
        <f>'FS Desroches Daily'!BD14</f>
        <v>29.999999999972715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19.99999999998181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22</v>
      </c>
      <c r="AM12" s="32">
        <f>'FS Desroches Daily'!BT14</f>
        <v>39.999999999992042</v>
      </c>
      <c r="AN12" s="32">
        <f>'FS Desroches Daily'!BV14</f>
        <v>38</v>
      </c>
      <c r="AO12" s="32">
        <f>'FS Desroches Daily'!BX14</f>
        <v>20.000000000010232</v>
      </c>
      <c r="AP12" s="32">
        <f>'FS Desroches Daily'!BZ14</f>
        <v>21</v>
      </c>
      <c r="AQ12" s="31">
        <f>'FS Desroches Daily'!CB14</f>
        <v>32.799999999995634</v>
      </c>
      <c r="AR12" s="31">
        <f>'FS Desroches Daily'!CD14</f>
        <v>6.8999999999996362</v>
      </c>
      <c r="AS12" s="31">
        <f>'FS Desroches Daily'!CF14</f>
        <v>9.3000000000001819</v>
      </c>
      <c r="AT12" s="31">
        <f>'FS Desroches Daily'!CH14</f>
        <v>43.099999999998545</v>
      </c>
      <c r="AU12" s="31">
        <f>'FS Desroches Daily'!CJ14</f>
        <v>327</v>
      </c>
      <c r="AV12" s="31">
        <f>'FS Desroches Daily'!CL14</f>
        <v>730.00000000001819</v>
      </c>
      <c r="AW12" s="31">
        <f>'FS Desroches Daily'!CM14</f>
        <v>71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10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1999.9999999997797</v>
      </c>
      <c r="F13" s="32">
        <f>'FS Desroches Daily'!F15</f>
        <v>2699.9999999999245</v>
      </c>
      <c r="G13" s="31">
        <f>'FS Desroches Daily'!H15</f>
        <v>2699.9999999999245</v>
      </c>
      <c r="H13" s="32">
        <f>'FS Desroches Daily'!J15</f>
        <v>1299.9999999998568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8</v>
      </c>
      <c r="L13" s="31">
        <f>'FS Desroches Daily'!R15</f>
        <v>3</v>
      </c>
      <c r="M13" s="31">
        <f>'FS Desroches Daily'!T15</f>
        <v>0.79999999999995453</v>
      </c>
      <c r="N13" s="31">
        <f>'FS Desroches Daily'!V15</f>
        <v>382.29999999998836</v>
      </c>
      <c r="O13" s="31">
        <f>'FS Desroches Daily'!X15</f>
        <v>290.00000000002046</v>
      </c>
      <c r="P13" s="31">
        <f>'FS Desroches Daily'!Z15</f>
        <v>2399.9999999997358</v>
      </c>
      <c r="Q13" s="31">
        <f>'FS Desroches Daily'!AB15</f>
        <v>230.00000000001819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559.99999999994543</v>
      </c>
      <c r="V13" s="35">
        <f>'FS Desroches Daily'!AL15</f>
        <v>230.00000000001819</v>
      </c>
      <c r="W13" s="35">
        <f>'FS Desroches Daily'!AN15</f>
        <v>150.00000000000568</v>
      </c>
      <c r="X13" s="35">
        <f>'FS Desroches Daily'!AP15</f>
        <v>140.00000000001478</v>
      </c>
      <c r="Y13" s="35">
        <f>'FS Desroches Daily'!AR15</f>
        <v>169.99999999998749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170.00000000001592</v>
      </c>
      <c r="AC13" s="35">
        <f>'FS Desroches Daily'!AZ15</f>
        <v>39.99999999996362</v>
      </c>
      <c r="AD13" s="35">
        <f>'FS Desroches Daily'!BB15</f>
        <v>20.000000000038654</v>
      </c>
      <c r="AE13" s="35">
        <f>'FS Desroches Daily'!BD15</f>
        <v>40.000000000020464</v>
      </c>
      <c r="AF13" s="31">
        <f>'FS Desroches Daily'!BF15</f>
        <v>29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23</v>
      </c>
      <c r="AM13" s="32">
        <f>'FS Desroches Daily'!BT15</f>
        <v>39.999999999992042</v>
      </c>
      <c r="AN13" s="32">
        <f>'FS Desroches Daily'!BV15</f>
        <v>49</v>
      </c>
      <c r="AO13" s="32">
        <f>'FS Desroches Daily'!BX15</f>
        <v>9.9999999999909051</v>
      </c>
      <c r="AP13" s="32">
        <f>'FS Desroches Daily'!BZ15</f>
        <v>36</v>
      </c>
      <c r="AQ13" s="31">
        <f>'FS Desroches Daily'!CB15</f>
        <v>31</v>
      </c>
      <c r="AR13" s="31">
        <f>'FS Desroches Daily'!CD15</f>
        <v>6.1000000000003638</v>
      </c>
      <c r="AS13" s="31">
        <f>'FS Desroches Daily'!CF15</f>
        <v>0.5</v>
      </c>
      <c r="AT13" s="31">
        <f>'FS Desroches Daily'!CH15</f>
        <v>57.700000000004366</v>
      </c>
      <c r="AU13" s="31">
        <f>'FS Desroches Daily'!CJ15</f>
        <v>265</v>
      </c>
      <c r="AV13" s="31">
        <f>'FS Desroches Daily'!CL15</f>
        <v>750</v>
      </c>
      <c r="AW13" s="31">
        <f>'FS Desroches Daily'!CM15</f>
        <v>61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2400.0000000001796</v>
      </c>
      <c r="F14" s="32">
        <f>'FS Desroches Daily'!F16</f>
        <v>2699.9999999999245</v>
      </c>
      <c r="G14" s="31">
        <f>'FS Desroches Daily'!H16</f>
        <v>2600.0000000001578</v>
      </c>
      <c r="H14" s="32">
        <f>'FS Desroches Daily'!J16</f>
        <v>1300.0000000000789</v>
      </c>
      <c r="I14" s="31">
        <f>'FS Desroches Daily'!L16</f>
        <v>2099.9999999999909</v>
      </c>
      <c r="J14" s="32">
        <f>'FS Desroches Daily'!N16</f>
        <v>1000.0000000001119</v>
      </c>
      <c r="K14" s="13">
        <f>'FS Desroches Daily'!P16</f>
        <v>11</v>
      </c>
      <c r="L14" s="31">
        <f>'FS Desroches Daily'!R16</f>
        <v>3</v>
      </c>
      <c r="M14" s="31">
        <f>'FS Desroches Daily'!T16</f>
        <v>0.70000000000004547</v>
      </c>
      <c r="N14" s="31">
        <f>'FS Desroches Daily'!V16</f>
        <v>312.90000000002328</v>
      </c>
      <c r="O14" s="31">
        <f>'FS Desroches Daily'!X16</f>
        <v>290.00000000002046</v>
      </c>
      <c r="P14" s="31">
        <f>'FS Desroches Daily'!Z16</f>
        <v>2400.0000000001796</v>
      </c>
      <c r="Q14" s="31">
        <f>'FS Desroches Daily'!AB16</f>
        <v>290.00000000002046</v>
      </c>
      <c r="R14" s="31">
        <f>'FS Desroches Daily'!AD16</f>
        <v>310.00000000000227</v>
      </c>
      <c r="S14" s="31">
        <f>'FS Desroches Daily'!AF16</f>
        <v>230.00000000001819</v>
      </c>
      <c r="T14" s="31">
        <f>'FS Desroches Daily'!AH16</f>
        <v>39</v>
      </c>
      <c r="U14" s="35">
        <f>'FS Desroches Daily'!AJ16</f>
        <v>740.00000000000909</v>
      </c>
      <c r="V14" s="35">
        <f>'FS Desroches Daily'!AL16</f>
        <v>239.99999999998067</v>
      </c>
      <c r="W14" s="35">
        <f>'FS Desroches Daily'!AN16</f>
        <v>159.99999999999659</v>
      </c>
      <c r="X14" s="35">
        <f>'FS Desroches Daily'!AP16</f>
        <v>169.99999999998749</v>
      </c>
      <c r="Y14" s="35">
        <f>'FS Desroches Daily'!AR16</f>
        <v>129.99999999999545</v>
      </c>
      <c r="Z14" s="35">
        <f>'FS Desroches Daily'!AT16</f>
        <v>209.99999999997954</v>
      </c>
      <c r="AA14" s="35">
        <f>'FS Desroches Daily'!AT16</f>
        <v>209.99999999997954</v>
      </c>
      <c r="AB14" s="35">
        <f>'FS Desroches Daily'!AV16</f>
        <v>240.00000000000909</v>
      </c>
      <c r="AC14" s="35">
        <f>'FS Desroches Daily'!AZ16</f>
        <v>40.000000000020464</v>
      </c>
      <c r="AD14" s="35">
        <f>'FS Desroches Daily'!BB16</f>
        <v>29.999999999972715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49.999999999982947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60.000000000002274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34</v>
      </c>
      <c r="AQ14" s="31">
        <f>'FS Desroches Daily'!CB16</f>
        <v>37.700000000004366</v>
      </c>
      <c r="AR14" s="31">
        <f>'FS Desroches Daily'!CD16</f>
        <v>3.3999999999996362</v>
      </c>
      <c r="AS14" s="31">
        <f>'FS Desroches Daily'!CF16</f>
        <v>5</v>
      </c>
      <c r="AT14" s="31">
        <f>'FS Desroches Daily'!CH16</f>
        <v>50.099999999998545</v>
      </c>
      <c r="AU14" s="31">
        <f>'FS Desroches Daily'!CJ16</f>
        <v>278</v>
      </c>
      <c r="AV14" s="31">
        <f>'FS Desroches Daily'!CL16</f>
        <v>679.99999999994998</v>
      </c>
      <c r="AW14" s="31">
        <f>'FS Desroches Daily'!CM16</f>
        <v>66</v>
      </c>
      <c r="AX14" s="31">
        <f>IF(LPG!F21-LPG!G21&lt;0,"0",(LPG!F21-LPG!G21)*1.8315)</f>
        <v>10175.814</v>
      </c>
      <c r="AY14" s="31">
        <f>IF(LPG!H21-LPG!H20&lt;0,"0",(LPG!H21-LPG!H20)*1.8315)</f>
        <v>14.651999999999999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2099.9999999999909</v>
      </c>
      <c r="F15" s="32">
        <f>'FS Desroches Daily'!F17</f>
        <v>2500.0000000003906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2099.9999999999909</v>
      </c>
      <c r="J15" s="32">
        <f>'FS Desroches Daily'!N17</f>
        <v>799.99999999991189</v>
      </c>
      <c r="K15" s="13">
        <f>'FS Desroches Daily'!P17</f>
        <v>9</v>
      </c>
      <c r="L15" s="31">
        <f>'FS Desroches Daily'!R17</f>
        <v>3</v>
      </c>
      <c r="M15" s="31">
        <f>'FS Desroches Daily'!T17</f>
        <v>0.79999999999995453</v>
      </c>
      <c r="N15" s="31">
        <f>'FS Desroches Daily'!V17</f>
        <v>324.89999999996508</v>
      </c>
      <c r="O15" s="31">
        <f>'FS Desroches Daily'!X17</f>
        <v>279.99999999997272</v>
      </c>
      <c r="P15" s="31">
        <f>'FS Desroches Daily'!Z17</f>
        <v>2199.9999999997576</v>
      </c>
      <c r="Q15" s="31">
        <f>'FS Desroches Daily'!AB17</f>
        <v>189.99999999999773</v>
      </c>
      <c r="R15" s="31">
        <f>'FS Desroches Daily'!AD17</f>
        <v>310.00000000000227</v>
      </c>
      <c r="S15" s="31">
        <f>'FS Desroches Daily'!AF17</f>
        <v>200.00000000004547</v>
      </c>
      <c r="T15" s="31">
        <f>'FS Desroches Daily'!AH17</f>
        <v>35</v>
      </c>
      <c r="U15" s="35">
        <f>'FS Desroches Daily'!AJ17</f>
        <v>529.99999999997272</v>
      </c>
      <c r="V15" s="35">
        <f>'FS Desroches Daily'!AL17</f>
        <v>260.00000000001933</v>
      </c>
      <c r="W15" s="35">
        <f>'FS Desroches Daily'!AN17</f>
        <v>139.99999999998636</v>
      </c>
      <c r="X15" s="35">
        <f>'FS Desroches Daily'!AP17</f>
        <v>170.00000000001592</v>
      </c>
      <c r="Y15" s="35">
        <f>'FS Desroches Daily'!AR17</f>
        <v>170.00000000001592</v>
      </c>
      <c r="Z15" s="35">
        <f>'FS Desroches Daily'!AT17</f>
        <v>200.00000000004547</v>
      </c>
      <c r="AA15" s="35">
        <f>'FS Desroches Daily'!AT17</f>
        <v>200.00000000004547</v>
      </c>
      <c r="AB15" s="35">
        <f>'FS Desroches Daily'!AV17</f>
        <v>209.99999999997954</v>
      </c>
      <c r="AC15" s="35">
        <f>'FS Desroches Daily'!AZ17</f>
        <v>29.999999999972715</v>
      </c>
      <c r="AD15" s="35">
        <f>'FS Desroches Daily'!BB17</f>
        <v>20.000000000038654</v>
      </c>
      <c r="AE15" s="35">
        <f>'FS Desroches Daily'!BD17</f>
        <v>30.000000000001137</v>
      </c>
      <c r="AF15" s="31">
        <f>'FS Desroches Daily'!BF17</f>
        <v>27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39.999999999992042</v>
      </c>
      <c r="AJ15" s="32">
        <f>'FS Desroches Daily'!BN17</f>
        <v>50.000000000011369</v>
      </c>
      <c r="AK15" s="32">
        <f>'FS Desroches Daily'!BP17</f>
        <v>60.000000000002274</v>
      </c>
      <c r="AL15" s="32">
        <f>'FS Desroches Daily'!BR17</f>
        <v>27</v>
      </c>
      <c r="AM15" s="32">
        <f>'FS Desroches Daily'!BT17</f>
        <v>40.000000000020464</v>
      </c>
      <c r="AN15" s="32">
        <f>'FS Desroches Daily'!BV17</f>
        <v>41</v>
      </c>
      <c r="AO15" s="32">
        <f>'FS Desroches Daily'!BX17</f>
        <v>9.9999999999909051</v>
      </c>
      <c r="AP15" s="32">
        <f>'FS Desroches Daily'!BZ17</f>
        <v>35</v>
      </c>
      <c r="AQ15" s="31">
        <f>'FS Desroches Daily'!CB17</f>
        <v>25.899999999994179</v>
      </c>
      <c r="AR15" s="31">
        <f>'FS Desroches Daily'!CD17</f>
        <v>7</v>
      </c>
      <c r="AS15" s="31">
        <f>'FS Desroches Daily'!CF17</f>
        <v>0.6000000000003638</v>
      </c>
      <c r="AT15" s="31">
        <f>'FS Desroches Daily'!CH17</f>
        <v>42.299999999995634</v>
      </c>
      <c r="AU15" s="31">
        <f>'FS Desroches Daily'!CJ17</f>
        <v>282</v>
      </c>
      <c r="AV15" s="31">
        <f>'FS Desroches Daily'!CL17</f>
        <v>800.00000000006821</v>
      </c>
      <c r="AW15" s="31">
        <f>'FS Desroches Daily'!CM17</f>
        <v>55</v>
      </c>
      <c r="AX15" s="31">
        <f>IF(LPG!F22-LPG!F21&lt;0,"0",(LPG!F22-LPG!F21)*1.8315)</f>
        <v>9.1574999999999989</v>
      </c>
      <c r="AY15" s="31" t="str">
        <f>IF(LPG!H22-LPG!H21&lt;0,"0",(LPG!H22-LPG!H21)*1.8315)</f>
        <v>0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9.1574999999999989</v>
      </c>
      <c r="BC15" s="13">
        <f>'FS Desroches Daily'!CN17</f>
        <v>12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2200.0000000002019</v>
      </c>
      <c r="F16" s="32">
        <f>'FS Desroches Daily'!F18</f>
        <v>2599.9999999997135</v>
      </c>
      <c r="G16" s="31">
        <f>'FS Desroches Daily'!H18</f>
        <v>2800.0000000001355</v>
      </c>
      <c r="H16" s="32">
        <f>'FS Desroches Daily'!J18</f>
        <v>1299.9999999998568</v>
      </c>
      <c r="I16" s="31">
        <f>'FS Desroches Daily'!L18</f>
        <v>2000.0000000002237</v>
      </c>
      <c r="J16" s="32">
        <f>'FS Desroches Daily'!N18</f>
        <v>900.0000000001229</v>
      </c>
      <c r="K16" s="13">
        <f>'FS Desroches Daily'!P18</f>
        <v>6</v>
      </c>
      <c r="L16" s="31">
        <f>'FS Desroches Daily'!R18</f>
        <v>3</v>
      </c>
      <c r="M16" s="31">
        <f>'FS Desroches Daily'!T18</f>
        <v>0.79999999999995453</v>
      </c>
      <c r="N16" s="31">
        <f>'FS Desroches Daily'!V18</f>
        <v>319.70000000001164</v>
      </c>
      <c r="O16" s="31">
        <f>'FS Desroches Daily'!X18</f>
        <v>310.00000000000227</v>
      </c>
      <c r="P16" s="31">
        <f>'FS Desroches Daily'!Z18</f>
        <v>2299.9999999999686</v>
      </c>
      <c r="Q16" s="31">
        <f>'FS Desroches Daily'!AB18</f>
        <v>339.99999999997499</v>
      </c>
      <c r="R16" s="31">
        <f>'FS Desroches Daily'!AD18</f>
        <v>280.00000000002956</v>
      </c>
      <c r="S16" s="31">
        <f>'FS Desroches Daily'!AF18</f>
        <v>199.99999999993179</v>
      </c>
      <c r="T16" s="31">
        <f>'FS Desroches Daily'!AH18</f>
        <v>35</v>
      </c>
      <c r="U16" s="35">
        <f>'FS Desroches Daily'!AJ18</f>
        <v>500</v>
      </c>
      <c r="V16" s="35">
        <f>'FS Desroches Daily'!AL18</f>
        <v>299.99999999998295</v>
      </c>
      <c r="W16" s="35">
        <f>'FS Desroches Daily'!AN18</f>
        <v>190.00000000002615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250</v>
      </c>
      <c r="AC16" s="35">
        <f>'FS Desroches Daily'!AZ18</f>
        <v>50.000000000011369</v>
      </c>
      <c r="AD16" s="35">
        <f>'FS Desroches Daily'!BB18</f>
        <v>19.99999999998181</v>
      </c>
      <c r="AE16" s="35">
        <f>'FS Desroches Daily'!BD18</f>
        <v>39.999999999992042</v>
      </c>
      <c r="AF16" s="31">
        <f>'FS Desroches Daily'!BF18</f>
        <v>21</v>
      </c>
      <c r="AG16" s="32">
        <f>'FS Desroches Daily'!BH18</f>
        <v>50.000000000011369</v>
      </c>
      <c r="AH16" s="32">
        <f>'FS Desroches Daily'!BJ18</f>
        <v>19.99999999998181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59.99999999994543</v>
      </c>
      <c r="AL16" s="32">
        <f>'FS Desroches Daily'!BR18</f>
        <v>25</v>
      </c>
      <c r="AM16" s="32">
        <f>'FS Desroches Daily'!BT18</f>
        <v>39.999999999992042</v>
      </c>
      <c r="AN16" s="32">
        <f>'FS Desroches Daily'!BV18</f>
        <v>44</v>
      </c>
      <c r="AO16" s="32">
        <f>'FS Desroches Daily'!BX18</f>
        <v>20.000000000010232</v>
      </c>
      <c r="AP16" s="32">
        <f>'FS Desroches Daily'!BZ18</f>
        <v>42</v>
      </c>
      <c r="AQ16" s="31">
        <f>'FS Desroches Daily'!CB18</f>
        <v>28.700000000004366</v>
      </c>
      <c r="AR16" s="31">
        <f>'FS Desroches Daily'!CD18</f>
        <v>5.5</v>
      </c>
      <c r="AS16" s="31">
        <f>'FS Desroches Daily'!CF18</f>
        <v>7</v>
      </c>
      <c r="AT16" s="31">
        <f>'FS Desroches Daily'!CH18</f>
        <v>56.5</v>
      </c>
      <c r="AU16" s="31">
        <f>'FS Desroches Daily'!CJ18</f>
        <v>285</v>
      </c>
      <c r="AV16" s="31">
        <f>'FS Desroches Daily'!CL18</f>
        <v>799.99999999995453</v>
      </c>
      <c r="AW16" s="31">
        <f>'FS Desroches Daily'!CM18</f>
        <v>88</v>
      </c>
      <c r="AX16" s="31">
        <f>IF(LPG!F23-LPG!F22&lt;0,"0",(LPG!F23-LPG!F22)*1.8315)</f>
        <v>14.651999999999999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1700.0000000000348</v>
      </c>
      <c r="F17" s="32">
        <f>'FS Desroches Daily'!F19</f>
        <v>2600.0000000001578</v>
      </c>
      <c r="G17" s="31">
        <f>'FS Desroches Daily'!H19</f>
        <v>2599.9999999997135</v>
      </c>
      <c r="H17" s="32">
        <f>'FS Desroches Daily'!J19</f>
        <v>1200.0000000000898</v>
      </c>
      <c r="I17" s="31">
        <f>'FS Desroches Daily'!L19</f>
        <v>1700.0000000000348</v>
      </c>
      <c r="J17" s="32">
        <f>'FS Desroches Daily'!N19</f>
        <v>899.99999999990087</v>
      </c>
      <c r="K17" s="13">
        <f>'FS Desroches Daily'!P19</f>
        <v>4</v>
      </c>
      <c r="L17" s="31">
        <f>'FS Desroches Daily'!R19</f>
        <v>2</v>
      </c>
      <c r="M17" s="31">
        <f>'FS Desroches Daily'!T19</f>
        <v>0.70000000000004547</v>
      </c>
      <c r="N17" s="31">
        <f>'FS Desroches Daily'!V19</f>
        <v>278</v>
      </c>
      <c r="O17" s="31">
        <f>'FS Desroches Daily'!X19</f>
        <v>220.00000000002728</v>
      </c>
      <c r="P17" s="31">
        <f>'FS Desroches Daily'!Z19</f>
        <v>2300.0000000004129</v>
      </c>
      <c r="Q17" s="31">
        <f>'FS Desroches Daily'!AB19</f>
        <v>319.99999999999318</v>
      </c>
      <c r="R17" s="31">
        <f>'FS Desroches Daily'!AD19</f>
        <v>219.99999999997044</v>
      </c>
      <c r="S17" s="31">
        <f>'FS Desroches Daily'!AF19</f>
        <v>210.00000000003638</v>
      </c>
      <c r="T17" s="31">
        <f>'FS Desroches Daily'!AH19</f>
        <v>32</v>
      </c>
      <c r="U17" s="35">
        <f>'FS Desroches Daily'!AJ19</f>
        <v>399.99999999997726</v>
      </c>
      <c r="V17" s="35">
        <f>'FS Desroches Daily'!AL19</f>
        <v>250</v>
      </c>
      <c r="W17" s="35">
        <f>'FS Desroches Daily'!AN19</f>
        <v>149.99999999997726</v>
      </c>
      <c r="X17" s="35">
        <f>'FS Desroches Daily'!AP19</f>
        <v>109.99999999998522</v>
      </c>
      <c r="Y17" s="35">
        <f>'FS Desroches Daily'!AR19</f>
        <v>109.99999999998522</v>
      </c>
      <c r="Z17" s="35">
        <f>'FS Desroches Daily'!AU20</f>
        <v>291.74</v>
      </c>
      <c r="AA17" s="35">
        <f>'FS Desroches Daily'!AU20</f>
        <v>291.74</v>
      </c>
      <c r="AB17" s="35">
        <f>'FS Desroches Daily'!AV19</f>
        <v>189.99999999999773</v>
      </c>
      <c r="AC17" s="35">
        <f>'FS Desroches Daily'!AZ19</f>
        <v>30.000000000029559</v>
      </c>
      <c r="AD17" s="35">
        <f>'FS Desroches Daily'!BB19</f>
        <v>29.999999999972715</v>
      </c>
      <c r="AE17" s="35">
        <f>'FS Desroches Daily'!BD19</f>
        <v>30.000000000001137</v>
      </c>
      <c r="AF17" s="31">
        <f>'FS Desroches Daily'!BF19</f>
        <v>35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16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36.400000000001455</v>
      </c>
      <c r="AR17" s="31">
        <f>'FS Desroches Daily'!CD19</f>
        <v>6</v>
      </c>
      <c r="AS17" s="31">
        <f>'FS Desroches Daily'!CF19</f>
        <v>5.3000000000001819</v>
      </c>
      <c r="AT17" s="31">
        <f>'FS Desroches Daily'!CH19</f>
        <v>50.200000000004366</v>
      </c>
      <c r="AU17" s="31">
        <f>'FS Desroches Daily'!CJ19</f>
        <v>269</v>
      </c>
      <c r="AV17" s="31">
        <f>'FS Desroches Daily'!CL19</f>
        <v>730.00000000001819</v>
      </c>
      <c r="AW17" s="31">
        <f>'FS Desroches Daily'!CM19</f>
        <v>62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1899.9999999995687</v>
      </c>
      <c r="F18" s="32">
        <f>'FS Desroches Daily'!F20</f>
        <v>2499.9999999999468</v>
      </c>
      <c r="G18" s="31">
        <f>'FS Desroches Daily'!H20</f>
        <v>2600.0000000001578</v>
      </c>
      <c r="H18" s="32">
        <f>'FS Desroches Daily'!J20</f>
        <v>1199.9999999998679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4</v>
      </c>
      <c r="L18" s="31">
        <f>'FS Desroches Daily'!R20</f>
        <v>2</v>
      </c>
      <c r="M18" s="31">
        <f>'FS Desroches Daily'!T20</f>
        <v>0.89999999999986358</v>
      </c>
      <c r="N18" s="31">
        <f>'FS Desroches Daily'!V20</f>
        <v>315</v>
      </c>
      <c r="O18" s="31">
        <f>'FS Desroches Daily'!X20</f>
        <v>229.99999999996135</v>
      </c>
      <c r="P18" s="31">
        <f>'FS Desroches Daily'!Z20</f>
        <v>2299.9999999999686</v>
      </c>
      <c r="Q18" s="31">
        <f>'FS Desroches Daily'!AB20</f>
        <v>160.00000000002501</v>
      </c>
      <c r="R18" s="31">
        <f>'FS Desroches Daily'!AD20</f>
        <v>199.99999999998863</v>
      </c>
      <c r="S18" s="31">
        <f>'FS Desroches Daily'!AF20</f>
        <v>179.99999999994998</v>
      </c>
      <c r="T18" s="31">
        <f>'FS Desroches Daily'!AH20</f>
        <v>34</v>
      </c>
      <c r="U18" s="35">
        <f>'FS Desroches Daily'!AJ20</f>
        <v>440.00000000005457</v>
      </c>
      <c r="V18" s="35">
        <f>'FS Desroches Daily'!AL20</f>
        <v>270.00000000001023</v>
      </c>
      <c r="W18" s="35">
        <f>'FS Desroches Daily'!AN20</f>
        <v>180.00000000000682</v>
      </c>
      <c r="X18" s="35">
        <f>'FS Desroches Daily'!AP20</f>
        <v>110.00000000001364</v>
      </c>
      <c r="Y18" s="35">
        <f>'FS Desroches Daily'!AR20</f>
        <v>110.00000000001364</v>
      </c>
      <c r="Z18" s="35">
        <f>'FS Desroches Daily'!AT20</f>
        <v>179.99999999994998</v>
      </c>
      <c r="AA18" s="35">
        <f>'FS Desroches Daily'!AT20</f>
        <v>179.99999999994998</v>
      </c>
      <c r="AB18" s="35">
        <f>'FS Desroches Daily'!AV20</f>
        <v>220.00000000002728</v>
      </c>
      <c r="AC18" s="35">
        <f>'FS Desroches Daily'!AZ20</f>
        <v>29.999999999972715</v>
      </c>
      <c r="AD18" s="35">
        <f>'FS Desroches Daily'!BB20</f>
        <v>20.000000000038654</v>
      </c>
      <c r="AE18" s="35">
        <f>'FS Desroches Daily'!BD20</f>
        <v>30.000000000001137</v>
      </c>
      <c r="AF18" s="31">
        <f>'FS Desroches Daily'!BF20</f>
        <v>27</v>
      </c>
      <c r="AG18" s="32">
        <f>'FS Desroches Daily'!BH20</f>
        <v>39.999999999992042</v>
      </c>
      <c r="AH18" s="32">
        <f>'FS Desroches Daily'!BJ20</f>
        <v>19.99999999998181</v>
      </c>
      <c r="AI18" s="32">
        <f>'FS Desroches Daily'!BL20</f>
        <v>30.000000000001137</v>
      </c>
      <c r="AJ18" s="32">
        <f>'FS Desroches Daily'!BN20</f>
        <v>30.000000000001137</v>
      </c>
      <c r="AK18" s="32">
        <f>'FS Desroches Daily'!BP20</f>
        <v>40.000000000020464</v>
      </c>
      <c r="AL18" s="32">
        <f>'FS Desroches Daily'!BR20</f>
        <v>19</v>
      </c>
      <c r="AM18" s="32">
        <f>'FS Desroches Daily'!BT20</f>
        <v>39.999999999992042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36</v>
      </c>
      <c r="AQ18" s="31">
        <f>'FS Desroches Daily'!CB20</f>
        <v>27.19999999999709</v>
      </c>
      <c r="AR18" s="31">
        <f>'FS Desroches Daily'!CD20</f>
        <v>6.2999999999992724</v>
      </c>
      <c r="AS18" s="31">
        <f>'FS Desroches Daily'!CF20</f>
        <v>0.5999999999994543</v>
      </c>
      <c r="AT18" s="31">
        <f>'FS Desroches Daily'!CH20</f>
        <v>53.5</v>
      </c>
      <c r="AU18" s="31">
        <f>'FS Desroches Daily'!CJ20</f>
        <v>270</v>
      </c>
      <c r="AV18" s="31">
        <f>'FS Desroches Daily'!CL20</f>
        <v>699.99999999993179</v>
      </c>
      <c r="AW18" s="31">
        <f>'FS Desroches Daily'!CM20</f>
        <v>63</v>
      </c>
      <c r="AX18" s="31">
        <f>IF(LPG!F25-LPG!F24&lt;0,"0",(LPG!F25-LPG!F24)*1.8315)</f>
        <v>16.483499999999999</v>
      </c>
      <c r="AY18" s="31">
        <f>IF(LPG!H25-LPG!H24&lt;0,"0",(LPG!H25-LPG!H24)*1.8315)</f>
        <v>5.4944999999999995</v>
      </c>
      <c r="AZ18" s="31">
        <f>IF(LPG!J25-LPG!J24&lt;0,"0",(LPG!J25-LPG!J24)*1.8315)</f>
        <v>3.6629999999999998</v>
      </c>
      <c r="BA18" s="31">
        <f>IF(LPG!M25-LPG!M24&lt;0,"0",(LPG!M25-LPG!M24)*1.8315)</f>
        <v>5.4944999999999995</v>
      </c>
      <c r="BB18" s="31">
        <f>IF(LPG!Q25-LPG!Q24&lt;0,"0",(LPG!Q25-LPG!Q24)*1.8315)</f>
        <v>10.988999999999999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1800.0000000002458</v>
      </c>
      <c r="F19" s="32">
        <f>'FS Desroches Daily'!F21</f>
        <v>2800.0000000001355</v>
      </c>
      <c r="G19" s="31">
        <f>'FS Desroches Daily'!H21</f>
        <v>2699.9999999999245</v>
      </c>
      <c r="H19" s="32">
        <f>'FS Desroches Daily'!J21</f>
        <v>1300.0000000000789</v>
      </c>
      <c r="I19" s="31">
        <f>'FS Desroches Daily'!L21</f>
        <v>1900.0000000000127</v>
      </c>
      <c r="J19" s="32">
        <f>'FS Desroches Daily'!N21</f>
        <v>800.00000000013392</v>
      </c>
      <c r="K19" s="13">
        <f>'FS Desroches Daily'!P21</f>
        <v>1</v>
      </c>
      <c r="L19" s="31">
        <f>'FS Desroches Daily'!R21</f>
        <v>3</v>
      </c>
      <c r="M19" s="31">
        <f>'FS Desroches Daily'!T21</f>
        <v>0.90000000000009095</v>
      </c>
      <c r="N19" s="31">
        <f>'FS Desroches Daily'!V21</f>
        <v>342.20000000001164</v>
      </c>
      <c r="O19" s="31">
        <f>'FS Desroches Daily'!X21</f>
        <v>290.00000000002046</v>
      </c>
      <c r="P19" s="31">
        <f>'FS Desroches Daily'!Z21</f>
        <v>2499.9999999999468</v>
      </c>
      <c r="Q19" s="31">
        <f>'FS Desroches Daily'!AB21</f>
        <v>339.99999999997499</v>
      </c>
      <c r="R19" s="31">
        <f>'FS Desroches Daily'!AD21</f>
        <v>220.00000000002728</v>
      </c>
      <c r="S19" s="31">
        <f>'FS Desroches Daily'!AF21</f>
        <v>180.00000000006366</v>
      </c>
      <c r="T19" s="31">
        <f>'FS Desroches Daily'!AH21</f>
        <v>31</v>
      </c>
      <c r="U19" s="35">
        <f>'FS Desroches Daily'!AJ21</f>
        <v>460.00000000003638</v>
      </c>
      <c r="V19" s="35">
        <f>'FS Desroches Daily'!AL21</f>
        <v>250</v>
      </c>
      <c r="W19" s="35">
        <f>'FS Desroches Daily'!AN21</f>
        <v>219.99999999999886</v>
      </c>
      <c r="X19" s="35">
        <f>'FS Desroches Daily'!AP21</f>
        <v>80.000000000012506</v>
      </c>
      <c r="Y19" s="35">
        <f>'FS Desroches Daily'!AR21</f>
        <v>109.99999999998522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139.99999999998636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23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40.000000000020464</v>
      </c>
      <c r="AK19" s="32">
        <f>'FS Desroches Daily'!BP21</f>
        <v>50.000000000011369</v>
      </c>
      <c r="AL19" s="32">
        <f>'FS Desroches Daily'!BR21</f>
        <v>33</v>
      </c>
      <c r="AM19" s="32">
        <f>'FS Desroches Daily'!BT21</f>
        <v>30.000000000001137</v>
      </c>
      <c r="AN19" s="32">
        <f>'FS Desroches Daily'!BV21</f>
        <v>44</v>
      </c>
      <c r="AO19" s="32">
        <f>'FS Desroches Daily'!BX21</f>
        <v>20.000000000010232</v>
      </c>
      <c r="AP19" s="32">
        <f>'FS Desroches Daily'!BZ21</f>
        <v>33</v>
      </c>
      <c r="AQ19" s="31">
        <f>'FS Desroches Daily'!CB21</f>
        <v>38.900000000001455</v>
      </c>
      <c r="AR19" s="31">
        <f>'FS Desroches Daily'!CD21</f>
        <v>6.8999999999996362</v>
      </c>
      <c r="AS19" s="31">
        <f>'FS Desroches Daily'!CF21</f>
        <v>6.8000000000001819</v>
      </c>
      <c r="AT19" s="31">
        <f>'FS Desroches Daily'!CH21</f>
        <v>50.299999999995634</v>
      </c>
      <c r="AU19" s="31">
        <f>'FS Desroches Daily'!CJ21</f>
        <v>282</v>
      </c>
      <c r="AV19" s="31">
        <f>'FS Desroches Daily'!CL21</f>
        <v>690.00000000005457</v>
      </c>
      <c r="AW19" s="31">
        <f>'FS Desroches Daily'!CM21</f>
        <v>69</v>
      </c>
      <c r="AX19" s="31">
        <f>IF(LPG!F26-LPG!F25&lt;0,"0",(LPG!F26-LPG!F25)*1.8315)</f>
        <v>1.8314999999999999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1.8314999999999999</v>
      </c>
      <c r="BC19" s="13">
        <f>'FS Desroches Daily'!CN21</f>
        <v>10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1700.0000000000348</v>
      </c>
      <c r="F20" s="32">
        <f>'FS Desroches Daily'!F22</f>
        <v>2599.9999999997135</v>
      </c>
      <c r="G20" s="31">
        <f>'FS Desroches Daily'!H22</f>
        <v>2600.0000000001578</v>
      </c>
      <c r="H20" s="32">
        <f>'FS Desroches Daily'!J22</f>
        <v>1300.0000000000789</v>
      </c>
      <c r="I20" s="31">
        <f>'FS Desroches Daily'!L22</f>
        <v>1999.9999999997797</v>
      </c>
      <c r="J20" s="32">
        <f>'FS Desroches Daily'!N22</f>
        <v>799.99999999991189</v>
      </c>
      <c r="K20" s="13">
        <f>'FS Desroches Daily'!P22</f>
        <v>7</v>
      </c>
      <c r="L20" s="31">
        <f>'FS Desroches Daily'!R22</f>
        <v>2</v>
      </c>
      <c r="M20" s="31">
        <f>'FS Desroches Daily'!T22</f>
        <v>0.70000000000004547</v>
      </c>
      <c r="N20" s="31">
        <f>'FS Desroches Daily'!V22</f>
        <v>343.09999999997672</v>
      </c>
      <c r="O20" s="31">
        <f>'FS Desroches Daily'!X22</f>
        <v>269.99999999998181</v>
      </c>
      <c r="P20" s="31">
        <f>'FS Desroches Daily'!Z22</f>
        <v>2399.9999999997358</v>
      </c>
      <c r="Q20" s="31">
        <f>'FS Desroches Daily'!AB22</f>
        <v>189.99999999999773</v>
      </c>
      <c r="R20" s="31">
        <f>'FS Desroches Daily'!AD22</f>
        <v>259.99999999999091</v>
      </c>
      <c r="S20" s="31">
        <f>'FS Desroches Daily'!AF22</f>
        <v>179.99999999994998</v>
      </c>
      <c r="T20" s="31">
        <f>'FS Desroches Daily'!AH22</f>
        <v>32</v>
      </c>
      <c r="U20" s="35">
        <f>'FS Desroches Daily'!AJ22</f>
        <v>459.99999999992269</v>
      </c>
      <c r="V20" s="35">
        <f>'FS Desroches Daily'!AL22</f>
        <v>180.00000000000682</v>
      </c>
      <c r="W20" s="35">
        <f>'FS Desroches Daily'!AN22</f>
        <v>170.00000000001592</v>
      </c>
      <c r="X20" s="35">
        <f>'FS Desroches Daily'!AP22</f>
        <v>109.99999999998522</v>
      </c>
      <c r="Y20" s="35">
        <f>'FS Desroches Daily'!AR22</f>
        <v>120.00000000000455</v>
      </c>
      <c r="Z20" s="35">
        <f>'FS Desroches Daily'!AT22</f>
        <v>100.00000000002274</v>
      </c>
      <c r="AA20" s="35">
        <f>'FS Desroches Daily'!AT22</f>
        <v>100.00000000002274</v>
      </c>
      <c r="AB20" s="35">
        <f>'FS Desroches Daily'!AV22</f>
        <v>90.000000000031832</v>
      </c>
      <c r="AC20" s="35">
        <f>'FS Desroches Daily'!AZ22</f>
        <v>39.99999999996362</v>
      </c>
      <c r="AD20" s="35">
        <f>'FS Desroches Daily'!BB22</f>
        <v>19.99999999998181</v>
      </c>
      <c r="AE20" s="35">
        <f>'FS Desroches Daily'!BD22</f>
        <v>39.999999999992042</v>
      </c>
      <c r="AF20" s="31">
        <f>'FS Desroches Daily'!BF22</f>
        <v>41</v>
      </c>
      <c r="AG20" s="32">
        <f>'FS Desroches Daily'!BH22</f>
        <v>39.999999999992042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89.999999999974989</v>
      </c>
      <c r="AL20" s="32">
        <f>'FS Desroches Daily'!BR22</f>
        <v>35</v>
      </c>
      <c r="AM20" s="32">
        <f>'FS Desroches Daily'!BT22</f>
        <v>39.999999999992042</v>
      </c>
      <c r="AN20" s="32">
        <f>'FS Desroches Daily'!BV22</f>
        <v>41</v>
      </c>
      <c r="AO20" s="32">
        <f>'FS Desroches Daily'!BX22</f>
        <v>19.99999999998181</v>
      </c>
      <c r="AP20" s="32">
        <f>'FS Desroches Daily'!BZ22</f>
        <v>36</v>
      </c>
      <c r="AQ20" s="31">
        <f>'FS Desroches Daily'!CB22</f>
        <v>36.099999999998545</v>
      </c>
      <c r="AR20" s="31">
        <f>'FS Desroches Daily'!CD22</f>
        <v>4.5</v>
      </c>
      <c r="AS20" s="31">
        <f>'FS Desroches Daily'!CF22</f>
        <v>0.6000000000003638</v>
      </c>
      <c r="AT20" s="31">
        <f>'FS Desroches Daily'!CH22</f>
        <v>49.700000000004366</v>
      </c>
      <c r="AU20" s="31">
        <f>'FS Desroches Daily'!CJ22</f>
        <v>272</v>
      </c>
      <c r="AV20" s="31">
        <f>'FS Desroches Daily'!CL22</f>
        <v>669.99999999995907</v>
      </c>
      <c r="AW20" s="31">
        <f>'FS Desroches Daily'!CM22</f>
        <v>62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9.1574999999999989</v>
      </c>
      <c r="BC20" s="13">
        <f>'FS Desroches Daily'!CN22</f>
        <v>10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1799.9999999998017</v>
      </c>
      <c r="F21" s="32">
        <f>'FS Desroches Daily'!F23</f>
        <v>2600.0000000001578</v>
      </c>
      <c r="G21" s="31">
        <f>'FS Desroches Daily'!H23</f>
        <v>2499.9999999999468</v>
      </c>
      <c r="H21" s="32">
        <f>'FS Desroches Daily'!J23</f>
        <v>1299.9999999998568</v>
      </c>
      <c r="I21" s="31">
        <f>'FS Desroches Daily'!L23</f>
        <v>2000.0000000002237</v>
      </c>
      <c r="J21" s="32">
        <f>'FS Desroches Daily'!N23</f>
        <v>900.0000000001229</v>
      </c>
      <c r="K21" s="13">
        <f>'FS Desroches Daily'!P23</f>
        <v>6</v>
      </c>
      <c r="L21" s="31">
        <f>'FS Desroches Daily'!R23</f>
        <v>3</v>
      </c>
      <c r="M21" s="31">
        <f>'FS Desroches Daily'!T23</f>
        <v>0.79999999999995453</v>
      </c>
      <c r="N21" s="31">
        <f>'FS Desroches Daily'!V23</f>
        <v>344.10000000003492</v>
      </c>
      <c r="O21" s="31">
        <f>'FS Desroches Daily'!X23</f>
        <v>240.00000000000909</v>
      </c>
      <c r="P21" s="31">
        <f>'FS Desroches Daily'!Z23</f>
        <v>2299.9999999999686</v>
      </c>
      <c r="Q21" s="31">
        <f>'FS Desroches Daily'!AB23</f>
        <v>300.00000000001137</v>
      </c>
      <c r="R21" s="31">
        <f>'FS Desroches Daily'!AD23</f>
        <v>259.99999999999091</v>
      </c>
      <c r="S21" s="31">
        <f>'FS Desroches Daily'!AF23</f>
        <v>230.00000000001819</v>
      </c>
      <c r="T21" s="31">
        <f>'FS Desroches Daily'!AH23</f>
        <v>33</v>
      </c>
      <c r="U21" s="35">
        <f>'FS Desroches Daily'!AJ23</f>
        <v>490.00000000000909</v>
      </c>
      <c r="V21" s="35">
        <f>'FS Desroches Daily'!AL23</f>
        <v>159.99999999999659</v>
      </c>
      <c r="W21" s="35">
        <f>'FS Desroches Daily'!AN23</f>
        <v>179.9999999999784</v>
      </c>
      <c r="X21" s="35">
        <f>'FS Desroches Daily'!AP23</f>
        <v>159.99999999999659</v>
      </c>
      <c r="Y21" s="35">
        <f>'FS Desroches Daily'!AR23</f>
        <v>129.99999999999545</v>
      </c>
      <c r="Z21" s="35">
        <f>'FS Desroches Daily'!AT23</f>
        <v>269.99999999998181</v>
      </c>
      <c r="AA21" s="35">
        <f>'FS Desroches Daily'!AT23</f>
        <v>269.99999999998181</v>
      </c>
      <c r="AB21" s="35">
        <f>'FS Desroches Daily'!AV23</f>
        <v>99.999999999965894</v>
      </c>
      <c r="AC21" s="35">
        <f>'FS Desroches Daily'!AZ23</f>
        <v>40.000000000020464</v>
      </c>
      <c r="AD21" s="35">
        <f>'FS Desroches Daily'!BB23</f>
        <v>20.000000000038654</v>
      </c>
      <c r="AE21" s="35">
        <f>'FS Desroches Daily'!BD23</f>
        <v>30.000000000001137</v>
      </c>
      <c r="AF21" s="31">
        <f>'FS Desroches Daily'!BF23</f>
        <v>29</v>
      </c>
      <c r="AG21" s="32">
        <f>'FS Desroches Daily'!BH23</f>
        <v>39.999999999992042</v>
      </c>
      <c r="AH21" s="32">
        <f>'FS Desroches Daily'!BJ23</f>
        <v>50.000000000011369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9.9999999999909051</v>
      </c>
      <c r="AL21" s="32">
        <f>'FS Desroches Daily'!BR23</f>
        <v>33</v>
      </c>
      <c r="AM21" s="32">
        <f>'FS Desroches Daily'!BT23</f>
        <v>40.000000000020464</v>
      </c>
      <c r="AN21" s="32">
        <f>'FS Desroches Daily'!BV23</f>
        <v>45</v>
      </c>
      <c r="AO21" s="32">
        <f>'FS Desroches Daily'!BX23</f>
        <v>20.000000000010232</v>
      </c>
      <c r="AP21" s="32">
        <f>'FS Desroches Daily'!BZ23</f>
        <v>34</v>
      </c>
      <c r="AQ21" s="31">
        <f>'FS Desroches Daily'!CB23</f>
        <v>37.5</v>
      </c>
      <c r="AR21" s="31">
        <f>'FS Desroches Daily'!CD23</f>
        <v>10.400000000001455</v>
      </c>
      <c r="AS21" s="31">
        <f>'FS Desroches Daily'!CF23</f>
        <v>9</v>
      </c>
      <c r="AT21" s="31">
        <f>'FS Desroches Daily'!CH23</f>
        <v>45.900000000001455</v>
      </c>
      <c r="AU21" s="31">
        <f>'FS Desroches Daily'!CJ23</f>
        <v>272</v>
      </c>
      <c r="AV21" s="31">
        <f>'FS Desroches Daily'!CL23</f>
        <v>570.00000000005002</v>
      </c>
      <c r="AW21" s="31">
        <f>'FS Desroches Daily'!CM23</f>
        <v>58</v>
      </c>
      <c r="AX21" s="31" t="str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1.8314999999999999</v>
      </c>
      <c r="BA21" s="31">
        <f>IF(LPG!M28-LPG!M27&lt;0,"0",(LPG!M28-LPG!M27)*1.8315)</f>
        <v>0</v>
      </c>
      <c r="BB21" s="31">
        <f>IF(LPG!Q28-LPG!Q27&lt;0,"0",(LPG!Q28-LPG!Q27)*1.8315)</f>
        <v>9.1574999999999989</v>
      </c>
      <c r="BC21" s="13">
        <f>'FS Desroches Daily'!CN23</f>
        <v>13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1700.0000000000348</v>
      </c>
      <c r="F22" s="32">
        <f>'FS Desroches Daily'!F24</f>
        <v>3000.0000000001137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1999.9999999997797</v>
      </c>
      <c r="J22" s="32">
        <f>'FS Desroches Daily'!N24</f>
        <v>799.99999999991189</v>
      </c>
      <c r="K22" s="13">
        <f>'FS Desroches Daily'!P24</f>
        <v>13</v>
      </c>
      <c r="L22" s="31">
        <f>'FS Desroches Daily'!R24</f>
        <v>3</v>
      </c>
      <c r="M22" s="31">
        <f>'FS Desroches Daily'!T24</f>
        <v>0.90000000000009095</v>
      </c>
      <c r="N22" s="31">
        <f>'FS Desroches Daily'!V24</f>
        <v>350.09999999997672</v>
      </c>
      <c r="O22" s="31">
        <f>'FS Desroches Daily'!X24</f>
        <v>269.99999999998181</v>
      </c>
      <c r="P22" s="31">
        <f>'FS Desroches Daily'!Z24</f>
        <v>2700.0000000003688</v>
      </c>
      <c r="Q22" s="31">
        <f>'FS Desroches Daily'!AB24</f>
        <v>180.00000000000682</v>
      </c>
      <c r="R22" s="31">
        <f>'FS Desroches Daily'!AD24</f>
        <v>310.00000000000227</v>
      </c>
      <c r="S22" s="31">
        <f>'FS Desroches Daily'!AF24</f>
        <v>240.00000000000909</v>
      </c>
      <c r="T22" s="31">
        <f>'FS Desroches Daily'!AH24</f>
        <v>32</v>
      </c>
      <c r="U22" s="35">
        <f>'FS Desroches Daily'!AJ24</f>
        <v>540.00000000007731</v>
      </c>
      <c r="V22" s="35">
        <f>'FS Desroches Daily'!AL24</f>
        <v>189.99999999999773</v>
      </c>
      <c r="W22" s="35">
        <f>'FS Desroches Daily'!AN24</f>
        <v>120.00000000000455</v>
      </c>
      <c r="X22" s="35">
        <f>'FS Desroches Daily'!AP24</f>
        <v>129.99999999999545</v>
      </c>
      <c r="Y22" s="35">
        <f>'FS Desroches Daily'!AR24</f>
        <v>120.00000000000455</v>
      </c>
      <c r="Z22" s="35">
        <f>'FS Desroches Daily'!AT24</f>
        <v>139.99999999998636</v>
      </c>
      <c r="AA22" s="35">
        <f>'FS Desroches Daily'!AT24</f>
        <v>139.99999999998636</v>
      </c>
      <c r="AB22" s="35">
        <f>'FS Desroches Daily'!AV24</f>
        <v>90.000000000031832</v>
      </c>
      <c r="AC22" s="35">
        <f>'FS Desroches Daily'!AZ24</f>
        <v>19.99999999998181</v>
      </c>
      <c r="AD22" s="35">
        <f>'FS Desroches Daily'!BB24</f>
        <v>9.9999999999909051</v>
      </c>
      <c r="AE22" s="35">
        <f>'FS Desroches Daily'!BD24</f>
        <v>19.99999999998181</v>
      </c>
      <c r="AF22" s="31">
        <f>'FS Desroches Daily'!BF24</f>
        <v>45</v>
      </c>
      <c r="AG22" s="32">
        <f>'FS Desroches Daily'!BH24</f>
        <v>39.999999999992042</v>
      </c>
      <c r="AH22" s="32">
        <f>'FS Desroches Daily'!BJ24</f>
        <v>19.99999999998181</v>
      </c>
      <c r="AI22" s="32">
        <f>'FS Desroches Daily'!BL24</f>
        <v>30.000000000001137</v>
      </c>
      <c r="AJ22" s="32">
        <f>'FS Desroches Daily'!BN24</f>
        <v>39.999999999992042</v>
      </c>
      <c r="AK22" s="32">
        <f>'FS Desroches Daily'!BP24</f>
        <v>50.000000000011369</v>
      </c>
      <c r="AL22" s="32">
        <f>'FS Desroches Daily'!BR24</f>
        <v>32</v>
      </c>
      <c r="AM22" s="32">
        <f>'FS Desroches Daily'!BT24</f>
        <v>39.999999999992042</v>
      </c>
      <c r="AN22" s="32">
        <f>'FS Desroches Daily'!BV24</f>
        <v>40</v>
      </c>
      <c r="AO22" s="32">
        <f>'FS Desroches Daily'!BX24</f>
        <v>19.99999999998181</v>
      </c>
      <c r="AP22" s="32">
        <f>'FS Desroches Daily'!BZ24</f>
        <v>24</v>
      </c>
      <c r="AQ22" s="31">
        <f>'FS Desroches Daily'!CB24</f>
        <v>35.69999999999709</v>
      </c>
      <c r="AR22" s="31">
        <f>'FS Desroches Daily'!CD24</f>
        <v>7.5</v>
      </c>
      <c r="AS22" s="31">
        <f>'FS Desroches Daily'!CF24</f>
        <v>0.5999999999994543</v>
      </c>
      <c r="AT22" s="31">
        <f>'FS Desroches Daily'!CH24</f>
        <v>42.19999999999709</v>
      </c>
      <c r="AU22" s="31">
        <f>'FS Desroches Daily'!CJ24</f>
        <v>276</v>
      </c>
      <c r="AV22" s="31">
        <f>'FS Desroches Daily'!CL24</f>
        <v>679.99999999994998</v>
      </c>
      <c r="AW22" s="31">
        <f>'FS Desroches Daily'!CM24</f>
        <v>48</v>
      </c>
      <c r="AX22" s="31">
        <f>IF(LPG!F29-LPG!F28&lt;0,"0",(LPG!F29-LPG!F28)*1.8315)</f>
        <v>23.8095</v>
      </c>
      <c r="AY22" s="31">
        <f>IF(LPG!H29-LPG!H28&lt;0,"0",(LPG!H29-LPG!H28)*1.8315)</f>
        <v>1.8314999999999999</v>
      </c>
      <c r="AZ22" s="31">
        <f>IF(LPG!J29-LPG!J28&lt;0,"0",(LPG!J29-LPG!J28)*1.8315)</f>
        <v>1.8314999999999999</v>
      </c>
      <c r="BA22" s="31">
        <f>IF(LPG!M29-LPG!M28&lt;0,"0",(LPG!M29-LPG!M28)*1.8315)</f>
        <v>3.6629999999999998</v>
      </c>
      <c r="BB22" s="31">
        <f>IF(LPG!Q29-LPG!Q28&lt;0,"0",(LPG!Q29-LPG!Q28)*1.8315)</f>
        <v>5.4944999999999995</v>
      </c>
      <c r="BC22" s="13">
        <f>'FS Desroches Daily'!CN24</f>
        <v>15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1600.0000000002678</v>
      </c>
      <c r="F23" s="32">
        <f>'FS Desroches Daily'!F25</f>
        <v>2599.9999999997135</v>
      </c>
      <c r="G23" s="31">
        <f>'FS Desroches Daily'!H25</f>
        <v>2400.0000000001796</v>
      </c>
      <c r="H23" s="32">
        <f>'FS Desroches Daily'!J25</f>
        <v>1300.0000000000789</v>
      </c>
      <c r="I23" s="31">
        <f>'FS Desroches Daily'!L25</f>
        <v>2000.0000000002237</v>
      </c>
      <c r="J23" s="32">
        <f>'FS Desroches Daily'!N25</f>
        <v>899.99999999990087</v>
      </c>
      <c r="K23" s="13">
        <f>'FS Desroches Daily'!P25</f>
        <v>6</v>
      </c>
      <c r="L23" s="31">
        <f>'FS Desroches Daily'!R25</f>
        <v>4</v>
      </c>
      <c r="M23" s="31">
        <f>'FS Desroches Daily'!T25</f>
        <v>0.59999999999990905</v>
      </c>
      <c r="N23" s="31">
        <f>'FS Desroches Daily'!V25</f>
        <v>265.20000000001164</v>
      </c>
      <c r="O23" s="31">
        <f>'FS Desroches Daily'!X25</f>
        <v>310.00000000000227</v>
      </c>
      <c r="P23" s="31">
        <f>'FS Desroches Daily'!Z25</f>
        <v>2199.9999999997576</v>
      </c>
      <c r="Q23" s="31">
        <f>'FS Desroches Daily'!AB25</f>
        <v>300.00000000001137</v>
      </c>
      <c r="R23" s="31">
        <f>'FS Desroches Daily'!AD25</f>
        <v>270.00000000003865</v>
      </c>
      <c r="S23" s="31">
        <f>'FS Desroches Daily'!AF25</f>
        <v>230.00000000001819</v>
      </c>
      <c r="T23" s="31">
        <f>'FS Desroches Daily'!AH25</f>
        <v>27</v>
      </c>
      <c r="U23" s="35">
        <f>'FS Desroches Daily'!AJ25</f>
        <v>509.99999999999091</v>
      </c>
      <c r="V23" s="35">
        <f>'FS Desroches Daily'!AL25</f>
        <v>199.99999999998863</v>
      </c>
      <c r="W23" s="35">
        <f>'FS Desroches Daily'!AN25</f>
        <v>150.00000000000568</v>
      </c>
      <c r="X23" s="35">
        <f>'FS Desroches Daily'!AP25</f>
        <v>130.00000000002387</v>
      </c>
      <c r="Y23" s="35">
        <f>'FS Desroches Daily'!AR25</f>
        <v>90.000000000003411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60.000000000002274</v>
      </c>
      <c r="AC23" s="35">
        <f>'FS Desroches Daily'!AZ25</f>
        <v>20.000000000038654</v>
      </c>
      <c r="AD23" s="35">
        <f>'FS Desroches Daily'!BB25</f>
        <v>29.999999999972715</v>
      </c>
      <c r="AE23" s="35">
        <f>'FS Desroches Daily'!BD25</f>
        <v>20.000000000010232</v>
      </c>
      <c r="AF23" s="31">
        <f>'FS Desroches Daily'!BF25</f>
        <v>39</v>
      </c>
      <c r="AG23" s="32">
        <f>'FS Desroches Daily'!BH25</f>
        <v>40.000000000020464</v>
      </c>
      <c r="AH23" s="32">
        <f>'FS Desroches Daily'!BJ25</f>
        <v>29.999999999972715</v>
      </c>
      <c r="AI23" s="32">
        <f>'FS Desroches Daily'!BL25</f>
        <v>50.000000000011369</v>
      </c>
      <c r="AJ23" s="32">
        <f>'FS Desroches Daily'!BN25</f>
        <v>40.000000000020464</v>
      </c>
      <c r="AK23" s="32">
        <f>'FS Desroches Daily'!BP25</f>
        <v>50.000000000011369</v>
      </c>
      <c r="AL23" s="32">
        <f>'FS Desroches Daily'!BR25</f>
        <v>30</v>
      </c>
      <c r="AM23" s="32">
        <f>'FS Desroches Daily'!BT25</f>
        <v>39.999999999992042</v>
      </c>
      <c r="AN23" s="32">
        <f>'FS Desroches Daily'!BV25</f>
        <v>39</v>
      </c>
      <c r="AO23" s="32">
        <f>'FS Desroches Daily'!BX25</f>
        <v>30.000000000001137</v>
      </c>
      <c r="AP23" s="32">
        <f>'FS Desroches Daily'!BZ25</f>
        <v>26</v>
      </c>
      <c r="AQ23" s="31">
        <f>'FS Desroches Daily'!CB25</f>
        <v>43.700000000004366</v>
      </c>
      <c r="AR23" s="31">
        <f>'FS Desroches Daily'!CD25</f>
        <v>5</v>
      </c>
      <c r="AS23" s="31">
        <f>'FS Desroches Daily'!CF25</f>
        <v>5.5</v>
      </c>
      <c r="AT23" s="31">
        <f>'FS Desroches Daily'!CH25</f>
        <v>53.30000000000291</v>
      </c>
      <c r="AU23" s="31">
        <f>'FS Desroches Daily'!CJ25</f>
        <v>267</v>
      </c>
      <c r="AV23" s="31">
        <f>'FS Desroches Daily'!CL25</f>
        <v>570.00000000005002</v>
      </c>
      <c r="AW23" s="31">
        <f>'FS Desroches Daily'!CM25</f>
        <v>54</v>
      </c>
      <c r="AX23" s="31">
        <f>IF(LPG!F30-LPG!F29&lt;0,"0",(LPG!F30-LPG!F29)*1.8315)</f>
        <v>9.1574999999999989</v>
      </c>
      <c r="AY23" s="31">
        <f>IF(LPG!H30-LPG!H29&lt;0,"0",(LPG!H30-LPG!H29)*1.8315)</f>
        <v>5.4944999999999995</v>
      </c>
      <c r="AZ23" s="31">
        <f>IF(LPG!J30-LPG!J29&lt;0,"0",(LPG!J30-LPG!J29)*1.8315)</f>
        <v>3.6629999999999998</v>
      </c>
      <c r="BA23" s="31">
        <f>IF(LPG!M30-LPG!M29&lt;0,"0",(LPG!M30-LPG!M29)*1.8315)</f>
        <v>1.8314999999999999</v>
      </c>
      <c r="BB23" s="31">
        <f>IF(LPG!Q30-LPG!Q29&lt;0,"0",(LPG!Q30-LPG!Q29)*1.8315)</f>
        <v>9.1574999999999989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1700.0000000000348</v>
      </c>
      <c r="F24" s="32">
        <f>'FS Desroches Daily'!F26</f>
        <v>2499.9999999999468</v>
      </c>
      <c r="G24" s="31">
        <f>'FS Desroches Daily'!H26</f>
        <v>2399.9999999997358</v>
      </c>
      <c r="H24" s="32">
        <f>'FS Desroches Daily'!J26</f>
        <v>1299.9999999998568</v>
      </c>
      <c r="I24" s="31">
        <f>'FS Desroches Daily'!L26</f>
        <v>1799.9999999998017</v>
      </c>
      <c r="J24" s="32">
        <f>'FS Desroches Daily'!N26</f>
        <v>1000.0000000001119</v>
      </c>
      <c r="K24" s="13">
        <f>'FS Desroches Daily'!P26</f>
        <v>7</v>
      </c>
      <c r="L24" s="31">
        <f>'FS Desroches Daily'!R26</f>
        <v>2</v>
      </c>
      <c r="M24" s="31">
        <f>'FS Desroches Daily'!T26</f>
        <v>0.70000000000004547</v>
      </c>
      <c r="N24" s="31">
        <f>'FS Desroches Daily'!V26</f>
        <v>300.5</v>
      </c>
      <c r="O24" s="31">
        <f>'FS Desroches Daily'!X26</f>
        <v>260.00000000004775</v>
      </c>
      <c r="P24" s="31">
        <f>'FS Desroches Daily'!Z26</f>
        <v>2099.9999999999909</v>
      </c>
      <c r="Q24" s="31">
        <f>'FS Desroches Daily'!AB26</f>
        <v>289.99999999996362</v>
      </c>
      <c r="R24" s="31">
        <f>'FS Desroches Daily'!AD26</f>
        <v>259.99999999999091</v>
      </c>
      <c r="S24" s="31">
        <f>'FS Desroches Daily'!AF26</f>
        <v>289.99999999996362</v>
      </c>
      <c r="T24" s="31">
        <f>'FS Desroches Daily'!AH26</f>
        <v>28</v>
      </c>
      <c r="U24" s="35">
        <f>'FS Desroches Daily'!AJ26</f>
        <v>509.99999999999091</v>
      </c>
      <c r="V24" s="35">
        <f>'FS Desroches Daily'!AL26</f>
        <v>159.99999999999659</v>
      </c>
      <c r="W24" s="35">
        <f>'FS Desroches Daily'!AN26</f>
        <v>150.00000000000568</v>
      </c>
      <c r="X24" s="35">
        <f>'FS Desroches Daily'!AP26</f>
        <v>119.99999999997613</v>
      </c>
      <c r="Y24" s="35">
        <f>'FS Desroches Daily'!AR26</f>
        <v>109.99999999998522</v>
      </c>
      <c r="Z24" s="35">
        <f>'FS Desroches Daily'!AT26</f>
        <v>159.99999999996817</v>
      </c>
      <c r="AA24" s="35">
        <f>'FS Desroches Daily'!AT26</f>
        <v>159.99999999996817</v>
      </c>
      <c r="AB24" s="35">
        <f>'FS Desroches Daily'!AV26</f>
        <v>89.999999999974989</v>
      </c>
      <c r="AC24" s="35">
        <f>'FS Desroches Daily'!AZ26</f>
        <v>39.99999999996362</v>
      </c>
      <c r="AD24" s="35">
        <f>'FS Desroches Daily'!BB26</f>
        <v>20.000000000038654</v>
      </c>
      <c r="AE24" s="35">
        <f>'FS Desroches Daily'!BD26</f>
        <v>30.000000000001137</v>
      </c>
      <c r="AF24" s="31">
        <f>'FS Desroches Daily'!BF26</f>
        <v>40</v>
      </c>
      <c r="AG24" s="32">
        <f>'FS Desroches Daily'!BH26</f>
        <v>49.999999999982947</v>
      </c>
      <c r="AH24" s="32">
        <f>'FS Desroches Daily'!BJ26</f>
        <v>30.000000000029559</v>
      </c>
      <c r="AI24" s="32">
        <f>'FS Desroches Daily'!BL26</f>
        <v>30.000000000001137</v>
      </c>
      <c r="AJ24" s="32">
        <f>'FS Desroches Daily'!BN26</f>
        <v>39.999999999992042</v>
      </c>
      <c r="AK24" s="32">
        <f>'FS Desroches Daily'!BP26</f>
        <v>50.000000000011369</v>
      </c>
      <c r="AL24" s="32">
        <f>'FS Desroches Daily'!BR26</f>
        <v>28</v>
      </c>
      <c r="AM24" s="32">
        <f>'FS Desroches Daily'!BT26</f>
        <v>30.000000000001137</v>
      </c>
      <c r="AN24" s="32">
        <f>'FS Desroches Daily'!BV26</f>
        <v>40</v>
      </c>
      <c r="AO24" s="32">
        <f>'FS Desroches Daily'!BX26</f>
        <v>30.000000000001137</v>
      </c>
      <c r="AP24" s="32">
        <f>'FS Desroches Daily'!BZ26</f>
        <v>27</v>
      </c>
      <c r="AQ24" s="31">
        <f>'FS Desroches Daily'!CB26</f>
        <v>39</v>
      </c>
      <c r="AR24" s="31">
        <f>'FS Desroches Daily'!CD26</f>
        <v>5</v>
      </c>
      <c r="AS24" s="31">
        <f>'FS Desroches Daily'!CF26</f>
        <v>2.6999999999998181</v>
      </c>
      <c r="AT24" s="31">
        <f>'FS Desroches Daily'!CH26</f>
        <v>47.799999999995634</v>
      </c>
      <c r="AU24" s="31">
        <f>'FS Desroches Daily'!CJ26</f>
        <v>290</v>
      </c>
      <c r="AV24" s="31">
        <f>'FS Desroches Daily'!CL26</f>
        <v>610.00000000001364</v>
      </c>
      <c r="AW24" s="31">
        <f>'FS Desroches Daily'!CM26</f>
        <v>58</v>
      </c>
      <c r="AX24" s="31">
        <f>IF(LPG!F31-LPG!F30&lt;0,"0",(LPG!F31-LPG!F30)*1.8315)</f>
        <v>9.1574999999999989</v>
      </c>
      <c r="AY24" s="31">
        <f>IF(LPG!H31-LPG!H30&lt;0,"0",(LPG!H31-LPG!H30)*1.8315)</f>
        <v>5.4944999999999995</v>
      </c>
      <c r="AZ24" s="31">
        <f>IF(LPG!J31-LPG!J30&lt;0,"0",(LPG!J31-LPG!J30)*1.8315)</f>
        <v>7.3259999999999996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1799.9999999998017</v>
      </c>
      <c r="F25" s="32">
        <f>'FS Desroches Daily'!F27</f>
        <v>2800.0000000001355</v>
      </c>
      <c r="G25" s="31">
        <f>'FS Desroches Daily'!H27</f>
        <v>2800.0000000001355</v>
      </c>
      <c r="H25" s="32">
        <f>'FS Desroches Daily'!J27</f>
        <v>1400.0000000000678</v>
      </c>
      <c r="I25" s="31">
        <f>'FS Desroches Daily'!L27</f>
        <v>2099.9999999999909</v>
      </c>
      <c r="J25" s="32">
        <f>'FS Desroches Daily'!N27</f>
        <v>799.99999999991189</v>
      </c>
      <c r="K25" s="13">
        <f>'FS Desroches Daily'!P27</f>
        <v>5</v>
      </c>
      <c r="L25" s="31">
        <f>'FS Desroches Daily'!R27</f>
        <v>3</v>
      </c>
      <c r="M25" s="31">
        <f>'FS Desroches Daily'!T27</f>
        <v>0.79999999999995453</v>
      </c>
      <c r="N25" s="31">
        <f>'FS Desroches Daily'!V27</f>
        <v>316.70000000001164</v>
      </c>
      <c r="O25" s="31">
        <f>'FS Desroches Daily'!X27</f>
        <v>279.99999999997272</v>
      </c>
      <c r="P25" s="31">
        <f>'FS Desroches Daily'!Z27</f>
        <v>2800.0000000001355</v>
      </c>
      <c r="Q25" s="31">
        <f>'FS Desroches Daily'!AB27</f>
        <v>220.00000000002728</v>
      </c>
      <c r="R25" s="31">
        <f>'FS Desroches Daily'!AD27</f>
        <v>289.99999999996362</v>
      </c>
      <c r="S25" s="31">
        <f>'FS Desroches Daily'!AF27</f>
        <v>210.00000000003638</v>
      </c>
      <c r="T25" s="31">
        <f>'FS Desroches Daily'!AH27</f>
        <v>31</v>
      </c>
      <c r="U25" s="35">
        <f>'FS Desroches Daily'!AJ27</f>
        <v>529.99999999997272</v>
      </c>
      <c r="V25" s="35">
        <f>'FS Desroches Daily'!AL27</f>
        <v>159.99999999999659</v>
      </c>
      <c r="W25" s="35">
        <f>'FS Desroches Daily'!AN27</f>
        <v>150.00000000000568</v>
      </c>
      <c r="X25" s="35">
        <f>'FS Desroches Daily'!AP27</f>
        <v>140.00000000001478</v>
      </c>
      <c r="Y25" s="35">
        <f>'FS Desroches Daily'!AR27</f>
        <v>129.99999999999545</v>
      </c>
      <c r="Z25" s="35">
        <f>'FS Desroches Daily'!AT27</f>
        <v>170.00000000001592</v>
      </c>
      <c r="AA25" s="35">
        <f>'FS Desroches Daily'!AT27</f>
        <v>170.00000000001592</v>
      </c>
      <c r="AB25" s="35">
        <f>'FS Desroches Daily'!AV27</f>
        <v>100.00000000002274</v>
      </c>
      <c r="AC25" s="35">
        <f>'FS Desroches Daily'!AZ27</f>
        <v>40.000000000020464</v>
      </c>
      <c r="AD25" s="35">
        <f>'FS Desroches Daily'!BB27</f>
        <v>19.99999999998181</v>
      </c>
      <c r="AE25" s="35">
        <f>'FS Desroches Daily'!BD27</f>
        <v>30.000000000001137</v>
      </c>
      <c r="AF25" s="31">
        <f>'FS Desroches Daily'!BF27</f>
        <v>40</v>
      </c>
      <c r="AG25" s="32">
        <f>'FS Desroches Daily'!BH27</f>
        <v>50.000000000011369</v>
      </c>
      <c r="AH25" s="32">
        <f>'FS Desroches Daily'!BJ27</f>
        <v>29.999999999972715</v>
      </c>
      <c r="AI25" s="32">
        <f>'FS Desroches Daily'!BL27</f>
        <v>49.999999999982947</v>
      </c>
      <c r="AJ25" s="32">
        <f>'FS Desroches Daily'!BN27</f>
        <v>39.999999999992042</v>
      </c>
      <c r="AK25" s="32">
        <f>'FS Desroches Daily'!BP27</f>
        <v>60.000000000002274</v>
      </c>
      <c r="AL25" s="32">
        <f>'FS Desroches Daily'!BR27</f>
        <v>32</v>
      </c>
      <c r="AM25" s="32">
        <f>'FS Desroches Daily'!BT27</f>
        <v>30.000000000001137</v>
      </c>
      <c r="AN25" s="32">
        <f>'FS Desroches Daily'!BV27</f>
        <v>47</v>
      </c>
      <c r="AO25" s="32">
        <f>'FS Desroches Daily'!BX27</f>
        <v>40.000000000020464</v>
      </c>
      <c r="AP25" s="32">
        <f>'FS Desroches Daily'!BZ27</f>
        <v>29</v>
      </c>
      <c r="AQ25" s="31">
        <f>'FS Desroches Daily'!CB27</f>
        <v>35</v>
      </c>
      <c r="AR25" s="31">
        <f>'FS Desroches Daily'!CD27</f>
        <v>8.0999999999985448</v>
      </c>
      <c r="AS25" s="31">
        <f>'FS Desroches Daily'!CF27</f>
        <v>0.6000000000003638</v>
      </c>
      <c r="AT25" s="31">
        <f>'FS Desroches Daily'!CH27</f>
        <v>61.400000000001455</v>
      </c>
      <c r="AU25" s="31">
        <f>'FS Desroches Daily'!CJ27</f>
        <v>290</v>
      </c>
      <c r="AV25" s="31">
        <f>'FS Desroches Daily'!CL27</f>
        <v>829.99999999992724</v>
      </c>
      <c r="AW25" s="31">
        <f>'FS Desroches Daily'!CM27</f>
        <v>59</v>
      </c>
      <c r="AX25" s="31">
        <f>IF(LPG!F32-LPG!F31&lt;0,"0",(LPG!F32-LPG!F31)*1.8315)</f>
        <v>9.1574999999999989</v>
      </c>
      <c r="AY25" s="31">
        <f>IF(LPG!H32-LPG!H31&lt;0,"0",(LPG!H32-LPG!H31)*1.8315)</f>
        <v>1.8314999999999999</v>
      </c>
      <c r="AZ25" s="31">
        <f>IF(LPG!J32-LPG!J31&lt;0,"0",(LPG!J32-LPG!J31)*1.8315)</f>
        <v>1.8314999999999999</v>
      </c>
      <c r="BA25" s="31">
        <f>IF(LPG!M32-LPG!M31&lt;0,"0",(LPG!M32-LPG!M31)*1.8315)</f>
        <v>1.8314999999999999</v>
      </c>
      <c r="BB25" s="31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1599.9999999998238</v>
      </c>
      <c r="F26" s="32">
        <f>'FS Desroches Daily'!F28</f>
        <v>2499.9999999999468</v>
      </c>
      <c r="G26" s="31">
        <f>'FS Desroches Daily'!H28</f>
        <v>2299.9999999999686</v>
      </c>
      <c r="H26" s="32">
        <f>'FS Desroches Daily'!J28</f>
        <v>1200.0000000000898</v>
      </c>
      <c r="I26" s="31">
        <f>'FS Desroches Daily'!L28</f>
        <v>1900.0000000000127</v>
      </c>
      <c r="J26" s="32">
        <f>'FS Desroches Daily'!N28</f>
        <v>900.0000000001229</v>
      </c>
      <c r="K26" s="13">
        <f>'FS Desroches Daily'!P28</f>
        <v>7</v>
      </c>
      <c r="L26" s="31">
        <f>'FS Desroches Daily'!R28</f>
        <v>4</v>
      </c>
      <c r="M26" s="31">
        <f>'FS Desroches Daily'!T28</f>
        <v>0.59999999999990905</v>
      </c>
      <c r="N26" s="31">
        <f>'FS Desroches Daily'!V28</f>
        <v>283</v>
      </c>
      <c r="O26" s="31">
        <f>'FS Desroches Daily'!X28</f>
        <v>269.99999999998181</v>
      </c>
      <c r="P26" s="31">
        <f>'FS Desroches Daily'!Z28</f>
        <v>2099.9999999999909</v>
      </c>
      <c r="Q26" s="31">
        <f>'FS Desroches Daily'!AB28</f>
        <v>360.00000000001364</v>
      </c>
      <c r="R26" s="31">
        <f>'FS Desroches Daily'!AD28</f>
        <v>250</v>
      </c>
      <c r="S26" s="31">
        <f>'FS Desroches Daily'!AF28</f>
        <v>189.99999999994088</v>
      </c>
      <c r="T26" s="31">
        <f>'FS Desroches Daily'!AH28</f>
        <v>55</v>
      </c>
      <c r="U26" s="35">
        <f>'FS Desroches Daily'!AJ28</f>
        <v>500</v>
      </c>
      <c r="V26" s="35">
        <f>'FS Desroches Daily'!AL28</f>
        <v>130.00000000002387</v>
      </c>
      <c r="W26" s="35">
        <f>'FS Desroches Daily'!AN28</f>
        <v>109.99999999998522</v>
      </c>
      <c r="X26" s="35">
        <f>'FS Desroches Daily'!AP28</f>
        <v>109.99999999998522</v>
      </c>
      <c r="Y26" s="35">
        <f>'FS Desroches Daily'!AR28</f>
        <v>90.000000000031832</v>
      </c>
      <c r="Z26" s="35">
        <f>'FS Desroches Daily'!AT28</f>
        <v>129.99999999999545</v>
      </c>
      <c r="AA26" s="35">
        <f>'FS Desroches Daily'!AT28</f>
        <v>129.99999999999545</v>
      </c>
      <c r="AB26" s="35">
        <f>'FS Desroches Daily'!AV28</f>
        <v>69.999999999993179</v>
      </c>
      <c r="AC26" s="35">
        <f>'FS Desroches Daily'!AZ28</f>
        <v>29.999999999972715</v>
      </c>
      <c r="AD26" s="35">
        <f>'FS Desroches Daily'!BB28</f>
        <v>19.99999999998181</v>
      </c>
      <c r="AE26" s="35">
        <f>'FS Desroches Daily'!BD28</f>
        <v>30.000000000001137</v>
      </c>
      <c r="AF26" s="31">
        <f>'FS Desroches Daily'!BF28</f>
        <v>33</v>
      </c>
      <c r="AG26" s="32">
        <f>'FS Desroches Daily'!BH28</f>
        <v>39.999999999992042</v>
      </c>
      <c r="AH26" s="32">
        <f>'FS Desroches Daily'!BJ28</f>
        <v>20.000000000038654</v>
      </c>
      <c r="AI26" s="32">
        <f>'FS Desroches Daily'!BL28</f>
        <v>30.000000000001137</v>
      </c>
      <c r="AJ26" s="32">
        <f>'FS Desroches Daily'!BN28</f>
        <v>40.000000000020464</v>
      </c>
      <c r="AK26" s="32">
        <f>'FS Desroches Daily'!BP28</f>
        <v>39.99999999996362</v>
      </c>
      <c r="AL26" s="32">
        <f>'FS Desroches Daily'!BR28</f>
        <v>23</v>
      </c>
      <c r="AM26" s="32">
        <f>'FS Desroches Daily'!BT28</f>
        <v>30.000000000001137</v>
      </c>
      <c r="AN26" s="32">
        <f>'FS Desroches Daily'!BV28</f>
        <v>35</v>
      </c>
      <c r="AO26" s="32">
        <f>'FS Desroches Daily'!BX28</f>
        <v>19.99999999998181</v>
      </c>
      <c r="AP26" s="32">
        <f>'FS Desroches Daily'!BZ28</f>
        <v>24</v>
      </c>
      <c r="AQ26" s="31">
        <f>'FS Desroches Daily'!CB28</f>
        <v>41.400000000001455</v>
      </c>
      <c r="AR26" s="31">
        <f>'FS Desroches Daily'!CD28</f>
        <v>4.1000000000003638</v>
      </c>
      <c r="AS26" s="31">
        <f>'FS Desroches Daily'!CF28</f>
        <v>9</v>
      </c>
      <c r="AT26" s="31">
        <f>'FS Desroches Daily'!CH28</f>
        <v>40.599999999998545</v>
      </c>
      <c r="AU26" s="31">
        <f>'FS Desroches Daily'!CJ28</f>
        <v>257</v>
      </c>
      <c r="AV26" s="31">
        <f>'FS Desroches Daily'!CL28</f>
        <v>570.00000000005002</v>
      </c>
      <c r="AW26" s="31">
        <f>'FS Desroches Daily'!CM28</f>
        <v>52</v>
      </c>
      <c r="AX26" s="31">
        <f>IF(LPG!F33-LPG!F32&lt;0,"0",(LPG!F33-LPG!F32)*1.8315)</f>
        <v>9.1574999999999989</v>
      </c>
      <c r="AY26" s="31">
        <f>IF(LPG!H33-LPG!H32&lt;0,"0",(LPG!H33-LPG!H32)*1.8315)</f>
        <v>3.6629999999999998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9.1574999999999989</v>
      </c>
      <c r="BC26" s="13">
        <f>'FS Desroches Daily'!CN28</f>
        <v>10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1600.0000000002678</v>
      </c>
      <c r="F27" s="32">
        <f>'FS Desroches Daily'!F29</f>
        <v>2400.0000000001796</v>
      </c>
      <c r="G27" s="31">
        <f>'FS Desroches Daily'!H29</f>
        <v>2200.0000000002019</v>
      </c>
      <c r="H27" s="32">
        <f>'FS Desroches Daily'!J29</f>
        <v>1299.9999999998568</v>
      </c>
      <c r="I27" s="31">
        <f>'FS Desroches Daily'!L29</f>
        <v>1799.9999999998017</v>
      </c>
      <c r="J27" s="32">
        <f>'FS Desroches Daily'!N29</f>
        <v>799.99999999991189</v>
      </c>
      <c r="K27" s="13">
        <f>'FS Desroches Daily'!P29</f>
        <v>8</v>
      </c>
      <c r="L27" s="31">
        <f>'FS Desroches Daily'!R29</f>
        <v>3</v>
      </c>
      <c r="M27" s="31">
        <f>'FS Desroches Daily'!T29</f>
        <v>0.70000000000004547</v>
      </c>
      <c r="N27" s="31">
        <f>'FS Desroches Daily'!V29</f>
        <v>289.5</v>
      </c>
      <c r="O27" s="31">
        <f>'FS Desroches Daily'!X29</f>
        <v>240.00000000000909</v>
      </c>
      <c r="P27" s="31">
        <f>'FS Desroches Daily'!Z29</f>
        <v>2199.9999999997576</v>
      </c>
      <c r="Q27" s="31">
        <f>'FS Desroches Daily'!AB29</f>
        <v>199.99999999998863</v>
      </c>
      <c r="R27" s="31">
        <f>'FS Desroches Daily'!AD29</f>
        <v>230.00000000001819</v>
      </c>
      <c r="S27" s="31">
        <f>'FS Desroches Daily'!AF29</f>
        <v>220.00000000002728</v>
      </c>
      <c r="T27" s="31">
        <f>'FS Desroches Daily'!AH29</f>
        <v>41</v>
      </c>
      <c r="U27" s="35">
        <f>'FS Desroches Daily'!AJ29</f>
        <v>490.00000000000909</v>
      </c>
      <c r="V27" s="35">
        <f>'FS Desroches Daily'!AL29</f>
        <v>159.99999999999659</v>
      </c>
      <c r="W27" s="35">
        <f>'FS Desroches Daily'!AN29</f>
        <v>140.00000000001478</v>
      </c>
      <c r="X27" s="35">
        <f>'FS Desroches Daily'!AP29</f>
        <v>120.00000000000455</v>
      </c>
      <c r="Y27" s="35">
        <f>'FS Desroches Daily'!AR29</f>
        <v>89.999999999974989</v>
      </c>
      <c r="Z27" s="35">
        <f>'FS Desroches Daily'!AT29</f>
        <v>100.00000000002274</v>
      </c>
      <c r="AA27" s="35">
        <f>'FS Desroches Daily'!AT29</f>
        <v>100.00000000002274</v>
      </c>
      <c r="AB27" s="35">
        <f>'FS Desroches Daily'!AV29</f>
        <v>79.999999999984084</v>
      </c>
      <c r="AC27" s="35">
        <f>'FS Desroches Daily'!AZ29</f>
        <v>30.000000000029559</v>
      </c>
      <c r="AD27" s="35">
        <f>'FS Desroches Daily'!BB29</f>
        <v>30.000000000029559</v>
      </c>
      <c r="AE27" s="35">
        <f>'FS Desroches Daily'!BD29</f>
        <v>30.000000000001137</v>
      </c>
      <c r="AF27" s="31">
        <f>'FS Desroches Daily'!BF29</f>
        <v>37</v>
      </c>
      <c r="AG27" s="32">
        <f>'FS Desroches Daily'!BH29</f>
        <v>30.000000000001137</v>
      </c>
      <c r="AH27" s="32">
        <f>'FS Desroches Daily'!BJ29</f>
        <v>19.99999999998181</v>
      </c>
      <c r="AI27" s="32">
        <f>'FS Desroches Daily'!BL29</f>
        <v>40.000000000020464</v>
      </c>
      <c r="AJ27" s="32">
        <f>'FS Desroches Daily'!BN29</f>
        <v>39.999999999992042</v>
      </c>
      <c r="AK27" s="32">
        <f>'FS Desroches Daily'!BP29</f>
        <v>50.000000000011369</v>
      </c>
      <c r="AL27" s="32">
        <f>'FS Desroches Daily'!BR29</f>
        <v>28</v>
      </c>
      <c r="AM27" s="32">
        <f>'FS Desroches Daily'!BT29</f>
        <v>30.000000000001137</v>
      </c>
      <c r="AN27" s="32">
        <f>'FS Desroches Daily'!BV29</f>
        <v>52</v>
      </c>
      <c r="AO27" s="32">
        <f>'FS Desroches Daily'!BX29</f>
        <v>30.000000000001137</v>
      </c>
      <c r="AP27" s="32">
        <f>'FS Desroches Daily'!BZ29</f>
        <v>31</v>
      </c>
      <c r="AQ27" s="31">
        <f>'FS Desroches Daily'!CB29</f>
        <v>29.5</v>
      </c>
      <c r="AR27" s="31">
        <f>'FS Desroches Daily'!CD29</f>
        <v>4.5</v>
      </c>
      <c r="AS27" s="31">
        <f>'FS Desroches Daily'!CF29</f>
        <v>0.6000000000003638</v>
      </c>
      <c r="AT27" s="31">
        <f>'FS Desroches Daily'!CH29</f>
        <v>41.80000000000291</v>
      </c>
      <c r="AU27" s="31">
        <f>'FS Desroches Daily'!CJ29</f>
        <v>261</v>
      </c>
      <c r="AV27" s="31">
        <f>'FS Desroches Daily'!CL29</f>
        <v>409.99999999996817</v>
      </c>
      <c r="AW27" s="31">
        <f>'FS Desroches Daily'!CM29</f>
        <v>53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>
        <f>IF(LPG!Q34-LPG!Q33&lt;0,"0",(LPG!Q34-LPG!Q33)*1.8315)</f>
        <v>9.1574999999999989</v>
      </c>
      <c r="BC27" s="13">
        <f>'FS Desroches Daily'!CN29</f>
        <v>8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1700.0000000000348</v>
      </c>
      <c r="F28" s="32">
        <f>'FS Desroches Daily'!F30</f>
        <v>2399.9999999997358</v>
      </c>
      <c r="G28" s="31">
        <f>'FS Desroches Daily'!H30</f>
        <v>2399.9999999997358</v>
      </c>
      <c r="H28" s="32">
        <f>'FS Desroches Daily'!J30</f>
        <v>1200.0000000000898</v>
      </c>
      <c r="I28" s="31">
        <f>'FS Desroches Daily'!L30</f>
        <v>2000.0000000002237</v>
      </c>
      <c r="J28" s="32">
        <f>'FS Desroches Daily'!N30</f>
        <v>900.0000000001229</v>
      </c>
      <c r="K28" s="13">
        <f>'FS Desroches Daily'!P30</f>
        <v>6</v>
      </c>
      <c r="L28" s="31">
        <f>'FS Desroches Daily'!R30</f>
        <v>2</v>
      </c>
      <c r="M28" s="31">
        <f>'FS Desroches Daily'!T30</f>
        <v>0.70000000000004547</v>
      </c>
      <c r="N28" s="31">
        <f>'FS Desroches Daily'!V30</f>
        <v>287.09999999997672</v>
      </c>
      <c r="O28" s="31">
        <f>'FS Desroches Daily'!X30</f>
        <v>210.00000000003638</v>
      </c>
      <c r="P28" s="31">
        <f>'FS Desroches Daily'!Z30</f>
        <v>2099.9999999999909</v>
      </c>
      <c r="Q28" s="31">
        <f>'FS Desroches Daily'!AB30</f>
        <v>329.99999999998408</v>
      </c>
      <c r="R28" s="31">
        <f>'FS Desroches Daily'!AD30</f>
        <v>240.00000000000909</v>
      </c>
      <c r="S28" s="31">
        <f>'FS Desroches Daily'!AF30</f>
        <v>250</v>
      </c>
      <c r="T28" s="31">
        <f>'FS Desroches Daily'!AH30</f>
        <v>28</v>
      </c>
      <c r="U28" s="35">
        <f>'FS Desroches Daily'!AJ30</f>
        <v>500</v>
      </c>
      <c r="V28" s="35">
        <f>'FS Desroches Daily'!AL30</f>
        <v>129.99999999999545</v>
      </c>
      <c r="W28" s="35">
        <f>'FS Desroches Daily'!AN30</f>
        <v>159.99999999999659</v>
      </c>
      <c r="X28" s="35">
        <f>'FS Desroches Daily'!AP30</f>
        <v>99.999999999994316</v>
      </c>
      <c r="Y28" s="35">
        <f>'FS Desroches Daily'!AR30</f>
        <v>100.00000000002274</v>
      </c>
      <c r="Z28" s="35">
        <f>'FS Desroches Daily'!AT30</f>
        <v>120.00000000000455</v>
      </c>
      <c r="AA28" s="35">
        <f>'FS Desroches Daily'!AT30</f>
        <v>120.00000000000455</v>
      </c>
      <c r="AB28" s="35">
        <f>'FS Desroches Daily'!AV30</f>
        <v>89.999999999974989</v>
      </c>
      <c r="AC28" s="35">
        <f>'FS Desroches Daily'!AZ30</f>
        <v>50.000000000011369</v>
      </c>
      <c r="AD28" s="35">
        <f>'FS Desroches Daily'!BB30</f>
        <v>60.000000000002274</v>
      </c>
      <c r="AE28" s="35">
        <f>'FS Desroches Daily'!BD30</f>
        <v>30.000000000001137</v>
      </c>
      <c r="AF28" s="31">
        <f>'FS Desroches Daily'!BF30</f>
        <v>34</v>
      </c>
      <c r="AG28" s="32">
        <f>'FS Desroches Daily'!BH30</f>
        <v>39.999999999992042</v>
      </c>
      <c r="AH28" s="32">
        <f>'FS Desroches Daily'!BJ30</f>
        <v>29.999999999972715</v>
      </c>
      <c r="AI28" s="32">
        <f>'FS Desroches Daily'!BL30</f>
        <v>30.000000000001137</v>
      </c>
      <c r="AJ28" s="32">
        <f>'FS Desroches Daily'!BN30</f>
        <v>49.999999999982947</v>
      </c>
      <c r="AK28" s="32">
        <f>'FS Desroches Daily'!BP30</f>
        <v>50.000000000011369</v>
      </c>
      <c r="AL28" s="32">
        <f>'FS Desroches Daily'!BR30</f>
        <v>27</v>
      </c>
      <c r="AM28" s="32">
        <f>'FS Desroches Daily'!BT30</f>
        <v>30.000000000001137</v>
      </c>
      <c r="AN28" s="32">
        <f>'FS Desroches Daily'!BV30</f>
        <v>39</v>
      </c>
      <c r="AO28" s="32">
        <f>'FS Desroches Daily'!BX30</f>
        <v>40.000000000020464</v>
      </c>
      <c r="AP28" s="32">
        <f>'FS Desroches Daily'!BZ30</f>
        <v>20</v>
      </c>
      <c r="AQ28" s="31">
        <f>'FS Desroches Daily'!CB30</f>
        <v>20.19999999999709</v>
      </c>
      <c r="AR28" s="31">
        <f>'FS Desroches Daily'!CD30</f>
        <v>4.7000000000007276</v>
      </c>
      <c r="AS28" s="31">
        <f>'FS Desroches Daily'!CF30</f>
        <v>3.8999999999996362</v>
      </c>
      <c r="AT28" s="31">
        <f>'FS Desroches Daily'!CH30</f>
        <v>26.900000000001455</v>
      </c>
      <c r="AU28" s="31">
        <f>'FS Desroches Daily'!CJ30</f>
        <v>250</v>
      </c>
      <c r="AV28" s="31">
        <f>'FS Desroches Daily'!CL30</f>
        <v>610.00000000001364</v>
      </c>
      <c r="AW28" s="31">
        <f>'FS Desroches Daily'!CM30</f>
        <v>46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 t="str">
        <f>IF(LPG!Q35-LPG!Q34&lt;0,"0",(LPG!Q35-LPG!Q34)*1.8315)</f>
        <v>0</v>
      </c>
      <c r="BC28" s="13">
        <f>'FS Desroches Daily'!CN30</f>
        <v>8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str">
        <f>'FS Desroches Daily'!T31</f>
        <v/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 t="str">
        <f>'FS Desroches Daily'!CB31</f>
        <v/>
      </c>
      <c r="AR29" s="31" t="str">
        <f>'FS Desroches Daily'!CD31</f>
        <v/>
      </c>
      <c r="AS29" s="31" t="str">
        <f>'FS Desroches Daily'!CF31</f>
        <v/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54899.999999999971</v>
      </c>
      <c r="F33" s="17">
        <f t="shared" ref="F33:BC33" si="1">SUM(F2:F32)</f>
        <v>70099.999999999636</v>
      </c>
      <c r="G33" s="17">
        <f t="shared" si="1"/>
        <v>70700.000000000015</v>
      </c>
      <c r="H33" s="17">
        <f t="shared" si="1"/>
        <v>34499.999999999985</v>
      </c>
      <c r="I33" s="17">
        <f t="shared" si="1"/>
        <v>53199.999999999935</v>
      </c>
      <c r="J33" s="17">
        <f t="shared" si="1"/>
        <v>22900.000000000156</v>
      </c>
      <c r="K33" s="17">
        <f t="shared" si="1"/>
        <v>160</v>
      </c>
      <c r="L33" s="17">
        <f t="shared" si="1"/>
        <v>72</v>
      </c>
      <c r="M33" s="17">
        <f t="shared" si="1"/>
        <v>21.399999999999977</v>
      </c>
      <c r="N33" s="17">
        <f t="shared" si="1"/>
        <v>8549.7999999999884</v>
      </c>
      <c r="O33" s="17">
        <f t="shared" si="1"/>
        <v>7150.0000000000327</v>
      </c>
      <c r="P33" s="17">
        <f t="shared" si="1"/>
        <v>62599.999999999789</v>
      </c>
      <c r="Q33" s="17">
        <f t="shared" si="1"/>
        <v>7290.00000000002</v>
      </c>
      <c r="R33" s="17">
        <f t="shared" si="1"/>
        <v>7139.9999999999854</v>
      </c>
      <c r="S33" s="17">
        <f t="shared" si="1"/>
        <v>5559.9999999999454</v>
      </c>
      <c r="T33" s="17">
        <f t="shared" si="1"/>
        <v>923</v>
      </c>
      <c r="U33" s="35">
        <f t="shared" si="1"/>
        <v>17139.999999999989</v>
      </c>
      <c r="V33" s="35">
        <f t="shared" si="1"/>
        <v>5530.0000000000009</v>
      </c>
      <c r="W33" s="35">
        <f t="shared" si="1"/>
        <v>4540.00000000002</v>
      </c>
      <c r="X33" s="35">
        <f t="shared" si="1"/>
        <v>4139.9999999999873</v>
      </c>
      <c r="Y33" s="35">
        <f t="shared" si="1"/>
        <v>4020.0000000000114</v>
      </c>
      <c r="Z33" s="35">
        <f t="shared" si="1"/>
        <v>4471.7400000000061</v>
      </c>
      <c r="AA33" s="35">
        <f t="shared" si="1"/>
        <v>4471.7400000000061</v>
      </c>
      <c r="AB33" s="35">
        <f t="shared" si="1"/>
        <v>3669.9999999999591</v>
      </c>
      <c r="AC33" s="35">
        <f t="shared" si="1"/>
        <v>1009.9999999999909</v>
      </c>
      <c r="AD33" s="35">
        <f t="shared" si="1"/>
        <v>689.99999999999773</v>
      </c>
      <c r="AE33" s="35">
        <f t="shared" si="1"/>
        <v>1259.9999999999909</v>
      </c>
      <c r="AF33" s="17">
        <f t="shared" si="1"/>
        <v>853</v>
      </c>
      <c r="AG33" s="32">
        <f t="shared" si="1"/>
        <v>1139.9999999999864</v>
      </c>
      <c r="AH33" s="32">
        <f t="shared" si="1"/>
        <v>719.99999999997044</v>
      </c>
      <c r="AI33" s="32">
        <f t="shared" si="1"/>
        <v>900.00000000000568</v>
      </c>
      <c r="AJ33" s="32">
        <f t="shared" si="1"/>
        <v>1099.9999999999943</v>
      </c>
      <c r="AK33" s="32">
        <f t="shared" si="1"/>
        <v>1330.0000000000409</v>
      </c>
      <c r="AL33" s="32">
        <f t="shared" si="1"/>
        <v>695</v>
      </c>
      <c r="AM33" s="32">
        <f t="shared" si="1"/>
        <v>969.99999999999886</v>
      </c>
      <c r="AN33" s="32">
        <f t="shared" si="1"/>
        <v>1105</v>
      </c>
      <c r="AO33" s="32">
        <f t="shared" si="1"/>
        <v>620.00000000000455</v>
      </c>
      <c r="AP33" s="32">
        <f t="shared" si="1"/>
        <v>922</v>
      </c>
      <c r="AQ33" s="17">
        <f t="shared" si="1"/>
        <v>909.5</v>
      </c>
      <c r="AR33" s="17">
        <f t="shared" si="1"/>
        <v>170.5</v>
      </c>
      <c r="AS33" s="17">
        <f t="shared" si="1"/>
        <v>128.10000000000036</v>
      </c>
      <c r="AT33" s="17">
        <f t="shared" si="1"/>
        <v>1314.8000000000029</v>
      </c>
      <c r="AU33" s="17">
        <f t="shared" si="1"/>
        <v>7346</v>
      </c>
      <c r="AV33" s="17">
        <f t="shared" si="1"/>
        <v>18789.999999999967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195.97049999999996</v>
      </c>
      <c r="BC33" s="17">
        <f t="shared" si="1"/>
        <v>292</v>
      </c>
    </row>
    <row r="35" spans="5:55" x14ac:dyDescent="0.25">
      <c r="E35" s="38">
        <f>E33/E37</f>
        <v>0.22478074664876077</v>
      </c>
      <c r="G35" s="29">
        <f>G33-M36</f>
        <v>62128.800000000025</v>
      </c>
      <c r="AE35" s="35">
        <f>SUM(U33:AE33)</f>
        <v>50943.47999999996</v>
      </c>
      <c r="AG35" s="32">
        <f>SUM(AG33:AP33)</f>
        <v>9502.0000000000018</v>
      </c>
    </row>
    <row r="36" spans="5:55" x14ac:dyDescent="0.25">
      <c r="G36" s="29">
        <f>G35-633*14</f>
        <v>53266.800000000025</v>
      </c>
      <c r="M36" s="29">
        <f>M33+N33</f>
        <v>8571.199999999988</v>
      </c>
    </row>
    <row r="37" spans="5:55" x14ac:dyDescent="0.25">
      <c r="E37" s="17">
        <f>E33+F33+G33+H33+J33-633*14</f>
        <v>244237.99999999974</v>
      </c>
      <c r="G37" s="37">
        <f>M36/E37</f>
        <v>3.5093638172602123E-2</v>
      </c>
      <c r="M37" s="35">
        <f>AE35</f>
        <v>50943.47999999996</v>
      </c>
    </row>
    <row r="38" spans="5:55" x14ac:dyDescent="0.25">
      <c r="L38" s="27">
        <f>M38/E37</f>
        <v>3.8904674948206305E-2</v>
      </c>
      <c r="M38" s="29">
        <f>AG35</f>
        <v>9502.0000000000018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14" activePane="bottomLeft" state="frozen"/>
      <selection pane="bottomLeft" activeCell="CO33" sqref="CO3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>
        <v>2.3828</v>
      </c>
      <c r="D14" s="64">
        <f t="shared" si="0"/>
        <v>1900.0000000000127</v>
      </c>
      <c r="E14" s="58">
        <v>3.3773</v>
      </c>
      <c r="F14" s="64">
        <f t="shared" si="1"/>
        <v>2400.0000000001796</v>
      </c>
      <c r="G14" s="58">
        <v>3.4354</v>
      </c>
      <c r="H14" s="64">
        <f t="shared" si="2"/>
        <v>1199.9999999998679</v>
      </c>
      <c r="I14" s="58">
        <v>1.6929000000000001</v>
      </c>
      <c r="J14" s="64">
        <f t="shared" si="3"/>
        <v>1200.0000000000898</v>
      </c>
      <c r="K14" s="58">
        <v>2.7343999999999999</v>
      </c>
      <c r="L14" s="64">
        <f t="shared" si="4"/>
        <v>1999.9999999997797</v>
      </c>
      <c r="M14" s="58">
        <v>1.4978</v>
      </c>
      <c r="N14" s="64">
        <f t="shared" si="5"/>
        <v>900.0000000001229</v>
      </c>
      <c r="O14" s="58">
        <v>14594</v>
      </c>
      <c r="P14" s="67">
        <f t="shared" si="44"/>
        <v>1</v>
      </c>
      <c r="Q14" s="58">
        <v>1120</v>
      </c>
      <c r="R14" s="67">
        <f t="shared" si="6"/>
        <v>3</v>
      </c>
      <c r="S14" s="58">
        <v>1029.4000000000001</v>
      </c>
      <c r="T14" s="67">
        <f t="shared" si="7"/>
        <v>0.8000000000001819</v>
      </c>
      <c r="U14" s="58">
        <v>431146.7</v>
      </c>
      <c r="V14" s="67">
        <f t="shared" si="8"/>
        <v>309</v>
      </c>
      <c r="W14" s="58">
        <v>409.34</v>
      </c>
      <c r="X14" s="65">
        <f t="shared" si="9"/>
        <v>259.99999999999091</v>
      </c>
      <c r="Y14" s="58">
        <v>2.9542000000000002</v>
      </c>
      <c r="Z14" s="65">
        <f t="shared" si="10"/>
        <v>2099.9999999999909</v>
      </c>
      <c r="AA14" s="58">
        <v>408.33</v>
      </c>
      <c r="AB14" s="65">
        <f t="shared" si="11"/>
        <v>129.99999999999545</v>
      </c>
      <c r="AC14" s="58">
        <v>381.71</v>
      </c>
      <c r="AD14" s="65">
        <f t="shared" si="12"/>
        <v>269.99999999998181</v>
      </c>
      <c r="AE14" s="58">
        <v>577.94000000000005</v>
      </c>
      <c r="AF14" s="65">
        <f t="shared" si="13"/>
        <v>210.00000000003638</v>
      </c>
      <c r="AG14" s="58">
        <v>5998</v>
      </c>
      <c r="AH14" s="67">
        <f t="shared" si="14"/>
        <v>34</v>
      </c>
      <c r="AI14" s="58">
        <v>643.32000000000005</v>
      </c>
      <c r="AJ14" s="65">
        <f t="shared" si="15"/>
        <v>500</v>
      </c>
      <c r="AK14" s="58">
        <v>212.38</v>
      </c>
      <c r="AL14" s="65">
        <f t="shared" si="15"/>
        <v>210.00000000000796</v>
      </c>
      <c r="AM14" s="58">
        <v>201.94</v>
      </c>
      <c r="AN14" s="65">
        <f t="shared" si="15"/>
        <v>139.99999999998636</v>
      </c>
      <c r="AO14" s="58">
        <v>195.13</v>
      </c>
      <c r="AP14" s="65">
        <f t="shared" si="15"/>
        <v>159.99999999999659</v>
      </c>
      <c r="AQ14" s="58">
        <v>254.46</v>
      </c>
      <c r="AR14" s="65">
        <f t="shared" si="16"/>
        <v>180.00000000000682</v>
      </c>
      <c r="AS14" s="58">
        <v>380.18</v>
      </c>
      <c r="AT14" s="65">
        <f t="shared" si="17"/>
        <v>189.99999999999773</v>
      </c>
      <c r="AU14" s="58">
        <v>290.45999999999998</v>
      </c>
      <c r="AV14" s="65">
        <f t="shared" si="18"/>
        <v>109.9999999999568</v>
      </c>
      <c r="AW14" s="58">
        <v>323.93</v>
      </c>
      <c r="AX14" s="65">
        <f t="shared" si="19"/>
        <v>60.000000000002274</v>
      </c>
      <c r="AY14" s="58">
        <v>363.42</v>
      </c>
      <c r="AZ14" s="65">
        <f t="shared" si="20"/>
        <v>50.000000000011369</v>
      </c>
      <c r="BA14" s="58">
        <v>382.34</v>
      </c>
      <c r="BB14" s="65">
        <f t="shared" si="21"/>
        <v>29.999999999972715</v>
      </c>
      <c r="BC14" s="58">
        <v>245.64</v>
      </c>
      <c r="BD14" s="65">
        <f t="shared" si="22"/>
        <v>29.999999999972715</v>
      </c>
      <c r="BE14" s="59">
        <v>41667</v>
      </c>
      <c r="BF14" s="67">
        <f t="shared" si="39"/>
        <v>39</v>
      </c>
      <c r="BG14" s="60">
        <v>235.81</v>
      </c>
      <c r="BH14" s="65">
        <f t="shared" si="23"/>
        <v>39.999999999992042</v>
      </c>
      <c r="BI14" s="60">
        <v>294.33999999999997</v>
      </c>
      <c r="BJ14" s="65">
        <f t="shared" si="40"/>
        <v>19.99999999998181</v>
      </c>
      <c r="BK14" s="60">
        <v>238.18</v>
      </c>
      <c r="BL14" s="65">
        <f t="shared" si="24"/>
        <v>30.000000000001137</v>
      </c>
      <c r="BM14" s="60">
        <v>225.51</v>
      </c>
      <c r="BN14" s="65">
        <f t="shared" si="25"/>
        <v>39.999999999992042</v>
      </c>
      <c r="BO14" s="60">
        <v>289.3</v>
      </c>
      <c r="BP14" s="65">
        <f t="shared" si="26"/>
        <v>50.000000000011369</v>
      </c>
      <c r="BQ14" s="60">
        <v>46453</v>
      </c>
      <c r="BR14" s="65">
        <f t="shared" si="27"/>
        <v>22</v>
      </c>
      <c r="BS14" s="60">
        <v>202.15</v>
      </c>
      <c r="BT14" s="65">
        <f t="shared" si="42"/>
        <v>39.999999999992042</v>
      </c>
      <c r="BU14" s="60">
        <v>42420</v>
      </c>
      <c r="BV14" s="65">
        <f t="shared" si="29"/>
        <v>38</v>
      </c>
      <c r="BW14" s="60">
        <v>232.96</v>
      </c>
      <c r="BX14" s="65">
        <f t="shared" si="30"/>
        <v>20.000000000010232</v>
      </c>
      <c r="BY14" s="60">
        <v>62194</v>
      </c>
      <c r="BZ14" s="67">
        <f t="shared" si="31"/>
        <v>21</v>
      </c>
      <c r="CA14" s="60">
        <v>33501.599999999999</v>
      </c>
      <c r="CB14" s="67">
        <f t="shared" si="32"/>
        <v>32.799999999995634</v>
      </c>
      <c r="CC14" s="60">
        <v>12531.1</v>
      </c>
      <c r="CD14" s="67">
        <f t="shared" si="33"/>
        <v>6.8999999999996362</v>
      </c>
      <c r="CE14" s="60">
        <v>6658.7</v>
      </c>
      <c r="CF14" s="67">
        <f t="shared" si="34"/>
        <v>9.3000000000001819</v>
      </c>
      <c r="CG14" s="60">
        <v>61280.1</v>
      </c>
      <c r="CH14" s="67">
        <f t="shared" si="35"/>
        <v>43.099999999998545</v>
      </c>
      <c r="CI14" s="60">
        <v>960937</v>
      </c>
      <c r="CJ14" s="67">
        <f t="shared" si="36"/>
        <v>327</v>
      </c>
      <c r="CK14" s="60">
        <v>793.84</v>
      </c>
      <c r="CL14" s="64">
        <f t="shared" si="37"/>
        <v>730.00000000001819</v>
      </c>
      <c r="CM14" s="65">
        <f t="shared" si="41"/>
        <v>71</v>
      </c>
      <c r="CN14" s="62">
        <v>10</v>
      </c>
      <c r="CO14" s="62">
        <v>29</v>
      </c>
      <c r="CP14" s="68">
        <v>11691</v>
      </c>
      <c r="CQ14" s="67">
        <f t="shared" si="38"/>
        <v>50</v>
      </c>
      <c r="CR14" s="68">
        <v>15314</v>
      </c>
      <c r="CS14" s="67">
        <f t="shared" si="38"/>
        <v>21</v>
      </c>
      <c r="CT14" s="75">
        <v>6976</v>
      </c>
      <c r="CU14" s="67">
        <f t="shared" si="38"/>
        <v>9</v>
      </c>
      <c r="CV14" s="68">
        <v>16917</v>
      </c>
      <c r="CW14" s="67">
        <f t="shared" si="38"/>
        <v>38</v>
      </c>
    </row>
    <row r="15" spans="1:102" ht="25.5" customHeight="1" thickBot="1" x14ac:dyDescent="0.45">
      <c r="A15" s="63">
        <v>44420</v>
      </c>
      <c r="B15" s="44"/>
      <c r="C15" s="58">
        <v>2.3847999999999998</v>
      </c>
      <c r="D15" s="64">
        <f t="shared" si="0"/>
        <v>1999.9999999997797</v>
      </c>
      <c r="E15" s="58">
        <v>3.38</v>
      </c>
      <c r="F15" s="64">
        <f t="shared" si="1"/>
        <v>2699.9999999999245</v>
      </c>
      <c r="G15" s="58">
        <v>3.4380999999999999</v>
      </c>
      <c r="H15" s="64">
        <f t="shared" si="2"/>
        <v>2699.9999999999245</v>
      </c>
      <c r="I15" s="58">
        <v>1.6941999999999999</v>
      </c>
      <c r="J15" s="64">
        <f t="shared" si="3"/>
        <v>1299.9999999998568</v>
      </c>
      <c r="K15" s="58">
        <v>2.7364999999999999</v>
      </c>
      <c r="L15" s="64">
        <f t="shared" si="4"/>
        <v>2099.9999999999909</v>
      </c>
      <c r="M15" s="58">
        <v>1.4985999999999999</v>
      </c>
      <c r="N15" s="64">
        <f t="shared" si="5"/>
        <v>799.99999999991189</v>
      </c>
      <c r="O15" s="58">
        <v>14602</v>
      </c>
      <c r="P15" s="67">
        <f t="shared" si="44"/>
        <v>8</v>
      </c>
      <c r="Q15" s="58">
        <v>1123</v>
      </c>
      <c r="R15" s="67">
        <f t="shared" si="6"/>
        <v>3</v>
      </c>
      <c r="S15" s="58">
        <v>1030.2</v>
      </c>
      <c r="T15" s="67">
        <f t="shared" si="7"/>
        <v>0.79999999999995453</v>
      </c>
      <c r="U15" s="58">
        <v>431529</v>
      </c>
      <c r="V15" s="67">
        <f t="shared" si="8"/>
        <v>382.29999999998836</v>
      </c>
      <c r="W15" s="58">
        <v>409.63</v>
      </c>
      <c r="X15" s="65">
        <f t="shared" si="9"/>
        <v>290.00000000002046</v>
      </c>
      <c r="Y15" s="58">
        <v>2.9565999999999999</v>
      </c>
      <c r="Z15" s="65">
        <f t="shared" si="10"/>
        <v>2399.9999999997358</v>
      </c>
      <c r="AA15" s="58">
        <v>408.56</v>
      </c>
      <c r="AB15" s="65">
        <f t="shared" si="11"/>
        <v>230.00000000001819</v>
      </c>
      <c r="AC15" s="58">
        <v>381.96</v>
      </c>
      <c r="AD15" s="65">
        <f t="shared" si="12"/>
        <v>250</v>
      </c>
      <c r="AE15" s="58">
        <v>578.14</v>
      </c>
      <c r="AF15" s="65">
        <f t="shared" si="13"/>
        <v>199.99999999993179</v>
      </c>
      <c r="AG15" s="58">
        <v>6032</v>
      </c>
      <c r="AH15" s="67">
        <f t="shared" si="14"/>
        <v>34</v>
      </c>
      <c r="AI15" s="58">
        <v>643.88</v>
      </c>
      <c r="AJ15" s="65">
        <f t="shared" si="15"/>
        <v>559.99999999994543</v>
      </c>
      <c r="AK15" s="58">
        <v>212.61</v>
      </c>
      <c r="AL15" s="65">
        <f t="shared" si="15"/>
        <v>230.00000000001819</v>
      </c>
      <c r="AM15" s="58">
        <v>202.09</v>
      </c>
      <c r="AN15" s="65">
        <f t="shared" si="15"/>
        <v>150.00000000000568</v>
      </c>
      <c r="AO15" s="58">
        <v>195.27</v>
      </c>
      <c r="AP15" s="65">
        <f t="shared" si="15"/>
        <v>140.00000000001478</v>
      </c>
      <c r="AQ15" s="58">
        <v>254.63</v>
      </c>
      <c r="AR15" s="65">
        <f t="shared" si="16"/>
        <v>169.99999999998749</v>
      </c>
      <c r="AS15" s="58">
        <v>380.38</v>
      </c>
      <c r="AT15" s="65">
        <f t="shared" si="17"/>
        <v>199.99999999998863</v>
      </c>
      <c r="AU15" s="58">
        <v>290.63</v>
      </c>
      <c r="AV15" s="65">
        <f t="shared" si="18"/>
        <v>170.00000000001592</v>
      </c>
      <c r="AW15" s="58">
        <v>323.99</v>
      </c>
      <c r="AX15" s="65">
        <f t="shared" si="19"/>
        <v>60.000000000002274</v>
      </c>
      <c r="AY15" s="58">
        <v>363.46</v>
      </c>
      <c r="AZ15" s="65">
        <f t="shared" si="20"/>
        <v>39.99999999996362</v>
      </c>
      <c r="BA15" s="58">
        <v>382.36</v>
      </c>
      <c r="BB15" s="65">
        <f t="shared" si="21"/>
        <v>20.000000000038654</v>
      </c>
      <c r="BC15" s="58">
        <v>245.68</v>
      </c>
      <c r="BD15" s="65">
        <f t="shared" si="22"/>
        <v>40.000000000020464</v>
      </c>
      <c r="BE15" s="59">
        <v>41696</v>
      </c>
      <c r="BF15" s="67">
        <f t="shared" si="39"/>
        <v>29</v>
      </c>
      <c r="BG15" s="60">
        <v>235.86</v>
      </c>
      <c r="BH15" s="65">
        <f t="shared" si="23"/>
        <v>50.000000000011369</v>
      </c>
      <c r="BI15" s="60">
        <v>294.37</v>
      </c>
      <c r="BJ15" s="65">
        <f t="shared" si="40"/>
        <v>30.000000000029559</v>
      </c>
      <c r="BK15" s="60">
        <v>238.22</v>
      </c>
      <c r="BL15" s="65">
        <f t="shared" si="24"/>
        <v>39.999999999992042</v>
      </c>
      <c r="BM15" s="60">
        <v>225.56</v>
      </c>
      <c r="BN15" s="65">
        <f t="shared" si="25"/>
        <v>50.000000000011369</v>
      </c>
      <c r="BO15" s="60">
        <v>289.35000000000002</v>
      </c>
      <c r="BP15" s="65">
        <f t="shared" si="26"/>
        <v>50.000000000011369</v>
      </c>
      <c r="BQ15" s="60">
        <v>46476</v>
      </c>
      <c r="BR15" s="65">
        <f t="shared" si="27"/>
        <v>23</v>
      </c>
      <c r="BS15" s="60">
        <v>202.19</v>
      </c>
      <c r="BT15" s="65">
        <f t="shared" si="42"/>
        <v>39.999999999992042</v>
      </c>
      <c r="BU15" s="60">
        <v>42469</v>
      </c>
      <c r="BV15" s="65">
        <f t="shared" si="29"/>
        <v>49</v>
      </c>
      <c r="BW15" s="60">
        <v>232.97</v>
      </c>
      <c r="BX15" s="65">
        <f t="shared" si="30"/>
        <v>9.9999999999909051</v>
      </c>
      <c r="BY15" s="60">
        <v>62230</v>
      </c>
      <c r="BZ15" s="67">
        <f t="shared" si="31"/>
        <v>36</v>
      </c>
      <c r="CA15" s="60">
        <v>33532.6</v>
      </c>
      <c r="CB15" s="67">
        <f t="shared" si="32"/>
        <v>31</v>
      </c>
      <c r="CC15" s="60">
        <v>12537.2</v>
      </c>
      <c r="CD15" s="67">
        <f t="shared" si="33"/>
        <v>6.1000000000003638</v>
      </c>
      <c r="CE15" s="60">
        <v>6659.2</v>
      </c>
      <c r="CF15" s="67">
        <f t="shared" si="34"/>
        <v>0.5</v>
      </c>
      <c r="CG15" s="60">
        <v>61337.8</v>
      </c>
      <c r="CH15" s="67">
        <f t="shared" si="35"/>
        <v>57.700000000004366</v>
      </c>
      <c r="CI15" s="60">
        <v>961202</v>
      </c>
      <c r="CJ15" s="67">
        <f t="shared" si="36"/>
        <v>265</v>
      </c>
      <c r="CK15" s="60">
        <v>794.59</v>
      </c>
      <c r="CL15" s="64">
        <f t="shared" si="37"/>
        <v>750</v>
      </c>
      <c r="CM15" s="65">
        <f t="shared" si="41"/>
        <v>61</v>
      </c>
      <c r="CN15" s="62">
        <v>10</v>
      </c>
      <c r="CO15" s="62">
        <v>29</v>
      </c>
      <c r="CP15" s="68">
        <v>11728</v>
      </c>
      <c r="CQ15" s="67">
        <f t="shared" si="38"/>
        <v>37</v>
      </c>
      <c r="CR15" s="68">
        <v>15338</v>
      </c>
      <c r="CS15" s="67">
        <f t="shared" si="38"/>
        <v>24</v>
      </c>
      <c r="CT15" s="75">
        <v>6986</v>
      </c>
      <c r="CU15" s="67">
        <f t="shared" si="38"/>
        <v>10</v>
      </c>
      <c r="CV15" s="68">
        <v>16942</v>
      </c>
      <c r="CW15" s="67">
        <f t="shared" si="38"/>
        <v>25</v>
      </c>
    </row>
    <row r="16" spans="1:102" ht="25.5" customHeight="1" thickBot="1" x14ac:dyDescent="0.45">
      <c r="A16" s="63">
        <v>44421</v>
      </c>
      <c r="B16" s="44"/>
      <c r="C16" s="58">
        <v>2.3872</v>
      </c>
      <c r="D16" s="64">
        <f t="shared" si="0"/>
        <v>2400.0000000001796</v>
      </c>
      <c r="E16" s="58">
        <v>3.3826999999999998</v>
      </c>
      <c r="F16" s="64">
        <f t="shared" si="1"/>
        <v>2699.9999999999245</v>
      </c>
      <c r="G16" s="58">
        <v>3.4407000000000001</v>
      </c>
      <c r="H16" s="64">
        <f t="shared" si="2"/>
        <v>2600.0000000001578</v>
      </c>
      <c r="I16" s="58">
        <v>1.6955</v>
      </c>
      <c r="J16" s="64">
        <f t="shared" si="3"/>
        <v>1300.0000000000789</v>
      </c>
      <c r="K16" s="58">
        <v>2.7385999999999999</v>
      </c>
      <c r="L16" s="64">
        <f t="shared" si="4"/>
        <v>2099.9999999999909</v>
      </c>
      <c r="M16" s="58">
        <v>1.4996</v>
      </c>
      <c r="N16" s="64">
        <f t="shared" si="5"/>
        <v>1000.0000000001119</v>
      </c>
      <c r="O16" s="58">
        <v>14613</v>
      </c>
      <c r="P16" s="67">
        <f t="shared" si="44"/>
        <v>11</v>
      </c>
      <c r="Q16" s="58">
        <v>1126</v>
      </c>
      <c r="R16" s="67">
        <f t="shared" si="6"/>
        <v>3</v>
      </c>
      <c r="S16" s="58">
        <v>1030.9000000000001</v>
      </c>
      <c r="T16" s="67">
        <f t="shared" si="7"/>
        <v>0.70000000000004547</v>
      </c>
      <c r="U16" s="58">
        <v>431841.9</v>
      </c>
      <c r="V16" s="67">
        <f t="shared" si="8"/>
        <v>312.90000000002328</v>
      </c>
      <c r="W16" s="58">
        <v>409.92</v>
      </c>
      <c r="X16" s="65">
        <f t="shared" si="9"/>
        <v>290.00000000002046</v>
      </c>
      <c r="Y16" s="58">
        <v>2.9590000000000001</v>
      </c>
      <c r="Z16" s="65">
        <f t="shared" si="10"/>
        <v>2400.0000000001796</v>
      </c>
      <c r="AA16" s="58">
        <v>408.85</v>
      </c>
      <c r="AB16" s="65">
        <f t="shared" si="11"/>
        <v>290.00000000002046</v>
      </c>
      <c r="AC16" s="58">
        <v>382.27</v>
      </c>
      <c r="AD16" s="65">
        <f t="shared" si="12"/>
        <v>310.00000000000227</v>
      </c>
      <c r="AE16" s="58">
        <v>578.37</v>
      </c>
      <c r="AF16" s="65">
        <f t="shared" si="13"/>
        <v>230.00000000001819</v>
      </c>
      <c r="AG16" s="58">
        <v>6071</v>
      </c>
      <c r="AH16" s="67">
        <f t="shared" si="14"/>
        <v>39</v>
      </c>
      <c r="AI16" s="58">
        <v>644.62</v>
      </c>
      <c r="AJ16" s="65">
        <f t="shared" si="15"/>
        <v>740.00000000000909</v>
      </c>
      <c r="AK16" s="58">
        <v>212.85</v>
      </c>
      <c r="AL16" s="65">
        <f t="shared" si="15"/>
        <v>239.99999999998067</v>
      </c>
      <c r="AM16" s="58">
        <v>202.25</v>
      </c>
      <c r="AN16" s="65">
        <f t="shared" si="15"/>
        <v>159.99999999999659</v>
      </c>
      <c r="AO16" s="58">
        <v>195.44</v>
      </c>
      <c r="AP16" s="65">
        <f t="shared" si="15"/>
        <v>169.99999999998749</v>
      </c>
      <c r="AQ16" s="58">
        <v>254.76</v>
      </c>
      <c r="AR16" s="65">
        <f t="shared" si="16"/>
        <v>129.99999999999545</v>
      </c>
      <c r="AS16" s="58">
        <v>380.59</v>
      </c>
      <c r="AT16" s="65">
        <f t="shared" si="17"/>
        <v>209.99999999997954</v>
      </c>
      <c r="AU16" s="58">
        <v>290.87</v>
      </c>
      <c r="AV16" s="65">
        <f t="shared" si="18"/>
        <v>240.00000000000909</v>
      </c>
      <c r="AW16" s="58">
        <v>324.05</v>
      </c>
      <c r="AX16" s="65">
        <f t="shared" si="19"/>
        <v>60.000000000002274</v>
      </c>
      <c r="AY16" s="58">
        <v>363.5</v>
      </c>
      <c r="AZ16" s="65">
        <f t="shared" si="20"/>
        <v>40.000000000020464</v>
      </c>
      <c r="BA16" s="58">
        <v>382.39</v>
      </c>
      <c r="BB16" s="65">
        <f t="shared" si="21"/>
        <v>29.999999999972715</v>
      </c>
      <c r="BC16" s="58">
        <v>245.71</v>
      </c>
      <c r="BD16" s="65">
        <f t="shared" si="22"/>
        <v>30.000000000001137</v>
      </c>
      <c r="BE16" s="59">
        <v>41725</v>
      </c>
      <c r="BF16" s="67">
        <f t="shared" si="39"/>
        <v>29</v>
      </c>
      <c r="BG16" s="60">
        <v>235.91</v>
      </c>
      <c r="BH16" s="65">
        <f t="shared" si="23"/>
        <v>49.999999999982947</v>
      </c>
      <c r="BI16" s="60">
        <v>294.39</v>
      </c>
      <c r="BJ16" s="65">
        <f t="shared" si="40"/>
        <v>19.99999999998181</v>
      </c>
      <c r="BK16" s="60">
        <v>238.25</v>
      </c>
      <c r="BL16" s="65">
        <f t="shared" si="24"/>
        <v>30.000000000001137</v>
      </c>
      <c r="BM16" s="60">
        <v>225.6</v>
      </c>
      <c r="BN16" s="65">
        <f t="shared" si="25"/>
        <v>39.999999999992042</v>
      </c>
      <c r="BO16" s="60">
        <v>289.41000000000003</v>
      </c>
      <c r="BP16" s="65">
        <f t="shared" si="26"/>
        <v>60.000000000002274</v>
      </c>
      <c r="BQ16" s="60">
        <v>46501</v>
      </c>
      <c r="BR16" s="65">
        <f t="shared" si="27"/>
        <v>25</v>
      </c>
      <c r="BS16" s="60">
        <v>202.23</v>
      </c>
      <c r="BT16" s="65">
        <f t="shared" si="42"/>
        <v>39.999999999992042</v>
      </c>
      <c r="BU16" s="60">
        <v>42508</v>
      </c>
      <c r="BV16" s="65">
        <f t="shared" si="29"/>
        <v>39</v>
      </c>
      <c r="BW16" s="60">
        <v>232.99</v>
      </c>
      <c r="BX16" s="65">
        <f t="shared" si="30"/>
        <v>20.000000000010232</v>
      </c>
      <c r="BY16" s="60">
        <v>62264</v>
      </c>
      <c r="BZ16" s="67">
        <f t="shared" si="31"/>
        <v>34</v>
      </c>
      <c r="CA16" s="60">
        <v>33570.300000000003</v>
      </c>
      <c r="CB16" s="67">
        <f t="shared" si="32"/>
        <v>37.700000000004366</v>
      </c>
      <c r="CC16" s="60">
        <v>12540.6</v>
      </c>
      <c r="CD16" s="67">
        <f t="shared" si="33"/>
        <v>3.3999999999996362</v>
      </c>
      <c r="CE16" s="60">
        <v>6664.2</v>
      </c>
      <c r="CF16" s="67">
        <f t="shared" si="34"/>
        <v>5</v>
      </c>
      <c r="CG16" s="60">
        <v>61387.9</v>
      </c>
      <c r="CH16" s="67">
        <f t="shared" si="35"/>
        <v>50.099999999998545</v>
      </c>
      <c r="CI16" s="60">
        <v>961480</v>
      </c>
      <c r="CJ16" s="67">
        <f t="shared" si="36"/>
        <v>278</v>
      </c>
      <c r="CK16" s="60">
        <v>795.27</v>
      </c>
      <c r="CL16" s="64">
        <f t="shared" si="37"/>
        <v>679.99999999994998</v>
      </c>
      <c r="CM16" s="65">
        <f t="shared" si="41"/>
        <v>66</v>
      </c>
      <c r="CN16" s="62">
        <v>12</v>
      </c>
      <c r="CO16" s="62">
        <v>32</v>
      </c>
      <c r="CP16" s="68">
        <v>11775</v>
      </c>
      <c r="CQ16" s="67">
        <f t="shared" si="38"/>
        <v>47</v>
      </c>
      <c r="CR16" s="68">
        <v>15357</v>
      </c>
      <c r="CS16" s="67">
        <f t="shared" si="38"/>
        <v>19</v>
      </c>
      <c r="CT16" s="75">
        <v>7000</v>
      </c>
      <c r="CU16" s="67">
        <f t="shared" si="38"/>
        <v>14</v>
      </c>
      <c r="CV16" s="68">
        <v>16967</v>
      </c>
      <c r="CW16" s="67">
        <f t="shared" si="38"/>
        <v>25</v>
      </c>
    </row>
    <row r="17" spans="1:101" ht="25.5" customHeight="1" thickBot="1" x14ac:dyDescent="0.45">
      <c r="A17" s="63">
        <v>44422</v>
      </c>
      <c r="B17" s="44"/>
      <c r="C17" s="58">
        <v>2.3893</v>
      </c>
      <c r="D17" s="64">
        <f t="shared" si="0"/>
        <v>2099.9999999999909</v>
      </c>
      <c r="E17" s="58">
        <v>3.3852000000000002</v>
      </c>
      <c r="F17" s="64">
        <f t="shared" si="1"/>
        <v>2500.0000000003906</v>
      </c>
      <c r="G17" s="58">
        <v>3.4434</v>
      </c>
      <c r="H17" s="64">
        <f t="shared" si="2"/>
        <v>2699.9999999999245</v>
      </c>
      <c r="I17" s="58">
        <v>1.6969000000000001</v>
      </c>
      <c r="J17" s="64">
        <f t="shared" si="3"/>
        <v>1400.0000000000678</v>
      </c>
      <c r="K17" s="58">
        <v>2.7406999999999999</v>
      </c>
      <c r="L17" s="64">
        <f t="shared" si="4"/>
        <v>2099.9999999999909</v>
      </c>
      <c r="M17" s="58">
        <v>1.5004</v>
      </c>
      <c r="N17" s="64">
        <f t="shared" si="5"/>
        <v>799.99999999991189</v>
      </c>
      <c r="O17" s="58">
        <v>14622</v>
      </c>
      <c r="P17" s="67">
        <f t="shared" si="44"/>
        <v>9</v>
      </c>
      <c r="Q17" s="58">
        <v>1129</v>
      </c>
      <c r="R17" s="67">
        <f t="shared" si="6"/>
        <v>3</v>
      </c>
      <c r="S17" s="58">
        <v>1031.7</v>
      </c>
      <c r="T17" s="67">
        <f t="shared" si="7"/>
        <v>0.79999999999995453</v>
      </c>
      <c r="U17" s="58">
        <v>432166.8</v>
      </c>
      <c r="V17" s="67">
        <f t="shared" si="8"/>
        <v>324.89999999996508</v>
      </c>
      <c r="W17" s="58">
        <v>410.2</v>
      </c>
      <c r="X17" s="65">
        <f t="shared" si="9"/>
        <v>279.99999999997272</v>
      </c>
      <c r="Y17" s="58">
        <v>2.9611999999999998</v>
      </c>
      <c r="Z17" s="65">
        <f t="shared" si="10"/>
        <v>2199.9999999997576</v>
      </c>
      <c r="AA17" s="58">
        <v>409.04</v>
      </c>
      <c r="AB17" s="65">
        <f t="shared" si="11"/>
        <v>189.99999999999773</v>
      </c>
      <c r="AC17" s="58">
        <v>382.58</v>
      </c>
      <c r="AD17" s="65">
        <f t="shared" si="12"/>
        <v>310.00000000000227</v>
      </c>
      <c r="AE17" s="58">
        <v>578.57000000000005</v>
      </c>
      <c r="AF17" s="65">
        <f t="shared" si="13"/>
        <v>200.00000000004547</v>
      </c>
      <c r="AG17" s="58">
        <v>6106</v>
      </c>
      <c r="AH17" s="67">
        <f t="shared" si="14"/>
        <v>35</v>
      </c>
      <c r="AI17" s="58">
        <v>645.15</v>
      </c>
      <c r="AJ17" s="65">
        <f t="shared" si="15"/>
        <v>529.99999999997272</v>
      </c>
      <c r="AK17" s="58">
        <v>213.11</v>
      </c>
      <c r="AL17" s="65">
        <f t="shared" si="15"/>
        <v>260.00000000001933</v>
      </c>
      <c r="AM17" s="58">
        <v>202.39</v>
      </c>
      <c r="AN17" s="65">
        <f t="shared" si="15"/>
        <v>139.99999999998636</v>
      </c>
      <c r="AO17" s="58">
        <v>195.61</v>
      </c>
      <c r="AP17" s="65">
        <f t="shared" si="15"/>
        <v>170.00000000001592</v>
      </c>
      <c r="AQ17" s="58">
        <v>254.93</v>
      </c>
      <c r="AR17" s="65">
        <f t="shared" si="16"/>
        <v>170.00000000001592</v>
      </c>
      <c r="AS17" s="58">
        <v>380.79</v>
      </c>
      <c r="AT17" s="65">
        <f t="shared" si="17"/>
        <v>200.00000000004547</v>
      </c>
      <c r="AU17" s="58">
        <v>291.08</v>
      </c>
      <c r="AV17" s="65">
        <f t="shared" si="18"/>
        <v>209.99999999997954</v>
      </c>
      <c r="AW17" s="58">
        <v>324.11</v>
      </c>
      <c r="AX17" s="65">
        <f t="shared" si="19"/>
        <v>60.000000000002274</v>
      </c>
      <c r="AY17" s="58">
        <v>363.53</v>
      </c>
      <c r="AZ17" s="65">
        <f t="shared" si="20"/>
        <v>29.999999999972715</v>
      </c>
      <c r="BA17" s="58">
        <v>382.41</v>
      </c>
      <c r="BB17" s="65">
        <f t="shared" si="21"/>
        <v>20.000000000038654</v>
      </c>
      <c r="BC17" s="58">
        <v>245.74</v>
      </c>
      <c r="BD17" s="65">
        <f t="shared" si="22"/>
        <v>30.000000000001137</v>
      </c>
      <c r="BE17" s="59">
        <v>41752</v>
      </c>
      <c r="BF17" s="67">
        <f t="shared" si="39"/>
        <v>27</v>
      </c>
      <c r="BG17" s="60">
        <v>235.95</v>
      </c>
      <c r="BH17" s="65">
        <f t="shared" si="23"/>
        <v>39.999999999992042</v>
      </c>
      <c r="BI17" s="60">
        <v>294.42</v>
      </c>
      <c r="BJ17" s="65">
        <f t="shared" si="40"/>
        <v>30.000000000029559</v>
      </c>
      <c r="BK17" s="60">
        <v>238.29</v>
      </c>
      <c r="BL17" s="65">
        <f t="shared" si="24"/>
        <v>39.999999999992042</v>
      </c>
      <c r="BM17" s="60">
        <v>225.65</v>
      </c>
      <c r="BN17" s="65">
        <f t="shared" si="25"/>
        <v>50.000000000011369</v>
      </c>
      <c r="BO17" s="60">
        <v>289.47000000000003</v>
      </c>
      <c r="BP17" s="65">
        <f t="shared" si="26"/>
        <v>60.000000000002274</v>
      </c>
      <c r="BQ17" s="60">
        <v>46528</v>
      </c>
      <c r="BR17" s="65">
        <f t="shared" si="27"/>
        <v>27</v>
      </c>
      <c r="BS17" s="60">
        <v>202.27</v>
      </c>
      <c r="BT17" s="65">
        <f t="shared" si="42"/>
        <v>40.000000000020464</v>
      </c>
      <c r="BU17" s="60">
        <v>42549</v>
      </c>
      <c r="BV17" s="65">
        <f t="shared" si="29"/>
        <v>41</v>
      </c>
      <c r="BW17" s="60">
        <v>233</v>
      </c>
      <c r="BX17" s="65">
        <f t="shared" si="30"/>
        <v>9.9999999999909051</v>
      </c>
      <c r="BY17" s="60">
        <v>62299</v>
      </c>
      <c r="BZ17" s="67">
        <f t="shared" si="31"/>
        <v>35</v>
      </c>
      <c r="CA17" s="60">
        <v>33596.199999999997</v>
      </c>
      <c r="CB17" s="67">
        <f t="shared" si="32"/>
        <v>25.899999999994179</v>
      </c>
      <c r="CC17" s="60">
        <v>12547.6</v>
      </c>
      <c r="CD17" s="67">
        <f t="shared" si="33"/>
        <v>7</v>
      </c>
      <c r="CE17" s="60">
        <v>6664.8</v>
      </c>
      <c r="CF17" s="67">
        <f t="shared" si="34"/>
        <v>0.6000000000003638</v>
      </c>
      <c r="CG17" s="60">
        <v>61430.2</v>
      </c>
      <c r="CH17" s="67">
        <f t="shared" si="35"/>
        <v>42.299999999995634</v>
      </c>
      <c r="CI17" s="60">
        <v>961762</v>
      </c>
      <c r="CJ17" s="67">
        <f t="shared" si="36"/>
        <v>282</v>
      </c>
      <c r="CK17" s="60">
        <v>796.07</v>
      </c>
      <c r="CL17" s="64">
        <f t="shared" si="37"/>
        <v>800.00000000006821</v>
      </c>
      <c r="CM17" s="65">
        <f t="shared" si="41"/>
        <v>55</v>
      </c>
      <c r="CN17" s="62">
        <v>12</v>
      </c>
      <c r="CO17" s="62">
        <v>32</v>
      </c>
      <c r="CP17" s="68">
        <v>11806</v>
      </c>
      <c r="CQ17" s="67">
        <f t="shared" si="38"/>
        <v>31</v>
      </c>
      <c r="CR17" s="68">
        <v>15381</v>
      </c>
      <c r="CS17" s="67">
        <f t="shared" si="38"/>
        <v>24</v>
      </c>
      <c r="CT17" s="75">
        <v>7010</v>
      </c>
      <c r="CU17" s="67">
        <f t="shared" si="38"/>
        <v>10</v>
      </c>
      <c r="CV17" s="68">
        <v>16986</v>
      </c>
      <c r="CW17" s="67">
        <f t="shared" si="38"/>
        <v>19</v>
      </c>
    </row>
    <row r="18" spans="1:101" ht="25.5" customHeight="1" thickBot="1" x14ac:dyDescent="0.45">
      <c r="A18" s="63">
        <v>44423</v>
      </c>
      <c r="B18" s="44"/>
      <c r="C18" s="58">
        <v>2.3915000000000002</v>
      </c>
      <c r="D18" s="64">
        <f t="shared" si="0"/>
        <v>2200.0000000002019</v>
      </c>
      <c r="E18" s="58">
        <v>3.3877999999999999</v>
      </c>
      <c r="F18" s="64">
        <f t="shared" si="1"/>
        <v>2599.9999999997135</v>
      </c>
      <c r="G18" s="58">
        <v>3.4462000000000002</v>
      </c>
      <c r="H18" s="64">
        <f t="shared" si="2"/>
        <v>2800.0000000001355</v>
      </c>
      <c r="I18" s="58">
        <v>1.6981999999999999</v>
      </c>
      <c r="J18" s="64">
        <f t="shared" si="3"/>
        <v>1299.9999999998568</v>
      </c>
      <c r="K18" s="58">
        <v>2.7427000000000001</v>
      </c>
      <c r="L18" s="64">
        <f t="shared" si="4"/>
        <v>2000.0000000002237</v>
      </c>
      <c r="M18" s="58">
        <v>1.5013000000000001</v>
      </c>
      <c r="N18" s="64">
        <f t="shared" si="5"/>
        <v>900.0000000001229</v>
      </c>
      <c r="O18" s="58">
        <v>14628</v>
      </c>
      <c r="P18" s="67">
        <f t="shared" si="44"/>
        <v>6</v>
      </c>
      <c r="Q18" s="58">
        <v>1132</v>
      </c>
      <c r="R18" s="67">
        <f t="shared" si="6"/>
        <v>3</v>
      </c>
      <c r="S18" s="58">
        <v>1032.5</v>
      </c>
      <c r="T18" s="67">
        <f t="shared" si="7"/>
        <v>0.79999999999995453</v>
      </c>
      <c r="U18" s="58">
        <v>432486.5</v>
      </c>
      <c r="V18" s="67">
        <f t="shared" si="8"/>
        <v>319.70000000001164</v>
      </c>
      <c r="W18" s="58">
        <v>410.51</v>
      </c>
      <c r="X18" s="65">
        <f t="shared" si="9"/>
        <v>310.00000000000227</v>
      </c>
      <c r="Y18" s="58">
        <v>2.9634999999999998</v>
      </c>
      <c r="Z18" s="65">
        <f t="shared" si="10"/>
        <v>2299.9999999999686</v>
      </c>
      <c r="AA18" s="58">
        <v>409.38</v>
      </c>
      <c r="AB18" s="65">
        <f t="shared" si="11"/>
        <v>339.99999999997499</v>
      </c>
      <c r="AC18" s="58">
        <v>382.86</v>
      </c>
      <c r="AD18" s="65">
        <f t="shared" si="12"/>
        <v>280.00000000002956</v>
      </c>
      <c r="AE18" s="58">
        <v>578.77</v>
      </c>
      <c r="AF18" s="65">
        <f t="shared" si="13"/>
        <v>199.99999999993179</v>
      </c>
      <c r="AG18" s="58">
        <v>6141</v>
      </c>
      <c r="AH18" s="67">
        <f t="shared" si="14"/>
        <v>35</v>
      </c>
      <c r="AI18" s="58">
        <v>645.65</v>
      </c>
      <c r="AJ18" s="65">
        <f t="shared" si="15"/>
        <v>500</v>
      </c>
      <c r="AK18" s="58">
        <v>213.41</v>
      </c>
      <c r="AL18" s="65">
        <f t="shared" si="15"/>
        <v>299.99999999998295</v>
      </c>
      <c r="AM18" s="58">
        <v>202.58</v>
      </c>
      <c r="AN18" s="65">
        <f t="shared" si="15"/>
        <v>190.00000000002615</v>
      </c>
      <c r="AO18" s="58">
        <v>195.78</v>
      </c>
      <c r="AP18" s="65">
        <f t="shared" si="15"/>
        <v>169.99999999998749</v>
      </c>
      <c r="AQ18" s="58">
        <v>255.11</v>
      </c>
      <c r="AR18" s="65">
        <f t="shared" si="16"/>
        <v>180.00000000000682</v>
      </c>
      <c r="AS18" s="58">
        <v>380.99</v>
      </c>
      <c r="AT18" s="65">
        <f t="shared" si="17"/>
        <v>199.99999999998863</v>
      </c>
      <c r="AU18" s="58">
        <v>291.33</v>
      </c>
      <c r="AV18" s="65">
        <f t="shared" si="18"/>
        <v>250</v>
      </c>
      <c r="AW18" s="58">
        <v>324.19</v>
      </c>
      <c r="AX18" s="65">
        <f t="shared" si="19"/>
        <v>79.999999999984084</v>
      </c>
      <c r="AY18" s="58">
        <v>363.58</v>
      </c>
      <c r="AZ18" s="65">
        <f t="shared" si="20"/>
        <v>50.000000000011369</v>
      </c>
      <c r="BA18" s="58">
        <v>382.43</v>
      </c>
      <c r="BB18" s="65">
        <f t="shared" si="21"/>
        <v>19.99999999998181</v>
      </c>
      <c r="BC18" s="58">
        <v>245.78</v>
      </c>
      <c r="BD18" s="65">
        <f t="shared" si="22"/>
        <v>39.999999999992042</v>
      </c>
      <c r="BE18" s="59">
        <v>41773</v>
      </c>
      <c r="BF18" s="67">
        <f t="shared" si="39"/>
        <v>21</v>
      </c>
      <c r="BG18" s="60">
        <v>236</v>
      </c>
      <c r="BH18" s="65">
        <f t="shared" si="23"/>
        <v>50.000000000011369</v>
      </c>
      <c r="BI18" s="60">
        <v>294.44</v>
      </c>
      <c r="BJ18" s="65">
        <f t="shared" si="40"/>
        <v>19.99999999998181</v>
      </c>
      <c r="BK18" s="60">
        <v>238.34</v>
      </c>
      <c r="BL18" s="65">
        <f t="shared" si="24"/>
        <v>50.000000000011369</v>
      </c>
      <c r="BM18" s="60">
        <v>225.69</v>
      </c>
      <c r="BN18" s="65">
        <f t="shared" si="25"/>
        <v>39.999999999992042</v>
      </c>
      <c r="BO18" s="60">
        <v>289.52999999999997</v>
      </c>
      <c r="BP18" s="65">
        <f t="shared" si="26"/>
        <v>59.99999999994543</v>
      </c>
      <c r="BQ18" s="60">
        <v>46553</v>
      </c>
      <c r="BR18" s="65">
        <f t="shared" si="27"/>
        <v>25</v>
      </c>
      <c r="BS18" s="60">
        <v>202.31</v>
      </c>
      <c r="BT18" s="65">
        <f t="shared" si="42"/>
        <v>39.999999999992042</v>
      </c>
      <c r="BU18" s="60">
        <v>42593</v>
      </c>
      <c r="BV18" s="65">
        <f t="shared" si="29"/>
        <v>44</v>
      </c>
      <c r="BW18" s="60">
        <v>233.02</v>
      </c>
      <c r="BX18" s="65">
        <f t="shared" si="30"/>
        <v>20.000000000010232</v>
      </c>
      <c r="BY18" s="60">
        <v>62341</v>
      </c>
      <c r="BZ18" s="67">
        <f t="shared" si="31"/>
        <v>42</v>
      </c>
      <c r="CA18" s="60">
        <v>33624.9</v>
      </c>
      <c r="CB18" s="67">
        <f t="shared" si="32"/>
        <v>28.700000000004366</v>
      </c>
      <c r="CC18" s="60">
        <v>12553.1</v>
      </c>
      <c r="CD18" s="67">
        <f t="shared" si="33"/>
        <v>5.5</v>
      </c>
      <c r="CE18" s="60">
        <v>6671.8</v>
      </c>
      <c r="CF18" s="67">
        <f t="shared" si="34"/>
        <v>7</v>
      </c>
      <c r="CG18" s="60">
        <v>61486.7</v>
      </c>
      <c r="CH18" s="67">
        <f t="shared" si="35"/>
        <v>56.5</v>
      </c>
      <c r="CI18" s="60">
        <v>962047</v>
      </c>
      <c r="CJ18" s="67">
        <f t="shared" si="36"/>
        <v>285</v>
      </c>
      <c r="CK18" s="60">
        <v>796.87</v>
      </c>
      <c r="CL18" s="64">
        <f t="shared" si="37"/>
        <v>799.99999999995453</v>
      </c>
      <c r="CM18" s="65">
        <f t="shared" si="41"/>
        <v>88</v>
      </c>
      <c r="CN18" s="62">
        <v>16</v>
      </c>
      <c r="CO18" s="62">
        <v>40</v>
      </c>
      <c r="CP18" s="68">
        <v>11870</v>
      </c>
      <c r="CQ18" s="67">
        <f t="shared" si="38"/>
        <v>64</v>
      </c>
      <c r="CR18" s="68">
        <v>15405</v>
      </c>
      <c r="CS18" s="67">
        <f t="shared" si="38"/>
        <v>24</v>
      </c>
      <c r="CT18" s="75">
        <v>7020</v>
      </c>
      <c r="CU18" s="67">
        <f t="shared" si="38"/>
        <v>10</v>
      </c>
      <c r="CV18" s="68">
        <v>17005</v>
      </c>
      <c r="CW18" s="67">
        <f t="shared" si="38"/>
        <v>19</v>
      </c>
    </row>
    <row r="19" spans="1:101" ht="25.5" customHeight="1" thickBot="1" x14ac:dyDescent="0.45">
      <c r="A19" s="63">
        <v>44424</v>
      </c>
      <c r="B19" s="44"/>
      <c r="C19" s="58">
        <v>2.3932000000000002</v>
      </c>
      <c r="D19" s="64">
        <f t="shared" si="0"/>
        <v>1700.0000000000348</v>
      </c>
      <c r="E19" s="58">
        <v>3.3904000000000001</v>
      </c>
      <c r="F19" s="64">
        <f t="shared" si="1"/>
        <v>2600.0000000001578</v>
      </c>
      <c r="G19" s="58">
        <v>3.4487999999999999</v>
      </c>
      <c r="H19" s="64">
        <f t="shared" si="2"/>
        <v>2599.9999999997135</v>
      </c>
      <c r="I19" s="58">
        <v>1.6994</v>
      </c>
      <c r="J19" s="64">
        <f t="shared" si="3"/>
        <v>1200.0000000000898</v>
      </c>
      <c r="K19" s="58">
        <v>2.7444000000000002</v>
      </c>
      <c r="L19" s="64">
        <f t="shared" si="4"/>
        <v>1700.0000000000348</v>
      </c>
      <c r="M19" s="58">
        <v>1.5022</v>
      </c>
      <c r="N19" s="64">
        <f t="shared" si="5"/>
        <v>899.99999999990087</v>
      </c>
      <c r="O19" s="58">
        <v>14632</v>
      </c>
      <c r="P19" s="67">
        <f t="shared" si="44"/>
        <v>4</v>
      </c>
      <c r="Q19" s="58">
        <v>1134</v>
      </c>
      <c r="R19" s="67">
        <f t="shared" si="6"/>
        <v>2</v>
      </c>
      <c r="S19" s="58">
        <v>1033.2</v>
      </c>
      <c r="T19" s="67">
        <f t="shared" si="7"/>
        <v>0.70000000000004547</v>
      </c>
      <c r="U19" s="58">
        <v>432764.5</v>
      </c>
      <c r="V19" s="67">
        <f t="shared" si="8"/>
        <v>278</v>
      </c>
      <c r="W19" s="58">
        <v>410.73</v>
      </c>
      <c r="X19" s="65">
        <f t="shared" si="9"/>
        <v>220.00000000002728</v>
      </c>
      <c r="Y19" s="58">
        <v>2.9658000000000002</v>
      </c>
      <c r="Z19" s="65">
        <f t="shared" si="10"/>
        <v>2300.0000000004129</v>
      </c>
      <c r="AA19" s="58">
        <v>409.7</v>
      </c>
      <c r="AB19" s="65">
        <f t="shared" si="11"/>
        <v>319.99999999999318</v>
      </c>
      <c r="AC19" s="58">
        <v>383.08</v>
      </c>
      <c r="AD19" s="65">
        <f t="shared" si="12"/>
        <v>219.99999999997044</v>
      </c>
      <c r="AE19" s="58">
        <v>578.98</v>
      </c>
      <c r="AF19" s="65">
        <f t="shared" si="13"/>
        <v>210.00000000003638</v>
      </c>
      <c r="AG19" s="58">
        <v>6173</v>
      </c>
      <c r="AH19" s="67">
        <f t="shared" si="14"/>
        <v>32</v>
      </c>
      <c r="AI19" s="58">
        <v>646.04999999999995</v>
      </c>
      <c r="AJ19" s="65">
        <f t="shared" si="15"/>
        <v>399.99999999997726</v>
      </c>
      <c r="AK19" s="58">
        <v>213.66</v>
      </c>
      <c r="AL19" s="65">
        <f t="shared" si="15"/>
        <v>250</v>
      </c>
      <c r="AM19" s="58">
        <v>202.73</v>
      </c>
      <c r="AN19" s="65">
        <f t="shared" si="15"/>
        <v>149.99999999997726</v>
      </c>
      <c r="AO19" s="58">
        <v>195.89</v>
      </c>
      <c r="AP19" s="65">
        <f t="shared" si="15"/>
        <v>109.99999999998522</v>
      </c>
      <c r="AQ19" s="58">
        <v>255.22</v>
      </c>
      <c r="AR19" s="65">
        <f t="shared" si="16"/>
        <v>109.99999999998522</v>
      </c>
      <c r="AS19" s="58">
        <v>381.16</v>
      </c>
      <c r="AT19" s="65">
        <f t="shared" si="17"/>
        <v>170.00000000001592</v>
      </c>
      <c r="AU19" s="58">
        <v>291.52</v>
      </c>
      <c r="AV19" s="65">
        <f t="shared" si="18"/>
        <v>189.99999999999773</v>
      </c>
      <c r="AW19" s="58">
        <v>324.25</v>
      </c>
      <c r="AX19" s="65">
        <f t="shared" si="19"/>
        <v>60.000000000002274</v>
      </c>
      <c r="AY19" s="58">
        <v>363.61</v>
      </c>
      <c r="AZ19" s="65">
        <f t="shared" si="20"/>
        <v>30.000000000029559</v>
      </c>
      <c r="BA19" s="58">
        <v>382.46</v>
      </c>
      <c r="BB19" s="65">
        <f t="shared" si="21"/>
        <v>29.999999999972715</v>
      </c>
      <c r="BC19" s="58">
        <v>245.81</v>
      </c>
      <c r="BD19" s="65">
        <f t="shared" si="22"/>
        <v>30.000000000001137</v>
      </c>
      <c r="BE19" s="59">
        <v>41808</v>
      </c>
      <c r="BF19" s="67">
        <f t="shared" si="39"/>
        <v>35</v>
      </c>
      <c r="BG19" s="60">
        <v>236.03</v>
      </c>
      <c r="BH19" s="65">
        <f t="shared" si="23"/>
        <v>30.000000000001137</v>
      </c>
      <c r="BI19" s="60">
        <v>294.47000000000003</v>
      </c>
      <c r="BJ19" s="65">
        <f t="shared" si="40"/>
        <v>30.000000000029559</v>
      </c>
      <c r="BK19" s="60">
        <v>238.37</v>
      </c>
      <c r="BL19" s="65">
        <f t="shared" si="24"/>
        <v>30.000000000001137</v>
      </c>
      <c r="BM19" s="60">
        <v>225.73</v>
      </c>
      <c r="BN19" s="65">
        <f t="shared" si="25"/>
        <v>39.999999999992042</v>
      </c>
      <c r="BO19" s="60">
        <v>289.57</v>
      </c>
      <c r="BP19" s="65">
        <f t="shared" si="26"/>
        <v>40.000000000020464</v>
      </c>
      <c r="BQ19" s="60">
        <v>46569</v>
      </c>
      <c r="BR19" s="65">
        <f t="shared" si="27"/>
        <v>16</v>
      </c>
      <c r="BS19" s="60">
        <v>202.34</v>
      </c>
      <c r="BT19" s="65">
        <f t="shared" si="42"/>
        <v>30.000000000001137</v>
      </c>
      <c r="BU19" s="60">
        <v>42628</v>
      </c>
      <c r="BV19" s="65">
        <f t="shared" si="29"/>
        <v>35</v>
      </c>
      <c r="BW19" s="60">
        <v>233.04</v>
      </c>
      <c r="BX19" s="65">
        <f t="shared" si="30"/>
        <v>19.99999999998181</v>
      </c>
      <c r="BY19" s="60">
        <v>62372</v>
      </c>
      <c r="BZ19" s="67">
        <f t="shared" si="31"/>
        <v>31</v>
      </c>
      <c r="CA19" s="60">
        <v>33661.300000000003</v>
      </c>
      <c r="CB19" s="67">
        <f t="shared" si="32"/>
        <v>36.400000000001455</v>
      </c>
      <c r="CC19" s="60">
        <v>12559.1</v>
      </c>
      <c r="CD19" s="67">
        <f t="shared" si="33"/>
        <v>6</v>
      </c>
      <c r="CE19" s="60">
        <v>6677.1</v>
      </c>
      <c r="CF19" s="67">
        <f t="shared" si="34"/>
        <v>5.3000000000001819</v>
      </c>
      <c r="CG19" s="60">
        <v>61536.9</v>
      </c>
      <c r="CH19" s="67">
        <f t="shared" si="35"/>
        <v>50.200000000004366</v>
      </c>
      <c r="CI19" s="60">
        <v>962316</v>
      </c>
      <c r="CJ19" s="67">
        <f t="shared" si="36"/>
        <v>269</v>
      </c>
      <c r="CK19" s="60">
        <v>797.6</v>
      </c>
      <c r="CL19" s="64">
        <f t="shared" si="37"/>
        <v>730.00000000001819</v>
      </c>
      <c r="CM19" s="65">
        <f t="shared" si="41"/>
        <v>62</v>
      </c>
      <c r="CN19" s="62">
        <v>16</v>
      </c>
      <c r="CO19" s="62">
        <v>42</v>
      </c>
      <c r="CP19" s="68">
        <v>11910</v>
      </c>
      <c r="CQ19" s="67">
        <f t="shared" si="38"/>
        <v>40</v>
      </c>
      <c r="CR19" s="68">
        <v>15427</v>
      </c>
      <c r="CS19" s="67">
        <f t="shared" si="38"/>
        <v>22</v>
      </c>
      <c r="CT19" s="75">
        <v>7030</v>
      </c>
      <c r="CU19" s="67">
        <f t="shared" si="38"/>
        <v>10</v>
      </c>
      <c r="CV19" s="68">
        <v>17022</v>
      </c>
      <c r="CW19" s="67">
        <f t="shared" si="38"/>
        <v>17</v>
      </c>
    </row>
    <row r="20" spans="1:101" ht="25.5" customHeight="1" thickBot="1" x14ac:dyDescent="0.45">
      <c r="A20" s="63">
        <v>44425</v>
      </c>
      <c r="B20" s="44"/>
      <c r="C20" s="58">
        <v>2.3950999999999998</v>
      </c>
      <c r="D20" s="64">
        <f t="shared" si="0"/>
        <v>1899.9999999995687</v>
      </c>
      <c r="E20" s="58">
        <v>3.3929</v>
      </c>
      <c r="F20" s="64">
        <f t="shared" si="1"/>
        <v>2499.9999999999468</v>
      </c>
      <c r="G20" s="58">
        <v>3.4514</v>
      </c>
      <c r="H20" s="64">
        <f t="shared" si="2"/>
        <v>2600.0000000001578</v>
      </c>
      <c r="I20" s="58">
        <v>1.7005999999999999</v>
      </c>
      <c r="J20" s="64">
        <f t="shared" si="3"/>
        <v>1199.9999999998679</v>
      </c>
      <c r="K20" s="58">
        <v>2.7463000000000002</v>
      </c>
      <c r="L20" s="64">
        <f t="shared" si="4"/>
        <v>1900.0000000000127</v>
      </c>
      <c r="M20" s="58">
        <v>1.5027999999999999</v>
      </c>
      <c r="N20" s="64">
        <f t="shared" si="5"/>
        <v>599.99999999993395</v>
      </c>
      <c r="O20" s="58">
        <v>14636</v>
      </c>
      <c r="P20" s="67">
        <f t="shared" si="44"/>
        <v>4</v>
      </c>
      <c r="Q20" s="58">
        <v>1136</v>
      </c>
      <c r="R20" s="67">
        <f t="shared" si="6"/>
        <v>2</v>
      </c>
      <c r="S20" s="58">
        <v>1034.0999999999999</v>
      </c>
      <c r="T20" s="67">
        <f t="shared" si="7"/>
        <v>0.89999999999986358</v>
      </c>
      <c r="U20" s="58">
        <v>433079.5</v>
      </c>
      <c r="V20" s="67">
        <f t="shared" si="8"/>
        <v>315</v>
      </c>
      <c r="W20" s="58">
        <v>410.96</v>
      </c>
      <c r="X20" s="65">
        <f t="shared" si="9"/>
        <v>229.99999999996135</v>
      </c>
      <c r="Y20" s="58">
        <v>2.9681000000000002</v>
      </c>
      <c r="Z20" s="65">
        <f t="shared" si="10"/>
        <v>2299.9999999999686</v>
      </c>
      <c r="AA20" s="58">
        <v>409.86</v>
      </c>
      <c r="AB20" s="65">
        <f t="shared" si="11"/>
        <v>160.00000000002501</v>
      </c>
      <c r="AC20" s="58">
        <v>383.28</v>
      </c>
      <c r="AD20" s="65">
        <f t="shared" si="12"/>
        <v>199.99999999998863</v>
      </c>
      <c r="AE20" s="58">
        <v>579.16</v>
      </c>
      <c r="AF20" s="65">
        <f t="shared" si="13"/>
        <v>179.99999999994998</v>
      </c>
      <c r="AG20" s="58">
        <v>6207</v>
      </c>
      <c r="AH20" s="67">
        <f t="shared" si="14"/>
        <v>34</v>
      </c>
      <c r="AI20" s="58">
        <v>646.49</v>
      </c>
      <c r="AJ20" s="65">
        <f t="shared" si="15"/>
        <v>440.00000000005457</v>
      </c>
      <c r="AK20" s="58">
        <v>213.93</v>
      </c>
      <c r="AL20" s="65">
        <f t="shared" si="15"/>
        <v>270.00000000001023</v>
      </c>
      <c r="AM20" s="58">
        <v>202.91</v>
      </c>
      <c r="AN20" s="65">
        <f t="shared" si="15"/>
        <v>180.00000000000682</v>
      </c>
      <c r="AO20" s="58">
        <v>196</v>
      </c>
      <c r="AP20" s="65">
        <f t="shared" si="15"/>
        <v>110.00000000001364</v>
      </c>
      <c r="AQ20" s="58">
        <v>255.33</v>
      </c>
      <c r="AR20" s="65">
        <f t="shared" si="16"/>
        <v>110.00000000001364</v>
      </c>
      <c r="AS20" s="58">
        <v>381.34</v>
      </c>
      <c r="AT20" s="65">
        <f t="shared" si="17"/>
        <v>179.99999999994998</v>
      </c>
      <c r="AU20" s="58">
        <v>291.74</v>
      </c>
      <c r="AV20" s="65">
        <f t="shared" si="18"/>
        <v>220.00000000002728</v>
      </c>
      <c r="AW20" s="58">
        <v>324.3</v>
      </c>
      <c r="AX20" s="65">
        <f t="shared" si="19"/>
        <v>50.000000000011369</v>
      </c>
      <c r="AY20" s="58">
        <v>363.64</v>
      </c>
      <c r="AZ20" s="65">
        <f t="shared" si="20"/>
        <v>29.999999999972715</v>
      </c>
      <c r="BA20" s="58">
        <v>382.48</v>
      </c>
      <c r="BB20" s="65">
        <f t="shared" si="21"/>
        <v>20.000000000038654</v>
      </c>
      <c r="BC20" s="58">
        <v>245.84</v>
      </c>
      <c r="BD20" s="65">
        <f t="shared" si="22"/>
        <v>30.000000000001137</v>
      </c>
      <c r="BE20" s="59">
        <v>41835</v>
      </c>
      <c r="BF20" s="67">
        <f t="shared" si="39"/>
        <v>27</v>
      </c>
      <c r="BG20" s="60">
        <v>236.07</v>
      </c>
      <c r="BH20" s="65">
        <f t="shared" si="23"/>
        <v>39.999999999992042</v>
      </c>
      <c r="BI20" s="60">
        <v>294.49</v>
      </c>
      <c r="BJ20" s="65">
        <f t="shared" si="40"/>
        <v>19.99999999998181</v>
      </c>
      <c r="BK20" s="60">
        <v>238.4</v>
      </c>
      <c r="BL20" s="65">
        <f t="shared" si="24"/>
        <v>30.000000000001137</v>
      </c>
      <c r="BM20" s="60">
        <v>225.76</v>
      </c>
      <c r="BN20" s="65">
        <f t="shared" si="25"/>
        <v>30.000000000001137</v>
      </c>
      <c r="BO20" s="60">
        <v>289.61</v>
      </c>
      <c r="BP20" s="65">
        <f t="shared" si="26"/>
        <v>40.000000000020464</v>
      </c>
      <c r="BQ20" s="60">
        <v>46588</v>
      </c>
      <c r="BR20" s="65">
        <f t="shared" si="27"/>
        <v>19</v>
      </c>
      <c r="BS20" s="60">
        <v>202.38</v>
      </c>
      <c r="BT20" s="65">
        <f t="shared" si="42"/>
        <v>39.999999999992042</v>
      </c>
      <c r="BU20" s="60">
        <v>42666</v>
      </c>
      <c r="BV20" s="65">
        <f t="shared" si="29"/>
        <v>38</v>
      </c>
      <c r="BW20" s="60">
        <v>233.06</v>
      </c>
      <c r="BX20" s="65">
        <f t="shared" si="30"/>
        <v>20.000000000010232</v>
      </c>
      <c r="BY20" s="60">
        <v>62408</v>
      </c>
      <c r="BZ20" s="67">
        <f t="shared" si="31"/>
        <v>36</v>
      </c>
      <c r="CA20" s="60">
        <v>33688.5</v>
      </c>
      <c r="CB20" s="67">
        <f t="shared" si="32"/>
        <v>27.19999999999709</v>
      </c>
      <c r="CC20" s="60">
        <v>12565.4</v>
      </c>
      <c r="CD20" s="67">
        <f t="shared" si="33"/>
        <v>6.2999999999992724</v>
      </c>
      <c r="CE20" s="60">
        <v>6677.7</v>
      </c>
      <c r="CF20" s="67">
        <f t="shared" si="34"/>
        <v>0.5999999999994543</v>
      </c>
      <c r="CG20" s="60">
        <v>61590.400000000001</v>
      </c>
      <c r="CH20" s="67">
        <f t="shared" si="35"/>
        <v>53.5</v>
      </c>
      <c r="CI20" s="60">
        <v>962586</v>
      </c>
      <c r="CJ20" s="67">
        <f t="shared" si="36"/>
        <v>270</v>
      </c>
      <c r="CK20" s="60">
        <v>798.3</v>
      </c>
      <c r="CL20" s="64">
        <f t="shared" si="37"/>
        <v>699.99999999993179</v>
      </c>
      <c r="CM20" s="65">
        <f t="shared" si="41"/>
        <v>63</v>
      </c>
      <c r="CN20" s="62">
        <v>16</v>
      </c>
      <c r="CO20" s="62">
        <v>42</v>
      </c>
      <c r="CP20" s="68">
        <v>11952</v>
      </c>
      <c r="CQ20" s="67">
        <f t="shared" si="38"/>
        <v>42</v>
      </c>
      <c r="CR20" s="68">
        <v>15448</v>
      </c>
      <c r="CS20" s="67">
        <f t="shared" si="38"/>
        <v>21</v>
      </c>
      <c r="CT20" s="75">
        <v>7040</v>
      </c>
      <c r="CU20" s="67">
        <f t="shared" si="38"/>
        <v>10</v>
      </c>
      <c r="CV20" s="68">
        <v>17038</v>
      </c>
      <c r="CW20" s="67">
        <f t="shared" si="38"/>
        <v>16</v>
      </c>
    </row>
    <row r="21" spans="1:101" ht="25.5" customHeight="1" thickBot="1" x14ac:dyDescent="0.45">
      <c r="A21" s="63">
        <v>44426</v>
      </c>
      <c r="B21" s="44"/>
      <c r="C21" s="58">
        <v>2.3969</v>
      </c>
      <c r="D21" s="64">
        <f t="shared" si="0"/>
        <v>1800.0000000002458</v>
      </c>
      <c r="E21" s="58">
        <v>3.3957000000000002</v>
      </c>
      <c r="F21" s="64">
        <f t="shared" si="1"/>
        <v>2800.0000000001355</v>
      </c>
      <c r="G21" s="58">
        <v>3.4540999999999999</v>
      </c>
      <c r="H21" s="64">
        <f t="shared" si="2"/>
        <v>2699.9999999999245</v>
      </c>
      <c r="I21" s="58">
        <v>1.7019</v>
      </c>
      <c r="J21" s="64">
        <f t="shared" si="3"/>
        <v>1300.0000000000789</v>
      </c>
      <c r="K21" s="58">
        <v>2.7482000000000002</v>
      </c>
      <c r="L21" s="64">
        <f t="shared" si="4"/>
        <v>1900.0000000000127</v>
      </c>
      <c r="M21" s="58">
        <v>1.5036</v>
      </c>
      <c r="N21" s="64">
        <f t="shared" si="5"/>
        <v>800.00000000013392</v>
      </c>
      <c r="O21" s="58">
        <v>14637</v>
      </c>
      <c r="P21" s="67">
        <f t="shared" si="44"/>
        <v>1</v>
      </c>
      <c r="Q21" s="58">
        <v>1139</v>
      </c>
      <c r="R21" s="67">
        <f t="shared" si="6"/>
        <v>3</v>
      </c>
      <c r="S21" s="58">
        <v>1035</v>
      </c>
      <c r="T21" s="67">
        <f t="shared" si="7"/>
        <v>0.90000000000009095</v>
      </c>
      <c r="U21" s="58">
        <v>433421.7</v>
      </c>
      <c r="V21" s="67">
        <f t="shared" si="8"/>
        <v>342.20000000001164</v>
      </c>
      <c r="W21" s="58">
        <v>411.25</v>
      </c>
      <c r="X21" s="65">
        <f t="shared" si="9"/>
        <v>290.00000000002046</v>
      </c>
      <c r="Y21" s="58">
        <v>2.9706000000000001</v>
      </c>
      <c r="Z21" s="65">
        <f t="shared" si="10"/>
        <v>2499.9999999999468</v>
      </c>
      <c r="AA21" s="58">
        <v>410.2</v>
      </c>
      <c r="AB21" s="65">
        <f t="shared" si="11"/>
        <v>339.99999999997499</v>
      </c>
      <c r="AC21" s="58">
        <v>383.5</v>
      </c>
      <c r="AD21" s="65">
        <f t="shared" si="12"/>
        <v>220.00000000002728</v>
      </c>
      <c r="AE21" s="58">
        <v>579.34</v>
      </c>
      <c r="AF21" s="65">
        <f t="shared" si="13"/>
        <v>180.00000000006366</v>
      </c>
      <c r="AG21" s="58">
        <v>6238</v>
      </c>
      <c r="AH21" s="67">
        <f t="shared" si="14"/>
        <v>31</v>
      </c>
      <c r="AI21" s="58">
        <v>646.95000000000005</v>
      </c>
      <c r="AJ21" s="65">
        <f t="shared" si="15"/>
        <v>460.00000000003638</v>
      </c>
      <c r="AK21" s="58">
        <v>214.18</v>
      </c>
      <c r="AL21" s="65">
        <f t="shared" si="15"/>
        <v>250</v>
      </c>
      <c r="AM21" s="58">
        <v>203.13</v>
      </c>
      <c r="AN21" s="65">
        <f t="shared" si="15"/>
        <v>219.99999999999886</v>
      </c>
      <c r="AO21" s="58">
        <v>196.08</v>
      </c>
      <c r="AP21" s="65">
        <f t="shared" si="15"/>
        <v>80.000000000012506</v>
      </c>
      <c r="AQ21" s="58">
        <v>255.44</v>
      </c>
      <c r="AR21" s="65">
        <f t="shared" si="16"/>
        <v>109.99999999998522</v>
      </c>
      <c r="AS21" s="58">
        <v>381.51</v>
      </c>
      <c r="AT21" s="65">
        <f t="shared" si="17"/>
        <v>170.00000000001592</v>
      </c>
      <c r="AU21" s="58">
        <v>291.88</v>
      </c>
      <c r="AV21" s="65">
        <f t="shared" si="18"/>
        <v>139.99999999998636</v>
      </c>
      <c r="AW21" s="58">
        <v>324.36</v>
      </c>
      <c r="AX21" s="65">
        <f t="shared" si="19"/>
        <v>60.000000000002274</v>
      </c>
      <c r="AY21" s="58">
        <v>363.67</v>
      </c>
      <c r="AZ21" s="65">
        <f t="shared" si="20"/>
        <v>30.000000000029559</v>
      </c>
      <c r="BA21" s="58">
        <v>382.51</v>
      </c>
      <c r="BB21" s="65">
        <f t="shared" si="21"/>
        <v>29.999999999972715</v>
      </c>
      <c r="BC21" s="58">
        <v>245.86</v>
      </c>
      <c r="BD21" s="65">
        <f t="shared" si="22"/>
        <v>20.000000000010232</v>
      </c>
      <c r="BE21" s="59">
        <v>41858</v>
      </c>
      <c r="BF21" s="67">
        <f t="shared" si="39"/>
        <v>23</v>
      </c>
      <c r="BG21" s="60">
        <v>236.11</v>
      </c>
      <c r="BH21" s="65">
        <f t="shared" si="23"/>
        <v>40.000000000020464</v>
      </c>
      <c r="BI21" s="60">
        <v>294.52</v>
      </c>
      <c r="BJ21" s="65">
        <f t="shared" si="40"/>
        <v>29.999999999972715</v>
      </c>
      <c r="BK21" s="60">
        <v>238.44</v>
      </c>
      <c r="BL21" s="65">
        <f t="shared" si="24"/>
        <v>39.999999999992042</v>
      </c>
      <c r="BM21" s="60">
        <v>225.8</v>
      </c>
      <c r="BN21" s="65">
        <f t="shared" si="25"/>
        <v>40.000000000020464</v>
      </c>
      <c r="BO21" s="60">
        <v>289.66000000000003</v>
      </c>
      <c r="BP21" s="65">
        <f t="shared" si="26"/>
        <v>50.000000000011369</v>
      </c>
      <c r="BQ21" s="60">
        <v>46621</v>
      </c>
      <c r="BR21" s="65">
        <f t="shared" si="27"/>
        <v>33</v>
      </c>
      <c r="BS21" s="60">
        <v>202.41</v>
      </c>
      <c r="BT21" s="65">
        <f t="shared" si="42"/>
        <v>30.000000000001137</v>
      </c>
      <c r="BU21" s="60">
        <v>42710</v>
      </c>
      <c r="BV21" s="65">
        <f t="shared" si="29"/>
        <v>44</v>
      </c>
      <c r="BW21" s="60">
        <v>233.08</v>
      </c>
      <c r="BX21" s="65">
        <f t="shared" si="30"/>
        <v>20.000000000010232</v>
      </c>
      <c r="BY21" s="60">
        <v>62441</v>
      </c>
      <c r="BZ21" s="67">
        <f t="shared" si="31"/>
        <v>33</v>
      </c>
      <c r="CA21" s="60">
        <v>33727.4</v>
      </c>
      <c r="CB21" s="67">
        <f t="shared" si="32"/>
        <v>38.900000000001455</v>
      </c>
      <c r="CC21" s="60">
        <v>12572.3</v>
      </c>
      <c r="CD21" s="67">
        <f t="shared" si="33"/>
        <v>6.8999999999996362</v>
      </c>
      <c r="CE21" s="60">
        <v>6684.5</v>
      </c>
      <c r="CF21" s="67">
        <f t="shared" si="34"/>
        <v>6.8000000000001819</v>
      </c>
      <c r="CG21" s="60">
        <v>61640.7</v>
      </c>
      <c r="CH21" s="67">
        <f t="shared" si="35"/>
        <v>50.299999999995634</v>
      </c>
      <c r="CI21" s="60">
        <v>962868</v>
      </c>
      <c r="CJ21" s="67">
        <f t="shared" si="36"/>
        <v>282</v>
      </c>
      <c r="CK21" s="60">
        <v>798.99</v>
      </c>
      <c r="CL21" s="64">
        <f t="shared" si="37"/>
        <v>690.00000000005457</v>
      </c>
      <c r="CM21" s="65">
        <f t="shared" si="41"/>
        <v>69</v>
      </c>
      <c r="CN21" s="62">
        <v>10</v>
      </c>
      <c r="CO21" s="62">
        <v>20</v>
      </c>
      <c r="CP21" s="68">
        <v>11998</v>
      </c>
      <c r="CQ21" s="67">
        <f t="shared" si="38"/>
        <v>46</v>
      </c>
      <c r="CR21" s="68">
        <v>15471</v>
      </c>
      <c r="CS21" s="67">
        <f t="shared" si="38"/>
        <v>23</v>
      </c>
      <c r="CT21" s="75">
        <v>7050</v>
      </c>
      <c r="CU21" s="67">
        <f t="shared" si="38"/>
        <v>10</v>
      </c>
      <c r="CV21" s="68">
        <v>17056</v>
      </c>
      <c r="CW21" s="67">
        <f t="shared" si="38"/>
        <v>18</v>
      </c>
    </row>
    <row r="22" spans="1:101" ht="25.5" customHeight="1" thickBot="1" x14ac:dyDescent="0.45">
      <c r="A22" s="63">
        <v>44427</v>
      </c>
      <c r="B22" s="44"/>
      <c r="C22" s="58">
        <v>2.3986000000000001</v>
      </c>
      <c r="D22" s="64">
        <f t="shared" si="0"/>
        <v>1700.0000000000348</v>
      </c>
      <c r="E22" s="58">
        <v>3.3982999999999999</v>
      </c>
      <c r="F22" s="64">
        <f t="shared" si="1"/>
        <v>2599.9999999997135</v>
      </c>
      <c r="G22" s="58">
        <v>3.4567000000000001</v>
      </c>
      <c r="H22" s="64">
        <f t="shared" si="2"/>
        <v>2600.0000000001578</v>
      </c>
      <c r="I22" s="58">
        <v>1.7032</v>
      </c>
      <c r="J22" s="64">
        <f t="shared" si="3"/>
        <v>1300.0000000000789</v>
      </c>
      <c r="K22" s="58">
        <v>2.7502</v>
      </c>
      <c r="L22" s="64">
        <f t="shared" si="4"/>
        <v>1999.9999999997797</v>
      </c>
      <c r="M22" s="58">
        <v>1.5044</v>
      </c>
      <c r="N22" s="64">
        <f t="shared" si="5"/>
        <v>799.99999999991189</v>
      </c>
      <c r="O22" s="58">
        <v>14644</v>
      </c>
      <c r="P22" s="67">
        <f t="shared" si="44"/>
        <v>7</v>
      </c>
      <c r="Q22" s="58">
        <v>1141</v>
      </c>
      <c r="R22" s="67">
        <f t="shared" si="6"/>
        <v>2</v>
      </c>
      <c r="S22" s="58">
        <v>1035.7</v>
      </c>
      <c r="T22" s="67">
        <f t="shared" si="7"/>
        <v>0.70000000000004547</v>
      </c>
      <c r="U22" s="58">
        <v>433764.8</v>
      </c>
      <c r="V22" s="67">
        <f t="shared" si="8"/>
        <v>343.09999999997672</v>
      </c>
      <c r="W22" s="58">
        <v>411.52</v>
      </c>
      <c r="X22" s="65">
        <f t="shared" si="9"/>
        <v>269.99999999998181</v>
      </c>
      <c r="Y22" s="58">
        <v>2.9729999999999999</v>
      </c>
      <c r="Z22" s="65">
        <f t="shared" si="10"/>
        <v>2399.9999999997358</v>
      </c>
      <c r="AA22" s="58">
        <v>410.39</v>
      </c>
      <c r="AB22" s="65">
        <f t="shared" si="11"/>
        <v>189.99999999999773</v>
      </c>
      <c r="AC22" s="58">
        <v>383.76</v>
      </c>
      <c r="AD22" s="65">
        <f t="shared" si="12"/>
        <v>259.99999999999091</v>
      </c>
      <c r="AE22" s="58">
        <v>579.52</v>
      </c>
      <c r="AF22" s="65">
        <f t="shared" si="13"/>
        <v>179.99999999994998</v>
      </c>
      <c r="AG22" s="58">
        <v>6270</v>
      </c>
      <c r="AH22" s="67">
        <f t="shared" si="14"/>
        <v>32</v>
      </c>
      <c r="AI22" s="58">
        <v>647.41</v>
      </c>
      <c r="AJ22" s="65">
        <f t="shared" si="15"/>
        <v>459.99999999992269</v>
      </c>
      <c r="AK22" s="58">
        <v>214.36</v>
      </c>
      <c r="AL22" s="65">
        <f t="shared" si="15"/>
        <v>180.00000000000682</v>
      </c>
      <c r="AM22" s="58">
        <v>203.3</v>
      </c>
      <c r="AN22" s="65">
        <f t="shared" si="15"/>
        <v>170.00000000001592</v>
      </c>
      <c r="AO22" s="58">
        <v>196.19</v>
      </c>
      <c r="AP22" s="65">
        <f t="shared" si="15"/>
        <v>109.99999999998522</v>
      </c>
      <c r="AQ22" s="58">
        <v>255.56</v>
      </c>
      <c r="AR22" s="65">
        <f t="shared" si="16"/>
        <v>120.00000000000455</v>
      </c>
      <c r="AS22" s="58">
        <v>381.61</v>
      </c>
      <c r="AT22" s="65">
        <f t="shared" si="17"/>
        <v>100.00000000002274</v>
      </c>
      <c r="AU22" s="58">
        <v>291.97000000000003</v>
      </c>
      <c r="AV22" s="65">
        <f t="shared" si="18"/>
        <v>90.000000000031832</v>
      </c>
      <c r="AW22" s="58">
        <v>324.42</v>
      </c>
      <c r="AX22" s="65">
        <f t="shared" si="19"/>
        <v>60.000000000002274</v>
      </c>
      <c r="AY22" s="58">
        <v>363.71</v>
      </c>
      <c r="AZ22" s="65">
        <f t="shared" si="20"/>
        <v>39.99999999996362</v>
      </c>
      <c r="BA22" s="58">
        <v>382.53</v>
      </c>
      <c r="BB22" s="65">
        <f t="shared" si="21"/>
        <v>19.99999999998181</v>
      </c>
      <c r="BC22" s="58">
        <v>245.9</v>
      </c>
      <c r="BD22" s="65">
        <f t="shared" si="22"/>
        <v>39.999999999992042</v>
      </c>
      <c r="BE22" s="59">
        <v>41899</v>
      </c>
      <c r="BF22" s="67">
        <f t="shared" si="39"/>
        <v>41</v>
      </c>
      <c r="BG22" s="60">
        <v>236.15</v>
      </c>
      <c r="BH22" s="65">
        <f t="shared" si="23"/>
        <v>39.999999999992042</v>
      </c>
      <c r="BI22" s="60">
        <v>294.55</v>
      </c>
      <c r="BJ22" s="65">
        <f t="shared" si="40"/>
        <v>30.000000000029559</v>
      </c>
      <c r="BK22" s="60">
        <v>238.47</v>
      </c>
      <c r="BL22" s="65">
        <f t="shared" si="24"/>
        <v>30.000000000001137</v>
      </c>
      <c r="BM22" s="60">
        <v>225.84</v>
      </c>
      <c r="BN22" s="65">
        <f t="shared" si="25"/>
        <v>39.999999999992042</v>
      </c>
      <c r="BO22" s="60">
        <v>289.75</v>
      </c>
      <c r="BP22" s="65">
        <f t="shared" si="26"/>
        <v>89.999999999974989</v>
      </c>
      <c r="BQ22" s="60">
        <v>46656</v>
      </c>
      <c r="BR22" s="65">
        <f t="shared" si="27"/>
        <v>35</v>
      </c>
      <c r="BS22" s="60">
        <v>202.45</v>
      </c>
      <c r="BT22" s="65">
        <f t="shared" si="42"/>
        <v>39.999999999992042</v>
      </c>
      <c r="BU22" s="60">
        <v>42751</v>
      </c>
      <c r="BV22" s="65">
        <f t="shared" si="29"/>
        <v>41</v>
      </c>
      <c r="BW22" s="60">
        <v>233.1</v>
      </c>
      <c r="BX22" s="65">
        <f t="shared" si="30"/>
        <v>19.99999999998181</v>
      </c>
      <c r="BY22" s="60">
        <v>62477</v>
      </c>
      <c r="BZ22" s="67">
        <f t="shared" si="31"/>
        <v>36</v>
      </c>
      <c r="CA22" s="60">
        <v>33763.5</v>
      </c>
      <c r="CB22" s="67">
        <f t="shared" si="32"/>
        <v>36.099999999998545</v>
      </c>
      <c r="CC22" s="60">
        <v>12576.8</v>
      </c>
      <c r="CD22" s="67">
        <f t="shared" si="33"/>
        <v>4.5</v>
      </c>
      <c r="CE22" s="60">
        <v>6685.1</v>
      </c>
      <c r="CF22" s="67">
        <f t="shared" si="34"/>
        <v>0.6000000000003638</v>
      </c>
      <c r="CG22" s="60">
        <v>61690.400000000001</v>
      </c>
      <c r="CH22" s="67">
        <f t="shared" si="35"/>
        <v>49.700000000004366</v>
      </c>
      <c r="CI22" s="60">
        <v>963140</v>
      </c>
      <c r="CJ22" s="67">
        <f t="shared" si="36"/>
        <v>272</v>
      </c>
      <c r="CK22" s="60">
        <v>799.66</v>
      </c>
      <c r="CL22" s="64">
        <f t="shared" si="37"/>
        <v>669.99999999995907</v>
      </c>
      <c r="CM22" s="65">
        <f t="shared" si="41"/>
        <v>62</v>
      </c>
      <c r="CN22" s="62">
        <v>10</v>
      </c>
      <c r="CO22" s="62">
        <v>20</v>
      </c>
      <c r="CP22" s="68">
        <v>12036</v>
      </c>
      <c r="CQ22" s="67">
        <f t="shared" si="38"/>
        <v>38</v>
      </c>
      <c r="CR22" s="68">
        <v>15495</v>
      </c>
      <c r="CS22" s="67">
        <f t="shared" si="38"/>
        <v>24</v>
      </c>
      <c r="CT22" s="75">
        <v>7060</v>
      </c>
      <c r="CU22" s="67">
        <f t="shared" si="38"/>
        <v>10</v>
      </c>
      <c r="CV22" s="68">
        <v>17071</v>
      </c>
      <c r="CW22" s="67">
        <f t="shared" si="38"/>
        <v>15</v>
      </c>
    </row>
    <row r="23" spans="1:101" ht="25.5" customHeight="1" thickBot="1" x14ac:dyDescent="0.45">
      <c r="A23" s="63">
        <v>44428</v>
      </c>
      <c r="B23" s="44"/>
      <c r="C23" s="58">
        <v>2.4003999999999999</v>
      </c>
      <c r="D23" s="64">
        <f t="shared" si="0"/>
        <v>1799.9999999998017</v>
      </c>
      <c r="E23" s="58">
        <v>3.4009</v>
      </c>
      <c r="F23" s="64">
        <f t="shared" si="1"/>
        <v>2600.0000000001578</v>
      </c>
      <c r="G23" s="58">
        <v>3.4592000000000001</v>
      </c>
      <c r="H23" s="64">
        <f t="shared" si="2"/>
        <v>2499.9999999999468</v>
      </c>
      <c r="I23" s="58">
        <v>1.7044999999999999</v>
      </c>
      <c r="J23" s="64">
        <f t="shared" si="3"/>
        <v>1299.9999999998568</v>
      </c>
      <c r="K23" s="58">
        <v>2.7522000000000002</v>
      </c>
      <c r="L23" s="64">
        <f t="shared" si="4"/>
        <v>2000.0000000002237</v>
      </c>
      <c r="M23" s="58">
        <v>1.5053000000000001</v>
      </c>
      <c r="N23" s="64">
        <f t="shared" si="5"/>
        <v>900.0000000001229</v>
      </c>
      <c r="O23" s="58">
        <v>14650</v>
      </c>
      <c r="P23" s="67">
        <f t="shared" si="44"/>
        <v>6</v>
      </c>
      <c r="Q23" s="58">
        <v>1144</v>
      </c>
      <c r="R23" s="67">
        <f t="shared" si="6"/>
        <v>3</v>
      </c>
      <c r="S23" s="58">
        <v>1036.5</v>
      </c>
      <c r="T23" s="67">
        <f t="shared" si="7"/>
        <v>0.79999999999995453</v>
      </c>
      <c r="U23" s="58">
        <v>434108.9</v>
      </c>
      <c r="V23" s="67">
        <f t="shared" si="8"/>
        <v>344.10000000003492</v>
      </c>
      <c r="W23" s="58">
        <v>411.76</v>
      </c>
      <c r="X23" s="65">
        <f t="shared" si="9"/>
        <v>240.00000000000909</v>
      </c>
      <c r="Y23" s="58">
        <v>2.9752999999999998</v>
      </c>
      <c r="Z23" s="65">
        <f t="shared" si="10"/>
        <v>2299.9999999999686</v>
      </c>
      <c r="AA23" s="58">
        <v>410.69</v>
      </c>
      <c r="AB23" s="65">
        <f t="shared" si="11"/>
        <v>300.00000000001137</v>
      </c>
      <c r="AC23" s="58">
        <v>384.02</v>
      </c>
      <c r="AD23" s="65">
        <f t="shared" si="12"/>
        <v>259.99999999999091</v>
      </c>
      <c r="AE23" s="58">
        <v>579.75</v>
      </c>
      <c r="AF23" s="65">
        <f t="shared" si="13"/>
        <v>230.00000000001819</v>
      </c>
      <c r="AG23" s="58">
        <v>6303</v>
      </c>
      <c r="AH23" s="67">
        <f t="shared" si="14"/>
        <v>33</v>
      </c>
      <c r="AI23" s="58">
        <v>647.9</v>
      </c>
      <c r="AJ23" s="65">
        <f t="shared" si="15"/>
        <v>490.00000000000909</v>
      </c>
      <c r="AK23" s="58">
        <v>214.52</v>
      </c>
      <c r="AL23" s="65">
        <f t="shared" si="15"/>
        <v>159.99999999999659</v>
      </c>
      <c r="AM23" s="58">
        <v>203.48</v>
      </c>
      <c r="AN23" s="65">
        <f t="shared" si="15"/>
        <v>179.9999999999784</v>
      </c>
      <c r="AO23" s="58">
        <v>196.35</v>
      </c>
      <c r="AP23" s="65">
        <f t="shared" si="15"/>
        <v>159.99999999999659</v>
      </c>
      <c r="AQ23" s="58">
        <v>255.69</v>
      </c>
      <c r="AR23" s="65">
        <f t="shared" si="16"/>
        <v>129.99999999999545</v>
      </c>
      <c r="AS23" s="58">
        <v>381.88</v>
      </c>
      <c r="AT23" s="65">
        <f t="shared" si="17"/>
        <v>269.99999999998181</v>
      </c>
      <c r="AU23" s="58">
        <v>292.07</v>
      </c>
      <c r="AV23" s="65">
        <f t="shared" si="18"/>
        <v>99.999999999965894</v>
      </c>
      <c r="AW23" s="58">
        <v>324.49</v>
      </c>
      <c r="AX23" s="65">
        <f t="shared" si="19"/>
        <v>69.999999999993179</v>
      </c>
      <c r="AY23" s="58">
        <v>363.75</v>
      </c>
      <c r="AZ23" s="65">
        <f t="shared" si="20"/>
        <v>40.000000000020464</v>
      </c>
      <c r="BA23" s="58">
        <v>382.55</v>
      </c>
      <c r="BB23" s="65">
        <f t="shared" si="21"/>
        <v>20.000000000038654</v>
      </c>
      <c r="BC23" s="58">
        <v>245.93</v>
      </c>
      <c r="BD23" s="65">
        <f t="shared" si="22"/>
        <v>30.000000000001137</v>
      </c>
      <c r="BE23" s="59">
        <v>41928</v>
      </c>
      <c r="BF23" s="67">
        <f t="shared" si="39"/>
        <v>29</v>
      </c>
      <c r="BG23" s="60">
        <v>236.19</v>
      </c>
      <c r="BH23" s="65">
        <f t="shared" si="23"/>
        <v>39.999999999992042</v>
      </c>
      <c r="BI23" s="60">
        <v>294.60000000000002</v>
      </c>
      <c r="BJ23" s="65">
        <f t="shared" si="40"/>
        <v>50.000000000011369</v>
      </c>
      <c r="BK23" s="60">
        <v>238.51</v>
      </c>
      <c r="BL23" s="65">
        <f t="shared" si="24"/>
        <v>39.999999999992042</v>
      </c>
      <c r="BM23" s="60">
        <v>225.88</v>
      </c>
      <c r="BN23" s="65">
        <f t="shared" si="25"/>
        <v>39.999999999992042</v>
      </c>
      <c r="BO23" s="60">
        <v>289.76</v>
      </c>
      <c r="BP23" s="65">
        <f t="shared" si="26"/>
        <v>9.9999999999909051</v>
      </c>
      <c r="BQ23" s="60">
        <v>46689</v>
      </c>
      <c r="BR23" s="65">
        <f t="shared" si="27"/>
        <v>33</v>
      </c>
      <c r="BS23" s="60">
        <v>202.49</v>
      </c>
      <c r="BT23" s="65">
        <f t="shared" si="42"/>
        <v>40.000000000020464</v>
      </c>
      <c r="BU23" s="60">
        <v>42796</v>
      </c>
      <c r="BV23" s="65">
        <f t="shared" si="29"/>
        <v>45</v>
      </c>
      <c r="BW23" s="60">
        <v>233.12</v>
      </c>
      <c r="BX23" s="65">
        <f t="shared" si="30"/>
        <v>20.000000000010232</v>
      </c>
      <c r="BY23" s="60">
        <v>62511</v>
      </c>
      <c r="BZ23" s="67">
        <f t="shared" si="31"/>
        <v>34</v>
      </c>
      <c r="CA23" s="60">
        <v>33801</v>
      </c>
      <c r="CB23" s="67">
        <f t="shared" si="32"/>
        <v>37.5</v>
      </c>
      <c r="CC23" s="60">
        <v>12587.2</v>
      </c>
      <c r="CD23" s="67">
        <f t="shared" si="33"/>
        <v>10.400000000001455</v>
      </c>
      <c r="CE23" s="60">
        <v>6694.1</v>
      </c>
      <c r="CF23" s="67">
        <f t="shared" si="34"/>
        <v>9</v>
      </c>
      <c r="CG23" s="60">
        <v>61736.3</v>
      </c>
      <c r="CH23" s="67">
        <f t="shared" si="35"/>
        <v>45.900000000001455</v>
      </c>
      <c r="CI23" s="60">
        <v>963412</v>
      </c>
      <c r="CJ23" s="67">
        <f t="shared" si="36"/>
        <v>272</v>
      </c>
      <c r="CK23" s="60">
        <v>800.23</v>
      </c>
      <c r="CL23" s="64">
        <f t="shared" si="37"/>
        <v>570.00000000005002</v>
      </c>
      <c r="CM23" s="65">
        <f t="shared" si="41"/>
        <v>58</v>
      </c>
      <c r="CN23" s="62">
        <v>13</v>
      </c>
      <c r="CO23" s="62">
        <v>26</v>
      </c>
      <c r="CP23" s="68">
        <v>12078</v>
      </c>
      <c r="CQ23" s="67">
        <f t="shared" si="38"/>
        <v>42</v>
      </c>
      <c r="CR23" s="68">
        <v>15511</v>
      </c>
      <c r="CS23" s="67">
        <f t="shared" si="38"/>
        <v>16</v>
      </c>
      <c r="CT23" s="75">
        <v>7070</v>
      </c>
      <c r="CU23" s="67">
        <f t="shared" si="38"/>
        <v>10</v>
      </c>
      <c r="CV23" s="68">
        <v>17088</v>
      </c>
      <c r="CW23" s="67">
        <f t="shared" si="38"/>
        <v>17</v>
      </c>
    </row>
    <row r="24" spans="1:101" ht="25.5" customHeight="1" thickBot="1" x14ac:dyDescent="0.45">
      <c r="A24" s="63">
        <v>44429</v>
      </c>
      <c r="B24" s="44"/>
      <c r="C24" s="58">
        <v>2.4020999999999999</v>
      </c>
      <c r="D24" s="64">
        <f t="shared" si="0"/>
        <v>1700.0000000000348</v>
      </c>
      <c r="E24" s="58">
        <v>3.4039000000000001</v>
      </c>
      <c r="F24" s="64">
        <f t="shared" si="1"/>
        <v>3000.0000000001137</v>
      </c>
      <c r="G24" s="58">
        <v>3.4619</v>
      </c>
      <c r="H24" s="64">
        <f t="shared" si="2"/>
        <v>2699.9999999999245</v>
      </c>
      <c r="I24" s="58">
        <v>1.7059</v>
      </c>
      <c r="J24" s="64">
        <f t="shared" si="3"/>
        <v>1400.0000000000678</v>
      </c>
      <c r="K24" s="58">
        <v>2.7542</v>
      </c>
      <c r="L24" s="64">
        <f t="shared" si="4"/>
        <v>1999.9999999997797</v>
      </c>
      <c r="M24" s="58">
        <v>1.5061</v>
      </c>
      <c r="N24" s="64">
        <f t="shared" si="5"/>
        <v>799.99999999991189</v>
      </c>
      <c r="O24" s="58">
        <v>14663</v>
      </c>
      <c r="P24" s="67">
        <f t="shared" si="44"/>
        <v>13</v>
      </c>
      <c r="Q24" s="58">
        <v>1147</v>
      </c>
      <c r="R24" s="67">
        <f t="shared" si="6"/>
        <v>3</v>
      </c>
      <c r="S24" s="58">
        <v>1037.4000000000001</v>
      </c>
      <c r="T24" s="67">
        <f t="shared" si="7"/>
        <v>0.90000000000009095</v>
      </c>
      <c r="U24" s="58">
        <v>434459</v>
      </c>
      <c r="V24" s="67">
        <f t="shared" si="8"/>
        <v>350.09999999997672</v>
      </c>
      <c r="W24" s="58">
        <v>412.03</v>
      </c>
      <c r="X24" s="65">
        <f t="shared" si="9"/>
        <v>269.99999999998181</v>
      </c>
      <c r="Y24" s="58">
        <v>2.9780000000000002</v>
      </c>
      <c r="Z24" s="65">
        <f t="shared" si="10"/>
        <v>2700.0000000003688</v>
      </c>
      <c r="AA24" s="58">
        <v>410.87</v>
      </c>
      <c r="AB24" s="65">
        <f t="shared" si="11"/>
        <v>180.00000000000682</v>
      </c>
      <c r="AC24" s="58">
        <v>384.33</v>
      </c>
      <c r="AD24" s="65">
        <f t="shared" si="12"/>
        <v>310.00000000000227</v>
      </c>
      <c r="AE24" s="58">
        <v>579.99</v>
      </c>
      <c r="AF24" s="65">
        <f t="shared" si="13"/>
        <v>240.00000000000909</v>
      </c>
      <c r="AG24" s="58">
        <v>6335</v>
      </c>
      <c r="AH24" s="67">
        <f t="shared" si="14"/>
        <v>32</v>
      </c>
      <c r="AI24" s="58">
        <v>648.44000000000005</v>
      </c>
      <c r="AJ24" s="65">
        <f t="shared" si="15"/>
        <v>540.00000000007731</v>
      </c>
      <c r="AK24" s="58">
        <v>214.71</v>
      </c>
      <c r="AL24" s="65">
        <f t="shared" si="15"/>
        <v>189.99999999999773</v>
      </c>
      <c r="AM24" s="58">
        <v>203.6</v>
      </c>
      <c r="AN24" s="65">
        <f t="shared" si="15"/>
        <v>120.00000000000455</v>
      </c>
      <c r="AO24" s="58">
        <v>196.48</v>
      </c>
      <c r="AP24" s="65">
        <f t="shared" si="15"/>
        <v>129.99999999999545</v>
      </c>
      <c r="AQ24" s="58">
        <v>255.81</v>
      </c>
      <c r="AR24" s="65">
        <f t="shared" si="16"/>
        <v>120.00000000000455</v>
      </c>
      <c r="AS24" s="58">
        <v>382.02</v>
      </c>
      <c r="AT24" s="65">
        <f t="shared" si="17"/>
        <v>139.99999999998636</v>
      </c>
      <c r="AU24" s="58">
        <v>292.16000000000003</v>
      </c>
      <c r="AV24" s="65">
        <f t="shared" si="18"/>
        <v>90.000000000031832</v>
      </c>
      <c r="AW24" s="58">
        <v>324.54000000000002</v>
      </c>
      <c r="AX24" s="65">
        <f t="shared" si="19"/>
        <v>50.000000000011369</v>
      </c>
      <c r="AY24" s="58">
        <v>363.77</v>
      </c>
      <c r="AZ24" s="65">
        <f t="shared" si="20"/>
        <v>19.99999999998181</v>
      </c>
      <c r="BA24" s="58">
        <v>382.56</v>
      </c>
      <c r="BB24" s="65">
        <f t="shared" si="21"/>
        <v>9.9999999999909051</v>
      </c>
      <c r="BC24" s="58">
        <v>245.95</v>
      </c>
      <c r="BD24" s="65">
        <f t="shared" si="22"/>
        <v>19.99999999998181</v>
      </c>
      <c r="BE24" s="59">
        <v>41973</v>
      </c>
      <c r="BF24" s="67">
        <f t="shared" si="39"/>
        <v>45</v>
      </c>
      <c r="BG24" s="60">
        <v>236.23</v>
      </c>
      <c r="BH24" s="65">
        <f t="shared" si="23"/>
        <v>39.999999999992042</v>
      </c>
      <c r="BI24" s="60">
        <v>294.62</v>
      </c>
      <c r="BJ24" s="65">
        <f t="shared" si="40"/>
        <v>19.99999999998181</v>
      </c>
      <c r="BK24" s="60">
        <v>238.54</v>
      </c>
      <c r="BL24" s="65">
        <f t="shared" si="24"/>
        <v>30.000000000001137</v>
      </c>
      <c r="BM24" s="60">
        <v>225.92</v>
      </c>
      <c r="BN24" s="65">
        <f t="shared" si="25"/>
        <v>39.999999999992042</v>
      </c>
      <c r="BO24" s="60">
        <v>289.81</v>
      </c>
      <c r="BP24" s="65">
        <f t="shared" si="26"/>
        <v>50.000000000011369</v>
      </c>
      <c r="BQ24" s="60">
        <v>46721</v>
      </c>
      <c r="BR24" s="65">
        <f t="shared" si="27"/>
        <v>32</v>
      </c>
      <c r="BS24" s="60">
        <v>202.53</v>
      </c>
      <c r="BT24" s="65">
        <f t="shared" si="42"/>
        <v>39.999999999992042</v>
      </c>
      <c r="BU24" s="60">
        <v>42836</v>
      </c>
      <c r="BV24" s="65">
        <f t="shared" si="29"/>
        <v>40</v>
      </c>
      <c r="BW24" s="60">
        <v>233.14</v>
      </c>
      <c r="BX24" s="65">
        <f t="shared" si="30"/>
        <v>19.99999999998181</v>
      </c>
      <c r="BY24" s="60">
        <v>62535</v>
      </c>
      <c r="BZ24" s="67">
        <f t="shared" si="31"/>
        <v>24</v>
      </c>
      <c r="CA24" s="60">
        <v>33836.699999999997</v>
      </c>
      <c r="CB24" s="67">
        <f t="shared" si="32"/>
        <v>35.69999999999709</v>
      </c>
      <c r="CC24" s="60">
        <v>12594.7</v>
      </c>
      <c r="CD24" s="67">
        <f t="shared" si="33"/>
        <v>7.5</v>
      </c>
      <c r="CE24" s="60">
        <v>6694.7</v>
      </c>
      <c r="CF24" s="67">
        <f t="shared" si="34"/>
        <v>0.5999999999994543</v>
      </c>
      <c r="CG24" s="60">
        <v>61778.5</v>
      </c>
      <c r="CH24" s="67">
        <f t="shared" si="35"/>
        <v>42.19999999999709</v>
      </c>
      <c r="CI24" s="60">
        <v>963688</v>
      </c>
      <c r="CJ24" s="67">
        <f t="shared" si="36"/>
        <v>276</v>
      </c>
      <c r="CK24" s="60">
        <v>800.91</v>
      </c>
      <c r="CL24" s="64">
        <f t="shared" si="37"/>
        <v>679.99999999994998</v>
      </c>
      <c r="CM24" s="65">
        <f t="shared" si="41"/>
        <v>48</v>
      </c>
      <c r="CN24" s="62">
        <v>15</v>
      </c>
      <c r="CO24" s="62">
        <v>30</v>
      </c>
      <c r="CP24" s="68">
        <v>12112</v>
      </c>
      <c r="CQ24" s="67">
        <f t="shared" si="38"/>
        <v>34</v>
      </c>
      <c r="CR24" s="68">
        <v>15525</v>
      </c>
      <c r="CS24" s="67">
        <f t="shared" si="38"/>
        <v>14</v>
      </c>
      <c r="CT24" s="75">
        <v>7079</v>
      </c>
      <c r="CU24" s="67">
        <f t="shared" si="38"/>
        <v>9</v>
      </c>
      <c r="CV24" s="68">
        <v>17105</v>
      </c>
      <c r="CW24" s="67">
        <f t="shared" si="38"/>
        <v>17</v>
      </c>
    </row>
    <row r="25" spans="1:101" ht="25.5" customHeight="1" thickBot="1" x14ac:dyDescent="0.45">
      <c r="A25" s="63">
        <v>44430</v>
      </c>
      <c r="B25" s="44"/>
      <c r="C25" s="58">
        <v>2.4037000000000002</v>
      </c>
      <c r="D25" s="64">
        <f t="shared" si="0"/>
        <v>1600.0000000002678</v>
      </c>
      <c r="E25" s="58">
        <v>3.4064999999999999</v>
      </c>
      <c r="F25" s="64">
        <f t="shared" si="1"/>
        <v>2599.9999999997135</v>
      </c>
      <c r="G25" s="58">
        <v>3.4643000000000002</v>
      </c>
      <c r="H25" s="64">
        <f t="shared" si="2"/>
        <v>2400.0000000001796</v>
      </c>
      <c r="I25" s="58">
        <v>1.7072000000000001</v>
      </c>
      <c r="J25" s="64">
        <f t="shared" si="3"/>
        <v>1300.0000000000789</v>
      </c>
      <c r="K25" s="58">
        <v>2.7562000000000002</v>
      </c>
      <c r="L25" s="64">
        <f t="shared" si="4"/>
        <v>2000.0000000002237</v>
      </c>
      <c r="M25" s="58">
        <v>1.5069999999999999</v>
      </c>
      <c r="N25" s="64">
        <f t="shared" si="5"/>
        <v>899.99999999990087</v>
      </c>
      <c r="O25" s="58">
        <v>14669</v>
      </c>
      <c r="P25" s="67">
        <f t="shared" si="44"/>
        <v>6</v>
      </c>
      <c r="Q25" s="58">
        <v>1151</v>
      </c>
      <c r="R25" s="67">
        <f t="shared" si="6"/>
        <v>4</v>
      </c>
      <c r="S25" s="58">
        <v>1038</v>
      </c>
      <c r="T25" s="67">
        <f t="shared" si="7"/>
        <v>0.59999999999990905</v>
      </c>
      <c r="U25" s="58">
        <v>434724.2</v>
      </c>
      <c r="V25" s="67">
        <f t="shared" si="8"/>
        <v>265.20000000001164</v>
      </c>
      <c r="W25" s="58">
        <v>412.34</v>
      </c>
      <c r="X25" s="65">
        <f t="shared" si="9"/>
        <v>310.00000000000227</v>
      </c>
      <c r="Y25" s="58">
        <v>2.9802</v>
      </c>
      <c r="Z25" s="65">
        <f t="shared" si="10"/>
        <v>2199.9999999997576</v>
      </c>
      <c r="AA25" s="58">
        <v>411.17</v>
      </c>
      <c r="AB25" s="65">
        <f t="shared" si="11"/>
        <v>300.00000000001137</v>
      </c>
      <c r="AC25" s="58">
        <v>384.6</v>
      </c>
      <c r="AD25" s="65">
        <f t="shared" si="12"/>
        <v>270.00000000003865</v>
      </c>
      <c r="AE25" s="58">
        <v>580.22</v>
      </c>
      <c r="AF25" s="65">
        <f t="shared" si="13"/>
        <v>230.00000000001819</v>
      </c>
      <c r="AG25" s="58">
        <v>6362</v>
      </c>
      <c r="AH25" s="67">
        <f t="shared" si="14"/>
        <v>27</v>
      </c>
      <c r="AI25" s="58">
        <v>648.95000000000005</v>
      </c>
      <c r="AJ25" s="65">
        <f t="shared" si="15"/>
        <v>509.99999999999091</v>
      </c>
      <c r="AK25" s="58">
        <v>214.91</v>
      </c>
      <c r="AL25" s="65">
        <f t="shared" si="15"/>
        <v>199.99999999998863</v>
      </c>
      <c r="AM25" s="58">
        <v>203.75</v>
      </c>
      <c r="AN25" s="65">
        <f t="shared" si="15"/>
        <v>150.00000000000568</v>
      </c>
      <c r="AO25" s="58">
        <v>196.61</v>
      </c>
      <c r="AP25" s="65">
        <f t="shared" si="15"/>
        <v>130.00000000002387</v>
      </c>
      <c r="AQ25" s="58">
        <v>255.9</v>
      </c>
      <c r="AR25" s="65">
        <f t="shared" si="16"/>
        <v>90.000000000003411</v>
      </c>
      <c r="AS25" s="58">
        <v>382.17</v>
      </c>
      <c r="AT25" s="65">
        <f t="shared" si="17"/>
        <v>150.00000000003411</v>
      </c>
      <c r="AU25" s="58">
        <v>292.22000000000003</v>
      </c>
      <c r="AV25" s="65">
        <f t="shared" si="18"/>
        <v>60.000000000002274</v>
      </c>
      <c r="AW25" s="58">
        <v>324.58</v>
      </c>
      <c r="AX25" s="65">
        <f t="shared" si="19"/>
        <v>39.99999999996362</v>
      </c>
      <c r="AY25" s="58">
        <v>363.79</v>
      </c>
      <c r="AZ25" s="65">
        <f t="shared" si="20"/>
        <v>20.000000000038654</v>
      </c>
      <c r="BA25" s="58">
        <v>382.59</v>
      </c>
      <c r="BB25" s="65">
        <f t="shared" si="21"/>
        <v>29.999999999972715</v>
      </c>
      <c r="BC25" s="58">
        <v>245.97</v>
      </c>
      <c r="BD25" s="65">
        <f t="shared" si="22"/>
        <v>20.000000000010232</v>
      </c>
      <c r="BE25" s="59">
        <v>42012</v>
      </c>
      <c r="BF25" s="67">
        <f t="shared" si="39"/>
        <v>39</v>
      </c>
      <c r="BG25" s="60">
        <v>236.27</v>
      </c>
      <c r="BH25" s="65">
        <f t="shared" si="23"/>
        <v>40.000000000020464</v>
      </c>
      <c r="BI25" s="60">
        <v>294.64999999999998</v>
      </c>
      <c r="BJ25" s="65">
        <f t="shared" si="40"/>
        <v>29.999999999972715</v>
      </c>
      <c r="BK25" s="60">
        <v>238.59</v>
      </c>
      <c r="BL25" s="65">
        <f t="shared" si="24"/>
        <v>50.000000000011369</v>
      </c>
      <c r="BM25" s="60">
        <v>225.96</v>
      </c>
      <c r="BN25" s="65">
        <f t="shared" si="25"/>
        <v>40.000000000020464</v>
      </c>
      <c r="BO25" s="60">
        <v>289.86</v>
      </c>
      <c r="BP25" s="65">
        <f t="shared" si="26"/>
        <v>50.000000000011369</v>
      </c>
      <c r="BQ25" s="60">
        <v>46751</v>
      </c>
      <c r="BR25" s="65">
        <f t="shared" si="27"/>
        <v>30</v>
      </c>
      <c r="BS25" s="60">
        <v>202.57</v>
      </c>
      <c r="BT25" s="65">
        <f t="shared" si="42"/>
        <v>39.999999999992042</v>
      </c>
      <c r="BU25" s="60">
        <v>42875</v>
      </c>
      <c r="BV25" s="65">
        <f t="shared" si="29"/>
        <v>39</v>
      </c>
      <c r="BW25" s="60">
        <v>233.17</v>
      </c>
      <c r="BX25" s="65">
        <f t="shared" si="30"/>
        <v>30.000000000001137</v>
      </c>
      <c r="BY25" s="60">
        <v>62561</v>
      </c>
      <c r="BZ25" s="67">
        <f t="shared" si="31"/>
        <v>26</v>
      </c>
      <c r="CA25" s="60">
        <v>33880.400000000001</v>
      </c>
      <c r="CB25" s="67">
        <f t="shared" si="32"/>
        <v>43.700000000004366</v>
      </c>
      <c r="CC25" s="60">
        <v>12599.7</v>
      </c>
      <c r="CD25" s="67">
        <f t="shared" si="33"/>
        <v>5</v>
      </c>
      <c r="CE25" s="60">
        <v>6700.2</v>
      </c>
      <c r="CF25" s="67">
        <f t="shared" si="34"/>
        <v>5.5</v>
      </c>
      <c r="CG25" s="60">
        <v>61831.8</v>
      </c>
      <c r="CH25" s="67">
        <f t="shared" si="35"/>
        <v>53.30000000000291</v>
      </c>
      <c r="CI25" s="60">
        <v>963955</v>
      </c>
      <c r="CJ25" s="67">
        <f t="shared" si="36"/>
        <v>267</v>
      </c>
      <c r="CK25" s="60">
        <v>801.48</v>
      </c>
      <c r="CL25" s="64">
        <f t="shared" si="37"/>
        <v>570.00000000005002</v>
      </c>
      <c r="CM25" s="65">
        <f t="shared" si="41"/>
        <v>54</v>
      </c>
      <c r="CN25" s="62">
        <v>15</v>
      </c>
      <c r="CO25" s="62">
        <v>30</v>
      </c>
      <c r="CP25" s="68">
        <v>12149</v>
      </c>
      <c r="CQ25" s="67">
        <f t="shared" si="38"/>
        <v>37</v>
      </c>
      <c r="CR25" s="68">
        <v>15542</v>
      </c>
      <c r="CS25" s="67">
        <f t="shared" si="38"/>
        <v>17</v>
      </c>
      <c r="CT25" s="75">
        <v>7089</v>
      </c>
      <c r="CU25" s="67">
        <f t="shared" si="38"/>
        <v>10</v>
      </c>
      <c r="CV25" s="68">
        <v>17122</v>
      </c>
      <c r="CW25" s="67">
        <f t="shared" si="38"/>
        <v>17</v>
      </c>
    </row>
    <row r="26" spans="1:101" ht="25.5" customHeight="1" thickBot="1" x14ac:dyDescent="0.45">
      <c r="A26" s="63">
        <v>44431</v>
      </c>
      <c r="B26" s="44"/>
      <c r="C26" s="58">
        <v>2.4054000000000002</v>
      </c>
      <c r="D26" s="64">
        <f t="shared" si="0"/>
        <v>1700.0000000000348</v>
      </c>
      <c r="E26" s="58">
        <v>3.4089999999999998</v>
      </c>
      <c r="F26" s="64">
        <f t="shared" si="1"/>
        <v>2499.9999999999468</v>
      </c>
      <c r="G26" s="58">
        <v>3.4666999999999999</v>
      </c>
      <c r="H26" s="64">
        <f t="shared" si="2"/>
        <v>2399.9999999997358</v>
      </c>
      <c r="I26" s="58">
        <v>1.7084999999999999</v>
      </c>
      <c r="J26" s="64">
        <f t="shared" si="3"/>
        <v>1299.9999999998568</v>
      </c>
      <c r="K26" s="58">
        <v>2.758</v>
      </c>
      <c r="L26" s="64">
        <f t="shared" si="4"/>
        <v>1799.9999999998017</v>
      </c>
      <c r="M26" s="58">
        <v>1.508</v>
      </c>
      <c r="N26" s="64">
        <f t="shared" si="5"/>
        <v>1000.0000000001119</v>
      </c>
      <c r="O26" s="58">
        <v>14676</v>
      </c>
      <c r="P26" s="67">
        <f t="shared" si="44"/>
        <v>7</v>
      </c>
      <c r="Q26" s="58">
        <v>1153</v>
      </c>
      <c r="R26" s="67">
        <f t="shared" si="6"/>
        <v>2</v>
      </c>
      <c r="S26" s="58">
        <v>1038.7</v>
      </c>
      <c r="T26" s="67">
        <f t="shared" si="7"/>
        <v>0.70000000000004547</v>
      </c>
      <c r="U26" s="58">
        <v>435024.7</v>
      </c>
      <c r="V26" s="67">
        <f t="shared" si="8"/>
        <v>300.5</v>
      </c>
      <c r="W26" s="58">
        <v>412.6</v>
      </c>
      <c r="X26" s="65">
        <f t="shared" si="9"/>
        <v>260.00000000004775</v>
      </c>
      <c r="Y26" s="58">
        <v>2.9823</v>
      </c>
      <c r="Z26" s="65">
        <f t="shared" si="10"/>
        <v>2099.9999999999909</v>
      </c>
      <c r="AA26" s="58">
        <v>411.46</v>
      </c>
      <c r="AB26" s="65">
        <f t="shared" si="11"/>
        <v>289.99999999996362</v>
      </c>
      <c r="AC26" s="58">
        <v>384.86</v>
      </c>
      <c r="AD26" s="65">
        <f t="shared" si="12"/>
        <v>259.99999999999091</v>
      </c>
      <c r="AE26" s="58">
        <v>580.51</v>
      </c>
      <c r="AF26" s="65">
        <f t="shared" si="13"/>
        <v>289.99999999996362</v>
      </c>
      <c r="AG26" s="58">
        <v>6390</v>
      </c>
      <c r="AH26" s="67">
        <f t="shared" si="14"/>
        <v>28</v>
      </c>
      <c r="AI26" s="58">
        <v>649.46</v>
      </c>
      <c r="AJ26" s="65">
        <f t="shared" si="15"/>
        <v>509.99999999999091</v>
      </c>
      <c r="AK26" s="58">
        <v>215.07</v>
      </c>
      <c r="AL26" s="65">
        <f t="shared" si="15"/>
        <v>159.99999999999659</v>
      </c>
      <c r="AM26" s="58">
        <v>203.9</v>
      </c>
      <c r="AN26" s="65">
        <f t="shared" si="15"/>
        <v>150.00000000000568</v>
      </c>
      <c r="AO26" s="58">
        <v>196.73</v>
      </c>
      <c r="AP26" s="65">
        <f t="shared" si="15"/>
        <v>119.99999999997613</v>
      </c>
      <c r="AQ26" s="58">
        <v>256.01</v>
      </c>
      <c r="AR26" s="65">
        <f t="shared" si="16"/>
        <v>109.99999999998522</v>
      </c>
      <c r="AS26" s="58">
        <v>382.33</v>
      </c>
      <c r="AT26" s="65">
        <f t="shared" si="17"/>
        <v>159.99999999996817</v>
      </c>
      <c r="AU26" s="58">
        <v>292.31</v>
      </c>
      <c r="AV26" s="65">
        <f t="shared" si="18"/>
        <v>89.999999999974989</v>
      </c>
      <c r="AW26" s="58">
        <v>324.63</v>
      </c>
      <c r="AX26" s="65">
        <f t="shared" si="19"/>
        <v>50.000000000011369</v>
      </c>
      <c r="AY26" s="58">
        <v>363.83</v>
      </c>
      <c r="AZ26" s="65">
        <f t="shared" si="20"/>
        <v>39.99999999996362</v>
      </c>
      <c r="BA26" s="58">
        <v>382.61</v>
      </c>
      <c r="BB26" s="65">
        <f t="shared" si="21"/>
        <v>20.000000000038654</v>
      </c>
      <c r="BC26" s="58">
        <v>246</v>
      </c>
      <c r="BD26" s="65">
        <f t="shared" si="22"/>
        <v>30.000000000001137</v>
      </c>
      <c r="BE26" s="59">
        <v>42052</v>
      </c>
      <c r="BF26" s="67">
        <f t="shared" si="39"/>
        <v>40</v>
      </c>
      <c r="BG26" s="60">
        <v>236.32</v>
      </c>
      <c r="BH26" s="65">
        <f t="shared" si="23"/>
        <v>49.999999999982947</v>
      </c>
      <c r="BI26" s="60">
        <v>294.68</v>
      </c>
      <c r="BJ26" s="65">
        <f t="shared" si="40"/>
        <v>30.000000000029559</v>
      </c>
      <c r="BK26" s="60">
        <v>238.62</v>
      </c>
      <c r="BL26" s="65">
        <f t="shared" si="24"/>
        <v>30.000000000001137</v>
      </c>
      <c r="BM26" s="60">
        <v>226</v>
      </c>
      <c r="BN26" s="65">
        <f t="shared" si="25"/>
        <v>39.999999999992042</v>
      </c>
      <c r="BO26" s="60">
        <v>289.91000000000003</v>
      </c>
      <c r="BP26" s="65">
        <f t="shared" si="26"/>
        <v>50.000000000011369</v>
      </c>
      <c r="BQ26" s="60">
        <v>46779</v>
      </c>
      <c r="BR26" s="65">
        <f t="shared" si="27"/>
        <v>28</v>
      </c>
      <c r="BS26" s="60">
        <v>202.6</v>
      </c>
      <c r="BT26" s="65">
        <f t="shared" si="42"/>
        <v>30.000000000001137</v>
      </c>
      <c r="BU26" s="60">
        <v>42915</v>
      </c>
      <c r="BV26" s="65">
        <f t="shared" si="29"/>
        <v>40</v>
      </c>
      <c r="BW26" s="60">
        <v>233.2</v>
      </c>
      <c r="BX26" s="65">
        <f t="shared" si="30"/>
        <v>30.000000000001137</v>
      </c>
      <c r="BY26" s="60">
        <v>62588</v>
      </c>
      <c r="BZ26" s="67">
        <f t="shared" si="31"/>
        <v>27</v>
      </c>
      <c r="CA26" s="60">
        <v>33919.4</v>
      </c>
      <c r="CB26" s="67">
        <f t="shared" si="32"/>
        <v>39</v>
      </c>
      <c r="CC26" s="60">
        <v>12604.7</v>
      </c>
      <c r="CD26" s="67">
        <f t="shared" si="33"/>
        <v>5</v>
      </c>
      <c r="CE26" s="60">
        <v>6702.9</v>
      </c>
      <c r="CF26" s="67">
        <f t="shared" si="34"/>
        <v>2.6999999999998181</v>
      </c>
      <c r="CG26" s="60">
        <v>61879.6</v>
      </c>
      <c r="CH26" s="67">
        <f t="shared" si="35"/>
        <v>47.799999999995634</v>
      </c>
      <c r="CI26" s="60">
        <v>964245</v>
      </c>
      <c r="CJ26" s="67">
        <f t="shared" si="36"/>
        <v>290</v>
      </c>
      <c r="CK26" s="60">
        <v>802.09</v>
      </c>
      <c r="CL26" s="64">
        <f t="shared" si="37"/>
        <v>610.00000000001364</v>
      </c>
      <c r="CM26" s="65">
        <f t="shared" si="41"/>
        <v>58</v>
      </c>
      <c r="CN26" s="62">
        <v>0</v>
      </c>
      <c r="CO26" s="62">
        <v>0</v>
      </c>
      <c r="CP26" s="68">
        <v>12188</v>
      </c>
      <c r="CQ26" s="67">
        <f t="shared" si="38"/>
        <v>39</v>
      </c>
      <c r="CR26" s="68">
        <v>15561</v>
      </c>
      <c r="CS26" s="67">
        <f t="shared" si="38"/>
        <v>19</v>
      </c>
      <c r="CT26" s="75">
        <v>7099</v>
      </c>
      <c r="CU26" s="67">
        <f t="shared" si="38"/>
        <v>10</v>
      </c>
      <c r="CV26" s="68">
        <v>17144</v>
      </c>
      <c r="CW26" s="67">
        <f t="shared" si="38"/>
        <v>22</v>
      </c>
    </row>
    <row r="27" spans="1:101" ht="25.5" customHeight="1" thickBot="1" x14ac:dyDescent="0.45">
      <c r="A27" s="63">
        <v>44432</v>
      </c>
      <c r="B27" s="44"/>
      <c r="C27" s="58">
        <v>2.4072</v>
      </c>
      <c r="D27" s="64">
        <f t="shared" si="0"/>
        <v>1799.9999999998017</v>
      </c>
      <c r="E27" s="58">
        <v>3.4117999999999999</v>
      </c>
      <c r="F27" s="64">
        <f t="shared" si="1"/>
        <v>2800.0000000001355</v>
      </c>
      <c r="G27" s="58">
        <v>3.4695</v>
      </c>
      <c r="H27" s="64">
        <f t="shared" si="2"/>
        <v>2800.0000000001355</v>
      </c>
      <c r="I27" s="58">
        <v>1.7099</v>
      </c>
      <c r="J27" s="64">
        <f t="shared" si="3"/>
        <v>1400.0000000000678</v>
      </c>
      <c r="K27" s="58">
        <v>2.7601</v>
      </c>
      <c r="L27" s="64">
        <f t="shared" si="4"/>
        <v>2099.9999999999909</v>
      </c>
      <c r="M27" s="58">
        <v>1.5087999999999999</v>
      </c>
      <c r="N27" s="64">
        <f t="shared" si="5"/>
        <v>799.99999999991189</v>
      </c>
      <c r="O27" s="58">
        <v>14681</v>
      </c>
      <c r="P27" s="67">
        <f t="shared" si="44"/>
        <v>5</v>
      </c>
      <c r="Q27" s="58">
        <v>1156</v>
      </c>
      <c r="R27" s="67">
        <f t="shared" si="6"/>
        <v>3</v>
      </c>
      <c r="S27" s="58">
        <v>1039.5</v>
      </c>
      <c r="T27" s="67">
        <f t="shared" si="7"/>
        <v>0.79999999999995453</v>
      </c>
      <c r="U27" s="58">
        <v>435341.4</v>
      </c>
      <c r="V27" s="67">
        <f t="shared" si="8"/>
        <v>316.70000000001164</v>
      </c>
      <c r="W27" s="58">
        <v>412.88</v>
      </c>
      <c r="X27" s="65">
        <f t="shared" si="9"/>
        <v>279.99999999997272</v>
      </c>
      <c r="Y27" s="58">
        <v>2.9851000000000001</v>
      </c>
      <c r="Z27" s="65">
        <f t="shared" si="10"/>
        <v>2800.0000000001355</v>
      </c>
      <c r="AA27" s="58">
        <v>411.68</v>
      </c>
      <c r="AB27" s="65">
        <f t="shared" si="11"/>
        <v>220.00000000002728</v>
      </c>
      <c r="AC27" s="58">
        <v>385.15</v>
      </c>
      <c r="AD27" s="65">
        <f t="shared" si="12"/>
        <v>289.99999999996362</v>
      </c>
      <c r="AE27" s="58">
        <v>580.72</v>
      </c>
      <c r="AF27" s="65">
        <f t="shared" si="13"/>
        <v>210.00000000003638</v>
      </c>
      <c r="AG27" s="58">
        <v>6421</v>
      </c>
      <c r="AH27" s="67">
        <f t="shared" si="14"/>
        <v>31</v>
      </c>
      <c r="AI27" s="58">
        <v>649.99</v>
      </c>
      <c r="AJ27" s="65">
        <f t="shared" si="15"/>
        <v>529.99999999997272</v>
      </c>
      <c r="AK27" s="58">
        <v>215.23</v>
      </c>
      <c r="AL27" s="65">
        <f t="shared" si="15"/>
        <v>159.99999999999659</v>
      </c>
      <c r="AM27" s="58">
        <v>204.05</v>
      </c>
      <c r="AN27" s="65">
        <f t="shared" si="15"/>
        <v>150.00000000000568</v>
      </c>
      <c r="AO27" s="58">
        <v>196.87</v>
      </c>
      <c r="AP27" s="65">
        <f t="shared" si="15"/>
        <v>140.00000000001478</v>
      </c>
      <c r="AQ27" s="58">
        <v>256.14</v>
      </c>
      <c r="AR27" s="65">
        <f t="shared" si="16"/>
        <v>129.99999999999545</v>
      </c>
      <c r="AS27" s="58">
        <v>382.5</v>
      </c>
      <c r="AT27" s="65">
        <f t="shared" si="17"/>
        <v>170.00000000001592</v>
      </c>
      <c r="AU27" s="58">
        <v>292.41000000000003</v>
      </c>
      <c r="AV27" s="65">
        <f t="shared" si="18"/>
        <v>100.00000000002274</v>
      </c>
      <c r="AW27" s="58">
        <v>324.70999999999998</v>
      </c>
      <c r="AX27" s="65">
        <f t="shared" si="19"/>
        <v>79.999999999984084</v>
      </c>
      <c r="AY27" s="58">
        <v>363.87</v>
      </c>
      <c r="AZ27" s="65">
        <f t="shared" si="20"/>
        <v>40.000000000020464</v>
      </c>
      <c r="BA27" s="58">
        <v>382.63</v>
      </c>
      <c r="BB27" s="65">
        <f t="shared" si="21"/>
        <v>19.99999999998181</v>
      </c>
      <c r="BC27" s="58">
        <v>246.03</v>
      </c>
      <c r="BD27" s="65">
        <f t="shared" si="22"/>
        <v>30.000000000001137</v>
      </c>
      <c r="BE27" s="59">
        <v>42092</v>
      </c>
      <c r="BF27" s="67">
        <f t="shared" si="39"/>
        <v>40</v>
      </c>
      <c r="BG27" s="60">
        <v>236.37</v>
      </c>
      <c r="BH27" s="65">
        <f t="shared" si="23"/>
        <v>50.000000000011369</v>
      </c>
      <c r="BI27" s="60">
        <v>294.70999999999998</v>
      </c>
      <c r="BJ27" s="65">
        <f t="shared" si="40"/>
        <v>29.999999999972715</v>
      </c>
      <c r="BK27" s="60">
        <v>238.67</v>
      </c>
      <c r="BL27" s="65">
        <f t="shared" si="24"/>
        <v>49.999999999982947</v>
      </c>
      <c r="BM27" s="60">
        <v>226.04</v>
      </c>
      <c r="BN27" s="65">
        <f t="shared" si="25"/>
        <v>39.999999999992042</v>
      </c>
      <c r="BO27" s="60">
        <v>289.97000000000003</v>
      </c>
      <c r="BP27" s="65">
        <f t="shared" si="26"/>
        <v>60.000000000002274</v>
      </c>
      <c r="BQ27" s="60">
        <v>46811</v>
      </c>
      <c r="BR27" s="65">
        <f t="shared" si="27"/>
        <v>32</v>
      </c>
      <c r="BS27" s="60">
        <v>202.63</v>
      </c>
      <c r="BT27" s="65">
        <f t="shared" si="42"/>
        <v>30.000000000001137</v>
      </c>
      <c r="BU27" s="60">
        <v>42962</v>
      </c>
      <c r="BV27" s="65">
        <f t="shared" si="29"/>
        <v>47</v>
      </c>
      <c r="BW27" s="60">
        <v>233.24</v>
      </c>
      <c r="BX27" s="65">
        <f t="shared" si="30"/>
        <v>40.000000000020464</v>
      </c>
      <c r="BY27" s="60">
        <v>62617</v>
      </c>
      <c r="BZ27" s="67">
        <f t="shared" si="31"/>
        <v>29</v>
      </c>
      <c r="CA27" s="60">
        <v>33954.400000000001</v>
      </c>
      <c r="CB27" s="67">
        <f t="shared" si="32"/>
        <v>35</v>
      </c>
      <c r="CC27" s="60">
        <v>12612.8</v>
      </c>
      <c r="CD27" s="67">
        <f t="shared" si="33"/>
        <v>8.0999999999985448</v>
      </c>
      <c r="CE27" s="60">
        <v>6703.5</v>
      </c>
      <c r="CF27" s="67">
        <f t="shared" si="34"/>
        <v>0.6000000000003638</v>
      </c>
      <c r="CG27" s="60">
        <v>61941</v>
      </c>
      <c r="CH27" s="67">
        <f t="shared" si="35"/>
        <v>61.400000000001455</v>
      </c>
      <c r="CI27" s="60">
        <v>964535</v>
      </c>
      <c r="CJ27" s="67">
        <f t="shared" si="36"/>
        <v>290</v>
      </c>
      <c r="CK27" s="60">
        <v>802.92</v>
      </c>
      <c r="CL27" s="64">
        <f t="shared" si="37"/>
        <v>829.99999999992724</v>
      </c>
      <c r="CM27" s="65">
        <f t="shared" si="41"/>
        <v>59</v>
      </c>
      <c r="CN27" s="62">
        <v>0</v>
      </c>
      <c r="CO27" s="62">
        <v>0</v>
      </c>
      <c r="CP27" s="68">
        <v>12228</v>
      </c>
      <c r="CQ27" s="67">
        <f t="shared" si="38"/>
        <v>40</v>
      </c>
      <c r="CR27" s="68">
        <v>15580</v>
      </c>
      <c r="CS27" s="67">
        <f t="shared" si="38"/>
        <v>19</v>
      </c>
      <c r="CT27" s="75">
        <v>7109</v>
      </c>
      <c r="CU27" s="67">
        <f t="shared" si="38"/>
        <v>10</v>
      </c>
      <c r="CV27" s="68">
        <v>17158</v>
      </c>
      <c r="CW27" s="67">
        <f t="shared" si="38"/>
        <v>14</v>
      </c>
    </row>
    <row r="28" spans="1:101" ht="25.5" customHeight="1" thickBot="1" x14ac:dyDescent="0.45">
      <c r="A28" s="63">
        <v>44433</v>
      </c>
      <c r="B28" s="44"/>
      <c r="C28" s="58">
        <v>2.4087999999999998</v>
      </c>
      <c r="D28" s="64">
        <f t="shared" si="0"/>
        <v>1599.9999999998238</v>
      </c>
      <c r="E28" s="58">
        <v>3.4142999999999999</v>
      </c>
      <c r="F28" s="64">
        <f t="shared" si="1"/>
        <v>2499.9999999999468</v>
      </c>
      <c r="G28" s="58">
        <v>3.4718</v>
      </c>
      <c r="H28" s="64">
        <f t="shared" si="2"/>
        <v>2299.9999999999686</v>
      </c>
      <c r="I28" s="58">
        <v>1.7111000000000001</v>
      </c>
      <c r="J28" s="64">
        <f t="shared" si="3"/>
        <v>1200.0000000000898</v>
      </c>
      <c r="K28" s="58">
        <v>2.762</v>
      </c>
      <c r="L28" s="64">
        <f t="shared" si="4"/>
        <v>1900.0000000000127</v>
      </c>
      <c r="M28" s="58">
        <v>1.5097</v>
      </c>
      <c r="N28" s="64">
        <f t="shared" si="5"/>
        <v>900.0000000001229</v>
      </c>
      <c r="O28" s="58">
        <v>14688</v>
      </c>
      <c r="P28" s="67">
        <f t="shared" si="44"/>
        <v>7</v>
      </c>
      <c r="Q28" s="58">
        <v>1160</v>
      </c>
      <c r="R28" s="67">
        <f t="shared" si="6"/>
        <v>4</v>
      </c>
      <c r="S28" s="58">
        <v>1040.0999999999999</v>
      </c>
      <c r="T28" s="67">
        <f t="shared" si="7"/>
        <v>0.59999999999990905</v>
      </c>
      <c r="U28" s="58">
        <v>435624.4</v>
      </c>
      <c r="V28" s="67">
        <f t="shared" si="8"/>
        <v>283</v>
      </c>
      <c r="W28" s="58">
        <v>413.15</v>
      </c>
      <c r="X28" s="65">
        <f t="shared" si="9"/>
        <v>269.99999999998181</v>
      </c>
      <c r="Y28" s="58">
        <v>2.9872000000000001</v>
      </c>
      <c r="Z28" s="65">
        <f t="shared" si="10"/>
        <v>2099.9999999999909</v>
      </c>
      <c r="AA28" s="58">
        <v>412.04</v>
      </c>
      <c r="AB28" s="65">
        <f t="shared" si="11"/>
        <v>360.00000000001364</v>
      </c>
      <c r="AC28" s="58">
        <v>385.4</v>
      </c>
      <c r="AD28" s="65">
        <f t="shared" si="12"/>
        <v>250</v>
      </c>
      <c r="AE28" s="58">
        <v>580.91</v>
      </c>
      <c r="AF28" s="65">
        <f t="shared" si="13"/>
        <v>189.99999999994088</v>
      </c>
      <c r="AG28" s="58">
        <v>6476</v>
      </c>
      <c r="AH28" s="67">
        <f t="shared" si="14"/>
        <v>55</v>
      </c>
      <c r="AI28" s="58">
        <v>650.49</v>
      </c>
      <c r="AJ28" s="65">
        <f t="shared" si="15"/>
        <v>500</v>
      </c>
      <c r="AK28" s="58">
        <v>215.36</v>
      </c>
      <c r="AL28" s="65">
        <f t="shared" si="15"/>
        <v>130.00000000002387</v>
      </c>
      <c r="AM28" s="58">
        <v>204.16</v>
      </c>
      <c r="AN28" s="65">
        <f t="shared" si="15"/>
        <v>109.99999999998522</v>
      </c>
      <c r="AO28" s="58">
        <v>196.98</v>
      </c>
      <c r="AP28" s="65">
        <f t="shared" si="15"/>
        <v>109.99999999998522</v>
      </c>
      <c r="AQ28" s="58">
        <v>256.23</v>
      </c>
      <c r="AR28" s="65">
        <f t="shared" si="16"/>
        <v>90.000000000031832</v>
      </c>
      <c r="AS28" s="58">
        <v>382.63</v>
      </c>
      <c r="AT28" s="65">
        <f t="shared" si="17"/>
        <v>129.99999999999545</v>
      </c>
      <c r="AU28" s="58">
        <v>292.48</v>
      </c>
      <c r="AV28" s="65">
        <f t="shared" si="18"/>
        <v>69.999999999993179</v>
      </c>
      <c r="AW28" s="58">
        <v>324.76</v>
      </c>
      <c r="AX28" s="65">
        <f t="shared" si="19"/>
        <v>50.000000000011369</v>
      </c>
      <c r="AY28" s="58">
        <v>363.9</v>
      </c>
      <c r="AZ28" s="65">
        <f t="shared" si="20"/>
        <v>29.999999999972715</v>
      </c>
      <c r="BA28" s="58">
        <v>382.65</v>
      </c>
      <c r="BB28" s="65">
        <f t="shared" si="21"/>
        <v>19.99999999998181</v>
      </c>
      <c r="BC28" s="58">
        <v>246.06</v>
      </c>
      <c r="BD28" s="65">
        <f t="shared" si="22"/>
        <v>30.000000000001137</v>
      </c>
      <c r="BE28" s="59">
        <v>42125</v>
      </c>
      <c r="BF28" s="67">
        <f t="shared" si="39"/>
        <v>33</v>
      </c>
      <c r="BG28" s="60">
        <v>236.41</v>
      </c>
      <c r="BH28" s="65">
        <f t="shared" si="23"/>
        <v>39.999999999992042</v>
      </c>
      <c r="BI28" s="60">
        <v>294.73</v>
      </c>
      <c r="BJ28" s="65">
        <f t="shared" si="40"/>
        <v>20.000000000038654</v>
      </c>
      <c r="BK28" s="60">
        <v>238.7</v>
      </c>
      <c r="BL28" s="65">
        <f t="shared" si="24"/>
        <v>30.000000000001137</v>
      </c>
      <c r="BM28" s="60">
        <v>226.08</v>
      </c>
      <c r="BN28" s="65">
        <f t="shared" si="25"/>
        <v>40.000000000020464</v>
      </c>
      <c r="BO28" s="60">
        <v>290.01</v>
      </c>
      <c r="BP28" s="65">
        <f t="shared" si="26"/>
        <v>39.99999999996362</v>
      </c>
      <c r="BQ28" s="60">
        <v>46834</v>
      </c>
      <c r="BR28" s="65">
        <f t="shared" si="27"/>
        <v>23</v>
      </c>
      <c r="BS28" s="60">
        <v>202.66</v>
      </c>
      <c r="BT28" s="65">
        <f t="shared" si="42"/>
        <v>30.000000000001137</v>
      </c>
      <c r="BU28" s="60">
        <v>42997</v>
      </c>
      <c r="BV28" s="65">
        <f t="shared" si="29"/>
        <v>35</v>
      </c>
      <c r="BW28" s="60">
        <v>233.26</v>
      </c>
      <c r="BX28" s="65">
        <f t="shared" si="30"/>
        <v>19.99999999998181</v>
      </c>
      <c r="BY28" s="60">
        <v>62641</v>
      </c>
      <c r="BZ28" s="67">
        <f t="shared" si="31"/>
        <v>24</v>
      </c>
      <c r="CA28" s="60">
        <v>33995.800000000003</v>
      </c>
      <c r="CB28" s="67">
        <f t="shared" si="32"/>
        <v>41.400000000001455</v>
      </c>
      <c r="CC28" s="60">
        <v>12616.9</v>
      </c>
      <c r="CD28" s="67">
        <f t="shared" si="33"/>
        <v>4.1000000000003638</v>
      </c>
      <c r="CE28" s="60">
        <v>6712.5</v>
      </c>
      <c r="CF28" s="67">
        <f t="shared" si="34"/>
        <v>9</v>
      </c>
      <c r="CG28" s="60">
        <v>61981.599999999999</v>
      </c>
      <c r="CH28" s="67">
        <f t="shared" si="35"/>
        <v>40.599999999998545</v>
      </c>
      <c r="CI28" s="60">
        <v>964792</v>
      </c>
      <c r="CJ28" s="67">
        <f t="shared" si="36"/>
        <v>257</v>
      </c>
      <c r="CK28" s="60">
        <v>803.49</v>
      </c>
      <c r="CL28" s="64">
        <f t="shared" si="37"/>
        <v>570.00000000005002</v>
      </c>
      <c r="CM28" s="65">
        <f t="shared" si="41"/>
        <v>52</v>
      </c>
      <c r="CN28" s="62">
        <v>10</v>
      </c>
      <c r="CO28" s="62">
        <v>22</v>
      </c>
      <c r="CP28" s="68">
        <v>12263</v>
      </c>
      <c r="CQ28" s="67">
        <f t="shared" si="38"/>
        <v>35</v>
      </c>
      <c r="CR28" s="68">
        <v>15597</v>
      </c>
      <c r="CS28" s="67">
        <f t="shared" si="38"/>
        <v>17</v>
      </c>
      <c r="CT28" s="75">
        <v>7118</v>
      </c>
      <c r="CU28" s="67">
        <f t="shared" si="38"/>
        <v>9</v>
      </c>
      <c r="CV28" s="68">
        <v>17173</v>
      </c>
      <c r="CW28" s="67">
        <f t="shared" si="38"/>
        <v>15</v>
      </c>
    </row>
    <row r="29" spans="1:101" ht="25.5" customHeight="1" thickBot="1" x14ac:dyDescent="0.45">
      <c r="A29" s="63">
        <v>44434</v>
      </c>
      <c r="B29" s="44"/>
      <c r="C29" s="58">
        <v>2.4104000000000001</v>
      </c>
      <c r="D29" s="64">
        <f t="shared" si="0"/>
        <v>1600.0000000002678</v>
      </c>
      <c r="E29" s="58">
        <v>3.4167000000000001</v>
      </c>
      <c r="F29" s="64">
        <f t="shared" si="1"/>
        <v>2400.0000000001796</v>
      </c>
      <c r="G29" s="58">
        <v>3.4740000000000002</v>
      </c>
      <c r="H29" s="64">
        <f t="shared" si="2"/>
        <v>2200.0000000002019</v>
      </c>
      <c r="I29" s="58">
        <v>1.7123999999999999</v>
      </c>
      <c r="J29" s="64">
        <f t="shared" si="3"/>
        <v>1299.9999999998568</v>
      </c>
      <c r="K29" s="58">
        <v>2.7637999999999998</v>
      </c>
      <c r="L29" s="64">
        <f t="shared" si="4"/>
        <v>1799.9999999998017</v>
      </c>
      <c r="M29" s="58">
        <v>1.5105</v>
      </c>
      <c r="N29" s="64">
        <f t="shared" si="5"/>
        <v>799.99999999991189</v>
      </c>
      <c r="O29" s="58">
        <v>14696</v>
      </c>
      <c r="P29" s="67">
        <f t="shared" si="44"/>
        <v>8</v>
      </c>
      <c r="Q29" s="58">
        <v>1163</v>
      </c>
      <c r="R29" s="67">
        <f t="shared" si="6"/>
        <v>3</v>
      </c>
      <c r="S29" s="58">
        <v>1040.8</v>
      </c>
      <c r="T29" s="67">
        <f t="shared" si="7"/>
        <v>0.70000000000004547</v>
      </c>
      <c r="U29" s="58">
        <v>435913.9</v>
      </c>
      <c r="V29" s="67">
        <f t="shared" si="8"/>
        <v>289.5</v>
      </c>
      <c r="W29" s="58">
        <v>413.39</v>
      </c>
      <c r="X29" s="65">
        <f t="shared" si="9"/>
        <v>240.00000000000909</v>
      </c>
      <c r="Y29" s="58">
        <v>2.9893999999999998</v>
      </c>
      <c r="Z29" s="65">
        <f t="shared" si="10"/>
        <v>2199.9999999997576</v>
      </c>
      <c r="AA29" s="58">
        <v>412.24</v>
      </c>
      <c r="AB29" s="65">
        <f t="shared" si="11"/>
        <v>199.99999999998863</v>
      </c>
      <c r="AC29" s="58">
        <v>385.63</v>
      </c>
      <c r="AD29" s="65">
        <f t="shared" si="12"/>
        <v>230.00000000001819</v>
      </c>
      <c r="AE29" s="58">
        <v>581.13</v>
      </c>
      <c r="AF29" s="65">
        <f t="shared" si="13"/>
        <v>220.00000000002728</v>
      </c>
      <c r="AG29" s="58">
        <v>6517</v>
      </c>
      <c r="AH29" s="67">
        <f t="shared" si="14"/>
        <v>41</v>
      </c>
      <c r="AI29" s="58">
        <v>650.98</v>
      </c>
      <c r="AJ29" s="65">
        <f t="shared" si="15"/>
        <v>490.00000000000909</v>
      </c>
      <c r="AK29" s="58">
        <v>215.52</v>
      </c>
      <c r="AL29" s="65">
        <f t="shared" si="15"/>
        <v>159.99999999999659</v>
      </c>
      <c r="AM29" s="58">
        <v>204.3</v>
      </c>
      <c r="AN29" s="65">
        <f t="shared" si="15"/>
        <v>140.00000000001478</v>
      </c>
      <c r="AO29" s="58">
        <v>197.1</v>
      </c>
      <c r="AP29" s="65">
        <f t="shared" si="15"/>
        <v>120.00000000000455</v>
      </c>
      <c r="AQ29" s="58">
        <v>256.32</v>
      </c>
      <c r="AR29" s="65">
        <f t="shared" si="16"/>
        <v>89.999999999974989</v>
      </c>
      <c r="AS29" s="58">
        <v>382.73</v>
      </c>
      <c r="AT29" s="65">
        <f t="shared" si="17"/>
        <v>100.00000000002274</v>
      </c>
      <c r="AU29" s="58">
        <v>292.56</v>
      </c>
      <c r="AV29" s="65">
        <f t="shared" si="18"/>
        <v>79.999999999984084</v>
      </c>
      <c r="AW29" s="58">
        <v>324.85000000000002</v>
      </c>
      <c r="AX29" s="65">
        <f t="shared" si="19"/>
        <v>90.000000000031832</v>
      </c>
      <c r="AY29" s="58">
        <v>363.93</v>
      </c>
      <c r="AZ29" s="65">
        <f t="shared" si="20"/>
        <v>30.000000000029559</v>
      </c>
      <c r="BA29" s="58">
        <v>382.68</v>
      </c>
      <c r="BB29" s="65">
        <f t="shared" si="21"/>
        <v>30.000000000029559</v>
      </c>
      <c r="BC29" s="58">
        <v>246.09</v>
      </c>
      <c r="BD29" s="65">
        <f t="shared" si="22"/>
        <v>30.000000000001137</v>
      </c>
      <c r="BE29" s="59">
        <v>42162</v>
      </c>
      <c r="BF29" s="67">
        <f t="shared" si="39"/>
        <v>37</v>
      </c>
      <c r="BG29" s="60">
        <v>236.44</v>
      </c>
      <c r="BH29" s="65">
        <f t="shared" si="23"/>
        <v>30.000000000001137</v>
      </c>
      <c r="BI29" s="60">
        <v>294.75</v>
      </c>
      <c r="BJ29" s="65">
        <f t="shared" si="40"/>
        <v>19.99999999998181</v>
      </c>
      <c r="BK29" s="60">
        <v>238.74</v>
      </c>
      <c r="BL29" s="65">
        <f t="shared" si="24"/>
        <v>40.000000000020464</v>
      </c>
      <c r="BM29" s="60">
        <v>226.12</v>
      </c>
      <c r="BN29" s="65">
        <f t="shared" si="25"/>
        <v>39.999999999992042</v>
      </c>
      <c r="BO29" s="60">
        <v>290.06</v>
      </c>
      <c r="BP29" s="65">
        <f t="shared" si="26"/>
        <v>50.000000000011369</v>
      </c>
      <c r="BQ29" s="60">
        <v>46862</v>
      </c>
      <c r="BR29" s="65">
        <f t="shared" si="27"/>
        <v>28</v>
      </c>
      <c r="BS29" s="60">
        <v>202.69</v>
      </c>
      <c r="BT29" s="65">
        <f t="shared" si="42"/>
        <v>30.000000000001137</v>
      </c>
      <c r="BU29" s="60">
        <v>43049</v>
      </c>
      <c r="BV29" s="65">
        <f t="shared" si="29"/>
        <v>52</v>
      </c>
      <c r="BW29" s="60">
        <v>233.29</v>
      </c>
      <c r="BX29" s="65">
        <f t="shared" si="30"/>
        <v>30.000000000001137</v>
      </c>
      <c r="BY29" s="60">
        <v>62672</v>
      </c>
      <c r="BZ29" s="67">
        <f t="shared" si="31"/>
        <v>31</v>
      </c>
      <c r="CA29" s="60">
        <v>34025.300000000003</v>
      </c>
      <c r="CB29" s="67">
        <f t="shared" si="32"/>
        <v>29.5</v>
      </c>
      <c r="CC29" s="60">
        <v>12621.4</v>
      </c>
      <c r="CD29" s="67">
        <f t="shared" si="33"/>
        <v>4.5</v>
      </c>
      <c r="CE29" s="60">
        <v>6713.1</v>
      </c>
      <c r="CF29" s="67">
        <f t="shared" si="34"/>
        <v>0.6000000000003638</v>
      </c>
      <c r="CG29" s="60">
        <v>62023.4</v>
      </c>
      <c r="CH29" s="67">
        <f t="shared" si="35"/>
        <v>41.80000000000291</v>
      </c>
      <c r="CI29" s="60">
        <v>965053</v>
      </c>
      <c r="CJ29" s="67">
        <f t="shared" si="36"/>
        <v>261</v>
      </c>
      <c r="CK29" s="60">
        <v>803.9</v>
      </c>
      <c r="CL29" s="64">
        <f t="shared" si="37"/>
        <v>409.99999999996817</v>
      </c>
      <c r="CM29" s="65">
        <f t="shared" si="41"/>
        <v>53</v>
      </c>
      <c r="CN29" s="62">
        <v>8</v>
      </c>
      <c r="CO29" s="62">
        <v>17</v>
      </c>
      <c r="CP29" s="68">
        <v>12298</v>
      </c>
      <c r="CQ29" s="67">
        <f t="shared" si="38"/>
        <v>35</v>
      </c>
      <c r="CR29" s="68">
        <v>15615</v>
      </c>
      <c r="CS29" s="67">
        <f t="shared" si="38"/>
        <v>18</v>
      </c>
      <c r="CT29" s="75">
        <v>7128</v>
      </c>
      <c r="CU29" s="67">
        <f t="shared" si="38"/>
        <v>10</v>
      </c>
      <c r="CV29" s="68">
        <v>17188</v>
      </c>
      <c r="CW29" s="67">
        <f t="shared" si="38"/>
        <v>15</v>
      </c>
    </row>
    <row r="30" spans="1:101" ht="25.5" customHeight="1" thickBot="1" x14ac:dyDescent="0.45">
      <c r="A30" s="63">
        <v>44435</v>
      </c>
      <c r="B30" s="44"/>
      <c r="C30" s="58">
        <v>2.4121000000000001</v>
      </c>
      <c r="D30" s="64">
        <f t="shared" si="0"/>
        <v>1700.0000000000348</v>
      </c>
      <c r="E30" s="58">
        <v>3.4190999999999998</v>
      </c>
      <c r="F30" s="64">
        <f t="shared" si="1"/>
        <v>2399.9999999997358</v>
      </c>
      <c r="G30" s="58">
        <v>3.4763999999999999</v>
      </c>
      <c r="H30" s="64">
        <f t="shared" si="2"/>
        <v>2399.9999999997358</v>
      </c>
      <c r="I30" s="58">
        <v>1.7136</v>
      </c>
      <c r="J30" s="64">
        <f t="shared" si="3"/>
        <v>1200.0000000000898</v>
      </c>
      <c r="K30" s="58">
        <v>2.7658</v>
      </c>
      <c r="L30" s="64">
        <f t="shared" si="4"/>
        <v>2000.0000000002237</v>
      </c>
      <c r="M30" s="58">
        <v>1.5114000000000001</v>
      </c>
      <c r="N30" s="64">
        <f t="shared" si="5"/>
        <v>900.0000000001229</v>
      </c>
      <c r="O30" s="58">
        <v>14702</v>
      </c>
      <c r="P30" s="67">
        <f t="shared" si="44"/>
        <v>6</v>
      </c>
      <c r="Q30" s="58">
        <v>1165</v>
      </c>
      <c r="R30" s="67">
        <f t="shared" si="6"/>
        <v>2</v>
      </c>
      <c r="S30" s="58">
        <v>1041.5</v>
      </c>
      <c r="T30" s="67">
        <f t="shared" si="7"/>
        <v>0.70000000000004547</v>
      </c>
      <c r="U30" s="58">
        <v>436201</v>
      </c>
      <c r="V30" s="67">
        <f t="shared" si="8"/>
        <v>287.09999999997672</v>
      </c>
      <c r="W30" s="58">
        <v>413.6</v>
      </c>
      <c r="X30" s="65">
        <f t="shared" si="9"/>
        <v>210.00000000003638</v>
      </c>
      <c r="Y30" s="58">
        <v>2.9914999999999998</v>
      </c>
      <c r="Z30" s="65">
        <f t="shared" si="10"/>
        <v>2099.9999999999909</v>
      </c>
      <c r="AA30" s="58">
        <v>412.57</v>
      </c>
      <c r="AB30" s="65">
        <f t="shared" si="11"/>
        <v>329.99999999998408</v>
      </c>
      <c r="AC30" s="58">
        <v>385.87</v>
      </c>
      <c r="AD30" s="65">
        <f t="shared" si="12"/>
        <v>240.00000000000909</v>
      </c>
      <c r="AE30" s="58">
        <v>581.38</v>
      </c>
      <c r="AF30" s="65">
        <f t="shared" si="13"/>
        <v>250</v>
      </c>
      <c r="AG30" s="58">
        <v>6545</v>
      </c>
      <c r="AH30" s="67">
        <f t="shared" si="14"/>
        <v>28</v>
      </c>
      <c r="AI30" s="58">
        <v>651.48</v>
      </c>
      <c r="AJ30" s="65">
        <f t="shared" si="15"/>
        <v>500</v>
      </c>
      <c r="AK30" s="58">
        <v>215.65</v>
      </c>
      <c r="AL30" s="65">
        <f t="shared" si="15"/>
        <v>129.99999999999545</v>
      </c>
      <c r="AM30" s="58">
        <v>204.46</v>
      </c>
      <c r="AN30" s="65">
        <f t="shared" si="15"/>
        <v>159.99999999999659</v>
      </c>
      <c r="AO30" s="58">
        <v>197.2</v>
      </c>
      <c r="AP30" s="65">
        <f t="shared" si="15"/>
        <v>99.999999999994316</v>
      </c>
      <c r="AQ30" s="58">
        <v>256.42</v>
      </c>
      <c r="AR30" s="65">
        <f t="shared" si="16"/>
        <v>100.00000000002274</v>
      </c>
      <c r="AS30" s="58">
        <v>382.85</v>
      </c>
      <c r="AT30" s="65">
        <f t="shared" si="17"/>
        <v>120.00000000000455</v>
      </c>
      <c r="AU30" s="58">
        <v>292.64999999999998</v>
      </c>
      <c r="AV30" s="65">
        <f t="shared" si="18"/>
        <v>89.999999999974989</v>
      </c>
      <c r="AW30" s="58">
        <v>324.93</v>
      </c>
      <c r="AX30" s="65">
        <f t="shared" si="19"/>
        <v>79.999999999984084</v>
      </c>
      <c r="AY30" s="58">
        <v>363.98</v>
      </c>
      <c r="AZ30" s="65">
        <f t="shared" si="20"/>
        <v>50.000000000011369</v>
      </c>
      <c r="BA30" s="58">
        <v>382.74</v>
      </c>
      <c r="BB30" s="65">
        <f t="shared" si="21"/>
        <v>60.000000000002274</v>
      </c>
      <c r="BC30" s="58">
        <v>246.12</v>
      </c>
      <c r="BD30" s="65">
        <f t="shared" si="22"/>
        <v>30.000000000001137</v>
      </c>
      <c r="BE30" s="59">
        <v>42196</v>
      </c>
      <c r="BF30" s="67">
        <f t="shared" si="39"/>
        <v>34</v>
      </c>
      <c r="BG30" s="60">
        <v>236.48</v>
      </c>
      <c r="BH30" s="65">
        <f t="shared" si="23"/>
        <v>39.999999999992042</v>
      </c>
      <c r="BI30" s="60">
        <v>294.77999999999997</v>
      </c>
      <c r="BJ30" s="65">
        <f t="shared" si="40"/>
        <v>29.999999999972715</v>
      </c>
      <c r="BK30" s="60">
        <v>238.77</v>
      </c>
      <c r="BL30" s="65">
        <f t="shared" si="24"/>
        <v>30.000000000001137</v>
      </c>
      <c r="BM30" s="60">
        <v>226.17</v>
      </c>
      <c r="BN30" s="65">
        <f t="shared" si="25"/>
        <v>49.999999999982947</v>
      </c>
      <c r="BO30" s="60">
        <v>290.11</v>
      </c>
      <c r="BP30" s="65">
        <f t="shared" si="26"/>
        <v>50.000000000011369</v>
      </c>
      <c r="BQ30" s="60">
        <v>46889</v>
      </c>
      <c r="BR30" s="65">
        <f t="shared" si="27"/>
        <v>27</v>
      </c>
      <c r="BS30" s="60">
        <v>202.72</v>
      </c>
      <c r="BT30" s="65">
        <f t="shared" si="42"/>
        <v>30.000000000001137</v>
      </c>
      <c r="BU30" s="60">
        <v>43088</v>
      </c>
      <c r="BV30" s="65">
        <f t="shared" si="29"/>
        <v>39</v>
      </c>
      <c r="BW30" s="60">
        <v>233.33</v>
      </c>
      <c r="BX30" s="65">
        <f t="shared" si="30"/>
        <v>40.000000000020464</v>
      </c>
      <c r="BY30" s="60">
        <v>62692</v>
      </c>
      <c r="BZ30" s="67">
        <f t="shared" si="31"/>
        <v>20</v>
      </c>
      <c r="CA30" s="60">
        <v>34045.5</v>
      </c>
      <c r="CB30" s="67">
        <f t="shared" si="32"/>
        <v>20.19999999999709</v>
      </c>
      <c r="CC30" s="60">
        <v>12626.1</v>
      </c>
      <c r="CD30" s="67">
        <f t="shared" si="33"/>
        <v>4.7000000000007276</v>
      </c>
      <c r="CE30" s="60">
        <v>6717</v>
      </c>
      <c r="CF30" s="67">
        <f t="shared" si="34"/>
        <v>3.8999999999996362</v>
      </c>
      <c r="CG30" s="60">
        <v>62050.3</v>
      </c>
      <c r="CH30" s="67">
        <f t="shared" si="35"/>
        <v>26.900000000001455</v>
      </c>
      <c r="CI30" s="60">
        <v>965303</v>
      </c>
      <c r="CJ30" s="67">
        <f t="shared" si="36"/>
        <v>250</v>
      </c>
      <c r="CK30" s="60">
        <v>804.51</v>
      </c>
      <c r="CL30" s="64">
        <f t="shared" si="37"/>
        <v>610.00000000001364</v>
      </c>
      <c r="CM30" s="65">
        <f t="shared" si="41"/>
        <v>46</v>
      </c>
      <c r="CN30" s="62">
        <v>8</v>
      </c>
      <c r="CO30" s="62">
        <v>17</v>
      </c>
      <c r="CP30" s="68">
        <v>12328</v>
      </c>
      <c r="CQ30" s="67">
        <f t="shared" si="38"/>
        <v>30</v>
      </c>
      <c r="CR30" s="68">
        <v>15631</v>
      </c>
      <c r="CS30" s="67">
        <f t="shared" si="38"/>
        <v>16</v>
      </c>
      <c r="CT30" s="75">
        <v>7137</v>
      </c>
      <c r="CU30" s="67">
        <f t="shared" si="38"/>
        <v>9</v>
      </c>
      <c r="CV30" s="68">
        <v>17205</v>
      </c>
      <c r="CW30" s="67">
        <f t="shared" si="38"/>
        <v>17</v>
      </c>
    </row>
    <row r="31" spans="1:101" ht="25.5" customHeight="1" thickBot="1" x14ac:dyDescent="0.45">
      <c r="A31" s="63">
        <v>44436</v>
      </c>
      <c r="B31" s="66"/>
      <c r="C31" s="58"/>
      <c r="D31" s="64" t="str">
        <f t="shared" si="0"/>
        <v>0</v>
      </c>
      <c r="E31" s="58"/>
      <c r="F31" s="64" t="str">
        <f t="shared" si="1"/>
        <v>0</v>
      </c>
      <c r="G31" s="58"/>
      <c r="H31" s="64" t="str">
        <f t="shared" si="2"/>
        <v>0</v>
      </c>
      <c r="I31" s="58"/>
      <c r="J31" s="64" t="str">
        <f t="shared" si="3"/>
        <v>0</v>
      </c>
      <c r="K31" s="58"/>
      <c r="L31" s="64" t="str">
        <f t="shared" si="4"/>
        <v>0</v>
      </c>
      <c r="M31" s="58"/>
      <c r="N31" s="64" t="str">
        <f t="shared" si="5"/>
        <v/>
      </c>
      <c r="O31" s="58"/>
      <c r="P31" s="67" t="str">
        <f t="shared" si="44"/>
        <v/>
      </c>
      <c r="Q31" s="58"/>
      <c r="R31" s="67" t="str">
        <f t="shared" si="6"/>
        <v/>
      </c>
      <c r="S31" s="58"/>
      <c r="T31" s="67" t="str">
        <f t="shared" si="7"/>
        <v/>
      </c>
      <c r="U31" s="58"/>
      <c r="V31" s="67" t="str">
        <f t="shared" si="8"/>
        <v/>
      </c>
      <c r="W31" s="58"/>
      <c r="X31" s="65" t="str">
        <f t="shared" si="9"/>
        <v/>
      </c>
      <c r="Y31" s="58"/>
      <c r="Z31" s="65" t="str">
        <f t="shared" si="10"/>
        <v/>
      </c>
      <c r="AA31" s="58"/>
      <c r="AB31" s="65" t="str">
        <f t="shared" si="11"/>
        <v/>
      </c>
      <c r="AC31" s="58"/>
      <c r="AD31" s="65" t="str">
        <f t="shared" si="12"/>
        <v/>
      </c>
      <c r="AE31" s="58"/>
      <c r="AF31" s="65" t="str">
        <f t="shared" si="13"/>
        <v/>
      </c>
      <c r="AG31" s="58"/>
      <c r="AH31" s="67" t="str">
        <f t="shared" si="14"/>
        <v/>
      </c>
      <c r="AI31" s="58"/>
      <c r="AJ31" s="65" t="str">
        <f t="shared" si="15"/>
        <v/>
      </c>
      <c r="AK31" s="58"/>
      <c r="AL31" s="65" t="str">
        <f t="shared" si="15"/>
        <v/>
      </c>
      <c r="AM31" s="58"/>
      <c r="AN31" s="65" t="str">
        <f t="shared" si="15"/>
        <v/>
      </c>
      <c r="AO31" s="58"/>
      <c r="AP31" s="65" t="str">
        <f t="shared" si="15"/>
        <v/>
      </c>
      <c r="AQ31" s="58"/>
      <c r="AR31" s="65" t="str">
        <f t="shared" si="16"/>
        <v/>
      </c>
      <c r="AS31" s="58"/>
      <c r="AT31" s="65" t="str">
        <f t="shared" si="17"/>
        <v/>
      </c>
      <c r="AU31" s="58"/>
      <c r="AV31" s="65" t="str">
        <f t="shared" si="18"/>
        <v/>
      </c>
      <c r="AW31" s="58"/>
      <c r="AX31" s="65" t="str">
        <f t="shared" si="19"/>
        <v/>
      </c>
      <c r="AY31" s="58"/>
      <c r="AZ31" s="65" t="str">
        <f t="shared" si="20"/>
        <v/>
      </c>
      <c r="BA31" s="58"/>
      <c r="BB31" s="65" t="str">
        <f t="shared" si="21"/>
        <v/>
      </c>
      <c r="BC31" s="58"/>
      <c r="BD31" s="65" t="str">
        <f t="shared" si="22"/>
        <v/>
      </c>
      <c r="BE31" s="59"/>
      <c r="BF31" s="67" t="str">
        <f t="shared" si="39"/>
        <v/>
      </c>
      <c r="BG31" s="60"/>
      <c r="BH31" s="65" t="str">
        <f t="shared" si="23"/>
        <v/>
      </c>
      <c r="BI31" s="60"/>
      <c r="BJ31" s="65" t="str">
        <f t="shared" si="40"/>
        <v/>
      </c>
      <c r="BK31" s="60"/>
      <c r="BL31" s="65" t="str">
        <f t="shared" si="24"/>
        <v/>
      </c>
      <c r="BM31" s="60"/>
      <c r="BN31" s="65" t="str">
        <f t="shared" si="25"/>
        <v/>
      </c>
      <c r="BO31" s="60"/>
      <c r="BP31" s="65" t="str">
        <f t="shared" si="26"/>
        <v/>
      </c>
      <c r="BQ31" s="60"/>
      <c r="BR31" s="65" t="str">
        <f t="shared" si="27"/>
        <v/>
      </c>
      <c r="BS31" s="60"/>
      <c r="BT31" s="65" t="str">
        <f t="shared" si="42"/>
        <v/>
      </c>
      <c r="BU31" s="60"/>
      <c r="BV31" s="65" t="str">
        <f t="shared" si="29"/>
        <v/>
      </c>
      <c r="BW31" s="60"/>
      <c r="BX31" s="65" t="str">
        <f t="shared" si="30"/>
        <v/>
      </c>
      <c r="BY31" s="60"/>
      <c r="BZ31" s="67" t="str">
        <f t="shared" si="31"/>
        <v/>
      </c>
      <c r="CA31" s="60"/>
      <c r="CB31" s="67" t="str">
        <f t="shared" si="32"/>
        <v/>
      </c>
      <c r="CC31" s="60"/>
      <c r="CD31" s="67" t="str">
        <f t="shared" si="33"/>
        <v/>
      </c>
      <c r="CE31" s="60"/>
      <c r="CF31" s="67" t="str">
        <f t="shared" si="34"/>
        <v/>
      </c>
      <c r="CG31" s="60"/>
      <c r="CH31" s="67" t="str">
        <f t="shared" si="35"/>
        <v/>
      </c>
      <c r="CI31" s="60"/>
      <c r="CJ31" s="67" t="str">
        <f t="shared" si="36"/>
        <v/>
      </c>
      <c r="CK31" s="60"/>
      <c r="CL31" s="64" t="str">
        <f t="shared" si="37"/>
        <v/>
      </c>
      <c r="CM31" s="65" t="e">
        <f t="shared" si="41"/>
        <v>#VALUE!</v>
      </c>
      <c r="CN31" s="62">
        <v>0</v>
      </c>
      <c r="CO31" s="62">
        <v>0</v>
      </c>
      <c r="CP31" s="68"/>
      <c r="CQ31" s="67" t="str">
        <f t="shared" si="38"/>
        <v/>
      </c>
      <c r="CR31" s="68"/>
      <c r="CS31" s="67" t="str">
        <f t="shared" si="38"/>
        <v/>
      </c>
      <c r="CT31" s="75"/>
      <c r="CU31" s="67" t="str">
        <f t="shared" si="38"/>
        <v/>
      </c>
      <c r="CV31" s="68"/>
      <c r="CW31" s="67" t="str">
        <f t="shared" si="38"/>
        <v/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N47" sqref="N4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10</v>
      </c>
      <c r="D18" s="40">
        <v>29</v>
      </c>
      <c r="E18" s="41">
        <v>30</v>
      </c>
      <c r="F18" s="41">
        <v>5597</v>
      </c>
      <c r="G18" s="41">
        <v>0</v>
      </c>
      <c r="H18" s="41">
        <v>1653</v>
      </c>
      <c r="I18" s="41">
        <v>0</v>
      </c>
      <c r="J18" s="41">
        <v>398</v>
      </c>
      <c r="K18" s="42">
        <v>85</v>
      </c>
      <c r="L18" s="42">
        <v>20</v>
      </c>
      <c r="M18" s="42">
        <v>1392</v>
      </c>
      <c r="N18" s="39">
        <v>0</v>
      </c>
      <c r="O18" s="39">
        <v>0</v>
      </c>
      <c r="P18" s="39">
        <v>60</v>
      </c>
      <c r="Q18" s="39">
        <v>4042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10</v>
      </c>
      <c r="D19" s="40">
        <v>29</v>
      </c>
      <c r="E19" s="41">
        <v>25</v>
      </c>
      <c r="F19" s="41">
        <v>5602</v>
      </c>
      <c r="G19" s="41">
        <v>85</v>
      </c>
      <c r="H19" s="41">
        <v>1656</v>
      </c>
      <c r="I19" s="41">
        <v>0</v>
      </c>
      <c r="J19" s="41">
        <v>400</v>
      </c>
      <c r="K19" s="42">
        <v>85</v>
      </c>
      <c r="L19" s="42">
        <v>20</v>
      </c>
      <c r="M19" s="42">
        <v>1392</v>
      </c>
      <c r="N19" s="39">
        <v>0</v>
      </c>
      <c r="O19" s="39">
        <v>0</v>
      </c>
      <c r="P19" s="39">
        <v>55</v>
      </c>
      <c r="Q19" s="39">
        <v>4045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12</v>
      </c>
      <c r="D20" s="40">
        <v>32</v>
      </c>
      <c r="E20" s="41">
        <v>25</v>
      </c>
      <c r="F20" s="41">
        <v>5610</v>
      </c>
      <c r="G20" s="41">
        <v>70</v>
      </c>
      <c r="H20" s="41">
        <v>1658</v>
      </c>
      <c r="I20" s="41">
        <v>0</v>
      </c>
      <c r="J20" s="41">
        <v>401</v>
      </c>
      <c r="K20" s="42">
        <v>85</v>
      </c>
      <c r="L20" s="42">
        <v>20</v>
      </c>
      <c r="M20" s="42">
        <v>1393</v>
      </c>
      <c r="N20" s="39">
        <v>0</v>
      </c>
      <c r="O20" s="39">
        <v>0</v>
      </c>
      <c r="P20" s="39">
        <v>55</v>
      </c>
      <c r="Q20" s="39">
        <v>4049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12</v>
      </c>
      <c r="D21" s="40">
        <v>32</v>
      </c>
      <c r="E21" s="41">
        <v>25</v>
      </c>
      <c r="F21" s="41">
        <v>5616</v>
      </c>
      <c r="G21" s="41">
        <v>60</v>
      </c>
      <c r="H21" s="41">
        <v>1666</v>
      </c>
      <c r="I21" s="41">
        <v>0</v>
      </c>
      <c r="J21" s="41">
        <v>402</v>
      </c>
      <c r="K21" s="42">
        <v>85</v>
      </c>
      <c r="L21" s="42">
        <v>20</v>
      </c>
      <c r="M21" s="42">
        <v>1393</v>
      </c>
      <c r="N21" s="39">
        <v>0</v>
      </c>
      <c r="O21" s="39">
        <v>0</v>
      </c>
      <c r="P21" s="39">
        <v>50</v>
      </c>
      <c r="Q21" s="39">
        <v>4054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16</v>
      </c>
      <c r="D22" s="40">
        <v>40</v>
      </c>
      <c r="E22" s="41">
        <v>20</v>
      </c>
      <c r="F22" s="41">
        <v>5621</v>
      </c>
      <c r="G22" s="41">
        <v>45</v>
      </c>
      <c r="H22" s="41">
        <v>1662</v>
      </c>
      <c r="I22" s="41">
        <v>0</v>
      </c>
      <c r="J22" s="41">
        <v>403</v>
      </c>
      <c r="K22" s="42">
        <v>85</v>
      </c>
      <c r="L22" s="42">
        <v>19</v>
      </c>
      <c r="M22" s="42">
        <v>1395</v>
      </c>
      <c r="N22" s="39">
        <v>0</v>
      </c>
      <c r="O22" s="39">
        <v>0</v>
      </c>
      <c r="P22" s="39">
        <v>45</v>
      </c>
      <c r="Q22" s="39">
        <v>4059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16</v>
      </c>
      <c r="D23" s="40">
        <v>42</v>
      </c>
      <c r="E23" s="41">
        <v>20</v>
      </c>
      <c r="F23" s="41">
        <v>5629</v>
      </c>
      <c r="G23" s="41">
        <v>35</v>
      </c>
      <c r="H23" s="41">
        <v>1664</v>
      </c>
      <c r="I23" s="41">
        <v>0</v>
      </c>
      <c r="J23" s="41">
        <v>403</v>
      </c>
      <c r="K23" s="42">
        <v>85</v>
      </c>
      <c r="L23" s="42">
        <v>15</v>
      </c>
      <c r="M23" s="42">
        <v>1395</v>
      </c>
      <c r="N23" s="39">
        <v>0</v>
      </c>
      <c r="O23" s="39">
        <v>0</v>
      </c>
      <c r="P23" s="39">
        <v>35</v>
      </c>
      <c r="Q23" s="39">
        <v>4064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10</v>
      </c>
      <c r="D24" s="40">
        <v>20</v>
      </c>
      <c r="E24" s="41">
        <v>20</v>
      </c>
      <c r="F24" s="41">
        <v>5633</v>
      </c>
      <c r="G24" s="41">
        <v>25</v>
      </c>
      <c r="H24" s="41">
        <v>1666</v>
      </c>
      <c r="I24" s="41">
        <v>0</v>
      </c>
      <c r="J24" s="41">
        <v>403</v>
      </c>
      <c r="K24" s="42">
        <v>85</v>
      </c>
      <c r="L24" s="42">
        <v>15</v>
      </c>
      <c r="M24" s="42">
        <v>1395</v>
      </c>
      <c r="N24" s="39">
        <v>0</v>
      </c>
      <c r="O24" s="39">
        <v>0</v>
      </c>
      <c r="P24" s="39">
        <v>30</v>
      </c>
      <c r="Q24" s="39">
        <v>4067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10</v>
      </c>
      <c r="D25" s="40">
        <v>20</v>
      </c>
      <c r="E25" s="41">
        <v>20</v>
      </c>
      <c r="F25" s="41">
        <v>5642</v>
      </c>
      <c r="G25" s="41">
        <v>10</v>
      </c>
      <c r="H25" s="41">
        <v>1669</v>
      </c>
      <c r="I25" s="41">
        <v>0</v>
      </c>
      <c r="J25" s="41">
        <v>405</v>
      </c>
      <c r="K25" s="42">
        <v>85</v>
      </c>
      <c r="L25" s="42">
        <v>15</v>
      </c>
      <c r="M25" s="42">
        <v>1398</v>
      </c>
      <c r="N25" s="39">
        <v>0</v>
      </c>
      <c r="O25" s="39">
        <v>0</v>
      </c>
      <c r="P25" s="39">
        <v>25</v>
      </c>
      <c r="Q25" s="39">
        <v>4073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10</v>
      </c>
      <c r="D26" s="40">
        <v>20</v>
      </c>
      <c r="E26" s="41">
        <v>20</v>
      </c>
      <c r="F26" s="41">
        <v>5643</v>
      </c>
      <c r="G26" s="41">
        <v>10</v>
      </c>
      <c r="H26" s="41">
        <v>1670</v>
      </c>
      <c r="I26" s="41">
        <v>0</v>
      </c>
      <c r="J26" s="41">
        <v>406</v>
      </c>
      <c r="K26" s="42">
        <v>85</v>
      </c>
      <c r="L26" s="42">
        <v>14</v>
      </c>
      <c r="M26" s="42">
        <v>1398</v>
      </c>
      <c r="N26" s="39">
        <v>0</v>
      </c>
      <c r="O26" s="39">
        <v>0</v>
      </c>
      <c r="P26" s="39">
        <v>25</v>
      </c>
      <c r="Q26" s="39">
        <v>4074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13</v>
      </c>
      <c r="D27" s="40">
        <v>26</v>
      </c>
      <c r="E27" s="41">
        <v>19</v>
      </c>
      <c r="F27" s="41">
        <v>5648</v>
      </c>
      <c r="G27" s="41">
        <v>0</v>
      </c>
      <c r="H27" s="41">
        <v>1671</v>
      </c>
      <c r="I27" s="41">
        <v>0</v>
      </c>
      <c r="J27" s="41">
        <v>407</v>
      </c>
      <c r="K27" s="42">
        <v>85</v>
      </c>
      <c r="L27" s="42">
        <v>13</v>
      </c>
      <c r="M27" s="42">
        <v>1399</v>
      </c>
      <c r="N27" s="39">
        <v>0</v>
      </c>
      <c r="O27" s="39">
        <v>0</v>
      </c>
      <c r="P27" s="39">
        <v>18</v>
      </c>
      <c r="Q27" s="39">
        <v>4079</v>
      </c>
      <c r="R27" s="78">
        <v>45</v>
      </c>
      <c r="S27" s="78">
        <v>217</v>
      </c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15</v>
      </c>
      <c r="D28" s="40">
        <v>30</v>
      </c>
      <c r="E28" s="41">
        <v>85</v>
      </c>
      <c r="F28" s="41">
        <v>5646</v>
      </c>
      <c r="G28" s="41">
        <v>80</v>
      </c>
      <c r="H28" s="41">
        <v>1674</v>
      </c>
      <c r="I28" s="41">
        <v>85</v>
      </c>
      <c r="J28" s="41">
        <v>408</v>
      </c>
      <c r="K28" s="42">
        <v>85</v>
      </c>
      <c r="L28" s="42">
        <v>85</v>
      </c>
      <c r="M28" s="42">
        <v>1399</v>
      </c>
      <c r="N28" s="39">
        <v>85</v>
      </c>
      <c r="O28" s="39">
        <v>85</v>
      </c>
      <c r="P28" s="39">
        <v>85</v>
      </c>
      <c r="Q28" s="39">
        <v>4084</v>
      </c>
      <c r="R28" s="78">
        <v>45</v>
      </c>
      <c r="S28" s="78">
        <v>217</v>
      </c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15</v>
      </c>
      <c r="D29" s="40">
        <v>30</v>
      </c>
      <c r="E29" s="41">
        <v>85</v>
      </c>
      <c r="F29" s="41">
        <v>5659</v>
      </c>
      <c r="G29" s="41">
        <v>65</v>
      </c>
      <c r="H29" s="41">
        <v>1675</v>
      </c>
      <c r="I29" s="41">
        <v>85</v>
      </c>
      <c r="J29" s="41">
        <v>409</v>
      </c>
      <c r="K29" s="42">
        <v>85</v>
      </c>
      <c r="L29" s="42">
        <v>85</v>
      </c>
      <c r="M29" s="42">
        <v>1401</v>
      </c>
      <c r="N29" s="39">
        <v>85</v>
      </c>
      <c r="O29" s="39">
        <v>80</v>
      </c>
      <c r="P29" s="39">
        <v>85</v>
      </c>
      <c r="Q29" s="39">
        <v>4087</v>
      </c>
      <c r="R29" s="78">
        <v>45</v>
      </c>
      <c r="S29" s="78">
        <v>217</v>
      </c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15</v>
      </c>
      <c r="D30" s="40">
        <v>10</v>
      </c>
      <c r="E30" s="41">
        <v>85</v>
      </c>
      <c r="F30" s="41">
        <v>5664</v>
      </c>
      <c r="G30" s="41">
        <v>55</v>
      </c>
      <c r="H30" s="41">
        <v>1678</v>
      </c>
      <c r="I30" s="41">
        <v>85</v>
      </c>
      <c r="J30" s="41">
        <v>411</v>
      </c>
      <c r="K30" s="42">
        <v>85</v>
      </c>
      <c r="L30" s="42">
        <v>85</v>
      </c>
      <c r="M30" s="42">
        <v>1402</v>
      </c>
      <c r="N30" s="39">
        <v>85</v>
      </c>
      <c r="O30" s="39">
        <v>75</v>
      </c>
      <c r="P30" s="39">
        <v>85</v>
      </c>
      <c r="Q30" s="39">
        <v>4092</v>
      </c>
      <c r="R30" s="78">
        <v>45</v>
      </c>
      <c r="S30" s="78">
        <v>217</v>
      </c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10</v>
      </c>
      <c r="D31" s="40">
        <v>22</v>
      </c>
      <c r="E31" s="41">
        <v>85</v>
      </c>
      <c r="F31" s="41">
        <v>5669</v>
      </c>
      <c r="G31" s="41">
        <v>40</v>
      </c>
      <c r="H31" s="41">
        <v>1681</v>
      </c>
      <c r="I31" s="41">
        <v>85</v>
      </c>
      <c r="J31" s="41">
        <v>415</v>
      </c>
      <c r="K31" s="42">
        <v>85</v>
      </c>
      <c r="L31" s="42">
        <v>85</v>
      </c>
      <c r="M31" s="42">
        <v>1402</v>
      </c>
      <c r="N31" s="39">
        <v>85</v>
      </c>
      <c r="O31" s="39">
        <v>70</v>
      </c>
      <c r="P31" s="39">
        <v>85</v>
      </c>
      <c r="Q31" s="39">
        <v>4096</v>
      </c>
      <c r="R31" s="78">
        <v>45</v>
      </c>
      <c r="S31" s="78">
        <v>217</v>
      </c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10</v>
      </c>
      <c r="D32" s="40">
        <v>22</v>
      </c>
      <c r="E32" s="41">
        <v>85</v>
      </c>
      <c r="F32" s="41">
        <v>5674</v>
      </c>
      <c r="G32" s="41">
        <v>30</v>
      </c>
      <c r="H32" s="41">
        <v>1682</v>
      </c>
      <c r="I32" s="41">
        <v>85</v>
      </c>
      <c r="J32" s="41">
        <v>416</v>
      </c>
      <c r="K32" s="42">
        <v>85</v>
      </c>
      <c r="L32" s="42">
        <v>85</v>
      </c>
      <c r="M32" s="42">
        <v>1403</v>
      </c>
      <c r="N32" s="39">
        <v>85</v>
      </c>
      <c r="O32" s="39">
        <v>65</v>
      </c>
      <c r="P32" s="39">
        <v>85</v>
      </c>
      <c r="Q32" s="39">
        <v>4100</v>
      </c>
      <c r="R32" s="78">
        <v>45</v>
      </c>
      <c r="S32" s="78">
        <v>217</v>
      </c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8</v>
      </c>
      <c r="D33" s="40">
        <v>17</v>
      </c>
      <c r="E33" s="41">
        <v>85</v>
      </c>
      <c r="F33" s="41">
        <v>5679</v>
      </c>
      <c r="G33" s="41">
        <v>20</v>
      </c>
      <c r="H33" s="41">
        <v>1684</v>
      </c>
      <c r="I33" s="41">
        <v>85</v>
      </c>
      <c r="J33" s="41">
        <v>416</v>
      </c>
      <c r="K33" s="42">
        <v>85</v>
      </c>
      <c r="L33" s="42">
        <v>85</v>
      </c>
      <c r="M33" s="42">
        <v>1403</v>
      </c>
      <c r="N33" s="39">
        <v>85</v>
      </c>
      <c r="O33" s="39">
        <v>60</v>
      </c>
      <c r="P33" s="39">
        <v>85</v>
      </c>
      <c r="Q33" s="39">
        <v>4105</v>
      </c>
      <c r="R33" s="78">
        <v>45</v>
      </c>
      <c r="S33" s="78">
        <v>217</v>
      </c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8</v>
      </c>
      <c r="D34" s="40">
        <v>17</v>
      </c>
      <c r="E34" s="41">
        <v>85</v>
      </c>
      <c r="F34" s="41">
        <v>5684</v>
      </c>
      <c r="G34" s="41">
        <v>19</v>
      </c>
      <c r="H34" s="41">
        <v>1685</v>
      </c>
      <c r="I34" s="41">
        <v>85</v>
      </c>
      <c r="J34" s="41">
        <v>416</v>
      </c>
      <c r="K34" s="42">
        <v>85</v>
      </c>
      <c r="L34" s="42">
        <v>83</v>
      </c>
      <c r="M34" s="42">
        <v>1405</v>
      </c>
      <c r="N34" s="39">
        <v>85</v>
      </c>
      <c r="O34" s="39">
        <v>55</v>
      </c>
      <c r="P34" s="39">
        <v>85</v>
      </c>
      <c r="Q34" s="39">
        <v>4110</v>
      </c>
      <c r="R34" s="78">
        <v>45</v>
      </c>
      <c r="S34" s="78">
        <v>217</v>
      </c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-217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2021-08-28T18:53:18Z</dcterms:modified>
</cp:coreProperties>
</file>