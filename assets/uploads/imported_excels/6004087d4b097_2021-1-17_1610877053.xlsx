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0" windowWidth="19440" windowHeight="7545" firstSheet="2" activeTab="6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45621"/>
</workbook>
</file>

<file path=xl/calcChain.xml><?xml version="1.0" encoding="utf-8"?>
<calcChain xmlns="http://schemas.openxmlformats.org/spreadsheetml/2006/main"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X26" i="8" s="1"/>
  <c r="U26" i="8"/>
  <c r="S26" i="8"/>
  <c r="Q26" i="8"/>
  <c r="R26" i="8" s="1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T24" i="8" s="1"/>
  <c r="Q24" i="8"/>
  <c r="O24" i="8"/>
  <c r="M24" i="8"/>
  <c r="K24" i="8"/>
  <c r="I24" i="8"/>
  <c r="E24" i="8"/>
  <c r="C24" i="8"/>
  <c r="A24" i="8"/>
  <c r="W23" i="8"/>
  <c r="U23" i="8"/>
  <c r="S23" i="8"/>
  <c r="Q23" i="8"/>
  <c r="R23" i="8" s="1"/>
  <c r="O23" i="8"/>
  <c r="M23" i="8"/>
  <c r="K23" i="8"/>
  <c r="I23" i="8"/>
  <c r="J23" i="8" s="1"/>
  <c r="E23" i="8"/>
  <c r="C23" i="8"/>
  <c r="A23" i="8"/>
  <c r="W22" i="8"/>
  <c r="X22" i="8" s="1"/>
  <c r="U22" i="8"/>
  <c r="S22" i="8"/>
  <c r="Q22" i="8"/>
  <c r="R22" i="8" s="1"/>
  <c r="O22" i="8"/>
  <c r="P22" i="8" s="1"/>
  <c r="M22" i="8"/>
  <c r="K22" i="8"/>
  <c r="I22" i="8"/>
  <c r="J22" i="8" s="1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T20" i="8" s="1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T16" i="8" s="1"/>
  <c r="Q16" i="8"/>
  <c r="O16" i="8"/>
  <c r="M16" i="8"/>
  <c r="K16" i="8"/>
  <c r="I16" i="8"/>
  <c r="E16" i="8"/>
  <c r="C16" i="8"/>
  <c r="A16" i="8"/>
  <c r="W15" i="8"/>
  <c r="U15" i="8"/>
  <c r="S15" i="8"/>
  <c r="Q15" i="8"/>
  <c r="R15" i="8" s="1"/>
  <c r="O15" i="8"/>
  <c r="M15" i="8"/>
  <c r="K15" i="8"/>
  <c r="I15" i="8"/>
  <c r="J15" i="8" s="1"/>
  <c r="E15" i="8"/>
  <c r="C15" i="8"/>
  <c r="A15" i="8"/>
  <c r="W14" i="8"/>
  <c r="X14" i="8" s="1"/>
  <c r="U14" i="8"/>
  <c r="S14" i="8"/>
  <c r="Q14" i="8"/>
  <c r="R14" i="8" s="1"/>
  <c r="O14" i="8"/>
  <c r="P14" i="8" s="1"/>
  <c r="M14" i="8"/>
  <c r="K14" i="8"/>
  <c r="I14" i="8"/>
  <c r="J14" i="8" s="1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R10" i="8" s="1"/>
  <c r="O10" i="8"/>
  <c r="P10" i="8" s="1"/>
  <c r="M10" i="8"/>
  <c r="K10" i="8"/>
  <c r="I10" i="8"/>
  <c r="J10" i="8" s="1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R6" i="8" s="1"/>
  <c r="O6" i="8"/>
  <c r="P6" i="8" s="1"/>
  <c r="M6" i="8"/>
  <c r="K6" i="8"/>
  <c r="I6" i="8"/>
  <c r="J6" i="8" s="1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T14" i="8" l="1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V20" i="2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M20" i="3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>
  <authors>
    <author>Author</author>
  </authors>
  <commentList>
    <comment ref="Q17" authorId="0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<sst xmlns="http://schemas.openxmlformats.org/spreadsheetml/2006/main" count="201" uniqueCount="128">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</sst>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-334740.00000000006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-56810</c:v>
                </c:pt>
                <c:pt idx="7">
                  <c:v>0.24729245020197799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1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4556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1"/>
                <c:pt idx="0">
                  <c:v>Total Consumption M3                       (Meter 1 : 2) 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-739811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5" zoomScaleNormal="85" workbookViewId="0">
      <selection activeCell="M22" sqref="M2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19020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22270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20044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22080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21480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19420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19700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20080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20620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329670</v>
      </c>
      <c r="F33" s="104">
        <v>0</v>
      </c>
      <c r="G33" s="101">
        <f>SUM(G2:G32)</f>
        <v>91051</v>
      </c>
      <c r="H33" s="102">
        <v>0</v>
      </c>
      <c r="I33" s="103">
        <f>SUM(I2:I32)</f>
        <v>4556</v>
      </c>
      <c r="J33" s="104">
        <v>0</v>
      </c>
      <c r="K33" s="105">
        <v>0</v>
      </c>
      <c r="L33" s="102">
        <v>0</v>
      </c>
      <c r="M33" s="106">
        <f t="shared" ref="M33:O33" si="1">SUM(M2:M32)</f>
        <v>796</v>
      </c>
      <c r="N33" s="106">
        <f t="shared" si="1"/>
        <v>2165</v>
      </c>
      <c r="O33" s="106">
        <f t="shared" si="1"/>
        <v>6058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8" zoomScaleNormal="78" workbookViewId="0">
      <selection activeCell="J27" sqref="J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/>
      <c r="W19" s="71"/>
      <c r="X19" s="71"/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/>
      <c r="W20" s="71"/>
      <c r="X20" s="71"/>
      <c r="Y20" s="17"/>
    </row>
    <row r="21" spans="1:25" ht="21" customHeight="1" x14ac:dyDescent="0.25">
      <c r="A21" s="8">
        <v>44214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44215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796</v>
      </c>
      <c r="W35" s="78">
        <f>SUM(W4:W34)</f>
        <v>2165</v>
      </c>
      <c r="X35" s="78">
        <f>SUM(X4:X34)</f>
        <v>6058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0" sqref="B2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19020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4864.5099999997674</v>
      </c>
    </row>
    <row r="5" spans="1:22" x14ac:dyDescent="0.25">
      <c r="A5" s="3">
        <f>'Kwh Reading'!A5</f>
        <v>44198</v>
      </c>
      <c r="B5" s="26">
        <f>TOTAL!E3</f>
        <v>22270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6656.9699999996283</v>
      </c>
    </row>
    <row r="6" spans="1:22" x14ac:dyDescent="0.25">
      <c r="A6" s="3">
        <f>'Kwh Reading'!A6</f>
        <v>44199</v>
      </c>
      <c r="B6" s="26">
        <f>TOTAL!E4</f>
        <v>23276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6631.5000000009786</v>
      </c>
    </row>
    <row r="7" spans="1:22" x14ac:dyDescent="0.25">
      <c r="A7" s="3">
        <f>'Kwh Reading'!A7</f>
        <v>44200</v>
      </c>
      <c r="B7" s="26">
        <f>TOTAL!E5</f>
        <v>20044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5819.4899999992667</v>
      </c>
    </row>
    <row r="8" spans="1:22" x14ac:dyDescent="0.25">
      <c r="A8" s="3">
        <f>'Kwh Reading'!A8</f>
        <v>44201</v>
      </c>
      <c r="B8" s="26">
        <f>TOTAL!E6</f>
        <v>19110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4977.5700000004108</v>
      </c>
    </row>
    <row r="9" spans="1:22" x14ac:dyDescent="0.25">
      <c r="A9" s="3">
        <f>'Kwh Reading'!A9</f>
        <v>44202</v>
      </c>
      <c r="B9" s="26">
        <f>TOTAL!E7</f>
        <v>18760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4788.4799999992938</v>
      </c>
    </row>
    <row r="10" spans="1:22" x14ac:dyDescent="0.25">
      <c r="A10" s="3">
        <f>'Kwh Reading'!A10</f>
        <v>44203</v>
      </c>
      <c r="B10" s="26">
        <f>TOTAL!E8</f>
        <v>22080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5376.3200000004144</v>
      </c>
    </row>
    <row r="11" spans="1:22" x14ac:dyDescent="0.25">
      <c r="A11" s="3">
        <f>'Kwh Reading'!A11</f>
        <v>44204</v>
      </c>
      <c r="B11" s="26">
        <f>TOTAL!E9</f>
        <v>19940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4249.3199999995213</v>
      </c>
    </row>
    <row r="12" spans="1:22" x14ac:dyDescent="0.25">
      <c r="A12" s="3">
        <f>'Kwh Reading'!A12</f>
        <v>44205</v>
      </c>
      <c r="B12" s="26">
        <f>TOTAL!E10</f>
        <v>20900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6472.7200000007069</v>
      </c>
    </row>
    <row r="13" spans="1:22" x14ac:dyDescent="0.25">
      <c r="A13" s="3">
        <f>'Kwh Reading'!A13</f>
        <v>44206</v>
      </c>
      <c r="B13" s="26">
        <f>TOTAL!E11</f>
        <v>21480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5913.7099999995371</v>
      </c>
    </row>
    <row r="14" spans="1:22" x14ac:dyDescent="0.25">
      <c r="A14" s="3">
        <f>'Kwh Reading'!A14</f>
        <v>44207</v>
      </c>
      <c r="B14" s="26">
        <f>TOTAL!E12</f>
        <v>20740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5216.150000000549</v>
      </c>
    </row>
    <row r="15" spans="1:22" x14ac:dyDescent="0.25">
      <c r="A15" s="3">
        <f>'Kwh Reading'!A15</f>
        <v>44208</v>
      </c>
      <c r="B15" s="26">
        <f>TOTAL!E13</f>
        <v>19420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4409.7199999998938</v>
      </c>
    </row>
    <row r="16" spans="1:22" x14ac:dyDescent="0.25">
      <c r="A16" s="3">
        <f>'Kwh Reading'!A16</f>
        <v>44209</v>
      </c>
      <c r="B16" s="26">
        <f>TOTAL!E14</f>
        <v>19700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6050.0899999998692</v>
      </c>
    </row>
    <row r="17" spans="1:22" x14ac:dyDescent="0.25">
      <c r="A17" s="3">
        <f>'Kwh Reading'!A17</f>
        <v>44210</v>
      </c>
      <c r="B17" s="26">
        <f>TOTAL!E15</f>
        <v>22230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6822.7899999998026</v>
      </c>
    </row>
    <row r="18" spans="1:22" x14ac:dyDescent="0.25">
      <c r="A18" s="3">
        <f>'Kwh Reading'!A18</f>
        <v>44211</v>
      </c>
      <c r="B18" s="26">
        <f>TOTAL!E16</f>
        <v>20080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4982.6500000005017</v>
      </c>
    </row>
    <row r="19" spans="1:22" x14ac:dyDescent="0.25">
      <c r="A19" s="3">
        <f>'Kwh Reading'!A19</f>
        <v>44212</v>
      </c>
      <c r="B19" s="26">
        <f>TOTAL!E17</f>
        <v>20620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5652.0200000004897</v>
      </c>
    </row>
    <row r="20" spans="1:22" x14ac:dyDescent="0.25">
      <c r="A20" s="3">
        <f>'Kwh Reading'!A20</f>
        <v>44213</v>
      </c>
      <c r="B20" s="26">
        <f>TOTAL!E18</f>
        <v>0</v>
      </c>
      <c r="C20" s="4">
        <f>('Kwh Reading'!T21-'Kwh Reading'!T20)*1000</f>
        <v>-343150</v>
      </c>
      <c r="D20" s="2">
        <f>('Kwh Reading'!F21-'Kwh Reading'!F20)*1000000</f>
        <v>-1975900</v>
      </c>
      <c r="E20" s="2">
        <f>('Kwh Reading'!C21-'Kwh Reading'!C20)*1000</f>
        <v>-191690</v>
      </c>
      <c r="F20" s="2">
        <f>('Kwh Reading'!J21-'Kwh Reading'!J20)*1000</f>
        <v>-277610</v>
      </c>
      <c r="G20" s="2">
        <f>('Kwh Reading'!K21-'Kwh Reading'!K20)*1000</f>
        <v>-290120</v>
      </c>
      <c r="H20" s="2">
        <f>('Kwh Reading'!L21-'Kwh Reading'!L20)*1000</f>
        <v>-199290</v>
      </c>
      <c r="I20" s="2">
        <f>('Kwh Reading'!R21-'Kwh Reading'!R20)*1000</f>
        <v>-117090</v>
      </c>
      <c r="J20" s="2">
        <f>('Kwh Reading'!S21-'Kwh Reading'!S20)*1000</f>
        <v>-93457</v>
      </c>
      <c r="K20" s="2">
        <f>('Kwh Reading'!I21-'Kwh Reading'!I20)*1000</f>
        <v>-185260</v>
      </c>
      <c r="L20" s="2">
        <f>('Kwh Reading'!B21-'Kwh Reading'!B20)*1000</f>
        <v>-772610</v>
      </c>
      <c r="M20" s="2">
        <f>('Kwh Reading'!M21-'Kwh Reading'!M20)*1000</f>
        <v>-397260</v>
      </c>
      <c r="N20" s="2">
        <f>('Kwh Reading'!H21-'Kwh Reading'!H20)*1000</f>
        <v>-494190</v>
      </c>
      <c r="O20" s="2">
        <f>('Kwh Reading'!P21-'Kwh Reading'!P20)*1000</f>
        <v>-459740</v>
      </c>
      <c r="P20" s="2">
        <f>('Kwh Reading'!G21-'Kwh Reading'!G20)*1000</f>
        <v>-596230</v>
      </c>
      <c r="Q20" s="2">
        <f>('Kwh Reading'!Q21-'Kwh Reading'!Q20)*1000</f>
        <v>-340730</v>
      </c>
      <c r="R20" s="2">
        <f>('Kwh Reading'!N21-'Kwh Reading'!N20)*1000</f>
        <v>-342000</v>
      </c>
      <c r="S20" s="34">
        <f>'Kwh Reading'!E21-'Kwh Reading'!E20</f>
        <v>-7688356.0999999996</v>
      </c>
      <c r="T20" s="34">
        <f>'Kwh Reading'!D21-'Kwh Reading'!D20</f>
        <v>-7096286.7699999996</v>
      </c>
      <c r="U20" s="27">
        <f>('Kwh Reading'!O21-'Kwh Reading'!O20)*1000</f>
        <v>-111590</v>
      </c>
      <c r="V20" s="16">
        <f t="shared" si="0"/>
        <v>21972559.869999997</v>
      </c>
    </row>
    <row r="21" spans="1:22" ht="16.5" customHeight="1" x14ac:dyDescent="0.25">
      <c r="A21" s="3">
        <f>'Kwh Reading'!A21</f>
        <v>44214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44215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44216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44217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44218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44219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44220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44221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329670</v>
      </c>
      <c r="C35" s="75">
        <f t="shared" ref="C35" si="1">SUM(C4:C34)</f>
        <v>-334740.00000000006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-272089.99999999994</v>
      </c>
      <c r="G35" s="75">
        <f t="shared" ref="G35:U35" si="5">SUM(G4:G34)</f>
        <v>-283610</v>
      </c>
      <c r="H35" s="75">
        <f t="shared" si="5"/>
        <v>-194770.00000000003</v>
      </c>
      <c r="I35" s="75">
        <f t="shared" si="5"/>
        <v>-114300</v>
      </c>
      <c r="J35" s="75">
        <f t="shared" si="5"/>
        <v>-91218.000000000015</v>
      </c>
      <c r="K35" s="75">
        <f t="shared" si="5"/>
        <v>-181590</v>
      </c>
      <c r="L35" s="75">
        <f t="shared" si="5"/>
        <v>-754530</v>
      </c>
      <c r="M35" s="75">
        <f t="shared" si="5"/>
        <v>-387460</v>
      </c>
      <c r="N35" s="75">
        <f t="shared" si="5"/>
        <v>-482030</v>
      </c>
      <c r="O35" s="75">
        <f t="shared" si="5"/>
        <v>-447390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22061443.879999999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2" ySplit="2" topLeftCell="E21" activePane="bottomRight" state="frozen"/>
      <selection pane="topRight" activeCell="C1" sqref="C1"/>
      <selection pane="bottomLeft" activeCell="A3" sqref="A3"/>
      <selection pane="bottomRight" activeCell="D36" sqref="D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19020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4864.5099999997692</v>
      </c>
    </row>
    <row r="4" spans="1:12" x14ac:dyDescent="0.25">
      <c r="A4" s="14">
        <f>'Kwh Reading'!A5</f>
        <v>44198</v>
      </c>
      <c r="B4" s="83">
        <f>TOTAL!E3</f>
        <v>22270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6656.9699999996283</v>
      </c>
    </row>
    <row r="5" spans="1:12" x14ac:dyDescent="0.25">
      <c r="A5" s="14">
        <f>'Kwh Reading'!A6</f>
        <v>44199</v>
      </c>
      <c r="B5" s="83">
        <f>TOTAL!E4</f>
        <v>23276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6631.500000000975</v>
      </c>
    </row>
    <row r="6" spans="1:12" x14ac:dyDescent="0.25">
      <c r="A6" s="14">
        <f>'Kwh Reading'!A7</f>
        <v>44200</v>
      </c>
      <c r="B6" s="83">
        <f>TOTAL!E5</f>
        <v>20044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5819.4899999992649</v>
      </c>
    </row>
    <row r="7" spans="1:12" x14ac:dyDescent="0.25">
      <c r="A7" s="14">
        <f>'Kwh Reading'!A8</f>
        <v>44201</v>
      </c>
      <c r="B7" s="83">
        <f>TOTAL!E6</f>
        <v>19110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4977.5700000004117</v>
      </c>
    </row>
    <row r="8" spans="1:12" x14ac:dyDescent="0.25">
      <c r="A8" s="14">
        <f>'Kwh Reading'!A9</f>
        <v>44202</v>
      </c>
      <c r="B8" s="83">
        <f>TOTAL!E7</f>
        <v>18760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4788.4799999992929</v>
      </c>
    </row>
    <row r="9" spans="1:12" x14ac:dyDescent="0.25">
      <c r="A9" s="14">
        <f>'Kwh Reading'!A10</f>
        <v>44203</v>
      </c>
      <c r="B9" s="83">
        <f>TOTAL!E8</f>
        <v>22080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5376.3200000004181</v>
      </c>
    </row>
    <row r="10" spans="1:12" x14ac:dyDescent="0.25">
      <c r="A10" s="14">
        <f>'Kwh Reading'!A11</f>
        <v>44204</v>
      </c>
      <c r="B10" s="83">
        <f>TOTAL!E9</f>
        <v>19940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4249.3199999995231</v>
      </c>
    </row>
    <row r="11" spans="1:12" x14ac:dyDescent="0.25">
      <c r="A11" s="14">
        <f>'Kwh Reading'!A12</f>
        <v>44205</v>
      </c>
      <c r="B11" s="83">
        <f>TOTAL!E10</f>
        <v>20900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6472.7200000007042</v>
      </c>
    </row>
    <row r="12" spans="1:12" x14ac:dyDescent="0.25">
      <c r="A12" s="14">
        <f>'Kwh Reading'!A13</f>
        <v>44206</v>
      </c>
      <c r="B12" s="83">
        <f>TOTAL!E11</f>
        <v>21480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5913.7099999995426</v>
      </c>
    </row>
    <row r="13" spans="1:12" x14ac:dyDescent="0.25">
      <c r="A13" s="14">
        <f>'Kwh Reading'!A14</f>
        <v>44207</v>
      </c>
      <c r="B13" s="83">
        <f>TOTAL!E12</f>
        <v>20740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5216.150000000549</v>
      </c>
    </row>
    <row r="14" spans="1:12" x14ac:dyDescent="0.25">
      <c r="A14" s="14">
        <f>'Kwh Reading'!A15</f>
        <v>44208</v>
      </c>
      <c r="B14" s="83">
        <f>TOTAL!E13</f>
        <v>19420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4409.7199999998938</v>
      </c>
    </row>
    <row r="15" spans="1:12" x14ac:dyDescent="0.25">
      <c r="A15" s="14">
        <f>'Kwh Reading'!A16</f>
        <v>44209</v>
      </c>
      <c r="B15" s="83">
        <f>TOTAL!E14</f>
        <v>19700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6050.0899999998674</v>
      </c>
    </row>
    <row r="16" spans="1:12" x14ac:dyDescent="0.25">
      <c r="A16" s="14">
        <f>'Kwh Reading'!A17</f>
        <v>44210</v>
      </c>
      <c r="B16" s="83">
        <f>TOTAL!E15</f>
        <v>22230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6822.7899999998044</v>
      </c>
    </row>
    <row r="17" spans="1:12" x14ac:dyDescent="0.25">
      <c r="A17" s="14">
        <f>'Kwh Reading'!A18</f>
        <v>44211</v>
      </c>
      <c r="B17" s="83">
        <f>TOTAL!E16</f>
        <v>20080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4982.6500000005035</v>
      </c>
    </row>
    <row r="18" spans="1:12" x14ac:dyDescent="0.25">
      <c r="A18" s="14">
        <f>'Kwh Reading'!A19</f>
        <v>44212</v>
      </c>
      <c r="B18" s="83">
        <f>TOTAL!E17</f>
        <v>20620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5652.0200000004943</v>
      </c>
    </row>
    <row r="19" spans="1:12" x14ac:dyDescent="0.25">
      <c r="A19" s="14">
        <f>'Kwh Reading'!A20</f>
        <v>44213</v>
      </c>
      <c r="B19" s="83">
        <f>TOTAL!E18</f>
        <v>0</v>
      </c>
      <c r="C19" s="1">
        <f>'Kwh Consumption'!C20</f>
        <v>-343150</v>
      </c>
      <c r="D19" s="1">
        <f>'Kwh Consumption'!D20</f>
        <v>-1975900</v>
      </c>
      <c r="E19" s="1">
        <f>'Kwh Consumption'!E20</f>
        <v>-191690</v>
      </c>
      <c r="F19" s="1">
        <f>('Kwh Consumption'!F20+'Kwh Consumption'!G20+'Kwh Consumption'!H20)</f>
        <v>-767020</v>
      </c>
      <c r="G19" s="16">
        <f>('Kwh Consumption'!I20+'Kwh Consumption'!J20)</f>
        <v>-210547</v>
      </c>
      <c r="H19" s="1">
        <f>('Kwh Consumption'!K20+'Kwh Consumption'!L20)</f>
        <v>-957870</v>
      </c>
      <c r="I19" s="1">
        <f>('Kwh Consumption'!M20+'Kwh Consumption'!N20+'Kwh Consumption'!O20+'Kwh Consumption'!P20+'Kwh Consumption'!Q20+'Kwh Consumption'!R20)</f>
        <v>-2630150</v>
      </c>
      <c r="J19" s="1">
        <f>('Kwh Consumption'!S20+'Kwh Consumption'!T20)</f>
        <v>-14784642.869999999</v>
      </c>
      <c r="K19" s="1">
        <f>'Kwh Consumption'!U20</f>
        <v>-111590</v>
      </c>
      <c r="L19" s="32">
        <f t="shared" si="0"/>
        <v>21972559.869999997</v>
      </c>
    </row>
    <row r="20" spans="1:12" x14ac:dyDescent="0.25">
      <c r="A20" s="14">
        <f>'Kwh Reading'!A21</f>
        <v>44214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44215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44216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44217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44218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44219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44220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44221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44222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329670</v>
      </c>
      <c r="C34" s="75">
        <f>SUM(C3:C33)</f>
        <v>-334740.00000000006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</v>
      </c>
      <c r="L34" s="75">
        <f t="shared" si="1"/>
        <v>22061443.879999999</v>
      </c>
      <c r="M34" s="84">
        <f>C34+D34+E34+F34+G34+H34+I34+J34+K34+L34</f>
        <v>329670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-46863.600000000013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-15030.400000000001</v>
      </c>
      <c r="L36" s="75">
        <f>L34*B36</f>
        <v>3088602.1432000003</v>
      </c>
      <c r="M36" s="84">
        <f>C36+D36+E36+F36+G36+H36+I36+J36+K36+L36</f>
        <v>46153.799999999814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2662.8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681.03139999996745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3117.8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931.97579999994809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3258.6400000000003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928.41000000013707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2806.1600000000003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814.72859999989737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696.85980000005759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670.38719999990121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3091.2000000000003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752.68480000005809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2791.6000000000004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594.90479999993306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2926.0000000000005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906.18080000009911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3007.2000000000003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827.91939999993531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2903.6000000000004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730.26100000007693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2718.8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617.36079999998515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2758.0000000000005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847.01259999998172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3112.2000000000003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955.19059999997251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2811.2000000000003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697.57100000007028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2886.8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791.28280000006862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-48041.000000000007</v>
      </c>
      <c r="E19" s="1">
        <f>'Kwh Consumption'!D20*' Kwh area wise $ '!B19</f>
        <v>-276626</v>
      </c>
      <c r="F19" s="1">
        <f>'Kwh Consumption'!E20*' Kwh area wise $ '!B19</f>
        <v>-26836.600000000002</v>
      </c>
      <c r="G19" s="1">
        <f>('Kwh Consumption'!F20+'Kwh Consumption'!G20+'Kwh Consumption'!H20)*' Kwh area wise $ '!B19</f>
        <v>-107382.80000000002</v>
      </c>
      <c r="H19" s="16">
        <f>('Kwh Consumption'!I20+'Kwh Consumption'!J20)*' Kwh area wise $ '!B19</f>
        <v>-29476.58</v>
      </c>
      <c r="I19" s="1">
        <f>('Kwh Consumption'!K20+'Kwh Consumption'!L20)*' Kwh area wise $ '!B19</f>
        <v>-134101.80000000002</v>
      </c>
      <c r="J19" s="1">
        <f>('Kwh Consumption'!M20+'Kwh Consumption'!N20+'Kwh Consumption'!O20+'Kwh Consumption'!P20+'Kwh Consumption'!Q20+'Kwh Consumption'!R20)*' Kwh area wise $ '!B19</f>
        <v>-368221.00000000006</v>
      </c>
      <c r="K19" s="1">
        <f>('Kwh Consumption'!S20+'Kwh Consumption'!T20)*' Kwh area wise $ '!B19</f>
        <v>-2069850.0018</v>
      </c>
      <c r="L19" s="1">
        <f>'Kwh Consumption'!U20*' Kwh area wise $ '!B19</f>
        <v>-15622.600000000002</v>
      </c>
      <c r="M19" s="1">
        <f>'Kwh Consumption'!V20*' Kwh area wise $ '!B19</f>
        <v>3076158.3818000001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46153.8</v>
      </c>
      <c r="D34" s="75">
        <f t="shared" si="0"/>
        <v>-46863.600000000013</v>
      </c>
      <c r="E34" s="75">
        <f t="shared" si="0"/>
        <v>-270970</v>
      </c>
      <c r="F34" s="75">
        <f t="shared" si="0"/>
        <v>-26243</v>
      </c>
      <c r="G34" s="75">
        <f t="shared" si="0"/>
        <v>-105065.80000000002</v>
      </c>
      <c r="H34" s="75">
        <f t="shared" si="0"/>
        <v>-28772.52</v>
      </c>
      <c r="I34" s="75">
        <f t="shared" si="0"/>
        <v>-131056.80000000002</v>
      </c>
      <c r="J34" s="75">
        <f t="shared" si="0"/>
        <v>-358904.00000000006</v>
      </c>
      <c r="K34" s="75">
        <f t="shared" si="0"/>
        <v>-2059542.2232000001</v>
      </c>
      <c r="L34" s="75">
        <f t="shared" si="0"/>
        <v>-15030.400000000001</v>
      </c>
      <c r="M34" s="75">
        <f>SUM(M3:M33)</f>
        <v>3088602.1432000003</v>
      </c>
      <c r="N34" s="84">
        <f>D34+E34+F34+G34+H34+I34+J34+K34+L34+M34</f>
        <v>46153.799999999814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0" sqref="R2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44215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44216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44217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44218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44219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44220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44221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44222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44223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zoomScale="70" zoomScaleNormal="70" workbookViewId="0">
      <pane ySplit="3" topLeftCell="A4" activePane="bottomLeft" state="frozen"/>
      <selection activeCell="C25" sqref="C25"/>
      <selection pane="bottomLeft" activeCell="R39" sqref="R3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0</v>
      </c>
      <c r="C20" s="66">
        <f>('Water Reading'!B20-'Water Reading'!B19)+('Water Reading'!C20-'Water Reading'!C19)</f>
        <v>-235271</v>
      </c>
      <c r="D20" s="67" t="e">
        <f t="shared" si="2"/>
        <v>#DIV/0!</v>
      </c>
      <c r="E20" s="87">
        <f>'Water Reading'!H20-'Water Reading'!H19</f>
        <v>-45003</v>
      </c>
      <c r="F20" s="89">
        <f t="shared" si="3"/>
        <v>0.19128154341164019</v>
      </c>
      <c r="G20" s="93">
        <f>('Water Reading'!D20-'Water Reading'!D19)-('Water Reading'!R20-'Water Reading'!R19)-('Water Reading'!Q20-'Water Reading'!Q19)</f>
        <v>-180217</v>
      </c>
      <c r="H20" s="89">
        <f t="shared" si="4"/>
        <v>0.76599750925528431</v>
      </c>
      <c r="I20" s="90">
        <f>'Water Reading'!P20-'Water Reading'!P19</f>
        <v>-25742</v>
      </c>
      <c r="J20" s="68">
        <f t="shared" si="5"/>
        <v>0.10941424995005759</v>
      </c>
      <c r="K20" s="90">
        <f>('Water Reading'!I20-'Water Reading'!I19)</f>
        <v>-57243</v>
      </c>
      <c r="L20" s="68">
        <f t="shared" si="6"/>
        <v>0.24330665487884184</v>
      </c>
      <c r="M20" s="90">
        <f>'Water Reading'!R20-'Water Reading'!R19</f>
        <v>-5372</v>
      </c>
      <c r="N20" s="92">
        <f t="shared" si="7"/>
        <v>2.2833243366160726E-2</v>
      </c>
      <c r="O20" s="90">
        <f>'Water Reading'!Q20-'Water Reading'!Q19</f>
        <v>-11</v>
      </c>
      <c r="P20" s="99">
        <f t="shared" si="8"/>
        <v>4.6754593638825014E-5</v>
      </c>
      <c r="Q20" s="91">
        <f>'Water Reading'!F20-'Water Reading'!F19</f>
        <v>-66838</v>
      </c>
      <c r="R20" s="100">
        <f t="shared" si="9"/>
        <v>0.28408941178470787</v>
      </c>
      <c r="S20" s="94">
        <f>'Water Reading'!E20-'Water Reading'!E19</f>
        <v>-238039</v>
      </c>
      <c r="T20" s="100">
        <f t="shared" si="10"/>
        <v>1.0117651559265697</v>
      </c>
      <c r="U20" s="90">
        <f>'Water Reading'!G20-'Water Reading'!G19</f>
        <v>-108441</v>
      </c>
      <c r="V20" s="100">
        <f t="shared" si="11"/>
        <v>0.4609195353443476</v>
      </c>
      <c r="W20" s="90">
        <f>'Water Reading'!J20-'Water Reading'!J19</f>
        <v>-18160</v>
      </c>
      <c r="X20" s="100">
        <f t="shared" si="12"/>
        <v>7.7187583680096566E-2</v>
      </c>
      <c r="Y20" s="66">
        <f t="shared" si="0"/>
        <v>-745066</v>
      </c>
      <c r="Z20" s="67" t="e">
        <f t="shared" si="1"/>
        <v>#DIV/0!</v>
      </c>
    </row>
    <row r="21" spans="1:26" x14ac:dyDescent="0.25">
      <c r="A21" s="8">
        <f>'Water Reading'!A20</f>
        <v>44214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44215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44216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44217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44218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44219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44220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44221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44222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4556</v>
      </c>
      <c r="C35" s="75">
        <f>SUM(C4:C34)</f>
        <v>-229728</v>
      </c>
      <c r="D35" s="96">
        <f>C35/B35</f>
        <v>-50.423178226514487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-56810</v>
      </c>
      <c r="L35" s="95">
        <f>K35/C35</f>
        <v>0.24729245020197799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-739811</v>
      </c>
      <c r="Z35" s="95">
        <f t="shared" si="1"/>
        <v>-162.38169446883231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2021-01-17T04:02:05Z</dcterms:modified>
  <cp:category/>
  <cp:contentStatus/>
</cp:coreProperties>
</file>