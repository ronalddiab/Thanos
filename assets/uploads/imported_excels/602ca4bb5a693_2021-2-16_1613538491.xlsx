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00CDB670-D525-4BF0-8EC6-31F65130A1A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20" i="31" l="1"/>
  <c r="G20" i="31"/>
  <c r="I20" i="31"/>
  <c r="L19" i="31" l="1"/>
  <c r="G19" i="31"/>
  <c r="I19" i="31"/>
  <c r="L18" i="31" l="1"/>
  <c r="G18" i="31"/>
  <c r="I18" i="31"/>
  <c r="L17" i="31"/>
  <c r="L15" i="31" l="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<sst xmlns="http://schemas.openxmlformats.org/spreadsheetml/2006/main" count="64" uniqueCount="31">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</sst>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26182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23000</v>
      </c>
      <c r="J15" s="10">
        <v>3.61E-2</v>
      </c>
      <c r="K15" s="1">
        <f>'Feb 2021'!I18</f>
        <v>391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68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23497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21000</v>
      </c>
      <c r="J16" s="10">
        <v>3.61E-2</v>
      </c>
      <c r="K16" s="1">
        <f>'Feb 2021'!I19</f>
        <v>342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65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23915</v>
      </c>
      <c r="F17" s="10">
        <v>2.9000000000000001E-2</v>
      </c>
      <c r="G17" s="1">
        <f>'Feb 2021'!J20</f>
        <v>2970</v>
      </c>
      <c r="H17" s="10">
        <v>0.112</v>
      </c>
      <c r="I17" s="1">
        <f>'Feb 2021'!G20*1000</f>
        <v>22000</v>
      </c>
      <c r="J17" s="10">
        <v>3.61E-2</v>
      </c>
      <c r="K17" s="1">
        <f>'Feb 2021'!I20</f>
        <v>243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34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0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0</v>
      </c>
      <c r="J18" s="10">
        <v>3.61E-2</v>
      </c>
      <c r="K18" s="1">
        <f>'Feb 2021'!I21</f>
        <v>0</v>
      </c>
      <c r="L18" s="10">
        <v>0.75</v>
      </c>
      <c r="M18" s="10">
        <f>'Feb 2021'!L21</f>
        <v>0</v>
      </c>
      <c r="N18" s="10">
        <v>0.56299999999999994</v>
      </c>
      <c r="O18" s="14">
        <f>'Feb 2021'!D21</f>
        <v>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L19" sqref="L19:L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20" si="0">F7-F6</f>
        <v>19</v>
      </c>
      <c r="H6" s="7">
        <v>446304</v>
      </c>
      <c r="I6" s="3">
        <f t="shared" ref="I6:I20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6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>
        <v>68</v>
      </c>
      <c r="E18" s="33">
        <v>26182</v>
      </c>
      <c r="F18" s="4">
        <v>184736</v>
      </c>
      <c r="G18" s="8">
        <f t="shared" si="0"/>
        <v>23</v>
      </c>
      <c r="H18" s="7">
        <v>449457</v>
      </c>
      <c r="I18" s="3">
        <f t="shared" si="1"/>
        <v>391</v>
      </c>
      <c r="J18" s="3">
        <v>0</v>
      </c>
      <c r="K18" s="4">
        <v>272159</v>
      </c>
      <c r="L18" s="9">
        <f>K19-K18</f>
        <v>0</v>
      </c>
      <c r="N18" s="1"/>
    </row>
    <row r="19" spans="1:14" x14ac:dyDescent="0.2">
      <c r="B19" s="2">
        <v>15</v>
      </c>
      <c r="C19" s="11">
        <v>44242</v>
      </c>
      <c r="D19" s="7">
        <v>65</v>
      </c>
      <c r="E19" s="33">
        <v>23497</v>
      </c>
      <c r="F19" s="30">
        <v>184759</v>
      </c>
      <c r="G19" s="8">
        <f t="shared" si="0"/>
        <v>21</v>
      </c>
      <c r="H19" s="16">
        <v>449848</v>
      </c>
      <c r="I19" s="3">
        <f t="shared" si="1"/>
        <v>342</v>
      </c>
      <c r="J19" s="3">
        <v>0</v>
      </c>
      <c r="K19" s="4">
        <v>272159</v>
      </c>
      <c r="L19" s="9">
        <f>K20-K19</f>
        <v>0</v>
      </c>
      <c r="N19" s="1"/>
    </row>
    <row r="20" spans="1:14" x14ac:dyDescent="0.2">
      <c r="A20" t="s">
        <v>28</v>
      </c>
      <c r="B20" s="2">
        <v>16</v>
      </c>
      <c r="C20" s="11">
        <v>44243</v>
      </c>
      <c r="D20" s="7">
        <v>34</v>
      </c>
      <c r="E20" s="33">
        <v>23915</v>
      </c>
      <c r="F20" s="30">
        <v>184780</v>
      </c>
      <c r="G20" s="8">
        <f t="shared" si="0"/>
        <v>22</v>
      </c>
      <c r="H20" s="16">
        <v>450190</v>
      </c>
      <c r="I20" s="3">
        <f t="shared" si="1"/>
        <v>243</v>
      </c>
      <c r="J20" s="3">
        <v>2970</v>
      </c>
      <c r="K20" s="4">
        <v>272159</v>
      </c>
      <c r="L20" s="9">
        <f>K21-K20</f>
        <v>0</v>
      </c>
      <c r="N20" s="1"/>
    </row>
    <row r="21" spans="1:14" x14ac:dyDescent="0.2">
      <c r="B21" s="2">
        <v>17</v>
      </c>
      <c r="C21" s="11">
        <v>44244</v>
      </c>
      <c r="D21" s="7"/>
      <c r="E21" s="7"/>
      <c r="F21" s="4">
        <v>184802</v>
      </c>
      <c r="G21" s="8"/>
      <c r="H21" s="4">
        <v>450433</v>
      </c>
      <c r="I21" s="3"/>
      <c r="J21" s="3">
        <v>0</v>
      </c>
      <c r="K21" s="30">
        <v>272159</v>
      </c>
      <c r="L21" s="9"/>
      <c r="N21" s="1"/>
    </row>
    <row r="22" spans="1:14" x14ac:dyDescent="0.2">
      <c r="B22" s="2">
        <v>18</v>
      </c>
      <c r="C22" s="11">
        <v>44245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2021-02-17T05:07:22Z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