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4" i="2" l="1"/>
  <c r="Q34" i="2"/>
  <c r="B34" i="4"/>
  <c r="T15" i="2" l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U34" i="2" l="1"/>
  <c r="O34" i="2"/>
  <c r="M34" i="2"/>
  <c r="K34" i="2"/>
  <c r="I34" i="2"/>
  <c r="G34" i="2"/>
  <c r="E9" i="2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E12" i="2" l="1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15" i="4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15" i="4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15" i="4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15" i="4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15" i="4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15" i="4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G15" i="4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F33" i="4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E13" i="2" l="1"/>
  <c r="K25" i="4"/>
  <c r="K32" i="4"/>
  <c r="K24" i="4"/>
  <c r="K31" i="4"/>
  <c r="K23" i="4"/>
  <c r="K30" i="4"/>
  <c r="K20" i="4"/>
  <c r="K29" i="4"/>
  <c r="K19" i="4"/>
  <c r="K26" i="4"/>
  <c r="K18" i="4"/>
  <c r="I33" i="4"/>
  <c r="J32" i="8"/>
  <c r="Y32" i="8" s="1"/>
  <c r="Z33" i="4"/>
  <c r="X33" i="4"/>
  <c r="K28" i="4"/>
  <c r="K22" i="4"/>
  <c r="K27" i="4"/>
  <c r="K21" i="4"/>
  <c r="H9" i="4"/>
  <c r="T2" i="1"/>
  <c r="K7" i="9"/>
  <c r="D15" i="2" l="1"/>
  <c r="E14" i="2"/>
  <c r="Y33" i="4"/>
  <c r="G4" i="3"/>
  <c r="D16" i="2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D17" i="2" l="1"/>
  <c r="E16" i="2"/>
  <c r="U64" i="10"/>
  <c r="D18" i="2" l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34" i="4" s="1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J30" i="8" s="1"/>
  <c r="H32" i="4"/>
  <c r="E34" i="3" l="1"/>
  <c r="D19" i="2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O34" i="4" s="1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W34" i="4" l="1"/>
  <c r="S34" i="4"/>
  <c r="Q34" i="4"/>
  <c r="M34" i="4"/>
  <c r="K34" i="4"/>
  <c r="I14" i="4"/>
  <c r="F34" i="4"/>
  <c r="D34" i="4"/>
  <c r="D20" i="2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Y34" i="4" s="1"/>
  <c r="X34" i="4"/>
  <c r="D21" i="2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D22" i="2"/>
  <c r="E21" i="2"/>
  <c r="AE7" i="1"/>
  <c r="D23" i="2" l="1"/>
  <c r="E22" i="2"/>
  <c r="AE8" i="1"/>
  <c r="AC6" i="8"/>
  <c r="D24" i="2" l="1"/>
  <c r="E23" i="2"/>
  <c r="M3" i="2"/>
  <c r="D25" i="2" l="1"/>
  <c r="E24" i="2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E34" i="2" l="1"/>
  <c r="AE26" i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G34" i="3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5" i="8" s="1"/>
  <c r="G17" i="3"/>
  <c r="G16" i="8" s="1"/>
  <c r="G18" i="3"/>
  <c r="G17" i="8" s="1"/>
  <c r="S33" i="1" l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I34" i="3"/>
  <c r="T14" i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H15" i="8" s="1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C34" i="3" l="1"/>
  <c r="AE11" i="8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<sst xmlns="http://schemas.openxmlformats.org/spreadsheetml/2006/main" count="514" uniqueCount="151">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</sst>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H46" sqref="H4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87051.442744</v>
      </c>
      <c r="F13" s="138">
        <v>1.27</v>
      </c>
      <c r="G13" s="36">
        <f>Gas!C14*0.9147</f>
        <v>1911.723</v>
      </c>
      <c r="H13" s="139">
        <v>3.65</v>
      </c>
      <c r="I13" s="141">
        <f>Submetering!H13+Submetering!AD13+Submetering!AE13</f>
        <v>905.99999999999989</v>
      </c>
      <c r="J13" s="141">
        <v>10.029999999999999</v>
      </c>
      <c r="K13" s="36">
        <f>ELECT.!B14</f>
        <v>235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43" sqref="B4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450</v>
      </c>
      <c r="G13" s="36">
        <f>Water!G14</f>
        <v>556.20000000000005</v>
      </c>
      <c r="H13" s="36">
        <f>Water!I14</f>
        <v>4.6710000000000003</v>
      </c>
      <c r="I13" s="36">
        <f>ELECT.!F14</f>
        <v>25942</v>
      </c>
      <c r="J13" s="36">
        <f>ELECT.!H14</f>
        <v>63967</v>
      </c>
      <c r="K13" s="36">
        <f>ELECT.!K14</f>
        <v>12180</v>
      </c>
      <c r="L13" s="36">
        <f>ELECT.!M14</f>
        <v>7091</v>
      </c>
      <c r="M13" s="36">
        <f>ELECT.!O14</f>
        <v>18610</v>
      </c>
      <c r="N13" s="36">
        <f>ELECT.!Q14</f>
        <v>17031</v>
      </c>
      <c r="O13" s="36">
        <f>ELECT.!S14</f>
        <v>12612</v>
      </c>
      <c r="P13" s="36">
        <f>ELECT.!W14*2</f>
        <v>26854</v>
      </c>
      <c r="Q13" s="36">
        <f>ELECT.!D14</f>
        <v>640</v>
      </c>
      <c r="R13" s="141">
        <f>BTU!C14</f>
        <v>13.103000000002794</v>
      </c>
      <c r="S13" s="141">
        <f>BTU!F14</f>
        <v>1.2989999999999782</v>
      </c>
      <c r="T13" s="141">
        <f>BTU!I14</f>
        <v>6</v>
      </c>
      <c r="U13" s="141">
        <f>BTU!O14</f>
        <v>1.9639999999999418</v>
      </c>
      <c r="V13" s="141">
        <f>BTU!L14</f>
        <v>4.680000000000291</v>
      </c>
      <c r="W13" s="141">
        <f>BTU!R14</f>
        <v>1.8800000000001091</v>
      </c>
      <c r="X13" s="34">
        <f>ELECT.!B14</f>
        <v>235</v>
      </c>
      <c r="Y13" s="34">
        <f t="shared" si="0"/>
        <v>-4469</v>
      </c>
      <c r="Z13">
        <f>'Mall, Citadel, Rotana'!C14+'Mall, Citadel, Rotana'!E14+'Mall, Citadel, Rotana'!G14+'Mall, Citadel, Rotana'!I14</f>
        <v>1351</v>
      </c>
      <c r="AA13">
        <f>'Mall, Citadel, Rotana'!K14+'Mall, Citadel, Rotana'!M14</f>
        <v>212</v>
      </c>
      <c r="AB13">
        <f>'Mall, Citadel, Rotana'!O14</f>
        <v>3</v>
      </c>
      <c r="AC13">
        <f>'Mall, Citadel, Rotana'!Q14+'Mall, Citadel, Rotana'!S14</f>
        <v>0</v>
      </c>
      <c r="AD13" s="34">
        <f t="shared" si="1"/>
        <v>118.79516219999999</v>
      </c>
      <c r="AE13" s="34">
        <f t="shared" si="2"/>
        <v>782.5338377999999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 t="str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 t="str">
        <f>BTU!C15</f>
        <v>0</v>
      </c>
      <c r="S14" s="141" t="str">
        <f>BTU!F15</f>
        <v>0</v>
      </c>
      <c r="T14" s="141" t="str">
        <f>BTU!I15</f>
        <v>0</v>
      </c>
      <c r="U14" s="141" t="str">
        <f>BTU!O15</f>
        <v>0</v>
      </c>
      <c r="V14" s="141" t="str">
        <f>BTU!L15</f>
        <v>0</v>
      </c>
      <c r="W14" s="141" t="str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v>47284</v>
      </c>
      <c r="C14" s="14">
        <f t="shared" si="1"/>
        <v>800</v>
      </c>
      <c r="D14" s="32">
        <v>40773</v>
      </c>
      <c r="E14" s="14">
        <f t="shared" si="2"/>
        <v>480</v>
      </c>
      <c r="F14" s="32">
        <v>21834</v>
      </c>
      <c r="G14" s="14">
        <f t="shared" si="3"/>
        <v>40</v>
      </c>
      <c r="H14" s="32">
        <v>256499</v>
      </c>
      <c r="I14" s="14">
        <f t="shared" si="4"/>
        <v>31</v>
      </c>
      <c r="J14" s="32">
        <v>322799</v>
      </c>
      <c r="K14" s="14">
        <f t="shared" si="5"/>
        <v>92</v>
      </c>
      <c r="L14" s="32">
        <v>26298</v>
      </c>
      <c r="M14" s="14">
        <f t="shared" si="6"/>
        <v>120</v>
      </c>
      <c r="N14" s="32">
        <v>226170</v>
      </c>
      <c r="O14" s="14">
        <f t="shared" si="7"/>
        <v>3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f t="shared" ref="B14:B33" si="10">B14</f>
        <v>47284</v>
      </c>
      <c r="C15" s="14">
        <f t="shared" si="1"/>
        <v>0</v>
      </c>
      <c r="D15" s="32">
        <f t="shared" ref="D14:D33" si="11">D14</f>
        <v>40773</v>
      </c>
      <c r="E15" s="14">
        <f t="shared" si="2"/>
        <v>0</v>
      </c>
      <c r="F15" s="32">
        <f t="shared" ref="F14:F33" si="12">F14</f>
        <v>21834</v>
      </c>
      <c r="G15" s="14">
        <f t="shared" si="3"/>
        <v>0</v>
      </c>
      <c r="H15" s="32">
        <f t="shared" ref="H14:H33" si="13">H14</f>
        <v>256499</v>
      </c>
      <c r="I15" s="14">
        <f t="shared" si="4"/>
        <v>0</v>
      </c>
      <c r="J15" s="32">
        <f t="shared" ref="J14:J33" si="14">J14</f>
        <v>322799</v>
      </c>
      <c r="K15" s="14">
        <f t="shared" si="5"/>
        <v>0</v>
      </c>
      <c r="L15" s="32">
        <f t="shared" ref="L14:L33" si="15">L14</f>
        <v>26298</v>
      </c>
      <c r="M15" s="14">
        <f t="shared" si="6"/>
        <v>0</v>
      </c>
      <c r="N15" s="32">
        <f t="shared" ref="N14:N33" si="16">N14</f>
        <v>226170</v>
      </c>
      <c r="O15" s="14">
        <f t="shared" si="7"/>
        <v>0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f t="shared" ref="T14:T33" si="17">T14</f>
        <v>4020</v>
      </c>
      <c r="U15" s="14">
        <f t="shared" si="8"/>
        <v>0</v>
      </c>
      <c r="X15" t="s">
        <v>12</v>
      </c>
    </row>
    <row r="16" spans="1:24" ht="13.5" thickBot="1" x14ac:dyDescent="0.25">
      <c r="A16" s="9">
        <v>44756</v>
      </c>
      <c r="B16" s="32">
        <f t="shared" si="10"/>
        <v>47284</v>
      </c>
      <c r="C16" s="14">
        <f t="shared" si="1"/>
        <v>0</v>
      </c>
      <c r="D16" s="32">
        <f t="shared" si="11"/>
        <v>40773</v>
      </c>
      <c r="E16" s="14">
        <f t="shared" si="2"/>
        <v>0</v>
      </c>
      <c r="F16" s="32">
        <f t="shared" si="12"/>
        <v>21834</v>
      </c>
      <c r="G16" s="14">
        <f t="shared" si="3"/>
        <v>0</v>
      </c>
      <c r="H16" s="32">
        <f t="shared" si="13"/>
        <v>256499</v>
      </c>
      <c r="I16" s="14">
        <f t="shared" si="4"/>
        <v>0</v>
      </c>
      <c r="J16" s="32">
        <f t="shared" si="14"/>
        <v>322799</v>
      </c>
      <c r="K16" s="14">
        <f t="shared" si="5"/>
        <v>0</v>
      </c>
      <c r="L16" s="32">
        <f t="shared" si="15"/>
        <v>26298</v>
      </c>
      <c r="M16" s="14">
        <f t="shared" si="6"/>
        <v>0</v>
      </c>
      <c r="N16" s="32">
        <f t="shared" si="16"/>
        <v>226170</v>
      </c>
      <c r="O16" s="14">
        <f t="shared" si="7"/>
        <v>0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f t="shared" si="17"/>
        <v>4020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f t="shared" si="10"/>
        <v>47284</v>
      </c>
      <c r="C17" s="14">
        <f t="shared" si="1"/>
        <v>0</v>
      </c>
      <c r="D17" s="32">
        <f t="shared" si="11"/>
        <v>40773</v>
      </c>
      <c r="E17" s="14">
        <f t="shared" si="2"/>
        <v>0</v>
      </c>
      <c r="F17" s="32">
        <f t="shared" si="12"/>
        <v>21834</v>
      </c>
      <c r="G17" s="14">
        <f t="shared" si="3"/>
        <v>0</v>
      </c>
      <c r="H17" s="32">
        <f t="shared" si="13"/>
        <v>256499</v>
      </c>
      <c r="I17" s="14">
        <f t="shared" si="4"/>
        <v>0</v>
      </c>
      <c r="J17" s="32">
        <f t="shared" si="14"/>
        <v>322799</v>
      </c>
      <c r="K17" s="14">
        <f t="shared" si="5"/>
        <v>0</v>
      </c>
      <c r="L17" s="32">
        <f t="shared" si="15"/>
        <v>26298</v>
      </c>
      <c r="M17" s="14">
        <f t="shared" si="6"/>
        <v>0</v>
      </c>
      <c r="N17" s="32">
        <f t="shared" si="16"/>
        <v>226170</v>
      </c>
      <c r="O17" s="14">
        <f t="shared" si="7"/>
        <v>0</v>
      </c>
      <c r="P17" s="32">
        <v>159014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7"/>
        <v>4020</v>
      </c>
      <c r="U17" s="14">
        <f t="shared" si="8"/>
        <v>0</v>
      </c>
    </row>
    <row r="18" spans="1:23" ht="13.5" thickBot="1" x14ac:dyDescent="0.25">
      <c r="A18" s="9">
        <v>44758</v>
      </c>
      <c r="B18" s="32">
        <f t="shared" si="10"/>
        <v>47284</v>
      </c>
      <c r="C18" s="14">
        <f t="shared" si="1"/>
        <v>0</v>
      </c>
      <c r="D18" s="32">
        <f t="shared" si="11"/>
        <v>40773</v>
      </c>
      <c r="E18" s="14">
        <f t="shared" si="2"/>
        <v>0</v>
      </c>
      <c r="F18" s="32">
        <f t="shared" si="12"/>
        <v>21834</v>
      </c>
      <c r="G18" s="14">
        <f t="shared" si="3"/>
        <v>0</v>
      </c>
      <c r="H18" s="32">
        <f t="shared" si="13"/>
        <v>256499</v>
      </c>
      <c r="I18" s="14">
        <f t="shared" si="4"/>
        <v>0</v>
      </c>
      <c r="J18" s="32">
        <f t="shared" si="14"/>
        <v>322799</v>
      </c>
      <c r="K18" s="14">
        <f t="shared" si="5"/>
        <v>0</v>
      </c>
      <c r="L18" s="32">
        <f t="shared" si="15"/>
        <v>26298</v>
      </c>
      <c r="M18" s="14">
        <f t="shared" si="6"/>
        <v>0</v>
      </c>
      <c r="N18" s="32">
        <f t="shared" si="16"/>
        <v>226170</v>
      </c>
      <c r="O18" s="14">
        <f t="shared" si="7"/>
        <v>0</v>
      </c>
      <c r="P18" s="32">
        <v>159014</v>
      </c>
      <c r="Q18" s="14">
        <f t="shared" si="0"/>
        <v>0</v>
      </c>
      <c r="R18" s="1">
        <v>55047</v>
      </c>
      <c r="S18" s="14">
        <f t="shared" si="9"/>
        <v>0</v>
      </c>
      <c r="T18" s="32">
        <f t="shared" si="17"/>
        <v>4020</v>
      </c>
      <c r="U18" s="14">
        <f t="shared" si="8"/>
        <v>0</v>
      </c>
    </row>
    <row r="19" spans="1:23" ht="13.5" thickBot="1" x14ac:dyDescent="0.25">
      <c r="A19" s="9">
        <v>44759</v>
      </c>
      <c r="B19" s="32">
        <f t="shared" si="10"/>
        <v>47284</v>
      </c>
      <c r="C19" s="14">
        <f t="shared" si="1"/>
        <v>0</v>
      </c>
      <c r="D19" s="32">
        <f t="shared" si="11"/>
        <v>40773</v>
      </c>
      <c r="E19" s="14">
        <f t="shared" si="2"/>
        <v>0</v>
      </c>
      <c r="F19" s="32">
        <f t="shared" si="12"/>
        <v>21834</v>
      </c>
      <c r="G19" s="14">
        <f t="shared" si="3"/>
        <v>0</v>
      </c>
      <c r="H19" s="32">
        <f t="shared" si="13"/>
        <v>256499</v>
      </c>
      <c r="I19" s="14">
        <f t="shared" si="4"/>
        <v>0</v>
      </c>
      <c r="J19" s="32">
        <f t="shared" si="14"/>
        <v>322799</v>
      </c>
      <c r="K19" s="14">
        <f t="shared" si="5"/>
        <v>0</v>
      </c>
      <c r="L19" s="32">
        <f t="shared" si="15"/>
        <v>26298</v>
      </c>
      <c r="M19" s="14">
        <f t="shared" si="6"/>
        <v>0</v>
      </c>
      <c r="N19" s="32">
        <f t="shared" si="16"/>
        <v>226170</v>
      </c>
      <c r="O19" s="14">
        <f t="shared" si="7"/>
        <v>0</v>
      </c>
      <c r="P19" s="32">
        <v>159014</v>
      </c>
      <c r="Q19" s="14">
        <f t="shared" si="0"/>
        <v>0</v>
      </c>
      <c r="R19" s="1">
        <v>55047</v>
      </c>
      <c r="S19" s="14">
        <f t="shared" si="9"/>
        <v>0</v>
      </c>
      <c r="T19" s="32">
        <f t="shared" si="17"/>
        <v>4020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f t="shared" si="10"/>
        <v>47284</v>
      </c>
      <c r="C20" s="14">
        <f t="shared" si="1"/>
        <v>0</v>
      </c>
      <c r="D20" s="32">
        <f t="shared" si="11"/>
        <v>40773</v>
      </c>
      <c r="E20" s="14">
        <f t="shared" si="2"/>
        <v>0</v>
      </c>
      <c r="F20" s="32">
        <f t="shared" si="12"/>
        <v>21834</v>
      </c>
      <c r="G20" s="14">
        <f t="shared" si="3"/>
        <v>0</v>
      </c>
      <c r="H20" s="32">
        <f t="shared" si="13"/>
        <v>256499</v>
      </c>
      <c r="I20" s="14">
        <f t="shared" si="4"/>
        <v>0</v>
      </c>
      <c r="J20" s="32">
        <f t="shared" si="14"/>
        <v>322799</v>
      </c>
      <c r="K20" s="14">
        <f t="shared" si="5"/>
        <v>0</v>
      </c>
      <c r="L20" s="32">
        <f t="shared" si="15"/>
        <v>26298</v>
      </c>
      <c r="M20" s="14">
        <f t="shared" si="6"/>
        <v>0</v>
      </c>
      <c r="N20" s="32">
        <f t="shared" si="16"/>
        <v>226170</v>
      </c>
      <c r="O20" s="14">
        <f t="shared" si="7"/>
        <v>0</v>
      </c>
      <c r="P20" s="32">
        <v>159014</v>
      </c>
      <c r="Q20" s="14">
        <f t="shared" si="0"/>
        <v>0</v>
      </c>
      <c r="R20" s="1">
        <v>55047</v>
      </c>
      <c r="S20" s="14">
        <f t="shared" si="9"/>
        <v>0</v>
      </c>
      <c r="T20" s="32">
        <f t="shared" si="17"/>
        <v>4020</v>
      </c>
      <c r="U20" s="14">
        <f t="shared" si="8"/>
        <v>0</v>
      </c>
    </row>
    <row r="21" spans="1:23" ht="13.5" thickBot="1" x14ac:dyDescent="0.25">
      <c r="A21" s="9">
        <v>44761</v>
      </c>
      <c r="B21" s="32">
        <f t="shared" si="10"/>
        <v>47284</v>
      </c>
      <c r="C21" s="14">
        <f t="shared" si="1"/>
        <v>0</v>
      </c>
      <c r="D21" s="32">
        <f t="shared" si="11"/>
        <v>40773</v>
      </c>
      <c r="E21" s="14">
        <f t="shared" si="2"/>
        <v>0</v>
      </c>
      <c r="F21" s="32">
        <f t="shared" si="12"/>
        <v>21834</v>
      </c>
      <c r="G21" s="14">
        <f t="shared" si="3"/>
        <v>0</v>
      </c>
      <c r="H21" s="32">
        <f t="shared" si="13"/>
        <v>256499</v>
      </c>
      <c r="I21" s="14">
        <f t="shared" si="4"/>
        <v>0</v>
      </c>
      <c r="J21" s="32">
        <f t="shared" si="14"/>
        <v>322799</v>
      </c>
      <c r="K21" s="14">
        <f t="shared" si="5"/>
        <v>0</v>
      </c>
      <c r="L21" s="32">
        <f t="shared" si="15"/>
        <v>26298</v>
      </c>
      <c r="M21" s="14">
        <f t="shared" si="6"/>
        <v>0</v>
      </c>
      <c r="N21" s="32">
        <f t="shared" si="16"/>
        <v>226170</v>
      </c>
      <c r="O21" s="14">
        <f t="shared" si="7"/>
        <v>0</v>
      </c>
      <c r="P21" s="32">
        <v>159014</v>
      </c>
      <c r="Q21" s="14">
        <f t="shared" si="0"/>
        <v>0</v>
      </c>
      <c r="R21" s="1">
        <v>55047</v>
      </c>
      <c r="S21" s="14">
        <f t="shared" si="9"/>
        <v>0</v>
      </c>
      <c r="T21" s="32">
        <f t="shared" si="17"/>
        <v>4020</v>
      </c>
      <c r="U21" s="14">
        <f t="shared" si="8"/>
        <v>0</v>
      </c>
    </row>
    <row r="22" spans="1:23" ht="13.5" thickBot="1" x14ac:dyDescent="0.25">
      <c r="A22" s="9">
        <v>44762</v>
      </c>
      <c r="B22" s="32">
        <f t="shared" si="10"/>
        <v>47284</v>
      </c>
      <c r="C22" s="14">
        <f t="shared" si="1"/>
        <v>0</v>
      </c>
      <c r="D22" s="32">
        <f t="shared" si="11"/>
        <v>40773</v>
      </c>
      <c r="E22" s="14">
        <f t="shared" si="2"/>
        <v>0</v>
      </c>
      <c r="F22" s="32">
        <f t="shared" si="12"/>
        <v>21834</v>
      </c>
      <c r="G22" s="14">
        <f t="shared" si="3"/>
        <v>0</v>
      </c>
      <c r="H22" s="32">
        <f t="shared" si="13"/>
        <v>256499</v>
      </c>
      <c r="I22" s="14">
        <f t="shared" si="4"/>
        <v>0</v>
      </c>
      <c r="J22" s="32">
        <f t="shared" si="14"/>
        <v>322799</v>
      </c>
      <c r="K22" s="14">
        <f t="shared" si="5"/>
        <v>0</v>
      </c>
      <c r="L22" s="32">
        <f t="shared" si="15"/>
        <v>26298</v>
      </c>
      <c r="M22" s="14">
        <f t="shared" si="6"/>
        <v>0</v>
      </c>
      <c r="N22" s="32">
        <f t="shared" si="16"/>
        <v>226170</v>
      </c>
      <c r="O22" s="14">
        <f t="shared" si="7"/>
        <v>0</v>
      </c>
      <c r="P22" s="32">
        <v>159014</v>
      </c>
      <c r="Q22" s="14">
        <f t="shared" si="0"/>
        <v>0</v>
      </c>
      <c r="R22" s="1">
        <v>55047</v>
      </c>
      <c r="S22" s="14">
        <f t="shared" si="9"/>
        <v>0</v>
      </c>
      <c r="T22" s="32">
        <f t="shared" si="17"/>
        <v>4020</v>
      </c>
      <c r="U22" s="14">
        <f t="shared" si="8"/>
        <v>0</v>
      </c>
    </row>
    <row r="23" spans="1:23" ht="13.5" thickBot="1" x14ac:dyDescent="0.25">
      <c r="A23" s="9">
        <v>44763</v>
      </c>
      <c r="B23" s="32">
        <f t="shared" si="10"/>
        <v>47284</v>
      </c>
      <c r="C23" s="14">
        <f t="shared" si="1"/>
        <v>0</v>
      </c>
      <c r="D23" s="32">
        <f t="shared" si="11"/>
        <v>40773</v>
      </c>
      <c r="E23" s="14">
        <f t="shared" si="2"/>
        <v>0</v>
      </c>
      <c r="F23" s="32">
        <f t="shared" si="12"/>
        <v>21834</v>
      </c>
      <c r="G23" s="14">
        <f t="shared" si="3"/>
        <v>0</v>
      </c>
      <c r="H23" s="32">
        <f t="shared" si="13"/>
        <v>256499</v>
      </c>
      <c r="I23" s="14">
        <f t="shared" si="4"/>
        <v>0</v>
      </c>
      <c r="J23" s="32">
        <f t="shared" si="14"/>
        <v>322799</v>
      </c>
      <c r="K23" s="14">
        <f t="shared" si="5"/>
        <v>0</v>
      </c>
      <c r="L23" s="32">
        <f t="shared" si="15"/>
        <v>26298</v>
      </c>
      <c r="M23" s="14">
        <f t="shared" si="6"/>
        <v>0</v>
      </c>
      <c r="N23" s="32">
        <f t="shared" si="16"/>
        <v>226170</v>
      </c>
      <c r="O23" s="14">
        <f t="shared" si="7"/>
        <v>0</v>
      </c>
      <c r="P23" s="32">
        <v>159014</v>
      </c>
      <c r="Q23" s="14">
        <f t="shared" si="0"/>
        <v>0</v>
      </c>
      <c r="R23" s="1">
        <v>55047</v>
      </c>
      <c r="S23" s="14">
        <f t="shared" si="9"/>
        <v>0</v>
      </c>
      <c r="T23" s="32">
        <f t="shared" si="17"/>
        <v>4020</v>
      </c>
      <c r="U23" s="14">
        <f t="shared" si="8"/>
        <v>0</v>
      </c>
    </row>
    <row r="24" spans="1:23" s="131" customFormat="1" ht="13.5" thickBot="1" x14ac:dyDescent="0.25">
      <c r="A24" s="9">
        <v>44764</v>
      </c>
      <c r="B24" s="32">
        <f t="shared" si="10"/>
        <v>47284</v>
      </c>
      <c r="C24" s="14">
        <f t="shared" si="1"/>
        <v>0</v>
      </c>
      <c r="D24" s="32">
        <f t="shared" si="11"/>
        <v>40773</v>
      </c>
      <c r="E24" s="14">
        <f t="shared" si="2"/>
        <v>0</v>
      </c>
      <c r="F24" s="32">
        <f t="shared" si="12"/>
        <v>21834</v>
      </c>
      <c r="G24" s="14">
        <f t="shared" si="3"/>
        <v>0</v>
      </c>
      <c r="H24" s="32">
        <f t="shared" si="13"/>
        <v>256499</v>
      </c>
      <c r="I24" s="14">
        <f t="shared" si="4"/>
        <v>0</v>
      </c>
      <c r="J24" s="32">
        <f t="shared" si="14"/>
        <v>322799</v>
      </c>
      <c r="K24" s="14">
        <f t="shared" si="5"/>
        <v>0</v>
      </c>
      <c r="L24" s="32">
        <f t="shared" si="15"/>
        <v>26298</v>
      </c>
      <c r="M24" s="14">
        <f t="shared" si="6"/>
        <v>0</v>
      </c>
      <c r="N24" s="32">
        <f t="shared" si="16"/>
        <v>226170</v>
      </c>
      <c r="O24" s="14">
        <f t="shared" si="7"/>
        <v>0</v>
      </c>
      <c r="P24" s="32">
        <v>159014</v>
      </c>
      <c r="Q24" s="14">
        <f t="shared" si="0"/>
        <v>0</v>
      </c>
      <c r="R24" s="1">
        <v>55047</v>
      </c>
      <c r="S24" s="14">
        <f t="shared" si="9"/>
        <v>0</v>
      </c>
      <c r="T24" s="32">
        <f t="shared" si="17"/>
        <v>4020</v>
      </c>
      <c r="U24" s="14">
        <f t="shared" si="8"/>
        <v>0</v>
      </c>
    </row>
    <row r="25" spans="1:23" ht="13.5" thickBot="1" x14ac:dyDescent="0.25">
      <c r="A25" s="9">
        <v>44765</v>
      </c>
      <c r="B25" s="32">
        <f t="shared" si="10"/>
        <v>47284</v>
      </c>
      <c r="C25" s="14">
        <f t="shared" si="1"/>
        <v>0</v>
      </c>
      <c r="D25" s="32">
        <f t="shared" si="11"/>
        <v>40773</v>
      </c>
      <c r="E25" s="14">
        <f t="shared" si="2"/>
        <v>0</v>
      </c>
      <c r="F25" s="32">
        <f t="shared" si="12"/>
        <v>21834</v>
      </c>
      <c r="G25" s="14">
        <f t="shared" si="3"/>
        <v>0</v>
      </c>
      <c r="H25" s="32">
        <f t="shared" si="13"/>
        <v>256499</v>
      </c>
      <c r="I25" s="14">
        <f t="shared" si="4"/>
        <v>0</v>
      </c>
      <c r="J25" s="32">
        <f t="shared" si="14"/>
        <v>322799</v>
      </c>
      <c r="K25" s="14">
        <f t="shared" si="5"/>
        <v>0</v>
      </c>
      <c r="L25" s="32">
        <f t="shared" si="15"/>
        <v>26298</v>
      </c>
      <c r="M25" s="14">
        <f t="shared" si="6"/>
        <v>0</v>
      </c>
      <c r="N25" s="32">
        <f t="shared" si="16"/>
        <v>226170</v>
      </c>
      <c r="O25" s="14">
        <f t="shared" si="7"/>
        <v>0</v>
      </c>
      <c r="P25" s="32">
        <v>159014</v>
      </c>
      <c r="Q25" s="14">
        <f t="shared" si="0"/>
        <v>0</v>
      </c>
      <c r="R25" s="1">
        <v>55047</v>
      </c>
      <c r="S25" s="14">
        <f t="shared" si="9"/>
        <v>0</v>
      </c>
      <c r="T25" s="32">
        <f t="shared" si="17"/>
        <v>4020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f t="shared" si="10"/>
        <v>47284</v>
      </c>
      <c r="C26" s="14">
        <f t="shared" si="1"/>
        <v>0</v>
      </c>
      <c r="D26" s="32">
        <f t="shared" si="11"/>
        <v>40773</v>
      </c>
      <c r="E26" s="14">
        <f t="shared" si="2"/>
        <v>0</v>
      </c>
      <c r="F26" s="32">
        <f t="shared" si="12"/>
        <v>21834</v>
      </c>
      <c r="G26" s="14">
        <f t="shared" si="3"/>
        <v>0</v>
      </c>
      <c r="H26" s="32">
        <f t="shared" si="13"/>
        <v>256499</v>
      </c>
      <c r="I26" s="14">
        <f t="shared" si="4"/>
        <v>0</v>
      </c>
      <c r="J26" s="32">
        <f t="shared" si="14"/>
        <v>322799</v>
      </c>
      <c r="K26" s="14">
        <f t="shared" si="5"/>
        <v>0</v>
      </c>
      <c r="L26" s="32">
        <f t="shared" si="15"/>
        <v>26298</v>
      </c>
      <c r="M26" s="14">
        <f t="shared" si="6"/>
        <v>0</v>
      </c>
      <c r="N26" s="32">
        <f t="shared" si="16"/>
        <v>226170</v>
      </c>
      <c r="O26" s="14">
        <f t="shared" si="7"/>
        <v>0</v>
      </c>
      <c r="P26" s="32">
        <v>159014</v>
      </c>
      <c r="Q26" s="14">
        <f t="shared" si="0"/>
        <v>0</v>
      </c>
      <c r="R26" s="1">
        <v>55047</v>
      </c>
      <c r="S26" s="14">
        <f t="shared" si="9"/>
        <v>0</v>
      </c>
      <c r="T26" s="32">
        <f t="shared" si="17"/>
        <v>4020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f t="shared" si="10"/>
        <v>47284</v>
      </c>
      <c r="C27" s="14">
        <f t="shared" si="1"/>
        <v>0</v>
      </c>
      <c r="D27" s="32">
        <f t="shared" si="11"/>
        <v>40773</v>
      </c>
      <c r="E27" s="14">
        <f t="shared" si="2"/>
        <v>0</v>
      </c>
      <c r="F27" s="32">
        <f t="shared" si="12"/>
        <v>21834</v>
      </c>
      <c r="G27" s="14">
        <f t="shared" si="3"/>
        <v>0</v>
      </c>
      <c r="H27" s="32">
        <f t="shared" si="13"/>
        <v>256499</v>
      </c>
      <c r="I27" s="14">
        <f t="shared" si="4"/>
        <v>0</v>
      </c>
      <c r="J27" s="32">
        <f t="shared" si="14"/>
        <v>322799</v>
      </c>
      <c r="K27" s="14">
        <f t="shared" si="5"/>
        <v>0</v>
      </c>
      <c r="L27" s="32">
        <f t="shared" si="15"/>
        <v>26298</v>
      </c>
      <c r="M27" s="14">
        <f t="shared" si="6"/>
        <v>0</v>
      </c>
      <c r="N27" s="32">
        <f t="shared" si="16"/>
        <v>226170</v>
      </c>
      <c r="O27" s="14">
        <f t="shared" si="7"/>
        <v>0</v>
      </c>
      <c r="P27" s="32">
        <v>159014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si="17"/>
        <v>4020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0"/>
        <v>47284</v>
      </c>
      <c r="C28" s="14">
        <f t="shared" si="1"/>
        <v>0</v>
      </c>
      <c r="D28" s="32">
        <f t="shared" si="11"/>
        <v>40773</v>
      </c>
      <c r="E28" s="14">
        <f t="shared" si="2"/>
        <v>0</v>
      </c>
      <c r="F28" s="32">
        <f t="shared" si="12"/>
        <v>21834</v>
      </c>
      <c r="G28" s="14">
        <f t="shared" si="3"/>
        <v>0</v>
      </c>
      <c r="H28" s="32">
        <f t="shared" si="13"/>
        <v>256499</v>
      </c>
      <c r="I28" s="14">
        <f t="shared" si="4"/>
        <v>0</v>
      </c>
      <c r="J28" s="32">
        <f t="shared" si="14"/>
        <v>322799</v>
      </c>
      <c r="K28" s="14">
        <f t="shared" si="5"/>
        <v>0</v>
      </c>
      <c r="L28" s="32">
        <f t="shared" si="15"/>
        <v>26298</v>
      </c>
      <c r="M28" s="14">
        <f t="shared" si="6"/>
        <v>0</v>
      </c>
      <c r="N28" s="32">
        <f t="shared" si="16"/>
        <v>226170</v>
      </c>
      <c r="O28" s="14">
        <f t="shared" si="7"/>
        <v>0</v>
      </c>
      <c r="P28" s="32">
        <v>159014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7"/>
        <v>4020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0"/>
        <v>47284</v>
      </c>
      <c r="C29" s="14">
        <f t="shared" si="1"/>
        <v>0</v>
      </c>
      <c r="D29" s="32">
        <f t="shared" si="11"/>
        <v>40773</v>
      </c>
      <c r="E29" s="14">
        <f t="shared" si="2"/>
        <v>0</v>
      </c>
      <c r="F29" s="32">
        <f t="shared" si="12"/>
        <v>21834</v>
      </c>
      <c r="G29" s="14">
        <f t="shared" si="3"/>
        <v>0</v>
      </c>
      <c r="H29" s="32">
        <f t="shared" si="13"/>
        <v>256499</v>
      </c>
      <c r="I29" s="14">
        <f t="shared" si="4"/>
        <v>0</v>
      </c>
      <c r="J29" s="32">
        <f t="shared" si="14"/>
        <v>322799</v>
      </c>
      <c r="K29" s="14">
        <f t="shared" si="5"/>
        <v>0</v>
      </c>
      <c r="L29" s="32">
        <f t="shared" si="15"/>
        <v>26298</v>
      </c>
      <c r="M29" s="14">
        <f t="shared" si="6"/>
        <v>0</v>
      </c>
      <c r="N29" s="32">
        <f t="shared" si="16"/>
        <v>226170</v>
      </c>
      <c r="O29" s="14">
        <f t="shared" si="7"/>
        <v>0</v>
      </c>
      <c r="P29" s="32">
        <v>159014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7"/>
        <v>4020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0"/>
        <v>47284</v>
      </c>
      <c r="C30" s="14">
        <f t="shared" si="1"/>
        <v>0</v>
      </c>
      <c r="D30" s="32">
        <f t="shared" si="11"/>
        <v>40773</v>
      </c>
      <c r="E30" s="14">
        <f t="shared" si="2"/>
        <v>0</v>
      </c>
      <c r="F30" s="32">
        <f t="shared" si="12"/>
        <v>21834</v>
      </c>
      <c r="G30" s="14">
        <f t="shared" si="3"/>
        <v>0</v>
      </c>
      <c r="H30" s="32">
        <f t="shared" si="13"/>
        <v>256499</v>
      </c>
      <c r="I30" s="14">
        <f t="shared" si="4"/>
        <v>0</v>
      </c>
      <c r="J30" s="32">
        <f t="shared" si="14"/>
        <v>322799</v>
      </c>
      <c r="K30" s="14">
        <f t="shared" si="5"/>
        <v>0</v>
      </c>
      <c r="L30" s="32">
        <f t="shared" si="15"/>
        <v>26298</v>
      </c>
      <c r="M30" s="14">
        <f t="shared" si="6"/>
        <v>0</v>
      </c>
      <c r="N30" s="32">
        <f t="shared" si="16"/>
        <v>226170</v>
      </c>
      <c r="O30" s="14">
        <f t="shared" si="7"/>
        <v>0</v>
      </c>
      <c r="P30" s="32">
        <v>159014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7"/>
        <v>4020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47284</v>
      </c>
      <c r="C31" s="14">
        <f t="shared" si="1"/>
        <v>0</v>
      </c>
      <c r="D31" s="32">
        <f t="shared" si="11"/>
        <v>40773</v>
      </c>
      <c r="E31" s="14">
        <f t="shared" si="2"/>
        <v>0</v>
      </c>
      <c r="F31" s="32">
        <f t="shared" si="12"/>
        <v>21834</v>
      </c>
      <c r="G31" s="14">
        <f t="shared" si="3"/>
        <v>0</v>
      </c>
      <c r="H31" s="32">
        <f t="shared" si="13"/>
        <v>256499</v>
      </c>
      <c r="I31" s="14">
        <f t="shared" si="4"/>
        <v>0</v>
      </c>
      <c r="J31" s="32">
        <f t="shared" si="14"/>
        <v>322799</v>
      </c>
      <c r="K31" s="14">
        <f t="shared" si="5"/>
        <v>0</v>
      </c>
      <c r="L31" s="32">
        <f t="shared" si="15"/>
        <v>26298</v>
      </c>
      <c r="M31" s="14">
        <f t="shared" si="6"/>
        <v>0</v>
      </c>
      <c r="N31" s="32">
        <f t="shared" si="16"/>
        <v>226170</v>
      </c>
      <c r="O31" s="14">
        <f t="shared" si="7"/>
        <v>0</v>
      </c>
      <c r="P31" s="32">
        <v>159014</v>
      </c>
      <c r="Q31" s="14">
        <f t="shared" si="0"/>
        <v>0</v>
      </c>
      <c r="R31" s="1">
        <v>55047</v>
      </c>
      <c r="S31" s="14">
        <v>0</v>
      </c>
      <c r="T31" s="32">
        <f t="shared" si="17"/>
        <v>4020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47284</v>
      </c>
      <c r="C32" s="14">
        <f t="shared" si="1"/>
        <v>0</v>
      </c>
      <c r="D32" s="32">
        <f t="shared" si="11"/>
        <v>40773</v>
      </c>
      <c r="E32" s="14">
        <f t="shared" si="2"/>
        <v>0</v>
      </c>
      <c r="F32" s="32">
        <f t="shared" si="12"/>
        <v>21834</v>
      </c>
      <c r="G32" s="14">
        <f t="shared" si="3"/>
        <v>0</v>
      </c>
      <c r="H32" s="32">
        <f t="shared" si="13"/>
        <v>256499</v>
      </c>
      <c r="I32" s="14">
        <f t="shared" si="4"/>
        <v>0</v>
      </c>
      <c r="J32" s="32">
        <f t="shared" si="14"/>
        <v>322799</v>
      </c>
      <c r="K32" s="14">
        <f t="shared" si="5"/>
        <v>0</v>
      </c>
      <c r="L32" s="32">
        <f t="shared" si="15"/>
        <v>26298</v>
      </c>
      <c r="M32" s="14">
        <f t="shared" si="6"/>
        <v>0</v>
      </c>
      <c r="N32" s="32">
        <f t="shared" si="16"/>
        <v>226170</v>
      </c>
      <c r="O32" s="14">
        <f t="shared" si="7"/>
        <v>0</v>
      </c>
      <c r="P32" s="32">
        <v>159014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7"/>
        <v>4020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47284</v>
      </c>
      <c r="C33" s="14">
        <f t="shared" si="1"/>
        <v>0</v>
      </c>
      <c r="D33" s="32">
        <f t="shared" si="11"/>
        <v>40773</v>
      </c>
      <c r="E33" s="14">
        <f t="shared" si="2"/>
        <v>0</v>
      </c>
      <c r="F33" s="32">
        <f t="shared" si="12"/>
        <v>21834</v>
      </c>
      <c r="G33" s="14">
        <f t="shared" si="3"/>
        <v>0</v>
      </c>
      <c r="H33" s="32">
        <f t="shared" si="13"/>
        <v>256499</v>
      </c>
      <c r="I33" s="14">
        <f t="shared" si="4"/>
        <v>0</v>
      </c>
      <c r="J33" s="32">
        <f t="shared" si="14"/>
        <v>322799</v>
      </c>
      <c r="K33" s="14">
        <f t="shared" si="5"/>
        <v>0</v>
      </c>
      <c r="L33" s="32">
        <f t="shared" si="15"/>
        <v>26298</v>
      </c>
      <c r="M33" s="14">
        <f t="shared" si="6"/>
        <v>0</v>
      </c>
      <c r="N33" s="32">
        <f t="shared" si="16"/>
        <v>226170</v>
      </c>
      <c r="O33" s="14">
        <f t="shared" si="7"/>
        <v>0</v>
      </c>
      <c r="P33" s="32">
        <v>159014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7"/>
        <v>4020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f>SUM(C3:C33)</f>
        <v>8800</v>
      </c>
      <c r="D34" s="14"/>
      <c r="E34" s="14">
        <f>SUM(E3:E33)</f>
        <v>6080</v>
      </c>
      <c r="F34" s="14"/>
      <c r="G34" s="14">
        <f>SUM(G3:G33)</f>
        <v>760</v>
      </c>
      <c r="H34" s="14"/>
      <c r="I34" s="14">
        <f>SUM(I3:I33)</f>
        <v>386</v>
      </c>
      <c r="J34" s="14"/>
      <c r="K34" s="14">
        <f>SUM(K3:K33)</f>
        <v>1769</v>
      </c>
      <c r="L34" s="14"/>
      <c r="M34" s="14">
        <f>SUM(M3:M33)</f>
        <v>1980</v>
      </c>
      <c r="N34" s="14"/>
      <c r="O34" s="14">
        <f>SUM(O3:O33)</f>
        <v>38</v>
      </c>
      <c r="P34" s="14"/>
      <c r="Q34" s="14">
        <f>SUM(Q3:Q33)</f>
        <v>430</v>
      </c>
      <c r="R34" s="14"/>
      <c r="S34" s="14">
        <f>SUM(S3:S33)</f>
        <v>0</v>
      </c>
      <c r="T34" s="14"/>
      <c r="U34" s="14">
        <f>SUM(U3:U33)</f>
        <v>800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14" sqref="A14:XFD14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>
        <v>235</v>
      </c>
      <c r="C14" s="144">
        <v>19849</v>
      </c>
      <c r="D14" s="38">
        <f t="shared" si="3"/>
        <v>640</v>
      </c>
      <c r="E14" s="145">
        <v>32010412</v>
      </c>
      <c r="F14" s="38">
        <f t="shared" si="4"/>
        <v>25942</v>
      </c>
      <c r="G14" s="146">
        <v>1892536</v>
      </c>
      <c r="H14" s="38">
        <f t="shared" si="5"/>
        <v>63967</v>
      </c>
      <c r="I14" s="147">
        <f t="shared" si="6"/>
        <v>89909</v>
      </c>
      <c r="J14" s="145">
        <v>141812</v>
      </c>
      <c r="K14" s="38">
        <f t="shared" si="14"/>
        <v>12180</v>
      </c>
      <c r="L14" s="148">
        <v>376607</v>
      </c>
      <c r="M14" s="38">
        <f t="shared" si="7"/>
        <v>7091</v>
      </c>
      <c r="N14" s="145">
        <v>6958647</v>
      </c>
      <c r="O14" s="38">
        <f t="shared" si="15"/>
        <v>18610</v>
      </c>
      <c r="P14" s="148">
        <v>7205889</v>
      </c>
      <c r="Q14" s="38">
        <f t="shared" si="8"/>
        <v>17031</v>
      </c>
      <c r="R14" s="145">
        <v>21668226</v>
      </c>
      <c r="S14" s="38">
        <f>IF((R14-R13)&lt;0,"0",(R14-R13))</f>
        <v>12612</v>
      </c>
      <c r="T14" s="145">
        <v>0</v>
      </c>
      <c r="U14" s="149"/>
      <c r="V14" s="145">
        <v>9643531</v>
      </c>
      <c r="W14" s="38">
        <f t="shared" si="10"/>
        <v>13427</v>
      </c>
      <c r="X14" s="19">
        <f t="shared" si="11"/>
        <v>80951</v>
      </c>
      <c r="Y14" s="150">
        <f t="shared" si="12"/>
        <v>8958</v>
      </c>
      <c r="Z14" s="3">
        <f t="shared" si="13"/>
        <v>11479.737380799999</v>
      </c>
      <c r="AA14" s="3">
        <f>SUM(Z1:Z14)</f>
        <v>116733.6855984</v>
      </c>
    </row>
    <row r="15" spans="1:27" ht="16.5" thickBot="1" x14ac:dyDescent="0.3">
      <c r="A15" s="9">
        <v>44755</v>
      </c>
      <c r="B15" s="38"/>
      <c r="C15" s="144">
        <f t="shared" ref="C14:C33" si="27">C14</f>
        <v>19849</v>
      </c>
      <c r="D15" s="38">
        <f t="shared" si="3"/>
        <v>0</v>
      </c>
      <c r="E15" s="145"/>
      <c r="F15" s="38" t="str">
        <f t="shared" si="4"/>
        <v>0</v>
      </c>
      <c r="G15" s="146">
        <f t="shared" ref="G14:G33" si="28">G14</f>
        <v>1892536</v>
      </c>
      <c r="H15" s="38">
        <f t="shared" si="5"/>
        <v>0</v>
      </c>
      <c r="I15" s="147">
        <f t="shared" si="6"/>
        <v>0</v>
      </c>
      <c r="J15" s="145">
        <f t="shared" ref="J14:J33" si="29">J14</f>
        <v>141812</v>
      </c>
      <c r="K15" s="38">
        <f t="shared" si="14"/>
        <v>0</v>
      </c>
      <c r="L15" s="148">
        <f t="shared" ref="L14:L33" si="30">L14</f>
        <v>376607</v>
      </c>
      <c r="M15" s="38">
        <f t="shared" si="7"/>
        <v>0</v>
      </c>
      <c r="N15" s="145">
        <f t="shared" ref="N14:N33" si="31">N14</f>
        <v>6958647</v>
      </c>
      <c r="O15" s="38">
        <f t="shared" si="15"/>
        <v>0</v>
      </c>
      <c r="P15" s="148">
        <f t="shared" ref="P14:P33" si="32">P14</f>
        <v>7205889</v>
      </c>
      <c r="Q15" s="38">
        <f t="shared" si="8"/>
        <v>0</v>
      </c>
      <c r="R15" s="145">
        <f t="shared" ref="R14:R33" si="33">R14</f>
        <v>21668226</v>
      </c>
      <c r="S15" s="38">
        <f>IF((R15-R14)&lt;0,"0",(R15-R14))</f>
        <v>0</v>
      </c>
      <c r="T15" s="145">
        <v>0</v>
      </c>
      <c r="U15" s="149"/>
      <c r="V15" s="145">
        <f t="shared" ref="V14:V33" si="34">V14</f>
        <v>9643531</v>
      </c>
      <c r="W15" s="38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116733.6855984</v>
      </c>
    </row>
    <row r="16" spans="1:27" ht="16.5" thickBot="1" x14ac:dyDescent="0.3">
      <c r="A16" s="9">
        <v>44756</v>
      </c>
      <c r="B16" s="38"/>
      <c r="C16" s="144">
        <f t="shared" si="27"/>
        <v>19849</v>
      </c>
      <c r="D16" s="38">
        <f t="shared" si="3"/>
        <v>0</v>
      </c>
      <c r="E16" s="145"/>
      <c r="F16" s="38">
        <f t="shared" si="4"/>
        <v>0</v>
      </c>
      <c r="G16" s="146">
        <f t="shared" si="28"/>
        <v>1892536</v>
      </c>
      <c r="H16" s="38">
        <f t="shared" si="5"/>
        <v>0</v>
      </c>
      <c r="I16" s="147">
        <f t="shared" si="6"/>
        <v>0</v>
      </c>
      <c r="J16" s="145">
        <f t="shared" si="29"/>
        <v>141812</v>
      </c>
      <c r="K16" s="38">
        <f t="shared" si="14"/>
        <v>0</v>
      </c>
      <c r="L16" s="148">
        <f t="shared" si="30"/>
        <v>376607</v>
      </c>
      <c r="M16" s="38">
        <f t="shared" si="7"/>
        <v>0</v>
      </c>
      <c r="N16" s="145">
        <f t="shared" si="31"/>
        <v>6958647</v>
      </c>
      <c r="O16" s="38">
        <f t="shared" si="15"/>
        <v>0</v>
      </c>
      <c r="P16" s="148">
        <f t="shared" si="32"/>
        <v>7205889</v>
      </c>
      <c r="Q16" s="38">
        <f t="shared" si="8"/>
        <v>0</v>
      </c>
      <c r="R16" s="145">
        <f t="shared" si="33"/>
        <v>21668226</v>
      </c>
      <c r="S16" s="38">
        <f t="shared" si="9"/>
        <v>0</v>
      </c>
      <c r="T16" s="145">
        <v>0</v>
      </c>
      <c r="U16" s="149"/>
      <c r="V16" s="145">
        <f t="shared" si="34"/>
        <v>9643531</v>
      </c>
      <c r="W16" s="38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116733.6855984</v>
      </c>
    </row>
    <row r="17" spans="1:27" s="130" customFormat="1" ht="16.5" thickBot="1" x14ac:dyDescent="0.3">
      <c r="A17" s="9">
        <v>44757</v>
      </c>
      <c r="B17" s="38"/>
      <c r="C17" s="144">
        <f t="shared" si="27"/>
        <v>19849</v>
      </c>
      <c r="D17" s="38">
        <f t="shared" si="3"/>
        <v>0</v>
      </c>
      <c r="E17" s="145"/>
      <c r="F17" s="38">
        <f t="shared" si="4"/>
        <v>0</v>
      </c>
      <c r="G17" s="146">
        <f t="shared" si="28"/>
        <v>1892536</v>
      </c>
      <c r="H17" s="38">
        <f t="shared" si="5"/>
        <v>0</v>
      </c>
      <c r="I17" s="151">
        <f t="shared" si="6"/>
        <v>0</v>
      </c>
      <c r="J17" s="145">
        <f t="shared" si="29"/>
        <v>141812</v>
      </c>
      <c r="K17" s="129">
        <f t="shared" si="14"/>
        <v>0</v>
      </c>
      <c r="L17" s="148">
        <f t="shared" si="30"/>
        <v>376607</v>
      </c>
      <c r="M17" s="129">
        <f t="shared" si="7"/>
        <v>0</v>
      </c>
      <c r="N17" s="145">
        <f t="shared" si="31"/>
        <v>6958647</v>
      </c>
      <c r="O17" s="129">
        <f t="shared" si="15"/>
        <v>0</v>
      </c>
      <c r="P17" s="148">
        <f t="shared" si="32"/>
        <v>7205889</v>
      </c>
      <c r="Q17" s="129">
        <f t="shared" si="8"/>
        <v>0</v>
      </c>
      <c r="R17" s="145">
        <f t="shared" si="33"/>
        <v>21668226</v>
      </c>
      <c r="S17" s="129">
        <f t="shared" si="9"/>
        <v>0</v>
      </c>
      <c r="T17" s="152">
        <v>0</v>
      </c>
      <c r="U17" s="149"/>
      <c r="V17" s="145">
        <f t="shared" si="34"/>
        <v>9643531</v>
      </c>
      <c r="W17" s="129">
        <f t="shared" si="10"/>
        <v>0</v>
      </c>
      <c r="X17" s="19">
        <f t="shared" si="11"/>
        <v>0</v>
      </c>
      <c r="Y17" s="153">
        <f t="shared" si="12"/>
        <v>0</v>
      </c>
      <c r="Z17" s="154">
        <f t="shared" si="13"/>
        <v>0</v>
      </c>
      <c r="AA17" s="3">
        <f>SUM(Z1:Z17)</f>
        <v>116733.6855984</v>
      </c>
    </row>
    <row r="18" spans="1:27" s="130" customFormat="1" ht="16.5" thickBot="1" x14ac:dyDescent="0.3">
      <c r="A18" s="9">
        <v>44758</v>
      </c>
      <c r="B18" s="38"/>
      <c r="C18" s="144">
        <f t="shared" si="27"/>
        <v>19849</v>
      </c>
      <c r="D18" s="38">
        <f t="shared" si="3"/>
        <v>0</v>
      </c>
      <c r="E18" s="145"/>
      <c r="F18" s="38">
        <f t="shared" si="4"/>
        <v>0</v>
      </c>
      <c r="G18" s="146">
        <f t="shared" si="28"/>
        <v>1892536</v>
      </c>
      <c r="H18" s="38">
        <f t="shared" si="5"/>
        <v>0</v>
      </c>
      <c r="I18" s="151">
        <f t="shared" si="6"/>
        <v>0</v>
      </c>
      <c r="J18" s="145">
        <f t="shared" si="29"/>
        <v>141812</v>
      </c>
      <c r="K18" s="129">
        <f t="shared" si="14"/>
        <v>0</v>
      </c>
      <c r="L18" s="148">
        <f t="shared" si="30"/>
        <v>376607</v>
      </c>
      <c r="M18" s="129">
        <f t="shared" si="7"/>
        <v>0</v>
      </c>
      <c r="N18" s="145">
        <f t="shared" si="31"/>
        <v>6958647</v>
      </c>
      <c r="O18" s="129">
        <f t="shared" si="15"/>
        <v>0</v>
      </c>
      <c r="P18" s="148">
        <f t="shared" si="32"/>
        <v>7205889</v>
      </c>
      <c r="Q18" s="129">
        <f t="shared" si="8"/>
        <v>0</v>
      </c>
      <c r="R18" s="145">
        <f t="shared" si="33"/>
        <v>21668226</v>
      </c>
      <c r="S18" s="129">
        <f t="shared" si="9"/>
        <v>0</v>
      </c>
      <c r="T18" s="152">
        <v>0</v>
      </c>
      <c r="U18" s="149"/>
      <c r="V18" s="145">
        <f t="shared" si="34"/>
        <v>9643531</v>
      </c>
      <c r="W18" s="129">
        <f t="shared" si="10"/>
        <v>0</v>
      </c>
      <c r="X18" s="19">
        <f t="shared" si="11"/>
        <v>0</v>
      </c>
      <c r="Y18" s="153">
        <f t="shared" si="12"/>
        <v>0</v>
      </c>
      <c r="Z18" s="154">
        <f t="shared" si="13"/>
        <v>0</v>
      </c>
      <c r="AA18" s="3">
        <f>SUM(Z1:Z18)</f>
        <v>116733.6855984</v>
      </c>
    </row>
    <row r="19" spans="1:27" s="130" customFormat="1" ht="16.5" thickBot="1" x14ac:dyDescent="0.3">
      <c r="A19" s="9">
        <v>44759</v>
      </c>
      <c r="B19" s="38"/>
      <c r="C19" s="144">
        <f t="shared" si="27"/>
        <v>19849</v>
      </c>
      <c r="D19" s="38">
        <f t="shared" si="3"/>
        <v>0</v>
      </c>
      <c r="E19" s="145"/>
      <c r="F19" s="38">
        <f t="shared" si="4"/>
        <v>0</v>
      </c>
      <c r="G19" s="146">
        <f t="shared" si="28"/>
        <v>1892536</v>
      </c>
      <c r="H19" s="38">
        <f t="shared" si="5"/>
        <v>0</v>
      </c>
      <c r="I19" s="151">
        <f t="shared" si="6"/>
        <v>0</v>
      </c>
      <c r="J19" s="145">
        <f t="shared" si="29"/>
        <v>141812</v>
      </c>
      <c r="K19" s="129">
        <f t="shared" si="14"/>
        <v>0</v>
      </c>
      <c r="L19" s="148">
        <f t="shared" si="30"/>
        <v>376607</v>
      </c>
      <c r="M19" s="129">
        <f t="shared" si="7"/>
        <v>0</v>
      </c>
      <c r="N19" s="145">
        <f t="shared" si="31"/>
        <v>6958647</v>
      </c>
      <c r="O19" s="129">
        <f t="shared" si="15"/>
        <v>0</v>
      </c>
      <c r="P19" s="148">
        <f t="shared" si="32"/>
        <v>7205889</v>
      </c>
      <c r="Q19" s="129">
        <f t="shared" si="8"/>
        <v>0</v>
      </c>
      <c r="R19" s="145">
        <f t="shared" si="33"/>
        <v>21668226</v>
      </c>
      <c r="S19" s="129">
        <f t="shared" si="9"/>
        <v>0</v>
      </c>
      <c r="T19" s="152">
        <v>0</v>
      </c>
      <c r="U19" s="149"/>
      <c r="V19" s="145">
        <f t="shared" si="34"/>
        <v>9643531</v>
      </c>
      <c r="W19" s="129">
        <f t="shared" si="10"/>
        <v>0</v>
      </c>
      <c r="X19" s="19">
        <f t="shared" si="11"/>
        <v>0</v>
      </c>
      <c r="Y19" s="153">
        <f t="shared" si="12"/>
        <v>0</v>
      </c>
      <c r="Z19" s="154">
        <f t="shared" si="13"/>
        <v>0</v>
      </c>
      <c r="AA19" s="3">
        <f>SUM(Z1:Z19)</f>
        <v>116733.6855984</v>
      </c>
    </row>
    <row r="20" spans="1:27" s="130" customFormat="1" ht="16.5" thickBot="1" x14ac:dyDescent="0.3">
      <c r="A20" s="9">
        <v>44760</v>
      </c>
      <c r="B20" s="38"/>
      <c r="C20" s="144">
        <f t="shared" si="27"/>
        <v>19849</v>
      </c>
      <c r="D20" s="38">
        <f t="shared" si="3"/>
        <v>0</v>
      </c>
      <c r="E20" s="145"/>
      <c r="F20" s="38">
        <f t="shared" si="4"/>
        <v>0</v>
      </c>
      <c r="G20" s="146">
        <f t="shared" si="28"/>
        <v>1892536</v>
      </c>
      <c r="H20" s="38">
        <f t="shared" si="5"/>
        <v>0</v>
      </c>
      <c r="I20" s="151">
        <f t="shared" si="6"/>
        <v>0</v>
      </c>
      <c r="J20" s="145">
        <f t="shared" si="29"/>
        <v>141812</v>
      </c>
      <c r="K20" s="129">
        <f t="shared" si="14"/>
        <v>0</v>
      </c>
      <c r="L20" s="148">
        <f t="shared" si="30"/>
        <v>376607</v>
      </c>
      <c r="M20" s="129">
        <f t="shared" si="7"/>
        <v>0</v>
      </c>
      <c r="N20" s="145">
        <f t="shared" si="31"/>
        <v>6958647</v>
      </c>
      <c r="O20" s="129">
        <f t="shared" si="15"/>
        <v>0</v>
      </c>
      <c r="P20" s="148">
        <f t="shared" si="32"/>
        <v>7205889</v>
      </c>
      <c r="Q20" s="129">
        <f t="shared" si="8"/>
        <v>0</v>
      </c>
      <c r="R20" s="145">
        <f t="shared" si="33"/>
        <v>21668226</v>
      </c>
      <c r="S20" s="129">
        <f t="shared" si="9"/>
        <v>0</v>
      </c>
      <c r="T20" s="152">
        <v>0</v>
      </c>
      <c r="U20" s="149"/>
      <c r="V20" s="145">
        <f t="shared" si="34"/>
        <v>9643531</v>
      </c>
      <c r="W20" s="129">
        <f t="shared" si="10"/>
        <v>0</v>
      </c>
      <c r="X20" s="19">
        <f t="shared" si="11"/>
        <v>0</v>
      </c>
      <c r="Y20" s="153">
        <f t="shared" si="12"/>
        <v>0</v>
      </c>
      <c r="Z20" s="154">
        <f t="shared" si="13"/>
        <v>0</v>
      </c>
      <c r="AA20" s="3">
        <f>SUM(Z1:Z20)</f>
        <v>116733.6855984</v>
      </c>
    </row>
    <row r="21" spans="1:27" s="130" customFormat="1" ht="16.5" thickBot="1" x14ac:dyDescent="0.3">
      <c r="A21" s="9">
        <v>44761</v>
      </c>
      <c r="B21" s="38"/>
      <c r="C21" s="144">
        <f t="shared" si="27"/>
        <v>19849</v>
      </c>
      <c r="D21" s="38">
        <f t="shared" si="3"/>
        <v>0</v>
      </c>
      <c r="E21" s="145"/>
      <c r="F21" s="38">
        <f t="shared" si="4"/>
        <v>0</v>
      </c>
      <c r="G21" s="146">
        <f t="shared" si="28"/>
        <v>1892536</v>
      </c>
      <c r="H21" s="38">
        <f t="shared" si="5"/>
        <v>0</v>
      </c>
      <c r="I21" s="151">
        <f t="shared" si="6"/>
        <v>0</v>
      </c>
      <c r="J21" s="145">
        <f t="shared" si="29"/>
        <v>141812</v>
      </c>
      <c r="K21" s="129">
        <f t="shared" si="14"/>
        <v>0</v>
      </c>
      <c r="L21" s="148">
        <f t="shared" si="30"/>
        <v>376607</v>
      </c>
      <c r="M21" s="129">
        <f t="shared" si="7"/>
        <v>0</v>
      </c>
      <c r="N21" s="145">
        <f t="shared" si="31"/>
        <v>6958647</v>
      </c>
      <c r="O21" s="129">
        <f t="shared" si="15"/>
        <v>0</v>
      </c>
      <c r="P21" s="148">
        <f t="shared" si="32"/>
        <v>7205889</v>
      </c>
      <c r="Q21" s="129">
        <f t="shared" si="8"/>
        <v>0</v>
      </c>
      <c r="R21" s="145">
        <f t="shared" si="33"/>
        <v>21668226</v>
      </c>
      <c r="S21" s="129">
        <f t="shared" si="9"/>
        <v>0</v>
      </c>
      <c r="T21" s="152">
        <v>0</v>
      </c>
      <c r="U21" s="149"/>
      <c r="V21" s="145">
        <f t="shared" si="34"/>
        <v>9643531</v>
      </c>
      <c r="W21" s="129">
        <f t="shared" si="10"/>
        <v>0</v>
      </c>
      <c r="X21" s="19">
        <f t="shared" si="11"/>
        <v>0</v>
      </c>
      <c r="Y21" s="153">
        <f t="shared" si="12"/>
        <v>0</v>
      </c>
      <c r="Z21" s="154">
        <f t="shared" si="13"/>
        <v>0</v>
      </c>
      <c r="AA21" s="3">
        <f>SUM(Z1:Z21)</f>
        <v>116733.6855984</v>
      </c>
    </row>
    <row r="22" spans="1:27" ht="16.5" thickBot="1" x14ac:dyDescent="0.3">
      <c r="A22" s="9">
        <v>44762</v>
      </c>
      <c r="B22" s="38"/>
      <c r="C22" s="144">
        <f t="shared" si="27"/>
        <v>19849</v>
      </c>
      <c r="D22" s="38">
        <f t="shared" si="3"/>
        <v>0</v>
      </c>
      <c r="E22" s="145"/>
      <c r="F22" s="38">
        <f t="shared" si="4"/>
        <v>0</v>
      </c>
      <c r="G22" s="146">
        <f t="shared" si="28"/>
        <v>1892536</v>
      </c>
      <c r="H22" s="38">
        <f t="shared" si="5"/>
        <v>0</v>
      </c>
      <c r="I22" s="147">
        <f t="shared" si="6"/>
        <v>0</v>
      </c>
      <c r="J22" s="145">
        <f t="shared" si="29"/>
        <v>141812</v>
      </c>
      <c r="K22" s="129">
        <f t="shared" si="14"/>
        <v>0</v>
      </c>
      <c r="L22" s="148">
        <f t="shared" si="30"/>
        <v>376607</v>
      </c>
      <c r="M22" s="38">
        <f t="shared" si="7"/>
        <v>0</v>
      </c>
      <c r="N22" s="145">
        <f t="shared" si="31"/>
        <v>6958647</v>
      </c>
      <c r="O22" s="38">
        <f t="shared" si="15"/>
        <v>0</v>
      </c>
      <c r="P22" s="148">
        <f t="shared" si="32"/>
        <v>7205889</v>
      </c>
      <c r="Q22" s="38">
        <f t="shared" si="8"/>
        <v>0</v>
      </c>
      <c r="R22" s="145">
        <f t="shared" si="33"/>
        <v>21668226</v>
      </c>
      <c r="S22" s="38">
        <f t="shared" si="9"/>
        <v>0</v>
      </c>
      <c r="T22" s="145">
        <v>0</v>
      </c>
      <c r="U22" s="149"/>
      <c r="V22" s="145">
        <f t="shared" si="34"/>
        <v>9643531</v>
      </c>
      <c r="W22" s="38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116733.6855984</v>
      </c>
    </row>
    <row r="23" spans="1:27" ht="16.5" thickBot="1" x14ac:dyDescent="0.3">
      <c r="A23" s="9">
        <v>44763</v>
      </c>
      <c r="B23" s="38"/>
      <c r="C23" s="144">
        <f t="shared" si="27"/>
        <v>19849</v>
      </c>
      <c r="D23" s="38">
        <f t="shared" si="3"/>
        <v>0</v>
      </c>
      <c r="E23" s="145"/>
      <c r="F23" s="38">
        <f t="shared" si="4"/>
        <v>0</v>
      </c>
      <c r="G23" s="146">
        <f t="shared" si="28"/>
        <v>1892536</v>
      </c>
      <c r="H23" s="38">
        <f t="shared" si="5"/>
        <v>0</v>
      </c>
      <c r="I23" s="147">
        <f t="shared" si="6"/>
        <v>0</v>
      </c>
      <c r="J23" s="145">
        <f t="shared" si="29"/>
        <v>141812</v>
      </c>
      <c r="K23" s="129">
        <f t="shared" si="14"/>
        <v>0</v>
      </c>
      <c r="L23" s="148">
        <f t="shared" si="30"/>
        <v>376607</v>
      </c>
      <c r="M23" s="38">
        <f t="shared" si="7"/>
        <v>0</v>
      </c>
      <c r="N23" s="145">
        <f t="shared" si="31"/>
        <v>6958647</v>
      </c>
      <c r="O23" s="38">
        <f t="shared" si="15"/>
        <v>0</v>
      </c>
      <c r="P23" s="148">
        <f t="shared" si="32"/>
        <v>7205889</v>
      </c>
      <c r="Q23" s="38">
        <f t="shared" si="8"/>
        <v>0</v>
      </c>
      <c r="R23" s="145">
        <f t="shared" si="33"/>
        <v>21668226</v>
      </c>
      <c r="S23" s="38">
        <f t="shared" si="9"/>
        <v>0</v>
      </c>
      <c r="T23" s="145">
        <v>0</v>
      </c>
      <c r="U23" s="149"/>
      <c r="V23" s="145">
        <f t="shared" si="34"/>
        <v>9643531</v>
      </c>
      <c r="W23" s="38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116733.6855984</v>
      </c>
    </row>
    <row r="24" spans="1:27" ht="16.5" thickBot="1" x14ac:dyDescent="0.3">
      <c r="A24" s="9">
        <v>44764</v>
      </c>
      <c r="B24" s="38"/>
      <c r="C24" s="144">
        <f t="shared" si="27"/>
        <v>19849</v>
      </c>
      <c r="D24" s="38">
        <f t="shared" si="3"/>
        <v>0</v>
      </c>
      <c r="E24" s="145"/>
      <c r="F24" s="38">
        <f t="shared" si="4"/>
        <v>0</v>
      </c>
      <c r="G24" s="146">
        <f t="shared" si="28"/>
        <v>1892536</v>
      </c>
      <c r="H24" s="38">
        <f t="shared" si="5"/>
        <v>0</v>
      </c>
      <c r="I24" s="147">
        <f t="shared" si="6"/>
        <v>0</v>
      </c>
      <c r="J24" s="145">
        <f t="shared" si="29"/>
        <v>141812</v>
      </c>
      <c r="K24" s="129">
        <f t="shared" si="14"/>
        <v>0</v>
      </c>
      <c r="L24" s="148">
        <f t="shared" si="30"/>
        <v>376607</v>
      </c>
      <c r="M24" s="38">
        <f t="shared" si="7"/>
        <v>0</v>
      </c>
      <c r="N24" s="145">
        <f t="shared" si="31"/>
        <v>6958647</v>
      </c>
      <c r="O24" s="38">
        <f t="shared" si="15"/>
        <v>0</v>
      </c>
      <c r="P24" s="148">
        <f t="shared" si="32"/>
        <v>7205889</v>
      </c>
      <c r="Q24" s="38">
        <f t="shared" si="8"/>
        <v>0</v>
      </c>
      <c r="R24" s="145">
        <f t="shared" si="33"/>
        <v>21668226</v>
      </c>
      <c r="S24" s="38">
        <f t="shared" si="9"/>
        <v>0</v>
      </c>
      <c r="T24" s="145">
        <v>0</v>
      </c>
      <c r="U24" s="149"/>
      <c r="V24" s="145">
        <f t="shared" si="34"/>
        <v>9643531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116733.6855984</v>
      </c>
    </row>
    <row r="25" spans="1:27" ht="16.5" thickBot="1" x14ac:dyDescent="0.3">
      <c r="A25" s="9">
        <v>44765</v>
      </c>
      <c r="B25" s="38"/>
      <c r="C25" s="144">
        <f t="shared" si="27"/>
        <v>19849</v>
      </c>
      <c r="D25" s="38">
        <f t="shared" si="3"/>
        <v>0</v>
      </c>
      <c r="E25" s="145"/>
      <c r="F25" s="38">
        <f t="shared" si="4"/>
        <v>0</v>
      </c>
      <c r="G25" s="146">
        <f t="shared" si="28"/>
        <v>1892536</v>
      </c>
      <c r="H25" s="38">
        <f t="shared" si="5"/>
        <v>0</v>
      </c>
      <c r="I25" s="147">
        <f t="shared" si="6"/>
        <v>0</v>
      </c>
      <c r="J25" s="145">
        <f t="shared" si="29"/>
        <v>141812</v>
      </c>
      <c r="K25" s="129">
        <f t="shared" si="14"/>
        <v>0</v>
      </c>
      <c r="L25" s="148">
        <f t="shared" si="30"/>
        <v>376607</v>
      </c>
      <c r="M25" s="38">
        <f t="shared" si="7"/>
        <v>0</v>
      </c>
      <c r="N25" s="145">
        <f t="shared" si="31"/>
        <v>6958647</v>
      </c>
      <c r="O25" s="38">
        <f t="shared" si="15"/>
        <v>0</v>
      </c>
      <c r="P25" s="148">
        <f t="shared" si="32"/>
        <v>7205889</v>
      </c>
      <c r="Q25" s="38">
        <f t="shared" si="8"/>
        <v>0</v>
      </c>
      <c r="R25" s="145">
        <f t="shared" si="33"/>
        <v>21668226</v>
      </c>
      <c r="S25" s="38">
        <f t="shared" si="9"/>
        <v>0</v>
      </c>
      <c r="T25" s="145">
        <v>0</v>
      </c>
      <c r="U25" s="149"/>
      <c r="V25" s="145">
        <f t="shared" si="34"/>
        <v>9643531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116733.6855984</v>
      </c>
    </row>
    <row r="26" spans="1:27" ht="16.5" thickBot="1" x14ac:dyDescent="0.3">
      <c r="A26" s="9">
        <v>44766</v>
      </c>
      <c r="B26" s="38"/>
      <c r="C26" s="144">
        <f t="shared" si="27"/>
        <v>19849</v>
      </c>
      <c r="D26" s="38">
        <f t="shared" si="3"/>
        <v>0</v>
      </c>
      <c r="E26" s="145"/>
      <c r="F26" s="38">
        <f t="shared" si="4"/>
        <v>0</v>
      </c>
      <c r="G26" s="146">
        <f t="shared" si="28"/>
        <v>1892536</v>
      </c>
      <c r="H26" s="38">
        <f t="shared" si="5"/>
        <v>0</v>
      </c>
      <c r="I26" s="147">
        <f t="shared" si="6"/>
        <v>0</v>
      </c>
      <c r="J26" s="145">
        <f t="shared" si="29"/>
        <v>141812</v>
      </c>
      <c r="K26" s="129">
        <f t="shared" si="14"/>
        <v>0</v>
      </c>
      <c r="L26" s="148">
        <f t="shared" si="30"/>
        <v>376607</v>
      </c>
      <c r="M26" s="38">
        <f t="shared" si="7"/>
        <v>0</v>
      </c>
      <c r="N26" s="145">
        <f t="shared" si="31"/>
        <v>6958647</v>
      </c>
      <c r="O26" s="38">
        <f t="shared" si="15"/>
        <v>0</v>
      </c>
      <c r="P26" s="148">
        <f t="shared" si="32"/>
        <v>7205889</v>
      </c>
      <c r="Q26" s="38">
        <f t="shared" si="8"/>
        <v>0</v>
      </c>
      <c r="R26" s="145">
        <f t="shared" si="33"/>
        <v>21668226</v>
      </c>
      <c r="S26" s="38">
        <f t="shared" si="9"/>
        <v>0</v>
      </c>
      <c r="T26" s="145">
        <v>0</v>
      </c>
      <c r="U26" s="149"/>
      <c r="V26" s="145">
        <f t="shared" si="34"/>
        <v>9643531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116733.6855984</v>
      </c>
    </row>
    <row r="27" spans="1:27" ht="16.5" thickBot="1" x14ac:dyDescent="0.3">
      <c r="A27" s="9">
        <v>44767</v>
      </c>
      <c r="B27" s="38"/>
      <c r="C27" s="144">
        <f t="shared" si="27"/>
        <v>19849</v>
      </c>
      <c r="D27" s="38">
        <f t="shared" si="3"/>
        <v>0</v>
      </c>
      <c r="E27" s="145"/>
      <c r="F27" s="38">
        <f t="shared" si="4"/>
        <v>0</v>
      </c>
      <c r="G27" s="146">
        <f t="shared" si="28"/>
        <v>1892536</v>
      </c>
      <c r="H27" s="38">
        <f t="shared" si="5"/>
        <v>0</v>
      </c>
      <c r="I27" s="147">
        <f t="shared" si="6"/>
        <v>0</v>
      </c>
      <c r="J27" s="145">
        <f t="shared" si="29"/>
        <v>141812</v>
      </c>
      <c r="K27" s="129">
        <f t="shared" si="14"/>
        <v>0</v>
      </c>
      <c r="L27" s="148">
        <f t="shared" si="30"/>
        <v>376607</v>
      </c>
      <c r="M27" s="38">
        <f t="shared" si="7"/>
        <v>0</v>
      </c>
      <c r="N27" s="145">
        <f t="shared" si="31"/>
        <v>6958647</v>
      </c>
      <c r="O27" s="38">
        <f t="shared" si="15"/>
        <v>0</v>
      </c>
      <c r="P27" s="148">
        <f t="shared" si="32"/>
        <v>7205889</v>
      </c>
      <c r="Q27" s="38">
        <f t="shared" si="8"/>
        <v>0</v>
      </c>
      <c r="R27" s="145">
        <f t="shared" si="33"/>
        <v>21668226</v>
      </c>
      <c r="S27" s="38">
        <f t="shared" si="9"/>
        <v>0</v>
      </c>
      <c r="T27" s="145">
        <v>0</v>
      </c>
      <c r="U27" s="149"/>
      <c r="V27" s="145">
        <f t="shared" si="34"/>
        <v>9643531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116733.6855984</v>
      </c>
    </row>
    <row r="28" spans="1:27" ht="16.5" thickBot="1" x14ac:dyDescent="0.3">
      <c r="A28" s="9">
        <v>44768</v>
      </c>
      <c r="B28" s="38"/>
      <c r="C28" s="144">
        <f t="shared" si="27"/>
        <v>19849</v>
      </c>
      <c r="D28" s="38">
        <f t="shared" si="3"/>
        <v>0</v>
      </c>
      <c r="E28" s="145"/>
      <c r="F28" s="38">
        <f t="shared" si="4"/>
        <v>0</v>
      </c>
      <c r="G28" s="146">
        <f t="shared" si="28"/>
        <v>1892536</v>
      </c>
      <c r="H28" s="38">
        <f t="shared" si="5"/>
        <v>0</v>
      </c>
      <c r="I28" s="147">
        <f t="shared" si="6"/>
        <v>0</v>
      </c>
      <c r="J28" s="145">
        <f t="shared" si="29"/>
        <v>141812</v>
      </c>
      <c r="K28" s="129">
        <f t="shared" si="14"/>
        <v>0</v>
      </c>
      <c r="L28" s="148">
        <f t="shared" si="30"/>
        <v>376607</v>
      </c>
      <c r="M28" s="38">
        <f t="shared" si="7"/>
        <v>0</v>
      </c>
      <c r="N28" s="145">
        <f t="shared" si="31"/>
        <v>6958647</v>
      </c>
      <c r="O28" s="38">
        <f t="shared" si="15"/>
        <v>0</v>
      </c>
      <c r="P28" s="148">
        <f t="shared" si="32"/>
        <v>7205889</v>
      </c>
      <c r="Q28" s="38">
        <f t="shared" si="8"/>
        <v>0</v>
      </c>
      <c r="R28" s="145">
        <f t="shared" si="33"/>
        <v>21668226</v>
      </c>
      <c r="S28" s="38">
        <f t="shared" si="9"/>
        <v>0</v>
      </c>
      <c r="T28" s="145">
        <v>0</v>
      </c>
      <c r="U28" s="149"/>
      <c r="V28" s="145">
        <f t="shared" si="34"/>
        <v>9643531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116733.6855984</v>
      </c>
    </row>
    <row r="29" spans="1:27" ht="16.5" thickBot="1" x14ac:dyDescent="0.3">
      <c r="A29" s="9">
        <v>44769</v>
      </c>
      <c r="B29" s="38"/>
      <c r="C29" s="144">
        <f t="shared" si="27"/>
        <v>19849</v>
      </c>
      <c r="D29" s="38">
        <f t="shared" si="3"/>
        <v>0</v>
      </c>
      <c r="E29" s="145"/>
      <c r="F29" s="38">
        <f t="shared" si="4"/>
        <v>0</v>
      </c>
      <c r="G29" s="146">
        <f t="shared" si="28"/>
        <v>1892536</v>
      </c>
      <c r="H29" s="38">
        <f t="shared" si="5"/>
        <v>0</v>
      </c>
      <c r="I29" s="147">
        <f t="shared" si="6"/>
        <v>0</v>
      </c>
      <c r="J29" s="145">
        <f t="shared" si="29"/>
        <v>141812</v>
      </c>
      <c r="K29" s="129">
        <f t="shared" si="14"/>
        <v>0</v>
      </c>
      <c r="L29" s="148">
        <f t="shared" si="30"/>
        <v>376607</v>
      </c>
      <c r="M29" s="38">
        <f t="shared" si="7"/>
        <v>0</v>
      </c>
      <c r="N29" s="145">
        <f t="shared" si="31"/>
        <v>6958647</v>
      </c>
      <c r="O29" s="38">
        <f t="shared" si="15"/>
        <v>0</v>
      </c>
      <c r="P29" s="148">
        <f t="shared" si="32"/>
        <v>7205889</v>
      </c>
      <c r="Q29" s="38">
        <f t="shared" si="8"/>
        <v>0</v>
      </c>
      <c r="R29" s="145">
        <f t="shared" si="33"/>
        <v>21668226</v>
      </c>
      <c r="S29" s="38">
        <f t="shared" si="9"/>
        <v>0</v>
      </c>
      <c r="T29" s="145">
        <v>0</v>
      </c>
      <c r="U29" s="149"/>
      <c r="V29" s="145">
        <f t="shared" si="34"/>
        <v>9643531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116733.6855984</v>
      </c>
    </row>
    <row r="30" spans="1:27" ht="16.5" thickBot="1" x14ac:dyDescent="0.3">
      <c r="A30" s="9">
        <v>44770</v>
      </c>
      <c r="B30" s="38"/>
      <c r="C30" s="144">
        <f t="shared" si="27"/>
        <v>19849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28"/>
        <v>1892536</v>
      </c>
      <c r="H30" s="38">
        <f t="shared" si="5"/>
        <v>0</v>
      </c>
      <c r="I30" s="147">
        <f t="shared" si="6"/>
        <v>0</v>
      </c>
      <c r="J30" s="145">
        <f t="shared" si="29"/>
        <v>141812</v>
      </c>
      <c r="K30" s="129">
        <f t="shared" si="14"/>
        <v>0</v>
      </c>
      <c r="L30" s="148">
        <f t="shared" si="30"/>
        <v>376607</v>
      </c>
      <c r="M30" s="38">
        <f>IF((L30-L29)&lt;0,"0",(L30-L29))</f>
        <v>0</v>
      </c>
      <c r="N30" s="145">
        <f t="shared" si="31"/>
        <v>6958647</v>
      </c>
      <c r="O30" s="38">
        <f>(IF((N30-N29)&lt;0,"0",(N30-N29)))*2</f>
        <v>0</v>
      </c>
      <c r="P30" s="148">
        <f t="shared" si="32"/>
        <v>7205889</v>
      </c>
      <c r="Q30" s="38">
        <f>IF((P30-P29)&lt;0,"0",(P30-P29))</f>
        <v>0</v>
      </c>
      <c r="R30" s="145">
        <f t="shared" si="33"/>
        <v>21668226</v>
      </c>
      <c r="S30" s="38">
        <f>IF((R30-R29)&lt;0,"0",(R30-R29))</f>
        <v>0</v>
      </c>
      <c r="T30" s="145">
        <v>0</v>
      </c>
      <c r="U30" s="149"/>
      <c r="V30" s="145">
        <f t="shared" si="34"/>
        <v>9643531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116733.6855984</v>
      </c>
    </row>
    <row r="31" spans="1:27" ht="16.5" thickBot="1" x14ac:dyDescent="0.3">
      <c r="A31" s="9">
        <v>44771</v>
      </c>
      <c r="B31" s="38"/>
      <c r="C31" s="144">
        <f t="shared" si="27"/>
        <v>19849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1892536</v>
      </c>
      <c r="H31" s="38">
        <f t="shared" si="5"/>
        <v>0</v>
      </c>
      <c r="I31" s="147">
        <f t="shared" ref="I31:I33" si="37">F31+H31</f>
        <v>0</v>
      </c>
      <c r="J31" s="145">
        <f t="shared" si="29"/>
        <v>141812</v>
      </c>
      <c r="K31" s="129">
        <f t="shared" si="14"/>
        <v>0</v>
      </c>
      <c r="L31" s="148">
        <f t="shared" si="30"/>
        <v>376607</v>
      </c>
      <c r="M31" s="38">
        <f t="shared" ref="M31:M33" si="38">IF((L31-L30)&lt;0,"0",(L31-L30))</f>
        <v>0</v>
      </c>
      <c r="N31" s="145">
        <f t="shared" si="31"/>
        <v>6958647</v>
      </c>
      <c r="O31" s="38">
        <f t="shared" ref="O31:O33" si="39">(IF((N31-N30)&lt;0,"0",(N31-N30)))*2</f>
        <v>0</v>
      </c>
      <c r="P31" s="148">
        <f t="shared" si="32"/>
        <v>7205889</v>
      </c>
      <c r="Q31" s="38">
        <f t="shared" ref="Q31:Q33" si="40">IF((P31-P30)&lt;0,"0",(P31-P30))</f>
        <v>0</v>
      </c>
      <c r="R31" s="145">
        <f t="shared" si="33"/>
        <v>21668226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4"/>
        <v>9643531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116733.6855984</v>
      </c>
    </row>
    <row r="32" spans="1:27" ht="16.5" thickBot="1" x14ac:dyDescent="0.3">
      <c r="A32" s="9">
        <v>44772</v>
      </c>
      <c r="B32" s="38"/>
      <c r="C32" s="144">
        <f t="shared" si="27"/>
        <v>19849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1892536</v>
      </c>
      <c r="H32" s="38">
        <f t="shared" si="5"/>
        <v>0</v>
      </c>
      <c r="I32" s="147">
        <f t="shared" si="37"/>
        <v>0</v>
      </c>
      <c r="J32" s="145">
        <f t="shared" si="29"/>
        <v>141812</v>
      </c>
      <c r="K32" s="129">
        <f t="shared" si="14"/>
        <v>0</v>
      </c>
      <c r="L32" s="148">
        <f t="shared" si="30"/>
        <v>376607</v>
      </c>
      <c r="M32" s="38">
        <f t="shared" si="38"/>
        <v>0</v>
      </c>
      <c r="N32" s="145">
        <f t="shared" si="31"/>
        <v>6958647</v>
      </c>
      <c r="O32" s="38">
        <f t="shared" si="39"/>
        <v>0</v>
      </c>
      <c r="P32" s="148">
        <f t="shared" si="32"/>
        <v>7205889</v>
      </c>
      <c r="Q32" s="38">
        <f t="shared" si="40"/>
        <v>0</v>
      </c>
      <c r="R32" s="145">
        <f t="shared" si="33"/>
        <v>21668226</v>
      </c>
      <c r="S32" s="38">
        <f t="shared" si="41"/>
        <v>0</v>
      </c>
      <c r="T32" s="145">
        <v>0</v>
      </c>
      <c r="U32" s="149"/>
      <c r="V32" s="145">
        <f t="shared" si="34"/>
        <v>9643531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116733.6855984</v>
      </c>
    </row>
    <row r="33" spans="1:27" ht="16.5" thickBot="1" x14ac:dyDescent="0.3">
      <c r="A33" s="9">
        <v>44773</v>
      </c>
      <c r="B33" s="38"/>
      <c r="C33" s="144">
        <f t="shared" si="27"/>
        <v>19849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1892536</v>
      </c>
      <c r="H33" s="38">
        <f t="shared" si="5"/>
        <v>0</v>
      </c>
      <c r="I33" s="147">
        <f t="shared" si="37"/>
        <v>0</v>
      </c>
      <c r="J33" s="145">
        <f t="shared" si="29"/>
        <v>141812</v>
      </c>
      <c r="K33" s="129">
        <f t="shared" si="14"/>
        <v>0</v>
      </c>
      <c r="L33" s="148">
        <f t="shared" si="30"/>
        <v>376607</v>
      </c>
      <c r="M33" s="38">
        <f t="shared" si="38"/>
        <v>0</v>
      </c>
      <c r="N33" s="145">
        <f t="shared" si="31"/>
        <v>6958647</v>
      </c>
      <c r="O33" s="38">
        <f t="shared" si="39"/>
        <v>0</v>
      </c>
      <c r="P33" s="148">
        <f t="shared" si="32"/>
        <v>7205889</v>
      </c>
      <c r="Q33" s="38">
        <f t="shared" si="40"/>
        <v>0</v>
      </c>
      <c r="R33" s="145">
        <f t="shared" si="33"/>
        <v>21668226</v>
      </c>
      <c r="S33" s="38">
        <f t="shared" si="41"/>
        <v>0</v>
      </c>
      <c r="T33" s="145">
        <v>0</v>
      </c>
      <c r="U33" s="55"/>
      <c r="V33" s="145">
        <f t="shared" si="34"/>
        <v>9643531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116733.6855984</v>
      </c>
    </row>
    <row r="34" spans="1:27" ht="16.5" thickBot="1" x14ac:dyDescent="0.3">
      <c r="A34" s="136" t="s">
        <v>23</v>
      </c>
      <c r="B34" s="136">
        <f>SUM(B3:B33)</f>
        <v>2145</v>
      </c>
      <c r="C34" s="136">
        <v>0</v>
      </c>
      <c r="D34" s="136">
        <f>SUM(D3:D33)</f>
        <v>8000</v>
      </c>
      <c r="E34" s="55">
        <v>0</v>
      </c>
      <c r="F34" s="136">
        <f>SUM(F3:F33)</f>
        <v>270154</v>
      </c>
      <c r="G34" s="55">
        <v>0</v>
      </c>
      <c r="H34" s="136">
        <f>SUM(H3:H33)</f>
        <v>657886</v>
      </c>
      <c r="I34" s="55">
        <v>92693</v>
      </c>
      <c r="J34" s="55">
        <v>0</v>
      </c>
      <c r="K34" s="136">
        <f>SUM(K3:K33)</f>
        <v>135560</v>
      </c>
      <c r="L34" s="55">
        <v>0</v>
      </c>
      <c r="M34" s="136">
        <f>SUM(M3:M33)</f>
        <v>80124</v>
      </c>
      <c r="N34" s="55">
        <v>0</v>
      </c>
      <c r="O34" s="136">
        <f>SUM(O3:O33)</f>
        <v>187632</v>
      </c>
      <c r="P34" s="55">
        <v>0</v>
      </c>
      <c r="Q34" s="136">
        <f>SUM(Q3:Q33)</f>
        <v>171227</v>
      </c>
      <c r="R34" s="55">
        <v>0</v>
      </c>
      <c r="S34" s="136">
        <f>SUM(S3:S33)</f>
        <v>127973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138934</v>
      </c>
      <c r="X34" s="136">
        <f>SUM(X3:X33)</f>
        <v>841450</v>
      </c>
      <c r="Y34" s="136">
        <f>SUM(Y3:Y33)</f>
        <v>86590</v>
      </c>
      <c r="Z34" s="136">
        <f>SUM(Z3:Z33)</f>
        <v>116733.6855984</v>
      </c>
      <c r="AA34" s="136">
        <f>SUM(AA3:AA33)</f>
        <v>2980766.3304847996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>
        <v>454595</v>
      </c>
      <c r="C14" s="38">
        <f t="shared" si="7"/>
        <v>1100</v>
      </c>
      <c r="D14" s="3">
        <v>10770</v>
      </c>
      <c r="E14" s="38">
        <f t="shared" si="2"/>
        <v>450</v>
      </c>
      <c r="F14" s="3">
        <v>10114500</v>
      </c>
      <c r="G14" s="38">
        <f t="shared" si="5"/>
        <v>556.20000000000005</v>
      </c>
      <c r="H14" s="3">
        <v>801494</v>
      </c>
      <c r="I14" s="43">
        <f t="shared" si="6"/>
        <v>4.6710000000000003</v>
      </c>
      <c r="J14" s="19">
        <f t="shared" si="3"/>
        <v>2110.8709999999996</v>
      </c>
      <c r="K14" s="20">
        <f t="shared" si="4"/>
        <v>12369.704059999998</v>
      </c>
    </row>
    <row r="15" spans="1:14" ht="16.5" thickBot="1" x14ac:dyDescent="0.3">
      <c r="A15" s="9">
        <v>44755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44756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44757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44759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44760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44761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44762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12650</v>
      </c>
      <c r="D34" s="55"/>
      <c r="E34" s="55">
        <f>SUM(E3:E33)</f>
        <v>5390</v>
      </c>
      <c r="F34" s="55"/>
      <c r="G34" s="55">
        <f>SUM(G3:G33)</f>
        <v>6153.3</v>
      </c>
      <c r="H34" s="3"/>
      <c r="I34" s="55">
        <f>SUM(I3:I33)</f>
        <v>53.298000000000002</v>
      </c>
      <c r="J34" s="55">
        <v>0</v>
      </c>
      <c r="K34" s="55">
        <f>SUM(K4:K33)</f>
        <v>130569.94746000002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14" sqref="A14:XFD1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>
        <v>18385520</v>
      </c>
      <c r="C14" s="44">
        <f t="shared" si="0"/>
        <v>2090</v>
      </c>
    </row>
    <row r="15" spans="1:9" ht="24" thickBot="1" x14ac:dyDescent="0.4">
      <c r="A15" s="9">
        <v>44755</v>
      </c>
      <c r="B15" s="132"/>
      <c r="C15" s="44" t="str">
        <f t="shared" si="0"/>
        <v>0</v>
      </c>
      <c r="I15" t="s">
        <v>12</v>
      </c>
    </row>
    <row r="16" spans="1:9" ht="26.25" customHeight="1" thickBot="1" x14ac:dyDescent="0.4">
      <c r="A16" s="9">
        <v>44756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44757</v>
      </c>
      <c r="B17" s="132"/>
      <c r="C17" s="44">
        <f t="shared" si="0"/>
        <v>0</v>
      </c>
    </row>
    <row r="18" spans="1:9" ht="24" thickBot="1" x14ac:dyDescent="0.4">
      <c r="A18" s="9">
        <v>44758</v>
      </c>
      <c r="B18" s="132"/>
      <c r="C18" s="44">
        <f t="shared" si="0"/>
        <v>0</v>
      </c>
      <c r="I18" s="34"/>
    </row>
    <row r="19" spans="1:9" ht="24" thickBot="1" x14ac:dyDescent="0.4">
      <c r="A19" s="9">
        <v>44759</v>
      </c>
      <c r="B19" s="132"/>
      <c r="C19" s="44">
        <f t="shared" si="0"/>
        <v>0</v>
      </c>
    </row>
    <row r="20" spans="1:9" ht="24" thickBot="1" x14ac:dyDescent="0.4">
      <c r="A20" s="9">
        <v>44760</v>
      </c>
      <c r="B20" s="132"/>
      <c r="C20" s="44">
        <f t="shared" si="0"/>
        <v>0</v>
      </c>
    </row>
    <row r="21" spans="1:9" ht="24" thickBot="1" x14ac:dyDescent="0.4">
      <c r="A21" s="9">
        <v>44761</v>
      </c>
      <c r="B21" s="132"/>
      <c r="C21" s="44">
        <f t="shared" si="0"/>
        <v>0</v>
      </c>
    </row>
    <row r="22" spans="1:9" ht="24" thickBot="1" x14ac:dyDescent="0.4">
      <c r="A22" s="9">
        <v>44762</v>
      </c>
      <c r="B22" s="132"/>
      <c r="C22" s="44">
        <f t="shared" si="0"/>
        <v>0</v>
      </c>
    </row>
    <row r="23" spans="1:9" ht="24" thickBot="1" x14ac:dyDescent="0.4">
      <c r="A23" s="9">
        <v>44763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44764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0"/>
        <v>0</v>
      </c>
    </row>
    <row r="26" spans="1:9" ht="24" thickBot="1" x14ac:dyDescent="0.4">
      <c r="A26" s="9">
        <v>44766</v>
      </c>
      <c r="B26" s="132"/>
      <c r="C26" s="44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18733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>
        <v>24043.258000000002</v>
      </c>
      <c r="C14" s="43">
        <f t="shared" si="21"/>
        <v>13.103000000002794</v>
      </c>
      <c r="D14" s="28">
        <f t="shared" si="22"/>
        <v>24895.700000005305</v>
      </c>
      <c r="E14" s="1">
        <v>4350.1809999999996</v>
      </c>
      <c r="F14" s="43">
        <f t="shared" si="23"/>
        <v>1.2989999999999782</v>
      </c>
      <c r="G14" s="28">
        <f t="shared" si="24"/>
        <v>2468.0999999999585</v>
      </c>
      <c r="H14" s="1">
        <v>5621</v>
      </c>
      <c r="I14" s="43">
        <f t="shared" si="25"/>
        <v>6</v>
      </c>
      <c r="J14" s="28">
        <f t="shared" si="26"/>
        <v>11399.999999999998</v>
      </c>
      <c r="K14" s="7">
        <v>14070.56</v>
      </c>
      <c r="L14" s="43">
        <f t="shared" si="27"/>
        <v>4.680000000000291</v>
      </c>
      <c r="M14" s="28">
        <f t="shared" si="28"/>
        <v>8892.0000000005512</v>
      </c>
      <c r="N14" s="7">
        <v>3624.1889999999999</v>
      </c>
      <c r="O14" s="43">
        <f>IF((N14-N13)&lt;0,"0",(N14-N13))</f>
        <v>1.9639999999999418</v>
      </c>
      <c r="P14" s="28">
        <f t="shared" si="30"/>
        <v>3731.5999999998894</v>
      </c>
      <c r="Q14" s="7">
        <v>5435.56</v>
      </c>
      <c r="R14" s="43">
        <f t="shared" si="31"/>
        <v>1.8800000000001091</v>
      </c>
      <c r="S14" s="28">
        <f t="shared" si="32"/>
        <v>3572.0000000002069</v>
      </c>
      <c r="T14" s="8">
        <f t="shared" si="34"/>
        <v>28.926000000003114</v>
      </c>
      <c r="U14" s="30">
        <f t="shared" si="33"/>
        <v>54959.400000005917</v>
      </c>
      <c r="W14" s="156">
        <v>44754</v>
      </c>
      <c r="X14" s="157">
        <v>188165</v>
      </c>
      <c r="Y14" s="162">
        <f t="shared" si="20"/>
        <v>249</v>
      </c>
      <c r="Z14" s="157">
        <v>9558</v>
      </c>
      <c r="AA14" s="162">
        <f t="shared" si="20"/>
        <v>4</v>
      </c>
      <c r="AB14" s="157">
        <v>31</v>
      </c>
      <c r="AC14" s="162">
        <f t="shared" si="20"/>
        <v>0</v>
      </c>
      <c r="AD14" s="157">
        <v>588</v>
      </c>
      <c r="AE14" s="162">
        <f t="shared" si="20"/>
        <v>3</v>
      </c>
      <c r="AF14" s="157">
        <v>8182</v>
      </c>
      <c r="AG14" s="162">
        <f t="shared" si="20"/>
        <v>11</v>
      </c>
    </row>
    <row r="15" spans="1:33" ht="16.5" thickBot="1" x14ac:dyDescent="0.25">
      <c r="A15" s="9">
        <v>44755</v>
      </c>
      <c r="B15" s="159"/>
      <c r="C15" s="43" t="str">
        <f t="shared" ref="C15" si="35">IF((B15-B14)&lt;0,"0",(B15-B14))</f>
        <v>0</v>
      </c>
      <c r="D15" s="28">
        <f t="shared" ref="D15" si="36">C15*1.9*1000</f>
        <v>0</v>
      </c>
      <c r="E15" s="1"/>
      <c r="F15" s="43" t="str">
        <f t="shared" ref="F15" si="37">IF((E15-E14)&lt;0,"0",(E15-E14))</f>
        <v>0</v>
      </c>
      <c r="G15" s="28">
        <f t="shared" ref="G15" si="38">F15*1.9*1000</f>
        <v>0</v>
      </c>
      <c r="H15" s="1"/>
      <c r="I15" s="43" t="str">
        <f t="shared" ref="I15" si="39">IF((H15-H14)&lt;0,"0",(H15-H14))</f>
        <v>0</v>
      </c>
      <c r="J15" s="28">
        <f t="shared" ref="J15" si="40">I15*1.9*1000</f>
        <v>0</v>
      </c>
      <c r="K15" s="7"/>
      <c r="L15" s="43" t="str">
        <f t="shared" ref="L15" si="41">IF((K15-K14)&lt;0,"0",(K15-K14))</f>
        <v>0</v>
      </c>
      <c r="M15" s="28">
        <f t="shared" ref="M15" si="42">L15*1.9*1000</f>
        <v>0</v>
      </c>
      <c r="N15" s="7"/>
      <c r="O15" s="43" t="str">
        <f>IF((N15-N14)&lt;0,"0",(N15-N14))</f>
        <v>0</v>
      </c>
      <c r="P15" s="28">
        <f t="shared" ref="P15" si="43">O15*1.9*1000</f>
        <v>0</v>
      </c>
      <c r="Q15" s="7"/>
      <c r="R15" s="43" t="str">
        <f t="shared" ref="R15" si="44">IF((Q15-Q14)&lt;0,"0",(Q15-Q14))</f>
        <v>0</v>
      </c>
      <c r="S15" s="28">
        <f t="shared" ref="S15" si="45">R15*1.9*1000</f>
        <v>0</v>
      </c>
      <c r="T15" s="8">
        <f t="shared" ref="T15" si="46">C15+F15+I15+L15+O15+R15</f>
        <v>0</v>
      </c>
      <c r="U15" s="30">
        <f t="shared" ref="U15" si="47">T15*1.9*1000</f>
        <v>0</v>
      </c>
      <c r="W15" s="156">
        <v>44755</v>
      </c>
      <c r="X15" s="157"/>
      <c r="Y15" s="162" t="str">
        <f t="shared" si="20"/>
        <v>0</v>
      </c>
      <c r="Z15" s="157"/>
      <c r="AA15" s="162" t="str">
        <f t="shared" si="20"/>
        <v>0</v>
      </c>
      <c r="AB15" s="157"/>
      <c r="AC15" s="162" t="str">
        <f t="shared" si="20"/>
        <v>0</v>
      </c>
      <c r="AD15" s="157"/>
      <c r="AE15" s="162" t="str">
        <f t="shared" si="20"/>
        <v>0</v>
      </c>
      <c r="AF15" s="157"/>
      <c r="AG15" s="162" t="str">
        <f t="shared" si="20"/>
        <v>0</v>
      </c>
    </row>
    <row r="16" spans="1:33" ht="16.5" thickBot="1" x14ac:dyDescent="0.25">
      <c r="A16" s="9">
        <v>44756</v>
      </c>
      <c r="B16" s="159"/>
      <c r="C16" s="43">
        <f t="shared" si="21"/>
        <v>0</v>
      </c>
      <c r="D16" s="28">
        <f t="shared" si="22"/>
        <v>0</v>
      </c>
      <c r="E16" s="1"/>
      <c r="F16" s="43">
        <f t="shared" si="23"/>
        <v>0</v>
      </c>
      <c r="G16" s="28">
        <f t="shared" si="24"/>
        <v>0</v>
      </c>
      <c r="H16" s="1"/>
      <c r="I16" s="43">
        <f t="shared" si="25"/>
        <v>0</v>
      </c>
      <c r="J16" s="28">
        <f t="shared" si="26"/>
        <v>0</v>
      </c>
      <c r="K16" s="7"/>
      <c r="L16" s="43">
        <f t="shared" si="27"/>
        <v>0</v>
      </c>
      <c r="M16" s="28">
        <f t="shared" si="28"/>
        <v>0</v>
      </c>
      <c r="N16" s="7"/>
      <c r="O16" s="43">
        <f t="shared" si="29"/>
        <v>0</v>
      </c>
      <c r="P16" s="28">
        <f t="shared" si="30"/>
        <v>0</v>
      </c>
      <c r="Q16" s="7"/>
      <c r="R16" s="43">
        <f t="shared" si="31"/>
        <v>0</v>
      </c>
      <c r="S16" s="28">
        <f t="shared" si="32"/>
        <v>0</v>
      </c>
      <c r="T16" s="8">
        <f t="shared" si="34"/>
        <v>0</v>
      </c>
      <c r="U16" s="30">
        <f t="shared" si="33"/>
        <v>0</v>
      </c>
      <c r="W16" s="156">
        <v>44756</v>
      </c>
      <c r="X16" s="157"/>
      <c r="Y16" s="162">
        <f t="shared" si="20"/>
        <v>0</v>
      </c>
      <c r="Z16" s="157"/>
      <c r="AA16" s="162">
        <f t="shared" si="20"/>
        <v>0</v>
      </c>
      <c r="AB16" s="157"/>
      <c r="AC16" s="162">
        <f t="shared" si="20"/>
        <v>0</v>
      </c>
      <c r="AD16" s="157"/>
      <c r="AE16" s="162">
        <f t="shared" si="20"/>
        <v>0</v>
      </c>
      <c r="AF16" s="157"/>
      <c r="AG16" s="162">
        <f t="shared" si="20"/>
        <v>0</v>
      </c>
    </row>
    <row r="17" spans="1:33" ht="16.5" thickBot="1" x14ac:dyDescent="0.25">
      <c r="A17" s="9">
        <v>44757</v>
      </c>
      <c r="B17" s="159"/>
      <c r="C17" s="43">
        <f t="shared" si="21"/>
        <v>0</v>
      </c>
      <c r="D17" s="28">
        <f t="shared" si="22"/>
        <v>0</v>
      </c>
      <c r="E17" s="1"/>
      <c r="F17" s="43">
        <f t="shared" si="23"/>
        <v>0</v>
      </c>
      <c r="G17" s="28">
        <f t="shared" si="24"/>
        <v>0</v>
      </c>
      <c r="H17" s="1"/>
      <c r="I17" s="43">
        <f t="shared" si="25"/>
        <v>0</v>
      </c>
      <c r="J17" s="28">
        <f t="shared" si="26"/>
        <v>0</v>
      </c>
      <c r="K17" s="7"/>
      <c r="L17" s="43">
        <f t="shared" si="27"/>
        <v>0</v>
      </c>
      <c r="M17" s="28">
        <f t="shared" si="28"/>
        <v>0</v>
      </c>
      <c r="N17" s="7"/>
      <c r="O17" s="43">
        <f t="shared" si="29"/>
        <v>0</v>
      </c>
      <c r="P17" s="28">
        <f t="shared" si="30"/>
        <v>0</v>
      </c>
      <c r="Q17" s="7"/>
      <c r="R17" s="43">
        <f t="shared" si="31"/>
        <v>0</v>
      </c>
      <c r="S17" s="28">
        <f t="shared" si="32"/>
        <v>0</v>
      </c>
      <c r="T17" s="8">
        <f t="shared" si="34"/>
        <v>0</v>
      </c>
      <c r="U17" s="30">
        <f t="shared" si="33"/>
        <v>0</v>
      </c>
      <c r="W17" s="156">
        <v>44757</v>
      </c>
      <c r="X17" s="157"/>
      <c r="Y17" s="162">
        <f t="shared" si="20"/>
        <v>0</v>
      </c>
      <c r="Z17" s="157"/>
      <c r="AA17" s="162">
        <f t="shared" si="20"/>
        <v>0</v>
      </c>
      <c r="AB17" s="157"/>
      <c r="AC17" s="162">
        <f t="shared" si="20"/>
        <v>0</v>
      </c>
      <c r="AD17" s="157"/>
      <c r="AE17" s="162">
        <f t="shared" si="20"/>
        <v>0</v>
      </c>
      <c r="AF17" s="157"/>
      <c r="AG17" s="162">
        <f t="shared" si="20"/>
        <v>0</v>
      </c>
    </row>
    <row r="18" spans="1:33" ht="16.5" thickBot="1" x14ac:dyDescent="0.25">
      <c r="A18" s="9">
        <v>44758</v>
      </c>
      <c r="B18" s="159"/>
      <c r="C18" s="43">
        <f t="shared" si="21"/>
        <v>0</v>
      </c>
      <c r="D18" s="28">
        <f t="shared" si="22"/>
        <v>0</v>
      </c>
      <c r="E18" s="1"/>
      <c r="F18" s="43">
        <f t="shared" si="23"/>
        <v>0</v>
      </c>
      <c r="G18" s="28">
        <f t="shared" si="24"/>
        <v>0</v>
      </c>
      <c r="H18" s="1"/>
      <c r="I18" s="43">
        <f t="shared" si="25"/>
        <v>0</v>
      </c>
      <c r="J18" s="28">
        <f t="shared" si="26"/>
        <v>0</v>
      </c>
      <c r="K18" s="7"/>
      <c r="L18" s="43">
        <f t="shared" si="27"/>
        <v>0</v>
      </c>
      <c r="M18" s="28">
        <f t="shared" si="28"/>
        <v>0</v>
      </c>
      <c r="N18" s="7"/>
      <c r="O18" s="43">
        <f t="shared" si="29"/>
        <v>0</v>
      </c>
      <c r="P18" s="28">
        <f t="shared" si="30"/>
        <v>0</v>
      </c>
      <c r="Q18" s="7"/>
      <c r="R18" s="43">
        <f t="shared" si="31"/>
        <v>0</v>
      </c>
      <c r="S18" s="28">
        <f t="shared" si="32"/>
        <v>0</v>
      </c>
      <c r="T18" s="8">
        <f t="shared" si="34"/>
        <v>0</v>
      </c>
      <c r="U18" s="30">
        <f t="shared" si="33"/>
        <v>0</v>
      </c>
      <c r="W18" s="156">
        <v>44758</v>
      </c>
      <c r="X18" s="157"/>
      <c r="Y18" s="162">
        <f t="shared" si="20"/>
        <v>0</v>
      </c>
      <c r="Z18" s="157"/>
      <c r="AA18" s="162">
        <f t="shared" si="20"/>
        <v>0</v>
      </c>
      <c r="AB18" s="157"/>
      <c r="AC18" s="162">
        <f t="shared" si="20"/>
        <v>0</v>
      </c>
      <c r="AD18" s="157"/>
      <c r="AE18" s="162">
        <f t="shared" si="20"/>
        <v>0</v>
      </c>
      <c r="AF18" s="157"/>
      <c r="AG18" s="162">
        <f t="shared" si="20"/>
        <v>0</v>
      </c>
    </row>
    <row r="19" spans="1:33" ht="16.5" thickBot="1" x14ac:dyDescent="0.25">
      <c r="A19" s="9">
        <v>44759</v>
      </c>
      <c r="B19" s="159"/>
      <c r="C19" s="43">
        <f t="shared" si="21"/>
        <v>0</v>
      </c>
      <c r="D19" s="28">
        <f t="shared" si="22"/>
        <v>0</v>
      </c>
      <c r="E19" s="1"/>
      <c r="F19" s="43">
        <f t="shared" si="23"/>
        <v>0</v>
      </c>
      <c r="G19" s="28">
        <f t="shared" si="24"/>
        <v>0</v>
      </c>
      <c r="H19" s="1"/>
      <c r="I19" s="43">
        <f t="shared" si="25"/>
        <v>0</v>
      </c>
      <c r="J19" s="28">
        <f t="shared" si="26"/>
        <v>0</v>
      </c>
      <c r="K19" s="7"/>
      <c r="L19" s="43">
        <f t="shared" si="27"/>
        <v>0</v>
      </c>
      <c r="M19" s="28">
        <f t="shared" si="28"/>
        <v>0</v>
      </c>
      <c r="N19" s="7"/>
      <c r="O19" s="43">
        <f t="shared" si="29"/>
        <v>0</v>
      </c>
      <c r="P19" s="28">
        <f t="shared" si="30"/>
        <v>0</v>
      </c>
      <c r="Q19" s="7"/>
      <c r="R19" s="43">
        <f t="shared" si="31"/>
        <v>0</v>
      </c>
      <c r="S19" s="28">
        <f t="shared" si="32"/>
        <v>0</v>
      </c>
      <c r="T19" s="8">
        <f t="shared" si="34"/>
        <v>0</v>
      </c>
      <c r="U19" s="30">
        <f t="shared" si="33"/>
        <v>0</v>
      </c>
      <c r="W19" s="156">
        <v>44759</v>
      </c>
      <c r="X19" s="157"/>
      <c r="Y19" s="162">
        <f t="shared" si="20"/>
        <v>0</v>
      </c>
      <c r="Z19" s="157"/>
      <c r="AA19" s="162">
        <f t="shared" si="20"/>
        <v>0</v>
      </c>
      <c r="AB19" s="157"/>
      <c r="AC19" s="162">
        <f t="shared" si="20"/>
        <v>0</v>
      </c>
      <c r="AD19" s="157"/>
      <c r="AE19" s="162">
        <f t="shared" si="20"/>
        <v>0</v>
      </c>
      <c r="AF19" s="157"/>
      <c r="AG19" s="162">
        <f t="shared" si="20"/>
        <v>0</v>
      </c>
    </row>
    <row r="20" spans="1:33" ht="16.5" thickBot="1" x14ac:dyDescent="0.25">
      <c r="A20" s="9">
        <v>44760</v>
      </c>
      <c r="B20" s="159"/>
      <c r="C20" s="43">
        <f t="shared" si="21"/>
        <v>0</v>
      </c>
      <c r="D20" s="28">
        <f t="shared" si="22"/>
        <v>0</v>
      </c>
      <c r="E20" s="1"/>
      <c r="F20" s="43">
        <f t="shared" si="23"/>
        <v>0</v>
      </c>
      <c r="G20" s="28">
        <f t="shared" si="24"/>
        <v>0</v>
      </c>
      <c r="H20" s="1"/>
      <c r="I20" s="43">
        <f t="shared" si="25"/>
        <v>0</v>
      </c>
      <c r="J20" s="28">
        <f t="shared" si="26"/>
        <v>0</v>
      </c>
      <c r="K20" s="7"/>
      <c r="L20" s="43">
        <f t="shared" si="27"/>
        <v>0</v>
      </c>
      <c r="M20" s="28">
        <f t="shared" si="28"/>
        <v>0</v>
      </c>
      <c r="N20" s="7"/>
      <c r="O20" s="43">
        <f t="shared" si="29"/>
        <v>0</v>
      </c>
      <c r="P20" s="28">
        <f t="shared" si="30"/>
        <v>0</v>
      </c>
      <c r="Q20" s="7"/>
      <c r="R20" s="43">
        <f t="shared" si="31"/>
        <v>0</v>
      </c>
      <c r="S20" s="28">
        <f t="shared" si="32"/>
        <v>0</v>
      </c>
      <c r="T20" s="8">
        <f t="shared" si="34"/>
        <v>0</v>
      </c>
      <c r="U20" s="30">
        <f t="shared" si="33"/>
        <v>0</v>
      </c>
      <c r="W20" s="156">
        <v>44760</v>
      </c>
      <c r="X20" s="157"/>
      <c r="Y20" s="162">
        <f t="shared" si="20"/>
        <v>0</v>
      </c>
      <c r="Z20" s="157"/>
      <c r="AA20" s="162">
        <f t="shared" si="20"/>
        <v>0</v>
      </c>
      <c r="AB20" s="157"/>
      <c r="AC20" s="162">
        <f t="shared" si="20"/>
        <v>0</v>
      </c>
      <c r="AD20" s="157"/>
      <c r="AE20" s="162">
        <f t="shared" si="20"/>
        <v>0</v>
      </c>
      <c r="AF20" s="157"/>
      <c r="AG20" s="162">
        <f t="shared" si="20"/>
        <v>0</v>
      </c>
    </row>
    <row r="21" spans="1:33" ht="16.5" thickBot="1" x14ac:dyDescent="0.25">
      <c r="A21" s="9">
        <v>44761</v>
      </c>
      <c r="B21" s="159"/>
      <c r="C21" s="43">
        <f t="shared" si="21"/>
        <v>0</v>
      </c>
      <c r="D21" s="28">
        <f t="shared" si="22"/>
        <v>0</v>
      </c>
      <c r="E21" s="1"/>
      <c r="F21" s="43">
        <f t="shared" si="23"/>
        <v>0</v>
      </c>
      <c r="G21" s="28">
        <f t="shared" si="24"/>
        <v>0</v>
      </c>
      <c r="H21" s="1"/>
      <c r="I21" s="43">
        <f t="shared" si="25"/>
        <v>0</v>
      </c>
      <c r="J21" s="28">
        <f t="shared" si="26"/>
        <v>0</v>
      </c>
      <c r="K21" s="7"/>
      <c r="L21" s="43">
        <f t="shared" si="27"/>
        <v>0</v>
      </c>
      <c r="M21" s="28">
        <f t="shared" si="28"/>
        <v>0</v>
      </c>
      <c r="N21" s="7"/>
      <c r="O21" s="43">
        <f t="shared" si="29"/>
        <v>0</v>
      </c>
      <c r="P21" s="28">
        <f t="shared" si="30"/>
        <v>0</v>
      </c>
      <c r="Q21" s="7"/>
      <c r="R21" s="43">
        <f t="shared" si="31"/>
        <v>0</v>
      </c>
      <c r="S21" s="28">
        <f t="shared" si="32"/>
        <v>0</v>
      </c>
      <c r="T21" s="8">
        <f t="shared" si="34"/>
        <v>0</v>
      </c>
      <c r="U21" s="30">
        <f t="shared" si="33"/>
        <v>0</v>
      </c>
      <c r="W21" s="156">
        <v>44761</v>
      </c>
      <c r="X21" s="157"/>
      <c r="Y21" s="162">
        <f t="shared" si="20"/>
        <v>0</v>
      </c>
      <c r="Z21" s="157"/>
      <c r="AA21" s="162">
        <f t="shared" si="20"/>
        <v>0</v>
      </c>
      <c r="AB21" s="157"/>
      <c r="AC21" s="162">
        <f t="shared" si="20"/>
        <v>0</v>
      </c>
      <c r="AD21" s="157"/>
      <c r="AE21" s="162">
        <f t="shared" si="20"/>
        <v>0</v>
      </c>
      <c r="AF21" s="157"/>
      <c r="AG21" s="162">
        <f t="shared" si="20"/>
        <v>0</v>
      </c>
    </row>
    <row r="22" spans="1:33" ht="16.5" thickBot="1" x14ac:dyDescent="0.25">
      <c r="A22" s="9">
        <v>44762</v>
      </c>
      <c r="B22" s="159"/>
      <c r="C22" s="43">
        <f t="shared" si="21"/>
        <v>0</v>
      </c>
      <c r="D22" s="28">
        <f t="shared" si="22"/>
        <v>0</v>
      </c>
      <c r="E22" s="1"/>
      <c r="F22" s="43">
        <f t="shared" si="23"/>
        <v>0</v>
      </c>
      <c r="G22" s="28">
        <f t="shared" si="24"/>
        <v>0</v>
      </c>
      <c r="H22" s="1"/>
      <c r="I22" s="43">
        <f t="shared" si="25"/>
        <v>0</v>
      </c>
      <c r="J22" s="28">
        <f t="shared" si="26"/>
        <v>0</v>
      </c>
      <c r="K22" s="7"/>
      <c r="L22" s="43">
        <f t="shared" si="27"/>
        <v>0</v>
      </c>
      <c r="M22" s="28">
        <f t="shared" si="28"/>
        <v>0</v>
      </c>
      <c r="N22" s="7"/>
      <c r="O22" s="43">
        <f t="shared" si="29"/>
        <v>0</v>
      </c>
      <c r="P22" s="28">
        <f t="shared" si="30"/>
        <v>0</v>
      </c>
      <c r="Q22" s="7"/>
      <c r="R22" s="43">
        <f t="shared" si="31"/>
        <v>0</v>
      </c>
      <c r="S22" s="28">
        <f t="shared" si="32"/>
        <v>0</v>
      </c>
      <c r="T22" s="8">
        <f t="shared" si="34"/>
        <v>0</v>
      </c>
      <c r="U22" s="30">
        <f t="shared" si="33"/>
        <v>0</v>
      </c>
      <c r="W22" s="156">
        <v>44762</v>
      </c>
      <c r="X22" s="157"/>
      <c r="Y22" s="162">
        <f t="shared" si="20"/>
        <v>0</v>
      </c>
      <c r="Z22" s="157"/>
      <c r="AA22" s="162">
        <f t="shared" si="20"/>
        <v>0</v>
      </c>
      <c r="AB22" s="157"/>
      <c r="AC22" s="162">
        <f t="shared" si="20"/>
        <v>0</v>
      </c>
      <c r="AD22" s="157"/>
      <c r="AE22" s="162">
        <f t="shared" si="20"/>
        <v>0</v>
      </c>
      <c r="AF22" s="157"/>
      <c r="AG22" s="162">
        <f t="shared" si="20"/>
        <v>0</v>
      </c>
    </row>
    <row r="23" spans="1:33" ht="16.5" thickBot="1" x14ac:dyDescent="0.25">
      <c r="A23" s="9">
        <v>44763</v>
      </c>
      <c r="B23" s="159"/>
      <c r="C23" s="43">
        <f t="shared" si="21"/>
        <v>0</v>
      </c>
      <c r="D23" s="28">
        <f t="shared" si="22"/>
        <v>0</v>
      </c>
      <c r="E23" s="1"/>
      <c r="F23" s="43">
        <f t="shared" si="23"/>
        <v>0</v>
      </c>
      <c r="G23" s="28">
        <f t="shared" si="24"/>
        <v>0</v>
      </c>
      <c r="H23" s="1"/>
      <c r="I23" s="43">
        <f t="shared" si="25"/>
        <v>0</v>
      </c>
      <c r="J23" s="28">
        <f t="shared" si="26"/>
        <v>0</v>
      </c>
      <c r="K23" s="7"/>
      <c r="L23" s="43">
        <f t="shared" si="27"/>
        <v>0</v>
      </c>
      <c r="M23" s="28">
        <f t="shared" si="28"/>
        <v>0</v>
      </c>
      <c r="N23" s="7"/>
      <c r="O23" s="43">
        <f t="shared" si="29"/>
        <v>0</v>
      </c>
      <c r="P23" s="28">
        <f t="shared" si="30"/>
        <v>0</v>
      </c>
      <c r="Q23" s="7"/>
      <c r="R23" s="43">
        <f t="shared" si="31"/>
        <v>0</v>
      </c>
      <c r="S23" s="28">
        <f t="shared" si="32"/>
        <v>0</v>
      </c>
      <c r="T23" s="8">
        <f t="shared" si="34"/>
        <v>0</v>
      </c>
      <c r="U23" s="30">
        <f t="shared" si="33"/>
        <v>0</v>
      </c>
      <c r="W23" s="156">
        <v>44763</v>
      </c>
      <c r="X23" s="157"/>
      <c r="Y23" s="162">
        <f t="shared" si="20"/>
        <v>0</v>
      </c>
      <c r="Z23" s="157"/>
      <c r="AA23" s="162">
        <f t="shared" si="20"/>
        <v>0</v>
      </c>
      <c r="AB23" s="157"/>
      <c r="AC23" s="162">
        <f t="shared" si="20"/>
        <v>0</v>
      </c>
      <c r="AD23" s="157"/>
      <c r="AE23" s="162">
        <f t="shared" si="20"/>
        <v>0</v>
      </c>
      <c r="AF23" s="157"/>
      <c r="AG23" s="162">
        <f t="shared" si="20"/>
        <v>0</v>
      </c>
    </row>
    <row r="24" spans="1:33" ht="16.5" thickBot="1" x14ac:dyDescent="0.25">
      <c r="A24" s="9">
        <v>44764</v>
      </c>
      <c r="B24" s="159"/>
      <c r="C24" s="43">
        <f t="shared" si="21"/>
        <v>0</v>
      </c>
      <c r="D24" s="28">
        <f t="shared" si="22"/>
        <v>0</v>
      </c>
      <c r="E24" s="1"/>
      <c r="F24" s="43">
        <f t="shared" si="23"/>
        <v>0</v>
      </c>
      <c r="G24" s="28">
        <f t="shared" si="24"/>
        <v>0</v>
      </c>
      <c r="H24" s="1"/>
      <c r="I24" s="43">
        <f t="shared" si="25"/>
        <v>0</v>
      </c>
      <c r="J24" s="28">
        <f t="shared" si="26"/>
        <v>0</v>
      </c>
      <c r="K24" s="7"/>
      <c r="L24" s="43">
        <f t="shared" si="27"/>
        <v>0</v>
      </c>
      <c r="M24" s="28">
        <f t="shared" si="28"/>
        <v>0</v>
      </c>
      <c r="N24" s="7"/>
      <c r="O24" s="43">
        <f t="shared" si="29"/>
        <v>0</v>
      </c>
      <c r="P24" s="28">
        <f t="shared" si="30"/>
        <v>0</v>
      </c>
      <c r="Q24" s="7"/>
      <c r="R24" s="43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>
        <f t="shared" si="20"/>
        <v>0</v>
      </c>
      <c r="Z24" s="157"/>
      <c r="AA24" s="162">
        <f t="shared" si="20"/>
        <v>0</v>
      </c>
      <c r="AB24" s="157"/>
      <c r="AC24" s="162">
        <f t="shared" si="20"/>
        <v>0</v>
      </c>
      <c r="AD24" s="157"/>
      <c r="AE24" s="162">
        <f t="shared" si="20"/>
        <v>0</v>
      </c>
      <c r="AF24" s="157"/>
      <c r="AG24" s="162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152.53499999999985</v>
      </c>
      <c r="D34" s="136">
        <f>SUM(D4:D33)</f>
        <v>266438.90000000648</v>
      </c>
      <c r="E34" s="136"/>
      <c r="F34" s="136">
        <f>SUM(F3:F33)</f>
        <v>27.134999999999309</v>
      </c>
      <c r="G34" s="136">
        <f>SUM(G4:G33)</f>
        <v>48714.099999998507</v>
      </c>
      <c r="H34" s="136"/>
      <c r="I34" s="136">
        <f>SUM(I3:I33)</f>
        <v>80</v>
      </c>
      <c r="J34" s="136">
        <f>SUM(J4:J33)</f>
        <v>140599.99999999997</v>
      </c>
      <c r="K34" s="136"/>
      <c r="L34" s="136">
        <f>SUM(L3:L33)</f>
        <v>30.43999999999869</v>
      </c>
      <c r="M34" s="136">
        <f>SUM(M4:M33)</f>
        <v>54111.999999999171</v>
      </c>
      <c r="N34" s="136"/>
      <c r="O34" s="136">
        <f>SUM(O3:O33)</f>
        <v>19.719000000000051</v>
      </c>
      <c r="P34" s="136">
        <f>SUM(P4:P33)</f>
        <v>34644.599999999853</v>
      </c>
      <c r="Q34" s="136"/>
      <c r="R34" s="136">
        <v>2.21</v>
      </c>
      <c r="S34" s="136">
        <f>SUM(S4:S33)</f>
        <v>40736.00000000096</v>
      </c>
      <c r="T34" s="136">
        <v>22.454999999999998</v>
      </c>
      <c r="U34" s="136">
        <f>SUM(U4:U33)</f>
        <v>585245.60000000498</v>
      </c>
      <c r="V34"/>
      <c r="W34" s="136" t="s">
        <v>141</v>
      </c>
      <c r="X34" s="136"/>
      <c r="Y34" s="136">
        <f>SUM(Y3:Y33)</f>
        <v>3166</v>
      </c>
      <c r="Z34" s="136"/>
      <c r="AA34" s="136">
        <f>SUM(AA3:AA33)</f>
        <v>69</v>
      </c>
      <c r="AB34" s="136"/>
      <c r="AC34" s="136">
        <f>SUM(AC3:AC33)</f>
        <v>4.8000000000000007</v>
      </c>
      <c r="AD34" s="136"/>
      <c r="AE34" s="136">
        <f>SUM(AE3:AE33)</f>
        <v>24</v>
      </c>
      <c r="AF34" s="136">
        <v>0</v>
      </c>
      <c r="AG34" s="136">
        <f>SUM(AG3:AG33)</f>
        <v>173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-31636117</v>
      </c>
      <c r="D2" s="96">
        <f>C2*1.27</f>
        <v>-40177868.590000004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1892536</v>
      </c>
      <c r="K4" s="166">
        <f>J4-I4</f>
        <v>657886</v>
      </c>
    </row>
    <row r="5" spans="1:13" ht="13.5" thickBot="1" x14ac:dyDescent="0.25">
      <c r="A5" s="94"/>
      <c r="B5" s="100" t="s">
        <v>27</v>
      </c>
      <c r="C5" s="104">
        <f>(K10+K12)*0.842284+K26</f>
        <v>349833.38084400003</v>
      </c>
      <c r="D5" s="104">
        <f t="shared" ref="D5:D11" si="0">C5*1.27</f>
        <v>444288.39367188007</v>
      </c>
      <c r="E5" s="105"/>
      <c r="F5" s="94"/>
      <c r="G5" s="94"/>
      <c r="H5" s="100" t="s">
        <v>23</v>
      </c>
      <c r="I5" s="106"/>
      <c r="J5" s="106"/>
      <c r="K5" s="126">
        <f>K3+K4</f>
        <v>-31082372</v>
      </c>
    </row>
    <row r="6" spans="1:13" ht="13.5" thickBot="1" x14ac:dyDescent="0.25">
      <c r="A6" s="94"/>
      <c r="B6" s="100" t="s">
        <v>99</v>
      </c>
      <c r="C6" s="104">
        <f>(K10+K12+K26)*0.1488</f>
        <v>61579.540799999995</v>
      </c>
      <c r="D6" s="104">
        <f t="shared" si="0"/>
        <v>78206.016815999988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141812</v>
      </c>
      <c r="K6" s="166">
        <f>J6-I6</f>
        <v>67780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117761</v>
      </c>
      <c r="D7" s="104">
        <f t="shared" si="0"/>
        <v>149556.47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376607</v>
      </c>
      <c r="K7" s="166">
        <f>J7-I7</f>
        <v>80124</v>
      </c>
    </row>
    <row r="8" spans="1:13" ht="13.5" thickBot="1" x14ac:dyDescent="0.25">
      <c r="A8" s="94"/>
      <c r="B8" s="100" t="s">
        <v>103</v>
      </c>
      <c r="C8" s="104">
        <f>K21+K22+K23+K24</f>
        <v>13826</v>
      </c>
      <c r="D8" s="104">
        <f t="shared" si="0"/>
        <v>17559.02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6958647</v>
      </c>
      <c r="K8" s="91">
        <f>(J8-I8)*2</f>
        <v>187632</v>
      </c>
    </row>
    <row r="9" spans="1:13" ht="13.5" thickBot="1" x14ac:dyDescent="0.25">
      <c r="A9" s="94"/>
      <c r="B9" s="100" t="s">
        <v>137</v>
      </c>
      <c r="C9" s="104">
        <f>K25+K16+K17</f>
        <v>2607</v>
      </c>
      <c r="D9" s="104">
        <f t="shared" si="0"/>
        <v>3310.89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7205889</v>
      </c>
      <c r="K9" s="91">
        <f>J9-I9</f>
        <v>171227</v>
      </c>
    </row>
    <row r="10" spans="1:13" ht="13.5" thickBot="1" x14ac:dyDescent="0.25">
      <c r="A10" s="94"/>
      <c r="B10" s="100" t="s">
        <v>106</v>
      </c>
      <c r="C10" s="104">
        <f>K18</f>
        <v>5280</v>
      </c>
      <c r="D10" s="104">
        <f t="shared" si="0"/>
        <v>6705.6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21668226</v>
      </c>
      <c r="K10" s="91">
        <f>J10-I10</f>
        <v>127973</v>
      </c>
    </row>
    <row r="11" spans="1:13" ht="13.5" thickBot="1" x14ac:dyDescent="0.25">
      <c r="A11" s="94"/>
      <c r="B11" s="100" t="s">
        <v>108</v>
      </c>
      <c r="C11" s="104">
        <f>K19+K20</f>
        <v>430</v>
      </c>
      <c r="D11" s="104">
        <f t="shared" si="0"/>
        <v>546.1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9643531</v>
      </c>
      <c r="K12" s="91">
        <f>(J12-I12)*2</f>
        <v>277868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912604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-31994976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4020</v>
      </c>
      <c r="K16" s="93">
        <f>(J16-I16)*160</f>
        <v>800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322799</v>
      </c>
      <c r="K17" s="93">
        <f>(J17-I17)</f>
        <v>1769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26298</v>
      </c>
      <c r="K18" s="93">
        <f>(J18-I18)*160</f>
        <v>5280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159014</v>
      </c>
      <c r="K19" s="93">
        <f>J19-I19</f>
        <v>430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47284</v>
      </c>
      <c r="K21" s="93">
        <f>(J21-I21)*120</f>
        <v>6600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40773</v>
      </c>
      <c r="K22" s="93">
        <f>(J22-I22)*160</f>
        <v>6080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21834</v>
      </c>
      <c r="K23" s="93">
        <f>(J23-I23)*20</f>
        <v>760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256499</v>
      </c>
      <c r="K24" s="93">
        <f>J24-I24</f>
        <v>386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226170</v>
      </c>
      <c r="K25" s="93">
        <f>J25-I25</f>
        <v>38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19849</v>
      </c>
      <c r="K26" s="93">
        <f>(J26-I26)*160</f>
        <v>8000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2022-07-13T14:56:12Z</dcterms:modified>
</cp:coreProperties>
</file>