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S-OFFICE\HEP\doc\"/>
    </mc:Choice>
  </mc:AlternateContent>
  <bookViews>
    <workbookView xWindow="0" yWindow="0" windowWidth="20490" windowHeight="7755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5" i="1" l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<sst xmlns="http://schemas.openxmlformats.org/spreadsheetml/2006/main" count="59" uniqueCount="56">
  <si>
    <t>Orlando</t>
  </si>
  <si>
    <t>Site Name</t>
  </si>
  <si>
    <t>Day</t>
  </si>
  <si>
    <t>Month</t>
  </si>
  <si>
    <t>Year</t>
  </si>
  <si>
    <t>Room Nights</t>
  </si>
  <si>
    <t>Total Guests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</si>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</sst>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0" fontId="2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ownloads\10-21-20%20FS%20Orlando_HEP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Orlando Dai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>
            <v>2.15</v>
          </cell>
          <cell r="E4">
            <v>0</v>
          </cell>
          <cell r="H4">
            <v>2.5379999999999998</v>
          </cell>
          <cell r="I4">
            <v>0</v>
          </cell>
          <cell r="L4">
            <v>0.32400000000000001</v>
          </cell>
          <cell r="M4">
            <v>0</v>
          </cell>
          <cell r="P4">
            <v>0.27100000000000002</v>
          </cell>
          <cell r="Q4">
            <v>0</v>
          </cell>
          <cell r="T4">
            <v>0.311</v>
          </cell>
          <cell r="U4">
            <v>0</v>
          </cell>
          <cell r="X4">
            <v>2.516</v>
          </cell>
          <cell r="Y4">
            <v>0</v>
          </cell>
          <cell r="AB4">
            <v>1.679</v>
          </cell>
          <cell r="AC4">
            <v>0</v>
          </cell>
          <cell r="AF4">
            <v>0.312</v>
          </cell>
          <cell r="AG4">
            <v>0</v>
          </cell>
          <cell r="AJ4">
            <v>0.217</v>
          </cell>
          <cell r="AK4">
            <v>0</v>
          </cell>
          <cell r="AN4">
            <v>1.976</v>
          </cell>
          <cell r="AO4">
            <v>0</v>
          </cell>
          <cell r="AR4">
            <v>0.313</v>
          </cell>
          <cell r="AS4">
            <v>0</v>
          </cell>
          <cell r="AW4">
            <v>0</v>
          </cell>
          <cell r="BG4">
            <v>0</v>
          </cell>
          <cell r="BJ4">
            <v>0</v>
          </cell>
          <cell r="BM4">
            <v>0</v>
          </cell>
          <cell r="BP4">
            <v>0</v>
          </cell>
        </row>
        <row r="5">
          <cell r="D5">
            <v>2.2909999999999999</v>
          </cell>
          <cell r="E5">
            <v>39200</v>
          </cell>
          <cell r="H5">
            <v>2.6030000000000002</v>
          </cell>
          <cell r="I5">
            <v>41600</v>
          </cell>
          <cell r="L5">
            <v>0.33900000000000002</v>
          </cell>
          <cell r="M5">
            <v>11200</v>
          </cell>
          <cell r="P5">
            <v>0.28599999999999998</v>
          </cell>
          <cell r="Q5">
            <v>10000</v>
          </cell>
          <cell r="T5">
            <v>0.315</v>
          </cell>
          <cell r="U5">
            <v>11200</v>
          </cell>
          <cell r="X5">
            <v>2.516</v>
          </cell>
          <cell r="Y5">
            <v>37800</v>
          </cell>
          <cell r="AB5">
            <v>1.968</v>
          </cell>
          <cell r="AC5">
            <v>33600</v>
          </cell>
          <cell r="AF5">
            <v>0.312</v>
          </cell>
          <cell r="AG5">
            <v>4320</v>
          </cell>
          <cell r="AJ5">
            <v>0.27800000000000002</v>
          </cell>
          <cell r="AK5">
            <v>2720</v>
          </cell>
          <cell r="AN5">
            <v>1.976</v>
          </cell>
          <cell r="AO5">
            <v>35400</v>
          </cell>
          <cell r="AR5">
            <v>0.313</v>
          </cell>
          <cell r="AS5">
            <v>1280</v>
          </cell>
          <cell r="AW5">
            <v>342</v>
          </cell>
          <cell r="BG5">
            <v>11000</v>
          </cell>
          <cell r="BJ5">
            <v>1300</v>
          </cell>
          <cell r="BM5">
            <v>854</v>
          </cell>
          <cell r="BP5">
            <v>520</v>
          </cell>
        </row>
        <row r="6">
          <cell r="D6">
            <v>2.2909999999999999</v>
          </cell>
          <cell r="E6">
            <v>47360</v>
          </cell>
          <cell r="H6">
            <v>2.6030000000000002</v>
          </cell>
          <cell r="I6">
            <v>49920</v>
          </cell>
          <cell r="L6">
            <v>0.33900000000000002</v>
          </cell>
          <cell r="M6">
            <v>12000</v>
          </cell>
          <cell r="P6">
            <v>0.28599999999999998</v>
          </cell>
          <cell r="Q6">
            <v>11600</v>
          </cell>
          <cell r="T6">
            <v>0.315</v>
          </cell>
          <cell r="U6">
            <v>12400</v>
          </cell>
          <cell r="X6">
            <v>2.516</v>
          </cell>
          <cell r="Y6">
            <v>44700</v>
          </cell>
          <cell r="AB6">
            <v>1.992</v>
          </cell>
          <cell r="AC6">
            <v>44400</v>
          </cell>
          <cell r="AF6">
            <v>0.36499999999999999</v>
          </cell>
          <cell r="AG6">
            <v>6080</v>
          </cell>
          <cell r="AJ6">
            <v>0.31</v>
          </cell>
          <cell r="AK6">
            <v>4320</v>
          </cell>
          <cell r="AN6">
            <v>1.976</v>
          </cell>
          <cell r="AO6">
            <v>44400</v>
          </cell>
          <cell r="AR6">
            <v>0.313</v>
          </cell>
          <cell r="AS6">
            <v>1600</v>
          </cell>
          <cell r="AW6">
            <v>468</v>
          </cell>
          <cell r="BG6">
            <v>13200</v>
          </cell>
          <cell r="BJ6">
            <v>1800</v>
          </cell>
          <cell r="BM6">
            <v>980</v>
          </cell>
          <cell r="BP6">
            <v>880</v>
          </cell>
        </row>
        <row r="7">
          <cell r="D7">
            <v>2.2909999999999999</v>
          </cell>
          <cell r="E7">
            <v>47200</v>
          </cell>
          <cell r="H7">
            <v>2.6030000000000002</v>
          </cell>
          <cell r="I7">
            <v>49280</v>
          </cell>
          <cell r="L7">
            <v>0.33900000000000002</v>
          </cell>
          <cell r="M7">
            <v>12400</v>
          </cell>
          <cell r="P7">
            <v>0.28599999999999998</v>
          </cell>
          <cell r="Q7">
            <v>11600</v>
          </cell>
          <cell r="T7">
            <v>0.315</v>
          </cell>
          <cell r="U7">
            <v>12000</v>
          </cell>
          <cell r="X7">
            <v>2.516</v>
          </cell>
          <cell r="Y7">
            <v>51300</v>
          </cell>
          <cell r="AB7">
            <v>2.0019999999999998</v>
          </cell>
          <cell r="AC7">
            <v>60900</v>
          </cell>
          <cell r="AF7">
            <v>0.38400000000000001</v>
          </cell>
          <cell r="AG7">
            <v>7040</v>
          </cell>
          <cell r="AJ7">
            <v>0.39100000000000001</v>
          </cell>
          <cell r="AK7">
            <v>5440</v>
          </cell>
          <cell r="AN7">
            <v>1.976</v>
          </cell>
          <cell r="AO7">
            <v>47000</v>
          </cell>
          <cell r="AR7">
            <v>0.313</v>
          </cell>
          <cell r="AS7">
            <v>1640</v>
          </cell>
          <cell r="AW7">
            <v>465</v>
          </cell>
          <cell r="BG7">
            <v>16400</v>
          </cell>
          <cell r="BJ7">
            <v>2300</v>
          </cell>
          <cell r="BM7">
            <v>1000</v>
          </cell>
          <cell r="BP7">
            <v>440</v>
          </cell>
        </row>
      </sheetData>
      <sheetData sheetId="9">
        <row r="4">
          <cell r="E4">
            <v>0</v>
          </cell>
          <cell r="H4">
            <v>0</v>
          </cell>
          <cell r="K4">
            <v>0</v>
          </cell>
          <cell r="N4">
            <v>0</v>
          </cell>
          <cell r="Q4">
            <v>0</v>
          </cell>
          <cell r="U4">
            <v>0</v>
          </cell>
          <cell r="X4">
            <v>0</v>
          </cell>
          <cell r="AB4">
            <v>0</v>
          </cell>
          <cell r="AD4">
            <v>0</v>
          </cell>
          <cell r="AF4">
            <v>0</v>
          </cell>
          <cell r="AH4">
            <v>0</v>
          </cell>
          <cell r="AJ4">
            <v>0</v>
          </cell>
          <cell r="AL4">
            <v>0</v>
          </cell>
          <cell r="AN4">
            <v>0</v>
          </cell>
          <cell r="AP4">
            <v>0</v>
          </cell>
          <cell r="AT4">
            <v>0</v>
          </cell>
          <cell r="AW4">
            <v>0</v>
          </cell>
          <cell r="AY4">
            <v>0</v>
          </cell>
          <cell r="AZ4">
            <v>0</v>
          </cell>
          <cell r="BB4">
            <v>0</v>
          </cell>
          <cell r="BD4">
            <v>0</v>
          </cell>
          <cell r="BF4">
            <v>0</v>
          </cell>
        </row>
        <row r="5">
          <cell r="E5">
            <v>813150</v>
          </cell>
          <cell r="H5">
            <v>2290</v>
          </cell>
          <cell r="K5">
            <v>90</v>
          </cell>
          <cell r="N5">
            <v>502000</v>
          </cell>
          <cell r="Q5">
            <v>13100</v>
          </cell>
          <cell r="U5">
            <v>194600</v>
          </cell>
          <cell r="X5">
            <v>1313800</v>
          </cell>
          <cell r="AB5">
            <v>1060000</v>
          </cell>
          <cell r="AD5">
            <v>224694.7</v>
          </cell>
          <cell r="AF5">
            <v>180</v>
          </cell>
          <cell r="AH5">
            <v>39230</v>
          </cell>
          <cell r="AJ5">
            <v>12126</v>
          </cell>
          <cell r="AL5">
            <v>28000</v>
          </cell>
          <cell r="AN5">
            <v>0</v>
          </cell>
          <cell r="AP5">
            <v>4000</v>
          </cell>
          <cell r="AT5">
            <v>101</v>
          </cell>
          <cell r="AW5">
            <v>67695</v>
          </cell>
          <cell r="AY5">
            <v>56153.88</v>
          </cell>
          <cell r="AZ5">
            <v>11541.120000000003</v>
          </cell>
          <cell r="BB5">
            <v>1500</v>
          </cell>
          <cell r="BD5">
            <v>200</v>
          </cell>
          <cell r="BF5">
            <v>6277</v>
          </cell>
        </row>
        <row r="6">
          <cell r="E6">
            <v>872420</v>
          </cell>
          <cell r="H6">
            <v>46890</v>
          </cell>
          <cell r="K6">
            <v>240</v>
          </cell>
          <cell r="N6">
            <v>637000</v>
          </cell>
          <cell r="Q6">
            <v>3700</v>
          </cell>
          <cell r="U6">
            <v>208400</v>
          </cell>
          <cell r="X6">
            <v>1658100</v>
          </cell>
          <cell r="AB6">
            <v>1390000</v>
          </cell>
          <cell r="AD6">
            <v>269063.8</v>
          </cell>
          <cell r="AF6">
            <v>2730</v>
          </cell>
          <cell r="AH6">
            <v>93490</v>
          </cell>
          <cell r="AJ6">
            <v>16200</v>
          </cell>
          <cell r="AL6">
            <v>64000</v>
          </cell>
          <cell r="AN6">
            <v>0</v>
          </cell>
          <cell r="AP6">
            <v>5700</v>
          </cell>
          <cell r="AT6">
            <v>112</v>
          </cell>
          <cell r="AW6">
            <v>80385</v>
          </cell>
          <cell r="AY6">
            <v>65485.58</v>
          </cell>
          <cell r="AZ6">
            <v>14899.419999999998</v>
          </cell>
          <cell r="BB6">
            <v>6000</v>
          </cell>
          <cell r="BD6">
            <v>400</v>
          </cell>
          <cell r="BF6">
            <v>7505</v>
          </cell>
        </row>
        <row r="7">
          <cell r="E7">
            <v>1116600</v>
          </cell>
          <cell r="H7">
            <v>92840</v>
          </cell>
          <cell r="K7">
            <v>680</v>
          </cell>
          <cell r="N7">
            <v>834000</v>
          </cell>
          <cell r="Q7">
            <v>0</v>
          </cell>
          <cell r="U7">
            <v>210100</v>
          </cell>
          <cell r="X7">
            <v>1172100</v>
          </cell>
          <cell r="AB7">
            <v>1900000</v>
          </cell>
          <cell r="AD7">
            <v>435056.7</v>
          </cell>
          <cell r="AF7">
            <v>1490</v>
          </cell>
          <cell r="AH7">
            <v>127040</v>
          </cell>
          <cell r="AJ7">
            <v>16543</v>
          </cell>
          <cell r="AL7">
            <v>54000</v>
          </cell>
          <cell r="AN7">
            <v>0</v>
          </cell>
          <cell r="AP7">
            <v>5900</v>
          </cell>
          <cell r="AT7">
            <v>175</v>
          </cell>
          <cell r="AW7">
            <v>91539</v>
          </cell>
          <cell r="AY7">
            <v>64400</v>
          </cell>
          <cell r="AZ7">
            <v>27139</v>
          </cell>
          <cell r="BB7">
            <v>4400</v>
          </cell>
          <cell r="BD7">
            <v>1100</v>
          </cell>
          <cell r="BF7">
            <v>7306</v>
          </cell>
        </row>
      </sheetData>
      <sheetData sheetId="10">
        <row r="8">
          <cell r="EI8">
            <v>0</v>
          </cell>
          <cell r="EJ8">
            <v>0</v>
          </cell>
        </row>
        <row r="9">
          <cell r="EI9">
            <v>0</v>
          </cell>
          <cell r="EJ9">
            <v>0</v>
          </cell>
        </row>
        <row r="10">
          <cell r="EI10">
            <v>0</v>
          </cell>
          <cell r="EJ10">
            <v>0</v>
          </cell>
        </row>
        <row r="11">
          <cell r="EI11">
            <v>0</v>
          </cell>
          <cell r="EJ1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7"/>
  <sheetViews>
    <sheetView tabSelected="1" workbookViewId="0">
      <selection activeCell="B3" sqref="B3"/>
    </sheetView>
  </sheetViews>
  <sheetFormatPr defaultRowHeight="15" x14ac:dyDescent="0.25"/>
  <sheetData>
    <row r="1" spans="1:56" s="1" customFormat="1" ht="120" x14ac:dyDescent="0.25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1" t="s">
        <v>39</v>
      </c>
      <c r="AN1" s="11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1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2"/>
    </row>
    <row r="2" spans="1:56" x14ac:dyDescent="0.25">
      <c r="A2" s="1" t="s">
        <v>0</v>
      </c>
      <c r="B2" s="2">
        <v>5</v>
      </c>
      <c r="C2" s="2">
        <v>1</v>
      </c>
      <c r="D2" s="2">
        <v>2020</v>
      </c>
      <c r="E2" s="3">
        <f>'[1]Orlando Daily'!EI8</f>
        <v>0</v>
      </c>
      <c r="F2" s="3">
        <f>'[1]Orlando Daily'!EJ8</f>
        <v>0</v>
      </c>
      <c r="G2" s="4">
        <f>[1]Elect!AW4</f>
        <v>0</v>
      </c>
      <c r="H2" s="4">
        <f>[1]Elect!I4</f>
        <v>0</v>
      </c>
      <c r="I2" s="4">
        <f>[1]Elect!H4</f>
        <v>2.5379999999999998</v>
      </c>
      <c r="J2" s="4">
        <f>[1]Elect!E4</f>
        <v>0</v>
      </c>
      <c r="K2" s="4">
        <f>[1]Elect!D4</f>
        <v>2.15</v>
      </c>
      <c r="L2" s="4">
        <f>[1]Elect!Y4</f>
        <v>0</v>
      </c>
      <c r="M2" s="4">
        <f>[1]Elect!X4</f>
        <v>2.516</v>
      </c>
      <c r="N2" s="4">
        <f>[1]Elect!AS4</f>
        <v>0</v>
      </c>
      <c r="O2" s="4">
        <f>[1]Elect!AR4</f>
        <v>0.313</v>
      </c>
      <c r="P2" s="4">
        <f>[1]Elect!AC4</f>
        <v>0</v>
      </c>
      <c r="Q2" s="4">
        <f>[1]Elect!AB4</f>
        <v>1.679</v>
      </c>
      <c r="R2" s="4">
        <f>[1]Elect!Q4</f>
        <v>0</v>
      </c>
      <c r="S2" s="4">
        <f>[1]Elect!P4</f>
        <v>0.27100000000000002</v>
      </c>
      <c r="T2" s="4">
        <f>[1]Elect!M4</f>
        <v>0</v>
      </c>
      <c r="U2" s="4">
        <f>[1]Elect!L4</f>
        <v>0.32400000000000001</v>
      </c>
      <c r="V2" s="4">
        <f>[1]Elect!U4</f>
        <v>0</v>
      </c>
      <c r="W2" s="4">
        <f>[1]Elect!T4</f>
        <v>0.311</v>
      </c>
      <c r="X2" s="4">
        <f>[1]Elect!AG4</f>
        <v>0</v>
      </c>
      <c r="Y2" s="4">
        <f>[1]Elect!AF4</f>
        <v>0.312</v>
      </c>
      <c r="Z2" s="4">
        <f>[1]Elect!AK4</f>
        <v>0</v>
      </c>
      <c r="AA2" s="4">
        <f>[1]Elect!AJ4</f>
        <v>0.217</v>
      </c>
      <c r="AB2" s="4">
        <f>[1]Elect!AO4</f>
        <v>0</v>
      </c>
      <c r="AC2" s="4">
        <f>[1]Elect!AN4</f>
        <v>1.976</v>
      </c>
      <c r="AD2" s="4">
        <f>[1]Elect!BJ4</f>
        <v>0</v>
      </c>
      <c r="AE2" s="4">
        <f>[1]Elect!BG4</f>
        <v>0</v>
      </c>
      <c r="AF2" s="4">
        <f>[1]Elect!BM4</f>
        <v>0</v>
      </c>
      <c r="AG2" s="4">
        <f>[1]Elect!BP4</f>
        <v>0</v>
      </c>
      <c r="AH2" s="5">
        <f>'[1]Wtr-Gas'!E4</f>
        <v>0</v>
      </c>
      <c r="AI2" s="5">
        <f>'[1]Wtr-Gas'!H4</f>
        <v>0</v>
      </c>
      <c r="AJ2" s="5">
        <f>'[1]Wtr-Gas'!K4</f>
        <v>0</v>
      </c>
      <c r="AK2" s="5">
        <f>'[1]Wtr-Gas'!N4</f>
        <v>0</v>
      </c>
      <c r="AL2" s="5">
        <f>'[1]Wtr-Gas'!Q4</f>
        <v>0</v>
      </c>
      <c r="AM2" s="6">
        <f>'[1]Wtr-Gas'!U4</f>
        <v>0</v>
      </c>
      <c r="AN2" s="6">
        <f>'[1]Wtr-Gas'!X4</f>
        <v>0</v>
      </c>
      <c r="AO2" s="5">
        <f>'[1]Wtr-Gas'!AB4</f>
        <v>0</v>
      </c>
      <c r="AP2" s="5">
        <f>'[1]Wtr-Gas'!AD4</f>
        <v>0</v>
      </c>
      <c r="AQ2" s="5">
        <f>'[1]Wtr-Gas'!AF4</f>
        <v>0</v>
      </c>
      <c r="AR2" s="5">
        <f>'[1]Wtr-Gas'!AH4</f>
        <v>0</v>
      </c>
      <c r="AS2" s="5">
        <f>'[1]Wtr-Gas'!AJ4</f>
        <v>0</v>
      </c>
      <c r="AT2" s="5">
        <f>'[1]Wtr-Gas'!AL4</f>
        <v>0</v>
      </c>
      <c r="AU2" s="5">
        <f>'[1]Wtr-Gas'!AN4</f>
        <v>0</v>
      </c>
      <c r="AV2" s="5">
        <f>'[1]Wtr-Gas'!AP4</f>
        <v>0</v>
      </c>
      <c r="AW2" s="6">
        <f>'[1]Wtr-Gas'!AT4</f>
        <v>0</v>
      </c>
      <c r="AX2" s="5">
        <f>'[1]Wtr-Gas'!AW4</f>
        <v>0</v>
      </c>
      <c r="AY2" s="7">
        <f>'[1]Wtr-Gas'!AY4</f>
        <v>0</v>
      </c>
      <c r="AZ2" s="5">
        <f>'[1]Wtr-Gas'!AZ4</f>
        <v>0</v>
      </c>
      <c r="BA2" s="5">
        <f>'[1]Wtr-Gas'!BB4</f>
        <v>0</v>
      </c>
      <c r="BB2" s="5">
        <f>'[1]Wtr-Gas'!BD4</f>
        <v>0</v>
      </c>
      <c r="BC2" s="5">
        <f>'[1]Wtr-Gas'!BF4</f>
        <v>0</v>
      </c>
    </row>
    <row r="3" spans="1:56" x14ac:dyDescent="0.25">
      <c r="A3" s="1" t="s">
        <v>0</v>
      </c>
      <c r="B3" s="2">
        <v>13</v>
      </c>
      <c r="C3" s="2">
        <v>1</v>
      </c>
      <c r="D3" s="2">
        <v>2020</v>
      </c>
      <c r="E3" s="3">
        <f>'[1]Orlando Daily'!EI9</f>
        <v>0</v>
      </c>
      <c r="F3" s="3">
        <f>'[1]Orlando Daily'!EJ9</f>
        <v>0</v>
      </c>
      <c r="G3" s="4">
        <f>[1]Elect!AW5</f>
        <v>342</v>
      </c>
      <c r="H3" s="4">
        <f>[1]Elect!I5</f>
        <v>41600</v>
      </c>
      <c r="I3" s="4">
        <f>[1]Elect!H5</f>
        <v>2.6030000000000002</v>
      </c>
      <c r="J3" s="4">
        <f>[1]Elect!E5</f>
        <v>39200</v>
      </c>
      <c r="K3" s="4">
        <f>[1]Elect!D5</f>
        <v>2.2909999999999999</v>
      </c>
      <c r="L3" s="4">
        <f>[1]Elect!Y5</f>
        <v>37800</v>
      </c>
      <c r="M3" s="4">
        <f>[1]Elect!X5</f>
        <v>2.516</v>
      </c>
      <c r="N3" s="4">
        <f>[1]Elect!AS5</f>
        <v>1280</v>
      </c>
      <c r="O3" s="4">
        <f>[1]Elect!AR5</f>
        <v>0.313</v>
      </c>
      <c r="P3" s="4">
        <f>[1]Elect!AC5</f>
        <v>33600</v>
      </c>
      <c r="Q3" s="4">
        <f>[1]Elect!AB5</f>
        <v>1.968</v>
      </c>
      <c r="R3" s="4">
        <f>[1]Elect!Q5</f>
        <v>10000</v>
      </c>
      <c r="S3" s="4">
        <f>[1]Elect!P5</f>
        <v>0.28599999999999998</v>
      </c>
      <c r="T3" s="4">
        <f>[1]Elect!M5</f>
        <v>11200</v>
      </c>
      <c r="U3" s="4">
        <f>[1]Elect!L5</f>
        <v>0.33900000000000002</v>
      </c>
      <c r="V3" s="4">
        <f>[1]Elect!U5</f>
        <v>11200</v>
      </c>
      <c r="W3" s="4">
        <f>[1]Elect!T5</f>
        <v>0.315</v>
      </c>
      <c r="X3" s="4">
        <f>[1]Elect!AG5</f>
        <v>4320</v>
      </c>
      <c r="Y3" s="4">
        <f>[1]Elect!AF5</f>
        <v>0.312</v>
      </c>
      <c r="Z3" s="4">
        <f>[1]Elect!AK5</f>
        <v>2720</v>
      </c>
      <c r="AA3" s="4">
        <f>[1]Elect!AJ5</f>
        <v>0.27800000000000002</v>
      </c>
      <c r="AB3" s="4">
        <f>[1]Elect!AO5</f>
        <v>35400</v>
      </c>
      <c r="AC3" s="4">
        <f>[1]Elect!AN5</f>
        <v>1.976</v>
      </c>
      <c r="AD3" s="4">
        <f>[1]Elect!BJ5</f>
        <v>1300</v>
      </c>
      <c r="AE3" s="4">
        <f>[1]Elect!BG5</f>
        <v>11000</v>
      </c>
      <c r="AF3" s="4">
        <f>[1]Elect!BM5</f>
        <v>854</v>
      </c>
      <c r="AG3" s="4">
        <f>[1]Elect!BP5</f>
        <v>520</v>
      </c>
      <c r="AH3" s="5">
        <f>('[1]Wtr-Gas'!E5)*0.0038</f>
        <v>3089.97</v>
      </c>
      <c r="AI3" s="5">
        <f>('[1]Wtr-Gas'!H5)*0.0038</f>
        <v>8.702</v>
      </c>
      <c r="AJ3" s="5">
        <f>'[1]Wtr-Gas'!K5*0.0038</f>
        <v>0.34200000000000003</v>
      </c>
      <c r="AK3" s="5">
        <f>'[1]Wtr-Gas'!N5*0.0038</f>
        <v>1907.6</v>
      </c>
      <c r="AL3" s="5">
        <f>'[1]Wtr-Gas'!Q5*0.0038</f>
        <v>49.78</v>
      </c>
      <c r="AM3" s="6">
        <f>'[1]Wtr-Gas'!U5*0.0038</f>
        <v>739.48</v>
      </c>
      <c r="AN3" s="6">
        <f>'[1]Wtr-Gas'!X5*0.0038</f>
        <v>4992.4399999999996</v>
      </c>
      <c r="AO3" s="5">
        <f>'[1]Wtr-Gas'!AB5*0.0038</f>
        <v>4028</v>
      </c>
      <c r="AP3" s="5">
        <f>'[1]Wtr-Gas'!AD5*0.0038</f>
        <v>853.83986000000004</v>
      </c>
      <c r="AQ3" s="5">
        <f>'[1]Wtr-Gas'!AF5*0.0038</f>
        <v>0.68400000000000005</v>
      </c>
      <c r="AR3" s="5">
        <f>'[1]Wtr-Gas'!AH5*0.0038</f>
        <v>149.07400000000001</v>
      </c>
      <c r="AS3" s="5">
        <f>'[1]Wtr-Gas'!AJ5*0.0038</f>
        <v>46.078800000000001</v>
      </c>
      <c r="AT3" s="5">
        <f>'[1]Wtr-Gas'!AL5*0.0038</f>
        <v>106.4</v>
      </c>
      <c r="AU3" s="5">
        <f>'[1]Wtr-Gas'!AN5*0.0038</f>
        <v>0</v>
      </c>
      <c r="AV3" s="5">
        <f>'[1]Wtr-Gas'!AP5*0.0038</f>
        <v>15.2</v>
      </c>
      <c r="AW3" s="6">
        <f>'[1]Wtr-Gas'!AT5*0.0038</f>
        <v>0.38379999999999997</v>
      </c>
      <c r="AX3" s="5">
        <f>'[1]Wtr-Gas'!AW5*0.0038</f>
        <v>257.24099999999999</v>
      </c>
      <c r="AY3" s="7">
        <f>'[1]Wtr-Gas'!AY5*0.0038</f>
        <v>213.38474399999998</v>
      </c>
      <c r="AZ3" s="5">
        <f>'[1]Wtr-Gas'!AZ5*0.0038</f>
        <v>43.856256000000009</v>
      </c>
      <c r="BA3" s="5">
        <f>'[1]Wtr-Gas'!BB5*0.0038</f>
        <v>5.7</v>
      </c>
      <c r="BB3" s="5">
        <f>'[1]Wtr-Gas'!BD5*0.0038</f>
        <v>0.76</v>
      </c>
      <c r="BC3" s="5">
        <f>'[1]Wtr-Gas'!BF5*0.0038</f>
        <v>23.852599999999999</v>
      </c>
    </row>
    <row r="4" spans="1:56" x14ac:dyDescent="0.25">
      <c r="A4" s="1" t="s">
        <v>0</v>
      </c>
      <c r="B4" s="2">
        <v>19</v>
      </c>
      <c r="C4" s="2">
        <v>1</v>
      </c>
      <c r="D4" s="2">
        <v>2020</v>
      </c>
      <c r="E4" s="3">
        <f>'[1]Orlando Daily'!EI10</f>
        <v>0</v>
      </c>
      <c r="F4" s="3">
        <f>'[1]Orlando Daily'!EJ10</f>
        <v>0</v>
      </c>
      <c r="G4" s="4">
        <f>[1]Elect!AW6</f>
        <v>468</v>
      </c>
      <c r="H4" s="4">
        <f>[1]Elect!I6</f>
        <v>49920</v>
      </c>
      <c r="I4" s="4">
        <f>[1]Elect!H6</f>
        <v>2.6030000000000002</v>
      </c>
      <c r="J4" s="4">
        <f>[1]Elect!E6</f>
        <v>47360</v>
      </c>
      <c r="K4" s="4">
        <f>[1]Elect!D6</f>
        <v>2.2909999999999999</v>
      </c>
      <c r="L4" s="4">
        <f>[1]Elect!Y6</f>
        <v>44700</v>
      </c>
      <c r="M4" s="4">
        <f>[1]Elect!X6</f>
        <v>2.516</v>
      </c>
      <c r="N4" s="4">
        <f>[1]Elect!AS6</f>
        <v>1600</v>
      </c>
      <c r="O4" s="4">
        <f>[1]Elect!AR6</f>
        <v>0.313</v>
      </c>
      <c r="P4" s="4">
        <f>[1]Elect!AC6</f>
        <v>44400</v>
      </c>
      <c r="Q4" s="4">
        <f>[1]Elect!AB6</f>
        <v>1.992</v>
      </c>
      <c r="R4" s="4">
        <f>[1]Elect!Q6</f>
        <v>11600</v>
      </c>
      <c r="S4" s="4">
        <f>[1]Elect!P6</f>
        <v>0.28599999999999998</v>
      </c>
      <c r="T4" s="4">
        <f>[1]Elect!M6</f>
        <v>12000</v>
      </c>
      <c r="U4" s="4">
        <f>[1]Elect!L6</f>
        <v>0.33900000000000002</v>
      </c>
      <c r="V4" s="4">
        <f>[1]Elect!U6</f>
        <v>12400</v>
      </c>
      <c r="W4" s="4">
        <f>[1]Elect!T6</f>
        <v>0.315</v>
      </c>
      <c r="X4" s="4">
        <f>[1]Elect!AG6</f>
        <v>6080</v>
      </c>
      <c r="Y4" s="4">
        <f>[1]Elect!AF6</f>
        <v>0.36499999999999999</v>
      </c>
      <c r="Z4" s="4">
        <f>[1]Elect!AK6</f>
        <v>4320</v>
      </c>
      <c r="AA4" s="4">
        <f>[1]Elect!AJ6</f>
        <v>0.31</v>
      </c>
      <c r="AB4" s="4">
        <f>[1]Elect!AO6</f>
        <v>44400</v>
      </c>
      <c r="AC4" s="4">
        <f>[1]Elect!AN6</f>
        <v>1.976</v>
      </c>
      <c r="AD4" s="4">
        <f>[1]Elect!BJ6</f>
        <v>1800</v>
      </c>
      <c r="AE4" s="4">
        <f>[1]Elect!BG6</f>
        <v>13200</v>
      </c>
      <c r="AF4" s="4">
        <f>[1]Elect!BM6</f>
        <v>980</v>
      </c>
      <c r="AG4" s="4">
        <f>[1]Elect!BP6</f>
        <v>880</v>
      </c>
      <c r="AH4" s="5">
        <f>('[1]Wtr-Gas'!E6)*0.0038</f>
        <v>3315.1959999999999</v>
      </c>
      <c r="AI4" s="5">
        <f>('[1]Wtr-Gas'!H6)*0.0038</f>
        <v>178.18199999999999</v>
      </c>
      <c r="AJ4" s="5">
        <f>'[1]Wtr-Gas'!K6*0.0038</f>
        <v>0.91200000000000003</v>
      </c>
      <c r="AK4" s="5">
        <f>'[1]Wtr-Gas'!N6*0.0038</f>
        <v>2420.6</v>
      </c>
      <c r="AL4" s="5">
        <f>'[1]Wtr-Gas'!Q6*0.0038</f>
        <v>14.06</v>
      </c>
      <c r="AM4" s="6">
        <f>'[1]Wtr-Gas'!U6*0.0038</f>
        <v>791.92</v>
      </c>
      <c r="AN4" s="6">
        <f>'[1]Wtr-Gas'!X6*0.0038</f>
        <v>6300.78</v>
      </c>
      <c r="AO4" s="5">
        <f>'[1]Wtr-Gas'!AB6*0.0038</f>
        <v>5282</v>
      </c>
      <c r="AP4" s="5">
        <f>'[1]Wtr-Gas'!AD6*0.0038</f>
        <v>1022.4424399999999</v>
      </c>
      <c r="AQ4" s="5">
        <f>'[1]Wtr-Gas'!AF6*0.0038</f>
        <v>10.374000000000001</v>
      </c>
      <c r="AR4" s="5">
        <f>'[1]Wtr-Gas'!AH6*0.0038</f>
        <v>355.262</v>
      </c>
      <c r="AS4" s="5">
        <f>'[1]Wtr-Gas'!AJ6*0.0038</f>
        <v>61.56</v>
      </c>
      <c r="AT4" s="5">
        <f>'[1]Wtr-Gas'!AL6*0.0038</f>
        <v>243.2</v>
      </c>
      <c r="AU4" s="5">
        <f>'[1]Wtr-Gas'!AN6*0.0038</f>
        <v>0</v>
      </c>
      <c r="AV4" s="5">
        <f>'[1]Wtr-Gas'!AP6*0.0038</f>
        <v>21.66</v>
      </c>
      <c r="AW4" s="6">
        <f>'[1]Wtr-Gas'!AT6*0.0038</f>
        <v>0.42559999999999998</v>
      </c>
      <c r="AX4" s="5">
        <f>'[1]Wtr-Gas'!AW6*0.0038</f>
        <v>305.46300000000002</v>
      </c>
      <c r="AY4" s="7">
        <f>'[1]Wtr-Gas'!AY6*0.0038</f>
        <v>248.845204</v>
      </c>
      <c r="AZ4" s="5">
        <f>'[1]Wtr-Gas'!AZ6*0.0038</f>
        <v>56.617795999999991</v>
      </c>
      <c r="BA4" s="5">
        <f>'[1]Wtr-Gas'!BB6*0.0038</f>
        <v>22.8</v>
      </c>
      <c r="BB4" s="5">
        <f>'[1]Wtr-Gas'!BD6*0.0038</f>
        <v>1.52</v>
      </c>
      <c r="BC4" s="5">
        <f>'[1]Wtr-Gas'!BF6*0.0038</f>
        <v>28.518999999999998</v>
      </c>
    </row>
    <row r="5" spans="1:56" x14ac:dyDescent="0.25">
      <c r="A5" s="1" t="s">
        <v>0</v>
      </c>
      <c r="B5" s="2">
        <v>26</v>
      </c>
      <c r="C5" s="2">
        <v>1</v>
      </c>
      <c r="D5" s="2">
        <v>2020</v>
      </c>
      <c r="E5" s="3">
        <f>'[1]Orlando Daily'!EI11</f>
        <v>0</v>
      </c>
      <c r="F5" s="3">
        <f>'[1]Orlando Daily'!EJ11</f>
        <v>0</v>
      </c>
      <c r="G5" s="4">
        <f>[1]Elect!AW7</f>
        <v>465</v>
      </c>
      <c r="H5" s="4">
        <f>[1]Elect!I7</f>
        <v>49280</v>
      </c>
      <c r="I5" s="4">
        <f>[1]Elect!H7</f>
        <v>2.6030000000000002</v>
      </c>
      <c r="J5" s="4">
        <f>[1]Elect!E7</f>
        <v>47200</v>
      </c>
      <c r="K5" s="4">
        <f>[1]Elect!D7</f>
        <v>2.2909999999999999</v>
      </c>
      <c r="L5" s="4">
        <f>[1]Elect!Y7</f>
        <v>51300</v>
      </c>
      <c r="M5" s="4">
        <f>[1]Elect!X7</f>
        <v>2.516</v>
      </c>
      <c r="N5" s="4">
        <f>[1]Elect!AS7</f>
        <v>1640</v>
      </c>
      <c r="O5" s="4">
        <f>[1]Elect!AR7</f>
        <v>0.313</v>
      </c>
      <c r="P5" s="4">
        <f>[1]Elect!AC7</f>
        <v>60900</v>
      </c>
      <c r="Q5" s="4">
        <f>[1]Elect!AB7</f>
        <v>2.0019999999999998</v>
      </c>
      <c r="R5" s="4">
        <f>[1]Elect!Q7</f>
        <v>11600</v>
      </c>
      <c r="S5" s="4">
        <f>[1]Elect!P7</f>
        <v>0.28599999999999998</v>
      </c>
      <c r="T5" s="4">
        <f>[1]Elect!M7</f>
        <v>12400</v>
      </c>
      <c r="U5" s="4">
        <f>[1]Elect!L7</f>
        <v>0.33900000000000002</v>
      </c>
      <c r="V5" s="4">
        <f>[1]Elect!U7</f>
        <v>12000</v>
      </c>
      <c r="W5" s="4">
        <f>[1]Elect!T7</f>
        <v>0.315</v>
      </c>
      <c r="X5" s="4">
        <f>[1]Elect!AG7</f>
        <v>7040</v>
      </c>
      <c r="Y5" s="4">
        <f>[1]Elect!AF7</f>
        <v>0.38400000000000001</v>
      </c>
      <c r="Z5" s="4">
        <f>[1]Elect!AK7</f>
        <v>5440</v>
      </c>
      <c r="AA5" s="4">
        <f>[1]Elect!AJ7</f>
        <v>0.39100000000000001</v>
      </c>
      <c r="AB5" s="4">
        <f>[1]Elect!AO7</f>
        <v>47000</v>
      </c>
      <c r="AC5" s="4">
        <f>[1]Elect!AN7</f>
        <v>1.976</v>
      </c>
      <c r="AD5" s="4">
        <f>[1]Elect!BJ7</f>
        <v>2300</v>
      </c>
      <c r="AE5" s="4">
        <f>[1]Elect!BG7</f>
        <v>16400</v>
      </c>
      <c r="AF5" s="4">
        <f>[1]Elect!BM7</f>
        <v>1000</v>
      </c>
      <c r="AG5" s="4">
        <f>[1]Elect!BP7</f>
        <v>440</v>
      </c>
      <c r="AH5" s="5">
        <f>('[1]Wtr-Gas'!E7)*0.0038</f>
        <v>4243.08</v>
      </c>
      <c r="AI5" s="5">
        <f>('[1]Wtr-Gas'!H7)*0.0038</f>
        <v>352.79199999999997</v>
      </c>
      <c r="AJ5" s="5">
        <f>'[1]Wtr-Gas'!K7*0.0038</f>
        <v>2.5840000000000001</v>
      </c>
      <c r="AK5" s="5">
        <f>'[1]Wtr-Gas'!N7*0.0038</f>
        <v>3169.2</v>
      </c>
      <c r="AL5" s="5">
        <f>'[1]Wtr-Gas'!Q7*0.0038</f>
        <v>0</v>
      </c>
      <c r="AM5" s="6">
        <f>'[1]Wtr-Gas'!U7*0.0038</f>
        <v>798.38</v>
      </c>
      <c r="AN5" s="6">
        <f>'[1]Wtr-Gas'!X7*0.0038</f>
        <v>4453.9799999999996</v>
      </c>
      <c r="AO5" s="5">
        <f>'[1]Wtr-Gas'!AB7*0.0038</f>
        <v>7220</v>
      </c>
      <c r="AP5" s="5">
        <f>'[1]Wtr-Gas'!AD7*0.0038</f>
        <v>1653.2154600000001</v>
      </c>
      <c r="AQ5" s="5">
        <f>'[1]Wtr-Gas'!AF7*0.0038</f>
        <v>5.6619999999999999</v>
      </c>
      <c r="AR5" s="5">
        <f>'[1]Wtr-Gas'!AH7*0.0038</f>
        <v>482.75200000000001</v>
      </c>
      <c r="AS5" s="5">
        <f>'[1]Wtr-Gas'!AJ7*0.0038</f>
        <v>62.863399999999999</v>
      </c>
      <c r="AT5" s="5">
        <f>'[1]Wtr-Gas'!AL7*0.0038</f>
        <v>205.2</v>
      </c>
      <c r="AU5" s="5">
        <f>'[1]Wtr-Gas'!AN7*0.0038</f>
        <v>0</v>
      </c>
      <c r="AV5" s="5">
        <f>'[1]Wtr-Gas'!AP7*0.0038</f>
        <v>22.42</v>
      </c>
      <c r="AW5" s="6">
        <f>'[1]Wtr-Gas'!AT7*0.0038</f>
        <v>0.66500000000000004</v>
      </c>
      <c r="AX5" s="5">
        <f>'[1]Wtr-Gas'!AW7*0.0038</f>
        <v>347.84820000000002</v>
      </c>
      <c r="AY5" s="7">
        <f>'[1]Wtr-Gas'!AY7*0.0038</f>
        <v>244.72</v>
      </c>
      <c r="AZ5" s="5">
        <f>'[1]Wtr-Gas'!AZ7*0.0038</f>
        <v>103.12820000000001</v>
      </c>
      <c r="BA5" s="5">
        <f>'[1]Wtr-Gas'!BB7*0.0038</f>
        <v>16.72</v>
      </c>
      <c r="BB5" s="5">
        <f>'[1]Wtr-Gas'!BD7*0.0038</f>
        <v>4.18</v>
      </c>
      <c r="BC5" s="5">
        <f>'[1]Wtr-Gas'!BF7*0.0038</f>
        <v>27.762799999999999</v>
      </c>
    </row>
    <row r="6" spans="1:56" x14ac:dyDescent="0.25">
      <c r="A6" s="1"/>
      <c r="B6" s="2"/>
      <c r="C6" s="2"/>
      <c r="D6" s="2"/>
      <c r="E6" s="3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5"/>
      <c r="AI6" s="5"/>
      <c r="AJ6" s="5"/>
      <c r="AK6" s="5"/>
      <c r="AL6" s="5"/>
      <c r="AM6" s="6"/>
      <c r="AN6" s="6"/>
      <c r="AO6" s="5"/>
      <c r="AP6" s="5"/>
      <c r="AQ6" s="5"/>
      <c r="AR6" s="5"/>
      <c r="AS6" s="5"/>
      <c r="AT6" s="5"/>
      <c r="AU6" s="5"/>
      <c r="AV6" s="5"/>
      <c r="AW6" s="6"/>
      <c r="AX6" s="5"/>
      <c r="AY6" s="7"/>
      <c r="AZ6" s="5"/>
      <c r="BA6" s="5"/>
      <c r="BB6" s="5"/>
      <c r="BC6" s="5"/>
    </row>
    <row r="7" spans="1:56" x14ac:dyDescent="0.25">
      <c r="A7" s="1"/>
      <c r="B7" s="2"/>
      <c r="C7" s="2"/>
      <c r="D7" s="2"/>
      <c r="E7" s="3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5"/>
      <c r="AI7" s="5"/>
      <c r="AJ7" s="5"/>
      <c r="AK7" s="5"/>
      <c r="AL7" s="5"/>
      <c r="AM7" s="6"/>
      <c r="AN7" s="6"/>
      <c r="AO7" s="5"/>
      <c r="AP7" s="5"/>
      <c r="AQ7" s="5"/>
      <c r="AR7" s="5"/>
      <c r="AS7" s="5"/>
      <c r="AT7" s="5"/>
      <c r="AU7" s="5"/>
      <c r="AV7" s="5"/>
      <c r="AW7" s="6"/>
      <c r="AX7" s="5"/>
      <c r="AY7" s="7"/>
      <c r="AZ7" s="5"/>
      <c r="BA7" s="5"/>
      <c r="BB7" s="5"/>
      <c r="BC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2020-10-28T08:59:59Z</dcterms:created>
  <dcterms:modified xsi:type="dcterms:W3CDTF">2020-10-28T12:07:38Z</dcterms:modified>
</cp:coreProperties>
</file>