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F15" i="7" l="1"/>
  <c r="BF13" i="7" l="1"/>
  <c r="AR12" i="7" l="1"/>
  <c r="AZ11" i="7" l="1"/>
  <c r="V11" i="7"/>
  <c r="R10" i="7"/>
  <c r="R9" i="7" l="1"/>
  <c r="BJ7" i="7" l="1"/>
  <c r="AF6" i="7" l="1"/>
  <c r="X6" i="7"/>
  <c r="F5" i="7"/>
  <c r="F6" i="7"/>
  <c r="F7" i="7"/>
  <c r="F4" i="7"/>
  <c r="D5" i="7"/>
  <c r="D6" i="7"/>
  <c r="D7" i="7"/>
  <c r="D8" i="7"/>
  <c r="D9" i="7"/>
  <c r="D10" i="7"/>
  <c r="D11" i="7"/>
  <c r="D12" i="7"/>
  <c r="BZ5" i="7" l="1"/>
  <c r="Z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7" i="7"/>
  <c r="AF9" i="7"/>
  <c r="AF10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6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E5" i="6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<sst xmlns="http://schemas.openxmlformats.org/spreadsheetml/2006/main" count="313" uniqueCount="148">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</sst>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M31" sqref="M3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11</v>
      </c>
      <c r="D2" s="1">
        <v>2020</v>
      </c>
      <c r="E2" s="12">
        <f>Submetering!E2+Submetering!F2+Submetering!G2+Submetering!H2+Submetering!J2-Submetering!AV2</f>
        <v>3950.0000000001364</v>
      </c>
      <c r="F2" s="11">
        <v>0.58765030286592534</v>
      </c>
      <c r="G2" s="12">
        <f>(Submetering!AX2+Submetering!AY2+Submetering!AZ2+Submetering!BA2+Submetering!BB2)</f>
        <v>3.6629999999999998</v>
      </c>
      <c r="H2" s="11">
        <v>0.99</v>
      </c>
      <c r="I2" s="12">
        <f>'FS Desroches Daily'!CM4</f>
        <v>14.399999999999864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11</v>
      </c>
      <c r="D3" s="1">
        <v>2020</v>
      </c>
      <c r="E3" s="12">
        <f>Submetering!E3+Submetering!F3+Submetering!G3+Submetering!H3+Submetering!J3-Submetering!AV3</f>
        <v>4490.0000000001237</v>
      </c>
      <c r="F3" s="11">
        <f>F2</f>
        <v>0.58765030286592534</v>
      </c>
      <c r="G3" s="12">
        <f>(Submetering!AX3+Submetering!AY3+Submetering!AZ3+Submetering!BA3+Submetering!BB3)</f>
        <v>3.6629999999999998</v>
      </c>
      <c r="H3" s="11">
        <f>H2</f>
        <v>0.99</v>
      </c>
      <c r="I3" s="12">
        <f>'FS Desroches Daily'!CM5</f>
        <v>25.900000000000091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11</v>
      </c>
      <c r="D4" s="1">
        <v>2020</v>
      </c>
      <c r="E4" s="12">
        <f>Submetering!E4+Submetering!F4+Submetering!G4+Submetering!H4+Submetering!J4-Submetering!AV4</f>
        <v>6289.9999999997035</v>
      </c>
      <c r="F4" s="11">
        <f t="shared" ref="F4:F32" si="1">F3</f>
        <v>0.58765030286592534</v>
      </c>
      <c r="G4" s="12">
        <f>(Submetering!AX4+Submetering!AY4+Submetering!AZ4+Submetering!BA4+Submetering!BB4)</f>
        <v>5.4944999999999995</v>
      </c>
      <c r="H4" s="11">
        <f t="shared" ref="H4:H32" si="2">H3</f>
        <v>0.99</v>
      </c>
      <c r="I4" s="12">
        <f>'FS Desroches Daily'!CM6</f>
        <v>29.099999999999909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11</v>
      </c>
      <c r="D5" s="1">
        <v>2020</v>
      </c>
      <c r="E5" s="12">
        <f>Submetering!E5+Submetering!F5+Submetering!G5+Submetering!H5+Submetering!J5-Submetering!AV5</f>
        <v>5249.9999999999591</v>
      </c>
      <c r="F5" s="11">
        <f t="shared" si="1"/>
        <v>0.58765030286592534</v>
      </c>
      <c r="G5" s="12">
        <f>(Submetering!AX5+Submetering!AY5+Submetering!AZ5+Submetering!BA5+Submetering!BB5)</f>
        <v>3.6629999999999998</v>
      </c>
      <c r="H5" s="11">
        <f t="shared" si="2"/>
        <v>0.99</v>
      </c>
      <c r="I5" s="12">
        <f>'FS Desroches Daily'!CM7</f>
        <v>17.300000000000182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11</v>
      </c>
      <c r="D6" s="1">
        <v>2020</v>
      </c>
      <c r="E6" s="12">
        <f>Submetering!E6+Submetering!F6+Submetering!G6+Submetering!H6+Submetering!J6-Submetering!AV6</f>
        <v>4360.0000000001619</v>
      </c>
      <c r="F6" s="11">
        <f t="shared" si="1"/>
        <v>0.58765030286592534</v>
      </c>
      <c r="G6" s="12">
        <f>(Submetering!AX6+Submetering!AY6+Submetering!AZ6+Submetering!BA6+Submetering!BB6)</f>
        <v>5.4944999999999995</v>
      </c>
      <c r="H6" s="11">
        <f t="shared" si="2"/>
        <v>0.99</v>
      </c>
      <c r="I6" s="12">
        <f>'FS Desroches Daily'!CM8</f>
        <v>16.599999999999909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11</v>
      </c>
      <c r="D7" s="1">
        <v>2020</v>
      </c>
      <c r="E7" s="12">
        <f>Submetering!E7+Submetering!F7+Submetering!G7+Submetering!H7+Submetering!J7-Submetering!AV7</f>
        <v>4490.0000000003802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15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11</v>
      </c>
      <c r="D8" s="1">
        <v>2020</v>
      </c>
      <c r="E8" s="12">
        <f>Submetering!E8+Submetering!F8+Submetering!G8+Submetering!H8+Submetering!J8-Submetering!AV8</f>
        <v>3529.9999999995325</v>
      </c>
      <c r="F8" s="11">
        <f t="shared" si="1"/>
        <v>0.58765030286592534</v>
      </c>
      <c r="G8" s="12">
        <f>(Submetering!AX8+Submetering!AY8+Submetering!AZ8+Submetering!BA8+Submetering!BB8)</f>
        <v>3.6629999999999998</v>
      </c>
      <c r="H8" s="11">
        <f t="shared" si="2"/>
        <v>0.99</v>
      </c>
      <c r="I8" s="12">
        <f>'FS Desroches Daily'!CM10</f>
        <v>17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11</v>
      </c>
      <c r="D9" s="1">
        <v>2020</v>
      </c>
      <c r="E9" s="12">
        <f>Submetering!E9+Submetering!F9+Submetering!G9+Submetering!H9+Submetering!J9-Submetering!AV9</f>
        <v>3610.0000000000168</v>
      </c>
      <c r="F9" s="11">
        <f t="shared" si="1"/>
        <v>0.58765030286592534</v>
      </c>
      <c r="G9" s="12">
        <f>(Submetering!AX9+Submetering!AY9+Submetering!AZ9+Submetering!BA9+Submetering!BB9)</f>
        <v>7.3259999999999996</v>
      </c>
      <c r="H9" s="11">
        <f t="shared" si="2"/>
        <v>0.99</v>
      </c>
      <c r="I9" s="12">
        <f>'FS Desroches Daily'!CM11</f>
        <v>12.5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11</v>
      </c>
      <c r="D10" s="1">
        <v>2020</v>
      </c>
      <c r="E10" s="12">
        <f>Submetering!E10+Submetering!F10+Submetering!G10+Submetering!H10+Submetering!J10-Submetering!AV10</f>
        <v>4349.9999999994261</v>
      </c>
      <c r="F10" s="11">
        <f t="shared" si="1"/>
        <v>0.58765030286592534</v>
      </c>
      <c r="G10" s="12">
        <f>(Submetering!AX10+Submetering!AY10+Submetering!AZ10+Submetering!BA10+Submetering!BB10)</f>
        <v>5.4944999999999995</v>
      </c>
      <c r="H10" s="11">
        <f t="shared" si="2"/>
        <v>0.99</v>
      </c>
      <c r="I10" s="12">
        <f>'FS Desroches Daily'!CM12</f>
        <v>20.700000000000045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11</v>
      </c>
      <c r="D11" s="1">
        <v>2020</v>
      </c>
      <c r="E11" s="12">
        <f>Submetering!E11+Submetering!F11+Submetering!G11+Submetering!H11+Submetering!J11-Submetering!AV11</f>
        <v>4170.0000000010978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20.5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11</v>
      </c>
      <c r="D12" s="1">
        <v>2020</v>
      </c>
      <c r="E12" s="12">
        <f>Submetering!E12+Submetering!F12+Submetering!G12+Submetering!H12+Submetering!J12-Submetering!AV12</f>
        <v>4199.9999999997381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18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11</v>
      </c>
      <c r="D13" s="1">
        <v>2020</v>
      </c>
      <c r="E13" s="12">
        <f>Submetering!E13+Submetering!F13+Submetering!G13+Submetering!H13+Submetering!J13-Submetering!AV13</f>
        <v>4329.9999999996653</v>
      </c>
      <c r="F13" s="11">
        <f t="shared" si="1"/>
        <v>0.58765030286592534</v>
      </c>
      <c r="G13" s="12">
        <f>(Submetering!AX13+Submetering!AY13+Submetering!AZ13+Submetering!BA13+Submetering!BB13)</f>
        <v>3.6629999999999998</v>
      </c>
      <c r="H13" s="11">
        <f t="shared" si="2"/>
        <v>0.99</v>
      </c>
      <c r="I13" s="12">
        <f>'FS Desroches Daily'!CM15</f>
        <v>31.299999999999955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11</v>
      </c>
      <c r="D14" s="1">
        <v>2020</v>
      </c>
      <c r="E14" s="12">
        <f>Submetering!E14+Submetering!F14+Submetering!G14+Submetering!H14+Submetering!J14-Submetering!AV14</f>
        <v>4699.9999999998035</v>
      </c>
      <c r="F14" s="11">
        <f t="shared" si="1"/>
        <v>0.58765030286592534</v>
      </c>
      <c r="G14" s="12">
        <f>(Submetering!AX14+Submetering!AY14+Submetering!AZ14+Submetering!BA14+Submetering!BB14)</f>
        <v>8595.2294999999995</v>
      </c>
      <c r="H14" s="11">
        <f t="shared" si="2"/>
        <v>0.99</v>
      </c>
      <c r="I14" s="12">
        <f>'FS Desroches Daily'!CM16</f>
        <v>16.299999999999955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11</v>
      </c>
      <c r="D15" s="1">
        <v>2020</v>
      </c>
      <c r="E15" s="12" t="e">
        <f>Submetering!E15+Submetering!F15+Submetering!G15+Submetering!H15+Submetering!J15-Submetering!AV15</f>
        <v>#VALUE!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 t="e">
        <f>'FS Desroches Daily'!CM17</f>
        <v>#VALUE!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11</v>
      </c>
      <c r="D16" s="1">
        <v>2020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11</v>
      </c>
      <c r="D17" s="1">
        <v>2020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11</v>
      </c>
      <c r="D18" s="1">
        <v>2020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11</v>
      </c>
      <c r="D19" s="1">
        <v>2020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11</v>
      </c>
      <c r="D20" s="1">
        <v>2020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11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11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11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11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11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11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11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11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11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11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11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11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34" sqref="D34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11</v>
      </c>
      <c r="D2" s="27">
        <v>2020</v>
      </c>
      <c r="E2" s="31">
        <f>'FS Desroches Daily'!D4</f>
        <v>1299.9999999998568</v>
      </c>
      <c r="F2" s="32">
        <f>'FS Desroches Daily'!F4</f>
        <v>600.00000000037801</v>
      </c>
      <c r="G2" s="31">
        <f>'FS Desroches Daily'!H4</f>
        <v>1399.9999999998458</v>
      </c>
      <c r="H2" s="32">
        <f>'FS Desroches Daily'!J4</f>
        <v>599.99999999993395</v>
      </c>
      <c r="I2" s="31">
        <f>'FS Desroches Daily'!L4</f>
        <v>1600.0000000002678</v>
      </c>
      <c r="J2" s="32">
        <f>'FS Desroches Daily'!N4</f>
        <v>500.00000000016701</v>
      </c>
      <c r="K2" s="13">
        <f>'FS Desroches Daily'!P4</f>
        <v>1</v>
      </c>
      <c r="L2" s="31">
        <f>'FS Desroches Daily'!R4</f>
        <v>1</v>
      </c>
      <c r="M2" s="31">
        <f>'FS Desroches Daily'!T4</f>
        <v>65.800000000046566</v>
      </c>
      <c r="N2" s="31">
        <f>'FS Desroches Daily'!V4</f>
        <v>48.299999999988358</v>
      </c>
      <c r="O2" s="31">
        <f>'FS Desroches Daily'!X4</f>
        <v>79.999999999984084</v>
      </c>
      <c r="P2" s="31">
        <f>'FS Desroches Daily'!Z4</f>
        <v>399.99999999995595</v>
      </c>
      <c r="Q2" s="31">
        <f>'FS Desroches Daily'!AB4</f>
        <v>110.00000000001364</v>
      </c>
      <c r="R2" s="31">
        <f>'FS Desroches Daily'!AD4</f>
        <v>129.99999999999545</v>
      </c>
      <c r="S2" s="31">
        <f>'FS Desroches Daily'!AF4</f>
        <v>120.00000000000455</v>
      </c>
      <c r="T2" s="31">
        <f>'FS Desroches Daily'!AH4</f>
        <v>1.1000000000001364</v>
      </c>
      <c r="U2" s="35">
        <f>'FS Desroches Daily'!AJ4</f>
        <v>230.00000000001819</v>
      </c>
      <c r="V2" s="35">
        <f>'FS Desroches Daily'!AL4</f>
        <v>150.00000000000568</v>
      </c>
      <c r="W2" s="35">
        <f>'FS Desroches Daily'!AN4</f>
        <v>359.99999999998522</v>
      </c>
      <c r="X2" s="35">
        <f>'FS Desroches Daily'!AP4</f>
        <v>259.99999999999091</v>
      </c>
      <c r="Y2" s="35">
        <f>'FS Desroches Daily'!AR4</f>
        <v>19.99999999998181</v>
      </c>
      <c r="Z2" s="35">
        <f>'FS Desroches Daily'!AT4</f>
        <v>30.000000000029559</v>
      </c>
      <c r="AA2" s="35">
        <f>'FS Desroches Daily'!AT4</f>
        <v>30.000000000029559</v>
      </c>
      <c r="AB2" s="35">
        <f>'FS Desroches Daily'!AV4</f>
        <v>19.99999999998181</v>
      </c>
      <c r="AC2" s="35">
        <f>'FS Desroches Daily'!AZ4</f>
        <v>29.999999999972715</v>
      </c>
      <c r="AD2" s="35">
        <f>'FS Desroches Daily'!BB4</f>
        <v>9.9999999999909051</v>
      </c>
      <c r="AE2" s="35">
        <f>'FS Desroches Daily'!BD4</f>
        <v>20.000000000010232</v>
      </c>
      <c r="AF2" s="31">
        <f>'FS Desroches Daily'!BF4</f>
        <v>27</v>
      </c>
      <c r="AG2" s="32">
        <f>'FS Desroches Daily'!BH4</f>
        <v>0</v>
      </c>
      <c r="AH2" s="32">
        <f>'FS Desroches Daily'!BJ4</f>
        <v>9.9999999999909051</v>
      </c>
      <c r="AI2" s="32">
        <f>'FS Desroches Daily'!BL4</f>
        <v>9.9999999999909051</v>
      </c>
      <c r="AJ2" s="32">
        <f>'FS Desroches Daily'!BN4</f>
        <v>9.9999999999909051</v>
      </c>
      <c r="AK2" s="32">
        <f>'FS Desroches Daily'!BP4</f>
        <v>20.000000000038654</v>
      </c>
      <c r="AL2" s="32">
        <f>'FS Desroches Daily'!BR4</f>
        <v>3</v>
      </c>
      <c r="AM2" s="32">
        <f>'FS Desroches Daily'!BT4</f>
        <v>10.000000000019327</v>
      </c>
      <c r="AN2" s="32">
        <f>'FS Desroches Daily'!BV4</f>
        <v>11</v>
      </c>
      <c r="AO2" s="32">
        <f>'FS Desroches Daily'!BX4</f>
        <v>9.9999999999909051</v>
      </c>
      <c r="AP2" s="32">
        <f>'FS Desroches Daily'!BZ4</f>
        <v>12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14.299999999995634</v>
      </c>
      <c r="AU2" s="31">
        <f>'FS Desroches Daily'!CJ4</f>
        <v>195</v>
      </c>
      <c r="AV2" s="31">
        <f>'FS Desroches Daily'!CL4</f>
        <v>450.00000000004547</v>
      </c>
      <c r="AW2" s="31">
        <f>'FS Desroches Daily'!CM4</f>
        <v>14.399999999999864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11</v>
      </c>
      <c r="D3" s="27">
        <v>2020</v>
      </c>
      <c r="E3" s="31">
        <f>'FS Desroches Daily'!D5</f>
        <v>1200.0000000000898</v>
      </c>
      <c r="F3" s="32">
        <f>'FS Desroches Daily'!F5</f>
        <v>599.99999999993395</v>
      </c>
      <c r="G3" s="31">
        <f>'FS Desroches Daily'!H5</f>
        <v>1800.0000000002458</v>
      </c>
      <c r="H3" s="32">
        <f>'FS Desroches Daily'!J5</f>
        <v>899.99999999990087</v>
      </c>
      <c r="I3" s="31">
        <f>'FS Desroches Daily'!L5</f>
        <v>1799.9999999998017</v>
      </c>
      <c r="J3" s="32">
        <f>'FS Desroches Daily'!N5</f>
        <v>499.99999999994492</v>
      </c>
      <c r="K3" s="13">
        <f>'FS Desroches Daily'!P5</f>
        <v>0</v>
      </c>
      <c r="L3" s="31">
        <f>'FS Desroches Daily'!R5</f>
        <v>3</v>
      </c>
      <c r="M3" s="31">
        <f>'FS Desroches Daily'!T5</f>
        <v>355.5</v>
      </c>
      <c r="N3" s="31">
        <f>'FS Desroches Daily'!V5</f>
        <v>143.90000000002328</v>
      </c>
      <c r="O3" s="31">
        <f>'FS Desroches Daily'!X6</f>
        <v>360.00000000001364</v>
      </c>
      <c r="P3" s="31">
        <f>'FS Desroches Daily'!Z5</f>
        <v>499.99999999972289</v>
      </c>
      <c r="Q3" s="31">
        <f>'FS Desroches Daily'!AB5</f>
        <v>129.99999999999545</v>
      </c>
      <c r="R3" s="31">
        <f>'FS Desroches Daily'!AD5</f>
        <v>150.00000000003411</v>
      </c>
      <c r="S3" s="31">
        <f>'FS Desroches Daily'!AF5</f>
        <v>149.99999999997726</v>
      </c>
      <c r="T3" s="31">
        <f>'FS Desroches Daily'!AH5</f>
        <v>1.0999999999999091</v>
      </c>
      <c r="U3" s="35">
        <f>'FS Desroches Daily'!AJ5</f>
        <v>239.99999999995225</v>
      </c>
      <c r="V3" s="35">
        <f>'FS Desroches Daily'!AL5</f>
        <v>159.99999999999659</v>
      </c>
      <c r="W3" s="35">
        <f>'FS Desroches Daily'!AN5</f>
        <v>200.00000000001705</v>
      </c>
      <c r="X3" s="35">
        <f>'FS Desroches Daily'!AP5</f>
        <v>140.00000000001478</v>
      </c>
      <c r="Y3" s="35">
        <f>'FS Desroches Daily'!AR5</f>
        <v>30.000000000001137</v>
      </c>
      <c r="Z3" s="35">
        <f>'FS Desroches Daily'!AT5</f>
        <v>39.99999999996362</v>
      </c>
      <c r="AA3" s="35">
        <f>'FS Desroches Daily'!AT5</f>
        <v>39.99999999996362</v>
      </c>
      <c r="AB3" s="35">
        <f>'FS Desroches Daily'!AV5</f>
        <v>30.000000000029559</v>
      </c>
      <c r="AC3" s="35">
        <f>'FS Desroches Daily'!AZ5</f>
        <v>30.000000000029559</v>
      </c>
      <c r="AD3" s="35">
        <f>'FS Desroches Daily'!BB5</f>
        <v>30.000000000029559</v>
      </c>
      <c r="AE3" s="35">
        <f>'FS Desroches Daily'!BD5</f>
        <v>19.99999999998181</v>
      </c>
      <c r="AF3" s="31">
        <f>'FS Desroches Daily'!BF5</f>
        <v>28</v>
      </c>
      <c r="AG3" s="32">
        <f>'FS Desroches Daily'!BH5</f>
        <v>10.000000000019327</v>
      </c>
      <c r="AH3" s="32">
        <f>'FS Desroches Daily'!BJ5</f>
        <v>10.000000000047748</v>
      </c>
      <c r="AI3" s="32">
        <f>'FS Desroches Daily'!BL5</f>
        <v>0</v>
      </c>
      <c r="AJ3" s="32">
        <f>'FS Desroches Daily'!BN5</f>
        <v>20.000000000010232</v>
      </c>
      <c r="AK3" s="32">
        <f>'FS Desroches Daily'!BP5</f>
        <v>19.99999999998181</v>
      </c>
      <c r="AL3" s="32">
        <f>'FS Desroches Daily'!BR5</f>
        <v>11</v>
      </c>
      <c r="AM3" s="32">
        <f>'FS Desroches Daily'!BT5</f>
        <v>9.9999999999909051</v>
      </c>
      <c r="AN3" s="32">
        <f>'FS Desroches Daily'!BV5</f>
        <v>29</v>
      </c>
      <c r="AO3" s="32">
        <f>'FS Desroches Daily'!BX5</f>
        <v>20.000000000010232</v>
      </c>
      <c r="AP3" s="32">
        <f>'FS Desroches Daily'!BZ5</f>
        <v>30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19.100000000005821</v>
      </c>
      <c r="AU3" s="31">
        <f>'FS Desroches Daily'!CJ5</f>
        <v>209</v>
      </c>
      <c r="AV3" s="31">
        <f>'FS Desroches Daily'!CL5</f>
        <v>509.99999999999091</v>
      </c>
      <c r="AW3" s="31">
        <f>'FS Desroches Daily'!CM5</f>
        <v>25.900000000000091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11</v>
      </c>
      <c r="D4" s="27">
        <v>2020</v>
      </c>
      <c r="E4" s="31">
        <f>'FS Desroches Daily'!D6</f>
        <v>1200.0000000000898</v>
      </c>
      <c r="F4" s="32">
        <f>'FS Desroches Daily'!F6</f>
        <v>1299.9999999996348</v>
      </c>
      <c r="G4" s="31">
        <f>'FS Desroches Daily'!H6</f>
        <v>1799.9999999998017</v>
      </c>
      <c r="H4" s="32">
        <f>'FS Desroches Daily'!J6</f>
        <v>1100.000000000101</v>
      </c>
      <c r="I4" s="31">
        <f>'FS Desroches Daily'!L6</f>
        <v>1800.0000000002458</v>
      </c>
      <c r="J4" s="32">
        <f>'FS Desroches Daily'!N6</f>
        <v>1400.0000000000678</v>
      </c>
      <c r="K4" s="13">
        <f>'FS Desroches Daily'!P6</f>
        <v>1</v>
      </c>
      <c r="L4" s="31">
        <f>'FS Desroches Daily'!R6</f>
        <v>2</v>
      </c>
      <c r="M4" s="31">
        <f>'FS Desroches Daily'!T6</f>
        <v>317.09999999997672</v>
      </c>
      <c r="N4" s="31">
        <f>'FS Desroches Daily'!V6</f>
        <v>163.39999999996508</v>
      </c>
      <c r="O4" s="31">
        <f>'FS Desroches Daily'!X7</f>
        <v>129.99999999999545</v>
      </c>
      <c r="P4" s="31">
        <f>'FS Desroches Daily'!Z6</f>
        <v>700.00000000014495</v>
      </c>
      <c r="Q4" s="31">
        <f>'FS Desroches Daily'!AB6</f>
        <v>139.99999999998636</v>
      </c>
      <c r="R4" s="31">
        <f>'FS Desroches Daily'!AD6</f>
        <v>329.99999999998408</v>
      </c>
      <c r="S4" s="31">
        <f>'FS Desroches Daily'!AF6</f>
        <v>800.00000000001137</v>
      </c>
      <c r="T4" s="31">
        <f>'FS Desroches Daily'!AH6</f>
        <v>1.1000000000001364</v>
      </c>
      <c r="U4" s="35">
        <f>'FS Desroches Daily'!AJ6</f>
        <v>250</v>
      </c>
      <c r="V4" s="35">
        <f>'FS Desroches Daily'!AL6</f>
        <v>169.99999999998749</v>
      </c>
      <c r="W4" s="35">
        <f>'FS Desroches Daily'!AN6</f>
        <v>180.00000000000682</v>
      </c>
      <c r="X4" s="35">
        <f>'FS Desroches Daily'!AP6</f>
        <v>129.99999999999545</v>
      </c>
      <c r="Y4" s="35">
        <f>'FS Desroches Daily'!AR6</f>
        <v>40.000000000020464</v>
      </c>
      <c r="Z4" s="35">
        <f>'FS Desroches Daily'!AT6</f>
        <v>40.000000000020464</v>
      </c>
      <c r="AA4" s="35">
        <f>'FS Desroches Daily'!AT6</f>
        <v>40.000000000020464</v>
      </c>
      <c r="AB4" s="35">
        <f>'FS Desroches Daily'!AV6</f>
        <v>19.99999999998181</v>
      </c>
      <c r="AC4" s="35">
        <f>'FS Desroches Daily'!AZ6</f>
        <v>29.999999999972715</v>
      </c>
      <c r="AD4" s="35">
        <f>'FS Desroches Daily'!BB6</f>
        <v>19.99999999998181</v>
      </c>
      <c r="AE4" s="35">
        <f>'FS Desroches Daily'!BD6</f>
        <v>30.000000000001137</v>
      </c>
      <c r="AF4" s="31">
        <f>'FS Desroches Daily'!BF6</f>
        <v>22</v>
      </c>
      <c r="AG4" s="32">
        <f>'FS Desroches Daily'!BH6</f>
        <v>30.000000000001137</v>
      </c>
      <c r="AH4" s="32">
        <f>'FS Desroches Daily'!BJ6</f>
        <v>19.99999999998181</v>
      </c>
      <c r="AI4" s="32">
        <f>'FS Desroches Daily'!BL6</f>
        <v>30.000000000001137</v>
      </c>
      <c r="AJ4" s="32">
        <f>'FS Desroches Daily'!BN6</f>
        <v>30.000000000001137</v>
      </c>
      <c r="AK4" s="32">
        <f>'FS Desroches Daily'!BP6</f>
        <v>29.999999999972715</v>
      </c>
      <c r="AL4" s="32">
        <f>'FS Desroches Daily'!BR6</f>
        <v>21</v>
      </c>
      <c r="AM4" s="32">
        <f>'FS Desroches Daily'!BT6</f>
        <v>39.999999999992042</v>
      </c>
      <c r="AN4" s="32">
        <f>'FS Desroches Daily'!BV6</f>
        <v>28</v>
      </c>
      <c r="AO4" s="32">
        <f>'FS Desroches Daily'!BX6</f>
        <v>19.99999999998181</v>
      </c>
      <c r="AP4" s="32">
        <f>'FS Desroches Daily'!BZ6</f>
        <v>30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16.399999999994179</v>
      </c>
      <c r="AU4" s="31">
        <f>'FS Desroches Daily'!CJ6</f>
        <v>211</v>
      </c>
      <c r="AV4" s="31">
        <f>'FS Desroches Daily'!CL6</f>
        <v>509.99999999999091</v>
      </c>
      <c r="AW4" s="31">
        <f>'FS Desroches Daily'!CM6</f>
        <v>29.099999999999909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11</v>
      </c>
      <c r="D5" s="27">
        <v>2020</v>
      </c>
      <c r="E5" s="31">
        <f>'FS Desroches Daily'!D7</f>
        <v>1900.0000000000127</v>
      </c>
      <c r="F5" s="32">
        <f>'FS Desroches Daily'!F7</f>
        <v>700.00000000014495</v>
      </c>
      <c r="G5" s="31">
        <f>'FS Desroches Daily'!H7</f>
        <v>1700.0000000000348</v>
      </c>
      <c r="H5" s="32">
        <f>'FS Desroches Daily'!J7</f>
        <v>899.99999999990087</v>
      </c>
      <c r="I5" s="31">
        <f>'FS Desroches Daily'!L7</f>
        <v>1799.9999999998017</v>
      </c>
      <c r="J5" s="32">
        <f>'FS Desroches Daily'!N7</f>
        <v>599.99999999993395</v>
      </c>
      <c r="K5" s="13">
        <f>'FS Desroches Daily'!P7</f>
        <v>1</v>
      </c>
      <c r="L5" s="31">
        <f>'FS Desroches Daily'!R7</f>
        <v>2</v>
      </c>
      <c r="M5" s="31">
        <f>'FS Desroches Daily'!T7</f>
        <v>216.80000000004657</v>
      </c>
      <c r="N5" s="31">
        <f>'FS Desroches Daily'!V7</f>
        <v>125.5</v>
      </c>
      <c r="O5" s="31">
        <f>'FS Desroches Daily'!X8</f>
        <v>109.9999999999568</v>
      </c>
      <c r="P5" s="31">
        <f>'FS Desroches Daily'!Z7</f>
        <v>337.81</v>
      </c>
      <c r="Q5" s="31">
        <f>'FS Desroches Daily'!AB7</f>
        <v>326.68</v>
      </c>
      <c r="R5" s="31">
        <f>'FS Desroches Daily'!AD7</f>
        <v>509.83</v>
      </c>
      <c r="S5" s="31">
        <f>'FS Desroches Daily'!AF7</f>
        <v>189.99999999999773</v>
      </c>
      <c r="T5" s="31">
        <f>'FS Desroches Daily'!AH7</f>
        <v>1.1999999999998181</v>
      </c>
      <c r="U5" s="35">
        <f>'FS Desroches Daily'!AJ7</f>
        <v>220.00000000002728</v>
      </c>
      <c r="V5" s="35">
        <f>'FS Desroches Daily'!AL7</f>
        <v>170.00000000001592</v>
      </c>
      <c r="W5" s="35">
        <f>'FS Desroches Daily'!AN7</f>
        <v>179.9999999999784</v>
      </c>
      <c r="X5" s="35">
        <f>'FS Desroches Daily'!AP7</f>
        <v>109.99999999998522</v>
      </c>
      <c r="Y5" s="35">
        <f>'FS Desroches Daily'!AR7</f>
        <v>169.99999999998749</v>
      </c>
      <c r="Z5" s="35">
        <f>'FS Desroches Daily'!AT7</f>
        <v>180.00000000000682</v>
      </c>
      <c r="AA5" s="35">
        <f>'FS Desroches Daily'!AT7</f>
        <v>180.00000000000682</v>
      </c>
      <c r="AB5" s="35">
        <f>'FS Desroches Daily'!AV7</f>
        <v>110.00000000001364</v>
      </c>
      <c r="AC5" s="35">
        <f>'FS Desroches Daily'!AZ7</f>
        <v>160.00000000002501</v>
      </c>
      <c r="AD5" s="35">
        <f>'FS Desroches Daily'!BB7</f>
        <v>150.00000000003411</v>
      </c>
      <c r="AE5" s="35">
        <f>'FS Desroches Daily'!BD7</f>
        <v>80.000000000012506</v>
      </c>
      <c r="AF5" s="31">
        <f>'FS Desroches Daily'!BF7</f>
        <v>27</v>
      </c>
      <c r="AG5" s="32">
        <f>'FS Desroches Daily'!BH7</f>
        <v>19.99999999998181</v>
      </c>
      <c r="AH5" s="32">
        <f>'FS Desroches Daily'!BJ7</f>
        <v>9.9999999999909051</v>
      </c>
      <c r="AI5" s="32">
        <f>'FS Desroches Daily'!BL7</f>
        <v>9.9999999999909051</v>
      </c>
      <c r="AJ5" s="32">
        <f>'FS Desroches Daily'!BN7</f>
        <v>19.99999999998181</v>
      </c>
      <c r="AK5" s="32">
        <f>'FS Desroches Daily'!BP7</f>
        <v>30.000000000029559</v>
      </c>
      <c r="AL5" s="32">
        <f>'FS Desroches Daily'!BR7</f>
        <v>14</v>
      </c>
      <c r="AM5" s="32">
        <f>'FS Desroches Daily'!BT7</f>
        <v>20.000000000010232</v>
      </c>
      <c r="AN5" s="32">
        <f>'FS Desroches Daily'!BV7</f>
        <v>31</v>
      </c>
      <c r="AO5" s="32">
        <f>'FS Desroches Daily'!BX7</f>
        <v>10.000000000019327</v>
      </c>
      <c r="AP5" s="32">
        <f>'FS Desroches Daily'!BZ7</f>
        <v>26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22</v>
      </c>
      <c r="AU5" s="31">
        <f>'FS Desroches Daily'!CJ7</f>
        <v>207</v>
      </c>
      <c r="AV5" s="31">
        <f>'FS Desroches Daily'!CL7</f>
        <v>550.00000000006821</v>
      </c>
      <c r="AW5" s="31">
        <f>'FS Desroches Daily'!CM7</f>
        <v>17.300000000000182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11</v>
      </c>
      <c r="D6" s="27">
        <v>2020</v>
      </c>
      <c r="E6" s="31">
        <f>'FS Desroches Daily'!D8</f>
        <v>1199.9999999998679</v>
      </c>
      <c r="F6" s="32">
        <f>'FS Desroches Daily'!F8</f>
        <v>700.00000000014495</v>
      </c>
      <c r="G6" s="31">
        <f>'FS Desroches Daily'!H8</f>
        <v>1700.0000000000348</v>
      </c>
      <c r="H6" s="32">
        <f>'FS Desroches Daily'!J8</f>
        <v>800.00000000013392</v>
      </c>
      <c r="I6" s="31">
        <f>'FS Desroches Daily'!L8</f>
        <v>1900.0000000000127</v>
      </c>
      <c r="J6" s="32">
        <f>'FS Desroches Daily'!N8</f>
        <v>499.99999999994492</v>
      </c>
      <c r="K6" s="13">
        <f>'FS Desroches Daily'!P8</f>
        <v>1</v>
      </c>
      <c r="L6" s="31">
        <f>'FS Desroches Daily'!R8</f>
        <v>2</v>
      </c>
      <c r="M6" s="31">
        <f>'FS Desroches Daily'!T8</f>
        <v>136.79999999993015</v>
      </c>
      <c r="N6" s="31">
        <f>'FS Desroches Daily'!V8</f>
        <v>88.100000000034925</v>
      </c>
      <c r="O6" s="31">
        <f>'FS Desroches Daily'!X8</f>
        <v>109.9999999999568</v>
      </c>
      <c r="P6" s="31">
        <f>'FS Desroches Daily'!Z8</f>
        <v>500.00000000016701</v>
      </c>
      <c r="Q6" s="31">
        <f>'FS Desroches Daily'!AB8</f>
        <v>139.99999999998636</v>
      </c>
      <c r="R6" s="31">
        <f>'FS Desroches Daily'!AD8</f>
        <v>129.99999999999545</v>
      </c>
      <c r="S6" s="31">
        <f>'FS Desroches Daily'!AF8</f>
        <v>150.00000000003411</v>
      </c>
      <c r="T6" s="31">
        <f>'FS Desroches Daily'!AH8</f>
        <v>1.1000000000001364</v>
      </c>
      <c r="U6" s="35">
        <f>'FS Desroches Daily'!AJ8</f>
        <v>230.00000000001819</v>
      </c>
      <c r="V6" s="35">
        <f>'FS Desroches Daily'!AL8</f>
        <v>150.00000000000568</v>
      </c>
      <c r="W6" s="35">
        <f>'FS Desroches Daily'!AN8</f>
        <v>129.99999999999545</v>
      </c>
      <c r="X6" s="35">
        <f>'FS Desroches Daily'!AP8</f>
        <v>120.00000000000455</v>
      </c>
      <c r="Y6" s="35">
        <f>'FS Desroches Daily'!AR8</f>
        <v>69.999999999993179</v>
      </c>
      <c r="Z6" s="35">
        <f>'FS Desroches Daily'!AT8</f>
        <v>79.999999999984084</v>
      </c>
      <c r="AA6" s="35">
        <f>'FS Desroches Daily'!AT8</f>
        <v>79.999999999984084</v>
      </c>
      <c r="AB6" s="35">
        <f>'FS Desroches Daily'!AV8</f>
        <v>50.000000000011369</v>
      </c>
      <c r="AC6" s="35">
        <f>'FS Desroches Daily'!AZ8</f>
        <v>50.000000000011369</v>
      </c>
      <c r="AD6" s="35">
        <f>'FS Desroches Daily'!BB8</f>
        <v>29.999999999972715</v>
      </c>
      <c r="AE6" s="35">
        <f>'FS Desroches Daily'!BD8</f>
        <v>9.9999999999909051</v>
      </c>
      <c r="AF6" s="31">
        <f>'FS Desroches Daily'!BF8</f>
        <v>25</v>
      </c>
      <c r="AG6" s="32">
        <f>'FS Desroches Daily'!BH8</f>
        <v>10.000000000019327</v>
      </c>
      <c r="AH6" s="32">
        <f>'FS Desroches Daily'!BJ8</f>
        <v>19.99999999998181</v>
      </c>
      <c r="AI6" s="32">
        <f>'FS Desroches Daily'!BL8</f>
        <v>0</v>
      </c>
      <c r="AJ6" s="32">
        <f>'FS Desroches Daily'!BN8</f>
        <v>20.000000000010232</v>
      </c>
      <c r="AK6" s="32">
        <f>'FS Desroches Daily'!BP8</f>
        <v>19.99999999998181</v>
      </c>
      <c r="AL6" s="32">
        <f>'FS Desroches Daily'!BR8</f>
        <v>12</v>
      </c>
      <c r="AM6" s="32">
        <f>'FS Desroches Daily'!BT8</f>
        <v>19.99999999998181</v>
      </c>
      <c r="AN6" s="32">
        <f>'FS Desroches Daily'!BV8</f>
        <v>31</v>
      </c>
      <c r="AO6" s="32">
        <f>'FS Desroches Daily'!BX8</f>
        <v>9.9999999999909051</v>
      </c>
      <c r="AP6" s="32">
        <f>'FS Desroches Daily'!BZ8</f>
        <v>27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51.900000000001455</v>
      </c>
      <c r="AU6" s="31">
        <f>'FS Desroches Daily'!CJ8</f>
        <v>215</v>
      </c>
      <c r="AV6" s="31">
        <f>'FS Desroches Daily'!CL8</f>
        <v>539.99999999996362</v>
      </c>
      <c r="AW6" s="31">
        <f>'FS Desroches Daily'!CM8</f>
        <v>16.599999999999909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5.4944999999999995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11</v>
      </c>
      <c r="D7" s="27">
        <v>2020</v>
      </c>
      <c r="E7" s="31">
        <f>'FS Desroches Daily'!D9</f>
        <v>1100.000000000101</v>
      </c>
      <c r="F7" s="32">
        <f>'FS Desroches Daily'!F9</f>
        <v>700.00000000014495</v>
      </c>
      <c r="G7" s="31">
        <f>'FS Desroches Daily'!H9</f>
        <v>1500.0000000000568</v>
      </c>
      <c r="H7" s="32">
        <f>'FS Desroches Daily'!J9</f>
        <v>899.99999999990087</v>
      </c>
      <c r="I7" s="31">
        <f>'FS Desroches Daily'!L9</f>
        <v>1900.0000000000127</v>
      </c>
      <c r="J7" s="32">
        <f>'FS Desroches Daily'!N9</f>
        <v>700.00000000014495</v>
      </c>
      <c r="K7" s="13">
        <f>'FS Desroches Daily'!P9</f>
        <v>1</v>
      </c>
      <c r="L7" s="31">
        <f>'FS Desroches Daily'!R9</f>
        <v>4</v>
      </c>
      <c r="M7" s="31">
        <f>'FS Desroches Daily'!T9</f>
        <v>224.40000000002328</v>
      </c>
      <c r="N7" s="31">
        <f>'FS Desroches Daily'!V9</f>
        <v>134.79999999998836</v>
      </c>
      <c r="O7" s="31">
        <f>'FS Desroches Daily'!X9</f>
        <v>110.00000000001364</v>
      </c>
      <c r="P7" s="31">
        <f>'FS Desroches Daily'!Z9</f>
        <v>499.99999999972289</v>
      </c>
      <c r="Q7" s="31">
        <f>'FS Desroches Daily'!AB9</f>
        <v>129.99999999999545</v>
      </c>
      <c r="R7" s="31">
        <f>'FS Desroches Daily'!AD9</f>
        <v>170.00000000001592</v>
      </c>
      <c r="S7" s="31">
        <f>'FS Desroches Daily'!AF9</f>
        <v>269.99999999998181</v>
      </c>
      <c r="T7" s="31">
        <f>'FS Desroches Daily'!AH9</f>
        <v>1.0999999999999091</v>
      </c>
      <c r="U7" s="35">
        <f>'FS Desroches Daily'!AJ9</f>
        <v>239.99999999995225</v>
      </c>
      <c r="V7" s="35">
        <f>'FS Desroches Daily'!AL9</f>
        <v>159.99999999999659</v>
      </c>
      <c r="W7" s="35">
        <f>'FS Desroches Daily'!AN9</f>
        <v>140.00000000001478</v>
      </c>
      <c r="X7" s="35">
        <f>'FS Desroches Daily'!AP9</f>
        <v>129.99999999999545</v>
      </c>
      <c r="Y7" s="35">
        <f>'FS Desroches Daily'!AR9</f>
        <v>30.000000000001137</v>
      </c>
      <c r="Z7" s="35">
        <f>'FS Desroches Daily'!AT9</f>
        <v>30.000000000029559</v>
      </c>
      <c r="AA7" s="35">
        <f>'FS Desroches Daily'!AT9</f>
        <v>30.000000000029559</v>
      </c>
      <c r="AB7" s="35">
        <f>'FS Desroches Daily'!AV9</f>
        <v>29.999999999972715</v>
      </c>
      <c r="AC7" s="35">
        <f>'FS Desroches Daily'!AZ9</f>
        <v>29.999999999972715</v>
      </c>
      <c r="AD7" s="35">
        <f>'FS Desroches Daily'!BB9</f>
        <v>19.99999999998181</v>
      </c>
      <c r="AE7" s="35">
        <f>'FS Desroches Daily'!BD9</f>
        <v>20.000000000010232</v>
      </c>
      <c r="AF7" s="31">
        <f>'FS Desroches Daily'!BF9</f>
        <v>26</v>
      </c>
      <c r="AG7" s="32">
        <f>'FS Desroches Daily'!BH9</f>
        <v>9.9999999999909051</v>
      </c>
      <c r="AH7" s="32">
        <f>'FS Desroches Daily'!BJ9</f>
        <v>10.000000000047748</v>
      </c>
      <c r="AI7" s="32">
        <f>'FS Desroches Daily'!BL9</f>
        <v>9.9999999999909051</v>
      </c>
      <c r="AJ7" s="32">
        <f>'FS Desroches Daily'!BN9</f>
        <v>9.9999999999909051</v>
      </c>
      <c r="AK7" s="32">
        <f>'FS Desroches Daily'!BP9</f>
        <v>30.000000000029559</v>
      </c>
      <c r="AL7" s="32">
        <f>'FS Desroches Daily'!BR9</f>
        <v>15</v>
      </c>
      <c r="AM7" s="32">
        <f>'FS Desroches Daily'!BT9</f>
        <v>10.000000000019327</v>
      </c>
      <c r="AN7" s="32">
        <f>'FS Desroches Daily'!BV9</f>
        <v>32</v>
      </c>
      <c r="AO7" s="32">
        <f>'FS Desroches Daily'!BX9</f>
        <v>9.9999999999909051</v>
      </c>
      <c r="AP7" s="32">
        <f>'FS Desroches Daily'!BZ9</f>
        <v>32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20.700000000004366</v>
      </c>
      <c r="AU7" s="31">
        <f>'FS Desroches Daily'!CJ9</f>
        <v>210</v>
      </c>
      <c r="AV7" s="31">
        <f>'FS Desroches Daily'!CL9</f>
        <v>409.99999999996817</v>
      </c>
      <c r="AW7" s="31">
        <f>'FS Desroches Daily'!CM9</f>
        <v>15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11</v>
      </c>
      <c r="D8" s="27">
        <v>2020</v>
      </c>
      <c r="E8" s="31">
        <f>'FS Desroches Daily'!D10</f>
        <v>899.99999999990087</v>
      </c>
      <c r="F8" s="32">
        <f>'FS Desroches Daily'!F10</f>
        <v>499.99999999972289</v>
      </c>
      <c r="G8" s="31">
        <f>'FS Desroches Daily'!H10</f>
        <v>1399.9999999998458</v>
      </c>
      <c r="H8" s="32">
        <f>'FS Desroches Daily'!J10</f>
        <v>700.00000000014495</v>
      </c>
      <c r="I8" s="31">
        <f>'FS Desroches Daily'!L10</f>
        <v>1700.0000000000348</v>
      </c>
      <c r="J8" s="32">
        <f>'FS Desroches Daily'!N10</f>
        <v>499.99999999994492</v>
      </c>
      <c r="K8" s="13">
        <f>'FS Desroches Daily'!P10</f>
        <v>1</v>
      </c>
      <c r="L8" s="31">
        <f>'FS Desroches Daily'!R10</f>
        <v>4</v>
      </c>
      <c r="M8" s="31">
        <f>'FS Desroches Daily'!T10</f>
        <v>40</v>
      </c>
      <c r="N8" s="31">
        <f>'FS Desroches Daily'!V10</f>
        <v>102</v>
      </c>
      <c r="O8" s="31">
        <f>'FS Desroches Daily'!X10</f>
        <v>69.999999999993179</v>
      </c>
      <c r="P8" s="31">
        <f>'FS Desroches Daily'!Z10</f>
        <v>300.000000000189</v>
      </c>
      <c r="Q8" s="31">
        <f>'FS Desroches Daily'!AB10</f>
        <v>100.00000000002274</v>
      </c>
      <c r="R8" s="31">
        <f>'FS Desroches Daily'!AD10</f>
        <v>120.00000000000455</v>
      </c>
      <c r="S8" s="31">
        <f>'FS Desroches Daily'!AF10</f>
        <v>160.00000000002501</v>
      </c>
      <c r="T8" s="31">
        <f>'FS Desroches Daily'!AH10</f>
        <v>0.90000000000009095</v>
      </c>
      <c r="U8" s="35">
        <f>'FS Desroches Daily'!AJ10</f>
        <v>230.00000000001819</v>
      </c>
      <c r="V8" s="35">
        <f>'FS Desroches Daily'!AL10</f>
        <v>109.99999999998522</v>
      </c>
      <c r="W8" s="35">
        <f>'FS Desroches Daily'!AN10</f>
        <v>120.00000000000455</v>
      </c>
      <c r="X8" s="35">
        <f>'FS Desroches Daily'!AP10</f>
        <v>90.000000000003411</v>
      </c>
      <c r="Y8" s="35">
        <f>'FS Desroches Daily'!AR10</f>
        <v>20.000000000010232</v>
      </c>
      <c r="Z8" s="35">
        <f>'FS Desroches Daily'!AT10</f>
        <v>29.999999999972715</v>
      </c>
      <c r="AA8" s="35">
        <f>'FS Desroches Daily'!AT10</f>
        <v>29.999999999972715</v>
      </c>
      <c r="AB8" s="35">
        <f>'FS Desroches Daily'!AV10</f>
        <v>19.99999999998181</v>
      </c>
      <c r="AC8" s="35">
        <f>'FS Desroches Daily'!AZ10</f>
        <v>79.999999999984084</v>
      </c>
      <c r="AD8" s="35">
        <f>'FS Desroches Daily'!BB10</f>
        <v>30.000000000029559</v>
      </c>
      <c r="AE8" s="35">
        <f>'FS Desroches Daily'!BD10</f>
        <v>19.99999999998181</v>
      </c>
      <c r="AF8" s="31">
        <f>'FS Desroches Daily'!BF10</f>
        <v>28</v>
      </c>
      <c r="AG8" s="32">
        <f>'FS Desroches Daily'!BH10</f>
        <v>9.9999999999909051</v>
      </c>
      <c r="AH8" s="32">
        <f>'FS Desroches Daily'!BJ10</f>
        <v>9.9999999999909051</v>
      </c>
      <c r="AI8" s="32">
        <f>'FS Desroches Daily'!BL10</f>
        <v>0</v>
      </c>
      <c r="AJ8" s="32">
        <f>'FS Desroches Daily'!BN10</f>
        <v>20.000000000010232</v>
      </c>
      <c r="AK8" s="32">
        <f>'FS Desroches Daily'!BP10</f>
        <v>9.9999999999909051</v>
      </c>
      <c r="AL8" s="32">
        <f>'FS Desroches Daily'!BR10</f>
        <v>14</v>
      </c>
      <c r="AM8" s="32">
        <f>'FS Desroches Daily'!BT10</f>
        <v>9.9999999999909051</v>
      </c>
      <c r="AN8" s="32">
        <f>'FS Desroches Daily'!BV10</f>
        <v>23</v>
      </c>
      <c r="AO8" s="32">
        <f>'FS Desroches Daily'!BX10</f>
        <v>10.000000000019327</v>
      </c>
      <c r="AP8" s="32">
        <f>'FS Desroches Daily'!BZ10</f>
        <v>18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16.099999999998545</v>
      </c>
      <c r="AU8" s="31">
        <f>'FS Desroches Daily'!CJ10</f>
        <v>195</v>
      </c>
      <c r="AV8" s="31">
        <f>'FS Desroches Daily'!CL10</f>
        <v>470.00000000002728</v>
      </c>
      <c r="AW8" s="31">
        <f>'FS Desroches Daily'!CM10</f>
        <v>17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3.6629999999999998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11</v>
      </c>
      <c r="D9" s="27">
        <v>2020</v>
      </c>
      <c r="E9" s="31">
        <f>'FS Desroches Daily'!D11</f>
        <v>900.0000000001229</v>
      </c>
      <c r="F9" s="32">
        <f>'FS Desroches Daily'!F11</f>
        <v>500.00000000016701</v>
      </c>
      <c r="G9" s="31">
        <f>'FS Desroches Daily'!H11</f>
        <v>1399.9999999998458</v>
      </c>
      <c r="H9" s="32">
        <f>'FS Desroches Daily'!J11</f>
        <v>799.99999999991189</v>
      </c>
      <c r="I9" s="31">
        <f>'FS Desroches Daily'!L11</f>
        <v>1900.0000000000127</v>
      </c>
      <c r="J9" s="32">
        <f>'FS Desroches Daily'!N11</f>
        <v>399.99999999995595</v>
      </c>
      <c r="K9" s="13">
        <f>'FS Desroches Daily'!P11</f>
        <v>1</v>
      </c>
      <c r="L9" s="31">
        <f>'FS Desroches Daily'!R11</f>
        <v>3</v>
      </c>
      <c r="M9" s="31">
        <f>'FS Desroches Daily'!T11</f>
        <v>61.199999999953434</v>
      </c>
      <c r="N9" s="31" t="str">
        <f>'FS Desroches Daily'!V11</f>
        <v/>
      </c>
      <c r="O9" s="31">
        <f>'FS Desroches Daily'!X11</f>
        <v>80.000000000040927</v>
      </c>
      <c r="P9" s="31">
        <f>'FS Desroches Daily'!Z11</f>
        <v>399.99999999995595</v>
      </c>
      <c r="Q9" s="31">
        <f>'FS Desroches Daily'!AB11</f>
        <v>79.999999999984084</v>
      </c>
      <c r="R9" s="31">
        <f>'FS Desroches Daily'!AD11</f>
        <v>120.00000000000455</v>
      </c>
      <c r="S9" s="31">
        <f>'FS Desroches Daily'!AF11</f>
        <v>129.99999999999545</v>
      </c>
      <c r="T9" s="31">
        <f>'FS Desroches Daily'!AH11</f>
        <v>1</v>
      </c>
      <c r="U9" s="35">
        <f>'FS Desroches Daily'!AJ11</f>
        <v>240.00000000000909</v>
      </c>
      <c r="V9" s="35">
        <f>'FS Desroches Daily'!AL11</f>
        <v>100.00000000002274</v>
      </c>
      <c r="W9" s="35">
        <f>'FS Desroches Daily'!AN11</f>
        <v>129.99999999999545</v>
      </c>
      <c r="X9" s="35">
        <f>'FS Desroches Daily'!AP11</f>
        <v>90.000000000003411</v>
      </c>
      <c r="Y9" s="35">
        <f>'FS Desroches Daily'!AR11</f>
        <v>79.999999999984084</v>
      </c>
      <c r="Z9" s="35">
        <f>'FS Desroches Daily'!AT11</f>
        <v>19.99999999998181</v>
      </c>
      <c r="AA9" s="35">
        <f>'FS Desroches Daily'!AT11</f>
        <v>19.99999999998181</v>
      </c>
      <c r="AB9" s="35">
        <f>'FS Desroches Daily'!AV11</f>
        <v>20.000000000038654</v>
      </c>
      <c r="AC9" s="35" t="str">
        <f>'FS Desroches Daily'!AZ11</f>
        <v/>
      </c>
      <c r="AD9" s="35">
        <f>'FS Desroches Daily'!BB11</f>
        <v>19.99999999998181</v>
      </c>
      <c r="AE9" s="35">
        <f>'FS Desroches Daily'!BD11</f>
        <v>10.000000000019327</v>
      </c>
      <c r="AF9" s="31">
        <f>'FS Desroches Daily'!BF11</f>
        <v>25</v>
      </c>
      <c r="AG9" s="32">
        <f>'FS Desroches Daily'!BH11</f>
        <v>0</v>
      </c>
      <c r="AH9" s="32">
        <f>'FS Desroches Daily'!BJ11</f>
        <v>9.9999999999909051</v>
      </c>
      <c r="AI9" s="32">
        <f>'FS Desroches Daily'!BL11</f>
        <v>0</v>
      </c>
      <c r="AJ9" s="32">
        <f>'FS Desroches Daily'!BN11</f>
        <v>9.9999999999909051</v>
      </c>
      <c r="AK9" s="32">
        <f>'FS Desroches Daily'!BP11</f>
        <v>9.9999999999909051</v>
      </c>
      <c r="AL9" s="32">
        <f>'FS Desroches Daily'!BR11</f>
        <v>15</v>
      </c>
      <c r="AM9" s="32">
        <f>'FS Desroches Daily'!BT11</f>
        <v>9.9999999999909051</v>
      </c>
      <c r="AN9" s="32">
        <f>'FS Desroches Daily'!BV11</f>
        <v>23</v>
      </c>
      <c r="AO9" s="32">
        <f>'FS Desroches Daily'!BX11</f>
        <v>19.99999999998181</v>
      </c>
      <c r="AP9" s="32">
        <f>'FS Desroches Daily'!BZ11</f>
        <v>22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19.400000000001455</v>
      </c>
      <c r="AU9" s="31">
        <f>'FS Desroches Daily'!CJ11</f>
        <v>203</v>
      </c>
      <c r="AV9" s="31">
        <f>'FS Desroches Daily'!CL11</f>
        <v>389.99999999998636</v>
      </c>
      <c r="AW9" s="31">
        <f>'FS Desroches Daily'!CM11</f>
        <v>12.5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11</v>
      </c>
      <c r="D10" s="27">
        <v>2020</v>
      </c>
      <c r="E10" s="31">
        <f>'FS Desroches Daily'!D12</f>
        <v>1099.9999999998788</v>
      </c>
      <c r="F10" s="32">
        <f>'FS Desroches Daily'!F12</f>
        <v>699.99999999970089</v>
      </c>
      <c r="G10" s="31">
        <f>'FS Desroches Daily'!H12</f>
        <v>1500.0000000000568</v>
      </c>
      <c r="H10" s="32">
        <f>'FS Desroches Daily'!J12</f>
        <v>799.99999999991189</v>
      </c>
      <c r="I10" s="31">
        <f>'FS Desroches Daily'!L12</f>
        <v>1900.0000000000127</v>
      </c>
      <c r="J10" s="32">
        <f>'FS Desroches Daily'!N12</f>
        <v>699.99999999992292</v>
      </c>
      <c r="K10" s="13">
        <f>'FS Desroches Daily'!P12</f>
        <v>1</v>
      </c>
      <c r="L10" s="31">
        <f>'FS Desroches Daily'!R12</f>
        <v>3</v>
      </c>
      <c r="M10" s="31">
        <f>'FS Desroches Daily'!T12</f>
        <v>165.60000000009313</v>
      </c>
      <c r="N10" s="31">
        <f>'FS Desroches Daily'!V12</f>
        <v>116.90000000002328</v>
      </c>
      <c r="O10" s="31">
        <f>'FS Desroches Daily'!X12</f>
        <v>89.999999999974989</v>
      </c>
      <c r="P10" s="31">
        <f>'FS Desroches Daily'!Z12</f>
        <v>500.00000000016701</v>
      </c>
      <c r="Q10" s="31">
        <f>'FS Desroches Daily'!AB12</f>
        <v>120.00000000000455</v>
      </c>
      <c r="R10" s="31">
        <f>'FS Desroches Daily'!AD12</f>
        <v>159.99999999996817</v>
      </c>
      <c r="S10" s="31">
        <f>'FS Desroches Daily'!AF12</f>
        <v>259.99999999999091</v>
      </c>
      <c r="T10" s="31">
        <f>'FS Desroches Daily'!AH12</f>
        <v>1.2000000000000455</v>
      </c>
      <c r="U10" s="35">
        <f>'FS Desroches Daily'!AJ12</f>
        <v>250</v>
      </c>
      <c r="V10" s="35">
        <f>'FS Desroches Daily'!AL12</f>
        <v>179.9999999999784</v>
      </c>
      <c r="W10" s="35">
        <f>'FS Desroches Daily'!AN12</f>
        <v>169.99999999998749</v>
      </c>
      <c r="X10" s="35">
        <f>'FS Desroches Daily'!AP12</f>
        <v>120.00000000000455</v>
      </c>
      <c r="Y10" s="35" t="str">
        <f>'FS Desroches Daily'!AR12</f>
        <v/>
      </c>
      <c r="Z10" s="35">
        <f>'FS Desroches Daily'!AT12</f>
        <v>40.000000000020464</v>
      </c>
      <c r="AA10" s="35">
        <f>'FS Desroches Daily'!AT12</f>
        <v>40.000000000020464</v>
      </c>
      <c r="AB10" s="35">
        <f>'FS Desroches Daily'!AV12</f>
        <v>29.999999999972715</v>
      </c>
      <c r="AC10" s="35">
        <f>'FS Desroches Daily'!AZ12</f>
        <v>19.99999999998181</v>
      </c>
      <c r="AD10" s="35">
        <f>'FS Desroches Daily'!BB12</f>
        <v>30.000000000029559</v>
      </c>
      <c r="AE10" s="35">
        <f>'FS Desroches Daily'!BD12</f>
        <v>19.99999999998181</v>
      </c>
      <c r="AF10" s="31">
        <f>'FS Desroches Daily'!BF12</f>
        <v>26</v>
      </c>
      <c r="AG10" s="32">
        <f>'FS Desroches Daily'!BH12</f>
        <v>10.000000000019327</v>
      </c>
      <c r="AH10" s="32">
        <f>'FS Desroches Daily'!BJ12</f>
        <v>9.9999999999909051</v>
      </c>
      <c r="AI10" s="32">
        <f>'FS Desroches Daily'!BL12</f>
        <v>10.000000000019327</v>
      </c>
      <c r="AJ10" s="32">
        <f>'FS Desroches Daily'!BN12</f>
        <v>20.000000000010232</v>
      </c>
      <c r="AK10" s="32">
        <f>'FS Desroches Daily'!BP12</f>
        <v>30.000000000029559</v>
      </c>
      <c r="AL10" s="32">
        <f>'FS Desroches Daily'!BR12</f>
        <v>16</v>
      </c>
      <c r="AM10" s="32">
        <f>'FS Desroches Daily'!BT12</f>
        <v>20.000000000010232</v>
      </c>
      <c r="AN10" s="32">
        <f>'FS Desroches Daily'!BV12</f>
        <v>31</v>
      </c>
      <c r="AO10" s="32">
        <f>'FS Desroches Daily'!BX12</f>
        <v>10.000000000019327</v>
      </c>
      <c r="AP10" s="32">
        <f>'FS Desroches Daily'!BZ12</f>
        <v>26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16.799999999995634</v>
      </c>
      <c r="AU10" s="31">
        <f>'FS Desroches Daily'!CJ12</f>
        <v>215</v>
      </c>
      <c r="AV10" s="31">
        <f>'FS Desroches Daily'!CL12</f>
        <v>450.00000000004547</v>
      </c>
      <c r="AW10" s="31">
        <f>'FS Desroches Daily'!CM12</f>
        <v>20.700000000000045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11</v>
      </c>
      <c r="D11" s="27">
        <v>2020</v>
      </c>
      <c r="E11" s="31">
        <f>'FS Desroches Daily'!D13</f>
        <v>1100.000000000101</v>
      </c>
      <c r="F11" s="32">
        <f>'FS Desroches Daily'!F13</f>
        <v>600.00000000037801</v>
      </c>
      <c r="G11" s="31">
        <f>'FS Desroches Daily'!H13</f>
        <v>1600.0000000002678</v>
      </c>
      <c r="H11" s="32">
        <f>'FS Desroches Daily'!J13</f>
        <v>800.00000000013392</v>
      </c>
      <c r="I11" s="31">
        <f>'FS Desroches Daily'!L13</f>
        <v>2099.9999999999909</v>
      </c>
      <c r="J11" s="32">
        <f>'FS Desroches Daily'!N13</f>
        <v>500.00000000016701</v>
      </c>
      <c r="K11" s="13">
        <f>'FS Desroches Daily'!P13</f>
        <v>0</v>
      </c>
      <c r="L11" s="31">
        <f>'FS Desroches Daily'!R13</f>
        <v>2</v>
      </c>
      <c r="M11" s="31">
        <f>'FS Desroches Daily'!T13</f>
        <v>160.39999999990687</v>
      </c>
      <c r="N11" s="31">
        <f>'FS Desroches Daily'!V13</f>
        <v>108.29999999998836</v>
      </c>
      <c r="O11" s="31">
        <f>'FS Desroches Daily'!X13</f>
        <v>79.999999999984084</v>
      </c>
      <c r="P11" s="31">
        <f>'FS Desroches Daily'!Z13</f>
        <v>399.99999999995595</v>
      </c>
      <c r="Q11" s="31">
        <f>'FS Desroches Daily'!AB13</f>
        <v>120.00000000000455</v>
      </c>
      <c r="R11" s="31">
        <f>'FS Desroches Daily'!AD13</f>
        <v>139.99999999998636</v>
      </c>
      <c r="S11" s="31">
        <f>'FS Desroches Daily'!AF13</f>
        <v>189.99999999999773</v>
      </c>
      <c r="T11" s="31">
        <f>'FS Desroches Daily'!AH13</f>
        <v>1.0999999999999091</v>
      </c>
      <c r="U11" s="35">
        <f>'FS Desroches Daily'!AJ13</f>
        <v>240.00000000000909</v>
      </c>
      <c r="V11" s="35">
        <f>'FS Desroches Daily'!AL13</f>
        <v>129.99999999999545</v>
      </c>
      <c r="W11" s="35">
        <f>'FS Desroches Daily'!AN13</f>
        <v>150.00000000000568</v>
      </c>
      <c r="X11" s="35">
        <f>'FS Desroches Daily'!AP13</f>
        <v>139.99999999998636</v>
      </c>
      <c r="Y11" s="35">
        <f>'FS Desroches Daily'!AR13</f>
        <v>20.000000000010232</v>
      </c>
      <c r="Z11" s="35">
        <f>'FS Desroches Daily'!AT13</f>
        <v>30.000000000029559</v>
      </c>
      <c r="AA11" s="35">
        <f>'FS Desroches Daily'!AT13</f>
        <v>30.000000000029559</v>
      </c>
      <c r="AB11" s="35">
        <f>'FS Desroches Daily'!AV13</f>
        <v>30.000000000029559</v>
      </c>
      <c r="AC11" s="35">
        <f>'FS Desroches Daily'!AZ13</f>
        <v>30.000000000029559</v>
      </c>
      <c r="AD11" s="35">
        <f>'FS Desroches Daily'!BB13</f>
        <v>29.999999999972715</v>
      </c>
      <c r="AE11" s="35">
        <f>'FS Desroches Daily'!BD13</f>
        <v>10.000000000019327</v>
      </c>
      <c r="AF11" s="31">
        <f>'FS Desroches Daily'!BF13</f>
        <v>26</v>
      </c>
      <c r="AG11" s="32">
        <f>'FS Desroches Daily'!BH13</f>
        <v>9.9999999999909051</v>
      </c>
      <c r="AH11" s="32">
        <f>'FS Desroches Daily'!BJ13</f>
        <v>9.9999999999909051</v>
      </c>
      <c r="AI11" s="32">
        <f>'FS Desroches Daily'!BL13</f>
        <v>0</v>
      </c>
      <c r="AJ11" s="32">
        <f>'FS Desroches Daily'!BN13</f>
        <v>9.9999999999909051</v>
      </c>
      <c r="AK11" s="32">
        <f>'FS Desroches Daily'!BP13</f>
        <v>19.99999999998181</v>
      </c>
      <c r="AL11" s="32">
        <f>'FS Desroches Daily'!BR13</f>
        <v>13</v>
      </c>
      <c r="AM11" s="32">
        <f>'FS Desroches Daily'!BT13</f>
        <v>9.9999999999909051</v>
      </c>
      <c r="AN11" s="32">
        <f>'FS Desroches Daily'!BV13</f>
        <v>27</v>
      </c>
      <c r="AO11" s="32">
        <f>'FS Desroches Daily'!BX13</f>
        <v>9.9999999999909051</v>
      </c>
      <c r="AP11" s="32">
        <f>'FS Desroches Daily'!BZ13</f>
        <v>24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23</v>
      </c>
      <c r="AU11" s="31">
        <f>'FS Desroches Daily'!CJ13</f>
        <v>217</v>
      </c>
      <c r="AV11" s="31">
        <f>'FS Desroches Daily'!CL13</f>
        <v>429.99999999994998</v>
      </c>
      <c r="AW11" s="31">
        <f>'FS Desroches Daily'!CM13</f>
        <v>20.5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11</v>
      </c>
      <c r="D12" s="27">
        <v>2020</v>
      </c>
      <c r="E12" s="31">
        <f>'FS Desroches Daily'!D14</f>
        <v>1099.9999999998788</v>
      </c>
      <c r="F12" s="32">
        <f>'FS Desroches Daily'!F14</f>
        <v>599.99999999993395</v>
      </c>
      <c r="G12" s="31">
        <f>'FS Desroches Daily'!H14</f>
        <v>1500.0000000000568</v>
      </c>
      <c r="H12" s="32">
        <f>'FS Desroches Daily'!J14</f>
        <v>799.99999999991189</v>
      </c>
      <c r="I12" s="31">
        <f>'FS Desroches Daily'!L14</f>
        <v>1999.9999999997797</v>
      </c>
      <c r="J12" s="32">
        <f>'FS Desroches Daily'!N14</f>
        <v>599.99999999993395</v>
      </c>
      <c r="K12" s="13">
        <f>'FS Desroches Daily'!P14</f>
        <v>1</v>
      </c>
      <c r="L12" s="31">
        <f>'FS Desroches Daily'!R14</f>
        <v>2</v>
      </c>
      <c r="M12" s="31">
        <f>'FS Desroches Daily'!T14</f>
        <v>234</v>
      </c>
      <c r="N12" s="31">
        <f>'FS Desroches Daily'!V14</f>
        <v>147.40000000002328</v>
      </c>
      <c r="O12" s="31">
        <f>'FS Desroches Daily'!X14</f>
        <v>90.000000000031832</v>
      </c>
      <c r="P12" s="31">
        <f>'FS Desroches Daily'!Z14</f>
        <v>499.99999999972289</v>
      </c>
      <c r="Q12" s="31">
        <f>'FS Desroches Daily'!AB14</f>
        <v>120.00000000000455</v>
      </c>
      <c r="R12" s="31">
        <f>'FS Desroches Daily'!AD14</f>
        <v>150.00000000003411</v>
      </c>
      <c r="S12" s="31">
        <f>'FS Desroches Daily'!AF14</f>
        <v>170.00000000001592</v>
      </c>
      <c r="T12" s="31">
        <f>'FS Desroches Daily'!AH14</f>
        <v>1.0999999999999091</v>
      </c>
      <c r="U12" s="35">
        <f>'FS Desroches Daily'!AJ14</f>
        <v>219.99999999997044</v>
      </c>
      <c r="V12" s="35">
        <f>'FS Desroches Daily'!AL14</f>
        <v>170.00000000001592</v>
      </c>
      <c r="W12" s="35">
        <f>'FS Desroches Daily'!AN14</f>
        <v>180.00000000000682</v>
      </c>
      <c r="X12" s="35">
        <f>'FS Desroches Daily'!AP14</f>
        <v>160.00000000002501</v>
      </c>
      <c r="Y12" s="35">
        <f>'FS Desroches Daily'!AR14</f>
        <v>30.000000000001137</v>
      </c>
      <c r="Z12" s="35">
        <f>'FS Desroches Daily'!AT14</f>
        <v>39.99999999996362</v>
      </c>
      <c r="AA12" s="35">
        <f>'FS Desroches Daily'!AT14</f>
        <v>39.99999999996362</v>
      </c>
      <c r="AB12" s="35">
        <f>'FS Desroches Daily'!AV14</f>
        <v>29.999999999972715</v>
      </c>
      <c r="AC12" s="35">
        <f>'FS Desroches Daily'!AZ14</f>
        <v>29.999999999972715</v>
      </c>
      <c r="AD12" s="35">
        <f>'FS Desroches Daily'!BB14</f>
        <v>20.000000000038654</v>
      </c>
      <c r="AE12" s="35">
        <f>'FS Desroches Daily'!BD14</f>
        <v>19.99999999998181</v>
      </c>
      <c r="AF12" s="31">
        <f>'FS Desroches Daily'!BF14</f>
        <v>30</v>
      </c>
      <c r="AG12" s="32">
        <f>'FS Desroches Daily'!BH14</f>
        <v>9.9999999999909051</v>
      </c>
      <c r="AH12" s="32">
        <f>'FS Desroches Daily'!BJ14</f>
        <v>9.9999999999909051</v>
      </c>
      <c r="AI12" s="32">
        <f>'FS Desroches Daily'!BL14</f>
        <v>9.9999999999909051</v>
      </c>
      <c r="AJ12" s="32">
        <f>'FS Desroches Daily'!BN14</f>
        <v>9.9999999999909051</v>
      </c>
      <c r="AK12" s="32">
        <f>'FS Desroches Daily'!BP14</f>
        <v>19.99999999998181</v>
      </c>
      <c r="AL12" s="32">
        <f>'FS Desroches Daily'!BR14</f>
        <v>3</v>
      </c>
      <c r="AM12" s="32">
        <f>'FS Desroches Daily'!BT14</f>
        <v>10.000000000019327</v>
      </c>
      <c r="AN12" s="32">
        <f>'FS Desroches Daily'!BV14</f>
        <v>26</v>
      </c>
      <c r="AO12" s="32">
        <f>'FS Desroches Daily'!BX14</f>
        <v>9.9999999999909051</v>
      </c>
      <c r="AP12" s="32">
        <f>'FS Desroches Daily'!BZ14</f>
        <v>28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17.599999999998545</v>
      </c>
      <c r="AU12" s="31">
        <f>'FS Desroches Daily'!CJ14</f>
        <v>207</v>
      </c>
      <c r="AV12" s="31">
        <f>'FS Desroches Daily'!CL14</f>
        <v>399.99999999997726</v>
      </c>
      <c r="AW12" s="31">
        <f>'FS Desroches Daily'!CM14</f>
        <v>18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11</v>
      </c>
      <c r="D13" s="27">
        <v>2020</v>
      </c>
      <c r="E13" s="31">
        <f>'FS Desroches Daily'!D15</f>
        <v>1100.000000000101</v>
      </c>
      <c r="F13" s="32">
        <f>'FS Desroches Daily'!F15</f>
        <v>699.99999999970089</v>
      </c>
      <c r="G13" s="31">
        <f>'FS Desroches Daily'!H15</f>
        <v>1599.9999999998238</v>
      </c>
      <c r="H13" s="32">
        <f>'FS Desroches Daily'!J15</f>
        <v>900.0000000001229</v>
      </c>
      <c r="I13" s="31">
        <f>'FS Desroches Daily'!L15</f>
        <v>2000.0000000002237</v>
      </c>
      <c r="J13" s="32">
        <f>'FS Desroches Daily'!N15</f>
        <v>499.99999999994492</v>
      </c>
      <c r="K13" s="13">
        <f>'FS Desroches Daily'!P15</f>
        <v>1</v>
      </c>
      <c r="L13" s="31">
        <f>'FS Desroches Daily'!R15</f>
        <v>2</v>
      </c>
      <c r="M13" s="31">
        <f>'FS Desroches Daily'!T15</f>
        <v>151</v>
      </c>
      <c r="N13" s="31">
        <f>'FS Desroches Daily'!V15</f>
        <v>100.29999999998836</v>
      </c>
      <c r="O13" s="31">
        <f>'FS Desroches Daily'!X15</f>
        <v>99.999999999965894</v>
      </c>
      <c r="P13" s="31">
        <f>'FS Desroches Daily'!Z15</f>
        <v>399.99999999995595</v>
      </c>
      <c r="Q13" s="31">
        <f>'FS Desroches Daily'!AB15</f>
        <v>120.00000000000455</v>
      </c>
      <c r="R13" s="31">
        <f>'FS Desroches Daily'!AD15</f>
        <v>139.99999999998636</v>
      </c>
      <c r="S13" s="31">
        <f>'FS Desroches Daily'!AF15</f>
        <v>159.99999999996817</v>
      </c>
      <c r="T13" s="31">
        <f>'FS Desroches Daily'!AH15</f>
        <v>1.2000000000000455</v>
      </c>
      <c r="U13" s="35">
        <f>'FS Desroches Daily'!AJ15</f>
        <v>210.00000000003638</v>
      </c>
      <c r="V13" s="35">
        <f>'FS Desroches Daily'!AL15</f>
        <v>169.99999999998749</v>
      </c>
      <c r="W13" s="35">
        <f>'FS Desroches Daily'!AN15</f>
        <v>169.99999999998749</v>
      </c>
      <c r="X13" s="35">
        <f>'FS Desroches Daily'!AP15</f>
        <v>159.99999999999659</v>
      </c>
      <c r="Y13" s="35">
        <f>'FS Desroches Daily'!AR15</f>
        <v>30.000000000001137</v>
      </c>
      <c r="Z13" s="35">
        <f>'FS Desroches Daily'!AT15</f>
        <v>30.000000000029559</v>
      </c>
      <c r="AA13" s="35">
        <f>'FS Desroches Daily'!AT15</f>
        <v>30.000000000029559</v>
      </c>
      <c r="AB13" s="35">
        <f>'FS Desroches Daily'!AV15</f>
        <v>30.000000000029559</v>
      </c>
      <c r="AC13" s="35">
        <f>'FS Desroches Daily'!AZ15</f>
        <v>30.000000000029559</v>
      </c>
      <c r="AD13" s="35">
        <f>'FS Desroches Daily'!BB15</f>
        <v>29.999999999972715</v>
      </c>
      <c r="AE13" s="35">
        <f>'FS Desroches Daily'!BD15</f>
        <v>20.000000000010232</v>
      </c>
      <c r="AF13" s="31">
        <f>'FS Desroches Daily'!BF15</f>
        <v>30</v>
      </c>
      <c r="AG13" s="32">
        <f>'FS Desroches Daily'!BH15</f>
        <v>10.000000000019327</v>
      </c>
      <c r="AH13" s="32">
        <f>'FS Desroches Daily'!BJ15</f>
        <v>10.000000000047748</v>
      </c>
      <c r="AI13" s="32">
        <f>'FS Desroches Daily'!BL15</f>
        <v>9.9999999999909051</v>
      </c>
      <c r="AJ13" s="32">
        <f>'FS Desroches Daily'!BN15</f>
        <v>20.000000000010232</v>
      </c>
      <c r="AK13" s="32">
        <f>'FS Desroches Daily'!BP15</f>
        <v>19.99999999998181</v>
      </c>
      <c r="AL13" s="32">
        <f>'FS Desroches Daily'!BR15</f>
        <v>12</v>
      </c>
      <c r="AM13" s="32">
        <f>'FS Desroches Daily'!BT15</f>
        <v>9.9999999999909051</v>
      </c>
      <c r="AN13" s="32">
        <f>'FS Desroches Daily'!BV15</f>
        <v>40</v>
      </c>
      <c r="AO13" s="32">
        <f>'FS Desroches Daily'!BX15</f>
        <v>9.9999999999909051</v>
      </c>
      <c r="AP13" s="32">
        <f>'FS Desroches Daily'!BZ15</f>
        <v>24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21</v>
      </c>
      <c r="AU13" s="31">
        <f>'FS Desroches Daily'!CJ15</f>
        <v>213</v>
      </c>
      <c r="AV13" s="31">
        <f>'FS Desroches Daily'!CL15</f>
        <v>470.00000000002728</v>
      </c>
      <c r="AW13" s="31">
        <f>'FS Desroches Daily'!CM15</f>
        <v>31.299999999999955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11</v>
      </c>
      <c r="D14" s="27">
        <v>2020</v>
      </c>
      <c r="E14" s="31">
        <f>'FS Desroches Daily'!D16</f>
        <v>1199.9999999998679</v>
      </c>
      <c r="F14" s="32">
        <f>'FS Desroches Daily'!F16</f>
        <v>700.00000000014495</v>
      </c>
      <c r="G14" s="31">
        <f>'FS Desroches Daily'!H16</f>
        <v>1900.0000000000127</v>
      </c>
      <c r="H14" s="32">
        <f>'FS Desroches Daily'!J16</f>
        <v>899.99999999990087</v>
      </c>
      <c r="I14" s="31">
        <f>'FS Desroches Daily'!L16</f>
        <v>2099.9999999999909</v>
      </c>
      <c r="J14" s="32">
        <f>'FS Desroches Daily'!N16</f>
        <v>699.99999999992292</v>
      </c>
      <c r="K14" s="13">
        <f>'FS Desroches Daily'!P16</f>
        <v>1</v>
      </c>
      <c r="L14" s="31">
        <f>'FS Desroches Daily'!R16</f>
        <v>3</v>
      </c>
      <c r="M14" s="31">
        <f>'FS Desroches Daily'!T16</f>
        <v>209.20000000006985</v>
      </c>
      <c r="N14" s="31">
        <f>'FS Desroches Daily'!V16</f>
        <v>139.79999999998836</v>
      </c>
      <c r="O14" s="31">
        <f>'FS Desroches Daily'!X16</f>
        <v>90.000000000031832</v>
      </c>
      <c r="P14" s="31">
        <f>'FS Desroches Daily'!Z16</f>
        <v>500.00000000016701</v>
      </c>
      <c r="Q14" s="31">
        <f>'FS Desroches Daily'!AB16</f>
        <v>129.99999999999545</v>
      </c>
      <c r="R14" s="31">
        <f>'FS Desroches Daily'!AD16</f>
        <v>170.00000000001592</v>
      </c>
      <c r="S14" s="31">
        <f>'FS Desroches Daily'!AF16</f>
        <v>259.99999999999091</v>
      </c>
      <c r="T14" s="31">
        <f>'FS Desroches Daily'!AH16</f>
        <v>1.2999999999999545</v>
      </c>
      <c r="U14" s="35">
        <f>'FS Desroches Daily'!AJ16</f>
        <v>219.99999999997044</v>
      </c>
      <c r="V14" s="35">
        <f>'FS Desroches Daily'!AL16</f>
        <v>180.00000000000682</v>
      </c>
      <c r="W14" s="35">
        <f>'FS Desroches Daily'!AN16</f>
        <v>170.00000000001592</v>
      </c>
      <c r="X14" s="35">
        <f>'FS Desroches Daily'!AP16</f>
        <v>159.99999999999659</v>
      </c>
      <c r="Y14" s="35">
        <f>'FS Desroches Daily'!AR16</f>
        <v>39.999999999992042</v>
      </c>
      <c r="Z14" s="35">
        <f>'FS Desroches Daily'!AT16</f>
        <v>39.99999999996362</v>
      </c>
      <c r="AA14" s="35">
        <f>'FS Desroches Daily'!AT16</f>
        <v>39.99999999996362</v>
      </c>
      <c r="AB14" s="35">
        <f>'FS Desroches Daily'!AV16</f>
        <v>29.999999999972715</v>
      </c>
      <c r="AC14" s="35">
        <f>'FS Desroches Daily'!AZ16</f>
        <v>29.999999999972715</v>
      </c>
      <c r="AD14" s="35">
        <f>'FS Desroches Daily'!BB16</f>
        <v>29.999999999972715</v>
      </c>
      <c r="AE14" s="35">
        <f>'FS Desroches Daily'!BD16</f>
        <v>20.000000000010232</v>
      </c>
      <c r="AF14" s="31">
        <f>'FS Desroches Daily'!BF16</f>
        <v>37</v>
      </c>
      <c r="AG14" s="32">
        <f>'FS Desroches Daily'!BH16</f>
        <v>30.000000000001137</v>
      </c>
      <c r="AH14" s="32">
        <f>'FS Desroches Daily'!BJ16</f>
        <v>19.99999999998181</v>
      </c>
      <c r="AI14" s="32">
        <f>'FS Desroches Daily'!BL16</f>
        <v>0</v>
      </c>
      <c r="AJ14" s="32">
        <f>'FS Desroches Daily'!BN16</f>
        <v>9.9999999999909051</v>
      </c>
      <c r="AK14" s="32">
        <f>'FS Desroches Daily'!BP16</f>
        <v>20.000000000038654</v>
      </c>
      <c r="AL14" s="32">
        <f>'FS Desroches Daily'!BR16</f>
        <v>11</v>
      </c>
      <c r="AM14" s="32">
        <f>'FS Desroches Daily'!BT16</f>
        <v>9.9999999999909051</v>
      </c>
      <c r="AN14" s="32">
        <f>'FS Desroches Daily'!BV16</f>
        <v>40</v>
      </c>
      <c r="AO14" s="32">
        <f>'FS Desroches Daily'!BX16</f>
        <v>10.000000000019327</v>
      </c>
      <c r="AP14" s="32">
        <f>'FS Desroches Daily'!BZ16</f>
        <v>26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28.5</v>
      </c>
      <c r="AU14" s="31">
        <f>'FS Desroches Daily'!CJ16</f>
        <v>217</v>
      </c>
      <c r="AV14" s="31">
        <f>'FS Desroches Daily'!CL16</f>
        <v>700.00000000004547</v>
      </c>
      <c r="AW14" s="31">
        <f>'FS Desroches Daily'!CM16</f>
        <v>16.299999999999955</v>
      </c>
      <c r="AX14" s="31">
        <f>IF(LPG!F21-LPG!G21&lt;0,"0",(LPG!F21-LPG!G21)*1.8315)</f>
        <v>8589.7349999999988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5.4944999999999995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11</v>
      </c>
      <c r="D15" s="27">
        <v>2020</v>
      </c>
      <c r="E15" s="31" t="str">
        <f>'FS Desroches Daily'!D17</f>
        <v>0</v>
      </c>
      <c r="F15" s="32" t="str">
        <f>'FS Desroches Daily'!F17</f>
        <v>0</v>
      </c>
      <c r="G15" s="31" t="str">
        <f>'FS Desroches Daily'!H17</f>
        <v>0</v>
      </c>
      <c r="H15" s="32" t="str">
        <f>'FS Desroches Daily'!J17</f>
        <v>0</v>
      </c>
      <c r="I15" s="31" t="str">
        <f>'FS Desroches Daily'!L17</f>
        <v>0</v>
      </c>
      <c r="J15" s="32" t="str">
        <f>'FS Desroches Daily'!N17</f>
        <v/>
      </c>
      <c r="K15" s="13" t="str">
        <f>'FS Desroches Daily'!P17</f>
        <v/>
      </c>
      <c r="L15" s="31" t="str">
        <f>'FS Desroches Daily'!R17</f>
        <v/>
      </c>
      <c r="M15" s="31" t="str">
        <f>'FS Desroches Daily'!T17</f>
        <v/>
      </c>
      <c r="N15" s="31" t="str">
        <f>'FS Desroches Daily'!V17</f>
        <v/>
      </c>
      <c r="O15" s="31" t="str">
        <f>'FS Desroches Daily'!X17</f>
        <v/>
      </c>
      <c r="P15" s="31" t="str">
        <f>'FS Desroches Daily'!Z17</f>
        <v/>
      </c>
      <c r="Q15" s="31" t="str">
        <f>'FS Desroches Daily'!AB17</f>
        <v/>
      </c>
      <c r="R15" s="31" t="str">
        <f>'FS Desroches Daily'!AD17</f>
        <v/>
      </c>
      <c r="S15" s="31" t="str">
        <f>'FS Desroches Daily'!AF17</f>
        <v/>
      </c>
      <c r="T15" s="31" t="str">
        <f>'FS Desroches Daily'!AH17</f>
        <v/>
      </c>
      <c r="U15" s="35" t="str">
        <f>'FS Desroches Daily'!AJ17</f>
        <v/>
      </c>
      <c r="V15" s="35" t="str">
        <f>'FS Desroches Daily'!AL17</f>
        <v/>
      </c>
      <c r="W15" s="35" t="str">
        <f>'FS Desroches Daily'!AN17</f>
        <v/>
      </c>
      <c r="X15" s="35" t="str">
        <f>'FS Desroches Daily'!AP17</f>
        <v/>
      </c>
      <c r="Y15" s="35" t="str">
        <f>'FS Desroches Daily'!AR17</f>
        <v/>
      </c>
      <c r="Z15" s="35" t="str">
        <f>'FS Desroches Daily'!AT17</f>
        <v/>
      </c>
      <c r="AA15" s="35" t="str">
        <f>'FS Desroches Daily'!AT17</f>
        <v/>
      </c>
      <c r="AB15" s="35" t="str">
        <f>'FS Desroches Daily'!AV17</f>
        <v/>
      </c>
      <c r="AC15" s="35" t="str">
        <f>'FS Desroches Daily'!AZ17</f>
        <v/>
      </c>
      <c r="AD15" s="35" t="str">
        <f>'FS Desroches Daily'!BB17</f>
        <v/>
      </c>
      <c r="AE15" s="35" t="str">
        <f>'FS Desroches Daily'!BD17</f>
        <v/>
      </c>
      <c r="AF15" s="31" t="str">
        <f>'FS Desroches Daily'!BF17</f>
        <v/>
      </c>
      <c r="AG15" s="32" t="str">
        <f>'FS Desroches Daily'!BH17</f>
        <v/>
      </c>
      <c r="AH15" s="32" t="str">
        <f>'FS Desroches Daily'!BJ17</f>
        <v/>
      </c>
      <c r="AI15" s="32" t="str">
        <f>'FS Desroches Daily'!BL17</f>
        <v/>
      </c>
      <c r="AJ15" s="32" t="str">
        <f>'FS Desroches Daily'!BN17</f>
        <v/>
      </c>
      <c r="AK15" s="32" t="str">
        <f>'FS Desroches Daily'!BP17</f>
        <v/>
      </c>
      <c r="AL15" s="32" t="str">
        <f>'FS Desroches Daily'!BR17</f>
        <v/>
      </c>
      <c r="AM15" s="32" t="str">
        <f>'FS Desroches Daily'!BT17</f>
        <v/>
      </c>
      <c r="AN15" s="32" t="str">
        <f>'FS Desroches Daily'!BV17</f>
        <v/>
      </c>
      <c r="AO15" s="32" t="str">
        <f>'FS Desroches Daily'!BX17</f>
        <v/>
      </c>
      <c r="AP15" s="32" t="str">
        <f>'FS Desroches Daily'!BZ17</f>
        <v/>
      </c>
      <c r="AQ15" s="31" t="str">
        <f>'FS Desroches Daily'!CB17</f>
        <v/>
      </c>
      <c r="AR15" s="31" t="str">
        <f>'FS Desroches Daily'!CD17</f>
        <v/>
      </c>
      <c r="AS15" s="31" t="str">
        <f>'FS Desroches Daily'!CF17</f>
        <v/>
      </c>
      <c r="AT15" s="31" t="str">
        <f>'FS Desroches Daily'!CH17</f>
        <v/>
      </c>
      <c r="AU15" s="31" t="str">
        <f>'FS Desroches Daily'!CJ17</f>
        <v/>
      </c>
      <c r="AV15" s="31" t="str">
        <f>'FS Desroches Daily'!CL17</f>
        <v/>
      </c>
      <c r="AW15" s="31" t="e">
        <f>'FS Desroches Daily'!CM17</f>
        <v>#VALUE!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 t="str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11</v>
      </c>
      <c r="D16" s="27">
        <v>2020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11</v>
      </c>
      <c r="D17" s="27">
        <v>2020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11</v>
      </c>
      <c r="D18" s="27">
        <v>2020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11</v>
      </c>
      <c r="D19" s="27">
        <v>2020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11</v>
      </c>
      <c r="D20" s="27">
        <v>2020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11</v>
      </c>
      <c r="D21" s="27">
        <v>2020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11</v>
      </c>
      <c r="D22" s="27">
        <v>2020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11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11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11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11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11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11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11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11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 t="str">
        <f>IF(LPG!F38-LPG!F36&lt;0,"0",(LPG!F38-LPG!F36)*1.8315)</f>
        <v>0</v>
      </c>
      <c r="AY30" s="31" t="str">
        <f>IF(LPG!H38-LPG!H36&lt;0,"0",(LPG!H38-LPG!H36)*1.8315)</f>
        <v>0</v>
      </c>
      <c r="AZ30" s="31" t="str">
        <f>IF(LPG!J38-LPG!J36&lt;0,"0",(LPG!J38-LPG!J36)*1.8315)</f>
        <v>0</v>
      </c>
      <c r="BA30" s="31" t="str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11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 t="str">
        <f>IF(LPG!F39-LPG!F37&lt;0,"0",(LPG!F39-LPG!F37)*1.8315)</f>
        <v>0</v>
      </c>
      <c r="AY31" s="31" t="str">
        <f>IF(LPG!H39-LPG!H37&lt;0,"0",(LPG!H39-LPG!H37)*1.8315)</f>
        <v>0</v>
      </c>
      <c r="AZ31" s="31" t="str">
        <f>IF(LPG!J39-LPG!J37&lt;0,"0",(LPG!J39-LPG!J37)*1.8315)</f>
        <v>0</v>
      </c>
      <c r="BA31" s="31" t="str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11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15299.999999999867</v>
      </c>
      <c r="F33" s="17">
        <f t="shared" ref="F33:BC33" si="1">SUM(F2:F32)</f>
        <v>8900.000000000131</v>
      </c>
      <c r="G33" s="17">
        <f t="shared" si="1"/>
        <v>20799.999999999927</v>
      </c>
      <c r="H33" s="17">
        <f t="shared" si="1"/>
        <v>10899.999999999913</v>
      </c>
      <c r="I33" s="17">
        <f t="shared" si="1"/>
        <v>24500.000000000189</v>
      </c>
      <c r="J33" s="17">
        <f t="shared" si="1"/>
        <v>8099.9999999999955</v>
      </c>
      <c r="K33" s="17">
        <f t="shared" si="1"/>
        <v>11</v>
      </c>
      <c r="L33" s="17">
        <f t="shared" si="1"/>
        <v>33</v>
      </c>
      <c r="M33" s="17">
        <f t="shared" si="1"/>
        <v>2337.8000000000466</v>
      </c>
      <c r="N33" s="17">
        <f t="shared" si="1"/>
        <v>1418.7000000000116</v>
      </c>
      <c r="O33" s="17">
        <f t="shared" si="1"/>
        <v>1499.9999999999432</v>
      </c>
      <c r="P33" s="17">
        <f t="shared" si="1"/>
        <v>5937.8099999998285</v>
      </c>
      <c r="Q33" s="17">
        <f t="shared" si="1"/>
        <v>1766.6799999999978</v>
      </c>
      <c r="R33" s="17">
        <f t="shared" si="1"/>
        <v>2419.8300000000249</v>
      </c>
      <c r="S33" s="17">
        <f t="shared" si="1"/>
        <v>3009.9999999999909</v>
      </c>
      <c r="T33" s="17">
        <f t="shared" si="1"/>
        <v>14.5</v>
      </c>
      <c r="U33" s="35">
        <f t="shared" si="1"/>
        <v>3019.9999999999818</v>
      </c>
      <c r="V33" s="35">
        <f t="shared" si="1"/>
        <v>2000</v>
      </c>
      <c r="W33" s="35">
        <f t="shared" si="1"/>
        <v>2280.0000000000014</v>
      </c>
      <c r="X33" s="35">
        <f t="shared" si="1"/>
        <v>1810.0000000000023</v>
      </c>
      <c r="Y33" s="35">
        <f t="shared" si="1"/>
        <v>579.99999999998408</v>
      </c>
      <c r="Z33" s="35">
        <f t="shared" si="1"/>
        <v>629.99999999999545</v>
      </c>
      <c r="AA33" s="35">
        <f t="shared" si="1"/>
        <v>629.99999999999545</v>
      </c>
      <c r="AB33" s="35">
        <f t="shared" si="1"/>
        <v>449.99999999998863</v>
      </c>
      <c r="AC33" s="35">
        <f t="shared" si="1"/>
        <v>549.99999999995453</v>
      </c>
      <c r="AD33" s="35">
        <f t="shared" si="1"/>
        <v>449.99999999998863</v>
      </c>
      <c r="AE33" s="35">
        <f t="shared" si="1"/>
        <v>300.00000000001137</v>
      </c>
      <c r="AF33" s="17">
        <f t="shared" si="1"/>
        <v>357</v>
      </c>
      <c r="AG33" s="32">
        <f t="shared" si="1"/>
        <v>160.00000000002501</v>
      </c>
      <c r="AH33" s="32">
        <f t="shared" si="1"/>
        <v>160.00000000002501</v>
      </c>
      <c r="AI33" s="32">
        <f t="shared" si="1"/>
        <v>89.999999999974989</v>
      </c>
      <c r="AJ33" s="32">
        <f t="shared" si="1"/>
        <v>209.99999999997954</v>
      </c>
      <c r="AK33" s="32">
        <f t="shared" si="1"/>
        <v>280.00000000002956</v>
      </c>
      <c r="AL33" s="32">
        <f t="shared" si="1"/>
        <v>160</v>
      </c>
      <c r="AM33" s="32">
        <f t="shared" si="1"/>
        <v>189.99999999999773</v>
      </c>
      <c r="AN33" s="32">
        <f t="shared" si="1"/>
        <v>372</v>
      </c>
      <c r="AO33" s="32">
        <f t="shared" si="1"/>
        <v>159.99999999999659</v>
      </c>
      <c r="AP33" s="32">
        <f t="shared" si="1"/>
        <v>325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286.79999999999563</v>
      </c>
      <c r="AU33" s="17">
        <f t="shared" si="1"/>
        <v>2714</v>
      </c>
      <c r="AV33" s="17">
        <f t="shared" si="1"/>
        <v>6280.0000000000864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67.765499999999989</v>
      </c>
      <c r="BC33" s="17">
        <f t="shared" si="1"/>
        <v>0</v>
      </c>
    </row>
    <row r="35" spans="5:55" x14ac:dyDescent="0.25">
      <c r="E35" s="38">
        <f>E33/E37</f>
        <v>0.27748558163154113</v>
      </c>
      <c r="G35" s="29">
        <f>G33-M36</f>
        <v>17043.499999999869</v>
      </c>
      <c r="AE35" s="35">
        <f>SUM(U33:AE33)</f>
        <v>12699.999999999904</v>
      </c>
      <c r="AG35" s="32">
        <f>SUM(AG33:AP33)</f>
        <v>2107.0000000000282</v>
      </c>
    </row>
    <row r="36" spans="5:55" x14ac:dyDescent="0.25">
      <c r="G36" s="29">
        <f>G35-633*14</f>
        <v>8181.499999999869</v>
      </c>
      <c r="M36" s="29">
        <f>M33+N33</f>
        <v>3756.5000000000582</v>
      </c>
    </row>
    <row r="37" spans="5:55" x14ac:dyDescent="0.25">
      <c r="E37" s="17">
        <f>E33+F33+G33+H33+J33-633*14</f>
        <v>55137.999999999833</v>
      </c>
      <c r="G37" s="37">
        <f>M36/E37</f>
        <v>6.8129057999928716E-2</v>
      </c>
      <c r="M37" s="35">
        <f>AE35</f>
        <v>12699.999999999904</v>
      </c>
    </row>
    <row r="38" spans="5:55" x14ac:dyDescent="0.25">
      <c r="L38" s="27">
        <f>M38/E37</f>
        <v>3.8213210490043795E-2</v>
      </c>
      <c r="M38" s="29">
        <f>AG35</f>
        <v>2107.0000000000282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AU1" zoomScale="80" zoomScaleNormal="80" workbookViewId="0">
      <pane ySplit="1" topLeftCell="A11" activePane="bottomLeft" state="frozen"/>
      <selection pane="bottomLeft" activeCell="BE22" sqref="BE22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44135</v>
      </c>
      <c r="B3" s="68"/>
      <c r="C3" s="58">
        <v>1.8806</v>
      </c>
      <c r="D3" s="64"/>
      <c r="E3" s="58">
        <v>2.7978999999999998</v>
      </c>
      <c r="F3" s="64"/>
      <c r="G3" s="58">
        <v>2.7877000000000001</v>
      </c>
      <c r="H3" s="64"/>
      <c r="I3" s="58">
        <v>1.3542000000000001</v>
      </c>
      <c r="J3" s="64"/>
      <c r="K3" s="58">
        <v>2.1562999999999999</v>
      </c>
      <c r="L3" s="64"/>
      <c r="M3" s="58">
        <v>1.2710999999999999</v>
      </c>
      <c r="N3" s="64"/>
      <c r="O3" s="58">
        <v>12682</v>
      </c>
      <c r="P3" s="67"/>
      <c r="Q3" s="58">
        <v>5954</v>
      </c>
      <c r="R3" s="67"/>
      <c r="S3" s="58">
        <v>862837.6</v>
      </c>
      <c r="T3" s="67"/>
      <c r="U3" s="58">
        <v>353166.5</v>
      </c>
      <c r="V3" s="67"/>
      <c r="W3" s="58">
        <v>345.36</v>
      </c>
      <c r="X3" s="65"/>
      <c r="Y3" s="58">
        <v>2.4500000000000002</v>
      </c>
      <c r="Z3" s="65"/>
      <c r="AA3" s="58">
        <v>337.3</v>
      </c>
      <c r="AB3" s="65"/>
      <c r="AC3" s="58">
        <v>325.89999999999998</v>
      </c>
      <c r="AD3" s="65"/>
      <c r="AE3" s="58">
        <v>508.57</v>
      </c>
      <c r="AF3" s="65"/>
      <c r="AG3" s="58">
        <v>1423.1</v>
      </c>
      <c r="AH3" s="67"/>
      <c r="AI3" s="58">
        <v>482.24</v>
      </c>
      <c r="AJ3" s="65"/>
      <c r="AK3" s="58">
        <v>168.19</v>
      </c>
      <c r="AL3" s="65"/>
      <c r="AM3" s="58">
        <v>166.34</v>
      </c>
      <c r="AN3" s="65"/>
      <c r="AO3" s="58">
        <v>160.59</v>
      </c>
      <c r="AP3" s="65"/>
      <c r="AQ3" s="58">
        <v>222.71</v>
      </c>
      <c r="AR3" s="65"/>
      <c r="AS3" s="58">
        <v>348.14</v>
      </c>
      <c r="AT3" s="65"/>
      <c r="AU3" s="58">
        <v>268.68</v>
      </c>
      <c r="AV3" s="65"/>
      <c r="AW3" s="58">
        <v>295.99</v>
      </c>
      <c r="AX3" s="65"/>
      <c r="AY3" s="58">
        <v>347.36</v>
      </c>
      <c r="AZ3" s="65"/>
      <c r="BA3" s="58">
        <v>367.08</v>
      </c>
      <c r="BB3" s="65"/>
      <c r="BC3" s="58">
        <v>233.56</v>
      </c>
      <c r="BD3" s="65"/>
      <c r="BE3" s="59">
        <v>32497</v>
      </c>
      <c r="BF3" s="67"/>
      <c r="BG3" s="60">
        <v>226.45</v>
      </c>
      <c r="BH3" s="65"/>
      <c r="BI3" s="60">
        <v>284.58</v>
      </c>
      <c r="BJ3" s="65"/>
      <c r="BK3" s="60">
        <v>231.61</v>
      </c>
      <c r="BL3" s="65"/>
      <c r="BM3" s="60">
        <v>216.3</v>
      </c>
      <c r="BN3" s="65"/>
      <c r="BO3" s="60">
        <v>281.27</v>
      </c>
      <c r="BP3" s="65"/>
      <c r="BQ3" s="60">
        <v>40343</v>
      </c>
      <c r="BR3" s="65"/>
      <c r="BS3" s="60">
        <v>194.79</v>
      </c>
      <c r="BT3" s="65"/>
      <c r="BU3" s="60">
        <v>32913</v>
      </c>
      <c r="BV3" s="65"/>
      <c r="BW3" s="60">
        <v>226.24</v>
      </c>
      <c r="BX3" s="65"/>
      <c r="BY3" s="60">
        <v>51258</v>
      </c>
      <c r="BZ3" s="67"/>
      <c r="CA3" s="60">
        <v>27515.599999999999</v>
      </c>
      <c r="CB3" s="67"/>
      <c r="CC3" s="60">
        <v>11255.6</v>
      </c>
      <c r="CD3" s="67"/>
      <c r="CE3" s="60">
        <v>50954.2</v>
      </c>
      <c r="CF3" s="67"/>
      <c r="CG3" s="60">
        <v>50939.9</v>
      </c>
      <c r="CH3" s="67"/>
      <c r="CI3" s="60">
        <v>886523</v>
      </c>
      <c r="CJ3" s="67"/>
      <c r="CK3" s="60">
        <v>625.92999999999995</v>
      </c>
      <c r="CL3" s="64"/>
      <c r="CM3" s="65"/>
      <c r="CN3" s="62">
        <v>0</v>
      </c>
      <c r="CO3" s="62">
        <v>0</v>
      </c>
      <c r="CP3" s="68">
        <v>1466.7</v>
      </c>
      <c r="CQ3" s="68"/>
      <c r="CR3" s="68">
        <v>10848</v>
      </c>
      <c r="CS3" s="68"/>
      <c r="CT3" s="68">
        <v>3491</v>
      </c>
      <c r="CU3" s="68"/>
      <c r="CV3" s="75">
        <v>9894</v>
      </c>
      <c r="CW3" s="75"/>
      <c r="CX3" s="76"/>
    </row>
    <row r="4" spans="1:102" ht="25.5" customHeight="1" thickBot="1" x14ac:dyDescent="0.45">
      <c r="A4" s="63">
        <v>44136</v>
      </c>
      <c r="B4" s="68"/>
      <c r="C4" s="58">
        <v>1.8818999999999999</v>
      </c>
      <c r="D4" s="64">
        <f t="shared" ref="D4:D34" si="0">IF((C4-C3&lt;0), "0",(C4-C3)*1000000)</f>
        <v>1299.9999999998568</v>
      </c>
      <c r="E4" s="58">
        <v>2.7985000000000002</v>
      </c>
      <c r="F4" s="64">
        <f t="shared" ref="F4:F34" si="1">IF((E4-E3&lt;0), "0",(E4-E3)*1000000)</f>
        <v>600.00000000037801</v>
      </c>
      <c r="G4" s="58">
        <v>2.7890999999999999</v>
      </c>
      <c r="H4" s="64">
        <f t="shared" ref="H4:H34" si="2">IF((G4-G3&lt;0), "0",(G4-G3)*1000000)</f>
        <v>1399.9999999998458</v>
      </c>
      <c r="I4" s="58">
        <v>1.3548</v>
      </c>
      <c r="J4" s="64">
        <f t="shared" ref="J4:J34" si="3">IF((I4-I3&lt;0), "0",(I4-I3)*1000000)</f>
        <v>599.99999999993395</v>
      </c>
      <c r="K4" s="58">
        <v>2.1579000000000002</v>
      </c>
      <c r="L4" s="64">
        <f t="shared" ref="L4:L34" si="4">IF((K4-K3&lt;0), "0",(K4-K3)*1000000)</f>
        <v>1600.0000000002678</v>
      </c>
      <c r="M4" s="58">
        <v>1.2716000000000001</v>
      </c>
      <c r="N4" s="64">
        <f t="shared" ref="N4:N34" si="5">IF((M4-M3&lt;0), "",(M4-M3)*1000000)</f>
        <v>500.00000000016701</v>
      </c>
      <c r="O4" s="58">
        <v>12683</v>
      </c>
      <c r="P4" s="67">
        <f>IF((O4-O3&lt;0), "",O4-O3)</f>
        <v>1</v>
      </c>
      <c r="Q4" s="58">
        <v>5955</v>
      </c>
      <c r="R4" s="67">
        <f t="shared" ref="R4:R34" si="6">IF((Q4-Q3&lt;0), "",Q4-Q3)</f>
        <v>1</v>
      </c>
      <c r="S4" s="58">
        <v>862903.4</v>
      </c>
      <c r="T4" s="67">
        <f t="shared" ref="T4:T34" si="7">IF((S4-S3&lt;0), "",S4-S3)</f>
        <v>65.800000000046566</v>
      </c>
      <c r="U4" s="58">
        <v>353214.8</v>
      </c>
      <c r="V4" s="67">
        <f t="shared" ref="V4:V34" si="8">IF((U4-U3&lt;0), "",U4-U3)</f>
        <v>48.299999999988358</v>
      </c>
      <c r="W4" s="58">
        <v>345.44</v>
      </c>
      <c r="X4" s="65">
        <f t="shared" ref="X4:X34" si="9">IF((W4-W3&lt;0), "",(W4-W3)*1000)</f>
        <v>79.999999999984084</v>
      </c>
      <c r="Y4" s="58">
        <v>2.4504000000000001</v>
      </c>
      <c r="Z4" s="65">
        <f t="shared" ref="Z4:Z34" si="10">IF((Y4-Y3&lt;0), "",(Y4-Y3)*1000000)</f>
        <v>399.99999999995595</v>
      </c>
      <c r="AA4" s="58">
        <v>337.41</v>
      </c>
      <c r="AB4" s="65">
        <f t="shared" ref="AB4:AB34" si="11">IF((AA4-AA3&lt;0), "",(AA4-AA3)*1000)</f>
        <v>110.00000000001364</v>
      </c>
      <c r="AC4" s="58">
        <v>326.02999999999997</v>
      </c>
      <c r="AD4" s="65">
        <f t="shared" ref="AD4:AD34" si="12">IF((AC4-AC3&lt;0), "",(AC4-AC3)*1000)</f>
        <v>129.99999999999545</v>
      </c>
      <c r="AE4" s="58">
        <v>508.69</v>
      </c>
      <c r="AF4" s="65">
        <f t="shared" ref="AF4:AF34" si="13">IF((AE4-AE3&lt;0), "",(AE4-AE3)*1000)</f>
        <v>120.00000000000455</v>
      </c>
      <c r="AG4" s="58">
        <v>1424.2</v>
      </c>
      <c r="AH4" s="67">
        <f t="shared" ref="AH4:AH34" si="14">IF((AG4-AG3&lt;0), "",AG4-AG3)</f>
        <v>1.1000000000001364</v>
      </c>
      <c r="AI4" s="58">
        <v>482.47</v>
      </c>
      <c r="AJ4" s="65">
        <f t="shared" ref="AJ4:AP34" si="15">IF((AI4-AI3&lt;0), "",(AI4-AI3)*1000)</f>
        <v>230.00000000001819</v>
      </c>
      <c r="AK4" s="58">
        <v>168.34</v>
      </c>
      <c r="AL4" s="65">
        <f t="shared" si="15"/>
        <v>150.00000000000568</v>
      </c>
      <c r="AM4" s="58">
        <v>166.7</v>
      </c>
      <c r="AN4" s="65">
        <f t="shared" si="15"/>
        <v>359.99999999998522</v>
      </c>
      <c r="AO4" s="58">
        <v>160.85</v>
      </c>
      <c r="AP4" s="65">
        <f t="shared" si="15"/>
        <v>259.99999999999091</v>
      </c>
      <c r="AQ4" s="58">
        <v>222.73</v>
      </c>
      <c r="AR4" s="65">
        <f t="shared" ref="AR4:AR34" si="16">IF((AQ4-AQ3&lt;0), "",(AQ4-AQ3)*1000)</f>
        <v>19.99999999998181</v>
      </c>
      <c r="AS4" s="58">
        <v>348.17</v>
      </c>
      <c r="AT4" s="65">
        <f t="shared" ref="AT4:AT34" si="17">IF((AS4-AS3&lt;0), "",(AS4-AS3)*1000)</f>
        <v>30.000000000029559</v>
      </c>
      <c r="AU4" s="58">
        <v>268.7</v>
      </c>
      <c r="AV4" s="65">
        <f t="shared" ref="AV4:AV34" si="18">IF((AU4-AU3&lt;0), "",(AU4-AU3)*1000)</f>
        <v>19.99999999998181</v>
      </c>
      <c r="AW4" s="58">
        <v>296.01</v>
      </c>
      <c r="AX4" s="65">
        <f t="shared" ref="AX4:AX34" si="19">IF((AW4-AW3&lt;0), "",(AW4-AW3)*1000)</f>
        <v>19.99999999998181</v>
      </c>
      <c r="AY4" s="58">
        <v>347.39</v>
      </c>
      <c r="AZ4" s="65">
        <f t="shared" ref="AZ4:AZ34" si="20">IF((AY4-AY3&lt;0), "",(AY4-AY3)*1000)</f>
        <v>29.999999999972715</v>
      </c>
      <c r="BA4" s="58">
        <v>367.09</v>
      </c>
      <c r="BB4" s="65">
        <f t="shared" ref="BB4:BB34" si="21">IF((BA4-BA3&lt;0), "",(BA4-BA3)*1000)</f>
        <v>9.9999999999909051</v>
      </c>
      <c r="BC4" s="58">
        <v>233.58</v>
      </c>
      <c r="BD4" s="65">
        <f t="shared" ref="BD4:BD34" si="22">IF((BC4-BC3&lt;0), "",(BC4-BC3)*1000)</f>
        <v>20.000000000010232</v>
      </c>
      <c r="BE4" s="59">
        <v>32524</v>
      </c>
      <c r="BF4" s="67">
        <f>IF((BE4-BE3&lt;0), "",BE4-BE3)</f>
        <v>27</v>
      </c>
      <c r="BG4" s="60">
        <v>226.45</v>
      </c>
      <c r="BH4" s="65">
        <f t="shared" ref="BH4:BH34" si="23">IF((BG4-BG3&lt;0), "",(BG4-BG3)*1000)</f>
        <v>0</v>
      </c>
      <c r="BI4" s="60">
        <v>284.58999999999997</v>
      </c>
      <c r="BJ4" s="65">
        <f>IF((BI4-BI3&lt;0), "",(BI4-BI3)*1000)</f>
        <v>9.9999999999909051</v>
      </c>
      <c r="BK4" s="60">
        <v>231.62</v>
      </c>
      <c r="BL4" s="65">
        <f t="shared" ref="BL4:BL34" si="24">IF((BK4-BK3&lt;0), "",(BK4-BK3)*1000)</f>
        <v>9.9999999999909051</v>
      </c>
      <c r="BM4" s="60">
        <v>216.31</v>
      </c>
      <c r="BN4" s="65">
        <f t="shared" ref="BN4:BN33" si="25">IF((BM4-BM3&lt;0), "",(BM4-BM3)*1000)</f>
        <v>9.9999999999909051</v>
      </c>
      <c r="BO4" s="60">
        <v>281.29000000000002</v>
      </c>
      <c r="BP4" s="65">
        <f t="shared" ref="BP4:BP34" si="26">IF((BO4-BO3&lt;0), "",(BO4-BO3)*1000)</f>
        <v>20.000000000038654</v>
      </c>
      <c r="BQ4" s="60">
        <v>40346</v>
      </c>
      <c r="BR4" s="65">
        <f t="shared" ref="BR4:BR34" si="27">IF((BQ4-BQ3&lt;0), "",BQ4-BQ3)</f>
        <v>3</v>
      </c>
      <c r="BS4" s="60">
        <v>194.8</v>
      </c>
      <c r="BT4" s="65">
        <f t="shared" ref="BT4" si="28">IF((BS4-BS3&lt;0), "",(BS4-BS3)*1000)</f>
        <v>10.000000000019327</v>
      </c>
      <c r="BU4" s="60">
        <v>32924</v>
      </c>
      <c r="BV4" s="65">
        <f t="shared" ref="BV4:BV35" si="29">IF((BU4-BU3&lt;0), "",BU4-BU3)</f>
        <v>11</v>
      </c>
      <c r="BW4" s="60">
        <v>226.25</v>
      </c>
      <c r="BX4" s="65">
        <f t="shared" ref="BX4:BX34" si="30">IF((BW4-BW3&lt;0), "",(BW4-BW3)*1000)</f>
        <v>9.9999999999909051</v>
      </c>
      <c r="BY4" s="60">
        <v>51270</v>
      </c>
      <c r="BZ4" s="67">
        <f t="shared" ref="BZ4:BZ34" si="31">IF((BY4-BY3&lt;0), "",BY4-BY3)</f>
        <v>12</v>
      </c>
      <c r="CA4" s="60">
        <v>27515.599999999999</v>
      </c>
      <c r="CB4" s="67">
        <f t="shared" ref="CB4:CB33" si="32">IF((CA4-CA3&lt;0), "",CA4-CA3)</f>
        <v>0</v>
      </c>
      <c r="CC4" s="60">
        <v>11255.6</v>
      </c>
      <c r="CD4" s="67">
        <f t="shared" ref="CD4:CD34" si="33">IF((CC4-CC3&lt;0), "",CC4-CC3)</f>
        <v>0</v>
      </c>
      <c r="CE4" s="60">
        <v>50954.2</v>
      </c>
      <c r="CF4" s="67">
        <f t="shared" ref="CF4:CF33" si="34">IF((CE4-CE3&lt;0), "",CE4-CE3)</f>
        <v>0</v>
      </c>
      <c r="CG4" s="60">
        <v>50954.2</v>
      </c>
      <c r="CH4" s="67">
        <f t="shared" ref="CH4:CH34" si="35">IF((CG4-CG3&lt;0), "",CG4-CG3)</f>
        <v>14.299999999995634</v>
      </c>
      <c r="CI4" s="60">
        <v>886718</v>
      </c>
      <c r="CJ4" s="67">
        <f t="shared" ref="CJ4:CJ34" si="36">IF((CI4-CI3&lt;0), "",CI4-CI3)</f>
        <v>195</v>
      </c>
      <c r="CK4" s="60">
        <v>626.38</v>
      </c>
      <c r="CL4" s="64">
        <f t="shared" ref="CL4:CL34" si="37">IF((CK4-CK3&lt;0), "",(CK4-CK3)*1000)</f>
        <v>450.00000000004547</v>
      </c>
      <c r="CM4" s="65">
        <f>CQ4+CS4</f>
        <v>14.399999999999864</v>
      </c>
      <c r="CN4" s="62">
        <v>0</v>
      </c>
      <c r="CO4" s="62">
        <v>0</v>
      </c>
      <c r="CP4" s="68">
        <v>1470.1</v>
      </c>
      <c r="CQ4" s="67">
        <f t="shared" ref="CQ4:CW34" si="38">IF((CP4-CP3&lt;0), "",CP4-CP3)</f>
        <v>3.3999999999998636</v>
      </c>
      <c r="CR4" s="68">
        <v>10859</v>
      </c>
      <c r="CS4" s="67">
        <f t="shared" si="38"/>
        <v>11</v>
      </c>
      <c r="CT4" s="75">
        <v>3502</v>
      </c>
      <c r="CU4" s="67">
        <f t="shared" si="38"/>
        <v>11</v>
      </c>
      <c r="CV4" s="68">
        <v>9914</v>
      </c>
      <c r="CW4" s="67">
        <f t="shared" si="38"/>
        <v>20</v>
      </c>
    </row>
    <row r="5" spans="1:102" ht="25.5" customHeight="1" thickBot="1" x14ac:dyDescent="0.45">
      <c r="A5" s="63">
        <v>44137</v>
      </c>
      <c r="B5" s="44"/>
      <c r="C5" s="58">
        <v>1.8831</v>
      </c>
      <c r="D5" s="64">
        <f t="shared" si="0"/>
        <v>1200.0000000000898</v>
      </c>
      <c r="E5" s="58">
        <v>2.7991000000000001</v>
      </c>
      <c r="F5" s="64">
        <f t="shared" si="1"/>
        <v>599.99999999993395</v>
      </c>
      <c r="G5" s="58">
        <v>2.7909000000000002</v>
      </c>
      <c r="H5" s="64">
        <f t="shared" si="2"/>
        <v>1800.0000000002458</v>
      </c>
      <c r="I5" s="58">
        <v>1.3556999999999999</v>
      </c>
      <c r="J5" s="64">
        <f t="shared" si="3"/>
        <v>899.99999999990087</v>
      </c>
      <c r="K5" s="58">
        <v>2.1597</v>
      </c>
      <c r="L5" s="64">
        <f t="shared" si="4"/>
        <v>1799.9999999998017</v>
      </c>
      <c r="M5" s="58">
        <v>1.2721</v>
      </c>
      <c r="N5" s="64">
        <f t="shared" si="5"/>
        <v>499.99999999994492</v>
      </c>
      <c r="O5" s="58">
        <v>12683</v>
      </c>
      <c r="P5" s="67">
        <f>IF((O5-O4&lt;0), "",O5-O4)</f>
        <v>0</v>
      </c>
      <c r="Q5" s="58">
        <v>5958</v>
      </c>
      <c r="R5" s="67">
        <f t="shared" si="6"/>
        <v>3</v>
      </c>
      <c r="S5" s="58">
        <v>863258.9</v>
      </c>
      <c r="T5" s="67">
        <f t="shared" si="7"/>
        <v>355.5</v>
      </c>
      <c r="U5" s="58">
        <v>353358.7</v>
      </c>
      <c r="V5" s="67">
        <f t="shared" si="8"/>
        <v>143.90000000002328</v>
      </c>
      <c r="W5" s="58">
        <v>345.55</v>
      </c>
      <c r="X5" s="65">
        <f t="shared" si="9"/>
        <v>110.00000000001364</v>
      </c>
      <c r="Y5" s="58">
        <v>2.4508999999999999</v>
      </c>
      <c r="Z5" s="65">
        <f t="shared" si="10"/>
        <v>499.99999999972289</v>
      </c>
      <c r="AA5" s="58">
        <v>337.54</v>
      </c>
      <c r="AB5" s="65">
        <f t="shared" si="11"/>
        <v>129.99999999999545</v>
      </c>
      <c r="AC5" s="58">
        <v>326.18</v>
      </c>
      <c r="AD5" s="65">
        <f t="shared" si="12"/>
        <v>150.00000000003411</v>
      </c>
      <c r="AE5" s="58">
        <v>508.84</v>
      </c>
      <c r="AF5" s="65">
        <f t="shared" si="13"/>
        <v>149.99999999997726</v>
      </c>
      <c r="AG5" s="58">
        <v>1425.3</v>
      </c>
      <c r="AH5" s="67">
        <f t="shared" si="14"/>
        <v>1.0999999999999091</v>
      </c>
      <c r="AI5" s="58">
        <v>482.71</v>
      </c>
      <c r="AJ5" s="65">
        <f t="shared" si="15"/>
        <v>239.99999999995225</v>
      </c>
      <c r="AK5" s="58">
        <v>168.5</v>
      </c>
      <c r="AL5" s="65">
        <f t="shared" si="15"/>
        <v>159.99999999999659</v>
      </c>
      <c r="AM5" s="58">
        <v>166.9</v>
      </c>
      <c r="AN5" s="65">
        <f t="shared" si="15"/>
        <v>200.00000000001705</v>
      </c>
      <c r="AO5" s="58">
        <v>160.99</v>
      </c>
      <c r="AP5" s="65">
        <f t="shared" si="15"/>
        <v>140.00000000001478</v>
      </c>
      <c r="AQ5" s="58">
        <v>222.76</v>
      </c>
      <c r="AR5" s="65">
        <f t="shared" si="16"/>
        <v>30.000000000001137</v>
      </c>
      <c r="AS5" s="58">
        <v>348.21</v>
      </c>
      <c r="AT5" s="65">
        <f t="shared" si="17"/>
        <v>39.99999999996362</v>
      </c>
      <c r="AU5" s="58">
        <v>268.73</v>
      </c>
      <c r="AV5" s="65">
        <f t="shared" si="18"/>
        <v>30.000000000029559</v>
      </c>
      <c r="AW5" s="58">
        <v>296.04000000000002</v>
      </c>
      <c r="AX5" s="65">
        <f t="shared" si="19"/>
        <v>30.000000000029559</v>
      </c>
      <c r="AY5" s="58">
        <v>347.42</v>
      </c>
      <c r="AZ5" s="65">
        <f t="shared" si="20"/>
        <v>30.000000000029559</v>
      </c>
      <c r="BA5" s="58">
        <v>367.12</v>
      </c>
      <c r="BB5" s="65">
        <f t="shared" si="21"/>
        <v>30.000000000029559</v>
      </c>
      <c r="BC5" s="58">
        <v>233.6</v>
      </c>
      <c r="BD5" s="65">
        <f t="shared" si="22"/>
        <v>19.99999999998181</v>
      </c>
      <c r="BE5" s="59">
        <v>32552</v>
      </c>
      <c r="BF5" s="67">
        <f t="shared" ref="BF5:BF34" si="39">IF((BE5-BE4&lt;0), "",BE5-BE4)</f>
        <v>28</v>
      </c>
      <c r="BG5" s="60">
        <v>226.46</v>
      </c>
      <c r="BH5" s="65">
        <f t="shared" si="23"/>
        <v>10.000000000019327</v>
      </c>
      <c r="BI5" s="60">
        <v>284.60000000000002</v>
      </c>
      <c r="BJ5" s="65">
        <f t="shared" ref="BJ5:BJ34" si="40">IF((BI5-BI4&lt;0), "",(BI5-BI4)*1000)</f>
        <v>10.000000000047748</v>
      </c>
      <c r="BK5" s="60">
        <v>231.62</v>
      </c>
      <c r="BL5" s="65">
        <f t="shared" si="24"/>
        <v>0</v>
      </c>
      <c r="BM5" s="60">
        <v>216.33</v>
      </c>
      <c r="BN5" s="65">
        <f t="shared" si="25"/>
        <v>20.000000000010232</v>
      </c>
      <c r="BO5" s="60">
        <v>281.31</v>
      </c>
      <c r="BP5" s="65">
        <f t="shared" si="26"/>
        <v>19.99999999998181</v>
      </c>
      <c r="BQ5" s="60">
        <v>40357</v>
      </c>
      <c r="BR5" s="65">
        <f t="shared" si="27"/>
        <v>11</v>
      </c>
      <c r="BS5" s="60">
        <v>194.81</v>
      </c>
      <c r="BT5" s="65">
        <f>IF((BS5-BS4&lt;0), "",(BS5-BS4)*1000)</f>
        <v>9.9999999999909051</v>
      </c>
      <c r="BU5" s="60">
        <v>32953</v>
      </c>
      <c r="BV5" s="65">
        <f t="shared" si="29"/>
        <v>29</v>
      </c>
      <c r="BW5" s="60">
        <v>226.27</v>
      </c>
      <c r="BX5" s="65">
        <f t="shared" si="30"/>
        <v>20.000000000010232</v>
      </c>
      <c r="BY5" s="60">
        <v>51300</v>
      </c>
      <c r="BZ5" s="67">
        <f t="shared" si="31"/>
        <v>30</v>
      </c>
      <c r="CA5" s="60">
        <v>27515.599999999999</v>
      </c>
      <c r="CB5" s="67">
        <f t="shared" si="32"/>
        <v>0</v>
      </c>
      <c r="CC5" s="60">
        <v>11255.6</v>
      </c>
      <c r="CD5" s="67">
        <f t="shared" si="33"/>
        <v>0</v>
      </c>
      <c r="CE5" s="60">
        <v>50954.2</v>
      </c>
      <c r="CF5" s="67">
        <f t="shared" si="34"/>
        <v>0</v>
      </c>
      <c r="CG5" s="60">
        <v>50973.3</v>
      </c>
      <c r="CH5" s="67">
        <f t="shared" si="35"/>
        <v>19.100000000005821</v>
      </c>
      <c r="CI5" s="60">
        <v>886927</v>
      </c>
      <c r="CJ5" s="67">
        <f t="shared" si="36"/>
        <v>209</v>
      </c>
      <c r="CK5" s="60">
        <v>626.89</v>
      </c>
      <c r="CL5" s="64">
        <f t="shared" si="37"/>
        <v>509.99999999999091</v>
      </c>
      <c r="CM5" s="65">
        <f t="shared" ref="CM5:CM34" si="41">CQ5+CS5</f>
        <v>25.900000000000091</v>
      </c>
      <c r="CN5" s="62">
        <v>0</v>
      </c>
      <c r="CO5" s="62">
        <v>0</v>
      </c>
      <c r="CP5" s="68">
        <v>1487</v>
      </c>
      <c r="CQ5" s="67">
        <f t="shared" si="38"/>
        <v>16.900000000000091</v>
      </c>
      <c r="CR5" s="68">
        <v>10868</v>
      </c>
      <c r="CS5" s="67">
        <f t="shared" si="38"/>
        <v>9</v>
      </c>
      <c r="CT5" s="75">
        <v>3513</v>
      </c>
      <c r="CU5" s="67">
        <f t="shared" si="38"/>
        <v>11</v>
      </c>
      <c r="CV5" s="68">
        <v>9929</v>
      </c>
      <c r="CW5" s="67">
        <f t="shared" si="38"/>
        <v>15</v>
      </c>
    </row>
    <row r="6" spans="1:102" ht="24.75" customHeight="1" thickBot="1" x14ac:dyDescent="0.45">
      <c r="A6" s="63">
        <v>44138</v>
      </c>
      <c r="B6" s="44"/>
      <c r="C6" s="58">
        <v>1.8843000000000001</v>
      </c>
      <c r="D6" s="64">
        <f t="shared" si="0"/>
        <v>1200.0000000000898</v>
      </c>
      <c r="E6" s="58">
        <v>2.8003999999999998</v>
      </c>
      <c r="F6" s="64">
        <f t="shared" si="1"/>
        <v>1299.9999999996348</v>
      </c>
      <c r="G6" s="58">
        <v>2.7927</v>
      </c>
      <c r="H6" s="64">
        <f t="shared" si="2"/>
        <v>1799.9999999998017</v>
      </c>
      <c r="I6" s="58">
        <v>1.3568</v>
      </c>
      <c r="J6" s="64">
        <f t="shared" si="3"/>
        <v>1100.000000000101</v>
      </c>
      <c r="K6" s="58">
        <v>2.1615000000000002</v>
      </c>
      <c r="L6" s="64">
        <f t="shared" si="4"/>
        <v>1800.0000000002458</v>
      </c>
      <c r="M6" s="58">
        <v>1.2735000000000001</v>
      </c>
      <c r="N6" s="64">
        <f t="shared" si="5"/>
        <v>1400.0000000000678</v>
      </c>
      <c r="O6" s="58">
        <v>12684</v>
      </c>
      <c r="P6" s="67">
        <f>IF((O6-O5&lt;0), "",O6-O5)</f>
        <v>1</v>
      </c>
      <c r="Q6" s="58">
        <v>5960</v>
      </c>
      <c r="R6" s="67">
        <f t="shared" si="6"/>
        <v>2</v>
      </c>
      <c r="S6" s="58">
        <v>863576</v>
      </c>
      <c r="T6" s="67">
        <f t="shared" si="7"/>
        <v>317.09999999997672</v>
      </c>
      <c r="U6" s="58">
        <v>353522.1</v>
      </c>
      <c r="V6" s="67">
        <f t="shared" si="8"/>
        <v>163.39999999996508</v>
      </c>
      <c r="W6" s="58">
        <v>345.91</v>
      </c>
      <c r="X6" s="65">
        <f t="shared" si="9"/>
        <v>360.00000000001364</v>
      </c>
      <c r="Y6" s="58">
        <v>2.4516</v>
      </c>
      <c r="Z6" s="65">
        <f t="shared" si="10"/>
        <v>700.00000000014495</v>
      </c>
      <c r="AA6" s="58">
        <v>337.68</v>
      </c>
      <c r="AB6" s="65">
        <f t="shared" si="11"/>
        <v>139.99999999998636</v>
      </c>
      <c r="AC6" s="58">
        <v>326.51</v>
      </c>
      <c r="AD6" s="65">
        <f t="shared" si="12"/>
        <v>329.99999999998408</v>
      </c>
      <c r="AE6" s="58">
        <v>509.64</v>
      </c>
      <c r="AF6" s="65">
        <f t="shared" si="13"/>
        <v>800.00000000001137</v>
      </c>
      <c r="AG6" s="58">
        <v>1426.4</v>
      </c>
      <c r="AH6" s="67">
        <f t="shared" si="14"/>
        <v>1.1000000000001364</v>
      </c>
      <c r="AI6" s="58">
        <v>482.96</v>
      </c>
      <c r="AJ6" s="65">
        <f t="shared" si="15"/>
        <v>250</v>
      </c>
      <c r="AK6" s="58">
        <v>168.67</v>
      </c>
      <c r="AL6" s="65">
        <f t="shared" si="15"/>
        <v>169.99999999998749</v>
      </c>
      <c r="AM6" s="58">
        <v>167.08</v>
      </c>
      <c r="AN6" s="65">
        <f t="shared" si="15"/>
        <v>180.00000000000682</v>
      </c>
      <c r="AO6" s="58">
        <v>161.12</v>
      </c>
      <c r="AP6" s="65">
        <f t="shared" si="15"/>
        <v>129.99999999999545</v>
      </c>
      <c r="AQ6" s="58">
        <v>222.8</v>
      </c>
      <c r="AR6" s="65">
        <f t="shared" si="16"/>
        <v>40.000000000020464</v>
      </c>
      <c r="AS6" s="58">
        <v>348.25</v>
      </c>
      <c r="AT6" s="65">
        <f t="shared" si="17"/>
        <v>40.000000000020464</v>
      </c>
      <c r="AU6" s="58">
        <v>268.75</v>
      </c>
      <c r="AV6" s="65">
        <f t="shared" si="18"/>
        <v>19.99999999998181</v>
      </c>
      <c r="AW6" s="58">
        <v>296.06</v>
      </c>
      <c r="AX6" s="65">
        <f t="shared" si="19"/>
        <v>19.99999999998181</v>
      </c>
      <c r="AY6" s="58">
        <v>347.45</v>
      </c>
      <c r="AZ6" s="65">
        <f t="shared" si="20"/>
        <v>29.999999999972715</v>
      </c>
      <c r="BA6" s="58">
        <v>367.14</v>
      </c>
      <c r="BB6" s="65">
        <f t="shared" si="21"/>
        <v>19.99999999998181</v>
      </c>
      <c r="BC6" s="58">
        <v>233.63</v>
      </c>
      <c r="BD6" s="65">
        <f t="shared" si="22"/>
        <v>30.000000000001137</v>
      </c>
      <c r="BE6" s="59">
        <v>32574</v>
      </c>
      <c r="BF6" s="67">
        <f t="shared" si="39"/>
        <v>22</v>
      </c>
      <c r="BG6" s="60">
        <v>226.49</v>
      </c>
      <c r="BH6" s="65">
        <f t="shared" si="23"/>
        <v>30.000000000001137</v>
      </c>
      <c r="BI6" s="60">
        <v>284.62</v>
      </c>
      <c r="BJ6" s="65">
        <f t="shared" si="40"/>
        <v>19.99999999998181</v>
      </c>
      <c r="BK6" s="60">
        <v>231.65</v>
      </c>
      <c r="BL6" s="65">
        <f t="shared" si="24"/>
        <v>30.000000000001137</v>
      </c>
      <c r="BM6" s="60">
        <v>216.36</v>
      </c>
      <c r="BN6" s="65">
        <f t="shared" si="25"/>
        <v>30.000000000001137</v>
      </c>
      <c r="BO6" s="60">
        <v>281.33999999999997</v>
      </c>
      <c r="BP6" s="65">
        <f t="shared" si="26"/>
        <v>29.999999999972715</v>
      </c>
      <c r="BQ6" s="60">
        <v>40378</v>
      </c>
      <c r="BR6" s="65">
        <f t="shared" si="27"/>
        <v>21</v>
      </c>
      <c r="BS6" s="60">
        <v>194.85</v>
      </c>
      <c r="BT6" s="65">
        <f t="shared" ref="BT6:BT35" si="42">IF((BS6-BS5&lt;0), "",(BS6-BS5)*1000)</f>
        <v>39.999999999992042</v>
      </c>
      <c r="BU6" s="60">
        <v>32981</v>
      </c>
      <c r="BV6" s="65">
        <f t="shared" si="29"/>
        <v>28</v>
      </c>
      <c r="BW6" s="60">
        <v>226.29</v>
      </c>
      <c r="BX6" s="65">
        <f t="shared" si="30"/>
        <v>19.99999999998181</v>
      </c>
      <c r="BY6" s="60">
        <v>51330</v>
      </c>
      <c r="BZ6" s="67">
        <f t="shared" si="31"/>
        <v>30</v>
      </c>
      <c r="CA6" s="60">
        <v>27515.599999999999</v>
      </c>
      <c r="CB6" s="67">
        <f t="shared" si="32"/>
        <v>0</v>
      </c>
      <c r="CC6" s="60">
        <v>11255.6</v>
      </c>
      <c r="CD6" s="67">
        <f t="shared" si="33"/>
        <v>0</v>
      </c>
      <c r="CE6" s="60">
        <v>50954.2</v>
      </c>
      <c r="CF6" s="67">
        <f t="shared" si="34"/>
        <v>0</v>
      </c>
      <c r="CG6" s="60">
        <v>50989.7</v>
      </c>
      <c r="CH6" s="67">
        <f t="shared" si="35"/>
        <v>16.399999999994179</v>
      </c>
      <c r="CI6" s="60">
        <v>887138</v>
      </c>
      <c r="CJ6" s="67">
        <f t="shared" si="36"/>
        <v>211</v>
      </c>
      <c r="CK6" s="60">
        <v>627.4</v>
      </c>
      <c r="CL6" s="64">
        <f t="shared" si="37"/>
        <v>509.99999999999091</v>
      </c>
      <c r="CM6" s="65">
        <f t="shared" si="41"/>
        <v>29.099999999999909</v>
      </c>
      <c r="CN6" s="62">
        <v>0</v>
      </c>
      <c r="CO6" s="62">
        <v>0</v>
      </c>
      <c r="CP6" s="68">
        <v>1502.1</v>
      </c>
      <c r="CQ6" s="67">
        <f t="shared" si="38"/>
        <v>15.099999999999909</v>
      </c>
      <c r="CR6" s="68">
        <v>10882</v>
      </c>
      <c r="CS6" s="67">
        <f t="shared" si="38"/>
        <v>14</v>
      </c>
      <c r="CT6" s="75">
        <v>3525</v>
      </c>
      <c r="CU6" s="67">
        <f t="shared" si="38"/>
        <v>12</v>
      </c>
      <c r="CV6" s="68">
        <v>9950</v>
      </c>
      <c r="CW6" s="67">
        <f t="shared" si="38"/>
        <v>21</v>
      </c>
    </row>
    <row r="7" spans="1:102" ht="25.5" customHeight="1" thickBot="1" x14ac:dyDescent="0.45">
      <c r="A7" s="63">
        <v>44139</v>
      </c>
      <c r="B7" s="44"/>
      <c r="C7" s="58">
        <v>1.8862000000000001</v>
      </c>
      <c r="D7" s="64">
        <f t="shared" si="0"/>
        <v>1900.0000000000127</v>
      </c>
      <c r="E7" s="58">
        <v>2.8010999999999999</v>
      </c>
      <c r="F7" s="64">
        <f t="shared" si="1"/>
        <v>700.00000000014495</v>
      </c>
      <c r="G7" s="58">
        <v>2.7944</v>
      </c>
      <c r="H7" s="64">
        <f t="shared" si="2"/>
        <v>1700.0000000000348</v>
      </c>
      <c r="I7" s="58">
        <v>1.3576999999999999</v>
      </c>
      <c r="J7" s="64">
        <f t="shared" si="3"/>
        <v>899.99999999990087</v>
      </c>
      <c r="K7" s="58">
        <v>2.1633</v>
      </c>
      <c r="L7" s="64">
        <f t="shared" si="4"/>
        <v>1799.9999999998017</v>
      </c>
      <c r="M7" s="58">
        <v>1.2741</v>
      </c>
      <c r="N7" s="64">
        <f t="shared" si="5"/>
        <v>599.99999999993395</v>
      </c>
      <c r="O7" s="58">
        <v>12685</v>
      </c>
      <c r="P7" s="67">
        <f t="shared" ref="P7:P10" si="43">IF((O7-O6&lt;0), "",O7-O6)</f>
        <v>1</v>
      </c>
      <c r="Q7" s="58">
        <v>5962</v>
      </c>
      <c r="R7" s="67">
        <f t="shared" si="6"/>
        <v>2</v>
      </c>
      <c r="S7" s="58">
        <v>863792.8</v>
      </c>
      <c r="T7" s="67">
        <f t="shared" si="7"/>
        <v>216.80000000004657</v>
      </c>
      <c r="U7" s="58">
        <v>353647.6</v>
      </c>
      <c r="V7" s="67">
        <f t="shared" si="8"/>
        <v>125.5</v>
      </c>
      <c r="W7" s="58">
        <v>346.04</v>
      </c>
      <c r="X7" s="65">
        <f t="shared" si="9"/>
        <v>129.99999999999545</v>
      </c>
      <c r="Y7" s="58">
        <v>2.452</v>
      </c>
      <c r="Z7" s="65">
        <v>337.81</v>
      </c>
      <c r="AA7" s="58">
        <v>337.81</v>
      </c>
      <c r="AB7" s="65">
        <v>326.68</v>
      </c>
      <c r="AC7" s="58">
        <v>326.68</v>
      </c>
      <c r="AD7" s="65">
        <v>509.83</v>
      </c>
      <c r="AE7" s="58">
        <v>509.83</v>
      </c>
      <c r="AF7" s="65">
        <f t="shared" si="13"/>
        <v>189.99999999999773</v>
      </c>
      <c r="AG7" s="58">
        <v>1427.6</v>
      </c>
      <c r="AH7" s="67">
        <f t="shared" si="14"/>
        <v>1.1999999999998181</v>
      </c>
      <c r="AI7" s="58">
        <v>483.18</v>
      </c>
      <c r="AJ7" s="65">
        <f t="shared" si="15"/>
        <v>220.00000000002728</v>
      </c>
      <c r="AK7" s="58">
        <v>168.84</v>
      </c>
      <c r="AL7" s="65">
        <f t="shared" si="15"/>
        <v>170.00000000001592</v>
      </c>
      <c r="AM7" s="58">
        <v>167.26</v>
      </c>
      <c r="AN7" s="65">
        <f t="shared" si="15"/>
        <v>179.9999999999784</v>
      </c>
      <c r="AO7" s="58">
        <v>161.22999999999999</v>
      </c>
      <c r="AP7" s="65">
        <f t="shared" si="15"/>
        <v>109.99999999998522</v>
      </c>
      <c r="AQ7" s="58">
        <v>222.97</v>
      </c>
      <c r="AR7" s="65">
        <f t="shared" si="16"/>
        <v>169.99999999998749</v>
      </c>
      <c r="AS7" s="58">
        <v>348.43</v>
      </c>
      <c r="AT7" s="65">
        <f t="shared" si="17"/>
        <v>180.00000000000682</v>
      </c>
      <c r="AU7" s="58">
        <v>268.86</v>
      </c>
      <c r="AV7" s="65">
        <f t="shared" si="18"/>
        <v>110.00000000001364</v>
      </c>
      <c r="AW7" s="58">
        <v>296.23</v>
      </c>
      <c r="AX7" s="65">
        <f t="shared" si="19"/>
        <v>170.00000000001592</v>
      </c>
      <c r="AY7" s="58">
        <v>347.61</v>
      </c>
      <c r="AZ7" s="65">
        <f t="shared" si="20"/>
        <v>160.00000000002501</v>
      </c>
      <c r="BA7" s="58">
        <v>367.29</v>
      </c>
      <c r="BB7" s="65">
        <f t="shared" si="21"/>
        <v>150.00000000003411</v>
      </c>
      <c r="BC7" s="58">
        <v>233.71</v>
      </c>
      <c r="BD7" s="65">
        <f t="shared" si="22"/>
        <v>80.000000000012506</v>
      </c>
      <c r="BE7" s="59">
        <v>32601</v>
      </c>
      <c r="BF7" s="67">
        <f t="shared" si="39"/>
        <v>27</v>
      </c>
      <c r="BG7" s="60">
        <v>226.51</v>
      </c>
      <c r="BH7" s="65">
        <f t="shared" si="23"/>
        <v>19.99999999998181</v>
      </c>
      <c r="BI7" s="60">
        <v>284.63</v>
      </c>
      <c r="BJ7" s="65">
        <f t="shared" si="40"/>
        <v>9.9999999999909051</v>
      </c>
      <c r="BK7" s="60">
        <v>231.66</v>
      </c>
      <c r="BL7" s="65">
        <f t="shared" si="24"/>
        <v>9.9999999999909051</v>
      </c>
      <c r="BM7" s="60">
        <v>216.38</v>
      </c>
      <c r="BN7" s="65">
        <f t="shared" si="25"/>
        <v>19.99999999998181</v>
      </c>
      <c r="BO7" s="60">
        <v>281.37</v>
      </c>
      <c r="BP7" s="65">
        <f t="shared" si="26"/>
        <v>30.000000000029559</v>
      </c>
      <c r="BQ7" s="60">
        <v>40392</v>
      </c>
      <c r="BR7" s="65">
        <f t="shared" si="27"/>
        <v>14</v>
      </c>
      <c r="BS7" s="60">
        <v>194.87</v>
      </c>
      <c r="BT7" s="65">
        <f t="shared" si="42"/>
        <v>20.000000000010232</v>
      </c>
      <c r="BU7" s="60">
        <v>33012</v>
      </c>
      <c r="BV7" s="65">
        <f t="shared" si="29"/>
        <v>31</v>
      </c>
      <c r="BW7" s="60">
        <v>226.3</v>
      </c>
      <c r="BX7" s="65">
        <f t="shared" si="30"/>
        <v>10.000000000019327</v>
      </c>
      <c r="BY7" s="60">
        <v>51356</v>
      </c>
      <c r="BZ7" s="67">
        <f t="shared" si="31"/>
        <v>26</v>
      </c>
      <c r="CA7" s="60">
        <v>27515.599999999999</v>
      </c>
      <c r="CB7" s="67">
        <f t="shared" si="32"/>
        <v>0</v>
      </c>
      <c r="CC7" s="60">
        <v>11255.6</v>
      </c>
      <c r="CD7" s="67">
        <f t="shared" si="33"/>
        <v>0</v>
      </c>
      <c r="CE7" s="60">
        <v>50954.2</v>
      </c>
      <c r="CF7" s="67">
        <f t="shared" si="34"/>
        <v>0</v>
      </c>
      <c r="CG7" s="60">
        <v>51011.7</v>
      </c>
      <c r="CH7" s="67">
        <f t="shared" si="35"/>
        <v>22</v>
      </c>
      <c r="CI7" s="60">
        <v>887345</v>
      </c>
      <c r="CJ7" s="67">
        <f t="shared" si="36"/>
        <v>207</v>
      </c>
      <c r="CK7" s="60">
        <v>627.95000000000005</v>
      </c>
      <c r="CL7" s="64">
        <f t="shared" si="37"/>
        <v>550.00000000006821</v>
      </c>
      <c r="CM7" s="65">
        <f t="shared" si="41"/>
        <v>17.300000000000182</v>
      </c>
      <c r="CN7" s="62">
        <v>0</v>
      </c>
      <c r="CO7" s="62">
        <v>0</v>
      </c>
      <c r="CP7" s="68">
        <v>1513.4</v>
      </c>
      <c r="CQ7" s="67">
        <f t="shared" si="38"/>
        <v>11.300000000000182</v>
      </c>
      <c r="CR7" s="68">
        <v>10888</v>
      </c>
      <c r="CS7" s="67">
        <f t="shared" si="38"/>
        <v>6</v>
      </c>
      <c r="CT7" s="75">
        <v>3535</v>
      </c>
      <c r="CU7" s="67">
        <f t="shared" si="38"/>
        <v>10</v>
      </c>
      <c r="CV7" s="68">
        <v>9966</v>
      </c>
      <c r="CW7" s="67">
        <f t="shared" si="38"/>
        <v>16</v>
      </c>
    </row>
    <row r="8" spans="1:102" ht="25.5" customHeight="1" thickBot="1" x14ac:dyDescent="0.45">
      <c r="A8" s="63">
        <v>44140</v>
      </c>
      <c r="B8" s="44"/>
      <c r="C8" s="58">
        <v>1.8874</v>
      </c>
      <c r="D8" s="64">
        <f t="shared" si="0"/>
        <v>1199.9999999998679</v>
      </c>
      <c r="E8" s="58">
        <v>2.8018000000000001</v>
      </c>
      <c r="F8" s="64">
        <f t="shared" si="1"/>
        <v>700.00000000014495</v>
      </c>
      <c r="G8" s="58">
        <v>2.7961</v>
      </c>
      <c r="H8" s="64">
        <f t="shared" si="2"/>
        <v>1700.0000000000348</v>
      </c>
      <c r="I8" s="58">
        <v>1.3585</v>
      </c>
      <c r="J8" s="64">
        <f t="shared" si="3"/>
        <v>800.00000000013392</v>
      </c>
      <c r="K8" s="58">
        <v>2.1652</v>
      </c>
      <c r="L8" s="64">
        <f t="shared" si="4"/>
        <v>1900.0000000000127</v>
      </c>
      <c r="M8" s="58">
        <v>1.2746</v>
      </c>
      <c r="N8" s="64">
        <f t="shared" si="5"/>
        <v>499.99999999994492</v>
      </c>
      <c r="O8" s="58">
        <v>12686</v>
      </c>
      <c r="P8" s="67">
        <f t="shared" si="43"/>
        <v>1</v>
      </c>
      <c r="Q8" s="58">
        <v>5964</v>
      </c>
      <c r="R8" s="67">
        <f t="shared" si="6"/>
        <v>2</v>
      </c>
      <c r="S8" s="58">
        <v>863929.6</v>
      </c>
      <c r="T8" s="67">
        <f t="shared" si="7"/>
        <v>136.79999999993015</v>
      </c>
      <c r="U8" s="58">
        <v>353735.7</v>
      </c>
      <c r="V8" s="67">
        <f t="shared" si="8"/>
        <v>88.100000000034925</v>
      </c>
      <c r="W8" s="58">
        <v>346.15</v>
      </c>
      <c r="X8" s="65">
        <f t="shared" si="9"/>
        <v>109.9999999999568</v>
      </c>
      <c r="Y8" s="58">
        <v>2.4525000000000001</v>
      </c>
      <c r="Z8" s="65">
        <f t="shared" si="10"/>
        <v>500.00000000016701</v>
      </c>
      <c r="AA8" s="58">
        <v>337.95</v>
      </c>
      <c r="AB8" s="65">
        <f t="shared" si="11"/>
        <v>139.99999999998636</v>
      </c>
      <c r="AC8" s="58">
        <v>326.81</v>
      </c>
      <c r="AD8" s="65">
        <f t="shared" si="12"/>
        <v>129.99999999999545</v>
      </c>
      <c r="AE8" s="58">
        <v>509.98</v>
      </c>
      <c r="AF8" s="65">
        <f t="shared" si="13"/>
        <v>150.00000000003411</v>
      </c>
      <c r="AG8" s="58">
        <v>1428.7</v>
      </c>
      <c r="AH8" s="67">
        <f t="shared" si="14"/>
        <v>1.1000000000001364</v>
      </c>
      <c r="AI8" s="58">
        <v>483.41</v>
      </c>
      <c r="AJ8" s="65">
        <f t="shared" si="15"/>
        <v>230.00000000001819</v>
      </c>
      <c r="AK8" s="58">
        <v>168.99</v>
      </c>
      <c r="AL8" s="65">
        <f t="shared" si="15"/>
        <v>150.00000000000568</v>
      </c>
      <c r="AM8" s="58">
        <v>167.39</v>
      </c>
      <c r="AN8" s="65">
        <f t="shared" si="15"/>
        <v>129.99999999999545</v>
      </c>
      <c r="AO8" s="58">
        <v>161.35</v>
      </c>
      <c r="AP8" s="65">
        <f t="shared" si="15"/>
        <v>120.00000000000455</v>
      </c>
      <c r="AQ8" s="58">
        <v>223.04</v>
      </c>
      <c r="AR8" s="65">
        <f t="shared" si="16"/>
        <v>69.999999999993179</v>
      </c>
      <c r="AS8" s="58">
        <v>348.51</v>
      </c>
      <c r="AT8" s="65">
        <f t="shared" si="17"/>
        <v>79.999999999984084</v>
      </c>
      <c r="AU8" s="58">
        <v>268.91000000000003</v>
      </c>
      <c r="AV8" s="65">
        <f t="shared" si="18"/>
        <v>50.000000000011369</v>
      </c>
      <c r="AW8" s="58">
        <v>296.26</v>
      </c>
      <c r="AX8" s="65">
        <f t="shared" si="19"/>
        <v>29.999999999972715</v>
      </c>
      <c r="AY8" s="58">
        <v>347.66</v>
      </c>
      <c r="AZ8" s="65">
        <f t="shared" si="20"/>
        <v>50.000000000011369</v>
      </c>
      <c r="BA8" s="58">
        <v>367.32</v>
      </c>
      <c r="BB8" s="65">
        <f t="shared" si="21"/>
        <v>29.999999999972715</v>
      </c>
      <c r="BC8" s="58">
        <v>233.72</v>
      </c>
      <c r="BD8" s="65">
        <f t="shared" si="22"/>
        <v>9.9999999999909051</v>
      </c>
      <c r="BE8" s="59">
        <v>32626</v>
      </c>
      <c r="BF8" s="67">
        <f t="shared" si="39"/>
        <v>25</v>
      </c>
      <c r="BG8" s="60">
        <v>226.52</v>
      </c>
      <c r="BH8" s="65">
        <f t="shared" si="23"/>
        <v>10.000000000019327</v>
      </c>
      <c r="BI8" s="60">
        <v>284.64999999999998</v>
      </c>
      <c r="BJ8" s="65">
        <f t="shared" si="40"/>
        <v>19.99999999998181</v>
      </c>
      <c r="BK8" s="60">
        <v>231.66</v>
      </c>
      <c r="BL8" s="65">
        <f t="shared" si="24"/>
        <v>0</v>
      </c>
      <c r="BM8" s="60">
        <v>216.4</v>
      </c>
      <c r="BN8" s="65">
        <f t="shared" si="25"/>
        <v>20.000000000010232</v>
      </c>
      <c r="BO8" s="60">
        <v>281.39</v>
      </c>
      <c r="BP8" s="65">
        <f t="shared" si="26"/>
        <v>19.99999999998181</v>
      </c>
      <c r="BQ8" s="60">
        <v>40404</v>
      </c>
      <c r="BR8" s="65">
        <f t="shared" si="27"/>
        <v>12</v>
      </c>
      <c r="BS8" s="60">
        <v>194.89</v>
      </c>
      <c r="BT8" s="65">
        <f t="shared" si="42"/>
        <v>19.99999999998181</v>
      </c>
      <c r="BU8" s="60">
        <v>33043</v>
      </c>
      <c r="BV8" s="65">
        <f t="shared" si="29"/>
        <v>31</v>
      </c>
      <c r="BW8" s="60">
        <v>226.31</v>
      </c>
      <c r="BX8" s="65">
        <f t="shared" si="30"/>
        <v>9.9999999999909051</v>
      </c>
      <c r="BY8" s="60">
        <v>51383</v>
      </c>
      <c r="BZ8" s="67">
        <f t="shared" si="31"/>
        <v>27</v>
      </c>
      <c r="CA8" s="60">
        <v>27515.599999999999</v>
      </c>
      <c r="CB8" s="67">
        <f t="shared" si="32"/>
        <v>0</v>
      </c>
      <c r="CC8" s="60">
        <v>11255.6</v>
      </c>
      <c r="CD8" s="67">
        <f t="shared" si="33"/>
        <v>0</v>
      </c>
      <c r="CE8" s="60">
        <v>50954.2</v>
      </c>
      <c r="CF8" s="67">
        <f t="shared" si="34"/>
        <v>0</v>
      </c>
      <c r="CG8" s="60">
        <v>51063.6</v>
      </c>
      <c r="CH8" s="67">
        <f t="shared" si="35"/>
        <v>51.900000000001455</v>
      </c>
      <c r="CI8" s="60">
        <v>887560</v>
      </c>
      <c r="CJ8" s="67">
        <f t="shared" si="36"/>
        <v>215</v>
      </c>
      <c r="CK8" s="60">
        <v>628.49</v>
      </c>
      <c r="CL8" s="64">
        <f t="shared" si="37"/>
        <v>539.99999999996362</v>
      </c>
      <c r="CM8" s="65">
        <f t="shared" si="41"/>
        <v>16.599999999999909</v>
      </c>
      <c r="CN8" s="62">
        <v>0</v>
      </c>
      <c r="CO8" s="62">
        <v>0</v>
      </c>
      <c r="CP8" s="68">
        <v>1523</v>
      </c>
      <c r="CQ8" s="67">
        <f t="shared" si="38"/>
        <v>9.5999999999999091</v>
      </c>
      <c r="CR8" s="68">
        <v>10895</v>
      </c>
      <c r="CS8" s="67">
        <f t="shared" si="38"/>
        <v>7</v>
      </c>
      <c r="CT8" s="75">
        <v>3547</v>
      </c>
      <c r="CU8" s="67">
        <f t="shared" si="38"/>
        <v>12</v>
      </c>
      <c r="CV8" s="68">
        <v>9986</v>
      </c>
      <c r="CW8" s="67">
        <f t="shared" si="38"/>
        <v>20</v>
      </c>
    </row>
    <row r="9" spans="1:102" ht="25.5" customHeight="1" thickBot="1" x14ac:dyDescent="0.45">
      <c r="A9" s="63">
        <v>44141</v>
      </c>
      <c r="B9" s="44"/>
      <c r="C9" s="58">
        <v>1.8885000000000001</v>
      </c>
      <c r="D9" s="64">
        <f t="shared" si="0"/>
        <v>1100.000000000101</v>
      </c>
      <c r="E9" s="58">
        <v>2.8025000000000002</v>
      </c>
      <c r="F9" s="64">
        <f t="shared" si="1"/>
        <v>700.00000000014495</v>
      </c>
      <c r="G9" s="58">
        <v>2.7976000000000001</v>
      </c>
      <c r="H9" s="64">
        <f t="shared" si="2"/>
        <v>1500.0000000000568</v>
      </c>
      <c r="I9" s="58">
        <v>1.3593999999999999</v>
      </c>
      <c r="J9" s="64">
        <f t="shared" si="3"/>
        <v>899.99999999990087</v>
      </c>
      <c r="K9" s="58">
        <v>2.1671</v>
      </c>
      <c r="L9" s="64">
        <f t="shared" si="4"/>
        <v>1900.0000000000127</v>
      </c>
      <c r="M9" s="58">
        <v>1.2753000000000001</v>
      </c>
      <c r="N9" s="64">
        <f t="shared" si="5"/>
        <v>700.00000000014495</v>
      </c>
      <c r="O9" s="58">
        <v>12687</v>
      </c>
      <c r="P9" s="67">
        <f t="shared" si="43"/>
        <v>1</v>
      </c>
      <c r="Q9" s="58">
        <v>5968</v>
      </c>
      <c r="R9" s="67">
        <f t="shared" si="6"/>
        <v>4</v>
      </c>
      <c r="S9" s="58">
        <v>864154</v>
      </c>
      <c r="T9" s="67">
        <f t="shared" si="7"/>
        <v>224.40000000002328</v>
      </c>
      <c r="U9" s="58">
        <v>353870.5</v>
      </c>
      <c r="V9" s="67">
        <f t="shared" si="8"/>
        <v>134.79999999998836</v>
      </c>
      <c r="W9" s="58">
        <v>346.26</v>
      </c>
      <c r="X9" s="65">
        <f t="shared" si="9"/>
        <v>110.00000000001364</v>
      </c>
      <c r="Y9" s="58">
        <v>2.4529999999999998</v>
      </c>
      <c r="Z9" s="65">
        <f t="shared" si="10"/>
        <v>499.99999999972289</v>
      </c>
      <c r="AA9" s="58">
        <v>338.08</v>
      </c>
      <c r="AB9" s="65">
        <f t="shared" si="11"/>
        <v>129.99999999999545</v>
      </c>
      <c r="AC9" s="58">
        <v>326.98</v>
      </c>
      <c r="AD9" s="65">
        <f t="shared" si="12"/>
        <v>170.00000000001592</v>
      </c>
      <c r="AE9" s="58">
        <v>510.25</v>
      </c>
      <c r="AF9" s="65">
        <f t="shared" si="13"/>
        <v>269.99999999998181</v>
      </c>
      <c r="AG9" s="58">
        <v>1429.8</v>
      </c>
      <c r="AH9" s="67">
        <f t="shared" si="14"/>
        <v>1.0999999999999091</v>
      </c>
      <c r="AI9" s="58">
        <v>483.65</v>
      </c>
      <c r="AJ9" s="65">
        <f t="shared" si="15"/>
        <v>239.99999999995225</v>
      </c>
      <c r="AK9" s="58">
        <v>169.15</v>
      </c>
      <c r="AL9" s="65">
        <f t="shared" si="15"/>
        <v>159.99999999999659</v>
      </c>
      <c r="AM9" s="58">
        <v>167.53</v>
      </c>
      <c r="AN9" s="65">
        <f t="shared" si="15"/>
        <v>140.00000000001478</v>
      </c>
      <c r="AO9" s="58">
        <v>161.47999999999999</v>
      </c>
      <c r="AP9" s="65">
        <f t="shared" si="15"/>
        <v>129.99999999999545</v>
      </c>
      <c r="AQ9" s="58">
        <v>223.07</v>
      </c>
      <c r="AR9" s="65">
        <f t="shared" si="16"/>
        <v>30.000000000001137</v>
      </c>
      <c r="AS9" s="58">
        <v>348.54</v>
      </c>
      <c r="AT9" s="65">
        <f t="shared" si="17"/>
        <v>30.000000000029559</v>
      </c>
      <c r="AU9" s="58">
        <v>268.94</v>
      </c>
      <c r="AV9" s="65">
        <f t="shared" si="18"/>
        <v>29.999999999972715</v>
      </c>
      <c r="AW9" s="58">
        <v>296.29000000000002</v>
      </c>
      <c r="AX9" s="65">
        <f t="shared" si="19"/>
        <v>30.000000000029559</v>
      </c>
      <c r="AY9" s="58">
        <v>347.69</v>
      </c>
      <c r="AZ9" s="65">
        <f t="shared" si="20"/>
        <v>29.999999999972715</v>
      </c>
      <c r="BA9" s="58">
        <v>367.34</v>
      </c>
      <c r="BB9" s="65">
        <f t="shared" si="21"/>
        <v>19.99999999998181</v>
      </c>
      <c r="BC9" s="58">
        <v>233.74</v>
      </c>
      <c r="BD9" s="65">
        <f t="shared" si="22"/>
        <v>20.000000000010232</v>
      </c>
      <c r="BE9" s="59">
        <v>32652</v>
      </c>
      <c r="BF9" s="67">
        <f t="shared" si="39"/>
        <v>26</v>
      </c>
      <c r="BG9" s="60">
        <v>226.53</v>
      </c>
      <c r="BH9" s="65">
        <f t="shared" si="23"/>
        <v>9.9999999999909051</v>
      </c>
      <c r="BI9" s="60">
        <v>284.66000000000003</v>
      </c>
      <c r="BJ9" s="65">
        <f t="shared" si="40"/>
        <v>10.000000000047748</v>
      </c>
      <c r="BK9" s="60">
        <v>231.67</v>
      </c>
      <c r="BL9" s="65">
        <f t="shared" si="24"/>
        <v>9.9999999999909051</v>
      </c>
      <c r="BM9" s="60">
        <v>216.41</v>
      </c>
      <c r="BN9" s="65">
        <f t="shared" si="25"/>
        <v>9.9999999999909051</v>
      </c>
      <c r="BO9" s="60">
        <v>281.42</v>
      </c>
      <c r="BP9" s="65">
        <f t="shared" si="26"/>
        <v>30.000000000029559</v>
      </c>
      <c r="BQ9" s="60">
        <v>40419</v>
      </c>
      <c r="BR9" s="65">
        <f t="shared" si="27"/>
        <v>15</v>
      </c>
      <c r="BS9" s="60">
        <v>194.9</v>
      </c>
      <c r="BT9" s="65">
        <f t="shared" si="42"/>
        <v>10.000000000019327</v>
      </c>
      <c r="BU9" s="60">
        <v>33075</v>
      </c>
      <c r="BV9" s="65">
        <f t="shared" si="29"/>
        <v>32</v>
      </c>
      <c r="BW9" s="60">
        <v>226.32</v>
      </c>
      <c r="BX9" s="65">
        <f t="shared" si="30"/>
        <v>9.9999999999909051</v>
      </c>
      <c r="BY9" s="60">
        <v>51415</v>
      </c>
      <c r="BZ9" s="67">
        <f t="shared" si="31"/>
        <v>32</v>
      </c>
      <c r="CA9" s="60">
        <v>27515.599999999999</v>
      </c>
      <c r="CB9" s="67">
        <f t="shared" si="32"/>
        <v>0</v>
      </c>
      <c r="CC9" s="60">
        <v>11255.6</v>
      </c>
      <c r="CD9" s="67">
        <f t="shared" si="33"/>
        <v>0</v>
      </c>
      <c r="CE9" s="60">
        <v>50954.2</v>
      </c>
      <c r="CF9" s="67">
        <f t="shared" si="34"/>
        <v>0</v>
      </c>
      <c r="CG9" s="60">
        <v>51084.3</v>
      </c>
      <c r="CH9" s="67">
        <f t="shared" si="35"/>
        <v>20.700000000004366</v>
      </c>
      <c r="CI9" s="60">
        <v>887770</v>
      </c>
      <c r="CJ9" s="67">
        <f t="shared" si="36"/>
        <v>210</v>
      </c>
      <c r="CK9" s="60">
        <v>628.9</v>
      </c>
      <c r="CL9" s="64">
        <f t="shared" si="37"/>
        <v>409.99999999996817</v>
      </c>
      <c r="CM9" s="65">
        <f t="shared" si="41"/>
        <v>15</v>
      </c>
      <c r="CN9" s="62">
        <v>0</v>
      </c>
      <c r="CO9" s="62">
        <v>0</v>
      </c>
      <c r="CP9" s="68">
        <v>1530</v>
      </c>
      <c r="CQ9" s="67">
        <f t="shared" si="38"/>
        <v>7</v>
      </c>
      <c r="CR9" s="68">
        <v>10903</v>
      </c>
      <c r="CS9" s="67">
        <f t="shared" si="38"/>
        <v>8</v>
      </c>
      <c r="CT9" s="75">
        <v>3559</v>
      </c>
      <c r="CU9" s="67">
        <f t="shared" si="38"/>
        <v>12</v>
      </c>
      <c r="CV9" s="68">
        <v>10008</v>
      </c>
      <c r="CW9" s="67">
        <f t="shared" si="38"/>
        <v>22</v>
      </c>
    </row>
    <row r="10" spans="1:102" ht="25.5" customHeight="1" thickBot="1" x14ac:dyDescent="0.45">
      <c r="A10" s="63">
        <v>44142</v>
      </c>
      <c r="B10" s="44"/>
      <c r="C10" s="58">
        <v>1.8894</v>
      </c>
      <c r="D10" s="64">
        <f t="shared" si="0"/>
        <v>899.99999999990087</v>
      </c>
      <c r="E10" s="58">
        <v>2.8029999999999999</v>
      </c>
      <c r="F10" s="64">
        <f t="shared" si="1"/>
        <v>499.99999999972289</v>
      </c>
      <c r="G10" s="58">
        <v>2.7989999999999999</v>
      </c>
      <c r="H10" s="64">
        <f t="shared" si="2"/>
        <v>1399.9999999998458</v>
      </c>
      <c r="I10" s="58">
        <v>1.3601000000000001</v>
      </c>
      <c r="J10" s="64">
        <f t="shared" si="3"/>
        <v>700.00000000014495</v>
      </c>
      <c r="K10" s="58">
        <v>2.1688000000000001</v>
      </c>
      <c r="L10" s="64">
        <f t="shared" si="4"/>
        <v>1700.0000000000348</v>
      </c>
      <c r="M10" s="58">
        <v>1.2758</v>
      </c>
      <c r="N10" s="64">
        <f t="shared" si="5"/>
        <v>499.99999999994492</v>
      </c>
      <c r="O10" s="58">
        <v>12688</v>
      </c>
      <c r="P10" s="67">
        <f t="shared" si="43"/>
        <v>1</v>
      </c>
      <c r="Q10" s="58">
        <v>5972</v>
      </c>
      <c r="R10" s="67">
        <f t="shared" si="6"/>
        <v>4</v>
      </c>
      <c r="S10" s="58">
        <v>864194</v>
      </c>
      <c r="T10" s="67">
        <f t="shared" si="7"/>
        <v>40</v>
      </c>
      <c r="U10" s="58">
        <v>353972.5</v>
      </c>
      <c r="V10" s="67">
        <f t="shared" si="8"/>
        <v>102</v>
      </c>
      <c r="W10" s="58">
        <v>346.33</v>
      </c>
      <c r="X10" s="65">
        <f t="shared" si="9"/>
        <v>69.999999999993179</v>
      </c>
      <c r="Y10" s="58">
        <v>2.4533</v>
      </c>
      <c r="Z10" s="65">
        <f t="shared" si="10"/>
        <v>300.000000000189</v>
      </c>
      <c r="AA10" s="58">
        <v>338.18</v>
      </c>
      <c r="AB10" s="65">
        <f t="shared" si="11"/>
        <v>100.00000000002274</v>
      </c>
      <c r="AC10" s="58">
        <v>327.10000000000002</v>
      </c>
      <c r="AD10" s="65">
        <f t="shared" si="12"/>
        <v>120.00000000000455</v>
      </c>
      <c r="AE10" s="58">
        <v>510.41</v>
      </c>
      <c r="AF10" s="65">
        <f t="shared" si="13"/>
        <v>160.00000000002501</v>
      </c>
      <c r="AG10" s="58">
        <v>1430.7</v>
      </c>
      <c r="AH10" s="67">
        <f t="shared" si="14"/>
        <v>0.90000000000009095</v>
      </c>
      <c r="AI10" s="58">
        <v>483.88</v>
      </c>
      <c r="AJ10" s="65">
        <f t="shared" si="15"/>
        <v>230.00000000001819</v>
      </c>
      <c r="AK10" s="58">
        <v>169.26</v>
      </c>
      <c r="AL10" s="65">
        <f t="shared" si="15"/>
        <v>109.99999999998522</v>
      </c>
      <c r="AM10" s="58">
        <v>167.65</v>
      </c>
      <c r="AN10" s="65">
        <f t="shared" si="15"/>
        <v>120.00000000000455</v>
      </c>
      <c r="AO10" s="58">
        <v>161.57</v>
      </c>
      <c r="AP10" s="65">
        <f t="shared" si="15"/>
        <v>90.000000000003411</v>
      </c>
      <c r="AQ10" s="58">
        <v>223.09</v>
      </c>
      <c r="AR10" s="65">
        <f t="shared" si="16"/>
        <v>20.000000000010232</v>
      </c>
      <c r="AS10" s="58">
        <v>348.57</v>
      </c>
      <c r="AT10" s="65">
        <f t="shared" si="17"/>
        <v>29.999999999972715</v>
      </c>
      <c r="AU10" s="58">
        <v>268.95999999999998</v>
      </c>
      <c r="AV10" s="65">
        <f t="shared" si="18"/>
        <v>19.99999999998181</v>
      </c>
      <c r="AW10" s="58">
        <v>296.31</v>
      </c>
      <c r="AX10" s="65">
        <f t="shared" si="19"/>
        <v>19.99999999998181</v>
      </c>
      <c r="AY10" s="58">
        <v>347.77</v>
      </c>
      <c r="AZ10" s="65">
        <f t="shared" si="20"/>
        <v>79.999999999984084</v>
      </c>
      <c r="BA10" s="58">
        <v>367.37</v>
      </c>
      <c r="BB10" s="65">
        <f t="shared" si="21"/>
        <v>30.000000000029559</v>
      </c>
      <c r="BC10" s="58">
        <v>233.76</v>
      </c>
      <c r="BD10" s="65">
        <f t="shared" si="22"/>
        <v>19.99999999998181</v>
      </c>
      <c r="BE10" s="59">
        <v>32680</v>
      </c>
      <c r="BF10" s="67">
        <f t="shared" si="39"/>
        <v>28</v>
      </c>
      <c r="BG10" s="60">
        <v>226.54</v>
      </c>
      <c r="BH10" s="65">
        <f t="shared" si="23"/>
        <v>9.9999999999909051</v>
      </c>
      <c r="BI10" s="60">
        <v>284.67</v>
      </c>
      <c r="BJ10" s="65">
        <f t="shared" si="40"/>
        <v>9.9999999999909051</v>
      </c>
      <c r="BK10" s="60">
        <v>231.67</v>
      </c>
      <c r="BL10" s="65">
        <f t="shared" si="24"/>
        <v>0</v>
      </c>
      <c r="BM10" s="60">
        <v>216.43</v>
      </c>
      <c r="BN10" s="65">
        <f t="shared" si="25"/>
        <v>20.000000000010232</v>
      </c>
      <c r="BO10" s="60">
        <v>281.43</v>
      </c>
      <c r="BP10" s="65">
        <f t="shared" si="26"/>
        <v>9.9999999999909051</v>
      </c>
      <c r="BQ10" s="60">
        <v>40433</v>
      </c>
      <c r="BR10" s="65">
        <f t="shared" si="27"/>
        <v>14</v>
      </c>
      <c r="BS10" s="60">
        <v>194.91</v>
      </c>
      <c r="BT10" s="65">
        <f t="shared" si="42"/>
        <v>9.9999999999909051</v>
      </c>
      <c r="BU10" s="60">
        <v>33098</v>
      </c>
      <c r="BV10" s="65">
        <f t="shared" si="29"/>
        <v>23</v>
      </c>
      <c r="BW10" s="60">
        <v>226.33</v>
      </c>
      <c r="BX10" s="65">
        <f t="shared" si="30"/>
        <v>10.000000000019327</v>
      </c>
      <c r="BY10" s="60">
        <v>51433</v>
      </c>
      <c r="BZ10" s="67">
        <f t="shared" si="31"/>
        <v>18</v>
      </c>
      <c r="CA10" s="60">
        <v>27515.599999999999</v>
      </c>
      <c r="CB10" s="67">
        <f t="shared" si="32"/>
        <v>0</v>
      </c>
      <c r="CC10" s="60">
        <v>11255.6</v>
      </c>
      <c r="CD10" s="67">
        <f t="shared" si="33"/>
        <v>0</v>
      </c>
      <c r="CE10" s="60">
        <v>50954.2</v>
      </c>
      <c r="CF10" s="67">
        <f t="shared" si="34"/>
        <v>0</v>
      </c>
      <c r="CG10" s="60">
        <v>51100.4</v>
      </c>
      <c r="CH10" s="67">
        <f t="shared" si="35"/>
        <v>16.099999999998545</v>
      </c>
      <c r="CI10" s="60">
        <v>887965</v>
      </c>
      <c r="CJ10" s="67">
        <f t="shared" si="36"/>
        <v>195</v>
      </c>
      <c r="CK10" s="60">
        <v>629.37</v>
      </c>
      <c r="CL10" s="64">
        <f t="shared" si="37"/>
        <v>470.00000000002728</v>
      </c>
      <c r="CM10" s="65">
        <f t="shared" si="41"/>
        <v>17</v>
      </c>
      <c r="CN10" s="62">
        <v>0</v>
      </c>
      <c r="CO10" s="62">
        <v>0</v>
      </c>
      <c r="CP10" s="68">
        <v>1535</v>
      </c>
      <c r="CQ10" s="67">
        <f>IF((CP10-CP9&lt;0), "",CP10-CP9)</f>
        <v>5</v>
      </c>
      <c r="CR10" s="68">
        <v>10915</v>
      </c>
      <c r="CS10" s="67">
        <f t="shared" si="38"/>
        <v>12</v>
      </c>
      <c r="CT10" s="75">
        <v>3570</v>
      </c>
      <c r="CU10" s="67">
        <f t="shared" si="38"/>
        <v>11</v>
      </c>
      <c r="CV10" s="68">
        <v>10030</v>
      </c>
      <c r="CW10" s="67">
        <f t="shared" si="38"/>
        <v>22</v>
      </c>
    </row>
    <row r="11" spans="1:102" ht="25.5" customHeight="1" thickBot="1" x14ac:dyDescent="0.45">
      <c r="A11" s="63">
        <v>44143</v>
      </c>
      <c r="B11" s="44"/>
      <c r="C11" s="58">
        <v>1.8903000000000001</v>
      </c>
      <c r="D11" s="64">
        <f t="shared" si="0"/>
        <v>900.0000000001229</v>
      </c>
      <c r="E11" s="58">
        <v>2.8035000000000001</v>
      </c>
      <c r="F11" s="64">
        <f t="shared" si="1"/>
        <v>500.00000000016701</v>
      </c>
      <c r="G11" s="58">
        <v>2.8003999999999998</v>
      </c>
      <c r="H11" s="64">
        <f t="shared" si="2"/>
        <v>1399.9999999998458</v>
      </c>
      <c r="I11" s="58">
        <v>1.3609</v>
      </c>
      <c r="J11" s="64">
        <f t="shared" si="3"/>
        <v>799.99999999991189</v>
      </c>
      <c r="K11" s="58">
        <v>2.1707000000000001</v>
      </c>
      <c r="L11" s="64">
        <f t="shared" si="4"/>
        <v>1900.0000000000127</v>
      </c>
      <c r="M11" s="58">
        <v>1.2762</v>
      </c>
      <c r="N11" s="64">
        <f t="shared" si="5"/>
        <v>399.99999999995595</v>
      </c>
      <c r="O11" s="58">
        <v>12689</v>
      </c>
      <c r="P11" s="67">
        <f t="shared" ref="P11:P34" si="44">IF((O11-O10&lt;0), "",O11-O10)</f>
        <v>1</v>
      </c>
      <c r="Q11" s="58">
        <v>5975</v>
      </c>
      <c r="R11" s="67">
        <f t="shared" si="6"/>
        <v>3</v>
      </c>
      <c r="S11" s="58">
        <v>864255.2</v>
      </c>
      <c r="T11" s="67">
        <f t="shared" si="7"/>
        <v>61.199999999953434</v>
      </c>
      <c r="U11" s="58">
        <v>353942.8</v>
      </c>
      <c r="V11" s="67" t="str">
        <f t="shared" si="8"/>
        <v/>
      </c>
      <c r="W11" s="58">
        <v>346.41</v>
      </c>
      <c r="X11" s="65">
        <f t="shared" si="9"/>
        <v>80.000000000040927</v>
      </c>
      <c r="Y11" s="58">
        <v>2.4537</v>
      </c>
      <c r="Z11" s="65">
        <f t="shared" si="10"/>
        <v>399.99999999995595</v>
      </c>
      <c r="AA11" s="58">
        <v>338.26</v>
      </c>
      <c r="AB11" s="65">
        <f t="shared" si="11"/>
        <v>79.999999999984084</v>
      </c>
      <c r="AC11" s="58">
        <v>327.22000000000003</v>
      </c>
      <c r="AD11" s="65">
        <f t="shared" si="12"/>
        <v>120.00000000000455</v>
      </c>
      <c r="AE11" s="58">
        <v>510.54</v>
      </c>
      <c r="AF11" s="65">
        <f t="shared" si="13"/>
        <v>129.99999999999545</v>
      </c>
      <c r="AG11" s="58">
        <v>1431.7</v>
      </c>
      <c r="AH11" s="67">
        <f t="shared" si="14"/>
        <v>1</v>
      </c>
      <c r="AI11" s="58">
        <v>484.12</v>
      </c>
      <c r="AJ11" s="65">
        <f t="shared" si="15"/>
        <v>240.00000000000909</v>
      </c>
      <c r="AK11" s="58">
        <v>169.36</v>
      </c>
      <c r="AL11" s="65">
        <f t="shared" si="15"/>
        <v>100.00000000002274</v>
      </c>
      <c r="AM11" s="58">
        <v>167.78</v>
      </c>
      <c r="AN11" s="65">
        <f t="shared" si="15"/>
        <v>129.99999999999545</v>
      </c>
      <c r="AO11" s="58">
        <v>161.66</v>
      </c>
      <c r="AP11" s="65">
        <f t="shared" si="15"/>
        <v>90.000000000003411</v>
      </c>
      <c r="AQ11" s="58">
        <v>223.17</v>
      </c>
      <c r="AR11" s="65">
        <f t="shared" si="16"/>
        <v>79.999999999984084</v>
      </c>
      <c r="AS11" s="58">
        <v>348.59</v>
      </c>
      <c r="AT11" s="65">
        <f t="shared" si="17"/>
        <v>19.99999999998181</v>
      </c>
      <c r="AU11" s="58">
        <v>268.98</v>
      </c>
      <c r="AV11" s="65">
        <f t="shared" si="18"/>
        <v>20.000000000038654</v>
      </c>
      <c r="AW11" s="58">
        <v>296.33</v>
      </c>
      <c r="AX11" s="65">
        <f t="shared" si="19"/>
        <v>19.99999999998181</v>
      </c>
      <c r="AY11" s="58">
        <v>347.74</v>
      </c>
      <c r="AZ11" s="65" t="str">
        <f t="shared" si="20"/>
        <v/>
      </c>
      <c r="BA11" s="58">
        <v>367.39</v>
      </c>
      <c r="BB11" s="65">
        <f t="shared" si="21"/>
        <v>19.99999999998181</v>
      </c>
      <c r="BC11" s="58">
        <v>233.77</v>
      </c>
      <c r="BD11" s="65">
        <f>IF((BC11-BC10&lt;0), "",(BC11-BC10)*1000)</f>
        <v>10.000000000019327</v>
      </c>
      <c r="BE11" s="59">
        <v>32705</v>
      </c>
      <c r="BF11" s="67">
        <f t="shared" si="39"/>
        <v>25</v>
      </c>
      <c r="BG11" s="60">
        <v>226.54</v>
      </c>
      <c r="BH11" s="65">
        <f t="shared" si="23"/>
        <v>0</v>
      </c>
      <c r="BI11" s="60">
        <v>284.68</v>
      </c>
      <c r="BJ11" s="65">
        <f t="shared" si="40"/>
        <v>9.9999999999909051</v>
      </c>
      <c r="BK11" s="60">
        <v>231.67</v>
      </c>
      <c r="BL11" s="65">
        <f t="shared" si="24"/>
        <v>0</v>
      </c>
      <c r="BM11" s="60">
        <v>216.44</v>
      </c>
      <c r="BN11" s="65">
        <f t="shared" si="25"/>
        <v>9.9999999999909051</v>
      </c>
      <c r="BO11" s="60">
        <v>281.44</v>
      </c>
      <c r="BP11" s="65">
        <f t="shared" si="26"/>
        <v>9.9999999999909051</v>
      </c>
      <c r="BQ11" s="60">
        <v>40448</v>
      </c>
      <c r="BR11" s="65">
        <f t="shared" si="27"/>
        <v>15</v>
      </c>
      <c r="BS11" s="60">
        <v>194.92</v>
      </c>
      <c r="BT11" s="65">
        <f t="shared" si="42"/>
        <v>9.9999999999909051</v>
      </c>
      <c r="BU11" s="60">
        <v>33121</v>
      </c>
      <c r="BV11" s="65">
        <f t="shared" si="29"/>
        <v>23</v>
      </c>
      <c r="BW11" s="60">
        <v>226.35</v>
      </c>
      <c r="BX11" s="65">
        <f t="shared" si="30"/>
        <v>19.99999999998181</v>
      </c>
      <c r="BY11" s="60">
        <v>51455</v>
      </c>
      <c r="BZ11" s="67">
        <f t="shared" si="31"/>
        <v>22</v>
      </c>
      <c r="CA11" s="60">
        <v>27515.599999999999</v>
      </c>
      <c r="CB11" s="67">
        <f t="shared" si="32"/>
        <v>0</v>
      </c>
      <c r="CC11" s="60">
        <v>11255.6</v>
      </c>
      <c r="CD11" s="67">
        <f t="shared" si="33"/>
        <v>0</v>
      </c>
      <c r="CE11" s="60">
        <v>50954.2</v>
      </c>
      <c r="CF11" s="67">
        <f t="shared" si="34"/>
        <v>0</v>
      </c>
      <c r="CG11" s="60">
        <v>51119.8</v>
      </c>
      <c r="CH11" s="67">
        <f t="shared" si="35"/>
        <v>19.400000000001455</v>
      </c>
      <c r="CI11" s="60">
        <v>888168</v>
      </c>
      <c r="CJ11" s="67">
        <f t="shared" si="36"/>
        <v>203</v>
      </c>
      <c r="CK11" s="60">
        <v>629.76</v>
      </c>
      <c r="CL11" s="64">
        <f t="shared" si="37"/>
        <v>389.99999999998636</v>
      </c>
      <c r="CM11" s="65">
        <f t="shared" si="41"/>
        <v>12.5</v>
      </c>
      <c r="CN11" s="62">
        <v>0</v>
      </c>
      <c r="CO11" s="62">
        <v>0</v>
      </c>
      <c r="CP11" s="68">
        <v>1542.5</v>
      </c>
      <c r="CQ11" s="67">
        <f>IF((CP11-CP10&lt;0), "",CP11-CP10)</f>
        <v>7.5</v>
      </c>
      <c r="CR11" s="68">
        <v>10920</v>
      </c>
      <c r="CS11" s="67">
        <f t="shared" si="38"/>
        <v>5</v>
      </c>
      <c r="CT11" s="75">
        <v>3581</v>
      </c>
      <c r="CU11" s="67">
        <f t="shared" si="38"/>
        <v>11</v>
      </c>
      <c r="CV11" s="68">
        <v>10055</v>
      </c>
      <c r="CW11" s="67">
        <f t="shared" si="38"/>
        <v>25</v>
      </c>
    </row>
    <row r="12" spans="1:102" ht="25.5" customHeight="1" thickBot="1" x14ac:dyDescent="0.45">
      <c r="A12" s="63">
        <v>44144</v>
      </c>
      <c r="B12" s="44"/>
      <c r="C12" s="58">
        <v>1.8914</v>
      </c>
      <c r="D12" s="64">
        <f t="shared" si="0"/>
        <v>1099.9999999998788</v>
      </c>
      <c r="E12" s="58">
        <v>2.8041999999999998</v>
      </c>
      <c r="F12" s="64">
        <f t="shared" si="1"/>
        <v>699.99999999970089</v>
      </c>
      <c r="G12" s="58">
        <v>2.8018999999999998</v>
      </c>
      <c r="H12" s="64">
        <f t="shared" si="2"/>
        <v>1500.0000000000568</v>
      </c>
      <c r="I12" s="58">
        <v>1.3616999999999999</v>
      </c>
      <c r="J12" s="64">
        <f t="shared" si="3"/>
        <v>799.99999999991189</v>
      </c>
      <c r="K12" s="58">
        <v>2.1726000000000001</v>
      </c>
      <c r="L12" s="64">
        <f t="shared" si="4"/>
        <v>1900.0000000000127</v>
      </c>
      <c r="M12" s="58">
        <v>1.2768999999999999</v>
      </c>
      <c r="N12" s="64">
        <f t="shared" si="5"/>
        <v>699.99999999992292</v>
      </c>
      <c r="O12" s="58">
        <v>12690</v>
      </c>
      <c r="P12" s="67">
        <f t="shared" si="44"/>
        <v>1</v>
      </c>
      <c r="Q12" s="58">
        <v>5978</v>
      </c>
      <c r="R12" s="67">
        <f t="shared" si="6"/>
        <v>3</v>
      </c>
      <c r="S12" s="58">
        <v>864420.8</v>
      </c>
      <c r="T12" s="67">
        <f t="shared" si="7"/>
        <v>165.60000000009313</v>
      </c>
      <c r="U12" s="58">
        <v>354059.7</v>
      </c>
      <c r="V12" s="67">
        <f t="shared" si="8"/>
        <v>116.90000000002328</v>
      </c>
      <c r="W12" s="58">
        <v>346.5</v>
      </c>
      <c r="X12" s="65">
        <f t="shared" si="9"/>
        <v>89.999999999974989</v>
      </c>
      <c r="Y12" s="58">
        <v>2.4542000000000002</v>
      </c>
      <c r="Z12" s="65">
        <f t="shared" si="10"/>
        <v>500.00000000016701</v>
      </c>
      <c r="AA12" s="58">
        <v>338.38</v>
      </c>
      <c r="AB12" s="65">
        <f t="shared" si="11"/>
        <v>120.00000000000455</v>
      </c>
      <c r="AC12" s="58">
        <v>327.38</v>
      </c>
      <c r="AD12" s="65">
        <f t="shared" si="12"/>
        <v>159.99999999996817</v>
      </c>
      <c r="AE12" s="58">
        <v>510.8</v>
      </c>
      <c r="AF12" s="65">
        <f t="shared" si="13"/>
        <v>259.99999999999091</v>
      </c>
      <c r="AG12" s="58">
        <v>1432.9</v>
      </c>
      <c r="AH12" s="67">
        <f t="shared" si="14"/>
        <v>1.2000000000000455</v>
      </c>
      <c r="AI12" s="58">
        <v>484.37</v>
      </c>
      <c r="AJ12" s="65">
        <f t="shared" si="15"/>
        <v>250</v>
      </c>
      <c r="AK12" s="58">
        <v>169.54</v>
      </c>
      <c r="AL12" s="65">
        <f t="shared" si="15"/>
        <v>179.9999999999784</v>
      </c>
      <c r="AM12" s="58">
        <v>167.95</v>
      </c>
      <c r="AN12" s="65">
        <f t="shared" si="15"/>
        <v>169.99999999998749</v>
      </c>
      <c r="AO12" s="58">
        <v>161.78</v>
      </c>
      <c r="AP12" s="65">
        <f t="shared" si="15"/>
        <v>120.00000000000455</v>
      </c>
      <c r="AQ12" s="58">
        <v>223.14</v>
      </c>
      <c r="AR12" s="65" t="str">
        <f t="shared" si="16"/>
        <v/>
      </c>
      <c r="AS12" s="58">
        <v>348.63</v>
      </c>
      <c r="AT12" s="65">
        <f t="shared" si="17"/>
        <v>40.000000000020464</v>
      </c>
      <c r="AU12" s="58">
        <v>269.01</v>
      </c>
      <c r="AV12" s="65">
        <f t="shared" si="18"/>
        <v>29.999999999972715</v>
      </c>
      <c r="AW12" s="58">
        <v>296.35000000000002</v>
      </c>
      <c r="AX12" s="65">
        <f t="shared" si="19"/>
        <v>20.000000000038654</v>
      </c>
      <c r="AY12" s="58">
        <v>347.76</v>
      </c>
      <c r="AZ12" s="65">
        <f t="shared" si="20"/>
        <v>19.99999999998181</v>
      </c>
      <c r="BA12" s="58">
        <v>367.42</v>
      </c>
      <c r="BB12" s="65">
        <f t="shared" si="21"/>
        <v>30.000000000029559</v>
      </c>
      <c r="BC12" s="58">
        <v>233.79</v>
      </c>
      <c r="BD12" s="65">
        <f t="shared" si="22"/>
        <v>19.99999999998181</v>
      </c>
      <c r="BE12" s="59">
        <v>32731</v>
      </c>
      <c r="BF12" s="67">
        <f t="shared" si="39"/>
        <v>26</v>
      </c>
      <c r="BG12" s="60">
        <v>226.55</v>
      </c>
      <c r="BH12" s="65">
        <f t="shared" si="23"/>
        <v>10.000000000019327</v>
      </c>
      <c r="BI12" s="60">
        <v>284.69</v>
      </c>
      <c r="BJ12" s="65">
        <f t="shared" si="40"/>
        <v>9.9999999999909051</v>
      </c>
      <c r="BK12" s="60">
        <v>231.68</v>
      </c>
      <c r="BL12" s="65">
        <f t="shared" si="24"/>
        <v>10.000000000019327</v>
      </c>
      <c r="BM12" s="60">
        <v>216.46</v>
      </c>
      <c r="BN12" s="65">
        <f t="shared" si="25"/>
        <v>20.000000000010232</v>
      </c>
      <c r="BO12" s="60">
        <v>281.47000000000003</v>
      </c>
      <c r="BP12" s="65">
        <f t="shared" si="26"/>
        <v>30.000000000029559</v>
      </c>
      <c r="BQ12" s="60">
        <v>40464</v>
      </c>
      <c r="BR12" s="65">
        <f t="shared" si="27"/>
        <v>16</v>
      </c>
      <c r="BS12" s="60">
        <v>194.94</v>
      </c>
      <c r="BT12" s="65">
        <f t="shared" si="42"/>
        <v>20.000000000010232</v>
      </c>
      <c r="BU12" s="60">
        <v>33152</v>
      </c>
      <c r="BV12" s="65">
        <f t="shared" si="29"/>
        <v>31</v>
      </c>
      <c r="BW12" s="60">
        <v>226.36</v>
      </c>
      <c r="BX12" s="65">
        <f t="shared" si="30"/>
        <v>10.000000000019327</v>
      </c>
      <c r="BY12" s="60">
        <v>51481</v>
      </c>
      <c r="BZ12" s="67">
        <f t="shared" si="31"/>
        <v>26</v>
      </c>
      <c r="CA12" s="60">
        <v>27515.599999999999</v>
      </c>
      <c r="CB12" s="67">
        <f t="shared" si="32"/>
        <v>0</v>
      </c>
      <c r="CC12" s="60">
        <v>11255.6</v>
      </c>
      <c r="CD12" s="67">
        <f t="shared" si="33"/>
        <v>0</v>
      </c>
      <c r="CE12" s="60">
        <v>50954.2</v>
      </c>
      <c r="CF12" s="67">
        <f t="shared" si="34"/>
        <v>0</v>
      </c>
      <c r="CG12" s="60">
        <v>51136.6</v>
      </c>
      <c r="CH12" s="67">
        <f t="shared" si="35"/>
        <v>16.799999999995634</v>
      </c>
      <c r="CI12" s="60">
        <v>888383</v>
      </c>
      <c r="CJ12" s="67">
        <f t="shared" si="36"/>
        <v>215</v>
      </c>
      <c r="CK12" s="60">
        <v>630.21</v>
      </c>
      <c r="CL12" s="64">
        <f t="shared" si="37"/>
        <v>450.00000000004547</v>
      </c>
      <c r="CM12" s="65">
        <f t="shared" si="41"/>
        <v>20.700000000000045</v>
      </c>
      <c r="CN12" s="62">
        <v>0</v>
      </c>
      <c r="CO12" s="62">
        <v>0</v>
      </c>
      <c r="CP12" s="68">
        <v>1557.2</v>
      </c>
      <c r="CQ12" s="67">
        <f>IF((CP12-CP11&lt;0), "",CP12-CP11)</f>
        <v>14.700000000000045</v>
      </c>
      <c r="CR12" s="68">
        <v>10926</v>
      </c>
      <c r="CS12" s="67">
        <f t="shared" si="38"/>
        <v>6</v>
      </c>
      <c r="CT12" s="75">
        <v>3593</v>
      </c>
      <c r="CU12" s="67">
        <f t="shared" si="38"/>
        <v>12</v>
      </c>
      <c r="CV12" s="68">
        <v>10072</v>
      </c>
      <c r="CW12" s="67">
        <f t="shared" si="38"/>
        <v>17</v>
      </c>
    </row>
    <row r="13" spans="1:102" ht="25.5" customHeight="1" thickBot="1" x14ac:dyDescent="0.45">
      <c r="A13" s="63">
        <v>44145</v>
      </c>
      <c r="B13" s="44"/>
      <c r="C13" s="58">
        <v>1.8925000000000001</v>
      </c>
      <c r="D13" s="64">
        <f t="shared" si="0"/>
        <v>1100.000000000101</v>
      </c>
      <c r="E13" s="58">
        <v>2.8048000000000002</v>
      </c>
      <c r="F13" s="64">
        <f t="shared" si="1"/>
        <v>600.00000000037801</v>
      </c>
      <c r="G13" s="58">
        <v>2.8035000000000001</v>
      </c>
      <c r="H13" s="64">
        <f t="shared" si="2"/>
        <v>1600.0000000002678</v>
      </c>
      <c r="I13" s="58">
        <v>1.3625</v>
      </c>
      <c r="J13" s="64">
        <f t="shared" si="3"/>
        <v>800.00000000013392</v>
      </c>
      <c r="K13" s="58">
        <v>2.1747000000000001</v>
      </c>
      <c r="L13" s="64">
        <f t="shared" si="4"/>
        <v>2099.9999999999909</v>
      </c>
      <c r="M13" s="58">
        <v>1.2774000000000001</v>
      </c>
      <c r="N13" s="64">
        <f t="shared" si="5"/>
        <v>500.00000000016701</v>
      </c>
      <c r="O13" s="58">
        <v>12690</v>
      </c>
      <c r="P13" s="67">
        <f t="shared" si="44"/>
        <v>0</v>
      </c>
      <c r="Q13" s="58">
        <v>5980</v>
      </c>
      <c r="R13" s="67">
        <f t="shared" si="6"/>
        <v>2</v>
      </c>
      <c r="S13" s="58">
        <v>864581.2</v>
      </c>
      <c r="T13" s="67">
        <f t="shared" si="7"/>
        <v>160.39999999990687</v>
      </c>
      <c r="U13" s="58">
        <v>354168</v>
      </c>
      <c r="V13" s="67">
        <f t="shared" si="8"/>
        <v>108.29999999998836</v>
      </c>
      <c r="W13" s="58">
        <v>346.58</v>
      </c>
      <c r="X13" s="65">
        <f t="shared" si="9"/>
        <v>79.999999999984084</v>
      </c>
      <c r="Y13" s="58">
        <v>2.4546000000000001</v>
      </c>
      <c r="Z13" s="65">
        <f t="shared" si="10"/>
        <v>399.99999999995595</v>
      </c>
      <c r="AA13" s="58">
        <v>338.5</v>
      </c>
      <c r="AB13" s="65">
        <f t="shared" si="11"/>
        <v>120.00000000000455</v>
      </c>
      <c r="AC13" s="58">
        <v>327.52</v>
      </c>
      <c r="AD13" s="65">
        <f t="shared" si="12"/>
        <v>139.99999999998636</v>
      </c>
      <c r="AE13" s="58">
        <v>510.99</v>
      </c>
      <c r="AF13" s="65">
        <f t="shared" si="13"/>
        <v>189.99999999999773</v>
      </c>
      <c r="AG13" s="58">
        <v>1434</v>
      </c>
      <c r="AH13" s="67">
        <f t="shared" si="14"/>
        <v>1.0999999999999091</v>
      </c>
      <c r="AI13" s="58">
        <v>484.61</v>
      </c>
      <c r="AJ13" s="65">
        <f t="shared" si="15"/>
        <v>240.00000000000909</v>
      </c>
      <c r="AK13" s="58">
        <v>169.67</v>
      </c>
      <c r="AL13" s="65">
        <f t="shared" si="15"/>
        <v>129.99999999999545</v>
      </c>
      <c r="AM13" s="58">
        <v>168.1</v>
      </c>
      <c r="AN13" s="65">
        <f t="shared" si="15"/>
        <v>150.00000000000568</v>
      </c>
      <c r="AO13" s="58">
        <v>161.91999999999999</v>
      </c>
      <c r="AP13" s="65">
        <f t="shared" si="15"/>
        <v>139.99999999998636</v>
      </c>
      <c r="AQ13" s="58">
        <v>223.16</v>
      </c>
      <c r="AR13" s="65">
        <f t="shared" si="16"/>
        <v>20.000000000010232</v>
      </c>
      <c r="AS13" s="58">
        <v>348.66</v>
      </c>
      <c r="AT13" s="65">
        <f t="shared" si="17"/>
        <v>30.000000000029559</v>
      </c>
      <c r="AU13" s="58">
        <v>269.04000000000002</v>
      </c>
      <c r="AV13" s="65">
        <f t="shared" si="18"/>
        <v>30.000000000029559</v>
      </c>
      <c r="AW13" s="58">
        <v>296.37</v>
      </c>
      <c r="AX13" s="65">
        <f t="shared" si="19"/>
        <v>19.99999999998181</v>
      </c>
      <c r="AY13" s="58">
        <v>347.79</v>
      </c>
      <c r="AZ13" s="65">
        <f t="shared" si="20"/>
        <v>30.000000000029559</v>
      </c>
      <c r="BA13" s="58">
        <v>367.45</v>
      </c>
      <c r="BB13" s="65">
        <f t="shared" si="21"/>
        <v>29.999999999972715</v>
      </c>
      <c r="BC13" s="58">
        <v>233.8</v>
      </c>
      <c r="BD13" s="65">
        <f t="shared" si="22"/>
        <v>10.000000000019327</v>
      </c>
      <c r="BE13" s="59">
        <v>32757</v>
      </c>
      <c r="BF13" s="67">
        <f t="shared" si="39"/>
        <v>26</v>
      </c>
      <c r="BG13" s="60">
        <v>226.56</v>
      </c>
      <c r="BH13" s="65">
        <f t="shared" si="23"/>
        <v>9.9999999999909051</v>
      </c>
      <c r="BI13" s="60">
        <v>284.7</v>
      </c>
      <c r="BJ13" s="65">
        <f t="shared" si="40"/>
        <v>9.9999999999909051</v>
      </c>
      <c r="BK13" s="60">
        <v>231.68</v>
      </c>
      <c r="BL13" s="65">
        <f t="shared" si="24"/>
        <v>0</v>
      </c>
      <c r="BM13" s="60">
        <v>216.47</v>
      </c>
      <c r="BN13" s="65">
        <f t="shared" si="25"/>
        <v>9.9999999999909051</v>
      </c>
      <c r="BO13" s="60">
        <v>281.49</v>
      </c>
      <c r="BP13" s="65">
        <f t="shared" si="26"/>
        <v>19.99999999998181</v>
      </c>
      <c r="BQ13" s="60">
        <v>40477</v>
      </c>
      <c r="BR13" s="65">
        <f t="shared" si="27"/>
        <v>13</v>
      </c>
      <c r="BS13" s="60">
        <v>194.95</v>
      </c>
      <c r="BT13" s="65">
        <f t="shared" si="42"/>
        <v>9.9999999999909051</v>
      </c>
      <c r="BU13" s="60">
        <v>33179</v>
      </c>
      <c r="BV13" s="65">
        <f t="shared" si="29"/>
        <v>27</v>
      </c>
      <c r="BW13" s="60">
        <v>226.37</v>
      </c>
      <c r="BX13" s="65">
        <f t="shared" si="30"/>
        <v>9.9999999999909051</v>
      </c>
      <c r="BY13" s="60">
        <v>51505</v>
      </c>
      <c r="BZ13" s="67">
        <f t="shared" si="31"/>
        <v>24</v>
      </c>
      <c r="CA13" s="60">
        <v>27515.599999999999</v>
      </c>
      <c r="CB13" s="67">
        <f t="shared" si="32"/>
        <v>0</v>
      </c>
      <c r="CC13" s="60">
        <v>11255.6</v>
      </c>
      <c r="CD13" s="67">
        <f t="shared" si="33"/>
        <v>0</v>
      </c>
      <c r="CE13" s="60">
        <v>50954.2</v>
      </c>
      <c r="CF13" s="67">
        <f t="shared" si="34"/>
        <v>0</v>
      </c>
      <c r="CG13" s="60">
        <v>51159.6</v>
      </c>
      <c r="CH13" s="67">
        <f t="shared" si="35"/>
        <v>23</v>
      </c>
      <c r="CI13" s="60">
        <v>888600</v>
      </c>
      <c r="CJ13" s="67">
        <f t="shared" si="36"/>
        <v>217</v>
      </c>
      <c r="CK13" s="60">
        <v>630.64</v>
      </c>
      <c r="CL13" s="64">
        <f t="shared" si="37"/>
        <v>429.99999999994998</v>
      </c>
      <c r="CM13" s="65">
        <f t="shared" si="41"/>
        <v>20.5</v>
      </c>
      <c r="CN13" s="62">
        <v>0</v>
      </c>
      <c r="CO13" s="62">
        <v>0</v>
      </c>
      <c r="CP13" s="68">
        <v>1571.7</v>
      </c>
      <c r="CQ13" s="67">
        <f>IF((CP13-CP12&lt;0), "",CP13-CP12)</f>
        <v>14.5</v>
      </c>
      <c r="CR13" s="68">
        <v>10932</v>
      </c>
      <c r="CS13" s="67">
        <f t="shared" si="38"/>
        <v>6</v>
      </c>
      <c r="CT13" s="75">
        <v>3604</v>
      </c>
      <c r="CU13" s="67">
        <f t="shared" si="38"/>
        <v>11</v>
      </c>
      <c r="CV13" s="68">
        <v>10095</v>
      </c>
      <c r="CW13" s="67">
        <f t="shared" si="38"/>
        <v>23</v>
      </c>
    </row>
    <row r="14" spans="1:102" ht="25.5" customHeight="1" thickBot="1" x14ac:dyDescent="0.45">
      <c r="A14" s="63">
        <v>44146</v>
      </c>
      <c r="B14" s="44"/>
      <c r="C14" s="58">
        <v>1.8935999999999999</v>
      </c>
      <c r="D14" s="64">
        <f t="shared" si="0"/>
        <v>1099.9999999998788</v>
      </c>
      <c r="E14" s="58">
        <v>2.8054000000000001</v>
      </c>
      <c r="F14" s="64">
        <f t="shared" si="1"/>
        <v>599.99999999993395</v>
      </c>
      <c r="G14" s="58">
        <v>2.8050000000000002</v>
      </c>
      <c r="H14" s="64">
        <f t="shared" si="2"/>
        <v>1500.0000000000568</v>
      </c>
      <c r="I14" s="58">
        <v>1.3633</v>
      </c>
      <c r="J14" s="64">
        <f t="shared" si="3"/>
        <v>799.99999999991189</v>
      </c>
      <c r="K14" s="58">
        <v>2.1766999999999999</v>
      </c>
      <c r="L14" s="64">
        <f t="shared" si="4"/>
        <v>1999.9999999997797</v>
      </c>
      <c r="M14" s="58">
        <v>1.278</v>
      </c>
      <c r="N14" s="64">
        <f t="shared" si="5"/>
        <v>599.99999999993395</v>
      </c>
      <c r="O14" s="58">
        <v>12691</v>
      </c>
      <c r="P14" s="67">
        <f t="shared" si="44"/>
        <v>1</v>
      </c>
      <c r="Q14" s="58">
        <v>5982</v>
      </c>
      <c r="R14" s="67">
        <f t="shared" si="6"/>
        <v>2</v>
      </c>
      <c r="S14" s="58">
        <v>864815.2</v>
      </c>
      <c r="T14" s="67">
        <f t="shared" si="7"/>
        <v>234</v>
      </c>
      <c r="U14" s="58">
        <v>354315.4</v>
      </c>
      <c r="V14" s="67">
        <f t="shared" si="8"/>
        <v>147.40000000002328</v>
      </c>
      <c r="W14" s="58">
        <v>346.67</v>
      </c>
      <c r="X14" s="65">
        <f t="shared" si="9"/>
        <v>90.000000000031832</v>
      </c>
      <c r="Y14" s="58">
        <v>2.4550999999999998</v>
      </c>
      <c r="Z14" s="65">
        <f t="shared" si="10"/>
        <v>499.99999999972289</v>
      </c>
      <c r="AA14" s="58">
        <v>338.62</v>
      </c>
      <c r="AB14" s="65">
        <f t="shared" si="11"/>
        <v>120.00000000000455</v>
      </c>
      <c r="AC14" s="58">
        <v>327.67</v>
      </c>
      <c r="AD14" s="65">
        <f t="shared" si="12"/>
        <v>150.00000000003411</v>
      </c>
      <c r="AE14" s="58">
        <v>511.16</v>
      </c>
      <c r="AF14" s="65">
        <f t="shared" si="13"/>
        <v>170.00000000001592</v>
      </c>
      <c r="AG14" s="58">
        <v>1435.1</v>
      </c>
      <c r="AH14" s="67">
        <f t="shared" si="14"/>
        <v>1.0999999999999091</v>
      </c>
      <c r="AI14" s="58">
        <v>484.83</v>
      </c>
      <c r="AJ14" s="65">
        <f t="shared" si="15"/>
        <v>219.99999999997044</v>
      </c>
      <c r="AK14" s="58">
        <v>169.84</v>
      </c>
      <c r="AL14" s="65">
        <f t="shared" si="15"/>
        <v>170.00000000001592</v>
      </c>
      <c r="AM14" s="58">
        <v>168.28</v>
      </c>
      <c r="AN14" s="65">
        <f t="shared" si="15"/>
        <v>180.00000000000682</v>
      </c>
      <c r="AO14" s="58">
        <v>162.08000000000001</v>
      </c>
      <c r="AP14" s="65">
        <f t="shared" si="15"/>
        <v>160.00000000002501</v>
      </c>
      <c r="AQ14" s="58">
        <v>223.19</v>
      </c>
      <c r="AR14" s="65">
        <f t="shared" si="16"/>
        <v>30.000000000001137</v>
      </c>
      <c r="AS14" s="58">
        <v>348.7</v>
      </c>
      <c r="AT14" s="65">
        <f t="shared" si="17"/>
        <v>39.99999999996362</v>
      </c>
      <c r="AU14" s="58">
        <v>269.07</v>
      </c>
      <c r="AV14" s="65">
        <f t="shared" si="18"/>
        <v>29.999999999972715</v>
      </c>
      <c r="AW14" s="58">
        <v>296.39999999999998</v>
      </c>
      <c r="AX14" s="65">
        <f t="shared" si="19"/>
        <v>29.999999999972715</v>
      </c>
      <c r="AY14" s="58">
        <v>347.82</v>
      </c>
      <c r="AZ14" s="65">
        <f t="shared" si="20"/>
        <v>29.999999999972715</v>
      </c>
      <c r="BA14" s="58">
        <v>367.47</v>
      </c>
      <c r="BB14" s="65">
        <f t="shared" si="21"/>
        <v>20.000000000038654</v>
      </c>
      <c r="BC14" s="58">
        <v>233.82</v>
      </c>
      <c r="BD14" s="65">
        <f t="shared" si="22"/>
        <v>19.99999999998181</v>
      </c>
      <c r="BE14" s="59">
        <v>32787</v>
      </c>
      <c r="BF14" s="67">
        <f t="shared" si="39"/>
        <v>30</v>
      </c>
      <c r="BG14" s="60">
        <v>226.57</v>
      </c>
      <c r="BH14" s="65">
        <f t="shared" si="23"/>
        <v>9.9999999999909051</v>
      </c>
      <c r="BI14" s="60">
        <v>284.70999999999998</v>
      </c>
      <c r="BJ14" s="65">
        <f t="shared" si="40"/>
        <v>9.9999999999909051</v>
      </c>
      <c r="BK14" s="60">
        <v>231.69</v>
      </c>
      <c r="BL14" s="65">
        <f t="shared" si="24"/>
        <v>9.9999999999909051</v>
      </c>
      <c r="BM14" s="60">
        <v>216.48</v>
      </c>
      <c r="BN14" s="65">
        <f t="shared" si="25"/>
        <v>9.9999999999909051</v>
      </c>
      <c r="BO14" s="60">
        <v>281.51</v>
      </c>
      <c r="BP14" s="65">
        <f t="shared" si="26"/>
        <v>19.99999999998181</v>
      </c>
      <c r="BQ14" s="60">
        <v>40480</v>
      </c>
      <c r="BR14" s="65">
        <f t="shared" si="27"/>
        <v>3</v>
      </c>
      <c r="BS14" s="60">
        <v>194.96</v>
      </c>
      <c r="BT14" s="65">
        <f t="shared" si="42"/>
        <v>10.000000000019327</v>
      </c>
      <c r="BU14" s="60">
        <v>33205</v>
      </c>
      <c r="BV14" s="65">
        <f t="shared" si="29"/>
        <v>26</v>
      </c>
      <c r="BW14" s="60">
        <v>226.38</v>
      </c>
      <c r="BX14" s="65">
        <f t="shared" si="30"/>
        <v>9.9999999999909051</v>
      </c>
      <c r="BY14" s="60">
        <v>51533</v>
      </c>
      <c r="BZ14" s="67">
        <f t="shared" si="31"/>
        <v>28</v>
      </c>
      <c r="CA14" s="60">
        <v>27515.599999999999</v>
      </c>
      <c r="CB14" s="67">
        <f t="shared" si="32"/>
        <v>0</v>
      </c>
      <c r="CC14" s="60">
        <v>11255.6</v>
      </c>
      <c r="CD14" s="67">
        <f t="shared" si="33"/>
        <v>0</v>
      </c>
      <c r="CE14" s="60">
        <v>50954.2</v>
      </c>
      <c r="CF14" s="67">
        <f t="shared" si="34"/>
        <v>0</v>
      </c>
      <c r="CG14" s="60">
        <v>51177.2</v>
      </c>
      <c r="CH14" s="67">
        <f t="shared" si="35"/>
        <v>17.599999999998545</v>
      </c>
      <c r="CI14" s="60">
        <v>888807</v>
      </c>
      <c r="CJ14" s="67">
        <f t="shared" si="36"/>
        <v>207</v>
      </c>
      <c r="CK14" s="60">
        <v>631.04</v>
      </c>
      <c r="CL14" s="64">
        <f t="shared" si="37"/>
        <v>399.99999999997726</v>
      </c>
      <c r="CM14" s="65">
        <f t="shared" si="41"/>
        <v>18</v>
      </c>
      <c r="CN14" s="62">
        <v>0</v>
      </c>
      <c r="CO14" s="62">
        <v>0</v>
      </c>
      <c r="CP14" s="68">
        <v>1582.7</v>
      </c>
      <c r="CQ14" s="67">
        <f t="shared" si="38"/>
        <v>11</v>
      </c>
      <c r="CR14" s="68">
        <v>10939</v>
      </c>
      <c r="CS14" s="67">
        <f t="shared" si="38"/>
        <v>7</v>
      </c>
      <c r="CT14" s="75">
        <v>3615</v>
      </c>
      <c r="CU14" s="67">
        <f t="shared" si="38"/>
        <v>11</v>
      </c>
      <c r="CV14" s="68">
        <v>10114</v>
      </c>
      <c r="CW14" s="67">
        <f t="shared" si="38"/>
        <v>19</v>
      </c>
    </row>
    <row r="15" spans="1:102" ht="25.5" customHeight="1" thickBot="1" x14ac:dyDescent="0.45">
      <c r="A15" s="63">
        <v>44147</v>
      </c>
      <c r="B15" s="44"/>
      <c r="C15" s="58">
        <v>1.8947000000000001</v>
      </c>
      <c r="D15" s="64">
        <f t="shared" si="0"/>
        <v>1100.000000000101</v>
      </c>
      <c r="E15" s="58">
        <v>2.8060999999999998</v>
      </c>
      <c r="F15" s="64">
        <f t="shared" si="1"/>
        <v>699.99999999970089</v>
      </c>
      <c r="G15" s="58">
        <v>2.8066</v>
      </c>
      <c r="H15" s="64">
        <f t="shared" si="2"/>
        <v>1599.9999999998238</v>
      </c>
      <c r="I15" s="58">
        <v>1.3642000000000001</v>
      </c>
      <c r="J15" s="64">
        <f t="shared" si="3"/>
        <v>900.0000000001229</v>
      </c>
      <c r="K15" s="58">
        <v>2.1787000000000001</v>
      </c>
      <c r="L15" s="64">
        <f t="shared" si="4"/>
        <v>2000.0000000002237</v>
      </c>
      <c r="M15" s="58">
        <v>1.2785</v>
      </c>
      <c r="N15" s="64">
        <f t="shared" si="5"/>
        <v>499.99999999994492</v>
      </c>
      <c r="O15" s="58">
        <v>12692</v>
      </c>
      <c r="P15" s="67">
        <f t="shared" si="44"/>
        <v>1</v>
      </c>
      <c r="Q15" s="58">
        <v>5984</v>
      </c>
      <c r="R15" s="67">
        <f t="shared" si="6"/>
        <v>2</v>
      </c>
      <c r="S15" s="58">
        <v>864966.2</v>
      </c>
      <c r="T15" s="67">
        <f t="shared" si="7"/>
        <v>151</v>
      </c>
      <c r="U15" s="58">
        <v>354415.7</v>
      </c>
      <c r="V15" s="67">
        <f t="shared" si="8"/>
        <v>100.29999999998836</v>
      </c>
      <c r="W15" s="58">
        <v>346.77</v>
      </c>
      <c r="X15" s="65">
        <f t="shared" si="9"/>
        <v>99.999999999965894</v>
      </c>
      <c r="Y15" s="58">
        <v>2.4554999999999998</v>
      </c>
      <c r="Z15" s="65">
        <f t="shared" si="10"/>
        <v>399.99999999995595</v>
      </c>
      <c r="AA15" s="58">
        <v>338.74</v>
      </c>
      <c r="AB15" s="65">
        <f t="shared" si="11"/>
        <v>120.00000000000455</v>
      </c>
      <c r="AC15" s="58">
        <v>327.81</v>
      </c>
      <c r="AD15" s="65">
        <f t="shared" si="12"/>
        <v>139.99999999998636</v>
      </c>
      <c r="AE15" s="58">
        <v>511.32</v>
      </c>
      <c r="AF15" s="65">
        <f t="shared" si="13"/>
        <v>159.99999999996817</v>
      </c>
      <c r="AG15" s="58">
        <v>1436.3</v>
      </c>
      <c r="AH15" s="67">
        <f t="shared" si="14"/>
        <v>1.2000000000000455</v>
      </c>
      <c r="AI15" s="58">
        <v>485.04</v>
      </c>
      <c r="AJ15" s="65">
        <f t="shared" si="15"/>
        <v>210.00000000003638</v>
      </c>
      <c r="AK15" s="58">
        <v>170.01</v>
      </c>
      <c r="AL15" s="65">
        <f t="shared" si="15"/>
        <v>169.99999999998749</v>
      </c>
      <c r="AM15" s="58">
        <v>168.45</v>
      </c>
      <c r="AN15" s="65">
        <f t="shared" si="15"/>
        <v>169.99999999998749</v>
      </c>
      <c r="AO15" s="58">
        <v>162.24</v>
      </c>
      <c r="AP15" s="65">
        <f t="shared" si="15"/>
        <v>159.99999999999659</v>
      </c>
      <c r="AQ15" s="58">
        <v>223.22</v>
      </c>
      <c r="AR15" s="65">
        <f t="shared" si="16"/>
        <v>30.000000000001137</v>
      </c>
      <c r="AS15" s="58">
        <v>348.73</v>
      </c>
      <c r="AT15" s="65">
        <f t="shared" si="17"/>
        <v>30.000000000029559</v>
      </c>
      <c r="AU15" s="58">
        <v>269.10000000000002</v>
      </c>
      <c r="AV15" s="65">
        <f t="shared" si="18"/>
        <v>30.000000000029559</v>
      </c>
      <c r="AW15" s="58">
        <v>296.42</v>
      </c>
      <c r="AX15" s="65">
        <f t="shared" si="19"/>
        <v>20.000000000038654</v>
      </c>
      <c r="AY15" s="58">
        <v>347.85</v>
      </c>
      <c r="AZ15" s="65">
        <f t="shared" si="20"/>
        <v>30.000000000029559</v>
      </c>
      <c r="BA15" s="58">
        <v>367.5</v>
      </c>
      <c r="BB15" s="65">
        <f t="shared" si="21"/>
        <v>29.999999999972715</v>
      </c>
      <c r="BC15" s="58">
        <v>233.84</v>
      </c>
      <c r="BD15" s="65">
        <f t="shared" si="22"/>
        <v>20.000000000010232</v>
      </c>
      <c r="BE15" s="59">
        <v>32817</v>
      </c>
      <c r="BF15" s="67">
        <f t="shared" si="39"/>
        <v>30</v>
      </c>
      <c r="BG15" s="60">
        <v>226.58</v>
      </c>
      <c r="BH15" s="65">
        <f t="shared" si="23"/>
        <v>10.000000000019327</v>
      </c>
      <c r="BI15" s="60">
        <v>284.72000000000003</v>
      </c>
      <c r="BJ15" s="65">
        <f t="shared" si="40"/>
        <v>10.000000000047748</v>
      </c>
      <c r="BK15" s="60">
        <v>231.7</v>
      </c>
      <c r="BL15" s="65">
        <f t="shared" si="24"/>
        <v>9.9999999999909051</v>
      </c>
      <c r="BM15" s="60">
        <v>216.5</v>
      </c>
      <c r="BN15" s="65">
        <f t="shared" si="25"/>
        <v>20.000000000010232</v>
      </c>
      <c r="BO15" s="60">
        <v>281.52999999999997</v>
      </c>
      <c r="BP15" s="65">
        <f t="shared" si="26"/>
        <v>19.99999999998181</v>
      </c>
      <c r="BQ15" s="60">
        <v>40492</v>
      </c>
      <c r="BR15" s="65">
        <f t="shared" si="27"/>
        <v>12</v>
      </c>
      <c r="BS15" s="60">
        <v>194.97</v>
      </c>
      <c r="BT15" s="65">
        <f t="shared" si="42"/>
        <v>9.9999999999909051</v>
      </c>
      <c r="BU15" s="60">
        <v>33245</v>
      </c>
      <c r="BV15" s="65">
        <f t="shared" si="29"/>
        <v>40</v>
      </c>
      <c r="BW15" s="60">
        <v>226.39</v>
      </c>
      <c r="BX15" s="65">
        <f t="shared" si="30"/>
        <v>9.9999999999909051</v>
      </c>
      <c r="BY15" s="60">
        <v>51557</v>
      </c>
      <c r="BZ15" s="67">
        <f t="shared" si="31"/>
        <v>24</v>
      </c>
      <c r="CA15" s="60">
        <v>27515.599999999999</v>
      </c>
      <c r="CB15" s="67">
        <f t="shared" si="32"/>
        <v>0</v>
      </c>
      <c r="CC15" s="60">
        <v>11255.6</v>
      </c>
      <c r="CD15" s="67">
        <f t="shared" si="33"/>
        <v>0</v>
      </c>
      <c r="CE15" s="60">
        <v>50954.2</v>
      </c>
      <c r="CF15" s="67">
        <f t="shared" si="34"/>
        <v>0</v>
      </c>
      <c r="CG15" s="60">
        <v>51198.2</v>
      </c>
      <c r="CH15" s="67">
        <f t="shared" si="35"/>
        <v>21</v>
      </c>
      <c r="CI15" s="60">
        <v>889020</v>
      </c>
      <c r="CJ15" s="67">
        <f t="shared" si="36"/>
        <v>213</v>
      </c>
      <c r="CK15" s="60">
        <v>631.51</v>
      </c>
      <c r="CL15" s="64">
        <f t="shared" si="37"/>
        <v>470.00000000002728</v>
      </c>
      <c r="CM15" s="65">
        <f t="shared" si="41"/>
        <v>31.299999999999955</v>
      </c>
      <c r="CN15" s="62">
        <v>0</v>
      </c>
      <c r="CO15" s="62">
        <v>0</v>
      </c>
      <c r="CP15" s="68">
        <v>1606</v>
      </c>
      <c r="CQ15" s="67">
        <f t="shared" si="38"/>
        <v>23.299999999999955</v>
      </c>
      <c r="CR15" s="68">
        <v>10947</v>
      </c>
      <c r="CS15" s="67">
        <f t="shared" si="38"/>
        <v>8</v>
      </c>
      <c r="CT15" s="75">
        <v>3625</v>
      </c>
      <c r="CU15" s="67">
        <f t="shared" si="38"/>
        <v>10</v>
      </c>
      <c r="CV15" s="68">
        <v>10124</v>
      </c>
      <c r="CW15" s="67">
        <f t="shared" si="38"/>
        <v>10</v>
      </c>
    </row>
    <row r="16" spans="1:102" ht="25.5" customHeight="1" thickBot="1" x14ac:dyDescent="0.45">
      <c r="A16" s="63">
        <v>44148</v>
      </c>
      <c r="B16" s="44"/>
      <c r="C16" s="58">
        <v>1.8958999999999999</v>
      </c>
      <c r="D16" s="64">
        <f t="shared" si="0"/>
        <v>1199.9999999998679</v>
      </c>
      <c r="E16" s="58">
        <v>2.8068</v>
      </c>
      <c r="F16" s="64">
        <f t="shared" si="1"/>
        <v>700.00000000014495</v>
      </c>
      <c r="G16" s="58">
        <v>2.8085</v>
      </c>
      <c r="H16" s="64">
        <f t="shared" si="2"/>
        <v>1900.0000000000127</v>
      </c>
      <c r="I16" s="58">
        <v>1.3651</v>
      </c>
      <c r="J16" s="64">
        <f t="shared" si="3"/>
        <v>899.99999999990087</v>
      </c>
      <c r="K16" s="58">
        <v>2.1808000000000001</v>
      </c>
      <c r="L16" s="64">
        <f t="shared" si="4"/>
        <v>2099.9999999999909</v>
      </c>
      <c r="M16" s="58">
        <v>1.2791999999999999</v>
      </c>
      <c r="N16" s="64">
        <f t="shared" si="5"/>
        <v>699.99999999992292</v>
      </c>
      <c r="O16" s="58">
        <v>12693</v>
      </c>
      <c r="P16" s="67">
        <f t="shared" si="44"/>
        <v>1</v>
      </c>
      <c r="Q16" s="58">
        <v>5987</v>
      </c>
      <c r="R16" s="67">
        <f t="shared" si="6"/>
        <v>3</v>
      </c>
      <c r="S16" s="58">
        <v>865175.4</v>
      </c>
      <c r="T16" s="67">
        <f t="shared" si="7"/>
        <v>209.20000000006985</v>
      </c>
      <c r="U16" s="58">
        <v>354555.5</v>
      </c>
      <c r="V16" s="67">
        <f t="shared" si="8"/>
        <v>139.79999999998836</v>
      </c>
      <c r="W16" s="58">
        <v>346.86</v>
      </c>
      <c r="X16" s="65">
        <f t="shared" si="9"/>
        <v>90.000000000031832</v>
      </c>
      <c r="Y16" s="58">
        <v>2.456</v>
      </c>
      <c r="Z16" s="65">
        <f t="shared" si="10"/>
        <v>500.00000000016701</v>
      </c>
      <c r="AA16" s="58">
        <v>338.87</v>
      </c>
      <c r="AB16" s="65">
        <f t="shared" si="11"/>
        <v>129.99999999999545</v>
      </c>
      <c r="AC16" s="58">
        <v>327.98</v>
      </c>
      <c r="AD16" s="65">
        <f t="shared" si="12"/>
        <v>170.00000000001592</v>
      </c>
      <c r="AE16" s="58">
        <v>511.58</v>
      </c>
      <c r="AF16" s="65">
        <f t="shared" si="13"/>
        <v>259.99999999999091</v>
      </c>
      <c r="AG16" s="58">
        <v>1437.6</v>
      </c>
      <c r="AH16" s="67">
        <f t="shared" si="14"/>
        <v>1.2999999999999545</v>
      </c>
      <c r="AI16" s="58">
        <v>485.26</v>
      </c>
      <c r="AJ16" s="65">
        <f t="shared" si="15"/>
        <v>219.99999999997044</v>
      </c>
      <c r="AK16" s="58">
        <v>170.19</v>
      </c>
      <c r="AL16" s="65">
        <f t="shared" si="15"/>
        <v>180.00000000000682</v>
      </c>
      <c r="AM16" s="58">
        <v>168.62</v>
      </c>
      <c r="AN16" s="65">
        <f t="shared" si="15"/>
        <v>170.00000000001592</v>
      </c>
      <c r="AO16" s="58">
        <v>162.4</v>
      </c>
      <c r="AP16" s="65">
        <f t="shared" si="15"/>
        <v>159.99999999999659</v>
      </c>
      <c r="AQ16" s="58">
        <v>223.26</v>
      </c>
      <c r="AR16" s="65">
        <f t="shared" si="16"/>
        <v>39.999999999992042</v>
      </c>
      <c r="AS16" s="58">
        <v>348.77</v>
      </c>
      <c r="AT16" s="65">
        <f t="shared" si="17"/>
        <v>39.99999999996362</v>
      </c>
      <c r="AU16" s="58">
        <v>269.13</v>
      </c>
      <c r="AV16" s="65">
        <f t="shared" si="18"/>
        <v>29.999999999972715</v>
      </c>
      <c r="AW16" s="58">
        <v>296.45</v>
      </c>
      <c r="AX16" s="65">
        <f t="shared" si="19"/>
        <v>29.999999999972715</v>
      </c>
      <c r="AY16" s="58">
        <v>347.88</v>
      </c>
      <c r="AZ16" s="65">
        <f t="shared" si="20"/>
        <v>29.999999999972715</v>
      </c>
      <c r="BA16" s="58">
        <v>367.53</v>
      </c>
      <c r="BB16" s="65">
        <f t="shared" si="21"/>
        <v>29.999999999972715</v>
      </c>
      <c r="BC16" s="58">
        <v>233.86</v>
      </c>
      <c r="BD16" s="65">
        <f t="shared" si="22"/>
        <v>20.000000000010232</v>
      </c>
      <c r="BE16" s="59">
        <v>32854</v>
      </c>
      <c r="BF16" s="67">
        <f t="shared" si="39"/>
        <v>37</v>
      </c>
      <c r="BG16" s="60">
        <v>226.61</v>
      </c>
      <c r="BH16" s="65">
        <f t="shared" si="23"/>
        <v>30.000000000001137</v>
      </c>
      <c r="BI16" s="60">
        <v>284.74</v>
      </c>
      <c r="BJ16" s="65">
        <f t="shared" si="40"/>
        <v>19.99999999998181</v>
      </c>
      <c r="BK16" s="60">
        <v>231.7</v>
      </c>
      <c r="BL16" s="65">
        <f t="shared" si="24"/>
        <v>0</v>
      </c>
      <c r="BM16" s="60">
        <v>216.51</v>
      </c>
      <c r="BN16" s="65">
        <f t="shared" si="25"/>
        <v>9.9999999999909051</v>
      </c>
      <c r="BO16" s="60">
        <v>281.55</v>
      </c>
      <c r="BP16" s="65">
        <f t="shared" si="26"/>
        <v>20.000000000038654</v>
      </c>
      <c r="BQ16" s="60">
        <v>40503</v>
      </c>
      <c r="BR16" s="65">
        <f t="shared" si="27"/>
        <v>11</v>
      </c>
      <c r="BS16" s="60">
        <v>194.98</v>
      </c>
      <c r="BT16" s="65">
        <f t="shared" si="42"/>
        <v>9.9999999999909051</v>
      </c>
      <c r="BU16" s="60">
        <v>33285</v>
      </c>
      <c r="BV16" s="65">
        <f t="shared" si="29"/>
        <v>40</v>
      </c>
      <c r="BW16" s="60">
        <v>226.4</v>
      </c>
      <c r="BX16" s="65">
        <f t="shared" si="30"/>
        <v>10.000000000019327</v>
      </c>
      <c r="BY16" s="60">
        <v>51583</v>
      </c>
      <c r="BZ16" s="67">
        <f t="shared" si="31"/>
        <v>26</v>
      </c>
      <c r="CA16" s="60">
        <v>27515.599999999999</v>
      </c>
      <c r="CB16" s="67">
        <f t="shared" si="32"/>
        <v>0</v>
      </c>
      <c r="CC16" s="60">
        <v>11255.6</v>
      </c>
      <c r="CD16" s="67">
        <f t="shared" si="33"/>
        <v>0</v>
      </c>
      <c r="CE16" s="60">
        <v>50954.2</v>
      </c>
      <c r="CF16" s="67">
        <f t="shared" si="34"/>
        <v>0</v>
      </c>
      <c r="CG16" s="60">
        <v>51226.7</v>
      </c>
      <c r="CH16" s="67">
        <f t="shared" si="35"/>
        <v>28.5</v>
      </c>
      <c r="CI16" s="60">
        <v>889237</v>
      </c>
      <c r="CJ16" s="67">
        <f t="shared" si="36"/>
        <v>217</v>
      </c>
      <c r="CK16" s="60">
        <v>632.21</v>
      </c>
      <c r="CL16" s="64">
        <f t="shared" si="37"/>
        <v>700.00000000004547</v>
      </c>
      <c r="CM16" s="65">
        <f t="shared" si="41"/>
        <v>16.299999999999955</v>
      </c>
      <c r="CN16" s="62">
        <v>0</v>
      </c>
      <c r="CO16" s="62">
        <v>0</v>
      </c>
      <c r="CP16" s="68">
        <v>1618.3</v>
      </c>
      <c r="CQ16" s="67">
        <f t="shared" si="38"/>
        <v>12.299999999999955</v>
      </c>
      <c r="CR16" s="68">
        <v>10951</v>
      </c>
      <c r="CS16" s="67">
        <f t="shared" si="38"/>
        <v>4</v>
      </c>
      <c r="CT16" s="75">
        <v>3634</v>
      </c>
      <c r="CU16" s="67">
        <f t="shared" si="38"/>
        <v>9</v>
      </c>
      <c r="CV16" s="68">
        <v>10133</v>
      </c>
      <c r="CW16" s="67">
        <f t="shared" si="38"/>
        <v>9</v>
      </c>
    </row>
    <row r="17" spans="1:101" ht="25.5" customHeight="1" thickBot="1" x14ac:dyDescent="0.45">
      <c r="A17" s="63">
        <v>44149</v>
      </c>
      <c r="B17" s="44"/>
      <c r="C17" s="58"/>
      <c r="D17" s="64" t="str">
        <f t="shared" si="0"/>
        <v>0</v>
      </c>
      <c r="E17" s="58"/>
      <c r="F17" s="64" t="str">
        <f t="shared" si="1"/>
        <v>0</v>
      </c>
      <c r="G17" s="58"/>
      <c r="H17" s="64" t="str">
        <f t="shared" si="2"/>
        <v>0</v>
      </c>
      <c r="I17" s="58"/>
      <c r="J17" s="64" t="str">
        <f t="shared" si="3"/>
        <v>0</v>
      </c>
      <c r="K17" s="58"/>
      <c r="L17" s="64" t="str">
        <f t="shared" si="4"/>
        <v>0</v>
      </c>
      <c r="M17" s="58"/>
      <c r="N17" s="64" t="str">
        <f t="shared" si="5"/>
        <v/>
      </c>
      <c r="O17" s="58"/>
      <c r="P17" s="67" t="str">
        <f t="shared" si="44"/>
        <v/>
      </c>
      <c r="Q17" s="58"/>
      <c r="R17" s="67" t="str">
        <f t="shared" si="6"/>
        <v/>
      </c>
      <c r="S17" s="58"/>
      <c r="T17" s="67" t="str">
        <f t="shared" si="7"/>
        <v/>
      </c>
      <c r="U17" s="58"/>
      <c r="V17" s="67" t="str">
        <f t="shared" si="8"/>
        <v/>
      </c>
      <c r="W17" s="58"/>
      <c r="X17" s="65" t="str">
        <f t="shared" si="9"/>
        <v/>
      </c>
      <c r="Y17" s="58"/>
      <c r="Z17" s="65" t="str">
        <f t="shared" si="10"/>
        <v/>
      </c>
      <c r="AA17" s="58"/>
      <c r="AB17" s="65" t="str">
        <f t="shared" si="11"/>
        <v/>
      </c>
      <c r="AC17" s="58"/>
      <c r="AD17" s="65" t="str">
        <f t="shared" si="12"/>
        <v/>
      </c>
      <c r="AE17" s="58"/>
      <c r="AF17" s="65" t="str">
        <f t="shared" si="13"/>
        <v/>
      </c>
      <c r="AG17" s="58"/>
      <c r="AH17" s="67" t="str">
        <f t="shared" si="14"/>
        <v/>
      </c>
      <c r="AI17" s="58"/>
      <c r="AJ17" s="65" t="str">
        <f t="shared" si="15"/>
        <v/>
      </c>
      <c r="AK17" s="58"/>
      <c r="AL17" s="65" t="str">
        <f t="shared" si="15"/>
        <v/>
      </c>
      <c r="AM17" s="58"/>
      <c r="AN17" s="65" t="str">
        <f t="shared" si="15"/>
        <v/>
      </c>
      <c r="AO17" s="58"/>
      <c r="AP17" s="65" t="str">
        <f t="shared" si="15"/>
        <v/>
      </c>
      <c r="AQ17" s="58"/>
      <c r="AR17" s="65" t="str">
        <f t="shared" si="16"/>
        <v/>
      </c>
      <c r="AS17" s="58"/>
      <c r="AT17" s="65" t="str">
        <f t="shared" si="17"/>
        <v/>
      </c>
      <c r="AU17" s="58"/>
      <c r="AV17" s="65" t="str">
        <f t="shared" si="18"/>
        <v/>
      </c>
      <c r="AW17" s="58"/>
      <c r="AX17" s="65" t="str">
        <f t="shared" si="19"/>
        <v/>
      </c>
      <c r="AY17" s="58"/>
      <c r="AZ17" s="65" t="str">
        <f t="shared" si="20"/>
        <v/>
      </c>
      <c r="BA17" s="58"/>
      <c r="BB17" s="65" t="str">
        <f t="shared" si="21"/>
        <v/>
      </c>
      <c r="BC17" s="58"/>
      <c r="BD17" s="65" t="str">
        <f t="shared" si="22"/>
        <v/>
      </c>
      <c r="BE17" s="59"/>
      <c r="BF17" s="67" t="str">
        <f t="shared" si="39"/>
        <v/>
      </c>
      <c r="BG17" s="60"/>
      <c r="BH17" s="65" t="str">
        <f t="shared" si="23"/>
        <v/>
      </c>
      <c r="BI17" s="60"/>
      <c r="BJ17" s="65" t="str">
        <f t="shared" si="40"/>
        <v/>
      </c>
      <c r="BK17" s="60"/>
      <c r="BL17" s="65" t="str">
        <f t="shared" si="24"/>
        <v/>
      </c>
      <c r="BM17" s="60"/>
      <c r="BN17" s="65" t="str">
        <f t="shared" si="25"/>
        <v/>
      </c>
      <c r="BO17" s="60"/>
      <c r="BP17" s="65" t="str">
        <f t="shared" si="26"/>
        <v/>
      </c>
      <c r="BQ17" s="60"/>
      <c r="BR17" s="65" t="str">
        <f t="shared" si="27"/>
        <v/>
      </c>
      <c r="BS17" s="60"/>
      <c r="BT17" s="65" t="str">
        <f t="shared" si="42"/>
        <v/>
      </c>
      <c r="BU17" s="60"/>
      <c r="BV17" s="65" t="str">
        <f t="shared" si="29"/>
        <v/>
      </c>
      <c r="BW17" s="60"/>
      <c r="BX17" s="65" t="str">
        <f t="shared" si="30"/>
        <v/>
      </c>
      <c r="BY17" s="60"/>
      <c r="BZ17" s="67" t="str">
        <f t="shared" si="31"/>
        <v/>
      </c>
      <c r="CA17" s="60"/>
      <c r="CB17" s="67" t="str">
        <f t="shared" si="32"/>
        <v/>
      </c>
      <c r="CC17" s="60"/>
      <c r="CD17" s="67" t="str">
        <f t="shared" si="33"/>
        <v/>
      </c>
      <c r="CE17" s="60"/>
      <c r="CF17" s="67" t="str">
        <f t="shared" si="34"/>
        <v/>
      </c>
      <c r="CG17" s="60"/>
      <c r="CH17" s="67" t="str">
        <f t="shared" si="35"/>
        <v/>
      </c>
      <c r="CI17" s="60"/>
      <c r="CJ17" s="67" t="str">
        <f t="shared" si="36"/>
        <v/>
      </c>
      <c r="CK17" s="60"/>
      <c r="CL17" s="64" t="str">
        <f t="shared" si="37"/>
        <v/>
      </c>
      <c r="CM17" s="65" t="e">
        <f t="shared" si="41"/>
        <v>#VALUE!</v>
      </c>
      <c r="CN17" s="62">
        <v>0</v>
      </c>
      <c r="CO17" s="62">
        <v>0</v>
      </c>
      <c r="CP17" s="68"/>
      <c r="CQ17" s="67" t="str">
        <f t="shared" si="38"/>
        <v/>
      </c>
      <c r="CR17" s="68"/>
      <c r="CS17" s="67" t="str">
        <f t="shared" si="38"/>
        <v/>
      </c>
      <c r="CT17" s="75"/>
      <c r="CU17" s="67" t="str">
        <f t="shared" si="38"/>
        <v/>
      </c>
      <c r="CV17" s="68"/>
      <c r="CW17" s="67" t="str">
        <f t="shared" si="38"/>
        <v/>
      </c>
    </row>
    <row r="18" spans="1:101" ht="25.5" customHeight="1" thickBot="1" x14ac:dyDescent="0.45">
      <c r="A18" s="63">
        <v>44150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4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9"/>
        <v>0</v>
      </c>
      <c r="BG18" s="60"/>
      <c r="BH18" s="65">
        <f t="shared" si="23"/>
        <v>0</v>
      </c>
      <c r="BI18" s="60"/>
      <c r="BJ18" s="65">
        <f t="shared" si="40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2"/>
        <v>0</v>
      </c>
      <c r="BU18" s="60"/>
      <c r="BV18" s="65">
        <f t="shared" si="29"/>
        <v>0</v>
      </c>
      <c r="BW18" s="60"/>
      <c r="BX18" s="65">
        <f t="shared" si="30"/>
        <v>0</v>
      </c>
      <c r="BY18" s="60"/>
      <c r="BZ18" s="67">
        <f t="shared" si="31"/>
        <v>0</v>
      </c>
      <c r="CA18" s="60"/>
      <c r="CB18" s="67">
        <f t="shared" si="32"/>
        <v>0</v>
      </c>
      <c r="CC18" s="60"/>
      <c r="CD18" s="67">
        <f t="shared" si="33"/>
        <v>0</v>
      </c>
      <c r="CE18" s="60"/>
      <c r="CF18" s="67">
        <f t="shared" si="34"/>
        <v>0</v>
      </c>
      <c r="CG18" s="60"/>
      <c r="CH18" s="67">
        <f t="shared" si="35"/>
        <v>0</v>
      </c>
      <c r="CI18" s="60"/>
      <c r="CJ18" s="67">
        <f t="shared" si="36"/>
        <v>0</v>
      </c>
      <c r="CK18" s="60"/>
      <c r="CL18" s="64">
        <f t="shared" si="37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44151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44152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44153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44154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44155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44156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44157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44158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44159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44160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44161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44162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44163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44164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44165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44166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R20" sqref="R20:S2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44135</v>
      </c>
      <c r="B7" s="40">
        <v>0</v>
      </c>
      <c r="C7" s="40">
        <v>0</v>
      </c>
      <c r="D7" s="40">
        <v>0</v>
      </c>
      <c r="E7" s="41">
        <v>85</v>
      </c>
      <c r="F7" s="41">
        <v>4775</v>
      </c>
      <c r="G7" s="41">
        <v>85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82</v>
      </c>
      <c r="O7" s="39">
        <v>84</v>
      </c>
      <c r="P7" s="39">
        <v>83</v>
      </c>
      <c r="Q7" s="39">
        <v>2946</v>
      </c>
      <c r="R7" s="78">
        <v>83</v>
      </c>
      <c r="S7" s="78">
        <v>196</v>
      </c>
    </row>
    <row r="8" spans="1:20" x14ac:dyDescent="0.25">
      <c r="A8" s="73">
        <v>44136</v>
      </c>
      <c r="B8" s="40">
        <v>0</v>
      </c>
      <c r="C8" s="40">
        <v>0</v>
      </c>
      <c r="D8" s="40">
        <v>0</v>
      </c>
      <c r="E8" s="41">
        <v>85</v>
      </c>
      <c r="F8" s="41">
        <v>4775</v>
      </c>
      <c r="G8" s="41">
        <v>85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78</v>
      </c>
      <c r="O8" s="39">
        <v>84</v>
      </c>
      <c r="P8" s="39">
        <v>83</v>
      </c>
      <c r="Q8" s="39">
        <v>2951</v>
      </c>
      <c r="R8" s="78">
        <v>83</v>
      </c>
      <c r="S8" s="78">
        <v>196</v>
      </c>
      <c r="T8">
        <f>S8-S7</f>
        <v>0</v>
      </c>
    </row>
    <row r="9" spans="1:20" x14ac:dyDescent="0.25">
      <c r="A9" s="73">
        <v>44137</v>
      </c>
      <c r="B9" s="40">
        <v>0</v>
      </c>
      <c r="C9" s="40">
        <v>0</v>
      </c>
      <c r="D9" s="40">
        <v>0</v>
      </c>
      <c r="E9" s="41">
        <v>85</v>
      </c>
      <c r="F9" s="41">
        <v>4775</v>
      </c>
      <c r="G9" s="41">
        <v>85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75</v>
      </c>
      <c r="O9" s="39">
        <v>84</v>
      </c>
      <c r="P9" s="39">
        <v>83</v>
      </c>
      <c r="Q9" s="39">
        <v>2953</v>
      </c>
      <c r="R9" s="78">
        <v>83</v>
      </c>
      <c r="S9" s="78">
        <v>196</v>
      </c>
      <c r="T9">
        <f t="shared" ref="T9:T39" si="0">S9-S8</f>
        <v>0</v>
      </c>
    </row>
    <row r="10" spans="1:20" x14ac:dyDescent="0.25">
      <c r="A10" s="73">
        <v>44138</v>
      </c>
      <c r="B10" s="40">
        <v>0</v>
      </c>
      <c r="C10" s="40">
        <v>0</v>
      </c>
      <c r="D10" s="40">
        <v>0</v>
      </c>
      <c r="E10" s="41">
        <v>85</v>
      </c>
      <c r="F10" s="41">
        <v>4775</v>
      </c>
      <c r="G10" s="41">
        <v>85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72</v>
      </c>
      <c r="O10" s="39">
        <v>84</v>
      </c>
      <c r="P10" s="39">
        <v>83</v>
      </c>
      <c r="Q10" s="39">
        <v>2955</v>
      </c>
      <c r="R10" s="78">
        <v>83</v>
      </c>
      <c r="S10" s="78">
        <v>196</v>
      </c>
      <c r="T10">
        <f t="shared" si="0"/>
        <v>0</v>
      </c>
    </row>
    <row r="11" spans="1:20" x14ac:dyDescent="0.25">
      <c r="A11" s="73">
        <v>44139</v>
      </c>
      <c r="B11" s="40">
        <v>0</v>
      </c>
      <c r="C11" s="40">
        <v>0</v>
      </c>
      <c r="D11" s="40">
        <v>0</v>
      </c>
      <c r="E11" s="41">
        <v>85</v>
      </c>
      <c r="F11" s="41">
        <v>4775</v>
      </c>
      <c r="G11" s="41">
        <v>85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66</v>
      </c>
      <c r="O11" s="39">
        <v>84</v>
      </c>
      <c r="P11" s="39">
        <v>83</v>
      </c>
      <c r="Q11" s="39">
        <v>2958</v>
      </c>
      <c r="R11" s="78">
        <v>83</v>
      </c>
      <c r="S11" s="78">
        <v>196</v>
      </c>
      <c r="T11">
        <f t="shared" si="0"/>
        <v>0</v>
      </c>
    </row>
    <row r="12" spans="1:20" x14ac:dyDescent="0.25">
      <c r="A12" s="73">
        <v>44140</v>
      </c>
      <c r="B12" s="40">
        <v>0</v>
      </c>
      <c r="C12" s="40">
        <v>0</v>
      </c>
      <c r="D12" s="40">
        <v>0</v>
      </c>
      <c r="E12" s="41">
        <v>85</v>
      </c>
      <c r="F12" s="41">
        <v>4775</v>
      </c>
      <c r="G12" s="41">
        <v>85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64</v>
      </c>
      <c r="O12" s="39">
        <v>84</v>
      </c>
      <c r="P12" s="39">
        <v>83</v>
      </c>
      <c r="Q12" s="39">
        <v>2960</v>
      </c>
      <c r="R12" s="78">
        <v>83</v>
      </c>
      <c r="S12" s="78">
        <v>196</v>
      </c>
      <c r="T12">
        <f t="shared" si="0"/>
        <v>0</v>
      </c>
    </row>
    <row r="13" spans="1:20" x14ac:dyDescent="0.25">
      <c r="A13" s="73">
        <v>44141</v>
      </c>
      <c r="B13" s="40">
        <v>0</v>
      </c>
      <c r="C13" s="40">
        <v>0</v>
      </c>
      <c r="D13" s="40">
        <v>0</v>
      </c>
      <c r="E13" s="41">
        <v>85</v>
      </c>
      <c r="F13" s="41">
        <v>4775</v>
      </c>
      <c r="G13" s="41">
        <v>85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61</v>
      </c>
      <c r="O13" s="39">
        <v>84</v>
      </c>
      <c r="P13" s="39">
        <v>83</v>
      </c>
      <c r="Q13" s="39">
        <v>2963</v>
      </c>
      <c r="R13" s="78">
        <v>83</v>
      </c>
      <c r="S13" s="78">
        <v>196</v>
      </c>
      <c r="T13">
        <f t="shared" si="0"/>
        <v>0</v>
      </c>
    </row>
    <row r="14" spans="1:20" x14ac:dyDescent="0.25">
      <c r="A14" s="73">
        <v>44142</v>
      </c>
      <c r="B14" s="40">
        <v>0</v>
      </c>
      <c r="C14" s="40">
        <v>0</v>
      </c>
      <c r="D14" s="40">
        <v>0</v>
      </c>
      <c r="E14" s="41">
        <v>85</v>
      </c>
      <c r="F14" s="41">
        <v>4775</v>
      </c>
      <c r="G14" s="41">
        <v>85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58</v>
      </c>
      <c r="O14" s="39">
        <v>84</v>
      </c>
      <c r="P14" s="39">
        <v>83</v>
      </c>
      <c r="Q14" s="39">
        <v>2966</v>
      </c>
      <c r="R14" s="78">
        <v>83</v>
      </c>
      <c r="S14" s="78">
        <v>196</v>
      </c>
      <c r="T14">
        <f t="shared" si="0"/>
        <v>0</v>
      </c>
    </row>
    <row r="15" spans="1:20" x14ac:dyDescent="0.25">
      <c r="A15" s="73">
        <v>44143</v>
      </c>
      <c r="B15" s="40">
        <v>0</v>
      </c>
      <c r="C15" s="40">
        <v>0</v>
      </c>
      <c r="D15" s="40">
        <v>0</v>
      </c>
      <c r="E15" s="41">
        <v>85</v>
      </c>
      <c r="F15" s="41">
        <v>4775</v>
      </c>
      <c r="G15" s="41">
        <v>85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55</v>
      </c>
      <c r="O15" s="39">
        <v>84</v>
      </c>
      <c r="P15" s="39">
        <v>83</v>
      </c>
      <c r="Q15" s="39">
        <v>2968</v>
      </c>
      <c r="R15" s="78">
        <v>83</v>
      </c>
      <c r="S15" s="78">
        <v>196</v>
      </c>
      <c r="T15">
        <f t="shared" si="0"/>
        <v>0</v>
      </c>
    </row>
    <row r="16" spans="1:20" x14ac:dyDescent="0.25">
      <c r="A16" s="73">
        <v>44144</v>
      </c>
      <c r="B16" s="40">
        <v>0</v>
      </c>
      <c r="C16" s="40">
        <v>0</v>
      </c>
      <c r="D16" s="40">
        <v>0</v>
      </c>
      <c r="E16" s="41">
        <v>85</v>
      </c>
      <c r="F16" s="41">
        <v>4775</v>
      </c>
      <c r="G16" s="41">
        <v>85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50</v>
      </c>
      <c r="O16" s="39">
        <v>84</v>
      </c>
      <c r="P16" s="39">
        <v>83</v>
      </c>
      <c r="Q16" s="39">
        <v>2972</v>
      </c>
      <c r="R16" s="78">
        <v>83</v>
      </c>
      <c r="S16" s="78">
        <v>196</v>
      </c>
      <c r="T16">
        <f t="shared" si="0"/>
        <v>0</v>
      </c>
    </row>
    <row r="17" spans="1:20" x14ac:dyDescent="0.25">
      <c r="A17" s="73">
        <v>44145</v>
      </c>
      <c r="B17" s="40">
        <v>0</v>
      </c>
      <c r="C17" s="40">
        <v>0</v>
      </c>
      <c r="D17" s="40">
        <v>0</v>
      </c>
      <c r="E17" s="41">
        <v>85</v>
      </c>
      <c r="F17" s="41">
        <v>4775</v>
      </c>
      <c r="G17" s="41">
        <v>85</v>
      </c>
      <c r="H17" s="41">
        <v>1374</v>
      </c>
      <c r="I17" s="41">
        <v>85</v>
      </c>
      <c r="J17" s="41">
        <v>273</v>
      </c>
      <c r="K17" s="42">
        <v>85</v>
      </c>
      <c r="L17" s="42">
        <v>86</v>
      </c>
      <c r="M17" s="42">
        <v>1152</v>
      </c>
      <c r="N17" s="39">
        <v>45</v>
      </c>
      <c r="O17" s="39">
        <v>84</v>
      </c>
      <c r="P17" s="39">
        <v>83</v>
      </c>
      <c r="Q17" s="39">
        <v>2975</v>
      </c>
      <c r="R17" s="78">
        <v>83</v>
      </c>
      <c r="S17" s="78">
        <v>196</v>
      </c>
      <c r="T17">
        <f t="shared" si="0"/>
        <v>0</v>
      </c>
    </row>
    <row r="18" spans="1:20" x14ac:dyDescent="0.25">
      <c r="A18" s="73">
        <v>44146</v>
      </c>
      <c r="B18" s="40">
        <v>0</v>
      </c>
      <c r="C18" s="40">
        <v>0</v>
      </c>
      <c r="D18" s="40">
        <v>0</v>
      </c>
      <c r="E18" s="41">
        <v>85</v>
      </c>
      <c r="F18" s="41">
        <v>4775</v>
      </c>
      <c r="G18" s="41">
        <v>85</v>
      </c>
      <c r="H18" s="41">
        <v>1374</v>
      </c>
      <c r="I18" s="41">
        <v>85</v>
      </c>
      <c r="J18" s="41">
        <v>273</v>
      </c>
      <c r="K18" s="42">
        <v>85</v>
      </c>
      <c r="L18" s="42">
        <v>86</v>
      </c>
      <c r="M18" s="42">
        <v>1152</v>
      </c>
      <c r="N18" s="39">
        <v>42</v>
      </c>
      <c r="O18" s="39">
        <v>84</v>
      </c>
      <c r="P18" s="39">
        <v>83</v>
      </c>
      <c r="Q18" s="39">
        <v>2978</v>
      </c>
      <c r="R18" s="78">
        <v>83</v>
      </c>
      <c r="S18" s="78">
        <v>196</v>
      </c>
      <c r="T18">
        <f t="shared" si="0"/>
        <v>0</v>
      </c>
    </row>
    <row r="19" spans="1:20" x14ac:dyDescent="0.25">
      <c r="A19" s="73">
        <v>44147</v>
      </c>
      <c r="B19" s="40">
        <v>0</v>
      </c>
      <c r="C19" s="40">
        <v>0</v>
      </c>
      <c r="D19" s="40">
        <v>0</v>
      </c>
      <c r="E19" s="41">
        <v>85</v>
      </c>
      <c r="F19" s="41">
        <v>4775</v>
      </c>
      <c r="G19" s="41">
        <v>85</v>
      </c>
      <c r="H19" s="41">
        <v>1374</v>
      </c>
      <c r="I19" s="41">
        <v>85</v>
      </c>
      <c r="J19" s="41">
        <v>273</v>
      </c>
      <c r="K19" s="42">
        <v>85</v>
      </c>
      <c r="L19" s="42">
        <v>86</v>
      </c>
      <c r="M19" s="42">
        <v>1152</v>
      </c>
      <c r="N19" s="39">
        <v>40</v>
      </c>
      <c r="O19" s="39">
        <v>84</v>
      </c>
      <c r="P19" s="39">
        <v>83</v>
      </c>
      <c r="Q19" s="39">
        <v>2981</v>
      </c>
      <c r="R19" s="78">
        <v>83</v>
      </c>
      <c r="S19" s="78">
        <v>196</v>
      </c>
      <c r="T19">
        <f t="shared" si="0"/>
        <v>0</v>
      </c>
    </row>
    <row r="20" spans="1:20" x14ac:dyDescent="0.25">
      <c r="A20" s="73">
        <v>44148</v>
      </c>
      <c r="B20" s="40">
        <v>0</v>
      </c>
      <c r="C20" s="40">
        <v>0</v>
      </c>
      <c r="D20" s="40">
        <v>0</v>
      </c>
      <c r="E20" s="41">
        <v>85</v>
      </c>
      <c r="F20" s="41">
        <v>4775</v>
      </c>
      <c r="G20" s="41">
        <v>85</v>
      </c>
      <c r="H20" s="41">
        <v>1374</v>
      </c>
      <c r="I20" s="41">
        <v>85</v>
      </c>
      <c r="J20" s="41">
        <v>273</v>
      </c>
      <c r="K20" s="42">
        <v>85</v>
      </c>
      <c r="L20" s="42">
        <v>86</v>
      </c>
      <c r="M20" s="42">
        <v>1152</v>
      </c>
      <c r="N20" s="39">
        <v>36</v>
      </c>
      <c r="O20" s="39">
        <v>84</v>
      </c>
      <c r="P20" s="39">
        <v>83</v>
      </c>
      <c r="Q20" s="39">
        <v>2983</v>
      </c>
      <c r="R20" s="78">
        <v>83</v>
      </c>
      <c r="S20" s="78">
        <v>196</v>
      </c>
      <c r="T20">
        <f t="shared" si="0"/>
        <v>0</v>
      </c>
    </row>
    <row r="21" spans="1:20" x14ac:dyDescent="0.25">
      <c r="A21" s="73">
        <v>44149</v>
      </c>
      <c r="B21" s="40">
        <v>0</v>
      </c>
      <c r="C21" s="40">
        <v>0</v>
      </c>
      <c r="D21" s="40">
        <v>0</v>
      </c>
      <c r="E21" s="41">
        <v>85</v>
      </c>
      <c r="F21" s="41">
        <v>4775</v>
      </c>
      <c r="G21" s="41">
        <v>85</v>
      </c>
      <c r="H21" s="41">
        <v>1374</v>
      </c>
      <c r="I21" s="41">
        <v>85</v>
      </c>
      <c r="J21" s="41">
        <v>273</v>
      </c>
      <c r="K21" s="42">
        <v>85</v>
      </c>
      <c r="L21" s="42">
        <v>86</v>
      </c>
      <c r="M21" s="42">
        <v>1152</v>
      </c>
      <c r="N21" s="39">
        <v>32</v>
      </c>
      <c r="O21" s="39">
        <v>84</v>
      </c>
      <c r="P21" s="39">
        <v>83</v>
      </c>
      <c r="Q21" s="39">
        <v>2986</v>
      </c>
      <c r="R21" s="78">
        <v>83</v>
      </c>
      <c r="S21" s="78">
        <v>196</v>
      </c>
      <c r="T21">
        <f t="shared" si="0"/>
        <v>0</v>
      </c>
    </row>
    <row r="22" spans="1:20" x14ac:dyDescent="0.25">
      <c r="A22" s="73">
        <v>44150</v>
      </c>
      <c r="B22" s="40">
        <v>0</v>
      </c>
      <c r="C22" s="40">
        <v>0</v>
      </c>
      <c r="D22" s="40">
        <v>0</v>
      </c>
      <c r="E22" s="41">
        <v>85</v>
      </c>
      <c r="F22" s="41">
        <v>4775</v>
      </c>
      <c r="G22" s="41">
        <v>85</v>
      </c>
      <c r="H22" s="41">
        <v>1374</v>
      </c>
      <c r="I22" s="41">
        <v>85</v>
      </c>
      <c r="J22" s="41">
        <v>273</v>
      </c>
      <c r="K22" s="42">
        <v>85</v>
      </c>
      <c r="L22" s="42">
        <v>86</v>
      </c>
      <c r="M22" s="42">
        <v>1152</v>
      </c>
      <c r="N22" s="39"/>
      <c r="O22" s="39"/>
      <c r="P22" s="39"/>
      <c r="Q22" s="39"/>
      <c r="R22" s="78"/>
      <c r="S22" s="78"/>
      <c r="T22">
        <f t="shared" si="0"/>
        <v>-196</v>
      </c>
    </row>
    <row r="23" spans="1:20" x14ac:dyDescent="0.25">
      <c r="A23" s="73">
        <v>44151</v>
      </c>
      <c r="B23" s="40">
        <v>0</v>
      </c>
      <c r="C23" s="40">
        <v>0</v>
      </c>
      <c r="D23" s="40">
        <v>0</v>
      </c>
      <c r="E23" s="41">
        <v>85</v>
      </c>
      <c r="F23" s="41">
        <v>4775</v>
      </c>
      <c r="G23" s="41">
        <v>85</v>
      </c>
      <c r="H23" s="41">
        <v>1374</v>
      </c>
      <c r="I23" s="41">
        <v>85</v>
      </c>
      <c r="J23" s="41">
        <v>273</v>
      </c>
      <c r="K23" s="42">
        <v>85</v>
      </c>
      <c r="L23" s="42">
        <v>86</v>
      </c>
      <c r="M23" s="42">
        <v>1152</v>
      </c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44152</v>
      </c>
      <c r="B24" s="40">
        <v>0</v>
      </c>
      <c r="C24" s="40">
        <v>0</v>
      </c>
      <c r="D24" s="40">
        <v>0</v>
      </c>
      <c r="E24" s="41">
        <v>85</v>
      </c>
      <c r="F24" s="41">
        <v>4775</v>
      </c>
      <c r="G24" s="41">
        <v>85</v>
      </c>
      <c r="H24" s="41">
        <v>1374</v>
      </c>
      <c r="I24" s="41">
        <v>85</v>
      </c>
      <c r="J24" s="41">
        <v>273</v>
      </c>
      <c r="K24" s="42">
        <v>85</v>
      </c>
      <c r="L24" s="42">
        <v>86</v>
      </c>
      <c r="M24" s="42">
        <v>1152</v>
      </c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44153</v>
      </c>
      <c r="B25" s="40">
        <v>0</v>
      </c>
      <c r="C25" s="40">
        <v>0</v>
      </c>
      <c r="D25" s="40">
        <v>0</v>
      </c>
      <c r="E25" s="41">
        <v>85</v>
      </c>
      <c r="F25" s="41">
        <v>4775</v>
      </c>
      <c r="G25" s="41">
        <v>85</v>
      </c>
      <c r="H25" s="41">
        <v>1374</v>
      </c>
      <c r="I25" s="41">
        <v>85</v>
      </c>
      <c r="J25" s="41">
        <v>273</v>
      </c>
      <c r="K25" s="42">
        <v>85</v>
      </c>
      <c r="L25" s="42">
        <v>86</v>
      </c>
      <c r="M25" s="42">
        <v>1152</v>
      </c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44154</v>
      </c>
      <c r="B26" s="40">
        <v>0</v>
      </c>
      <c r="C26" s="40">
        <v>0</v>
      </c>
      <c r="D26" s="40">
        <v>0</v>
      </c>
      <c r="E26" s="41">
        <v>85</v>
      </c>
      <c r="F26" s="41">
        <v>4775</v>
      </c>
      <c r="G26" s="41">
        <v>85</v>
      </c>
      <c r="H26" s="41">
        <v>1374</v>
      </c>
      <c r="I26" s="41">
        <v>85</v>
      </c>
      <c r="J26" s="41">
        <v>273</v>
      </c>
      <c r="K26" s="42">
        <v>85</v>
      </c>
      <c r="L26" s="42">
        <v>86</v>
      </c>
      <c r="M26" s="42">
        <v>1152</v>
      </c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44155</v>
      </c>
      <c r="B27" s="40">
        <v>0</v>
      </c>
      <c r="C27" s="40">
        <v>0</v>
      </c>
      <c r="D27" s="40">
        <v>0</v>
      </c>
      <c r="E27" s="41">
        <v>85</v>
      </c>
      <c r="F27" s="41">
        <v>4775</v>
      </c>
      <c r="G27" s="41">
        <v>85</v>
      </c>
      <c r="H27" s="41">
        <v>1374</v>
      </c>
      <c r="I27" s="41">
        <v>85</v>
      </c>
      <c r="J27" s="41">
        <v>273</v>
      </c>
      <c r="K27" s="42">
        <v>85</v>
      </c>
      <c r="L27" s="42">
        <v>86</v>
      </c>
      <c r="M27" s="42">
        <v>1152</v>
      </c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44156</v>
      </c>
      <c r="B28" s="40">
        <v>0</v>
      </c>
      <c r="C28" s="40">
        <v>0</v>
      </c>
      <c r="D28" s="40">
        <v>0</v>
      </c>
      <c r="E28" s="41">
        <v>85</v>
      </c>
      <c r="F28" s="41">
        <v>4775</v>
      </c>
      <c r="G28" s="41">
        <v>85</v>
      </c>
      <c r="H28" s="41">
        <v>1374</v>
      </c>
      <c r="I28" s="41">
        <v>85</v>
      </c>
      <c r="J28" s="41">
        <v>273</v>
      </c>
      <c r="K28" s="42">
        <v>85</v>
      </c>
      <c r="L28" s="42">
        <v>86</v>
      </c>
      <c r="M28" s="42">
        <v>1152</v>
      </c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44157</v>
      </c>
      <c r="B29" s="40">
        <v>0</v>
      </c>
      <c r="C29" s="40">
        <v>0</v>
      </c>
      <c r="D29" s="40">
        <v>0</v>
      </c>
      <c r="E29" s="41">
        <v>85</v>
      </c>
      <c r="F29" s="41">
        <v>4775</v>
      </c>
      <c r="G29" s="41">
        <v>85</v>
      </c>
      <c r="H29" s="41">
        <v>1374</v>
      </c>
      <c r="I29" s="41">
        <v>85</v>
      </c>
      <c r="J29" s="41">
        <v>273</v>
      </c>
      <c r="K29" s="42">
        <v>85</v>
      </c>
      <c r="L29" s="42">
        <v>86</v>
      </c>
      <c r="M29" s="42">
        <v>1152</v>
      </c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44158</v>
      </c>
      <c r="B30" s="40">
        <v>0</v>
      </c>
      <c r="C30" s="40">
        <v>0</v>
      </c>
      <c r="D30" s="40">
        <v>0</v>
      </c>
      <c r="E30" s="41">
        <v>85</v>
      </c>
      <c r="F30" s="41">
        <v>4775</v>
      </c>
      <c r="G30" s="41">
        <v>85</v>
      </c>
      <c r="H30" s="41">
        <v>1374</v>
      </c>
      <c r="I30" s="41">
        <v>85</v>
      </c>
      <c r="J30" s="41">
        <v>273</v>
      </c>
      <c r="K30" s="42">
        <v>85</v>
      </c>
      <c r="L30" s="42">
        <v>86</v>
      </c>
      <c r="M30" s="42">
        <v>1152</v>
      </c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44159</v>
      </c>
      <c r="B31" s="40">
        <v>0</v>
      </c>
      <c r="C31" s="40">
        <v>0</v>
      </c>
      <c r="D31" s="40">
        <v>0</v>
      </c>
      <c r="E31" s="41">
        <v>85</v>
      </c>
      <c r="F31" s="41">
        <v>4775</v>
      </c>
      <c r="G31" s="41">
        <v>85</v>
      </c>
      <c r="H31" s="41">
        <v>1374</v>
      </c>
      <c r="I31" s="41">
        <v>85</v>
      </c>
      <c r="J31" s="41">
        <v>273</v>
      </c>
      <c r="K31" s="42">
        <v>85</v>
      </c>
      <c r="L31" s="42">
        <v>86</v>
      </c>
      <c r="M31" s="42">
        <v>1152</v>
      </c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44160</v>
      </c>
      <c r="B32" s="40">
        <v>0</v>
      </c>
      <c r="C32" s="40">
        <v>0</v>
      </c>
      <c r="D32" s="40">
        <v>0</v>
      </c>
      <c r="E32" s="41">
        <v>85</v>
      </c>
      <c r="F32" s="41">
        <v>4775</v>
      </c>
      <c r="G32" s="41">
        <v>85</v>
      </c>
      <c r="H32" s="41">
        <v>1374</v>
      </c>
      <c r="I32" s="41">
        <v>85</v>
      </c>
      <c r="J32" s="41">
        <v>273</v>
      </c>
      <c r="K32" s="42">
        <v>85</v>
      </c>
      <c r="L32" s="42">
        <v>86</v>
      </c>
      <c r="M32" s="42">
        <v>1152</v>
      </c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44161</v>
      </c>
      <c r="B33" s="40">
        <v>0</v>
      </c>
      <c r="C33" s="40">
        <v>0</v>
      </c>
      <c r="D33" s="40">
        <v>0</v>
      </c>
      <c r="E33" s="41">
        <v>85</v>
      </c>
      <c r="F33" s="41">
        <v>4775</v>
      </c>
      <c r="G33" s="41">
        <v>85</v>
      </c>
      <c r="H33" s="41">
        <v>1374</v>
      </c>
      <c r="I33" s="41">
        <v>85</v>
      </c>
      <c r="J33" s="41">
        <v>273</v>
      </c>
      <c r="K33" s="42">
        <v>85</v>
      </c>
      <c r="L33" s="42">
        <v>86</v>
      </c>
      <c r="M33" s="42">
        <v>1152</v>
      </c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44162</v>
      </c>
      <c r="B34" s="40">
        <v>0</v>
      </c>
      <c r="C34" s="40">
        <v>0</v>
      </c>
      <c r="D34" s="40">
        <v>0</v>
      </c>
      <c r="E34" s="41">
        <v>85</v>
      </c>
      <c r="F34" s="41">
        <v>4775</v>
      </c>
      <c r="G34" s="41">
        <v>85</v>
      </c>
      <c r="H34" s="41">
        <v>1374</v>
      </c>
      <c r="I34" s="41">
        <v>85</v>
      </c>
      <c r="J34" s="41">
        <v>273</v>
      </c>
      <c r="K34" s="42">
        <v>85</v>
      </c>
      <c r="L34" s="42">
        <v>86</v>
      </c>
      <c r="M34" s="42">
        <v>1152</v>
      </c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44163</v>
      </c>
      <c r="B35" s="40">
        <v>0</v>
      </c>
      <c r="C35" s="40">
        <v>0</v>
      </c>
      <c r="D35" s="40">
        <v>0</v>
      </c>
      <c r="E35" s="41">
        <v>85</v>
      </c>
      <c r="F35" s="41">
        <v>4775</v>
      </c>
      <c r="G35" s="41">
        <v>85</v>
      </c>
      <c r="H35" s="41">
        <v>1374</v>
      </c>
      <c r="I35" s="41">
        <v>85</v>
      </c>
      <c r="J35" s="41">
        <v>273</v>
      </c>
      <c r="K35" s="42">
        <v>85</v>
      </c>
      <c r="L35" s="42">
        <v>86</v>
      </c>
      <c r="M35" s="42">
        <v>1152</v>
      </c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44164</v>
      </c>
      <c r="B36" s="40">
        <v>0</v>
      </c>
      <c r="C36" s="40">
        <v>0</v>
      </c>
      <c r="D36" s="40">
        <v>0</v>
      </c>
      <c r="E36" s="41">
        <v>85</v>
      </c>
      <c r="F36" s="41">
        <v>4775</v>
      </c>
      <c r="G36" s="41">
        <v>85</v>
      </c>
      <c r="H36" s="41">
        <v>1374</v>
      </c>
      <c r="I36" s="41">
        <v>85</v>
      </c>
      <c r="J36" s="41">
        <v>273</v>
      </c>
      <c r="K36" s="42">
        <v>85</v>
      </c>
      <c r="L36" s="42">
        <v>86</v>
      </c>
      <c r="M36" s="42">
        <v>1152</v>
      </c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44165</v>
      </c>
      <c r="B37" s="40">
        <v>0</v>
      </c>
      <c r="C37" s="40">
        <v>0</v>
      </c>
      <c r="D37" s="40">
        <v>0</v>
      </c>
      <c r="E37" s="41">
        <v>85</v>
      </c>
      <c r="F37" s="41">
        <v>4775</v>
      </c>
      <c r="G37" s="41">
        <v>85</v>
      </c>
      <c r="H37" s="41">
        <v>1374</v>
      </c>
      <c r="I37" s="41">
        <v>85</v>
      </c>
      <c r="J37" s="41">
        <v>273</v>
      </c>
      <c r="K37" s="42">
        <v>85</v>
      </c>
      <c r="L37" s="42">
        <v>86</v>
      </c>
      <c r="M37" s="42">
        <v>1152</v>
      </c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44166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44167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Vijay Kumar</cp:lastModifiedBy>
  <dcterms:created xsi:type="dcterms:W3CDTF">2019-08-14T08:16:24Z</dcterms:created>
  <dcterms:modified xsi:type="dcterms:W3CDTF">2020-11-14T11:44:41Z</dcterms:modified>
</cp:coreProperties>
</file>