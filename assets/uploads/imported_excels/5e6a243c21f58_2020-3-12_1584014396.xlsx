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HEP\Four Seasons\Milan\"/>
    </mc:Choice>
  </mc:AlternateContent>
  <bookViews>
    <workbookView xWindow="0" yWindow="0" windowWidth="28800" windowHeight="12435"/>
  </bookViews>
  <sheets>
    <sheet name="TOTAL" sheetId="5" r:id="rId1"/>
    <sheet name="Submetering " sheetId="4" r:id="rId2"/>
    <sheet name="Hotel Data" sheetId="2" r:id="rId3"/>
  </sheets>
  <externalReferences>
    <externalReference r:id="rId4"/>
  </externalReferences>
  <calcPr calcId="152511"/>
  <fileRecoveryPr autoRecover="0"/>
</workbook>
</file>

<file path=xl/calcChain.xml><?xml version="1.0" encoding="utf-8"?>
<calcChain xmlns="http://schemas.openxmlformats.org/spreadsheetml/2006/main">
  <c r="I4" i="5" l="1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2" i="5"/>
  <c r="AP4" i="2" l="1"/>
  <c r="AP36" i="2"/>
  <c r="AL4" i="2"/>
  <c r="AL36" i="2" s="1"/>
  <c r="AH4" i="2"/>
  <c r="AH36" i="2" s="1"/>
  <c r="AE4" i="2"/>
  <c r="AB4" i="2"/>
  <c r="Y4" i="2"/>
  <c r="Y36" i="2" s="1"/>
  <c r="V4" i="2"/>
  <c r="D4" i="2"/>
  <c r="E5" i="2" s="1"/>
  <c r="E3" i="4" s="1"/>
  <c r="BI14" i="2"/>
  <c r="BH14" i="2"/>
  <c r="BG14" i="2"/>
  <c r="BF14" i="2"/>
  <c r="BE14" i="2"/>
  <c r="BC14" i="2"/>
  <c r="BB14" i="2"/>
  <c r="AZ14" i="2"/>
  <c r="AW14" i="2"/>
  <c r="AQ14" i="2"/>
  <c r="AM14" i="2"/>
  <c r="AI14" i="2"/>
  <c r="AF14" i="2"/>
  <c r="AC14" i="2"/>
  <c r="Z14" i="2"/>
  <c r="W14" i="2"/>
  <c r="U14" i="2"/>
  <c r="S14" i="2"/>
  <c r="Q14" i="2"/>
  <c r="O14" i="2"/>
  <c r="G12" i="4"/>
  <c r="M14" i="2"/>
  <c r="K14" i="2"/>
  <c r="I14" i="2"/>
  <c r="G14" i="2"/>
  <c r="E14" i="2"/>
  <c r="A14" i="2"/>
  <c r="BA14" i="2"/>
  <c r="BI13" i="2"/>
  <c r="BH13" i="2"/>
  <c r="BG13" i="2"/>
  <c r="BF13" i="2"/>
  <c r="BE13" i="2"/>
  <c r="BD13" i="2"/>
  <c r="BC13" i="2"/>
  <c r="BB13" i="2"/>
  <c r="BA13" i="2"/>
  <c r="AZ13" i="2"/>
  <c r="AW13" i="2"/>
  <c r="AQ13" i="2"/>
  <c r="AM13" i="2"/>
  <c r="AI13" i="2"/>
  <c r="AF13" i="2"/>
  <c r="AC13" i="2"/>
  <c r="Z13" i="2"/>
  <c r="W13" i="2"/>
  <c r="U13" i="2"/>
  <c r="S13" i="2"/>
  <c r="Q13" i="2"/>
  <c r="O13" i="2"/>
  <c r="K13" i="2"/>
  <c r="I13" i="2"/>
  <c r="M13" i="2"/>
  <c r="G13" i="2"/>
  <c r="F11" i="4"/>
  <c r="E13" i="2"/>
  <c r="BI12" i="2"/>
  <c r="BH12" i="2"/>
  <c r="BG12" i="2"/>
  <c r="BF12" i="2"/>
  <c r="BE12" i="2"/>
  <c r="BD12" i="2"/>
  <c r="AW12" i="2"/>
  <c r="AQ12" i="2"/>
  <c r="AM12" i="2"/>
  <c r="AI12" i="2"/>
  <c r="AF12" i="2"/>
  <c r="AC12" i="2"/>
  <c r="Z12" i="2"/>
  <c r="W12" i="2"/>
  <c r="U12" i="2"/>
  <c r="S12" i="2"/>
  <c r="Q12" i="2"/>
  <c r="H10" i="4"/>
  <c r="O12" i="2"/>
  <c r="G10" i="4"/>
  <c r="K12" i="2"/>
  <c r="I12" i="2"/>
  <c r="M12" i="2"/>
  <c r="G12" i="2"/>
  <c r="E12" i="2"/>
  <c r="BI11" i="2"/>
  <c r="BH11" i="2"/>
  <c r="BG11" i="2"/>
  <c r="BF11" i="2"/>
  <c r="BE11" i="2"/>
  <c r="BD11" i="2"/>
  <c r="AW11" i="2"/>
  <c r="AQ11" i="2"/>
  <c r="AM11" i="2"/>
  <c r="AI11" i="2"/>
  <c r="AF11" i="2"/>
  <c r="AC11" i="2"/>
  <c r="Z11" i="2"/>
  <c r="W11" i="2"/>
  <c r="U11" i="2"/>
  <c r="S11" i="2"/>
  <c r="Q11" i="2"/>
  <c r="O11" i="2"/>
  <c r="K11" i="2"/>
  <c r="I11" i="2"/>
  <c r="M11" i="2"/>
  <c r="G11" i="2"/>
  <c r="E11" i="2"/>
  <c r="BI10" i="2"/>
  <c r="BH10" i="2"/>
  <c r="BG10" i="2"/>
  <c r="BF10" i="2"/>
  <c r="BE10" i="2"/>
  <c r="BD10" i="2"/>
  <c r="AY10" i="2"/>
  <c r="AY11" i="2"/>
  <c r="AY12" i="2"/>
  <c r="AY13" i="2"/>
  <c r="AY14" i="2"/>
  <c r="AW10" i="2"/>
  <c r="AQ10" i="2"/>
  <c r="AM10" i="2"/>
  <c r="AI10" i="2"/>
  <c r="AF10" i="2"/>
  <c r="AC10" i="2"/>
  <c r="Z10" i="2"/>
  <c r="W10" i="2"/>
  <c r="U10" i="2"/>
  <c r="J8" i="4"/>
  <c r="S10" i="2"/>
  <c r="I8" i="4"/>
  <c r="Q10" i="2"/>
  <c r="O10" i="2"/>
  <c r="K10" i="2"/>
  <c r="I10" i="2"/>
  <c r="M10" i="2"/>
  <c r="G10" i="2"/>
  <c r="E10" i="2"/>
  <c r="E8" i="4"/>
  <c r="BI9" i="2"/>
  <c r="BH9" i="2"/>
  <c r="BG9" i="2"/>
  <c r="BF9" i="2"/>
  <c r="BE9" i="2"/>
  <c r="BD9" i="2"/>
  <c r="AW9" i="2"/>
  <c r="AQ9" i="2"/>
  <c r="AM9" i="2"/>
  <c r="AI9" i="2"/>
  <c r="AF9" i="2"/>
  <c r="AC9" i="2"/>
  <c r="Z9" i="2"/>
  <c r="W9" i="2"/>
  <c r="U9" i="2"/>
  <c r="S9" i="2"/>
  <c r="Q9" i="2"/>
  <c r="O9" i="2"/>
  <c r="M9" i="2"/>
  <c r="K9" i="2"/>
  <c r="I9" i="2"/>
  <c r="G9" i="2"/>
  <c r="E9" i="2"/>
  <c r="BI8" i="2"/>
  <c r="BH8" i="2"/>
  <c r="BG8" i="2"/>
  <c r="BF8" i="2"/>
  <c r="BE8" i="2"/>
  <c r="BD8" i="2"/>
  <c r="AW8" i="2"/>
  <c r="AQ8" i="2"/>
  <c r="AM8" i="2"/>
  <c r="AI8" i="2"/>
  <c r="AF8" i="2"/>
  <c r="AC8" i="2"/>
  <c r="Z8" i="2"/>
  <c r="W8" i="2"/>
  <c r="U8" i="2"/>
  <c r="J6" i="4"/>
  <c r="S8" i="2"/>
  <c r="I6" i="4"/>
  <c r="Q8" i="2"/>
  <c r="O8" i="2"/>
  <c r="K8" i="2"/>
  <c r="I8" i="2"/>
  <c r="M8" i="2"/>
  <c r="G8" i="2"/>
  <c r="E8" i="2"/>
  <c r="E6" i="4"/>
  <c r="BI7" i="2"/>
  <c r="BH7" i="2"/>
  <c r="BG7" i="2"/>
  <c r="BF7" i="2"/>
  <c r="BE7" i="2"/>
  <c r="BD7" i="2"/>
  <c r="AW7" i="2"/>
  <c r="AQ7" i="2"/>
  <c r="AM7" i="2"/>
  <c r="AI7" i="2"/>
  <c r="AF7" i="2"/>
  <c r="AC7" i="2"/>
  <c r="Z7" i="2"/>
  <c r="W7" i="2"/>
  <c r="U7" i="2"/>
  <c r="S7" i="2"/>
  <c r="Q7" i="2"/>
  <c r="O7" i="2"/>
  <c r="G5" i="4"/>
  <c r="M7" i="2"/>
  <c r="K7" i="2"/>
  <c r="I7" i="2"/>
  <c r="G7" i="2"/>
  <c r="E7" i="2"/>
  <c r="BI6" i="2"/>
  <c r="BH6" i="2"/>
  <c r="BG6" i="2"/>
  <c r="BF6" i="2"/>
  <c r="BE6" i="2"/>
  <c r="BD6" i="2"/>
  <c r="AZ6" i="2"/>
  <c r="AY6" i="2"/>
  <c r="AY7" i="2"/>
  <c r="AW6" i="2"/>
  <c r="AQ6" i="2"/>
  <c r="AM6" i="2"/>
  <c r="AI6" i="2"/>
  <c r="AF6" i="2"/>
  <c r="AC6" i="2"/>
  <c r="Z6" i="2"/>
  <c r="W6" i="2"/>
  <c r="U6" i="2"/>
  <c r="S6" i="2"/>
  <c r="Q6" i="2"/>
  <c r="O6" i="2"/>
  <c r="K6" i="2"/>
  <c r="I3" i="5" s="1"/>
  <c r="I6" i="2"/>
  <c r="M6" i="2"/>
  <c r="G6" i="2"/>
  <c r="F4" i="4"/>
  <c r="E6" i="2"/>
  <c r="A6" i="2"/>
  <c r="BC6" i="2"/>
  <c r="BI5" i="2"/>
  <c r="BH5" i="2"/>
  <c r="BG5" i="2"/>
  <c r="BF5" i="2"/>
  <c r="BE5" i="2"/>
  <c r="BD5" i="2"/>
  <c r="BC5" i="2"/>
  <c r="BB5" i="2"/>
  <c r="BA5" i="2"/>
  <c r="AZ5" i="2"/>
  <c r="AW5" i="2"/>
  <c r="AQ5" i="2"/>
  <c r="AM5" i="2"/>
  <c r="AI5" i="2"/>
  <c r="AF5" i="2"/>
  <c r="AC5" i="2"/>
  <c r="Z5" i="2"/>
  <c r="W5" i="2"/>
  <c r="BE4" i="2"/>
  <c r="BC4" i="2"/>
  <c r="BB4" i="2"/>
  <c r="BA4" i="2"/>
  <c r="AZ4" i="2"/>
  <c r="AV4" i="2"/>
  <c r="AE36" i="2"/>
  <c r="AB36" i="2"/>
  <c r="AA4" i="2"/>
  <c r="X4" i="2"/>
  <c r="T4" i="2"/>
  <c r="U5" i="2"/>
  <c r="J3" i="4" s="1"/>
  <c r="R4" i="2"/>
  <c r="S5" i="2"/>
  <c r="I3" i="4" s="1"/>
  <c r="P4" i="2"/>
  <c r="Q5" i="2"/>
  <c r="H3" i="4" s="1"/>
  <c r="N4" i="2"/>
  <c r="O5" i="2"/>
  <c r="G3" i="4" s="1"/>
  <c r="M4" i="2"/>
  <c r="K5" i="2"/>
  <c r="I2" i="5" s="1"/>
  <c r="H36" i="2"/>
  <c r="F4" i="2"/>
  <c r="G5" i="2"/>
  <c r="F3" i="4"/>
  <c r="F12" i="4"/>
  <c r="H11" i="4"/>
  <c r="E11" i="4"/>
  <c r="I9" i="4"/>
  <c r="F9" i="4"/>
  <c r="H8" i="4"/>
  <c r="E7" i="4"/>
  <c r="H6" i="4"/>
  <c r="F5" i="4"/>
  <c r="J4" i="4"/>
  <c r="I4" i="4"/>
  <c r="H4" i="4"/>
  <c r="E4" i="4"/>
  <c r="AJ36" i="2"/>
  <c r="AG36" i="2"/>
  <c r="AD36" i="2"/>
  <c r="AB38" i="2"/>
  <c r="AJ38" i="2"/>
  <c r="AR36" i="2"/>
  <c r="AN36" i="2"/>
  <c r="AA36" i="2"/>
  <c r="X36" i="2"/>
  <c r="V36" i="2"/>
  <c r="T36" i="2"/>
  <c r="R36" i="2"/>
  <c r="P36" i="2"/>
  <c r="F36" i="2"/>
  <c r="H33" i="4"/>
  <c r="G33" i="4"/>
  <c r="F33" i="4"/>
  <c r="J32" i="4"/>
  <c r="I32" i="4"/>
  <c r="H32" i="4"/>
  <c r="I31" i="4"/>
  <c r="F31" i="4"/>
  <c r="E31" i="4"/>
  <c r="G32" i="4"/>
  <c r="F32" i="4"/>
  <c r="J33" i="4"/>
  <c r="I26" i="4"/>
  <c r="G26" i="4"/>
  <c r="F25" i="4"/>
  <c r="I24" i="4"/>
  <c r="H24" i="4"/>
  <c r="F24" i="4"/>
  <c r="E24" i="4"/>
  <c r="F20" i="4"/>
  <c r="E20" i="4"/>
  <c r="F19" i="4"/>
  <c r="E19" i="4"/>
  <c r="I18" i="4"/>
  <c r="H18" i="4"/>
  <c r="H17" i="4"/>
  <c r="G17" i="4"/>
  <c r="H15" i="4"/>
  <c r="G15" i="4"/>
  <c r="F15" i="4"/>
  <c r="J14" i="4"/>
  <c r="I14" i="4"/>
  <c r="H14" i="4"/>
  <c r="G14" i="4"/>
  <c r="E14" i="4"/>
  <c r="O33" i="4"/>
  <c r="O32" i="4"/>
  <c r="N33" i="4"/>
  <c r="N32" i="4"/>
  <c r="M33" i="4"/>
  <c r="M32" i="4"/>
  <c r="L33" i="4"/>
  <c r="L32" i="4"/>
  <c r="K33" i="4"/>
  <c r="K32" i="4"/>
  <c r="E32" i="4"/>
  <c r="I33" i="4"/>
  <c r="J31" i="4"/>
  <c r="H31" i="4"/>
  <c r="I15" i="4"/>
  <c r="E15" i="4"/>
  <c r="J30" i="4"/>
  <c r="H23" i="4"/>
  <c r="F23" i="4"/>
  <c r="J16" i="4"/>
  <c r="H16" i="4"/>
  <c r="P33" i="4"/>
  <c r="G31" i="4"/>
  <c r="E30" i="4"/>
  <c r="J29" i="4"/>
  <c r="I29" i="4"/>
  <c r="H29" i="4"/>
  <c r="G29" i="4"/>
  <c r="E29" i="4"/>
  <c r="I28" i="4"/>
  <c r="H28" i="4"/>
  <c r="G28" i="4"/>
  <c r="F28" i="4"/>
  <c r="J27" i="4"/>
  <c r="I27" i="4"/>
  <c r="H27" i="4"/>
  <c r="G27" i="4"/>
  <c r="J26" i="4"/>
  <c r="H26" i="4"/>
  <c r="J25" i="4"/>
  <c r="I25" i="4"/>
  <c r="H25" i="4"/>
  <c r="G25" i="4"/>
  <c r="E25" i="4"/>
  <c r="J23" i="4"/>
  <c r="I23" i="4"/>
  <c r="E23" i="4"/>
  <c r="J22" i="4"/>
  <c r="I22" i="4"/>
  <c r="J21" i="4"/>
  <c r="G21" i="4"/>
  <c r="F21" i="4"/>
  <c r="E21" i="4"/>
  <c r="H20" i="4"/>
  <c r="G20" i="4"/>
  <c r="J19" i="4"/>
  <c r="I19" i="4"/>
  <c r="H19" i="4"/>
  <c r="G19" i="4"/>
  <c r="G18" i="4"/>
  <c r="F18" i="4"/>
  <c r="E18" i="4"/>
  <c r="J17" i="4"/>
  <c r="I17" i="4"/>
  <c r="F17" i="4"/>
  <c r="E17" i="4"/>
  <c r="G16" i="4"/>
  <c r="F14" i="4"/>
  <c r="J13" i="4"/>
  <c r="F13" i="4"/>
  <c r="I12" i="4"/>
  <c r="H12" i="4"/>
  <c r="I11" i="4"/>
  <c r="G11" i="4"/>
  <c r="I10" i="4"/>
  <c r="F10" i="4"/>
  <c r="J9" i="4"/>
  <c r="G8" i="4"/>
  <c r="F8" i="4"/>
  <c r="H7" i="4"/>
  <c r="G6" i="4"/>
  <c r="F6" i="4"/>
  <c r="J5" i="4"/>
  <c r="G24" i="4"/>
  <c r="G23" i="4"/>
  <c r="G22" i="4"/>
  <c r="I21" i="4"/>
  <c r="H13" i="4"/>
  <c r="H9" i="4"/>
  <c r="G9" i="4"/>
  <c r="G7" i="4"/>
  <c r="G4" i="4"/>
  <c r="H5" i="4"/>
  <c r="F7" i="4"/>
  <c r="I7" i="4"/>
  <c r="J7" i="4"/>
  <c r="J10" i="4"/>
  <c r="J12" i="4"/>
  <c r="G13" i="4"/>
  <c r="I13" i="4"/>
  <c r="F16" i="4"/>
  <c r="I16" i="4"/>
  <c r="J18" i="4"/>
  <c r="I20" i="4"/>
  <c r="J20" i="4"/>
  <c r="H21" i="4"/>
  <c r="E22" i="4"/>
  <c r="F22" i="4"/>
  <c r="H22" i="4"/>
  <c r="J24" i="4"/>
  <c r="F26" i="4"/>
  <c r="F27" i="4"/>
  <c r="E28" i="4"/>
  <c r="J28" i="4"/>
  <c r="I30" i="4"/>
  <c r="H30" i="4"/>
  <c r="F29" i="4"/>
  <c r="J15" i="4"/>
  <c r="J11" i="4"/>
  <c r="N8" i="4"/>
  <c r="L8" i="4"/>
  <c r="K8" i="4"/>
  <c r="F30" i="4"/>
  <c r="L4" i="4"/>
  <c r="L5" i="4"/>
  <c r="L6" i="4"/>
  <c r="L7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N4" i="4"/>
  <c r="N5" i="4"/>
  <c r="N6" i="4"/>
  <c r="N7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K4" i="4"/>
  <c r="K5" i="4"/>
  <c r="K6" i="4"/>
  <c r="K7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I5" i="4"/>
  <c r="G30" i="4"/>
  <c r="O3" i="4"/>
  <c r="N3" i="4"/>
  <c r="M3" i="4"/>
  <c r="K3" i="4"/>
  <c r="L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E27" i="4"/>
  <c r="E13" i="4"/>
  <c r="E5" i="4"/>
  <c r="E9" i="4"/>
  <c r="E12" i="4"/>
  <c r="E10" i="4"/>
  <c r="E16" i="4"/>
  <c r="E26" i="4"/>
  <c r="E33" i="4"/>
  <c r="BA6" i="2"/>
  <c r="BD14" i="2"/>
  <c r="N36" i="2"/>
  <c r="BB6" i="2"/>
  <c r="A7" i="2"/>
  <c r="BA7" i="2"/>
  <c r="AZ7" i="2"/>
  <c r="BB7" i="2"/>
  <c r="BC7" i="2"/>
  <c r="A8" i="2"/>
  <c r="BC8" i="2"/>
  <c r="A9" i="2"/>
  <c r="BB8" i="2"/>
  <c r="BA8" i="2"/>
  <c r="AZ8" i="2"/>
  <c r="BA9" i="2"/>
  <c r="AZ9" i="2"/>
  <c r="A10" i="2"/>
  <c r="BC9" i="2"/>
  <c r="BB9" i="2"/>
  <c r="BC10" i="2"/>
  <c r="A11" i="2"/>
  <c r="BB10" i="2"/>
  <c r="BA10" i="2"/>
  <c r="AZ10" i="2"/>
  <c r="AZ11" i="2"/>
  <c r="BC11" i="2"/>
  <c r="A12" i="2"/>
  <c r="BB11" i="2"/>
  <c r="BA11" i="2"/>
  <c r="BB12" i="2"/>
  <c r="BA12" i="2"/>
  <c r="AZ12" i="2"/>
  <c r="BC12" i="2"/>
  <c r="I5" i="2" l="1"/>
  <c r="M5" i="2" s="1"/>
  <c r="D36" i="2"/>
</calcChain>
</file>

<file path=xl/sharedStrings.xml><?xml version="1.0" encoding="utf-8"?>
<sst xmlns="http://schemas.openxmlformats.org/spreadsheetml/2006/main" count="207" uniqueCount="81">
  <si>
    <t>GAS CUCINA</t>
  </si>
  <si>
    <t xml:space="preserve">  H2O GENERALE</t>
  </si>
  <si>
    <t>H2O CONDIZION.ADD</t>
  </si>
  <si>
    <t>H2O ADD F CUC P</t>
  </si>
  <si>
    <t>H2O SANIT. CALDA</t>
  </si>
  <si>
    <t xml:space="preserve">  ENEL ATTIVA</t>
  </si>
  <si>
    <t>ENEL REATT.</t>
  </si>
  <si>
    <t>RICAVI</t>
  </si>
  <si>
    <t xml:space="preserve">REFRIGERATA </t>
  </si>
  <si>
    <t>lt/ G</t>
  </si>
  <si>
    <t>ACQUA GENER.</t>
  </si>
  <si>
    <t>ACQUA CONDIZ.</t>
  </si>
  <si>
    <t>ENERGIA</t>
  </si>
  <si>
    <t>Proiezione BA</t>
  </si>
  <si>
    <t>GG</t>
  </si>
  <si>
    <t>ORA</t>
  </si>
  <si>
    <t>NOTE</t>
  </si>
  <si>
    <t>LETTURA MC</t>
  </si>
  <si>
    <t>DIFF. G</t>
  </si>
  <si>
    <t>lett. BA</t>
  </si>
  <si>
    <t>GUESTS</t>
  </si>
  <si>
    <t>mcxcl</t>
  </si>
  <si>
    <t>LET. KWH*2200</t>
  </si>
  <si>
    <t>LET.KWT</t>
  </si>
  <si>
    <t>LET. KWH</t>
  </si>
  <si>
    <t>LET. KWH*80</t>
  </si>
  <si>
    <t>COVERS</t>
  </si>
  <si>
    <t>MIN</t>
  </si>
  <si>
    <t>MAX</t>
  </si>
  <si>
    <t>LAVANDERIA</t>
  </si>
  <si>
    <t xml:space="preserve">TOTALE </t>
  </si>
  <si>
    <t>CONSUMI</t>
  </si>
  <si>
    <t>BUDGET</t>
  </si>
  <si>
    <t>RIMECO 14</t>
  </si>
  <si>
    <t>RIMECO 15</t>
  </si>
  <si>
    <t>RIMECO 16</t>
  </si>
  <si>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</si>
  <si>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</si>
  <si>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</si>
  <si>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</si>
  <si>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</si>
  <si>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</si>
  <si>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</si>
  <si>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</si>
  <si>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 xml:space="preserve">Total Guests </t>
  </si>
  <si>
    <t>Milan</t>
  </si>
  <si>
    <t>GAS CUCINA (m3)</t>
  </si>
  <si>
    <t>H2O CONDIZION.ADD (m3)</t>
  </si>
  <si>
    <t>REINT. H2O ADD (m3)</t>
  </si>
  <si>
    <t>H2O ADD F CUC P (m3)</t>
  </si>
  <si>
    <t>H2O SANIT. CALDA (m3)</t>
  </si>
  <si>
    <t>ENEL CUC.PRINC. P (KWh)</t>
  </si>
  <si>
    <t>ENEL CUC.PRINC. N. (KWh)</t>
  </si>
  <si>
    <t>ENEL CUC.PREP. (KWh)</t>
  </si>
  <si>
    <t>ENEL CUC.VERANDA (KWh)</t>
  </si>
  <si>
    <t>GAS RISCALD.(m3)</t>
  </si>
  <si>
    <t xml:space="preserve">   ENEL LAVANDERIA (KWh)</t>
  </si>
  <si>
    <t>Electricity Tariff ($/Kwh)</t>
  </si>
  <si>
    <t>Natural Gas $/m3</t>
  </si>
  <si>
    <t>Water Utility Supply (m3) $/m3</t>
  </si>
  <si>
    <t>ENEL CUC.PRINC</t>
  </si>
  <si>
    <t xml:space="preserve">   GAS RISCALD.</t>
  </si>
  <si>
    <t xml:space="preserve">        GAS CUCINA</t>
  </si>
  <si>
    <t>REINT. H2O ADD rfrig</t>
  </si>
  <si>
    <t xml:space="preserve">    ENEL CUC.PRINC. P</t>
  </si>
  <si>
    <t xml:space="preserve"> ENEL CUC.PRINC. N.</t>
  </si>
  <si>
    <t>ENEL CUC.PREP.</t>
  </si>
  <si>
    <t xml:space="preserve">           ENEL CUC.VERANDA       </t>
  </si>
  <si>
    <t xml:space="preserve">              ENEL LAVANDERIA</t>
  </si>
  <si>
    <t xml:space="preserve">  TEMPER.GG.</t>
  </si>
  <si>
    <t>GAS RISCALDAM.</t>
  </si>
  <si>
    <t>ENEL CUC.VER.</t>
  </si>
  <si>
    <t>ENEL LAVAND.</t>
  </si>
  <si>
    <t>Consumo BA</t>
  </si>
  <si>
    <t>00:00</t>
  </si>
  <si>
    <t>00:30</t>
  </si>
  <si>
    <t xml:space="preserve">         MEDIA</t>
  </si>
  <si>
    <t>Chiusura linee condizionamento circa 60 camere per bassa occupazione COVID19</t>
  </si>
  <si>
    <t>Chiusura di altre 28 camere per bassa occupazione COVID 19</t>
  </si>
  <si>
    <t>Chiusura SPA fermo uta camerini e spogliatoi</t>
  </si>
  <si>
    <t>Chiusura cucina teatro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</si>
</sst>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9" formatCode="_-* #,##0_-;\-* #,##0_-;_-* &quot;-&quot;_-;_-@_-"/>
    <numFmt numFmtId="171" formatCode="_-* #,##0.00_-;\-* #,##0.00_-;_-* &quot;-&quot;??_-;_-@_-"/>
    <numFmt numFmtId="172" formatCode="_-* #,##0.000_-;\-* #,##0.000_-;_-* &quot;-&quot;_-;_-@_-"/>
    <numFmt numFmtId="173" formatCode="#,##0_ ;\-#,##0\ "/>
    <numFmt numFmtId="174" formatCode="_-* #,##0.00_-;\-* #,##0.00_-;_-* &quot;-&quot;_-;_-@_-"/>
    <numFmt numFmtId="175" formatCode="_-* #,##0.00000_-;\-* #,##0.00000_-;_-* &quot;-&quot;_-;_-@_-"/>
    <numFmt numFmtId="177" formatCode="#,##0.00_ ;\-#,##0.00\ "/>
    <numFmt numFmtId="178" formatCode="0.000"/>
    <numFmt numFmtId="179" formatCode="#,##0.000"/>
  </numFmts>
  <fonts count="2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sz val="12"/>
      <color indexed="17"/>
      <name val="Arial"/>
      <family val="2"/>
    </font>
    <font>
      <sz val="12"/>
      <color indexed="3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1"/>
      <color theme="3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9"/>
      <name val="Arial"/>
      <family val="2"/>
    </font>
    <font>
      <sz val="12"/>
      <color theme="9" tint="-0.249977111117893"/>
      <name val="Arial"/>
      <family val="2"/>
    </font>
    <font>
      <sz val="12"/>
      <color rgb="FFFF0000"/>
      <name val="Arial"/>
      <family val="2"/>
    </font>
    <font>
      <sz val="12"/>
      <color rgb="FF00B0F0"/>
      <name val="Arial"/>
      <family val="2"/>
    </font>
    <font>
      <sz val="12"/>
      <color theme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13"/>
        <bgColor indexed="64"/>
      </patternFill>
    </fill>
    <fill>
      <patternFill patternType="solid">
        <fgColor indexed="13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double">
        <color indexed="8"/>
      </bottom>
      <diagonal/>
    </border>
    <border>
      <left style="double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double">
        <color indexed="8"/>
      </left>
      <right style="thin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64"/>
      </top>
      <bottom/>
      <diagonal/>
    </border>
    <border>
      <left style="medium">
        <color indexed="8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9" fontId="8" fillId="0" borderId="0" applyFont="0" applyFill="0" applyBorder="0" applyAlignment="0" applyProtection="0"/>
  </cellStyleXfs>
  <cellXfs count="145">
    <xf numFmtId="0" fontId="0" fillId="0" borderId="0" xfId="0"/>
    <xf numFmtId="169" fontId="1" fillId="0" borderId="0" xfId="1" applyFont="1"/>
    <xf numFmtId="169" fontId="2" fillId="0" borderId="0" xfId="1" applyFont="1"/>
    <xf numFmtId="169" fontId="2" fillId="3" borderId="1" xfId="1" applyFont="1" applyFill="1" applyBorder="1" applyAlignment="1" applyProtection="1">
      <alignment horizontal="left"/>
    </xf>
    <xf numFmtId="169" fontId="2" fillId="3" borderId="2" xfId="1" applyFont="1" applyFill="1" applyBorder="1" applyAlignment="1" applyProtection="1">
      <alignment horizontal="left"/>
    </xf>
    <xf numFmtId="169" fontId="4" fillId="3" borderId="3" xfId="1" applyFont="1" applyFill="1" applyBorder="1" applyAlignment="1" applyProtection="1">
      <alignment horizontal="left"/>
    </xf>
    <xf numFmtId="169" fontId="5" fillId="0" borderId="4" xfId="1" applyFont="1" applyBorder="1" applyProtection="1"/>
    <xf numFmtId="169" fontId="3" fillId="0" borderId="4" xfId="1" applyFont="1" applyBorder="1" applyProtection="1"/>
    <xf numFmtId="169" fontId="1" fillId="0" borderId="4" xfId="1" applyFont="1" applyBorder="1" applyProtection="1"/>
    <xf numFmtId="3" fontId="1" fillId="0" borderId="4" xfId="1" applyNumberFormat="1" applyFont="1" applyBorder="1" applyProtection="1"/>
    <xf numFmtId="169" fontId="1" fillId="0" borderId="4" xfId="1" applyFont="1" applyBorder="1" applyAlignment="1" applyProtection="1">
      <alignment horizontal="left"/>
    </xf>
    <xf numFmtId="172" fontId="6" fillId="0" borderId="4" xfId="1" applyNumberFormat="1" applyFont="1" applyBorder="1" applyProtection="1"/>
    <xf numFmtId="3" fontId="5" fillId="0" borderId="4" xfId="1" applyNumberFormat="1" applyFont="1" applyBorder="1" applyProtection="1"/>
    <xf numFmtId="174" fontId="5" fillId="0" borderId="4" xfId="1" applyNumberFormat="1" applyFont="1" applyBorder="1" applyProtection="1"/>
    <xf numFmtId="169" fontId="5" fillId="0" borderId="4" xfId="1" applyFont="1" applyFill="1" applyBorder="1" applyProtection="1"/>
    <xf numFmtId="169" fontId="1" fillId="0" borderId="5" xfId="1" applyFont="1" applyBorder="1" applyProtection="1"/>
    <xf numFmtId="169" fontId="1" fillId="0" borderId="6" xfId="1" applyFont="1" applyBorder="1" applyProtection="1"/>
    <xf numFmtId="169" fontId="1" fillId="0" borderId="7" xfId="1" applyFont="1" applyBorder="1"/>
    <xf numFmtId="169" fontId="2" fillId="0" borderId="8" xfId="1" applyFont="1" applyBorder="1" applyProtection="1"/>
    <xf numFmtId="169" fontId="2" fillId="0" borderId="9" xfId="1" applyFont="1" applyBorder="1" applyProtection="1"/>
    <xf numFmtId="169" fontId="2" fillId="0" borderId="0" xfId="1" applyFont="1" applyBorder="1" applyProtection="1"/>
    <xf numFmtId="169" fontId="1" fillId="2" borderId="10" xfId="1" applyFont="1" applyFill="1" applyBorder="1"/>
    <xf numFmtId="169" fontId="1" fillId="0" borderId="10" xfId="1" applyFont="1" applyBorder="1"/>
    <xf numFmtId="169" fontId="1" fillId="0" borderId="1" xfId="1" applyFont="1" applyBorder="1"/>
    <xf numFmtId="169" fontId="2" fillId="5" borderId="11" xfId="1" applyFont="1" applyFill="1" applyBorder="1"/>
    <xf numFmtId="169" fontId="2" fillId="0" borderId="0" xfId="1" applyFont="1" applyAlignment="1" applyProtection="1">
      <alignment horizontal="center"/>
    </xf>
    <xf numFmtId="174" fontId="2" fillId="0" borderId="0" xfId="1" applyNumberFormat="1" applyFont="1" applyBorder="1" applyProtection="1"/>
    <xf numFmtId="174" fontId="1" fillId="0" borderId="0" xfId="1" applyNumberFormat="1" applyFont="1"/>
    <xf numFmtId="169" fontId="2" fillId="0" borderId="12" xfId="1" applyFont="1" applyBorder="1"/>
    <xf numFmtId="169" fontId="2" fillId="0" borderId="12" xfId="1" applyFont="1" applyBorder="1" applyProtection="1"/>
    <xf numFmtId="169" fontId="1" fillId="0" borderId="0" xfId="1" applyNumberFormat="1" applyFont="1"/>
    <xf numFmtId="1" fontId="0" fillId="0" borderId="0" xfId="0" applyNumberFormat="1"/>
    <xf numFmtId="1" fontId="9" fillId="0" borderId="0" xfId="0" applyNumberFormat="1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wrapText="1"/>
    </xf>
    <xf numFmtId="0" fontId="9" fillId="0" borderId="0" xfId="0" applyFont="1"/>
    <xf numFmtId="1" fontId="9" fillId="0" borderId="0" xfId="0" applyNumberFormat="1" applyFont="1" applyAlignment="1">
      <alignment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169" fontId="1" fillId="0" borderId="13" xfId="1" applyFont="1" applyBorder="1" applyProtection="1"/>
    <xf numFmtId="1" fontId="11" fillId="0" borderId="0" xfId="0" applyNumberFormat="1" applyFont="1"/>
    <xf numFmtId="1" fontId="14" fillId="0" borderId="0" xfId="0" applyNumberFormat="1" applyFont="1" applyAlignment="1">
      <alignment wrapText="1"/>
    </xf>
    <xf numFmtId="1" fontId="13" fillId="0" borderId="0" xfId="0" applyNumberFormat="1" applyFont="1"/>
    <xf numFmtId="1" fontId="10" fillId="0" borderId="0" xfId="0" applyNumberFormat="1" applyFont="1"/>
    <xf numFmtId="169" fontId="1" fillId="3" borderId="14" xfId="1" applyFont="1" applyFill="1" applyBorder="1" applyAlignment="1">
      <alignment horizontal="center" vertical="center" wrapText="1"/>
    </xf>
    <xf numFmtId="169" fontId="1" fillId="3" borderId="15" xfId="1" applyFont="1" applyFill="1" applyBorder="1" applyAlignment="1">
      <alignment horizontal="center" vertical="center" wrapText="1"/>
    </xf>
    <xf numFmtId="169" fontId="1" fillId="3" borderId="16" xfId="1" applyFont="1" applyFill="1" applyBorder="1" applyAlignment="1">
      <alignment horizontal="center" vertical="center" wrapText="1"/>
    </xf>
    <xf numFmtId="169" fontId="1" fillId="0" borderId="0" xfId="1" applyFont="1" applyBorder="1"/>
    <xf numFmtId="169" fontId="1" fillId="0" borderId="0" xfId="1" applyFont="1" applyBorder="1" applyAlignment="1">
      <alignment horizontal="center" vertical="center" wrapText="1"/>
    </xf>
    <xf numFmtId="169" fontId="2" fillId="3" borderId="1" xfId="1" applyFont="1" applyFill="1" applyBorder="1" applyAlignment="1" applyProtection="1">
      <alignment horizontal="center" vertical="center" wrapText="1"/>
    </xf>
    <xf numFmtId="169" fontId="2" fillId="3" borderId="1" xfId="1" applyFont="1" applyFill="1" applyBorder="1" applyAlignment="1" applyProtection="1">
      <alignment horizontal="left" vertical="center"/>
    </xf>
    <xf numFmtId="169" fontId="2" fillId="3" borderId="10" xfId="1" applyFont="1" applyFill="1" applyBorder="1" applyAlignment="1">
      <alignment horizontal="center" vertical="center" wrapText="1"/>
    </xf>
    <xf numFmtId="169" fontId="15" fillId="0" borderId="4" xfId="1" applyFont="1" applyBorder="1" applyProtection="1"/>
    <xf numFmtId="3" fontId="1" fillId="0" borderId="1" xfId="1" applyNumberFormat="1" applyFont="1" applyBorder="1" applyProtection="1"/>
    <xf numFmtId="169" fontId="2" fillId="4" borderId="17" xfId="1" applyFont="1" applyFill="1" applyBorder="1" applyAlignment="1" applyProtection="1">
      <alignment horizontal="right"/>
    </xf>
    <xf numFmtId="169" fontId="2" fillId="0" borderId="0" xfId="1" applyFont="1" applyBorder="1" applyAlignment="1" applyProtection="1">
      <alignment horizontal="left"/>
    </xf>
    <xf numFmtId="169" fontId="2" fillId="0" borderId="18" xfId="1" applyFont="1" applyBorder="1" applyProtection="1"/>
    <xf numFmtId="169" fontId="1" fillId="2" borderId="0" xfId="1" applyFont="1" applyFill="1" applyBorder="1"/>
    <xf numFmtId="169" fontId="1" fillId="0" borderId="0" xfId="1" applyFont="1" applyBorder="1" applyProtection="1"/>
    <xf numFmtId="174" fontId="2" fillId="0" borderId="0" xfId="1" applyNumberFormat="1" applyFont="1"/>
    <xf numFmtId="169" fontId="2" fillId="0" borderId="11" xfId="1" applyFont="1" applyFill="1" applyBorder="1"/>
    <xf numFmtId="169" fontId="2" fillId="4" borderId="19" xfId="1" applyFont="1" applyFill="1" applyBorder="1" applyProtection="1"/>
    <xf numFmtId="4" fontId="1" fillId="0" borderId="4" xfId="1" quotePrefix="1" applyNumberFormat="1" applyFont="1" applyBorder="1" applyAlignment="1" applyProtection="1">
      <alignment horizontal="left"/>
    </xf>
    <xf numFmtId="177" fontId="5" fillId="0" borderId="4" xfId="1" applyNumberFormat="1" applyFont="1" applyBorder="1" applyProtection="1"/>
    <xf numFmtId="178" fontId="5" fillId="0" borderId="20" xfId="1" applyNumberFormat="1" applyFont="1" applyBorder="1" applyProtection="1"/>
    <xf numFmtId="169" fontId="2" fillId="4" borderId="5" xfId="1" applyFont="1" applyFill="1" applyBorder="1" applyAlignment="1" applyProtection="1"/>
    <xf numFmtId="169" fontId="5" fillId="0" borderId="21" xfId="1" applyFont="1" applyBorder="1" applyProtection="1"/>
    <xf numFmtId="174" fontId="5" fillId="0" borderId="21" xfId="1" applyNumberFormat="1" applyFont="1" applyBorder="1" applyProtection="1"/>
    <xf numFmtId="169" fontId="5" fillId="0" borderId="22" xfId="1" applyFont="1" applyBorder="1" applyProtection="1"/>
    <xf numFmtId="169" fontId="2" fillId="0" borderId="0" xfId="1" applyFont="1" applyAlignment="1" applyProtection="1">
      <alignment horizontal="left"/>
    </xf>
    <xf numFmtId="169" fontId="2" fillId="0" borderId="23" xfId="1" applyFont="1" applyBorder="1" applyProtection="1"/>
    <xf numFmtId="169" fontId="1" fillId="3" borderId="19" xfId="1" applyFont="1" applyFill="1" applyBorder="1"/>
    <xf numFmtId="169" fontId="5" fillId="0" borderId="21" xfId="1" applyFont="1" applyFill="1" applyBorder="1" applyProtection="1"/>
    <xf numFmtId="172" fontId="5" fillId="0" borderId="24" xfId="1" applyNumberFormat="1" applyFont="1" applyBorder="1" applyProtection="1"/>
    <xf numFmtId="169" fontId="5" fillId="0" borderId="5" xfId="1" applyFont="1" applyBorder="1" applyProtection="1"/>
    <xf numFmtId="169" fontId="5" fillId="0" borderId="6" xfId="1" applyFont="1" applyBorder="1" applyProtection="1"/>
    <xf numFmtId="169" fontId="3" fillId="0" borderId="6" xfId="1" applyFont="1" applyFill="1" applyBorder="1"/>
    <xf numFmtId="169" fontId="16" fillId="0" borderId="4" xfId="1" applyFont="1" applyBorder="1" applyProtection="1"/>
    <xf numFmtId="169" fontId="7" fillId="0" borderId="4" xfId="1" applyFont="1" applyBorder="1" applyProtection="1"/>
    <xf numFmtId="169" fontId="5" fillId="0" borderId="4" xfId="1" applyNumberFormat="1" applyFont="1" applyBorder="1" applyProtection="1"/>
    <xf numFmtId="169" fontId="3" fillId="0" borderId="21" xfId="1" applyFont="1" applyFill="1" applyBorder="1" applyProtection="1"/>
    <xf numFmtId="179" fontId="5" fillId="0" borderId="4" xfId="1" applyNumberFormat="1" applyFont="1" applyBorder="1" applyProtection="1"/>
    <xf numFmtId="169" fontId="3" fillId="0" borderId="5" xfId="1" applyFont="1" applyFill="1" applyBorder="1" applyProtection="1"/>
    <xf numFmtId="173" fontId="5" fillId="0" borderId="4" xfId="1" applyNumberFormat="1" applyFont="1" applyFill="1" applyBorder="1" applyProtection="1"/>
    <xf numFmtId="169" fontId="1" fillId="4" borderId="19" xfId="1" applyFont="1" applyFill="1" applyBorder="1" applyProtection="1"/>
    <xf numFmtId="169" fontId="16" fillId="0" borderId="25" xfId="1" applyFont="1" applyBorder="1" applyProtection="1"/>
    <xf numFmtId="169" fontId="5" fillId="6" borderId="4" xfId="1" applyFont="1" applyFill="1" applyBorder="1" applyProtection="1"/>
    <xf numFmtId="171" fontId="5" fillId="0" borderId="4" xfId="1" applyNumberFormat="1" applyFont="1" applyBorder="1" applyProtection="1"/>
    <xf numFmtId="1" fontId="5" fillId="0" borderId="4" xfId="1" applyNumberFormat="1" applyFont="1" applyFill="1" applyBorder="1" applyProtection="1"/>
    <xf numFmtId="169" fontId="1" fillId="4" borderId="5" xfId="1" applyFont="1" applyFill="1" applyBorder="1" applyProtection="1"/>
    <xf numFmtId="175" fontId="5" fillId="0" borderId="20" xfId="1" applyNumberFormat="1" applyFont="1" applyBorder="1" applyProtection="1"/>
    <xf numFmtId="171" fontId="5" fillId="0" borderId="4" xfId="1" applyNumberFormat="1" applyFont="1" applyFill="1" applyBorder="1" applyProtection="1"/>
    <xf numFmtId="169" fontId="17" fillId="0" borderId="4" xfId="1" applyFont="1" applyBorder="1" applyProtection="1"/>
    <xf numFmtId="169" fontId="18" fillId="0" borderId="25" xfId="1" applyFont="1" applyBorder="1" applyProtection="1"/>
    <xf numFmtId="1" fontId="5" fillId="0" borderId="4" xfId="1" applyNumberFormat="1" applyFont="1" applyFill="1" applyBorder="1"/>
    <xf numFmtId="169" fontId="5" fillId="0" borderId="4" xfId="1" applyFont="1" applyFill="1" applyBorder="1"/>
    <xf numFmtId="172" fontId="5" fillId="0" borderId="4" xfId="1" applyNumberFormat="1" applyFont="1" applyBorder="1" applyProtection="1"/>
    <xf numFmtId="169" fontId="2" fillId="4" borderId="5" xfId="1" applyFont="1" applyFill="1" applyBorder="1" applyProtection="1"/>
    <xf numFmtId="169" fontId="19" fillId="0" borderId="5" xfId="1" applyFont="1" applyBorder="1" applyProtection="1"/>
    <xf numFmtId="169" fontId="1" fillId="0" borderId="26" xfId="1" applyFont="1" applyBorder="1" applyProtection="1"/>
    <xf numFmtId="169" fontId="3" fillId="0" borderId="6" xfId="1" applyFont="1" applyBorder="1" applyProtection="1"/>
    <xf numFmtId="169" fontId="2" fillId="0" borderId="11" xfId="1" applyFont="1" applyBorder="1"/>
    <xf numFmtId="169" fontId="2" fillId="0" borderId="27" xfId="1" applyFont="1" applyBorder="1" applyProtection="1"/>
    <xf numFmtId="169" fontId="1" fillId="0" borderId="28" xfId="1" applyFont="1" applyBorder="1"/>
    <xf numFmtId="169" fontId="1" fillId="0" borderId="29" xfId="1" applyFont="1" applyBorder="1"/>
    <xf numFmtId="169" fontId="2" fillId="5" borderId="44" xfId="1" applyFont="1" applyFill="1" applyBorder="1" applyAlignment="1">
      <alignment horizontal="center"/>
    </xf>
    <xf numFmtId="169" fontId="2" fillId="5" borderId="45" xfId="1" applyFont="1" applyFill="1" applyBorder="1" applyAlignment="1">
      <alignment horizontal="center"/>
    </xf>
    <xf numFmtId="169" fontId="2" fillId="5" borderId="46" xfId="1" applyFont="1" applyFill="1" applyBorder="1" applyAlignment="1">
      <alignment horizontal="center"/>
    </xf>
    <xf numFmtId="169" fontId="2" fillId="0" borderId="33" xfId="1" applyFont="1" applyBorder="1" applyAlignment="1">
      <alignment horizontal="center"/>
    </xf>
    <xf numFmtId="169" fontId="2" fillId="3" borderId="30" xfId="1" applyFont="1" applyFill="1" applyBorder="1" applyAlignment="1" applyProtection="1">
      <alignment horizontal="center" vertical="center" wrapText="1"/>
    </xf>
    <xf numFmtId="169" fontId="2" fillId="3" borderId="32" xfId="1" applyFont="1" applyFill="1" applyBorder="1" applyAlignment="1" applyProtection="1">
      <alignment horizontal="center" vertical="center" wrapText="1"/>
    </xf>
    <xf numFmtId="169" fontId="2" fillId="3" borderId="31" xfId="1" applyFont="1" applyFill="1" applyBorder="1" applyAlignment="1" applyProtection="1">
      <alignment horizontal="center" vertical="center" wrapText="1"/>
    </xf>
    <xf numFmtId="169" fontId="2" fillId="3" borderId="14" xfId="1" applyFont="1" applyFill="1" applyBorder="1" applyAlignment="1" applyProtection="1">
      <alignment horizontal="center" vertical="center" wrapText="1"/>
    </xf>
    <xf numFmtId="169" fontId="2" fillId="3" borderId="33" xfId="1" applyFont="1" applyFill="1" applyBorder="1" applyAlignment="1" applyProtection="1">
      <alignment horizontal="center" vertical="center" wrapText="1"/>
    </xf>
    <xf numFmtId="169" fontId="2" fillId="3" borderId="34" xfId="1" applyFont="1" applyFill="1" applyBorder="1" applyAlignment="1" applyProtection="1">
      <alignment horizontal="center" vertical="center" wrapText="1"/>
    </xf>
    <xf numFmtId="169" fontId="2" fillId="3" borderId="15" xfId="1" applyFont="1" applyFill="1" applyBorder="1" applyAlignment="1" applyProtection="1">
      <alignment horizontal="center" vertical="center" wrapText="1"/>
    </xf>
    <xf numFmtId="169" fontId="2" fillId="3" borderId="18" xfId="1" applyFont="1" applyFill="1" applyBorder="1" applyAlignment="1" applyProtection="1">
      <alignment horizontal="center" vertical="center" wrapText="1"/>
    </xf>
    <xf numFmtId="169" fontId="2" fillId="3" borderId="35" xfId="1" applyFont="1" applyFill="1" applyBorder="1" applyAlignment="1" applyProtection="1">
      <alignment horizontal="center" vertical="center" wrapText="1"/>
    </xf>
    <xf numFmtId="169" fontId="2" fillId="3" borderId="30" xfId="1" applyFont="1" applyFill="1" applyBorder="1" applyAlignment="1">
      <alignment horizontal="center" vertical="center" wrapText="1"/>
    </xf>
    <xf numFmtId="169" fontId="2" fillId="3" borderId="31" xfId="1" applyFont="1" applyFill="1" applyBorder="1" applyAlignment="1">
      <alignment horizontal="center" vertical="center" wrapText="1"/>
    </xf>
    <xf numFmtId="4" fontId="2" fillId="3" borderId="30" xfId="1" applyNumberFormat="1" applyFont="1" applyFill="1" applyBorder="1" applyAlignment="1">
      <alignment horizontal="center" vertical="center" wrapText="1"/>
    </xf>
    <xf numFmtId="4" fontId="2" fillId="3" borderId="31" xfId="1" applyNumberFormat="1" applyFont="1" applyFill="1" applyBorder="1" applyAlignment="1">
      <alignment horizontal="center" vertical="center" wrapText="1"/>
    </xf>
    <xf numFmtId="169" fontId="2" fillId="3" borderId="36" xfId="1" applyFont="1" applyFill="1" applyBorder="1" applyAlignment="1">
      <alignment horizontal="center" vertical="center" wrapText="1"/>
    </xf>
    <xf numFmtId="169" fontId="2" fillId="3" borderId="37" xfId="1" applyFont="1" applyFill="1" applyBorder="1" applyAlignment="1">
      <alignment horizontal="center" vertical="center" wrapText="1"/>
    </xf>
    <xf numFmtId="169" fontId="1" fillId="3" borderId="14" xfId="1" applyFont="1" applyFill="1" applyBorder="1" applyAlignment="1">
      <alignment horizontal="center" vertical="center" wrapText="1"/>
    </xf>
    <xf numFmtId="169" fontId="1" fillId="3" borderId="33" xfId="1" applyFont="1" applyFill="1" applyBorder="1" applyAlignment="1">
      <alignment horizontal="center" vertical="center" wrapText="1"/>
    </xf>
    <xf numFmtId="169" fontId="1" fillId="3" borderId="34" xfId="1" applyFont="1" applyFill="1" applyBorder="1" applyAlignment="1">
      <alignment horizontal="center" vertical="center" wrapText="1"/>
    </xf>
    <xf numFmtId="169" fontId="1" fillId="3" borderId="15" xfId="1" applyFont="1" applyFill="1" applyBorder="1" applyAlignment="1">
      <alignment horizontal="center" vertical="center" wrapText="1"/>
    </xf>
    <xf numFmtId="169" fontId="1" fillId="3" borderId="18" xfId="1" applyFont="1" applyFill="1" applyBorder="1" applyAlignment="1">
      <alignment horizontal="center" vertical="center" wrapText="1"/>
    </xf>
    <xf numFmtId="169" fontId="1" fillId="3" borderId="35" xfId="1" applyFont="1" applyFill="1" applyBorder="1" applyAlignment="1">
      <alignment horizontal="center" vertical="center" wrapText="1"/>
    </xf>
    <xf numFmtId="169" fontId="2" fillId="3" borderId="38" xfId="1" applyFont="1" applyFill="1" applyBorder="1" applyAlignment="1" applyProtection="1">
      <alignment horizontal="center" vertical="center" wrapText="1"/>
    </xf>
    <xf numFmtId="169" fontId="2" fillId="3" borderId="39" xfId="1" applyFont="1" applyFill="1" applyBorder="1" applyAlignment="1" applyProtection="1">
      <alignment horizontal="center" vertical="center" wrapText="1"/>
    </xf>
    <xf numFmtId="169" fontId="2" fillId="3" borderId="40" xfId="1" applyFont="1" applyFill="1" applyBorder="1" applyAlignment="1" applyProtection="1">
      <alignment horizontal="center" vertical="center" wrapText="1"/>
    </xf>
    <xf numFmtId="169" fontId="2" fillId="3" borderId="16" xfId="1" applyFont="1" applyFill="1" applyBorder="1" applyAlignment="1" applyProtection="1">
      <alignment horizontal="center" vertical="center" wrapText="1"/>
    </xf>
    <xf numFmtId="169" fontId="2" fillId="3" borderId="0" xfId="1" applyFont="1" applyFill="1" applyBorder="1" applyAlignment="1" applyProtection="1">
      <alignment horizontal="center" vertical="center" wrapText="1"/>
    </xf>
    <xf numFmtId="169" fontId="2" fillId="3" borderId="41" xfId="1" applyFont="1" applyFill="1" applyBorder="1" applyAlignment="1" applyProtection="1">
      <alignment horizontal="center" vertical="center" wrapText="1"/>
    </xf>
    <xf numFmtId="169" fontId="2" fillId="3" borderId="42" xfId="1" applyFont="1" applyFill="1" applyBorder="1" applyAlignment="1" applyProtection="1">
      <alignment horizontal="center" vertical="center" wrapText="1"/>
    </xf>
    <xf numFmtId="169" fontId="2" fillId="3" borderId="43" xfId="1" applyFont="1" applyFill="1" applyBorder="1" applyAlignment="1" applyProtection="1">
      <alignment horizontal="center" vertical="center" wrapText="1"/>
    </xf>
    <xf numFmtId="169" fontId="2" fillId="3" borderId="14" xfId="1" applyFont="1" applyFill="1" applyBorder="1" applyAlignment="1">
      <alignment horizontal="center" vertical="center" wrapText="1"/>
    </xf>
    <xf numFmtId="169" fontId="2" fillId="3" borderId="34" xfId="1" applyFont="1" applyFill="1" applyBorder="1" applyAlignment="1">
      <alignment horizontal="center" vertical="center" wrapText="1"/>
    </xf>
    <xf numFmtId="169" fontId="2" fillId="3" borderId="15" xfId="1" applyFont="1" applyFill="1" applyBorder="1" applyAlignment="1">
      <alignment horizontal="center" vertical="center" wrapText="1"/>
    </xf>
    <xf numFmtId="169" fontId="2" fillId="3" borderId="35" xfId="1" applyFont="1" applyFill="1" applyBorder="1" applyAlignment="1">
      <alignment horizontal="center" vertical="center" wrapText="1"/>
    </xf>
    <xf numFmtId="4" fontId="2" fillId="3" borderId="30" xfId="1" applyNumberFormat="1" applyFont="1" applyFill="1" applyBorder="1" applyAlignment="1" applyProtection="1">
      <alignment horizontal="center" vertical="center" wrapText="1"/>
    </xf>
    <xf numFmtId="4" fontId="2" fillId="3" borderId="31" xfId="1" applyNumberFormat="1" applyFont="1" applyFill="1" applyBorder="1" applyAlignment="1" applyProtection="1">
      <alignment horizontal="center" vertic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NSUMI\CONS_GIORN\Consumi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 "/>
      <sheetName val="August"/>
      <sheetName val="September"/>
      <sheetName val="October"/>
      <sheetName val="November"/>
      <sheetName val="December"/>
      <sheetName val="Forecast"/>
    </sheetNames>
    <sheetDataSet>
      <sheetData sheetId="0">
        <row r="33">
          <cell r="D33">
            <v>43211</v>
          </cell>
        </row>
      </sheetData>
      <sheetData sheetId="1">
        <row r="33">
          <cell r="F33">
            <v>6634</v>
          </cell>
          <cell r="N33">
            <v>87313</v>
          </cell>
          <cell r="P33">
            <v>79200</v>
          </cell>
          <cell r="R33">
            <v>14334</v>
          </cell>
          <cell r="T33">
            <v>169434</v>
          </cell>
          <cell r="X33">
            <v>11854.8</v>
          </cell>
          <cell r="AA33">
            <v>2577.4</v>
          </cell>
        </row>
        <row r="39">
          <cell r="D39">
            <v>54972</v>
          </cell>
          <cell r="V39">
            <v>1199.451</v>
          </cell>
          <cell r="Y39">
            <v>225.33199999999999</v>
          </cell>
          <cell r="AB39">
            <v>1570021.17</v>
          </cell>
          <cell r="AE39">
            <v>297092</v>
          </cell>
          <cell r="AH39">
            <v>32300</v>
          </cell>
          <cell r="AL39">
            <v>2045278</v>
          </cell>
          <cell r="AP39">
            <v>45176.800000000003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zoomScale="130" zoomScaleNormal="130" workbookViewId="0">
      <selection activeCell="I2" sqref="I2"/>
    </sheetView>
  </sheetViews>
  <sheetFormatPr defaultColWidth="11.5703125" defaultRowHeight="15" x14ac:dyDescent="0.25"/>
  <cols>
    <col min="4" max="4" width="13.42578125" customWidth="1"/>
    <col min="5" max="5" width="13" style="44" customWidth="1"/>
    <col min="6" max="6" width="12.5703125" customWidth="1"/>
    <col min="7" max="7" width="13" style="31" customWidth="1"/>
  </cols>
  <sheetData>
    <row r="1" spans="1:12" s="35" customFormat="1" ht="60" x14ac:dyDescent="0.25">
      <c r="A1" s="35" t="s">
        <v>36</v>
      </c>
      <c r="B1" s="35" t="s">
        <v>37</v>
      </c>
      <c r="C1" s="35" t="s">
        <v>38</v>
      </c>
      <c r="D1" s="35" t="s">
        <v>39</v>
      </c>
      <c r="E1" s="42" t="s">
        <v>40</v>
      </c>
      <c r="F1" s="34" t="s">
        <v>57</v>
      </c>
      <c r="G1" s="36" t="s">
        <v>41</v>
      </c>
      <c r="H1" s="34" t="s">
        <v>58</v>
      </c>
      <c r="I1" s="34" t="s">
        <v>42</v>
      </c>
      <c r="J1" s="34" t="s">
        <v>59</v>
      </c>
      <c r="K1" s="34" t="s">
        <v>43</v>
      </c>
      <c r="L1" s="34" t="s">
        <v>44</v>
      </c>
    </row>
    <row r="2" spans="1:12" s="37" customFormat="1" ht="12.75" x14ac:dyDescent="0.2">
      <c r="A2" s="37" t="s">
        <v>45</v>
      </c>
      <c r="B2" s="37">
        <v>1</v>
      </c>
      <c r="C2" s="39">
        <v>3</v>
      </c>
      <c r="D2" s="37">
        <v>2020</v>
      </c>
      <c r="E2" s="43">
        <f>'Hotel Data'!X5</f>
        <v>8522</v>
      </c>
      <c r="F2" s="37">
        <v>0.1431</v>
      </c>
      <c r="G2" s="41">
        <f>'Hotel Data'!E5</f>
        <v>454</v>
      </c>
      <c r="H2" s="37">
        <v>0.4279</v>
      </c>
      <c r="I2" s="41">
        <f>'Hotel Data'!K5</f>
        <v>76</v>
      </c>
      <c r="J2" s="37">
        <v>0.98</v>
      </c>
      <c r="K2" s="37">
        <v>4</v>
      </c>
      <c r="L2" s="37">
        <v>8</v>
      </c>
    </row>
    <row r="3" spans="1:12" s="38" customFormat="1" x14ac:dyDescent="0.25">
      <c r="A3" s="38" t="s">
        <v>45</v>
      </c>
      <c r="B3" s="38">
        <f>B2+1</f>
        <v>2</v>
      </c>
      <c r="C3" s="39">
        <v>3</v>
      </c>
      <c r="D3" s="37">
        <v>2020</v>
      </c>
      <c r="E3" s="43">
        <f>'Hotel Data'!X6</f>
        <v>8470</v>
      </c>
      <c r="F3" s="37">
        <v>0.1431</v>
      </c>
      <c r="G3" s="41">
        <f>'Hotel Data'!E6</f>
        <v>680</v>
      </c>
      <c r="H3" s="37">
        <v>0.4279</v>
      </c>
      <c r="I3" s="41">
        <f>'Hotel Data'!K6</f>
        <v>84</v>
      </c>
      <c r="J3" s="37">
        <v>0.98</v>
      </c>
      <c r="K3" s="37">
        <v>2</v>
      </c>
      <c r="L3" s="37">
        <v>4</v>
      </c>
    </row>
    <row r="4" spans="1:12" s="38" customFormat="1" x14ac:dyDescent="0.25">
      <c r="A4" s="38" t="s">
        <v>45</v>
      </c>
      <c r="B4" s="38">
        <f t="shared" ref="B4:B32" si="0">B3+1</f>
        <v>3</v>
      </c>
      <c r="C4" s="39">
        <v>3</v>
      </c>
      <c r="D4" s="37">
        <v>2020</v>
      </c>
      <c r="E4" s="43">
        <f>'Hotel Data'!X7</f>
        <v>8399.2000000000007</v>
      </c>
      <c r="F4" s="37">
        <v>0.1431</v>
      </c>
      <c r="G4" s="41">
        <f>'Hotel Data'!E7</f>
        <v>431</v>
      </c>
      <c r="H4" s="37">
        <v>0.4279</v>
      </c>
      <c r="I4" s="41">
        <f>'Hotel Data'!K7</f>
        <v>64</v>
      </c>
      <c r="J4" s="37">
        <v>0.98</v>
      </c>
      <c r="K4" s="37">
        <v>2</v>
      </c>
      <c r="L4" s="37">
        <v>4</v>
      </c>
    </row>
    <row r="5" spans="1:12" s="38" customFormat="1" x14ac:dyDescent="0.25">
      <c r="A5" s="38" t="s">
        <v>45</v>
      </c>
      <c r="B5" s="38">
        <f t="shared" si="0"/>
        <v>4</v>
      </c>
      <c r="C5" s="39">
        <v>3</v>
      </c>
      <c r="D5" s="37">
        <v>2020</v>
      </c>
      <c r="E5" s="43">
        <f>'Hotel Data'!X8</f>
        <v>8430.7999999999993</v>
      </c>
      <c r="F5" s="37">
        <v>0.1431</v>
      </c>
      <c r="G5" s="41">
        <f>'Hotel Data'!E8</f>
        <v>311</v>
      </c>
      <c r="H5" s="37">
        <v>0.4279</v>
      </c>
      <c r="I5" s="41">
        <f>'Hotel Data'!K8</f>
        <v>50</v>
      </c>
      <c r="J5" s="37">
        <v>0.98</v>
      </c>
      <c r="K5" s="37">
        <v>3</v>
      </c>
      <c r="L5" s="37">
        <v>5</v>
      </c>
    </row>
    <row r="6" spans="1:12" s="38" customFormat="1" x14ac:dyDescent="0.25">
      <c r="A6" s="38" t="s">
        <v>45</v>
      </c>
      <c r="B6" s="38">
        <f t="shared" si="0"/>
        <v>5</v>
      </c>
      <c r="C6" s="39">
        <v>3</v>
      </c>
      <c r="D6" s="37">
        <v>2020</v>
      </c>
      <c r="E6" s="43">
        <f>'Hotel Data'!X9</f>
        <v>7467.6</v>
      </c>
      <c r="F6" s="37">
        <v>0.1431</v>
      </c>
      <c r="G6" s="41">
        <f>'Hotel Data'!E9</f>
        <v>454</v>
      </c>
      <c r="H6" s="37">
        <v>0.4279</v>
      </c>
      <c r="I6" s="41">
        <f>'Hotel Data'!K9</f>
        <v>48</v>
      </c>
      <c r="J6" s="37">
        <v>0.98</v>
      </c>
      <c r="K6" s="37">
        <v>3</v>
      </c>
      <c r="L6" s="37">
        <v>4</v>
      </c>
    </row>
    <row r="7" spans="1:12" s="38" customFormat="1" x14ac:dyDescent="0.25">
      <c r="A7" s="38" t="s">
        <v>45</v>
      </c>
      <c r="B7" s="38">
        <f t="shared" si="0"/>
        <v>6</v>
      </c>
      <c r="C7" s="39">
        <v>3</v>
      </c>
      <c r="D7" s="37">
        <v>2020</v>
      </c>
      <c r="E7" s="43">
        <f>'Hotel Data'!X10</f>
        <v>7544.2</v>
      </c>
      <c r="F7" s="37">
        <v>0.1431</v>
      </c>
      <c r="G7" s="41">
        <f>'Hotel Data'!E10</f>
        <v>541</v>
      </c>
      <c r="H7" s="37">
        <v>0.4279</v>
      </c>
      <c r="I7" s="41">
        <f>'Hotel Data'!K10</f>
        <v>52</v>
      </c>
      <c r="J7" s="37">
        <v>0.98</v>
      </c>
      <c r="K7" s="37">
        <v>5</v>
      </c>
      <c r="L7" s="37">
        <v>7</v>
      </c>
    </row>
    <row r="8" spans="1:12" s="38" customFormat="1" x14ac:dyDescent="0.25">
      <c r="A8" s="38" t="s">
        <v>45</v>
      </c>
      <c r="B8" s="38">
        <f t="shared" si="0"/>
        <v>7</v>
      </c>
      <c r="C8" s="39">
        <v>3</v>
      </c>
      <c r="D8" s="37">
        <v>2020</v>
      </c>
      <c r="E8" s="43">
        <f>'Hotel Data'!X11</f>
        <v>6954.4</v>
      </c>
      <c r="F8" s="37">
        <v>0.1431</v>
      </c>
      <c r="G8" s="41">
        <f>'Hotel Data'!E11</f>
        <v>334</v>
      </c>
      <c r="H8" s="37">
        <v>0.4279</v>
      </c>
      <c r="I8" s="41">
        <f>'Hotel Data'!K11</f>
        <v>40</v>
      </c>
      <c r="J8" s="37">
        <v>0.98</v>
      </c>
      <c r="K8" s="37">
        <v>3</v>
      </c>
      <c r="L8" s="37">
        <v>4</v>
      </c>
    </row>
    <row r="9" spans="1:12" s="38" customFormat="1" x14ac:dyDescent="0.25">
      <c r="A9" s="38" t="s">
        <v>45</v>
      </c>
      <c r="B9" s="38">
        <f t="shared" si="0"/>
        <v>8</v>
      </c>
      <c r="C9" s="39">
        <v>3</v>
      </c>
      <c r="D9" s="37">
        <v>2020</v>
      </c>
      <c r="E9" s="43">
        <f>'Hotel Data'!X12</f>
        <v>6719.8</v>
      </c>
      <c r="F9" s="37">
        <v>0.1431</v>
      </c>
      <c r="G9" s="41">
        <f>'Hotel Data'!E12</f>
        <v>286</v>
      </c>
      <c r="H9" s="37">
        <v>0.4279</v>
      </c>
      <c r="I9" s="41">
        <f>'Hotel Data'!K12</f>
        <v>48</v>
      </c>
      <c r="J9" s="37">
        <v>0.98</v>
      </c>
      <c r="K9" s="37">
        <v>1</v>
      </c>
      <c r="L9" s="37">
        <v>2</v>
      </c>
    </row>
    <row r="10" spans="1:12" s="38" customFormat="1" x14ac:dyDescent="0.25">
      <c r="A10" s="38" t="s">
        <v>45</v>
      </c>
      <c r="B10" s="38">
        <f t="shared" si="0"/>
        <v>9</v>
      </c>
      <c r="C10" s="39">
        <v>3</v>
      </c>
      <c r="D10" s="37">
        <v>2020</v>
      </c>
      <c r="E10" s="43">
        <f>'Hotel Data'!X13</f>
        <v>6447</v>
      </c>
      <c r="F10" s="37">
        <v>0.1431</v>
      </c>
      <c r="G10" s="41">
        <f>'Hotel Data'!E13</f>
        <v>412</v>
      </c>
      <c r="H10" s="37">
        <v>0.4279</v>
      </c>
      <c r="I10" s="41">
        <f>'Hotel Data'!K13</f>
        <v>43</v>
      </c>
      <c r="J10" s="37">
        <v>0.98</v>
      </c>
      <c r="K10" s="37">
        <v>1</v>
      </c>
      <c r="L10" s="37">
        <v>2</v>
      </c>
    </row>
    <row r="11" spans="1:12" s="38" customFormat="1" x14ac:dyDescent="0.25">
      <c r="A11" s="38" t="s">
        <v>45</v>
      </c>
      <c r="B11" s="38">
        <f t="shared" si="0"/>
        <v>10</v>
      </c>
      <c r="C11" s="39">
        <v>3</v>
      </c>
      <c r="D11" s="37">
        <v>2020</v>
      </c>
      <c r="E11" s="43">
        <f>'Hotel Data'!X14</f>
        <v>6309.4</v>
      </c>
      <c r="F11" s="37">
        <v>0.1431</v>
      </c>
      <c r="G11" s="41">
        <f>'Hotel Data'!E14</f>
        <v>285</v>
      </c>
      <c r="H11" s="37">
        <v>0.4279</v>
      </c>
      <c r="I11" s="41">
        <f>'Hotel Data'!K14</f>
        <v>40</v>
      </c>
      <c r="J11" s="37">
        <v>0.98</v>
      </c>
      <c r="K11" s="37">
        <v>1</v>
      </c>
      <c r="L11" s="37">
        <v>2</v>
      </c>
    </row>
    <row r="12" spans="1:12" s="38" customFormat="1" x14ac:dyDescent="0.25">
      <c r="A12" s="38" t="s">
        <v>45</v>
      </c>
      <c r="B12" s="38">
        <f t="shared" si="0"/>
        <v>11</v>
      </c>
      <c r="C12" s="39">
        <v>3</v>
      </c>
      <c r="D12" s="37">
        <v>2020</v>
      </c>
      <c r="E12" s="43">
        <f>'Hotel Data'!X15</f>
        <v>0</v>
      </c>
      <c r="F12" s="37">
        <v>0.1431</v>
      </c>
      <c r="G12" s="41">
        <f>'Hotel Data'!E15</f>
        <v>0</v>
      </c>
      <c r="H12" s="37">
        <v>0.4279</v>
      </c>
      <c r="I12" s="41">
        <f>'Hotel Data'!K15</f>
        <v>0</v>
      </c>
      <c r="J12" s="37">
        <v>0.98</v>
      </c>
      <c r="K12" s="37"/>
      <c r="L12" s="37"/>
    </row>
    <row r="13" spans="1:12" s="38" customFormat="1" x14ac:dyDescent="0.25">
      <c r="A13" s="38" t="s">
        <v>45</v>
      </c>
      <c r="B13" s="38">
        <f t="shared" si="0"/>
        <v>12</v>
      </c>
      <c r="C13" s="39">
        <v>3</v>
      </c>
      <c r="D13" s="37">
        <v>2020</v>
      </c>
      <c r="E13" s="43">
        <f>'Hotel Data'!X16</f>
        <v>0</v>
      </c>
      <c r="F13" s="37">
        <v>0.1431</v>
      </c>
      <c r="G13" s="41">
        <f>'Hotel Data'!E16</f>
        <v>0</v>
      </c>
      <c r="H13" s="37">
        <v>0.4279</v>
      </c>
      <c r="I13" s="41">
        <f>'Hotel Data'!K16</f>
        <v>0</v>
      </c>
      <c r="J13" s="37">
        <v>0.98</v>
      </c>
      <c r="K13" s="37"/>
      <c r="L13" s="37"/>
    </row>
    <row r="14" spans="1:12" s="38" customFormat="1" x14ac:dyDescent="0.25">
      <c r="A14" s="38" t="s">
        <v>45</v>
      </c>
      <c r="B14" s="38">
        <f t="shared" si="0"/>
        <v>13</v>
      </c>
      <c r="C14" s="39">
        <v>3</v>
      </c>
      <c r="D14" s="37">
        <v>2020</v>
      </c>
      <c r="E14" s="43">
        <f>'Hotel Data'!X17</f>
        <v>0</v>
      </c>
      <c r="F14" s="37">
        <v>0.1431</v>
      </c>
      <c r="G14" s="41">
        <f>'Hotel Data'!E17</f>
        <v>0</v>
      </c>
      <c r="H14" s="37">
        <v>0.4279</v>
      </c>
      <c r="I14" s="41">
        <f>'Hotel Data'!K17</f>
        <v>0</v>
      </c>
      <c r="J14" s="37">
        <v>0.98</v>
      </c>
      <c r="K14" s="37"/>
      <c r="L14" s="37"/>
    </row>
    <row r="15" spans="1:12" s="38" customFormat="1" x14ac:dyDescent="0.25">
      <c r="A15" s="38" t="s">
        <v>45</v>
      </c>
      <c r="B15" s="38">
        <f t="shared" si="0"/>
        <v>14</v>
      </c>
      <c r="C15" s="39">
        <v>3</v>
      </c>
      <c r="D15" s="37">
        <v>2020</v>
      </c>
      <c r="E15" s="43">
        <f>'Hotel Data'!X18</f>
        <v>0</v>
      </c>
      <c r="F15" s="37">
        <v>0.1431</v>
      </c>
      <c r="G15" s="41">
        <f>'Hotel Data'!E18</f>
        <v>0</v>
      </c>
      <c r="H15" s="37">
        <v>0.4279</v>
      </c>
      <c r="I15" s="41">
        <f>'Hotel Data'!K18</f>
        <v>0</v>
      </c>
      <c r="J15" s="37">
        <v>0.98</v>
      </c>
      <c r="K15" s="37"/>
      <c r="L15" s="37"/>
    </row>
    <row r="16" spans="1:12" s="38" customFormat="1" x14ac:dyDescent="0.25">
      <c r="A16" s="38" t="s">
        <v>45</v>
      </c>
      <c r="B16" s="38">
        <f t="shared" si="0"/>
        <v>15</v>
      </c>
      <c r="C16" s="39">
        <v>3</v>
      </c>
      <c r="D16" s="37">
        <v>2020</v>
      </c>
      <c r="E16" s="43">
        <f>'Hotel Data'!X19</f>
        <v>0</v>
      </c>
      <c r="F16" s="37">
        <v>0.1431</v>
      </c>
      <c r="G16" s="41">
        <f>'Hotel Data'!E19</f>
        <v>0</v>
      </c>
      <c r="H16" s="37">
        <v>0.4279</v>
      </c>
      <c r="I16" s="41">
        <f>'Hotel Data'!K19</f>
        <v>0</v>
      </c>
      <c r="J16" s="37">
        <v>0.98</v>
      </c>
      <c r="K16" s="37"/>
      <c r="L16" s="37"/>
    </row>
    <row r="17" spans="1:12" s="38" customFormat="1" x14ac:dyDescent="0.25">
      <c r="A17" s="38" t="s">
        <v>45</v>
      </c>
      <c r="B17" s="38">
        <f t="shared" si="0"/>
        <v>16</v>
      </c>
      <c r="C17" s="39">
        <v>3</v>
      </c>
      <c r="D17" s="37">
        <v>2020</v>
      </c>
      <c r="E17" s="43">
        <f>'Hotel Data'!X20</f>
        <v>0</v>
      </c>
      <c r="F17" s="37">
        <v>0.1431</v>
      </c>
      <c r="G17" s="41">
        <f>'Hotel Data'!E20</f>
        <v>0</v>
      </c>
      <c r="H17" s="37">
        <v>0.4279</v>
      </c>
      <c r="I17" s="41">
        <f>'Hotel Data'!K20</f>
        <v>0</v>
      </c>
      <c r="J17" s="37">
        <v>0.98</v>
      </c>
      <c r="K17" s="37"/>
      <c r="L17" s="37"/>
    </row>
    <row r="18" spans="1:12" s="38" customFormat="1" x14ac:dyDescent="0.25">
      <c r="A18" s="38" t="s">
        <v>45</v>
      </c>
      <c r="B18" s="38">
        <f t="shared" si="0"/>
        <v>17</v>
      </c>
      <c r="C18" s="39">
        <v>3</v>
      </c>
      <c r="D18" s="37">
        <v>2020</v>
      </c>
      <c r="E18" s="43">
        <f>'Hotel Data'!X21</f>
        <v>0</v>
      </c>
      <c r="F18" s="37">
        <v>0.1431</v>
      </c>
      <c r="G18" s="41">
        <f>'Hotel Data'!E21</f>
        <v>0</v>
      </c>
      <c r="H18" s="37">
        <v>0.4279</v>
      </c>
      <c r="I18" s="41">
        <f>'Hotel Data'!K21</f>
        <v>0</v>
      </c>
      <c r="J18" s="37">
        <v>0.98</v>
      </c>
      <c r="K18" s="37"/>
      <c r="L18" s="37"/>
    </row>
    <row r="19" spans="1:12" s="38" customFormat="1" x14ac:dyDescent="0.25">
      <c r="A19" s="38" t="s">
        <v>45</v>
      </c>
      <c r="B19" s="38">
        <f t="shared" si="0"/>
        <v>18</v>
      </c>
      <c r="C19" s="39">
        <v>3</v>
      </c>
      <c r="D19" s="37">
        <v>2020</v>
      </c>
      <c r="E19" s="43">
        <f>'Hotel Data'!X22</f>
        <v>0</v>
      </c>
      <c r="F19" s="37">
        <v>0.1431</v>
      </c>
      <c r="G19" s="41">
        <f>'Hotel Data'!E22</f>
        <v>0</v>
      </c>
      <c r="H19" s="37">
        <v>0.4279</v>
      </c>
      <c r="I19" s="41">
        <f>'Hotel Data'!K22</f>
        <v>0</v>
      </c>
      <c r="J19" s="37">
        <v>0.98</v>
      </c>
      <c r="K19" s="37"/>
      <c r="L19" s="37"/>
    </row>
    <row r="20" spans="1:12" s="38" customFormat="1" x14ac:dyDescent="0.25">
      <c r="A20" s="38" t="s">
        <v>45</v>
      </c>
      <c r="B20" s="38">
        <f t="shared" si="0"/>
        <v>19</v>
      </c>
      <c r="C20" s="39">
        <v>3</v>
      </c>
      <c r="D20" s="37">
        <v>2020</v>
      </c>
      <c r="E20" s="43">
        <f>'Hotel Data'!X23</f>
        <v>0</v>
      </c>
      <c r="F20" s="37">
        <v>0.1431</v>
      </c>
      <c r="G20" s="41">
        <f>'Hotel Data'!E23</f>
        <v>0</v>
      </c>
      <c r="H20" s="37">
        <v>0.4279</v>
      </c>
      <c r="I20" s="41">
        <f>'Hotel Data'!K23</f>
        <v>0</v>
      </c>
      <c r="J20" s="37">
        <v>0.98</v>
      </c>
      <c r="K20" s="37"/>
      <c r="L20" s="37"/>
    </row>
    <row r="21" spans="1:12" s="38" customFormat="1" x14ac:dyDescent="0.25">
      <c r="A21" s="38" t="s">
        <v>45</v>
      </c>
      <c r="B21" s="38">
        <f t="shared" si="0"/>
        <v>20</v>
      </c>
      <c r="C21" s="39">
        <v>3</v>
      </c>
      <c r="D21" s="37">
        <v>2020</v>
      </c>
      <c r="E21" s="43">
        <f>'Hotel Data'!X24</f>
        <v>0</v>
      </c>
      <c r="F21" s="37">
        <v>0.1431</v>
      </c>
      <c r="G21" s="41">
        <f>'Hotel Data'!E24</f>
        <v>0</v>
      </c>
      <c r="H21" s="37">
        <v>0.4279</v>
      </c>
      <c r="I21" s="41">
        <f>'Hotel Data'!K24</f>
        <v>0</v>
      </c>
      <c r="J21" s="37">
        <v>0.98</v>
      </c>
      <c r="K21" s="37"/>
      <c r="L21" s="37"/>
    </row>
    <row r="22" spans="1:12" s="38" customFormat="1" x14ac:dyDescent="0.25">
      <c r="A22" s="38" t="s">
        <v>45</v>
      </c>
      <c r="B22" s="38">
        <f t="shared" si="0"/>
        <v>21</v>
      </c>
      <c r="C22" s="39">
        <v>3</v>
      </c>
      <c r="D22" s="37">
        <v>2020</v>
      </c>
      <c r="E22" s="43">
        <f>'Hotel Data'!X25</f>
        <v>0</v>
      </c>
      <c r="F22" s="37">
        <v>0.1431</v>
      </c>
      <c r="G22" s="41">
        <f>'Hotel Data'!E25</f>
        <v>0</v>
      </c>
      <c r="H22" s="37">
        <v>0.4279</v>
      </c>
      <c r="I22" s="41">
        <f>'Hotel Data'!K25</f>
        <v>0</v>
      </c>
      <c r="J22" s="37">
        <v>0.98</v>
      </c>
      <c r="K22" s="37"/>
      <c r="L22" s="37"/>
    </row>
    <row r="23" spans="1:12" s="38" customFormat="1" x14ac:dyDescent="0.25">
      <c r="A23" s="38" t="s">
        <v>45</v>
      </c>
      <c r="B23" s="38">
        <f t="shared" si="0"/>
        <v>22</v>
      </c>
      <c r="C23" s="39">
        <v>3</v>
      </c>
      <c r="D23" s="37">
        <v>2020</v>
      </c>
      <c r="E23" s="43">
        <f>'Hotel Data'!X26</f>
        <v>0</v>
      </c>
      <c r="F23" s="37">
        <v>0.1431</v>
      </c>
      <c r="G23" s="41">
        <f>'Hotel Data'!E26</f>
        <v>0</v>
      </c>
      <c r="H23" s="37">
        <v>0.4279</v>
      </c>
      <c r="I23" s="41">
        <f>'Hotel Data'!K26</f>
        <v>0</v>
      </c>
      <c r="J23" s="37">
        <v>0.98</v>
      </c>
      <c r="K23" s="37"/>
      <c r="L23" s="37"/>
    </row>
    <row r="24" spans="1:12" s="38" customFormat="1" x14ac:dyDescent="0.25">
      <c r="A24" s="38" t="s">
        <v>45</v>
      </c>
      <c r="B24" s="38">
        <f t="shared" si="0"/>
        <v>23</v>
      </c>
      <c r="C24" s="39">
        <v>3</v>
      </c>
      <c r="D24" s="37">
        <v>2020</v>
      </c>
      <c r="E24" s="43">
        <f>'Hotel Data'!X27</f>
        <v>0</v>
      </c>
      <c r="F24" s="37">
        <v>0.1431</v>
      </c>
      <c r="G24" s="41">
        <f>'Hotel Data'!E27</f>
        <v>0</v>
      </c>
      <c r="H24" s="37">
        <v>0.4279</v>
      </c>
      <c r="I24" s="41">
        <f>'Hotel Data'!K27</f>
        <v>0</v>
      </c>
      <c r="J24" s="37">
        <v>0.98</v>
      </c>
      <c r="K24" s="37"/>
      <c r="L24" s="37"/>
    </row>
    <row r="25" spans="1:12" s="38" customFormat="1" x14ac:dyDescent="0.25">
      <c r="A25" s="38" t="s">
        <v>45</v>
      </c>
      <c r="B25" s="38">
        <f t="shared" si="0"/>
        <v>24</v>
      </c>
      <c r="C25" s="39">
        <v>3</v>
      </c>
      <c r="D25" s="37">
        <v>2020</v>
      </c>
      <c r="E25" s="43">
        <f>'Hotel Data'!X28</f>
        <v>0</v>
      </c>
      <c r="F25" s="37">
        <v>0.1431</v>
      </c>
      <c r="G25" s="41">
        <f>'Hotel Data'!E28</f>
        <v>0</v>
      </c>
      <c r="H25" s="37">
        <v>0.4279</v>
      </c>
      <c r="I25" s="41">
        <f>'Hotel Data'!K28</f>
        <v>0</v>
      </c>
      <c r="J25" s="37">
        <v>0.98</v>
      </c>
      <c r="K25" s="37"/>
      <c r="L25" s="37"/>
    </row>
    <row r="26" spans="1:12" s="38" customFormat="1" x14ac:dyDescent="0.25">
      <c r="A26" s="38" t="s">
        <v>45</v>
      </c>
      <c r="B26" s="38">
        <f>B25+1</f>
        <v>25</v>
      </c>
      <c r="C26" s="39">
        <v>3</v>
      </c>
      <c r="D26" s="37">
        <v>2020</v>
      </c>
      <c r="E26" s="43">
        <f>'Hotel Data'!X29</f>
        <v>0</v>
      </c>
      <c r="F26" s="37">
        <v>0.1431</v>
      </c>
      <c r="G26" s="41">
        <f>'Hotel Data'!E29</f>
        <v>0</v>
      </c>
      <c r="H26" s="37">
        <v>0.4279</v>
      </c>
      <c r="I26" s="41">
        <f>'Hotel Data'!K29</f>
        <v>0</v>
      </c>
      <c r="J26" s="37">
        <v>0.98</v>
      </c>
      <c r="K26" s="37"/>
      <c r="L26" s="37"/>
    </row>
    <row r="27" spans="1:12" s="38" customFormat="1" x14ac:dyDescent="0.25">
      <c r="A27" s="38" t="s">
        <v>45</v>
      </c>
      <c r="B27" s="38">
        <f t="shared" si="0"/>
        <v>26</v>
      </c>
      <c r="C27" s="39">
        <v>3</v>
      </c>
      <c r="D27" s="37">
        <v>2020</v>
      </c>
      <c r="E27" s="43">
        <f>'Hotel Data'!X30</f>
        <v>0</v>
      </c>
      <c r="F27" s="37">
        <v>0.1431</v>
      </c>
      <c r="G27" s="41">
        <f>'Hotel Data'!E30</f>
        <v>0</v>
      </c>
      <c r="H27" s="37">
        <v>0.4279</v>
      </c>
      <c r="I27" s="41">
        <f>'Hotel Data'!K30</f>
        <v>0</v>
      </c>
      <c r="J27" s="37">
        <v>0.98</v>
      </c>
      <c r="K27" s="37"/>
      <c r="L27" s="37"/>
    </row>
    <row r="28" spans="1:12" s="38" customFormat="1" x14ac:dyDescent="0.25">
      <c r="A28" s="38" t="s">
        <v>45</v>
      </c>
      <c r="B28" s="38">
        <f t="shared" si="0"/>
        <v>27</v>
      </c>
      <c r="C28" s="39">
        <v>3</v>
      </c>
      <c r="D28" s="37">
        <v>2020</v>
      </c>
      <c r="E28" s="43">
        <f>'Hotel Data'!X31</f>
        <v>0</v>
      </c>
      <c r="F28" s="37">
        <v>0.1431</v>
      </c>
      <c r="G28" s="41">
        <f>'Hotel Data'!E31</f>
        <v>0</v>
      </c>
      <c r="H28" s="37">
        <v>0.4279</v>
      </c>
      <c r="I28" s="41">
        <f>'Hotel Data'!K31</f>
        <v>0</v>
      </c>
      <c r="J28" s="37">
        <v>0.98</v>
      </c>
      <c r="K28" s="37"/>
      <c r="L28" s="37"/>
    </row>
    <row r="29" spans="1:12" s="38" customFormat="1" x14ac:dyDescent="0.25">
      <c r="A29" s="38" t="s">
        <v>45</v>
      </c>
      <c r="B29" s="38">
        <f t="shared" si="0"/>
        <v>28</v>
      </c>
      <c r="C29" s="39">
        <v>3</v>
      </c>
      <c r="D29" s="37">
        <v>2020</v>
      </c>
      <c r="E29" s="43">
        <f>'Hotel Data'!X32</f>
        <v>0</v>
      </c>
      <c r="F29" s="37">
        <v>0.1431</v>
      </c>
      <c r="G29" s="41">
        <f>'Hotel Data'!E32</f>
        <v>0</v>
      </c>
      <c r="H29" s="37">
        <v>0.4279</v>
      </c>
      <c r="I29" s="41">
        <f>'Hotel Data'!K32</f>
        <v>0</v>
      </c>
      <c r="J29" s="37">
        <v>0.98</v>
      </c>
      <c r="K29" s="37"/>
      <c r="L29" s="37"/>
    </row>
    <row r="30" spans="1:12" s="38" customFormat="1" x14ac:dyDescent="0.25">
      <c r="A30" s="38" t="s">
        <v>45</v>
      </c>
      <c r="B30" s="38">
        <f t="shared" si="0"/>
        <v>29</v>
      </c>
      <c r="C30" s="39">
        <v>3</v>
      </c>
      <c r="D30" s="37">
        <v>2020</v>
      </c>
      <c r="E30" s="43">
        <f>'Hotel Data'!X33</f>
        <v>0</v>
      </c>
      <c r="F30" s="37">
        <v>0.1431</v>
      </c>
      <c r="G30" s="41">
        <f>'Hotel Data'!E33</f>
        <v>0</v>
      </c>
      <c r="H30" s="37">
        <v>0.4279</v>
      </c>
      <c r="I30" s="41">
        <f>'Hotel Data'!K33</f>
        <v>0</v>
      </c>
      <c r="J30" s="37">
        <v>0.98</v>
      </c>
      <c r="K30" s="37"/>
      <c r="L30" s="37"/>
    </row>
    <row r="31" spans="1:12" s="37" customFormat="1" x14ac:dyDescent="0.25">
      <c r="A31" s="37" t="s">
        <v>45</v>
      </c>
      <c r="B31" s="38">
        <f t="shared" si="0"/>
        <v>30</v>
      </c>
      <c r="C31" s="39">
        <v>3</v>
      </c>
      <c r="D31" s="37">
        <v>2020</v>
      </c>
      <c r="E31" s="43">
        <f>'Hotel Data'!X34</f>
        <v>0</v>
      </c>
      <c r="F31" s="37">
        <v>0.1431</v>
      </c>
      <c r="G31" s="41">
        <f>'Hotel Data'!E34</f>
        <v>0</v>
      </c>
      <c r="H31" s="37">
        <v>0.4279</v>
      </c>
      <c r="I31" s="41">
        <f>'Hotel Data'!K34</f>
        <v>0</v>
      </c>
      <c r="J31" s="37">
        <v>0.98</v>
      </c>
    </row>
    <row r="32" spans="1:12" s="37" customFormat="1" x14ac:dyDescent="0.25">
      <c r="A32" s="37" t="s">
        <v>45</v>
      </c>
      <c r="B32" s="38">
        <f t="shared" si="0"/>
        <v>31</v>
      </c>
      <c r="C32" s="39">
        <v>3</v>
      </c>
      <c r="D32" s="37">
        <v>2020</v>
      </c>
      <c r="E32" s="43">
        <f>'Hotel Data'!X35</f>
        <v>0</v>
      </c>
      <c r="F32" s="37">
        <v>0.1431</v>
      </c>
      <c r="G32" s="41">
        <f>'Hotel Data'!E35</f>
        <v>0</v>
      </c>
      <c r="H32" s="37">
        <v>0.4279</v>
      </c>
      <c r="I32" s="41">
        <f>'Hotel Data'!K35</f>
        <v>0</v>
      </c>
      <c r="J32" s="37">
        <v>0.98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workbookViewId="0">
      <selection activeCell="F3" sqref="F3"/>
    </sheetView>
  </sheetViews>
  <sheetFormatPr defaultColWidth="11.5703125" defaultRowHeight="15" x14ac:dyDescent="0.25"/>
  <cols>
    <col min="4" max="4" width="13.42578125" customWidth="1"/>
    <col min="5" max="5" width="13" style="31" customWidth="1"/>
    <col min="6" max="6" width="12.5703125" customWidth="1"/>
    <col min="7" max="7" width="13" style="31" customWidth="1"/>
    <col min="12" max="12" width="11.5703125" style="31"/>
    <col min="15" max="15" width="14" customWidth="1"/>
  </cols>
  <sheetData>
    <row r="1" spans="1:16" s="35" customFormat="1" ht="45" x14ac:dyDescent="0.25">
      <c r="A1" s="35" t="s">
        <v>36</v>
      </c>
      <c r="B1" s="35" t="s">
        <v>37</v>
      </c>
      <c r="C1" s="35" t="s">
        <v>38</v>
      </c>
      <c r="D1" s="35" t="s">
        <v>39</v>
      </c>
      <c r="E1" s="32" t="s">
        <v>55</v>
      </c>
      <c r="F1" s="32" t="s">
        <v>46</v>
      </c>
      <c r="G1" s="32" t="s">
        <v>47</v>
      </c>
      <c r="H1" s="33" t="s">
        <v>48</v>
      </c>
      <c r="I1" s="33" t="s">
        <v>49</v>
      </c>
      <c r="J1" s="33" t="s">
        <v>50</v>
      </c>
      <c r="K1" s="33" t="s">
        <v>51</v>
      </c>
      <c r="L1" s="32" t="s">
        <v>52</v>
      </c>
      <c r="M1" s="33" t="s">
        <v>53</v>
      </c>
      <c r="N1" s="33" t="s">
        <v>54</v>
      </c>
      <c r="O1" s="34" t="s">
        <v>56</v>
      </c>
      <c r="P1" s="34" t="s">
        <v>43</v>
      </c>
    </row>
    <row r="2" spans="1:16" s="35" customFormat="1" x14ac:dyDescent="0.25">
      <c r="E2" s="32"/>
      <c r="F2" s="32"/>
      <c r="G2" s="32"/>
      <c r="H2" s="33"/>
      <c r="I2" s="33"/>
      <c r="J2" s="33"/>
      <c r="K2" s="33"/>
      <c r="L2" s="32"/>
      <c r="M2" s="33"/>
      <c r="N2" s="33"/>
      <c r="O2" s="34"/>
      <c r="P2" s="34"/>
    </row>
    <row r="3" spans="1:16" s="37" customFormat="1" x14ac:dyDescent="0.25">
      <c r="A3" s="37" t="s">
        <v>45</v>
      </c>
      <c r="B3" s="37">
        <v>1</v>
      </c>
      <c r="C3" s="39">
        <v>3</v>
      </c>
      <c r="D3" s="37">
        <v>2020</v>
      </c>
      <c r="E3" s="41">
        <f>'Hotel Data'!E5</f>
        <v>454</v>
      </c>
      <c r="F3" s="41">
        <f>'Hotel Data'!G5</f>
        <v>2</v>
      </c>
      <c r="G3" s="41">
        <f>'Hotel Data'!O5</f>
        <v>1</v>
      </c>
      <c r="H3" s="41">
        <f>'Hotel Data'!Q5</f>
        <v>0</v>
      </c>
      <c r="I3" s="41">
        <f>'Hotel Data'!S5</f>
        <v>22</v>
      </c>
      <c r="J3" s="41">
        <f>'Hotel Data'!U5</f>
        <v>76</v>
      </c>
      <c r="K3" s="41">
        <f>'Hotel Data'!AD5</f>
        <v>295.83999999999997</v>
      </c>
      <c r="L3" s="41">
        <f>'Hotel Data'!AG5</f>
        <v>974.5</v>
      </c>
      <c r="M3" s="41">
        <f>'Hotel Data'!AJ5</f>
        <v>112</v>
      </c>
      <c r="N3" s="41">
        <f>'Hotel Data'!AN5</f>
        <v>109.62</v>
      </c>
      <c r="O3" s="41">
        <f>'Hotel Data'!AR5</f>
        <v>184</v>
      </c>
      <c r="P3" s="38">
        <f>TOTAL!K2</f>
        <v>4</v>
      </c>
    </row>
    <row r="4" spans="1:16" s="38" customFormat="1" x14ac:dyDescent="0.25">
      <c r="A4" s="38" t="s">
        <v>45</v>
      </c>
      <c r="B4" s="38">
        <f>B3+1</f>
        <v>2</v>
      </c>
      <c r="C4" s="39">
        <v>3</v>
      </c>
      <c r="D4" s="37">
        <v>2020</v>
      </c>
      <c r="E4" s="41">
        <f>'Hotel Data'!E6</f>
        <v>680</v>
      </c>
      <c r="F4" s="41">
        <f>'Hotel Data'!G6</f>
        <v>0</v>
      </c>
      <c r="G4" s="41">
        <f>'Hotel Data'!O6</f>
        <v>0</v>
      </c>
      <c r="H4" s="41">
        <f>'Hotel Data'!Q6</f>
        <v>0</v>
      </c>
      <c r="I4" s="41">
        <f>'Hotel Data'!S6</f>
        <v>2</v>
      </c>
      <c r="J4" s="41">
        <f>'Hotel Data'!U6</f>
        <v>28</v>
      </c>
      <c r="K4" s="41">
        <f>'Hotel Data'!AD6</f>
        <v>295.14</v>
      </c>
      <c r="L4" s="41">
        <f>'Hotel Data'!AG6</f>
        <v>956</v>
      </c>
      <c r="M4" s="41">
        <f>'Hotel Data'!AJ6</f>
        <v>120</v>
      </c>
      <c r="N4" s="41">
        <f>'Hotel Data'!AN6</f>
        <v>107.75</v>
      </c>
      <c r="O4" s="41">
        <f>'Hotel Data'!AR6</f>
        <v>192</v>
      </c>
      <c r="P4" s="38">
        <f>TOTAL!K3</f>
        <v>2</v>
      </c>
    </row>
    <row r="5" spans="1:16" s="38" customFormat="1" x14ac:dyDescent="0.25">
      <c r="A5" s="38" t="s">
        <v>45</v>
      </c>
      <c r="B5" s="38">
        <f t="shared" ref="B5:B33" si="0">B4+1</f>
        <v>3</v>
      </c>
      <c r="C5" s="39">
        <v>3</v>
      </c>
      <c r="D5" s="37">
        <v>2020</v>
      </c>
      <c r="E5" s="41">
        <f>'Hotel Data'!E7</f>
        <v>431</v>
      </c>
      <c r="F5" s="41">
        <f>'Hotel Data'!G7</f>
        <v>0</v>
      </c>
      <c r="G5" s="41">
        <f>'Hotel Data'!O7</f>
        <v>0</v>
      </c>
      <c r="H5" s="41">
        <f>'Hotel Data'!Q7</f>
        <v>0</v>
      </c>
      <c r="I5" s="41">
        <f>'Hotel Data'!S7</f>
        <v>7</v>
      </c>
      <c r="J5" s="41">
        <f>'Hotel Data'!U7</f>
        <v>12</v>
      </c>
      <c r="K5" s="41">
        <f>'Hotel Data'!AD7</f>
        <v>287.77</v>
      </c>
      <c r="L5" s="41">
        <f>'Hotel Data'!AG7</f>
        <v>892.6</v>
      </c>
      <c r="M5" s="41">
        <f>'Hotel Data'!AJ7</f>
        <v>120</v>
      </c>
      <c r="N5" s="41">
        <f>'Hotel Data'!AN7</f>
        <v>25.92</v>
      </c>
      <c r="O5" s="41">
        <f>'Hotel Data'!AR7</f>
        <v>152</v>
      </c>
      <c r="P5" s="38">
        <f>TOTAL!K4</f>
        <v>2</v>
      </c>
    </row>
    <row r="6" spans="1:16" s="38" customFormat="1" x14ac:dyDescent="0.25">
      <c r="A6" s="38" t="s">
        <v>45</v>
      </c>
      <c r="B6" s="38">
        <f t="shared" si="0"/>
        <v>4</v>
      </c>
      <c r="C6" s="39">
        <v>3</v>
      </c>
      <c r="D6" s="37">
        <v>2020</v>
      </c>
      <c r="E6" s="41">
        <f>'Hotel Data'!E8</f>
        <v>311</v>
      </c>
      <c r="F6" s="41">
        <f>'Hotel Data'!G8</f>
        <v>0</v>
      </c>
      <c r="G6" s="41">
        <f>'Hotel Data'!O8</f>
        <v>0</v>
      </c>
      <c r="H6" s="41">
        <f>'Hotel Data'!Q8</f>
        <v>0</v>
      </c>
      <c r="I6" s="41">
        <f>'Hotel Data'!S8</f>
        <v>2</v>
      </c>
      <c r="J6" s="41">
        <f>'Hotel Data'!U8</f>
        <v>8</v>
      </c>
      <c r="K6" s="41">
        <f>'Hotel Data'!AD8</f>
        <v>293.33</v>
      </c>
      <c r="L6" s="41">
        <f>'Hotel Data'!AG8</f>
        <v>879.1</v>
      </c>
      <c r="M6" s="41">
        <f>'Hotel Data'!AJ8</f>
        <v>120</v>
      </c>
      <c r="N6" s="41">
        <f>'Hotel Data'!AN8</f>
        <v>31.85</v>
      </c>
      <c r="O6" s="41">
        <f>'Hotel Data'!AR8</f>
        <v>144</v>
      </c>
      <c r="P6" s="38">
        <f>TOTAL!K5</f>
        <v>3</v>
      </c>
    </row>
    <row r="7" spans="1:16" s="38" customFormat="1" x14ac:dyDescent="0.25">
      <c r="A7" s="38" t="s">
        <v>45</v>
      </c>
      <c r="B7" s="38">
        <f t="shared" si="0"/>
        <v>5</v>
      </c>
      <c r="C7" s="39">
        <v>3</v>
      </c>
      <c r="D7" s="37">
        <v>2020</v>
      </c>
      <c r="E7" s="41">
        <f>'Hotel Data'!E9</f>
        <v>454</v>
      </c>
      <c r="F7" s="41">
        <f>'Hotel Data'!G9</f>
        <v>0</v>
      </c>
      <c r="G7" s="41">
        <f>'Hotel Data'!O9</f>
        <v>0</v>
      </c>
      <c r="H7" s="41">
        <f>'Hotel Data'!Q9</f>
        <v>0</v>
      </c>
      <c r="I7" s="41">
        <f>'Hotel Data'!S9</f>
        <v>1</v>
      </c>
      <c r="J7" s="41">
        <f>'Hotel Data'!U9</f>
        <v>4</v>
      </c>
      <c r="K7" s="41">
        <f>'Hotel Data'!AD9</f>
        <v>253.19</v>
      </c>
      <c r="L7" s="41">
        <f>'Hotel Data'!AG9</f>
        <v>374.1</v>
      </c>
      <c r="M7" s="41">
        <f>'Hotel Data'!AJ9</f>
        <v>128</v>
      </c>
      <c r="N7" s="41">
        <f>'Hotel Data'!AN9</f>
        <v>427.78</v>
      </c>
      <c r="O7" s="41">
        <f>'Hotel Data'!AR9</f>
        <v>144</v>
      </c>
      <c r="P7" s="38">
        <f>TOTAL!K6</f>
        <v>3</v>
      </c>
    </row>
    <row r="8" spans="1:16" s="38" customFormat="1" x14ac:dyDescent="0.25">
      <c r="A8" s="38" t="s">
        <v>45</v>
      </c>
      <c r="B8" s="38">
        <f t="shared" si="0"/>
        <v>6</v>
      </c>
      <c r="C8" s="39">
        <v>3</v>
      </c>
      <c r="D8" s="37">
        <v>2020</v>
      </c>
      <c r="E8" s="41">
        <f>'Hotel Data'!E10</f>
        <v>541</v>
      </c>
      <c r="F8" s="41">
        <f>'Hotel Data'!G10</f>
        <v>0</v>
      </c>
      <c r="G8" s="41">
        <f>'Hotel Data'!O10</f>
        <v>0</v>
      </c>
      <c r="H8" s="41">
        <f>'Hotel Data'!Q10</f>
        <v>0</v>
      </c>
      <c r="I8" s="41">
        <f>'Hotel Data'!S10</f>
        <v>2</v>
      </c>
      <c r="J8" s="41">
        <f>'Hotel Data'!U10</f>
        <v>10</v>
      </c>
      <c r="K8" s="41">
        <f>'Hotel Data'!AD10</f>
        <v>225.55</v>
      </c>
      <c r="L8" s="41">
        <f>'Hotel Data'!AG10</f>
        <v>169.2</v>
      </c>
      <c r="M8" s="41">
        <f>'Hotel Data'!AJ10</f>
        <v>104</v>
      </c>
      <c r="N8" s="41">
        <f>'Hotel Data'!AN10</f>
        <v>418.76</v>
      </c>
      <c r="O8" s="41">
        <f>'Hotel Data'!AR10</f>
        <v>216</v>
      </c>
      <c r="P8" s="38">
        <f>TOTAL!K7</f>
        <v>5</v>
      </c>
    </row>
    <row r="9" spans="1:16" s="38" customFormat="1" x14ac:dyDescent="0.25">
      <c r="A9" s="38" t="s">
        <v>45</v>
      </c>
      <c r="B9" s="38">
        <f t="shared" si="0"/>
        <v>7</v>
      </c>
      <c r="C9" s="39">
        <v>3</v>
      </c>
      <c r="D9" s="37">
        <v>2020</v>
      </c>
      <c r="E9" s="41">
        <f>'Hotel Data'!E11</f>
        <v>334</v>
      </c>
      <c r="F9" s="41">
        <f>'Hotel Data'!G11</f>
        <v>0</v>
      </c>
      <c r="G9" s="41">
        <f>'Hotel Data'!O11</f>
        <v>0</v>
      </c>
      <c r="H9" s="41">
        <f>'Hotel Data'!Q11</f>
        <v>0</v>
      </c>
      <c r="I9" s="41">
        <f>'Hotel Data'!S11</f>
        <v>0</v>
      </c>
      <c r="J9" s="41">
        <f>'Hotel Data'!U11</f>
        <v>4</v>
      </c>
      <c r="K9" s="41">
        <f>'Hotel Data'!AD11</f>
        <v>199.07</v>
      </c>
      <c r="L9" s="41">
        <f>'Hotel Data'!AG11</f>
        <v>69.7</v>
      </c>
      <c r="M9" s="41">
        <f>'Hotel Data'!AJ11</f>
        <v>112</v>
      </c>
      <c r="N9" s="41">
        <f>'Hotel Data'!AN11</f>
        <v>528.01</v>
      </c>
      <c r="O9" s="41">
        <f>'Hotel Data'!AR11</f>
        <v>176</v>
      </c>
      <c r="P9" s="38">
        <f>TOTAL!K8</f>
        <v>3</v>
      </c>
    </row>
    <row r="10" spans="1:16" s="38" customFormat="1" x14ac:dyDescent="0.25">
      <c r="A10" s="38" t="s">
        <v>45</v>
      </c>
      <c r="B10" s="38">
        <f t="shared" si="0"/>
        <v>8</v>
      </c>
      <c r="C10" s="39">
        <v>3</v>
      </c>
      <c r="D10" s="37">
        <v>2020</v>
      </c>
      <c r="E10" s="41">
        <f>'Hotel Data'!E12</f>
        <v>286</v>
      </c>
      <c r="F10" s="41">
        <f>'Hotel Data'!G12</f>
        <v>0</v>
      </c>
      <c r="G10" s="41">
        <f>'Hotel Data'!O12</f>
        <v>0</v>
      </c>
      <c r="H10" s="41">
        <f>'Hotel Data'!Q12</f>
        <v>0</v>
      </c>
      <c r="I10" s="41">
        <f>'Hotel Data'!S12</f>
        <v>1</v>
      </c>
      <c r="J10" s="41">
        <f>'Hotel Data'!U12</f>
        <v>9</v>
      </c>
      <c r="K10" s="41">
        <f>'Hotel Data'!AD12</f>
        <v>206.33</v>
      </c>
      <c r="L10" s="41">
        <f>'Hotel Data'!AG12</f>
        <v>111.2</v>
      </c>
      <c r="M10" s="41">
        <f>'Hotel Data'!AJ12</f>
        <v>96</v>
      </c>
      <c r="N10" s="41">
        <f>'Hotel Data'!AN12</f>
        <v>459.06</v>
      </c>
      <c r="O10" s="41">
        <f>'Hotel Data'!AR12</f>
        <v>160</v>
      </c>
      <c r="P10" s="38">
        <f>TOTAL!K9</f>
        <v>1</v>
      </c>
    </row>
    <row r="11" spans="1:16" s="38" customFormat="1" x14ac:dyDescent="0.25">
      <c r="A11" s="38" t="s">
        <v>45</v>
      </c>
      <c r="B11" s="38">
        <f t="shared" si="0"/>
        <v>9</v>
      </c>
      <c r="C11" s="39">
        <v>3</v>
      </c>
      <c r="D11" s="37">
        <v>2020</v>
      </c>
      <c r="E11" s="41">
        <f>'Hotel Data'!E13</f>
        <v>412</v>
      </c>
      <c r="F11" s="41">
        <f>'Hotel Data'!G13</f>
        <v>0</v>
      </c>
      <c r="G11" s="41">
        <f>'Hotel Data'!O13</f>
        <v>0</v>
      </c>
      <c r="H11" s="41">
        <f>'Hotel Data'!Q13</f>
        <v>0</v>
      </c>
      <c r="I11" s="41">
        <f>'Hotel Data'!S13</f>
        <v>1</v>
      </c>
      <c r="J11" s="41">
        <f>'Hotel Data'!U13</f>
        <v>6</v>
      </c>
      <c r="K11" s="41">
        <f>'Hotel Data'!AD13</f>
        <v>199.95</v>
      </c>
      <c r="L11" s="41">
        <f>'Hotel Data'!AG13</f>
        <v>85.1</v>
      </c>
      <c r="M11" s="41">
        <f>'Hotel Data'!AJ13</f>
        <v>72</v>
      </c>
      <c r="N11" s="41">
        <f>'Hotel Data'!AN13</f>
        <v>365.98</v>
      </c>
      <c r="O11" s="41">
        <f>'Hotel Data'!AR13</f>
        <v>160</v>
      </c>
      <c r="P11" s="38">
        <f>TOTAL!K10</f>
        <v>1</v>
      </c>
    </row>
    <row r="12" spans="1:16" s="38" customFormat="1" x14ac:dyDescent="0.25">
      <c r="A12" s="38" t="s">
        <v>45</v>
      </c>
      <c r="B12" s="38">
        <f t="shared" si="0"/>
        <v>10</v>
      </c>
      <c r="C12" s="39">
        <v>3</v>
      </c>
      <c r="D12" s="37">
        <v>2020</v>
      </c>
      <c r="E12" s="41">
        <f>'Hotel Data'!E14</f>
        <v>285</v>
      </c>
      <c r="F12" s="41">
        <f>'Hotel Data'!G14</f>
        <v>0</v>
      </c>
      <c r="G12" s="41">
        <f>'Hotel Data'!O14</f>
        <v>0</v>
      </c>
      <c r="H12" s="41">
        <f>'Hotel Data'!Q14</f>
        <v>0</v>
      </c>
      <c r="I12" s="41">
        <f>'Hotel Data'!S14</f>
        <v>0</v>
      </c>
      <c r="J12" s="41">
        <f>'Hotel Data'!U14</f>
        <v>6</v>
      </c>
      <c r="K12" s="41">
        <f>'Hotel Data'!AD14</f>
        <v>212.03</v>
      </c>
      <c r="L12" s="41">
        <f>'Hotel Data'!AG14</f>
        <v>78.2</v>
      </c>
      <c r="M12" s="41">
        <f>'Hotel Data'!AJ14</f>
        <v>96</v>
      </c>
      <c r="N12" s="41">
        <f>'Hotel Data'!AN14</f>
        <v>289.24</v>
      </c>
      <c r="O12" s="41">
        <f>'Hotel Data'!AR14</f>
        <v>72</v>
      </c>
      <c r="P12" s="38">
        <f>TOTAL!K11</f>
        <v>1</v>
      </c>
    </row>
    <row r="13" spans="1:16" s="38" customFormat="1" x14ac:dyDescent="0.25">
      <c r="A13" s="38" t="s">
        <v>45</v>
      </c>
      <c r="B13" s="38">
        <f t="shared" si="0"/>
        <v>11</v>
      </c>
      <c r="C13" s="39">
        <v>3</v>
      </c>
      <c r="D13" s="37">
        <v>2020</v>
      </c>
      <c r="E13" s="41">
        <f>'Hotel Data'!E15</f>
        <v>0</v>
      </c>
      <c r="F13" s="41">
        <f>'Hotel Data'!G15</f>
        <v>0</v>
      </c>
      <c r="G13" s="41">
        <f>'Hotel Data'!O15</f>
        <v>0</v>
      </c>
      <c r="H13" s="41">
        <f>'Hotel Data'!Q15</f>
        <v>0</v>
      </c>
      <c r="I13" s="41">
        <f>'Hotel Data'!S15</f>
        <v>0</v>
      </c>
      <c r="J13" s="41">
        <f>'Hotel Data'!U15</f>
        <v>0</v>
      </c>
      <c r="K13" s="41">
        <f>'Hotel Data'!AD15</f>
        <v>0</v>
      </c>
      <c r="L13" s="41">
        <f>'Hotel Data'!AG15</f>
        <v>0</v>
      </c>
      <c r="M13" s="41">
        <f>'Hotel Data'!AJ15</f>
        <v>0</v>
      </c>
      <c r="N13" s="41">
        <f>'Hotel Data'!AN15</f>
        <v>0</v>
      </c>
      <c r="O13" s="41">
        <f>'Hotel Data'!AR15</f>
        <v>0</v>
      </c>
      <c r="P13" s="38">
        <f>TOTAL!K12</f>
        <v>0</v>
      </c>
    </row>
    <row r="14" spans="1:16" s="38" customFormat="1" x14ac:dyDescent="0.25">
      <c r="A14" s="38" t="s">
        <v>45</v>
      </c>
      <c r="B14" s="38">
        <f t="shared" si="0"/>
        <v>12</v>
      </c>
      <c r="C14" s="39">
        <v>3</v>
      </c>
      <c r="D14" s="37">
        <v>2020</v>
      </c>
      <c r="E14" s="41">
        <f>'Hotel Data'!E16</f>
        <v>0</v>
      </c>
      <c r="F14" s="41">
        <f>'Hotel Data'!G16</f>
        <v>0</v>
      </c>
      <c r="G14" s="41">
        <f>'Hotel Data'!O16</f>
        <v>0</v>
      </c>
      <c r="H14" s="41">
        <f>'Hotel Data'!Q16</f>
        <v>0</v>
      </c>
      <c r="I14" s="41">
        <f>'Hotel Data'!S16</f>
        <v>0</v>
      </c>
      <c r="J14" s="41">
        <f>'Hotel Data'!U16</f>
        <v>0</v>
      </c>
      <c r="K14" s="41">
        <f>'Hotel Data'!AD16</f>
        <v>0</v>
      </c>
      <c r="L14" s="41">
        <f>'Hotel Data'!AG16</f>
        <v>0</v>
      </c>
      <c r="M14" s="41">
        <f>'Hotel Data'!AJ16</f>
        <v>0</v>
      </c>
      <c r="N14" s="41">
        <f>'Hotel Data'!AN16</f>
        <v>0</v>
      </c>
      <c r="O14" s="41">
        <f>'Hotel Data'!AR16</f>
        <v>0</v>
      </c>
      <c r="P14" s="38">
        <f>TOTAL!K13</f>
        <v>0</v>
      </c>
    </row>
    <row r="15" spans="1:16" s="38" customFormat="1" x14ac:dyDescent="0.25">
      <c r="A15" s="38" t="s">
        <v>45</v>
      </c>
      <c r="B15" s="38">
        <f t="shared" si="0"/>
        <v>13</v>
      </c>
      <c r="C15" s="39">
        <v>3</v>
      </c>
      <c r="D15" s="37">
        <v>2020</v>
      </c>
      <c r="E15" s="41">
        <f>'Hotel Data'!E17</f>
        <v>0</v>
      </c>
      <c r="F15" s="41">
        <f>'Hotel Data'!G17</f>
        <v>0</v>
      </c>
      <c r="G15" s="41">
        <f>'Hotel Data'!O17</f>
        <v>0</v>
      </c>
      <c r="H15" s="41">
        <f>'Hotel Data'!Q17</f>
        <v>0</v>
      </c>
      <c r="I15" s="41">
        <f>'Hotel Data'!S17</f>
        <v>0</v>
      </c>
      <c r="J15" s="41">
        <f>'Hotel Data'!U17</f>
        <v>0</v>
      </c>
      <c r="K15" s="41">
        <f>'Hotel Data'!AD17</f>
        <v>0</v>
      </c>
      <c r="L15" s="41">
        <f>'Hotel Data'!AG17</f>
        <v>0</v>
      </c>
      <c r="M15" s="41">
        <f>'Hotel Data'!AJ17</f>
        <v>0</v>
      </c>
      <c r="N15" s="41">
        <f>'Hotel Data'!AN17</f>
        <v>0</v>
      </c>
      <c r="O15" s="41">
        <f>'Hotel Data'!AR17</f>
        <v>0</v>
      </c>
      <c r="P15" s="38">
        <f>TOTAL!K14</f>
        <v>0</v>
      </c>
    </row>
    <row r="16" spans="1:16" s="38" customFormat="1" x14ac:dyDescent="0.25">
      <c r="A16" s="38" t="s">
        <v>45</v>
      </c>
      <c r="B16" s="38">
        <f t="shared" si="0"/>
        <v>14</v>
      </c>
      <c r="C16" s="39">
        <v>3</v>
      </c>
      <c r="D16" s="37">
        <v>2020</v>
      </c>
      <c r="E16" s="41">
        <f>'Hotel Data'!E18</f>
        <v>0</v>
      </c>
      <c r="F16" s="41">
        <f>'Hotel Data'!G18</f>
        <v>0</v>
      </c>
      <c r="G16" s="41">
        <f>'Hotel Data'!O18</f>
        <v>0</v>
      </c>
      <c r="H16" s="41">
        <f>'Hotel Data'!Q18</f>
        <v>0</v>
      </c>
      <c r="I16" s="41">
        <f>'Hotel Data'!S18</f>
        <v>0</v>
      </c>
      <c r="J16" s="41">
        <f>'Hotel Data'!U18</f>
        <v>0</v>
      </c>
      <c r="K16" s="41">
        <f>'Hotel Data'!AD18</f>
        <v>0</v>
      </c>
      <c r="L16" s="41">
        <f>'Hotel Data'!AG18</f>
        <v>0</v>
      </c>
      <c r="M16" s="41">
        <f>'Hotel Data'!AJ18</f>
        <v>0</v>
      </c>
      <c r="N16" s="41">
        <f>'Hotel Data'!AN18</f>
        <v>0</v>
      </c>
      <c r="O16" s="41">
        <f>'Hotel Data'!AR18</f>
        <v>0</v>
      </c>
      <c r="P16" s="38">
        <f>TOTAL!K15</f>
        <v>0</v>
      </c>
    </row>
    <row r="17" spans="1:16" s="38" customFormat="1" x14ac:dyDescent="0.25">
      <c r="A17" s="38" t="s">
        <v>45</v>
      </c>
      <c r="B17" s="38">
        <f t="shared" si="0"/>
        <v>15</v>
      </c>
      <c r="C17" s="39">
        <v>3</v>
      </c>
      <c r="D17" s="37">
        <v>2020</v>
      </c>
      <c r="E17" s="41">
        <f>'Hotel Data'!E19</f>
        <v>0</v>
      </c>
      <c r="F17" s="41">
        <f>'Hotel Data'!G19</f>
        <v>0</v>
      </c>
      <c r="G17" s="41">
        <f>'Hotel Data'!O19</f>
        <v>0</v>
      </c>
      <c r="H17" s="41">
        <f>'Hotel Data'!Q19</f>
        <v>0</v>
      </c>
      <c r="I17" s="41">
        <f>'Hotel Data'!S19</f>
        <v>0</v>
      </c>
      <c r="J17" s="41">
        <f>'Hotel Data'!U19</f>
        <v>0</v>
      </c>
      <c r="K17" s="41">
        <f>'Hotel Data'!AD19</f>
        <v>0</v>
      </c>
      <c r="L17" s="41">
        <f>'Hotel Data'!AG19</f>
        <v>0</v>
      </c>
      <c r="M17" s="41">
        <f>'Hotel Data'!AJ19</f>
        <v>0</v>
      </c>
      <c r="N17" s="41">
        <f>'Hotel Data'!AN19</f>
        <v>0</v>
      </c>
      <c r="O17" s="41">
        <f>'Hotel Data'!AR19</f>
        <v>0</v>
      </c>
      <c r="P17" s="38">
        <f>TOTAL!K16</f>
        <v>0</v>
      </c>
    </row>
    <row r="18" spans="1:16" s="38" customFormat="1" x14ac:dyDescent="0.25">
      <c r="A18" s="38" t="s">
        <v>45</v>
      </c>
      <c r="B18" s="38">
        <f t="shared" si="0"/>
        <v>16</v>
      </c>
      <c r="C18" s="39">
        <v>3</v>
      </c>
      <c r="D18" s="37">
        <v>2020</v>
      </c>
      <c r="E18" s="41">
        <f>'Hotel Data'!E20</f>
        <v>0</v>
      </c>
      <c r="F18" s="41">
        <f>'Hotel Data'!G20</f>
        <v>0</v>
      </c>
      <c r="G18" s="41">
        <f>'Hotel Data'!O20</f>
        <v>0</v>
      </c>
      <c r="H18" s="41">
        <f>'Hotel Data'!Q20</f>
        <v>0</v>
      </c>
      <c r="I18" s="41">
        <f>'Hotel Data'!S20</f>
        <v>0</v>
      </c>
      <c r="J18" s="41">
        <f>'Hotel Data'!U20</f>
        <v>0</v>
      </c>
      <c r="K18" s="41">
        <f>'Hotel Data'!AD20</f>
        <v>0</v>
      </c>
      <c r="L18" s="41">
        <f>'Hotel Data'!AG20</f>
        <v>0</v>
      </c>
      <c r="M18" s="41">
        <f>'Hotel Data'!AJ20</f>
        <v>0</v>
      </c>
      <c r="N18" s="41">
        <f>'Hotel Data'!AN20</f>
        <v>0</v>
      </c>
      <c r="O18" s="41">
        <f>'Hotel Data'!AR20</f>
        <v>0</v>
      </c>
      <c r="P18" s="38">
        <f>TOTAL!K17</f>
        <v>0</v>
      </c>
    </row>
    <row r="19" spans="1:16" s="38" customFormat="1" x14ac:dyDescent="0.25">
      <c r="A19" s="38" t="s">
        <v>45</v>
      </c>
      <c r="B19" s="38">
        <f t="shared" si="0"/>
        <v>17</v>
      </c>
      <c r="C19" s="39">
        <v>3</v>
      </c>
      <c r="D19" s="37">
        <v>2020</v>
      </c>
      <c r="E19" s="41">
        <f>'Hotel Data'!E21</f>
        <v>0</v>
      </c>
      <c r="F19" s="41">
        <f>'Hotel Data'!G21</f>
        <v>0</v>
      </c>
      <c r="G19" s="41">
        <f>'Hotel Data'!O21</f>
        <v>0</v>
      </c>
      <c r="H19" s="41">
        <f>'Hotel Data'!Q21</f>
        <v>0</v>
      </c>
      <c r="I19" s="41">
        <f>'Hotel Data'!S21</f>
        <v>0</v>
      </c>
      <c r="J19" s="41">
        <f>'Hotel Data'!U21</f>
        <v>0</v>
      </c>
      <c r="K19" s="41">
        <f>'Hotel Data'!AD21</f>
        <v>0</v>
      </c>
      <c r="L19" s="41">
        <f>'Hotel Data'!AG21</f>
        <v>0</v>
      </c>
      <c r="M19" s="41">
        <f>'Hotel Data'!AJ21</f>
        <v>0</v>
      </c>
      <c r="N19" s="41">
        <f>'Hotel Data'!AN21</f>
        <v>0</v>
      </c>
      <c r="O19" s="41">
        <f>'Hotel Data'!AR21</f>
        <v>0</v>
      </c>
      <c r="P19" s="38">
        <f>TOTAL!K18</f>
        <v>0</v>
      </c>
    </row>
    <row r="20" spans="1:16" s="38" customFormat="1" x14ac:dyDescent="0.25">
      <c r="A20" s="38" t="s">
        <v>45</v>
      </c>
      <c r="B20" s="38">
        <f t="shared" si="0"/>
        <v>18</v>
      </c>
      <c r="C20" s="39">
        <v>3</v>
      </c>
      <c r="D20" s="37">
        <v>2020</v>
      </c>
      <c r="E20" s="41">
        <f>'Hotel Data'!E22</f>
        <v>0</v>
      </c>
      <c r="F20" s="41">
        <f>'Hotel Data'!G22</f>
        <v>0</v>
      </c>
      <c r="G20" s="41">
        <f>'Hotel Data'!O22</f>
        <v>0</v>
      </c>
      <c r="H20" s="41">
        <f>'Hotel Data'!Q22</f>
        <v>0</v>
      </c>
      <c r="I20" s="41">
        <f>'Hotel Data'!S22</f>
        <v>0</v>
      </c>
      <c r="J20" s="41">
        <f>'Hotel Data'!U22</f>
        <v>0</v>
      </c>
      <c r="K20" s="41">
        <f>'Hotel Data'!AD22</f>
        <v>0</v>
      </c>
      <c r="L20" s="41">
        <f>'Hotel Data'!AG22</f>
        <v>0</v>
      </c>
      <c r="M20" s="41">
        <f>'Hotel Data'!AJ22</f>
        <v>0</v>
      </c>
      <c r="N20" s="41">
        <f>'Hotel Data'!AN22</f>
        <v>0</v>
      </c>
      <c r="O20" s="41">
        <f>'Hotel Data'!AR22</f>
        <v>0</v>
      </c>
      <c r="P20" s="38">
        <f>TOTAL!K19</f>
        <v>0</v>
      </c>
    </row>
    <row r="21" spans="1:16" s="38" customFormat="1" x14ac:dyDescent="0.25">
      <c r="A21" s="38" t="s">
        <v>45</v>
      </c>
      <c r="B21" s="38">
        <f t="shared" si="0"/>
        <v>19</v>
      </c>
      <c r="C21" s="39">
        <v>3</v>
      </c>
      <c r="D21" s="37">
        <v>2020</v>
      </c>
      <c r="E21" s="41">
        <f>'Hotel Data'!E23</f>
        <v>0</v>
      </c>
      <c r="F21" s="41">
        <f>'Hotel Data'!G23</f>
        <v>0</v>
      </c>
      <c r="G21" s="41">
        <f>'Hotel Data'!O23</f>
        <v>0</v>
      </c>
      <c r="H21" s="41">
        <f>'Hotel Data'!Q23</f>
        <v>0</v>
      </c>
      <c r="I21" s="41">
        <f>'Hotel Data'!S23</f>
        <v>0</v>
      </c>
      <c r="J21" s="41">
        <f>'Hotel Data'!U23</f>
        <v>0</v>
      </c>
      <c r="K21" s="41">
        <f>'Hotel Data'!AD23</f>
        <v>0</v>
      </c>
      <c r="L21" s="41">
        <f>'Hotel Data'!AG23</f>
        <v>0</v>
      </c>
      <c r="M21" s="41">
        <f>'Hotel Data'!AJ23</f>
        <v>0</v>
      </c>
      <c r="N21" s="41">
        <f>'Hotel Data'!AN23</f>
        <v>0</v>
      </c>
      <c r="O21" s="41">
        <f>'Hotel Data'!AR23</f>
        <v>0</v>
      </c>
      <c r="P21" s="38">
        <f>TOTAL!K20</f>
        <v>0</v>
      </c>
    </row>
    <row r="22" spans="1:16" s="38" customFormat="1" x14ac:dyDescent="0.25">
      <c r="A22" s="38" t="s">
        <v>45</v>
      </c>
      <c r="B22" s="38">
        <f t="shared" si="0"/>
        <v>20</v>
      </c>
      <c r="C22" s="39">
        <v>3</v>
      </c>
      <c r="D22" s="37">
        <v>2020</v>
      </c>
      <c r="E22" s="41">
        <f>'Hotel Data'!E24</f>
        <v>0</v>
      </c>
      <c r="F22" s="41">
        <f>'Hotel Data'!G24</f>
        <v>0</v>
      </c>
      <c r="G22" s="41">
        <f>'Hotel Data'!O24</f>
        <v>0</v>
      </c>
      <c r="H22" s="41">
        <f>'Hotel Data'!Q24</f>
        <v>0</v>
      </c>
      <c r="I22" s="41">
        <f>'Hotel Data'!S24</f>
        <v>0</v>
      </c>
      <c r="J22" s="41">
        <f>'Hotel Data'!U24</f>
        <v>0</v>
      </c>
      <c r="K22" s="41">
        <f>'Hotel Data'!AD24</f>
        <v>0</v>
      </c>
      <c r="L22" s="41">
        <f>'Hotel Data'!AG24</f>
        <v>0</v>
      </c>
      <c r="M22" s="41">
        <f>'Hotel Data'!AJ24</f>
        <v>0</v>
      </c>
      <c r="N22" s="41">
        <f>'Hotel Data'!AN24</f>
        <v>0</v>
      </c>
      <c r="O22" s="41">
        <f>'Hotel Data'!AR24</f>
        <v>0</v>
      </c>
      <c r="P22" s="38">
        <f>TOTAL!K21</f>
        <v>0</v>
      </c>
    </row>
    <row r="23" spans="1:16" s="38" customFormat="1" x14ac:dyDescent="0.25">
      <c r="A23" s="38" t="s">
        <v>45</v>
      </c>
      <c r="B23" s="38">
        <f t="shared" si="0"/>
        <v>21</v>
      </c>
      <c r="C23" s="39">
        <v>3</v>
      </c>
      <c r="D23" s="37">
        <v>2020</v>
      </c>
      <c r="E23" s="41">
        <f>'Hotel Data'!E25</f>
        <v>0</v>
      </c>
      <c r="F23" s="41">
        <f>'Hotel Data'!G25</f>
        <v>0</v>
      </c>
      <c r="G23" s="41">
        <f>'Hotel Data'!O25</f>
        <v>0</v>
      </c>
      <c r="H23" s="41">
        <f>'Hotel Data'!Q25</f>
        <v>0</v>
      </c>
      <c r="I23" s="41">
        <f>'Hotel Data'!S25</f>
        <v>0</v>
      </c>
      <c r="J23" s="41">
        <f>'Hotel Data'!U25</f>
        <v>0</v>
      </c>
      <c r="K23" s="41">
        <f>'Hotel Data'!AD25</f>
        <v>0</v>
      </c>
      <c r="L23" s="41">
        <f>'Hotel Data'!AG25</f>
        <v>0</v>
      </c>
      <c r="M23" s="41">
        <f>'Hotel Data'!AJ25</f>
        <v>0</v>
      </c>
      <c r="N23" s="41">
        <f>'Hotel Data'!AN25</f>
        <v>0</v>
      </c>
      <c r="O23" s="41">
        <f>'Hotel Data'!AR25</f>
        <v>0</v>
      </c>
      <c r="P23" s="38">
        <f>TOTAL!K22</f>
        <v>0</v>
      </c>
    </row>
    <row r="24" spans="1:16" s="38" customFormat="1" x14ac:dyDescent="0.25">
      <c r="A24" s="38" t="s">
        <v>45</v>
      </c>
      <c r="B24" s="38">
        <f t="shared" si="0"/>
        <v>22</v>
      </c>
      <c r="C24" s="39">
        <v>3</v>
      </c>
      <c r="D24" s="37">
        <v>2020</v>
      </c>
      <c r="E24" s="41">
        <f>'Hotel Data'!E26</f>
        <v>0</v>
      </c>
      <c r="F24" s="41">
        <f>'Hotel Data'!G26</f>
        <v>0</v>
      </c>
      <c r="G24" s="41">
        <f>'Hotel Data'!O26</f>
        <v>0</v>
      </c>
      <c r="H24" s="41">
        <f>'Hotel Data'!Q26</f>
        <v>0</v>
      </c>
      <c r="I24" s="41">
        <f>'Hotel Data'!S26</f>
        <v>0</v>
      </c>
      <c r="J24" s="41">
        <f>'Hotel Data'!U26</f>
        <v>0</v>
      </c>
      <c r="K24" s="41">
        <f>'Hotel Data'!AD26</f>
        <v>0</v>
      </c>
      <c r="L24" s="41">
        <f>'Hotel Data'!AG26</f>
        <v>0</v>
      </c>
      <c r="M24" s="41">
        <f>'Hotel Data'!AJ26</f>
        <v>0</v>
      </c>
      <c r="N24" s="41">
        <f>'Hotel Data'!AN26</f>
        <v>0</v>
      </c>
      <c r="O24" s="41">
        <f>'Hotel Data'!AR26</f>
        <v>0</v>
      </c>
      <c r="P24" s="38">
        <f>TOTAL!K23</f>
        <v>0</v>
      </c>
    </row>
    <row r="25" spans="1:16" s="38" customFormat="1" x14ac:dyDescent="0.25">
      <c r="A25" s="38" t="s">
        <v>45</v>
      </c>
      <c r="B25" s="38">
        <f t="shared" si="0"/>
        <v>23</v>
      </c>
      <c r="C25" s="39">
        <v>3</v>
      </c>
      <c r="D25" s="37">
        <v>2020</v>
      </c>
      <c r="E25" s="41">
        <f>'Hotel Data'!E27</f>
        <v>0</v>
      </c>
      <c r="F25" s="41">
        <f>'Hotel Data'!G27</f>
        <v>0</v>
      </c>
      <c r="G25" s="41">
        <f>'Hotel Data'!O27</f>
        <v>0</v>
      </c>
      <c r="H25" s="41">
        <f>'Hotel Data'!Q27</f>
        <v>0</v>
      </c>
      <c r="I25" s="41">
        <f>'Hotel Data'!S27</f>
        <v>0</v>
      </c>
      <c r="J25" s="41">
        <f>'Hotel Data'!U27</f>
        <v>0</v>
      </c>
      <c r="K25" s="41">
        <f>'Hotel Data'!AD27</f>
        <v>0</v>
      </c>
      <c r="L25" s="41">
        <f>'Hotel Data'!AG27</f>
        <v>0</v>
      </c>
      <c r="M25" s="41">
        <f>'Hotel Data'!AJ27</f>
        <v>0</v>
      </c>
      <c r="N25" s="41">
        <f>'Hotel Data'!AN27</f>
        <v>0</v>
      </c>
      <c r="O25" s="41">
        <f>'Hotel Data'!AR27</f>
        <v>0</v>
      </c>
      <c r="P25" s="38">
        <f>TOTAL!K24</f>
        <v>0</v>
      </c>
    </row>
    <row r="26" spans="1:16" s="38" customFormat="1" x14ac:dyDescent="0.25">
      <c r="A26" s="38" t="s">
        <v>45</v>
      </c>
      <c r="B26" s="38">
        <f t="shared" si="0"/>
        <v>24</v>
      </c>
      <c r="C26" s="39">
        <v>3</v>
      </c>
      <c r="D26" s="37">
        <v>2020</v>
      </c>
      <c r="E26" s="41">
        <f>'Hotel Data'!E28</f>
        <v>0</v>
      </c>
      <c r="F26" s="41">
        <f>'Hotel Data'!G28</f>
        <v>0</v>
      </c>
      <c r="G26" s="41">
        <f>'Hotel Data'!O28</f>
        <v>0</v>
      </c>
      <c r="H26" s="41">
        <f>'Hotel Data'!Q28</f>
        <v>0</v>
      </c>
      <c r="I26" s="41">
        <f>'Hotel Data'!S28</f>
        <v>0</v>
      </c>
      <c r="J26" s="41">
        <f>'Hotel Data'!U28</f>
        <v>0</v>
      </c>
      <c r="K26" s="41">
        <f>'Hotel Data'!AD28</f>
        <v>0</v>
      </c>
      <c r="L26" s="41">
        <f>'Hotel Data'!AG28</f>
        <v>0</v>
      </c>
      <c r="M26" s="41">
        <f>'Hotel Data'!AJ28</f>
        <v>0</v>
      </c>
      <c r="N26" s="41">
        <f>'Hotel Data'!AN28</f>
        <v>0</v>
      </c>
      <c r="O26" s="41">
        <f>'Hotel Data'!AR28</f>
        <v>0</v>
      </c>
      <c r="P26" s="38">
        <f>TOTAL!K25</f>
        <v>0</v>
      </c>
    </row>
    <row r="27" spans="1:16" s="38" customFormat="1" x14ac:dyDescent="0.25">
      <c r="A27" s="38" t="s">
        <v>45</v>
      </c>
      <c r="B27" s="38">
        <f>B26+1</f>
        <v>25</v>
      </c>
      <c r="C27" s="39">
        <v>3</v>
      </c>
      <c r="D27" s="37">
        <v>2020</v>
      </c>
      <c r="E27" s="41">
        <f>'Hotel Data'!E29</f>
        <v>0</v>
      </c>
      <c r="F27" s="41">
        <f>'Hotel Data'!G29</f>
        <v>0</v>
      </c>
      <c r="G27" s="41">
        <f>'Hotel Data'!O29</f>
        <v>0</v>
      </c>
      <c r="H27" s="41">
        <f>'Hotel Data'!Q29</f>
        <v>0</v>
      </c>
      <c r="I27" s="41">
        <f>'Hotel Data'!S29</f>
        <v>0</v>
      </c>
      <c r="J27" s="41">
        <f>'Hotel Data'!U29</f>
        <v>0</v>
      </c>
      <c r="K27" s="41">
        <f>'Hotel Data'!AD29</f>
        <v>0</v>
      </c>
      <c r="L27" s="41">
        <f>'Hotel Data'!AG29</f>
        <v>0</v>
      </c>
      <c r="M27" s="41">
        <f>'Hotel Data'!AJ29</f>
        <v>0</v>
      </c>
      <c r="N27" s="41">
        <f>'Hotel Data'!AN29</f>
        <v>0</v>
      </c>
      <c r="O27" s="41">
        <f>'Hotel Data'!AR29</f>
        <v>0</v>
      </c>
      <c r="P27" s="38">
        <f>TOTAL!K26</f>
        <v>0</v>
      </c>
    </row>
    <row r="28" spans="1:16" s="38" customFormat="1" x14ac:dyDescent="0.25">
      <c r="A28" s="38" t="s">
        <v>45</v>
      </c>
      <c r="B28" s="38">
        <f t="shared" si="0"/>
        <v>26</v>
      </c>
      <c r="C28" s="39">
        <v>3</v>
      </c>
      <c r="D28" s="37">
        <v>2020</v>
      </c>
      <c r="E28" s="41">
        <f>'Hotel Data'!E30</f>
        <v>0</v>
      </c>
      <c r="F28" s="41">
        <f>'Hotel Data'!G30</f>
        <v>0</v>
      </c>
      <c r="G28" s="41">
        <f>'Hotel Data'!O30</f>
        <v>0</v>
      </c>
      <c r="H28" s="41">
        <f>'Hotel Data'!Q30</f>
        <v>0</v>
      </c>
      <c r="I28" s="41">
        <f>'Hotel Data'!S30</f>
        <v>0</v>
      </c>
      <c r="J28" s="41">
        <f>'Hotel Data'!U30</f>
        <v>0</v>
      </c>
      <c r="K28" s="41">
        <f>'Hotel Data'!AD30</f>
        <v>0</v>
      </c>
      <c r="L28" s="41">
        <f>'Hotel Data'!AG30</f>
        <v>0</v>
      </c>
      <c r="M28" s="41">
        <f>'Hotel Data'!AJ30</f>
        <v>0</v>
      </c>
      <c r="N28" s="41">
        <f>'Hotel Data'!AN30</f>
        <v>0</v>
      </c>
      <c r="O28" s="41">
        <f>'Hotel Data'!AR30</f>
        <v>0</v>
      </c>
      <c r="P28" s="38">
        <f>TOTAL!K27</f>
        <v>0</v>
      </c>
    </row>
    <row r="29" spans="1:16" s="38" customFormat="1" x14ac:dyDescent="0.25">
      <c r="A29" s="38" t="s">
        <v>45</v>
      </c>
      <c r="B29" s="38">
        <f t="shared" si="0"/>
        <v>27</v>
      </c>
      <c r="C29" s="39">
        <v>3</v>
      </c>
      <c r="D29" s="37">
        <v>2020</v>
      </c>
      <c r="E29" s="41">
        <f>'Hotel Data'!E31</f>
        <v>0</v>
      </c>
      <c r="F29" s="41">
        <f>'Hotel Data'!G31</f>
        <v>0</v>
      </c>
      <c r="G29" s="41">
        <f>'Hotel Data'!O31</f>
        <v>0</v>
      </c>
      <c r="H29" s="41">
        <f>'Hotel Data'!Q31</f>
        <v>0</v>
      </c>
      <c r="I29" s="41">
        <f>'Hotel Data'!S31</f>
        <v>0</v>
      </c>
      <c r="J29" s="41">
        <f>'Hotel Data'!U31</f>
        <v>0</v>
      </c>
      <c r="K29" s="41">
        <f>'Hotel Data'!AD31</f>
        <v>0</v>
      </c>
      <c r="L29" s="41">
        <f>'Hotel Data'!AG31</f>
        <v>0</v>
      </c>
      <c r="M29" s="41">
        <f>'Hotel Data'!AJ31</f>
        <v>0</v>
      </c>
      <c r="N29" s="41">
        <f>'Hotel Data'!AN31</f>
        <v>0</v>
      </c>
      <c r="O29" s="41">
        <f>'Hotel Data'!AR31</f>
        <v>0</v>
      </c>
      <c r="P29" s="38">
        <f>TOTAL!K28</f>
        <v>0</v>
      </c>
    </row>
    <row r="30" spans="1:16" s="38" customFormat="1" x14ac:dyDescent="0.25">
      <c r="A30" s="38" t="s">
        <v>45</v>
      </c>
      <c r="B30" s="38">
        <f t="shared" si="0"/>
        <v>28</v>
      </c>
      <c r="C30" s="39">
        <v>3</v>
      </c>
      <c r="D30" s="37">
        <v>2020</v>
      </c>
      <c r="E30" s="41">
        <f>'Hotel Data'!E32</f>
        <v>0</v>
      </c>
      <c r="F30" s="41">
        <f>'Hotel Data'!G32</f>
        <v>0</v>
      </c>
      <c r="G30" s="41">
        <f>'Hotel Data'!O32</f>
        <v>0</v>
      </c>
      <c r="H30" s="41">
        <f>'Hotel Data'!Q32</f>
        <v>0</v>
      </c>
      <c r="I30" s="41">
        <f>'Hotel Data'!S32</f>
        <v>0</v>
      </c>
      <c r="J30" s="41">
        <f>'Hotel Data'!U32</f>
        <v>0</v>
      </c>
      <c r="K30" s="41">
        <f>'Hotel Data'!AD32</f>
        <v>0</v>
      </c>
      <c r="L30" s="41">
        <f>'Hotel Data'!AG32</f>
        <v>0</v>
      </c>
      <c r="M30" s="41">
        <f>'Hotel Data'!AJ32</f>
        <v>0</v>
      </c>
      <c r="N30" s="41">
        <f>'Hotel Data'!AN32</f>
        <v>0</v>
      </c>
      <c r="O30" s="41">
        <f>'Hotel Data'!AR32</f>
        <v>0</v>
      </c>
      <c r="P30" s="38">
        <f>TOTAL!K29</f>
        <v>0</v>
      </c>
    </row>
    <row r="31" spans="1:16" s="38" customFormat="1" x14ac:dyDescent="0.25">
      <c r="A31" s="38" t="s">
        <v>45</v>
      </c>
      <c r="B31" s="38">
        <f t="shared" si="0"/>
        <v>29</v>
      </c>
      <c r="C31" s="39">
        <v>3</v>
      </c>
      <c r="D31" s="37">
        <v>2020</v>
      </c>
      <c r="E31" s="41">
        <f>'Hotel Data'!E33</f>
        <v>0</v>
      </c>
      <c r="F31" s="41">
        <f>'Hotel Data'!G33</f>
        <v>0</v>
      </c>
      <c r="G31" s="41">
        <f>'Hotel Data'!O33</f>
        <v>0</v>
      </c>
      <c r="H31" s="41">
        <f>'Hotel Data'!Q33</f>
        <v>0</v>
      </c>
      <c r="I31" s="41">
        <f>'Hotel Data'!S33</f>
        <v>0</v>
      </c>
      <c r="J31" s="41">
        <f>'Hotel Data'!U33</f>
        <v>0</v>
      </c>
      <c r="K31" s="41">
        <f>'Hotel Data'!AD33</f>
        <v>0</v>
      </c>
      <c r="L31" s="41">
        <f>'Hotel Data'!AG33</f>
        <v>0</v>
      </c>
      <c r="M31" s="41">
        <f>'Hotel Data'!AJ33</f>
        <v>0</v>
      </c>
      <c r="N31" s="41">
        <f>'Hotel Data'!AN33</f>
        <v>0</v>
      </c>
      <c r="O31" s="41">
        <f>'Hotel Data'!AR33</f>
        <v>0</v>
      </c>
      <c r="P31" s="38">
        <f>TOTAL!K30</f>
        <v>0</v>
      </c>
    </row>
    <row r="32" spans="1:16" s="37" customFormat="1" x14ac:dyDescent="0.25">
      <c r="A32" s="37" t="s">
        <v>45</v>
      </c>
      <c r="B32" s="37">
        <f t="shared" si="0"/>
        <v>30</v>
      </c>
      <c r="C32" s="39">
        <v>3</v>
      </c>
      <c r="D32" s="37">
        <v>2020</v>
      </c>
      <c r="E32" s="41">
        <f>'Hotel Data'!E34</f>
        <v>0</v>
      </c>
      <c r="F32" s="41">
        <f>'Hotel Data'!G34</f>
        <v>0</v>
      </c>
      <c r="G32" s="41">
        <f>'Hotel Data'!O34</f>
        <v>0</v>
      </c>
      <c r="H32" s="41">
        <f>'Hotel Data'!Q34</f>
        <v>0</v>
      </c>
      <c r="I32" s="41">
        <f>'Hotel Data'!S34</f>
        <v>0</v>
      </c>
      <c r="J32" s="41">
        <f>'Hotel Data'!U34</f>
        <v>0</v>
      </c>
      <c r="K32" s="41">
        <f>'Hotel Data'!AD34</f>
        <v>0</v>
      </c>
      <c r="L32" s="41">
        <f>'Hotel Data'!AG34</f>
        <v>0</v>
      </c>
      <c r="M32" s="41">
        <f>'Hotel Data'!AJ34</f>
        <v>0</v>
      </c>
      <c r="N32" s="41">
        <f>'Hotel Data'!AN34</f>
        <v>0</v>
      </c>
      <c r="O32" s="41">
        <f>'Hotel Data'!AR34</f>
        <v>0</v>
      </c>
      <c r="P32" s="38">
        <f>TOTAL!K31</f>
        <v>0</v>
      </c>
    </row>
    <row r="33" spans="1:16" s="37" customFormat="1" x14ac:dyDescent="0.25">
      <c r="A33" s="37" t="s">
        <v>45</v>
      </c>
      <c r="B33" s="37">
        <f t="shared" si="0"/>
        <v>31</v>
      </c>
      <c r="C33" s="39">
        <v>3</v>
      </c>
      <c r="D33" s="37">
        <v>2020</v>
      </c>
      <c r="E33" s="41">
        <f>'Hotel Data'!E35</f>
        <v>0</v>
      </c>
      <c r="F33" s="41">
        <f>'Hotel Data'!G35</f>
        <v>0</v>
      </c>
      <c r="G33" s="41">
        <f>'Hotel Data'!O35</f>
        <v>0</v>
      </c>
      <c r="H33" s="41">
        <f>'Hotel Data'!Q35</f>
        <v>0</v>
      </c>
      <c r="I33" s="41">
        <f>'Hotel Data'!S35</f>
        <v>0</v>
      </c>
      <c r="J33" s="41">
        <f>'Hotel Data'!U35</f>
        <v>0</v>
      </c>
      <c r="K33" s="41">
        <f>'Hotel Data'!AD35</f>
        <v>0</v>
      </c>
      <c r="L33" s="41">
        <f>'Hotel Data'!AG35</f>
        <v>0</v>
      </c>
      <c r="M33" s="41">
        <f>'Hotel Data'!AJ35</f>
        <v>0</v>
      </c>
      <c r="N33" s="41">
        <f>'Hotel Data'!AN35</f>
        <v>0</v>
      </c>
      <c r="O33" s="41">
        <f>'Hotel Data'!AR35</f>
        <v>0</v>
      </c>
      <c r="P33" s="38">
        <f>TOTAL!K32</f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44"/>
  <sheetViews>
    <sheetView zoomScale="85" zoomScaleNormal="85" workbookViewId="0">
      <selection activeCell="J5" sqref="J5"/>
    </sheetView>
  </sheetViews>
  <sheetFormatPr defaultColWidth="8.5703125" defaultRowHeight="15" x14ac:dyDescent="0.2"/>
  <cols>
    <col min="1" max="1" width="6" style="48" customWidth="1"/>
    <col min="2" max="2" width="8.140625" style="1" customWidth="1"/>
    <col min="3" max="3" width="14.85546875" style="1" customWidth="1"/>
    <col min="4" max="4" width="13.5703125" style="1" customWidth="1"/>
    <col min="5" max="5" width="10" style="1" customWidth="1"/>
    <col min="6" max="6" width="12.28515625" style="1" customWidth="1"/>
    <col min="7" max="7" width="12.28515625" style="1" bestFit="1" customWidth="1"/>
    <col min="8" max="8" width="11.7109375" style="1" customWidth="1"/>
    <col min="9" max="11" width="12.7109375" style="1" customWidth="1"/>
    <col min="12" max="13" width="8.85546875" style="1" customWidth="1"/>
    <col min="14" max="14" width="14.85546875" style="1" customWidth="1"/>
    <col min="15" max="15" width="9.140625" style="1" customWidth="1"/>
    <col min="16" max="16" width="15.7109375" style="1" customWidth="1"/>
    <col min="17" max="17" width="9" style="1" customWidth="1"/>
    <col min="18" max="18" width="15.7109375" style="1" customWidth="1"/>
    <col min="19" max="19" width="9.5703125" style="1" customWidth="1"/>
    <col min="20" max="20" width="13.5703125" style="1" customWidth="1"/>
    <col min="21" max="21" width="7.5703125" style="1" customWidth="1"/>
    <col min="22" max="22" width="17" style="1" customWidth="1"/>
    <col min="23" max="23" width="15.140625" style="1" bestFit="1" customWidth="1"/>
    <col min="24" max="24" width="14.42578125" style="1" customWidth="1"/>
    <col min="25" max="25" width="12.7109375" style="27" customWidth="1"/>
    <col min="26" max="26" width="16.42578125" style="1" customWidth="1"/>
    <col min="27" max="27" width="11.5703125" style="1" customWidth="1"/>
    <col min="28" max="28" width="16.5703125" style="48" customWidth="1"/>
    <col min="29" max="29" width="12.140625" style="1" customWidth="1"/>
    <col min="30" max="30" width="17.7109375" style="1" bestFit="1" customWidth="1"/>
    <col min="31" max="31" width="17.85546875" style="1" customWidth="1"/>
    <col min="32" max="32" width="12.28515625" style="1" bestFit="1" customWidth="1"/>
    <col min="33" max="33" width="12.28515625" style="1" customWidth="1"/>
    <col min="34" max="34" width="17.85546875" style="1" bestFit="1" customWidth="1"/>
    <col min="35" max="35" width="17.85546875" style="1" customWidth="1"/>
    <col min="36" max="36" width="12.28515625" style="1" customWidth="1"/>
    <col min="37" max="37" width="10" style="1" customWidth="1"/>
    <col min="38" max="38" width="15" style="1" customWidth="1"/>
    <col min="39" max="39" width="12.5703125" style="1" customWidth="1"/>
    <col min="40" max="40" width="11" style="1" customWidth="1"/>
    <col min="41" max="41" width="9.140625" style="1" customWidth="1"/>
    <col min="42" max="42" width="13.42578125" style="1" customWidth="1"/>
    <col min="43" max="43" width="13.28515625" style="1" customWidth="1"/>
    <col min="44" max="44" width="10.28515625" style="1" customWidth="1"/>
    <col min="45" max="45" width="11.140625" style="1" customWidth="1"/>
    <col min="46" max="46" width="10.28515625" style="1" customWidth="1"/>
    <col min="47" max="47" width="11.5703125" style="1" customWidth="1"/>
    <col min="48" max="48" width="13.140625" style="1" customWidth="1"/>
    <col min="49" max="49" width="9" style="1" customWidth="1"/>
    <col min="50" max="50" width="7.28515625" style="1" customWidth="1"/>
    <col min="51" max="51" width="7.5703125" style="1" customWidth="1"/>
    <col min="52" max="55" width="11.42578125" style="1" customWidth="1"/>
    <col min="56" max="56" width="17.28515625" style="1" bestFit="1" customWidth="1"/>
    <col min="57" max="57" width="17.28515625" style="1" customWidth="1"/>
    <col min="58" max="59" width="12.7109375" style="1" customWidth="1"/>
    <col min="60" max="61" width="11.42578125" style="1" customWidth="1"/>
    <col min="62" max="16384" width="8.5703125" style="1"/>
  </cols>
  <sheetData>
    <row r="1" spans="1:61" ht="12" customHeight="1" x14ac:dyDescent="0.2">
      <c r="A1" s="125"/>
      <c r="B1" s="126"/>
      <c r="C1" s="127"/>
      <c r="D1" s="113" t="s">
        <v>61</v>
      </c>
      <c r="E1" s="115"/>
      <c r="F1" s="113" t="s">
        <v>62</v>
      </c>
      <c r="G1" s="115"/>
      <c r="H1" s="131" t="s">
        <v>1</v>
      </c>
      <c r="I1" s="132"/>
      <c r="J1" s="132"/>
      <c r="K1" s="132"/>
      <c r="L1" s="132"/>
      <c r="M1" s="133"/>
      <c r="N1" s="137" t="s">
        <v>2</v>
      </c>
      <c r="O1" s="115"/>
      <c r="P1" s="139" t="s">
        <v>63</v>
      </c>
      <c r="Q1" s="140"/>
      <c r="R1" s="139" t="s">
        <v>3</v>
      </c>
      <c r="S1" s="140"/>
      <c r="T1" s="139" t="s">
        <v>4</v>
      </c>
      <c r="U1" s="140"/>
      <c r="V1" s="113" t="s">
        <v>5</v>
      </c>
      <c r="W1" s="114"/>
      <c r="X1" s="115"/>
      <c r="Y1" s="113" t="s">
        <v>6</v>
      </c>
      <c r="Z1" s="114"/>
      <c r="AA1" s="115"/>
      <c r="AB1" s="113" t="s">
        <v>64</v>
      </c>
      <c r="AC1" s="114"/>
      <c r="AD1" s="115"/>
      <c r="AE1" s="113" t="s">
        <v>65</v>
      </c>
      <c r="AF1" s="114"/>
      <c r="AG1" s="115"/>
      <c r="AH1" s="113" t="s">
        <v>66</v>
      </c>
      <c r="AI1" s="114"/>
      <c r="AJ1" s="114"/>
      <c r="AK1" s="115"/>
      <c r="AL1" s="113" t="s">
        <v>67</v>
      </c>
      <c r="AM1" s="114"/>
      <c r="AN1" s="114"/>
      <c r="AO1" s="115"/>
      <c r="AP1" s="113" t="s">
        <v>68</v>
      </c>
      <c r="AQ1" s="114"/>
      <c r="AR1" s="115"/>
      <c r="AS1" s="113" t="s">
        <v>69</v>
      </c>
      <c r="AT1" s="115"/>
      <c r="AU1" s="119" t="s">
        <v>7</v>
      </c>
      <c r="AV1" s="121" t="s">
        <v>8</v>
      </c>
      <c r="AW1" s="143" t="s">
        <v>9</v>
      </c>
      <c r="AX1" s="49"/>
      <c r="AY1" s="45"/>
      <c r="AZ1" s="110" t="s">
        <v>70</v>
      </c>
      <c r="BA1" s="110" t="s">
        <v>0</v>
      </c>
      <c r="BB1" s="110" t="s">
        <v>10</v>
      </c>
      <c r="BC1" s="110" t="s">
        <v>11</v>
      </c>
      <c r="BD1" s="110" t="s">
        <v>12</v>
      </c>
      <c r="BE1" s="110" t="s">
        <v>13</v>
      </c>
      <c r="BF1" s="110" t="s">
        <v>60</v>
      </c>
      <c r="BG1" s="110" t="s">
        <v>66</v>
      </c>
      <c r="BH1" s="110" t="s">
        <v>71</v>
      </c>
      <c r="BI1" s="110" t="s">
        <v>72</v>
      </c>
    </row>
    <row r="2" spans="1:61" ht="15.75" thickBot="1" x14ac:dyDescent="0.25">
      <c r="A2" s="128"/>
      <c r="B2" s="129"/>
      <c r="C2" s="130"/>
      <c r="D2" s="116"/>
      <c r="E2" s="118"/>
      <c r="F2" s="116"/>
      <c r="G2" s="118"/>
      <c r="H2" s="134"/>
      <c r="I2" s="135"/>
      <c r="J2" s="135"/>
      <c r="K2" s="135"/>
      <c r="L2" s="135"/>
      <c r="M2" s="136"/>
      <c r="N2" s="138"/>
      <c r="O2" s="118"/>
      <c r="P2" s="141"/>
      <c r="Q2" s="142"/>
      <c r="R2" s="141"/>
      <c r="S2" s="142"/>
      <c r="T2" s="141"/>
      <c r="U2" s="142"/>
      <c r="V2" s="116"/>
      <c r="W2" s="117"/>
      <c r="X2" s="118"/>
      <c r="Y2" s="116"/>
      <c r="Z2" s="117"/>
      <c r="AA2" s="118"/>
      <c r="AB2" s="116"/>
      <c r="AC2" s="117"/>
      <c r="AD2" s="118"/>
      <c r="AE2" s="116"/>
      <c r="AF2" s="117"/>
      <c r="AG2" s="118"/>
      <c r="AH2" s="116"/>
      <c r="AI2" s="117"/>
      <c r="AJ2" s="117"/>
      <c r="AK2" s="118"/>
      <c r="AL2" s="116"/>
      <c r="AM2" s="117"/>
      <c r="AN2" s="117"/>
      <c r="AO2" s="118"/>
      <c r="AP2" s="116"/>
      <c r="AQ2" s="117"/>
      <c r="AR2" s="118"/>
      <c r="AS2" s="116"/>
      <c r="AT2" s="118"/>
      <c r="AU2" s="120"/>
      <c r="AV2" s="122"/>
      <c r="AW2" s="144"/>
      <c r="AX2" s="49"/>
      <c r="AY2" s="47"/>
      <c r="AZ2" s="111"/>
      <c r="BA2" s="111"/>
      <c r="BB2" s="111"/>
      <c r="BC2" s="111"/>
      <c r="BD2" s="111"/>
      <c r="BE2" s="111"/>
      <c r="BF2" s="111"/>
      <c r="BG2" s="111"/>
      <c r="BH2" s="111"/>
      <c r="BI2" s="111"/>
    </row>
    <row r="3" spans="1:61" ht="16.5" thickBot="1" x14ac:dyDescent="0.3">
      <c r="A3" s="50" t="s">
        <v>14</v>
      </c>
      <c r="B3" s="50" t="s">
        <v>15</v>
      </c>
      <c r="C3" s="50" t="s">
        <v>16</v>
      </c>
      <c r="D3" s="51" t="s">
        <v>17</v>
      </c>
      <c r="E3" s="51" t="s">
        <v>18</v>
      </c>
      <c r="F3" s="51" t="s">
        <v>17</v>
      </c>
      <c r="G3" s="51" t="s">
        <v>18</v>
      </c>
      <c r="H3" s="3" t="s">
        <v>17</v>
      </c>
      <c r="I3" s="3" t="s">
        <v>18</v>
      </c>
      <c r="J3" s="4" t="s">
        <v>19</v>
      </c>
      <c r="K3" s="5" t="s">
        <v>18</v>
      </c>
      <c r="L3" s="3" t="s">
        <v>20</v>
      </c>
      <c r="M3" s="3" t="s">
        <v>21</v>
      </c>
      <c r="N3" s="51" t="s">
        <v>17</v>
      </c>
      <c r="O3" s="51" t="s">
        <v>18</v>
      </c>
      <c r="P3" s="51" t="s">
        <v>17</v>
      </c>
      <c r="Q3" s="51" t="s">
        <v>18</v>
      </c>
      <c r="R3" s="51" t="s">
        <v>17</v>
      </c>
      <c r="S3" s="51" t="s">
        <v>18</v>
      </c>
      <c r="T3" s="51" t="s">
        <v>17</v>
      </c>
      <c r="U3" s="51" t="s">
        <v>18</v>
      </c>
      <c r="V3" s="51" t="s">
        <v>22</v>
      </c>
      <c r="W3" s="51" t="s">
        <v>18</v>
      </c>
      <c r="X3" s="51" t="s">
        <v>73</v>
      </c>
      <c r="Y3" s="51" t="s">
        <v>23</v>
      </c>
      <c r="Z3" s="51" t="s">
        <v>18</v>
      </c>
      <c r="AA3" s="51"/>
      <c r="AB3" s="51" t="s">
        <v>24</v>
      </c>
      <c r="AC3" s="51" t="s">
        <v>18</v>
      </c>
      <c r="AD3" s="51" t="s">
        <v>73</v>
      </c>
      <c r="AE3" s="51" t="s">
        <v>24</v>
      </c>
      <c r="AF3" s="51" t="s">
        <v>18</v>
      </c>
      <c r="AG3" s="51" t="s">
        <v>73</v>
      </c>
      <c r="AH3" s="51" t="s">
        <v>25</v>
      </c>
      <c r="AI3" s="51" t="s">
        <v>18</v>
      </c>
      <c r="AJ3" s="51" t="s">
        <v>73</v>
      </c>
      <c r="AK3" s="51" t="s">
        <v>26</v>
      </c>
      <c r="AL3" s="51" t="s">
        <v>24</v>
      </c>
      <c r="AM3" s="51" t="s">
        <v>18</v>
      </c>
      <c r="AN3" s="51" t="s">
        <v>73</v>
      </c>
      <c r="AO3" s="51" t="s">
        <v>26</v>
      </c>
      <c r="AP3" s="51" t="s">
        <v>25</v>
      </c>
      <c r="AQ3" s="51" t="s">
        <v>18</v>
      </c>
      <c r="AR3" s="51" t="s">
        <v>73</v>
      </c>
      <c r="AS3" s="50" t="s">
        <v>27</v>
      </c>
      <c r="AT3" s="50" t="s">
        <v>28</v>
      </c>
      <c r="AU3" s="123" t="s">
        <v>29</v>
      </c>
      <c r="AV3" s="124"/>
      <c r="AW3" s="52"/>
      <c r="AX3" s="49"/>
      <c r="AY3" s="46"/>
      <c r="AZ3" s="112"/>
      <c r="BA3" s="112"/>
      <c r="BB3" s="112"/>
      <c r="BC3" s="112"/>
      <c r="BD3" s="112"/>
      <c r="BE3" s="112"/>
      <c r="BF3" s="112"/>
      <c r="BG3" s="112"/>
      <c r="BH3" s="112"/>
      <c r="BI3" s="112"/>
    </row>
    <row r="4" spans="1:61" ht="13.9" customHeight="1" x14ac:dyDescent="0.2">
      <c r="A4" s="72"/>
      <c r="B4" s="63"/>
      <c r="C4" s="10"/>
      <c r="D4" s="67">
        <f>[1]February!D39</f>
        <v>54972</v>
      </c>
      <c r="E4" s="8"/>
      <c r="F4" s="67">
        <f>[1]February!F33</f>
        <v>6634</v>
      </c>
      <c r="G4" s="8"/>
      <c r="H4" s="14">
        <v>528204</v>
      </c>
      <c r="I4" s="8"/>
      <c r="J4" s="78">
        <v>498332</v>
      </c>
      <c r="K4" s="8"/>
      <c r="L4" s="7"/>
      <c r="M4" s="7" t="e">
        <f>I4/L4</f>
        <v>#DIV/0!</v>
      </c>
      <c r="N4" s="67">
        <f>[1]February!N33</f>
        <v>87313</v>
      </c>
      <c r="O4" s="8"/>
      <c r="P4" s="67">
        <f>[1]February!P33</f>
        <v>79200</v>
      </c>
      <c r="Q4" s="54"/>
      <c r="R4" s="67">
        <f>[1]February!R33</f>
        <v>14334</v>
      </c>
      <c r="S4" s="54"/>
      <c r="T4" s="67">
        <f>[1]February!T33</f>
        <v>169434</v>
      </c>
      <c r="U4" s="54"/>
      <c r="V4" s="68">
        <f>[1]February!V39</f>
        <v>1199.451</v>
      </c>
      <c r="W4" s="8"/>
      <c r="X4" s="53">
        <f>[1]February!X33</f>
        <v>11854.8</v>
      </c>
      <c r="Y4" s="68">
        <f>[1]February!Y39</f>
        <v>225.33199999999999</v>
      </c>
      <c r="Z4" s="8"/>
      <c r="AA4" s="53">
        <f>[1]February!AA33</f>
        <v>2577.4</v>
      </c>
      <c r="AB4" s="68">
        <f>[1]February!AB39</f>
        <v>1570021.17</v>
      </c>
      <c r="AC4" s="9"/>
      <c r="AD4" s="53"/>
      <c r="AE4" s="68">
        <f>[1]February!AE39</f>
        <v>297092</v>
      </c>
      <c r="AF4" s="9"/>
      <c r="AG4" s="53"/>
      <c r="AH4" s="68">
        <f>[1]February!AH39</f>
        <v>32300</v>
      </c>
      <c r="AI4" s="8"/>
      <c r="AJ4" s="53"/>
      <c r="AK4" s="79"/>
      <c r="AL4" s="67">
        <f>[1]February!AL39</f>
        <v>2045278</v>
      </c>
      <c r="AM4" s="8"/>
      <c r="AN4" s="53"/>
      <c r="AO4" s="7"/>
      <c r="AP4" s="67">
        <f>[1]February!AP39</f>
        <v>45176.800000000003</v>
      </c>
      <c r="AQ4" s="8"/>
      <c r="AR4" s="53"/>
      <c r="AS4" s="69"/>
      <c r="AT4" s="6"/>
      <c r="AU4" s="67"/>
      <c r="AV4" s="68">
        <f>[1]February!AV33</f>
        <v>0</v>
      </c>
      <c r="AW4" s="65"/>
      <c r="AX4" s="74"/>
      <c r="AY4" s="21"/>
      <c r="AZ4" s="75">
        <f>D39</f>
        <v>0</v>
      </c>
      <c r="BA4" s="75">
        <f>F39</f>
        <v>0</v>
      </c>
      <c r="BB4" s="75">
        <f>H39</f>
        <v>0</v>
      </c>
      <c r="BC4" s="75">
        <f>N39</f>
        <v>0</v>
      </c>
      <c r="BD4" s="76">
        <v>390000</v>
      </c>
      <c r="BE4" s="76">
        <f>BD4</f>
        <v>390000</v>
      </c>
      <c r="BF4" s="77">
        <v>40371</v>
      </c>
      <c r="BG4" s="77">
        <v>8416</v>
      </c>
      <c r="BH4" s="77">
        <v>20446</v>
      </c>
      <c r="BI4" s="77">
        <v>9008</v>
      </c>
    </row>
    <row r="5" spans="1:61" ht="15.75" x14ac:dyDescent="0.25">
      <c r="A5" s="62">
        <v>1</v>
      </c>
      <c r="B5" s="63" t="s">
        <v>74</v>
      </c>
      <c r="C5" s="10" t="s">
        <v>77</v>
      </c>
      <c r="D5" s="6">
        <v>55426</v>
      </c>
      <c r="E5" s="8">
        <f t="shared" ref="E5:E14" si="0">IF(ISBLANK(D5),0,D5-D4)</f>
        <v>454</v>
      </c>
      <c r="F5" s="6">
        <v>6636</v>
      </c>
      <c r="G5" s="8">
        <f t="shared" ref="G5:G14" si="1">IF(ISBLANK(F5),0,F5-F4)</f>
        <v>2</v>
      </c>
      <c r="H5" s="14">
        <v>528304</v>
      </c>
      <c r="I5" s="8">
        <f t="shared" ref="I5:I14" si="2">IF(ISBLANK(H5),0,H5-H4)</f>
        <v>100</v>
      </c>
      <c r="J5" s="78">
        <v>498408</v>
      </c>
      <c r="K5" s="8">
        <f>J5-J4</f>
        <v>76</v>
      </c>
      <c r="L5" s="7"/>
      <c r="M5" s="11" t="e">
        <f>I5/L5</f>
        <v>#DIV/0!</v>
      </c>
      <c r="N5" s="6">
        <v>87314</v>
      </c>
      <c r="O5" s="8">
        <f t="shared" ref="O5:O14" si="3">IF(ISBLANK(N5),0,N5-N4)</f>
        <v>1</v>
      </c>
      <c r="P5" s="12">
        <v>79200</v>
      </c>
      <c r="Q5" s="9">
        <f t="shared" ref="Q5:Q14" si="4">IF(ISBLANK(P5),0,P5-P4)</f>
        <v>0</v>
      </c>
      <c r="R5" s="12">
        <v>14356</v>
      </c>
      <c r="S5" s="9">
        <f t="shared" ref="S5:S14" si="5">IF(ISBLANK(R5),0,R5-R4)</f>
        <v>22</v>
      </c>
      <c r="T5" s="12">
        <v>169510</v>
      </c>
      <c r="U5" s="9">
        <f t="shared" ref="U5:U14" si="6">IF(ISBLANK(T5),0,T5-T4)</f>
        <v>76</v>
      </c>
      <c r="V5" s="13"/>
      <c r="W5" s="8">
        <f t="shared" ref="W5:W13" si="7">IF(ISBLANK(V5),0,SUM(V5-V4)*2200)</f>
        <v>0</v>
      </c>
      <c r="X5" s="53">
        <v>8522</v>
      </c>
      <c r="Y5" s="64"/>
      <c r="Z5" s="8">
        <f>IF(ISBLANK(Y5),0,Y5-Y4)*2200</f>
        <v>0</v>
      </c>
      <c r="AA5" s="53">
        <v>1950.4</v>
      </c>
      <c r="AB5" s="6"/>
      <c r="AC5" s="9">
        <f>IF(ISBLANK(AB5),0,SUM(AB5-AB4))</f>
        <v>0</v>
      </c>
      <c r="AD5" s="53">
        <v>295.83999999999997</v>
      </c>
      <c r="AE5" s="6"/>
      <c r="AF5" s="9">
        <f>IF(ISBLANK(AE5),0,SUM(AE5-AE4))</f>
        <v>0</v>
      </c>
      <c r="AG5" s="53">
        <v>974.5</v>
      </c>
      <c r="AH5" s="80"/>
      <c r="AI5" s="8">
        <f>IF(ISBLANK(AH5),0,AH5-AH4)*80</f>
        <v>0</v>
      </c>
      <c r="AJ5" s="53">
        <v>112</v>
      </c>
      <c r="AK5" s="7"/>
      <c r="AL5" s="6"/>
      <c r="AM5" s="8">
        <f t="shared" ref="AM5:AM14" si="8">IF(ISBLANK(AL5),0,AL5-AL4)</f>
        <v>0</v>
      </c>
      <c r="AN5" s="53">
        <v>109.62</v>
      </c>
      <c r="AO5" s="7"/>
      <c r="AP5" s="6"/>
      <c r="AQ5" s="8">
        <f>IF(ISBLANK(AP5),0,AP5-AP4)*80</f>
        <v>0</v>
      </c>
      <c r="AR5" s="53">
        <v>184</v>
      </c>
      <c r="AS5" s="14">
        <v>2</v>
      </c>
      <c r="AT5" s="73">
        <v>8</v>
      </c>
      <c r="AU5" s="81"/>
      <c r="AV5" s="82"/>
      <c r="AW5" s="65">
        <f t="shared" ref="AW5:AW14" si="9">IF(ISBLANK(AV5),0,AV5-AV4)</f>
        <v>0</v>
      </c>
      <c r="AY5" s="66">
        <v>1</v>
      </c>
      <c r="AZ5" s="15">
        <f>IF(D5&lt;&gt;0,(+D5-D$10)/A5*31,0)</f>
        <v>-74927</v>
      </c>
      <c r="BA5" s="15">
        <f>IF(F5&lt;&gt;0,(+F5-F$10)/$A5*31,0)</f>
        <v>0</v>
      </c>
      <c r="BB5" s="15">
        <f>IF(H5&lt;&gt;0,(+H5-H$10)/$A5*31,0)</f>
        <v>-9703</v>
      </c>
      <c r="BC5" s="15">
        <f>IF(L5&lt;&gt;0,(+L5-L$10)/$A5*B$5,0)</f>
        <v>0</v>
      </c>
      <c r="BD5" s="16">
        <f>IF(V5&lt;&gt;0,(+V5-V$10)*2200/$A5*31,0)</f>
        <v>0</v>
      </c>
      <c r="BE5" s="15">
        <f>IF(X5&lt;&gt;0,AVERAGE(X5:X$11)*31,)</f>
        <v>247062.02857142856</v>
      </c>
      <c r="BF5" s="15">
        <f>IF(AD5+AG5&lt;&gt;0,AVERAGE(AD5:AD$11)*31+AVERAGE(AG5:AG$11)*31,)</f>
        <v>27302.541428571425</v>
      </c>
      <c r="BG5" s="16">
        <f>AVERAGE(AJ5:AJ$11)*31</f>
        <v>3613.7142857142858</v>
      </c>
      <c r="BH5" s="16">
        <f>AVERAGE(AN5:AN$11)*31</f>
        <v>7305.77</v>
      </c>
      <c r="BI5" s="16">
        <f>AVERAGE(AR5:AR$11)*31</f>
        <v>5349.7142857142862</v>
      </c>
    </row>
    <row r="6" spans="1:61" ht="15.75" x14ac:dyDescent="0.25">
      <c r="A6" s="62">
        <f t="shared" ref="A6:A12" si="10">1+A5</f>
        <v>2</v>
      </c>
      <c r="B6" s="63" t="s">
        <v>74</v>
      </c>
      <c r="C6" s="10"/>
      <c r="D6" s="6">
        <v>56106</v>
      </c>
      <c r="E6" s="8">
        <f t="shared" si="0"/>
        <v>680</v>
      </c>
      <c r="F6" s="6">
        <v>6636</v>
      </c>
      <c r="G6" s="8">
        <f t="shared" si="1"/>
        <v>0</v>
      </c>
      <c r="H6" s="14">
        <v>528393</v>
      </c>
      <c r="I6" s="8">
        <f t="shared" si="2"/>
        <v>89</v>
      </c>
      <c r="J6" s="78">
        <v>498492</v>
      </c>
      <c r="K6" s="8">
        <f t="shared" ref="K6:K14" si="11">J6-J5</f>
        <v>84</v>
      </c>
      <c r="L6" s="7"/>
      <c r="M6" s="11" t="e">
        <f t="shared" ref="M6:M14" si="12">I6/L6</f>
        <v>#DIV/0!</v>
      </c>
      <c r="N6" s="6">
        <v>87314</v>
      </c>
      <c r="O6" s="8">
        <f t="shared" si="3"/>
        <v>0</v>
      </c>
      <c r="P6" s="12">
        <v>79200</v>
      </c>
      <c r="Q6" s="9">
        <f t="shared" si="4"/>
        <v>0</v>
      </c>
      <c r="R6" s="12">
        <v>14358</v>
      </c>
      <c r="S6" s="9">
        <f t="shared" si="5"/>
        <v>2</v>
      </c>
      <c r="T6" s="12">
        <v>169538</v>
      </c>
      <c r="U6" s="9">
        <f t="shared" si="6"/>
        <v>28</v>
      </c>
      <c r="V6" s="13"/>
      <c r="W6" s="8">
        <f t="shared" si="7"/>
        <v>0</v>
      </c>
      <c r="X6" s="53">
        <v>8470</v>
      </c>
      <c r="Y6" s="64"/>
      <c r="Z6" s="8">
        <f t="shared" ref="Z6:Z13" si="13">IF(ISBLANK(Y6),0,Y6-Y5)*2200</f>
        <v>0</v>
      </c>
      <c r="AA6" s="53">
        <v>1921.6</v>
      </c>
      <c r="AB6" s="6"/>
      <c r="AC6" s="9">
        <f t="shared" ref="AC6:AC14" si="14">IF(ISBLANK(AB6),0,SUM(AB6-AB5))</f>
        <v>0</v>
      </c>
      <c r="AD6" s="53">
        <v>295.14</v>
      </c>
      <c r="AE6" s="6"/>
      <c r="AF6" s="9">
        <f t="shared" ref="AF6:AF14" si="15">IF(ISBLANK(AE6),0,SUM(AE6-AE5))</f>
        <v>0</v>
      </c>
      <c r="AG6" s="53">
        <v>956</v>
      </c>
      <c r="AH6" s="6"/>
      <c r="AI6" s="8">
        <f t="shared" ref="AI6:AI14" si="16">IF(ISBLANK(AH6),0,AH6-AH5)*80</f>
        <v>0</v>
      </c>
      <c r="AJ6" s="53">
        <v>120</v>
      </c>
      <c r="AK6" s="7"/>
      <c r="AL6" s="6"/>
      <c r="AM6" s="8">
        <f t="shared" si="8"/>
        <v>0</v>
      </c>
      <c r="AN6" s="53">
        <v>107.75</v>
      </c>
      <c r="AO6" s="7"/>
      <c r="AP6" s="6"/>
      <c r="AQ6" s="8">
        <f t="shared" ref="AQ6:AQ14" si="17">IF(ISBLANK(AP6),0,AP6-AP5)*80</f>
        <v>0</v>
      </c>
      <c r="AR6" s="53">
        <v>192</v>
      </c>
      <c r="AS6" s="14">
        <v>4</v>
      </c>
      <c r="AT6" s="73">
        <v>13</v>
      </c>
      <c r="AU6" s="83"/>
      <c r="AV6" s="82"/>
      <c r="AW6" s="65">
        <f t="shared" si="9"/>
        <v>0</v>
      </c>
      <c r="AY6" s="66">
        <f t="shared" ref="AY6:AY14" si="18">1+AY5</f>
        <v>2</v>
      </c>
      <c r="AZ6" s="15">
        <f t="shared" ref="AZ6:AZ14" si="19">IF(D6&lt;&gt;0,(+D6-D$10)/A6*31,0)</f>
        <v>-26923.5</v>
      </c>
      <c r="BA6" s="15">
        <f t="shared" ref="BA6:BA14" si="20">IF(F6&lt;&gt;0,(+F6-F$10)/$A6*31,0)</f>
        <v>0</v>
      </c>
      <c r="BB6" s="15">
        <f t="shared" ref="BB6:BB14" si="21">IF(H6&lt;&gt;0,(+H6-H$10)/$A6*31,0)</f>
        <v>-3472</v>
      </c>
      <c r="BC6" s="15">
        <f t="shared" ref="BC6:BC14" si="22">IF(N6&lt;&gt;0,(+N6-N$10)/$A6*31,0)</f>
        <v>0</v>
      </c>
      <c r="BD6" s="16">
        <f t="shared" ref="BD6:BD14" si="23">IF(V6&lt;&gt;0,(+V6-V$10)*2200/$A6*31,0)</f>
        <v>0</v>
      </c>
      <c r="BE6" s="15">
        <f>IF(X6&lt;&gt;0,AVERAGE(X6:X$11)*31,)</f>
        <v>244208.69999999998</v>
      </c>
      <c r="BF6" s="15">
        <f>IF(AD6+AG6&lt;&gt;0,AVERAGE(AD6:AD$11)*31+AVERAGE(AG6:AG$11)*31,)</f>
        <v>25289.541666666664</v>
      </c>
      <c r="BG6" s="16">
        <f>AVERAGE(AJ6:AJ$11)*31</f>
        <v>3637.333333333333</v>
      </c>
      <c r="BH6" s="16">
        <f>AVERAGE(AN6:AN$11)*31</f>
        <v>7957.0283333333336</v>
      </c>
      <c r="BI6" s="16">
        <f>AVERAGE(AR6:AR$11)*31</f>
        <v>5290.6666666666661</v>
      </c>
    </row>
    <row r="7" spans="1:61" ht="15.75" x14ac:dyDescent="0.25">
      <c r="A7" s="62">
        <f t="shared" si="10"/>
        <v>3</v>
      </c>
      <c r="B7" s="63" t="s">
        <v>74</v>
      </c>
      <c r="C7" s="10"/>
      <c r="D7" s="6">
        <v>56537</v>
      </c>
      <c r="E7" s="8">
        <f t="shared" si="0"/>
        <v>431</v>
      </c>
      <c r="F7" s="6">
        <v>6636</v>
      </c>
      <c r="G7" s="8">
        <f t="shared" si="1"/>
        <v>0</v>
      </c>
      <c r="H7" s="14">
        <v>528459</v>
      </c>
      <c r="I7" s="8">
        <f t="shared" si="2"/>
        <v>66</v>
      </c>
      <c r="J7" s="78">
        <v>498556</v>
      </c>
      <c r="K7" s="8">
        <f t="shared" si="11"/>
        <v>64</v>
      </c>
      <c r="L7" s="7"/>
      <c r="M7" s="11" t="e">
        <f t="shared" si="12"/>
        <v>#DIV/0!</v>
      </c>
      <c r="N7" s="6">
        <v>87314</v>
      </c>
      <c r="O7" s="8">
        <f t="shared" si="3"/>
        <v>0</v>
      </c>
      <c r="P7" s="12">
        <v>79200</v>
      </c>
      <c r="Q7" s="9">
        <f t="shared" si="4"/>
        <v>0</v>
      </c>
      <c r="R7" s="12">
        <v>14365</v>
      </c>
      <c r="S7" s="9">
        <f t="shared" si="5"/>
        <v>7</v>
      </c>
      <c r="T7" s="12">
        <v>169550</v>
      </c>
      <c r="U7" s="9">
        <f t="shared" si="6"/>
        <v>12</v>
      </c>
      <c r="V7" s="13"/>
      <c r="W7" s="8">
        <f t="shared" si="7"/>
        <v>0</v>
      </c>
      <c r="X7" s="53">
        <v>8399.2000000000007</v>
      </c>
      <c r="Y7" s="64"/>
      <c r="Z7" s="8">
        <f t="shared" si="13"/>
        <v>0</v>
      </c>
      <c r="AA7" s="53">
        <v>1921</v>
      </c>
      <c r="AB7" s="6"/>
      <c r="AC7" s="9">
        <f t="shared" si="14"/>
        <v>0</v>
      </c>
      <c r="AD7" s="53">
        <v>287.77</v>
      </c>
      <c r="AE7" s="6"/>
      <c r="AF7" s="9">
        <f t="shared" si="15"/>
        <v>0</v>
      </c>
      <c r="AG7" s="53">
        <v>892.6</v>
      </c>
      <c r="AH7" s="6"/>
      <c r="AI7" s="8">
        <f t="shared" si="16"/>
        <v>0</v>
      </c>
      <c r="AJ7" s="53">
        <v>120</v>
      </c>
      <c r="AK7" s="7"/>
      <c r="AL7" s="6"/>
      <c r="AM7" s="8">
        <f t="shared" si="8"/>
        <v>0</v>
      </c>
      <c r="AN7" s="53">
        <v>25.92</v>
      </c>
      <c r="AO7" s="7"/>
      <c r="AP7" s="6"/>
      <c r="AQ7" s="8">
        <f t="shared" si="17"/>
        <v>0</v>
      </c>
      <c r="AR7" s="53">
        <v>152</v>
      </c>
      <c r="AS7" s="14">
        <v>3</v>
      </c>
      <c r="AT7" s="73">
        <v>12</v>
      </c>
      <c r="AU7" s="81"/>
      <c r="AV7" s="82"/>
      <c r="AW7" s="65">
        <f t="shared" si="9"/>
        <v>0</v>
      </c>
      <c r="AY7" s="66">
        <f t="shared" si="18"/>
        <v>3</v>
      </c>
      <c r="AZ7" s="15">
        <f t="shared" si="19"/>
        <v>-13495.333333333332</v>
      </c>
      <c r="BA7" s="15">
        <f t="shared" si="20"/>
        <v>0</v>
      </c>
      <c r="BB7" s="15">
        <f t="shared" si="21"/>
        <v>-1632.6666666666665</v>
      </c>
      <c r="BC7" s="15">
        <f t="shared" si="22"/>
        <v>0</v>
      </c>
      <c r="BD7" s="16">
        <f t="shared" si="23"/>
        <v>0</v>
      </c>
      <c r="BE7" s="15">
        <f>IF(X7&lt;&gt;0,AVERAGE(X7:X$11)*31,)</f>
        <v>240536.44</v>
      </c>
      <c r="BF7" s="15">
        <f>IF(AD7+AG7&lt;&gt;0,AVERAGE(AD7:AD$11)*31+AVERAGE(AG7:AG$11)*31,)</f>
        <v>22590.381999999998</v>
      </c>
      <c r="BG7" s="16">
        <f>AVERAGE(AJ7:AJ$11)*31</f>
        <v>3620.7999999999997</v>
      </c>
      <c r="BH7" s="16">
        <f>AVERAGE(AN7:AN$11)*31</f>
        <v>8880.384</v>
      </c>
      <c r="BI7" s="16">
        <f>AVERAGE(AR7:AR$11)*31</f>
        <v>5158.4000000000005</v>
      </c>
    </row>
    <row r="8" spans="1:61" ht="15.75" x14ac:dyDescent="0.25">
      <c r="A8" s="62">
        <f t="shared" si="10"/>
        <v>4</v>
      </c>
      <c r="B8" s="63" t="s">
        <v>74</v>
      </c>
      <c r="C8" s="10" t="s">
        <v>78</v>
      </c>
      <c r="D8" s="6">
        <v>56848</v>
      </c>
      <c r="E8" s="8">
        <f t="shared" si="0"/>
        <v>311</v>
      </c>
      <c r="F8" s="6">
        <v>6636</v>
      </c>
      <c r="G8" s="8">
        <f t="shared" si="1"/>
        <v>0</v>
      </c>
      <c r="H8" s="14">
        <v>528512</v>
      </c>
      <c r="I8" s="8">
        <f t="shared" si="2"/>
        <v>53</v>
      </c>
      <c r="J8" s="78">
        <v>498606</v>
      </c>
      <c r="K8" s="8">
        <f t="shared" si="11"/>
        <v>50</v>
      </c>
      <c r="L8" s="7"/>
      <c r="M8" s="11" t="e">
        <f t="shared" si="12"/>
        <v>#DIV/0!</v>
      </c>
      <c r="N8" s="6">
        <v>87314</v>
      </c>
      <c r="O8" s="8">
        <f t="shared" si="3"/>
        <v>0</v>
      </c>
      <c r="P8" s="12">
        <v>79200</v>
      </c>
      <c r="Q8" s="9">
        <f t="shared" si="4"/>
        <v>0</v>
      </c>
      <c r="R8" s="12">
        <v>14367</v>
      </c>
      <c r="S8" s="9">
        <f t="shared" si="5"/>
        <v>2</v>
      </c>
      <c r="T8" s="12">
        <v>169558</v>
      </c>
      <c r="U8" s="9">
        <f t="shared" si="6"/>
        <v>8</v>
      </c>
      <c r="V8" s="13"/>
      <c r="W8" s="8">
        <f t="shared" si="7"/>
        <v>0</v>
      </c>
      <c r="X8" s="53">
        <v>8430.7999999999993</v>
      </c>
      <c r="Y8" s="64"/>
      <c r="Z8" s="8">
        <f t="shared" si="13"/>
        <v>0</v>
      </c>
      <c r="AA8" s="53">
        <v>1908.8</v>
      </c>
      <c r="AB8" s="6"/>
      <c r="AC8" s="9">
        <f t="shared" si="14"/>
        <v>0</v>
      </c>
      <c r="AD8" s="53">
        <v>293.33</v>
      </c>
      <c r="AE8" s="6"/>
      <c r="AF8" s="9">
        <f t="shared" si="15"/>
        <v>0</v>
      </c>
      <c r="AG8" s="53">
        <v>879.1</v>
      </c>
      <c r="AH8" s="6"/>
      <c r="AI8" s="8">
        <f t="shared" si="16"/>
        <v>0</v>
      </c>
      <c r="AJ8" s="53">
        <v>120</v>
      </c>
      <c r="AK8" s="7"/>
      <c r="AL8" s="6"/>
      <c r="AM8" s="8">
        <f t="shared" si="8"/>
        <v>0</v>
      </c>
      <c r="AN8" s="53">
        <v>31.85</v>
      </c>
      <c r="AO8" s="7"/>
      <c r="AP8" s="6"/>
      <c r="AQ8" s="8">
        <f t="shared" si="17"/>
        <v>0</v>
      </c>
      <c r="AR8" s="53">
        <v>144</v>
      </c>
      <c r="AS8" s="14">
        <v>1</v>
      </c>
      <c r="AT8" s="73">
        <v>11</v>
      </c>
      <c r="AU8" s="83"/>
      <c r="AV8" s="82"/>
      <c r="AW8" s="65">
        <f t="shared" si="9"/>
        <v>0</v>
      </c>
      <c r="AY8" s="66">
        <v>4</v>
      </c>
      <c r="AZ8" s="15">
        <f t="shared" si="19"/>
        <v>-7711.25</v>
      </c>
      <c r="BA8" s="15">
        <f t="shared" si="20"/>
        <v>0</v>
      </c>
      <c r="BB8" s="15">
        <f t="shared" si="21"/>
        <v>-813.75</v>
      </c>
      <c r="BC8" s="15">
        <f t="shared" si="22"/>
        <v>0</v>
      </c>
      <c r="BD8" s="16">
        <f t="shared" si="23"/>
        <v>0</v>
      </c>
      <c r="BE8" s="15">
        <f>IF(X8&lt;&gt;0,AVERAGE(X8:X$11)*31,)</f>
        <v>235576.75</v>
      </c>
      <c r="BF8" s="15">
        <f>IF(AD8+AG8&lt;&gt;0,AVERAGE(AD8:AD$11)*31+AVERAGE(AG8:AG$11)*31,)</f>
        <v>19090.11</v>
      </c>
      <c r="BG8" s="16">
        <f>AVERAGE(AJ8:AJ$11)*31</f>
        <v>3596</v>
      </c>
      <c r="BH8" s="16">
        <f>AVERAGE(AN8:AN$11)*31</f>
        <v>10899.6</v>
      </c>
      <c r="BI8" s="16">
        <f>AVERAGE(AR8:AR$11)*31</f>
        <v>5270</v>
      </c>
    </row>
    <row r="9" spans="1:61" ht="15.75" x14ac:dyDescent="0.25">
      <c r="A9" s="62">
        <f t="shared" si="10"/>
        <v>5</v>
      </c>
      <c r="B9" s="63" t="s">
        <v>74</v>
      </c>
      <c r="C9" s="10"/>
      <c r="D9" s="6">
        <v>57302</v>
      </c>
      <c r="E9" s="8">
        <f t="shared" si="0"/>
        <v>454</v>
      </c>
      <c r="F9" s="6">
        <v>6636</v>
      </c>
      <c r="G9" s="8">
        <f t="shared" si="1"/>
        <v>0</v>
      </c>
      <c r="H9" s="14">
        <v>528562</v>
      </c>
      <c r="I9" s="8">
        <f t="shared" si="2"/>
        <v>50</v>
      </c>
      <c r="J9" s="78">
        <v>498654</v>
      </c>
      <c r="K9" s="8">
        <f t="shared" si="11"/>
        <v>48</v>
      </c>
      <c r="L9" s="7"/>
      <c r="M9" s="11" t="e">
        <f t="shared" si="12"/>
        <v>#DIV/0!</v>
      </c>
      <c r="N9" s="6">
        <v>87314</v>
      </c>
      <c r="O9" s="8">
        <f t="shared" si="3"/>
        <v>0</v>
      </c>
      <c r="P9" s="12">
        <v>79200</v>
      </c>
      <c r="Q9" s="9">
        <f t="shared" si="4"/>
        <v>0</v>
      </c>
      <c r="R9" s="12">
        <v>14368</v>
      </c>
      <c r="S9" s="9">
        <f t="shared" si="5"/>
        <v>1</v>
      </c>
      <c r="T9" s="12">
        <v>169562</v>
      </c>
      <c r="U9" s="9">
        <f t="shared" si="6"/>
        <v>4</v>
      </c>
      <c r="V9" s="13"/>
      <c r="W9" s="8">
        <f t="shared" si="7"/>
        <v>0</v>
      </c>
      <c r="X9" s="53">
        <v>7467.6</v>
      </c>
      <c r="Y9" s="64"/>
      <c r="Z9" s="8">
        <f t="shared" si="13"/>
        <v>0</v>
      </c>
      <c r="AA9" s="53">
        <v>1695.6</v>
      </c>
      <c r="AB9" s="6"/>
      <c r="AC9" s="9">
        <f t="shared" si="14"/>
        <v>0</v>
      </c>
      <c r="AD9" s="53">
        <v>253.19</v>
      </c>
      <c r="AE9" s="6"/>
      <c r="AF9" s="9">
        <f t="shared" si="15"/>
        <v>0</v>
      </c>
      <c r="AG9" s="53">
        <v>374.1</v>
      </c>
      <c r="AH9" s="6"/>
      <c r="AI9" s="8">
        <f t="shared" si="16"/>
        <v>0</v>
      </c>
      <c r="AJ9" s="53">
        <v>128</v>
      </c>
      <c r="AK9" s="7"/>
      <c r="AL9" s="6"/>
      <c r="AM9" s="8">
        <f t="shared" si="8"/>
        <v>0</v>
      </c>
      <c r="AN9" s="53">
        <v>427.78</v>
      </c>
      <c r="AO9" s="7"/>
      <c r="AP9" s="6"/>
      <c r="AQ9" s="8">
        <f t="shared" si="17"/>
        <v>0</v>
      </c>
      <c r="AR9" s="53">
        <v>144</v>
      </c>
      <c r="AS9" s="14">
        <v>2</v>
      </c>
      <c r="AT9" s="73">
        <v>13</v>
      </c>
      <c r="AU9" s="81"/>
      <c r="AV9" s="82"/>
      <c r="AW9" s="65">
        <f t="shared" si="9"/>
        <v>0</v>
      </c>
      <c r="AY9" s="66">
        <v>5</v>
      </c>
      <c r="AZ9" s="15">
        <f t="shared" si="19"/>
        <v>-3354.2000000000003</v>
      </c>
      <c r="BA9" s="15">
        <f t="shared" si="20"/>
        <v>0</v>
      </c>
      <c r="BB9" s="15">
        <f t="shared" si="21"/>
        <v>-341</v>
      </c>
      <c r="BC9" s="15">
        <f t="shared" si="22"/>
        <v>0</v>
      </c>
      <c r="BD9" s="16">
        <f t="shared" si="23"/>
        <v>0</v>
      </c>
      <c r="BE9" s="15">
        <f>IF(X9&lt;&gt;0,AVERAGE(X9:X$11)*31,)</f>
        <v>226984.06666666665</v>
      </c>
      <c r="BF9" s="15">
        <f>IF(AD9+AG9&lt;&gt;0,AVERAGE(AD9:AD$11)*31+AVERAGE(AG9:AG$11)*31,)</f>
        <v>13338.369999999999</v>
      </c>
      <c r="BG9" s="16">
        <f>AVERAGE(AJ9:AJ$11)*31</f>
        <v>3554.666666666667</v>
      </c>
      <c r="BH9" s="16">
        <f>AVERAGE(AN9:AN$11)*31</f>
        <v>14203.683333333334</v>
      </c>
      <c r="BI9" s="16">
        <f>AVERAGE(AR9:AR$11)*31</f>
        <v>5538.6666666666661</v>
      </c>
    </row>
    <row r="10" spans="1:61" ht="15.75" x14ac:dyDescent="0.25">
      <c r="A10" s="62">
        <f t="shared" si="10"/>
        <v>6</v>
      </c>
      <c r="B10" s="63" t="s">
        <v>74</v>
      </c>
      <c r="C10" s="10"/>
      <c r="D10" s="6">
        <v>57843</v>
      </c>
      <c r="E10" s="8">
        <f t="shared" si="0"/>
        <v>541</v>
      </c>
      <c r="F10" s="6">
        <v>6636</v>
      </c>
      <c r="G10" s="8">
        <f t="shared" si="1"/>
        <v>0</v>
      </c>
      <c r="H10" s="14">
        <v>528617</v>
      </c>
      <c r="I10" s="8">
        <f t="shared" si="2"/>
        <v>55</v>
      </c>
      <c r="J10" s="78">
        <v>498706</v>
      </c>
      <c r="K10" s="8">
        <f t="shared" si="11"/>
        <v>52</v>
      </c>
      <c r="L10" s="7"/>
      <c r="M10" s="11" t="e">
        <f t="shared" si="12"/>
        <v>#DIV/0!</v>
      </c>
      <c r="N10" s="6">
        <v>87314</v>
      </c>
      <c r="O10" s="8">
        <f t="shared" si="3"/>
        <v>0</v>
      </c>
      <c r="P10" s="12">
        <v>79200</v>
      </c>
      <c r="Q10" s="9">
        <f t="shared" si="4"/>
        <v>0</v>
      </c>
      <c r="R10" s="12">
        <v>14370</v>
      </c>
      <c r="S10" s="9">
        <f t="shared" si="5"/>
        <v>2</v>
      </c>
      <c r="T10" s="12">
        <v>169572</v>
      </c>
      <c r="U10" s="9">
        <f t="shared" si="6"/>
        <v>10</v>
      </c>
      <c r="V10" s="13"/>
      <c r="W10" s="8">
        <f t="shared" si="7"/>
        <v>0</v>
      </c>
      <c r="X10" s="53">
        <v>7544.2</v>
      </c>
      <c r="Y10" s="64"/>
      <c r="Z10" s="8">
        <f t="shared" si="13"/>
        <v>0</v>
      </c>
      <c r="AA10" s="53">
        <v>1734.8</v>
      </c>
      <c r="AB10" s="6"/>
      <c r="AC10" s="9">
        <f t="shared" si="14"/>
        <v>0</v>
      </c>
      <c r="AD10" s="53">
        <v>225.55</v>
      </c>
      <c r="AE10" s="6"/>
      <c r="AF10" s="9">
        <f t="shared" si="15"/>
        <v>0</v>
      </c>
      <c r="AG10" s="53">
        <v>169.2</v>
      </c>
      <c r="AH10" s="6"/>
      <c r="AI10" s="8">
        <f t="shared" si="16"/>
        <v>0</v>
      </c>
      <c r="AJ10" s="53">
        <v>104</v>
      </c>
      <c r="AK10" s="7"/>
      <c r="AL10" s="6"/>
      <c r="AM10" s="8">
        <f t="shared" si="8"/>
        <v>0</v>
      </c>
      <c r="AN10" s="53">
        <v>418.76</v>
      </c>
      <c r="AO10" s="7"/>
      <c r="AP10" s="6"/>
      <c r="AQ10" s="8">
        <f t="shared" si="17"/>
        <v>0</v>
      </c>
      <c r="AR10" s="53">
        <v>216</v>
      </c>
      <c r="AS10" s="14">
        <v>3</v>
      </c>
      <c r="AT10" s="73">
        <v>13</v>
      </c>
      <c r="AU10" s="83"/>
      <c r="AV10" s="82"/>
      <c r="AW10" s="65">
        <f t="shared" si="9"/>
        <v>0</v>
      </c>
      <c r="AY10" s="66">
        <f t="shared" si="18"/>
        <v>6</v>
      </c>
      <c r="AZ10" s="15">
        <f t="shared" si="19"/>
        <v>0</v>
      </c>
      <c r="BA10" s="15">
        <f t="shared" si="20"/>
        <v>0</v>
      </c>
      <c r="BB10" s="15">
        <f t="shared" si="21"/>
        <v>0</v>
      </c>
      <c r="BC10" s="15">
        <f t="shared" si="22"/>
        <v>0</v>
      </c>
      <c r="BD10" s="16">
        <f t="shared" si="23"/>
        <v>0</v>
      </c>
      <c r="BE10" s="15">
        <f>IF(X10&lt;&gt;0,AVERAGE(X10:X$11)*31,)</f>
        <v>224728.3</v>
      </c>
      <c r="BF10" s="15">
        <f>IF(AD10+AG10&lt;&gt;0,AVERAGE(AD10:AD$11)*31+AVERAGE(AG10:AG$11)*31,)</f>
        <v>10284.56</v>
      </c>
      <c r="BG10" s="16">
        <f>AVERAGE(AJ10:AJ$11)*31</f>
        <v>3348</v>
      </c>
      <c r="BH10" s="16">
        <f>AVERAGE(AN10:AN$11)*31</f>
        <v>14674.934999999999</v>
      </c>
      <c r="BI10" s="16">
        <f>AVERAGE(AR10:AR$11)*31</f>
        <v>6076</v>
      </c>
    </row>
    <row r="11" spans="1:61" ht="15.75" x14ac:dyDescent="0.25">
      <c r="A11" s="62">
        <f t="shared" si="10"/>
        <v>7</v>
      </c>
      <c r="B11" s="63" t="s">
        <v>74</v>
      </c>
      <c r="C11" s="10"/>
      <c r="D11" s="6">
        <v>58177</v>
      </c>
      <c r="E11" s="8">
        <f t="shared" si="0"/>
        <v>334</v>
      </c>
      <c r="F11" s="6">
        <v>6636</v>
      </c>
      <c r="G11" s="8">
        <f t="shared" si="1"/>
        <v>0</v>
      </c>
      <c r="H11" s="14">
        <v>528659</v>
      </c>
      <c r="I11" s="8">
        <f t="shared" si="2"/>
        <v>42</v>
      </c>
      <c r="J11" s="78">
        <v>498746</v>
      </c>
      <c r="K11" s="8">
        <f t="shared" si="11"/>
        <v>40</v>
      </c>
      <c r="L11" s="7"/>
      <c r="M11" s="11" t="e">
        <f t="shared" si="12"/>
        <v>#DIV/0!</v>
      </c>
      <c r="N11" s="6">
        <v>87314</v>
      </c>
      <c r="O11" s="8">
        <f t="shared" si="3"/>
        <v>0</v>
      </c>
      <c r="P11" s="12">
        <v>79200</v>
      </c>
      <c r="Q11" s="9">
        <f t="shared" si="4"/>
        <v>0</v>
      </c>
      <c r="R11" s="12">
        <v>14370</v>
      </c>
      <c r="S11" s="9">
        <f t="shared" si="5"/>
        <v>0</v>
      </c>
      <c r="T11" s="12">
        <v>169576</v>
      </c>
      <c r="U11" s="9">
        <f t="shared" si="6"/>
        <v>4</v>
      </c>
      <c r="V11" s="13"/>
      <c r="W11" s="8">
        <f t="shared" si="7"/>
        <v>0</v>
      </c>
      <c r="X11" s="53">
        <v>6954.4</v>
      </c>
      <c r="Y11" s="64"/>
      <c r="Z11" s="8">
        <f t="shared" si="13"/>
        <v>0</v>
      </c>
      <c r="AA11" s="53">
        <v>1514.8</v>
      </c>
      <c r="AB11" s="6"/>
      <c r="AC11" s="9">
        <f t="shared" si="14"/>
        <v>0</v>
      </c>
      <c r="AD11" s="53">
        <v>199.07</v>
      </c>
      <c r="AE11" s="6"/>
      <c r="AF11" s="9">
        <f t="shared" si="15"/>
        <v>0</v>
      </c>
      <c r="AG11" s="53">
        <v>69.7</v>
      </c>
      <c r="AH11" s="6"/>
      <c r="AI11" s="8">
        <f t="shared" si="16"/>
        <v>0</v>
      </c>
      <c r="AJ11" s="53">
        <v>112</v>
      </c>
      <c r="AK11" s="7"/>
      <c r="AL11" s="6"/>
      <c r="AM11" s="8">
        <f t="shared" si="8"/>
        <v>0</v>
      </c>
      <c r="AN11" s="53">
        <v>528.01</v>
      </c>
      <c r="AO11" s="7"/>
      <c r="AP11" s="6"/>
      <c r="AQ11" s="8">
        <f t="shared" si="17"/>
        <v>0</v>
      </c>
      <c r="AR11" s="53">
        <v>176</v>
      </c>
      <c r="AS11" s="14">
        <v>3</v>
      </c>
      <c r="AT11" s="73">
        <v>16</v>
      </c>
      <c r="AU11" s="81"/>
      <c r="AV11" s="82"/>
      <c r="AW11" s="65">
        <f t="shared" si="9"/>
        <v>0</v>
      </c>
      <c r="AY11" s="66">
        <f t="shared" si="18"/>
        <v>7</v>
      </c>
      <c r="AZ11" s="15">
        <f t="shared" si="19"/>
        <v>1479.1428571428571</v>
      </c>
      <c r="BA11" s="15">
        <f t="shared" si="20"/>
        <v>0</v>
      </c>
      <c r="BB11" s="15">
        <f t="shared" si="21"/>
        <v>186</v>
      </c>
      <c r="BC11" s="15">
        <f t="shared" si="22"/>
        <v>0</v>
      </c>
      <c r="BD11" s="16">
        <f t="shared" si="23"/>
        <v>0</v>
      </c>
      <c r="BE11" s="15">
        <f>IF(X11&lt;&gt;0,AVERAGE(X$11:X11)*31,)</f>
        <v>215586.4</v>
      </c>
      <c r="BF11" s="15">
        <f>IF(AD11+AG11&lt;&gt;0,AVERAGE(AD$11:AD11)*31+AVERAGE(AG$11:AG11)*31,)</f>
        <v>8331.8700000000008</v>
      </c>
      <c r="BG11" s="16">
        <f>AVERAGE(AJ$11:AJ11)*31</f>
        <v>3472</v>
      </c>
      <c r="BH11" s="16">
        <f>AVERAGE(AN$11:AN11)*31</f>
        <v>16368.31</v>
      </c>
      <c r="BI11" s="16">
        <f>AVERAGE(AR$11:AR11)*31</f>
        <v>5456</v>
      </c>
    </row>
    <row r="12" spans="1:61" ht="15.75" x14ac:dyDescent="0.25">
      <c r="A12" s="62">
        <f t="shared" si="10"/>
        <v>8</v>
      </c>
      <c r="B12" s="63" t="s">
        <v>74</v>
      </c>
      <c r="C12" s="10"/>
      <c r="D12" s="6">
        <v>58463</v>
      </c>
      <c r="E12" s="8">
        <f t="shared" si="0"/>
        <v>286</v>
      </c>
      <c r="F12" s="6">
        <v>6636</v>
      </c>
      <c r="G12" s="8">
        <f t="shared" si="1"/>
        <v>0</v>
      </c>
      <c r="H12" s="14">
        <v>528709</v>
      </c>
      <c r="I12" s="8">
        <f t="shared" si="2"/>
        <v>50</v>
      </c>
      <c r="J12" s="78">
        <v>498794</v>
      </c>
      <c r="K12" s="8">
        <f t="shared" si="11"/>
        <v>48</v>
      </c>
      <c r="L12" s="7"/>
      <c r="M12" s="11" t="e">
        <f t="shared" si="12"/>
        <v>#DIV/0!</v>
      </c>
      <c r="N12" s="6">
        <v>87314</v>
      </c>
      <c r="O12" s="8">
        <f t="shared" si="3"/>
        <v>0</v>
      </c>
      <c r="P12" s="12">
        <v>79200</v>
      </c>
      <c r="Q12" s="9">
        <f t="shared" si="4"/>
        <v>0</v>
      </c>
      <c r="R12" s="12">
        <v>14371</v>
      </c>
      <c r="S12" s="9">
        <f t="shared" si="5"/>
        <v>1</v>
      </c>
      <c r="T12" s="12">
        <v>169585</v>
      </c>
      <c r="U12" s="9">
        <f t="shared" si="6"/>
        <v>9</v>
      </c>
      <c r="V12" s="13"/>
      <c r="W12" s="8">
        <f t="shared" si="7"/>
        <v>0</v>
      </c>
      <c r="X12" s="53">
        <v>6719.8</v>
      </c>
      <c r="Y12" s="64"/>
      <c r="Z12" s="8">
        <f t="shared" si="13"/>
        <v>0</v>
      </c>
      <c r="AA12" s="53">
        <v>1626.2</v>
      </c>
      <c r="AB12" s="6"/>
      <c r="AC12" s="9">
        <f t="shared" si="14"/>
        <v>0</v>
      </c>
      <c r="AD12" s="53">
        <v>206.33</v>
      </c>
      <c r="AE12" s="6"/>
      <c r="AF12" s="9">
        <f t="shared" si="15"/>
        <v>0</v>
      </c>
      <c r="AG12" s="53">
        <v>111.2</v>
      </c>
      <c r="AH12" s="6"/>
      <c r="AI12" s="8">
        <f t="shared" si="16"/>
        <v>0</v>
      </c>
      <c r="AJ12" s="53">
        <v>96</v>
      </c>
      <c r="AK12" s="7"/>
      <c r="AL12" s="6"/>
      <c r="AM12" s="8">
        <f t="shared" si="8"/>
        <v>0</v>
      </c>
      <c r="AN12" s="53">
        <v>459.06</v>
      </c>
      <c r="AO12" s="7"/>
      <c r="AP12" s="6"/>
      <c r="AQ12" s="8">
        <f t="shared" si="17"/>
        <v>0</v>
      </c>
      <c r="AR12" s="53">
        <v>160</v>
      </c>
      <c r="AS12" s="84">
        <v>4</v>
      </c>
      <c r="AT12" s="73">
        <v>14</v>
      </c>
      <c r="AU12" s="83"/>
      <c r="AV12" s="82"/>
      <c r="AW12" s="65">
        <f t="shared" si="9"/>
        <v>0</v>
      </c>
      <c r="AY12" s="66">
        <f t="shared" si="18"/>
        <v>8</v>
      </c>
      <c r="AZ12" s="15">
        <f t="shared" si="19"/>
        <v>2402.5</v>
      </c>
      <c r="BA12" s="15">
        <f t="shared" si="20"/>
        <v>0</v>
      </c>
      <c r="BB12" s="15">
        <f t="shared" si="21"/>
        <v>356.5</v>
      </c>
      <c r="BC12" s="15">
        <f t="shared" si="22"/>
        <v>0</v>
      </c>
      <c r="BD12" s="16">
        <f t="shared" si="23"/>
        <v>0</v>
      </c>
      <c r="BE12" s="15">
        <f>IF(X12&lt;&gt;0,AVERAGE(X$11:X12)*31,)</f>
        <v>211950.1</v>
      </c>
      <c r="BF12" s="15">
        <f>IF(AD12+AG12&lt;&gt;0,AVERAGE(AD$11:AD12)*31+AVERAGE(AG$11:AG12)*31,)</f>
        <v>9087.65</v>
      </c>
      <c r="BG12" s="16">
        <f>AVERAGE(AJ$11:AJ12)*31</f>
        <v>3224</v>
      </c>
      <c r="BH12" s="16">
        <f>AVERAGE(AN$11:AN12)*31</f>
        <v>15299.584999999999</v>
      </c>
      <c r="BI12" s="16">
        <f>AVERAGE(AR$11:AR12)*31</f>
        <v>5208</v>
      </c>
    </row>
    <row r="13" spans="1:61" ht="15.75" x14ac:dyDescent="0.25">
      <c r="A13" s="62">
        <v>9</v>
      </c>
      <c r="B13" s="63" t="s">
        <v>74</v>
      </c>
      <c r="C13" s="10" t="s">
        <v>79</v>
      </c>
      <c r="D13" s="6">
        <v>58875</v>
      </c>
      <c r="E13" s="8">
        <f t="shared" si="0"/>
        <v>412</v>
      </c>
      <c r="F13" s="6">
        <v>6636</v>
      </c>
      <c r="G13" s="8">
        <f t="shared" si="1"/>
        <v>0</v>
      </c>
      <c r="H13" s="14">
        <v>528755</v>
      </c>
      <c r="I13" s="8">
        <f t="shared" si="2"/>
        <v>46</v>
      </c>
      <c r="J13" s="78">
        <v>498837</v>
      </c>
      <c r="K13" s="8">
        <f t="shared" si="11"/>
        <v>43</v>
      </c>
      <c r="L13" s="7"/>
      <c r="M13" s="11" t="e">
        <f t="shared" si="12"/>
        <v>#DIV/0!</v>
      </c>
      <c r="N13" s="6">
        <v>87314</v>
      </c>
      <c r="O13" s="8">
        <f t="shared" si="3"/>
        <v>0</v>
      </c>
      <c r="P13" s="12">
        <v>79200</v>
      </c>
      <c r="Q13" s="9">
        <f t="shared" si="4"/>
        <v>0</v>
      </c>
      <c r="R13" s="12">
        <v>14372</v>
      </c>
      <c r="S13" s="9">
        <f t="shared" si="5"/>
        <v>1</v>
      </c>
      <c r="T13" s="12">
        <v>169591</v>
      </c>
      <c r="U13" s="9">
        <f t="shared" si="6"/>
        <v>6</v>
      </c>
      <c r="V13" s="13"/>
      <c r="W13" s="8">
        <f t="shared" si="7"/>
        <v>0</v>
      </c>
      <c r="X13" s="53">
        <v>6447</v>
      </c>
      <c r="Y13" s="64"/>
      <c r="Z13" s="8">
        <f t="shared" si="13"/>
        <v>0</v>
      </c>
      <c r="AA13" s="53">
        <v>1568.2</v>
      </c>
      <c r="AB13" s="6"/>
      <c r="AC13" s="9">
        <f t="shared" si="14"/>
        <v>0</v>
      </c>
      <c r="AD13" s="53">
        <v>199.95</v>
      </c>
      <c r="AE13" s="6"/>
      <c r="AF13" s="9">
        <f t="shared" si="15"/>
        <v>0</v>
      </c>
      <c r="AG13" s="53">
        <v>85.1</v>
      </c>
      <c r="AH13" s="6"/>
      <c r="AI13" s="8">
        <f t="shared" si="16"/>
        <v>0</v>
      </c>
      <c r="AJ13" s="53">
        <v>72</v>
      </c>
      <c r="AK13" s="7"/>
      <c r="AL13" s="6"/>
      <c r="AM13" s="8">
        <f t="shared" si="8"/>
        <v>0</v>
      </c>
      <c r="AN13" s="53">
        <v>365.98</v>
      </c>
      <c r="AO13" s="7"/>
      <c r="AP13" s="6"/>
      <c r="AQ13" s="8">
        <f t="shared" si="17"/>
        <v>0</v>
      </c>
      <c r="AR13" s="53">
        <v>160</v>
      </c>
      <c r="AS13" s="14">
        <v>2</v>
      </c>
      <c r="AT13" s="73">
        <v>11</v>
      </c>
      <c r="AU13" s="81"/>
      <c r="AV13" s="82"/>
      <c r="AW13" s="65">
        <f t="shared" si="9"/>
        <v>0</v>
      </c>
      <c r="AY13" s="66">
        <f t="shared" si="18"/>
        <v>9</v>
      </c>
      <c r="AZ13" s="15">
        <f t="shared" si="19"/>
        <v>3554.666666666667</v>
      </c>
      <c r="BA13" s="15">
        <f t="shared" si="20"/>
        <v>0</v>
      </c>
      <c r="BB13" s="15">
        <f t="shared" si="21"/>
        <v>475.33333333333337</v>
      </c>
      <c r="BC13" s="15">
        <f t="shared" si="22"/>
        <v>0</v>
      </c>
      <c r="BD13" s="16">
        <f t="shared" si="23"/>
        <v>0</v>
      </c>
      <c r="BE13" s="15">
        <f>IF(X13&lt;&gt;0,AVERAGE(X$11:X13)*31,)</f>
        <v>207919.06666666665</v>
      </c>
      <c r="BF13" s="15">
        <f>IF(AD13+AG13&lt;&gt;0,AVERAGE(AD$11:AD13)*31+AVERAGE(AG$11:AG13)*31,)</f>
        <v>9003.9500000000007</v>
      </c>
      <c r="BG13" s="16">
        <f>AVERAGE(AJ$11:AJ13)*31</f>
        <v>2893.333333333333</v>
      </c>
      <c r="BH13" s="16">
        <f>AVERAGE(AN$11:AN13)*31</f>
        <v>13981.516666666666</v>
      </c>
      <c r="BI13" s="16">
        <f>AVERAGE(AR$11:AR13)*31</f>
        <v>5125.3333333333339</v>
      </c>
    </row>
    <row r="14" spans="1:61" x14ac:dyDescent="0.2">
      <c r="A14" s="85">
        <f>1+A13</f>
        <v>10</v>
      </c>
      <c r="B14" s="63" t="s">
        <v>74</v>
      </c>
      <c r="C14" s="10" t="s">
        <v>80</v>
      </c>
      <c r="D14" s="6">
        <v>59160</v>
      </c>
      <c r="E14" s="8">
        <f t="shared" si="0"/>
        <v>285</v>
      </c>
      <c r="F14" s="6">
        <v>6636</v>
      </c>
      <c r="G14" s="8">
        <f t="shared" si="1"/>
        <v>0</v>
      </c>
      <c r="H14" s="6">
        <v>528797</v>
      </c>
      <c r="I14" s="8">
        <f t="shared" si="2"/>
        <v>42</v>
      </c>
      <c r="J14" s="86">
        <v>498877</v>
      </c>
      <c r="K14" s="8">
        <f t="shared" si="11"/>
        <v>40</v>
      </c>
      <c r="L14" s="7"/>
      <c r="M14" s="11" t="e">
        <f t="shared" si="12"/>
        <v>#DIV/0!</v>
      </c>
      <c r="N14" s="87">
        <v>87314</v>
      </c>
      <c r="O14" s="8">
        <f t="shared" si="3"/>
        <v>0</v>
      </c>
      <c r="P14" s="12">
        <v>79200</v>
      </c>
      <c r="Q14" s="8">
        <f t="shared" si="4"/>
        <v>0</v>
      </c>
      <c r="R14" s="12">
        <v>14372</v>
      </c>
      <c r="S14" s="8">
        <f t="shared" si="5"/>
        <v>0</v>
      </c>
      <c r="T14" s="12">
        <v>169597</v>
      </c>
      <c r="U14" s="8">
        <f t="shared" si="6"/>
        <v>6</v>
      </c>
      <c r="V14" s="88">
        <v>1236.8869999999999</v>
      </c>
      <c r="W14" s="8">
        <f>IF(ISBLANK(V14),0,SUM(V14-V13)*2200)</f>
        <v>2721151.4</v>
      </c>
      <c r="X14" s="79">
        <v>6309.4</v>
      </c>
      <c r="Y14" s="13">
        <v>233.982</v>
      </c>
      <c r="Z14" s="8">
        <f>IF(ISBLANK(Y14),0,Y14-Y13)*2200</f>
        <v>514760.4</v>
      </c>
      <c r="AA14" s="79">
        <v>1565.6</v>
      </c>
      <c r="AB14" s="6">
        <v>1572471</v>
      </c>
      <c r="AC14" s="9">
        <f t="shared" si="14"/>
        <v>1572471</v>
      </c>
      <c r="AD14" s="79">
        <v>212.03</v>
      </c>
      <c r="AE14" s="6">
        <v>297199</v>
      </c>
      <c r="AF14" s="9">
        <f t="shared" si="15"/>
        <v>297199</v>
      </c>
      <c r="AG14" s="79">
        <v>78.2</v>
      </c>
      <c r="AH14" s="6">
        <v>32300</v>
      </c>
      <c r="AI14" s="8">
        <f t="shared" si="16"/>
        <v>2584000</v>
      </c>
      <c r="AJ14" s="79">
        <v>96</v>
      </c>
      <c r="AK14" s="7"/>
      <c r="AL14" s="6">
        <v>35836</v>
      </c>
      <c r="AM14" s="8">
        <f t="shared" si="8"/>
        <v>35836</v>
      </c>
      <c r="AN14" s="79">
        <v>289.24</v>
      </c>
      <c r="AO14" s="7"/>
      <c r="AP14" s="6">
        <v>45196</v>
      </c>
      <c r="AQ14" s="8">
        <f t="shared" si="17"/>
        <v>3615680</v>
      </c>
      <c r="AR14" s="79">
        <v>72</v>
      </c>
      <c r="AS14" s="89">
        <v>4</v>
      </c>
      <c r="AT14" s="14">
        <v>16</v>
      </c>
      <c r="AU14" s="7"/>
      <c r="AV14" s="82"/>
      <c r="AW14" s="65">
        <f t="shared" si="9"/>
        <v>0</v>
      </c>
      <c r="AY14" s="90">
        <f t="shared" si="18"/>
        <v>10</v>
      </c>
      <c r="AZ14" s="15">
        <f t="shared" si="19"/>
        <v>4082.7</v>
      </c>
      <c r="BA14" s="15">
        <f t="shared" si="20"/>
        <v>0</v>
      </c>
      <c r="BB14" s="15">
        <f t="shared" si="21"/>
        <v>558</v>
      </c>
      <c r="BC14" s="15">
        <f t="shared" si="22"/>
        <v>0</v>
      </c>
      <c r="BD14" s="16">
        <f t="shared" si="23"/>
        <v>8435569.3399999999</v>
      </c>
      <c r="BE14" s="15">
        <f>IF(X14&lt;&gt;0,AVERAGE(X$11:X14)*31,)</f>
        <v>204837.15</v>
      </c>
      <c r="BF14" s="16">
        <f>IF(AD14+AG14&lt;&gt;0,AVERAGE(AD$11:AD14)*31+AVERAGE(AG$11:AG14)*31,)</f>
        <v>9002.244999999999</v>
      </c>
      <c r="BG14" s="16">
        <f>AVERAGE(AJ$11:AJ14)*31</f>
        <v>2914</v>
      </c>
      <c r="BH14" s="16">
        <f>AVERAGE(AN$11:AN14)*31</f>
        <v>12727.747499999999</v>
      </c>
      <c r="BI14" s="16">
        <f>AVERAGE(AR$11:AR14)*31</f>
        <v>4402</v>
      </c>
    </row>
    <row r="15" spans="1:61" x14ac:dyDescent="0.2">
      <c r="A15" s="85">
        <v>11</v>
      </c>
      <c r="B15" s="63" t="s">
        <v>74</v>
      </c>
      <c r="C15" s="10"/>
      <c r="D15" s="6"/>
      <c r="E15" s="8"/>
      <c r="F15" s="6"/>
      <c r="G15" s="8"/>
      <c r="H15" s="6"/>
      <c r="I15" s="8"/>
      <c r="J15" s="86"/>
      <c r="K15" s="8"/>
      <c r="L15" s="7"/>
      <c r="M15" s="11"/>
      <c r="N15" s="87"/>
      <c r="O15" s="8"/>
      <c r="P15" s="12"/>
      <c r="Q15" s="8"/>
      <c r="R15" s="12"/>
      <c r="S15" s="8"/>
      <c r="T15" s="12"/>
      <c r="U15" s="8"/>
      <c r="V15" s="88"/>
      <c r="W15" s="8"/>
      <c r="X15" s="79"/>
      <c r="Y15" s="88"/>
      <c r="Z15" s="8"/>
      <c r="AA15" s="79"/>
      <c r="AB15" s="6"/>
      <c r="AC15" s="9"/>
      <c r="AD15" s="79"/>
      <c r="AE15" s="6"/>
      <c r="AF15" s="9"/>
      <c r="AG15" s="79"/>
      <c r="AH15" s="6"/>
      <c r="AI15" s="8"/>
      <c r="AJ15" s="79"/>
      <c r="AK15" s="7"/>
      <c r="AL15" s="6"/>
      <c r="AM15" s="8"/>
      <c r="AN15" s="79"/>
      <c r="AO15" s="7"/>
      <c r="AP15" s="6"/>
      <c r="AQ15" s="8"/>
      <c r="AR15" s="79"/>
      <c r="AS15" s="89"/>
      <c r="AT15" s="14"/>
      <c r="AU15" s="7"/>
      <c r="AV15" s="82"/>
      <c r="AW15" s="65"/>
      <c r="AY15" s="90">
        <v>11</v>
      </c>
      <c r="AZ15" s="15">
        <v>14299.454545454544</v>
      </c>
      <c r="BA15" s="15">
        <v>127.43536363636377</v>
      </c>
      <c r="BB15" s="15">
        <v>4613.363636363636</v>
      </c>
      <c r="BC15" s="15">
        <v>62</v>
      </c>
      <c r="BD15" s="16">
        <v>0</v>
      </c>
      <c r="BE15" s="15">
        <v>397209.82</v>
      </c>
      <c r="BF15" s="16">
        <v>46543.174545454545</v>
      </c>
      <c r="BG15" s="16">
        <v>6808.7272727272721</v>
      </c>
      <c r="BH15" s="16">
        <v>20305.253636363632</v>
      </c>
      <c r="BI15" s="16">
        <v>9221.0909090909081</v>
      </c>
    </row>
    <row r="16" spans="1:61" x14ac:dyDescent="0.2">
      <c r="A16" s="85">
        <v>12</v>
      </c>
      <c r="B16" s="63" t="s">
        <v>74</v>
      </c>
      <c r="C16" s="10"/>
      <c r="D16" s="6"/>
      <c r="E16" s="8"/>
      <c r="F16" s="6"/>
      <c r="G16" s="8"/>
      <c r="H16" s="6"/>
      <c r="I16" s="8"/>
      <c r="J16" s="86"/>
      <c r="K16" s="8"/>
      <c r="L16" s="7"/>
      <c r="M16" s="11"/>
      <c r="N16" s="87"/>
      <c r="O16" s="8"/>
      <c r="P16" s="12"/>
      <c r="Q16" s="8"/>
      <c r="R16" s="12"/>
      <c r="S16" s="8"/>
      <c r="T16" s="12"/>
      <c r="U16" s="8"/>
      <c r="V16" s="13"/>
      <c r="W16" s="8"/>
      <c r="X16" s="79"/>
      <c r="Y16" s="88"/>
      <c r="Z16" s="8"/>
      <c r="AA16" s="79"/>
      <c r="AB16" s="6"/>
      <c r="AC16" s="9"/>
      <c r="AD16" s="79"/>
      <c r="AE16" s="6"/>
      <c r="AF16" s="9"/>
      <c r="AG16" s="79"/>
      <c r="AH16" s="6"/>
      <c r="AI16" s="8"/>
      <c r="AJ16" s="79"/>
      <c r="AK16" s="7"/>
      <c r="AL16" s="6"/>
      <c r="AM16" s="8"/>
      <c r="AN16" s="79"/>
      <c r="AO16" s="7"/>
      <c r="AP16" s="6"/>
      <c r="AQ16" s="8"/>
      <c r="AR16" s="79"/>
      <c r="AS16" s="89"/>
      <c r="AT16" s="14"/>
      <c r="AU16" s="7"/>
      <c r="AV16" s="82"/>
      <c r="AW16" s="65"/>
      <c r="AY16" s="90">
        <v>12</v>
      </c>
      <c r="AZ16" s="15">
        <v>13838.916666666668</v>
      </c>
      <c r="BA16" s="15">
        <v>137.21891666666716</v>
      </c>
      <c r="BB16" s="15">
        <v>4595.75</v>
      </c>
      <c r="BC16" s="15">
        <v>56.833333333333329</v>
      </c>
      <c r="BD16" s="16">
        <v>0</v>
      </c>
      <c r="BE16" s="15">
        <v>397661.33499999996</v>
      </c>
      <c r="BF16" s="16">
        <v>46705.426666666674</v>
      </c>
      <c r="BG16" s="16">
        <v>6820</v>
      </c>
      <c r="BH16" s="16">
        <v>20302.649166666662</v>
      </c>
      <c r="BI16" s="16">
        <v>9114</v>
      </c>
    </row>
    <row r="17" spans="1:61" x14ac:dyDescent="0.2">
      <c r="A17" s="85">
        <v>13</v>
      </c>
      <c r="B17" s="63" t="s">
        <v>74</v>
      </c>
      <c r="C17" s="10"/>
      <c r="D17" s="6"/>
      <c r="E17" s="8"/>
      <c r="F17" s="6"/>
      <c r="G17" s="8"/>
      <c r="H17" s="6"/>
      <c r="I17" s="8"/>
      <c r="J17" s="86"/>
      <c r="K17" s="8"/>
      <c r="L17" s="7"/>
      <c r="M17" s="11"/>
      <c r="N17" s="87"/>
      <c r="O17" s="8"/>
      <c r="P17" s="12"/>
      <c r="Q17" s="8"/>
      <c r="R17" s="12"/>
      <c r="S17" s="8"/>
      <c r="T17" s="12"/>
      <c r="U17" s="8"/>
      <c r="V17" s="13"/>
      <c r="W17" s="8"/>
      <c r="X17" s="79"/>
      <c r="Y17" s="88"/>
      <c r="Z17" s="8"/>
      <c r="AA17" s="79"/>
      <c r="AB17" s="6"/>
      <c r="AC17" s="9"/>
      <c r="AD17" s="79"/>
      <c r="AE17" s="6"/>
      <c r="AF17" s="9"/>
      <c r="AG17" s="79"/>
      <c r="AH17" s="6"/>
      <c r="AI17" s="8"/>
      <c r="AJ17" s="79"/>
      <c r="AK17" s="7"/>
      <c r="AL17" s="6"/>
      <c r="AM17" s="8"/>
      <c r="AN17" s="79"/>
      <c r="AO17" s="7"/>
      <c r="AP17" s="6"/>
      <c r="AQ17" s="8"/>
      <c r="AR17" s="79"/>
      <c r="AS17" s="89"/>
      <c r="AT17" s="14"/>
      <c r="AU17" s="7"/>
      <c r="AV17" s="82"/>
      <c r="AW17" s="65"/>
      <c r="AY17" s="90">
        <v>13</v>
      </c>
      <c r="AZ17" s="15">
        <v>13438.5</v>
      </c>
      <c r="BA17" s="15">
        <v>127.63653846153976</v>
      </c>
      <c r="BB17" s="15">
        <v>4616.6153846153848</v>
      </c>
      <c r="BC17" s="15">
        <v>50.07692307692308</v>
      </c>
      <c r="BD17" s="16">
        <v>0</v>
      </c>
      <c r="BE17" s="15">
        <v>397740.53999999992</v>
      </c>
      <c r="BF17" s="16">
        <v>46415.393846153849</v>
      </c>
      <c r="BG17" s="16">
        <v>6848.6153846153848</v>
      </c>
      <c r="BH17" s="16">
        <v>20302.830000000002</v>
      </c>
      <c r="BI17" s="16">
        <v>9061.5384615384628</v>
      </c>
    </row>
    <row r="18" spans="1:61" x14ac:dyDescent="0.2">
      <c r="A18" s="85">
        <v>14</v>
      </c>
      <c r="B18" s="63" t="s">
        <v>74</v>
      </c>
      <c r="C18" s="10"/>
      <c r="D18" s="6"/>
      <c r="E18" s="8"/>
      <c r="F18" s="6"/>
      <c r="G18" s="8"/>
      <c r="H18" s="6"/>
      <c r="I18" s="8"/>
      <c r="J18" s="86"/>
      <c r="K18" s="8"/>
      <c r="L18" s="7"/>
      <c r="M18" s="11"/>
      <c r="N18" s="87"/>
      <c r="O18" s="8"/>
      <c r="P18" s="12"/>
      <c r="Q18" s="8"/>
      <c r="R18" s="12"/>
      <c r="S18" s="8"/>
      <c r="T18" s="12"/>
      <c r="U18" s="8"/>
      <c r="V18" s="13"/>
      <c r="W18" s="8"/>
      <c r="X18" s="79"/>
      <c r="Y18" s="88"/>
      <c r="Z18" s="8"/>
      <c r="AA18" s="79"/>
      <c r="AB18" s="6"/>
      <c r="AC18" s="9"/>
      <c r="AD18" s="79"/>
      <c r="AE18" s="6"/>
      <c r="AF18" s="9"/>
      <c r="AG18" s="79"/>
      <c r="AH18" s="6"/>
      <c r="AI18" s="8"/>
      <c r="AJ18" s="79"/>
      <c r="AK18" s="7"/>
      <c r="AL18" s="6"/>
      <c r="AM18" s="8"/>
      <c r="AN18" s="79"/>
      <c r="AO18" s="7"/>
      <c r="AP18" s="6"/>
      <c r="AQ18" s="8"/>
      <c r="AR18" s="79"/>
      <c r="AS18" s="89"/>
      <c r="AT18" s="14"/>
      <c r="AU18" s="7"/>
      <c r="AV18" s="82"/>
      <c r="AW18" s="65"/>
      <c r="AY18" s="90">
        <v>14</v>
      </c>
      <c r="AZ18" s="15">
        <v>13160.828571428778</v>
      </c>
      <c r="BA18" s="15">
        <v>133.55021428571453</v>
      </c>
      <c r="BB18" s="15">
        <v>4627.8571428571422</v>
      </c>
      <c r="BC18" s="15">
        <v>46.5</v>
      </c>
      <c r="BD18" s="16">
        <v>0</v>
      </c>
      <c r="BE18" s="15">
        <v>398122.85857142851</v>
      </c>
      <c r="BF18" s="16">
        <v>46536.58</v>
      </c>
      <c r="BG18" s="16">
        <v>6944</v>
      </c>
      <c r="BH18" s="16">
        <v>20302.985000000001</v>
      </c>
      <c r="BI18" s="16">
        <v>8981.1428571428569</v>
      </c>
    </row>
    <row r="19" spans="1:61" x14ac:dyDescent="0.2">
      <c r="A19" s="85">
        <v>15</v>
      </c>
      <c r="B19" s="63" t="s">
        <v>74</v>
      </c>
      <c r="C19" s="10"/>
      <c r="D19" s="6"/>
      <c r="E19" s="8"/>
      <c r="F19" s="6"/>
      <c r="G19" s="8"/>
      <c r="H19" s="6"/>
      <c r="I19" s="8"/>
      <c r="J19" s="86"/>
      <c r="K19" s="8"/>
      <c r="L19" s="7"/>
      <c r="M19" s="11"/>
      <c r="N19" s="87"/>
      <c r="O19" s="8"/>
      <c r="P19" s="12"/>
      <c r="Q19" s="8"/>
      <c r="R19" s="12"/>
      <c r="S19" s="8"/>
      <c r="T19" s="12"/>
      <c r="U19" s="8"/>
      <c r="V19" s="13"/>
      <c r="W19" s="8"/>
      <c r="X19" s="79"/>
      <c r="Y19" s="88"/>
      <c r="Z19" s="8"/>
      <c r="AA19" s="79"/>
      <c r="AB19" s="6"/>
      <c r="AC19" s="9"/>
      <c r="AD19" s="79"/>
      <c r="AE19" s="6"/>
      <c r="AF19" s="9"/>
      <c r="AG19" s="79"/>
      <c r="AH19" s="6"/>
      <c r="AI19" s="8"/>
      <c r="AJ19" s="79"/>
      <c r="AK19" s="7"/>
      <c r="AL19" s="6"/>
      <c r="AM19" s="8"/>
      <c r="AN19" s="79"/>
      <c r="AO19" s="7"/>
      <c r="AP19" s="6"/>
      <c r="AQ19" s="8"/>
      <c r="AR19" s="79"/>
      <c r="AS19" s="89"/>
      <c r="AT19" s="14"/>
      <c r="AU19" s="7"/>
      <c r="AV19" s="82"/>
      <c r="AW19" s="91"/>
      <c r="AY19" s="90">
        <v>15</v>
      </c>
      <c r="AZ19" s="15">
        <v>12704.213333333717</v>
      </c>
      <c r="BA19" s="15">
        <v>127.28186666666612</v>
      </c>
      <c r="BB19" s="15">
        <v>4629.3333333333339</v>
      </c>
      <c r="BC19" s="15">
        <v>45.466666666666661</v>
      </c>
      <c r="BD19" s="16">
        <v>0</v>
      </c>
      <c r="BE19" s="15">
        <v>397805.14399999997</v>
      </c>
      <c r="BF19" s="16">
        <v>46027.167333333346</v>
      </c>
      <c r="BG19" s="16">
        <v>6927.4666666666672</v>
      </c>
      <c r="BH19" s="16">
        <v>20301.466000000004</v>
      </c>
      <c r="BI19" s="16">
        <v>8795.7333333333336</v>
      </c>
    </row>
    <row r="20" spans="1:61" x14ac:dyDescent="0.2">
      <c r="A20" s="85">
        <v>16</v>
      </c>
      <c r="B20" s="63" t="s">
        <v>74</v>
      </c>
      <c r="C20" s="10"/>
      <c r="D20" s="6"/>
      <c r="E20" s="8"/>
      <c r="F20" s="6"/>
      <c r="G20" s="8"/>
      <c r="H20" s="6"/>
      <c r="I20" s="8"/>
      <c r="J20" s="86"/>
      <c r="K20" s="8"/>
      <c r="L20" s="7"/>
      <c r="M20" s="11"/>
      <c r="N20" s="87"/>
      <c r="O20" s="8"/>
      <c r="P20" s="12"/>
      <c r="Q20" s="8"/>
      <c r="R20" s="12"/>
      <c r="S20" s="8"/>
      <c r="T20" s="12"/>
      <c r="U20" s="8"/>
      <c r="V20" s="13"/>
      <c r="W20" s="8"/>
      <c r="X20" s="79"/>
      <c r="Y20" s="88"/>
      <c r="Z20" s="8"/>
      <c r="AA20" s="79"/>
      <c r="AB20" s="6"/>
      <c r="AC20" s="9"/>
      <c r="AD20" s="79"/>
      <c r="AE20" s="6"/>
      <c r="AF20" s="9"/>
      <c r="AG20" s="79"/>
      <c r="AH20" s="6"/>
      <c r="AI20" s="8"/>
      <c r="AJ20" s="79"/>
      <c r="AK20" s="7"/>
      <c r="AL20" s="6"/>
      <c r="AM20" s="8"/>
      <c r="AN20" s="79"/>
      <c r="AO20" s="7"/>
      <c r="AP20" s="6"/>
      <c r="AQ20" s="8"/>
      <c r="AR20" s="79"/>
      <c r="AS20" s="89"/>
      <c r="AT20" s="14"/>
      <c r="AU20" s="7"/>
      <c r="AV20" s="82"/>
      <c r="AW20" s="91"/>
      <c r="AY20" s="90">
        <v>16</v>
      </c>
      <c r="AZ20" s="15">
        <v>12214.19375000018</v>
      </c>
      <c r="BA20" s="15">
        <v>126.65437499999979</v>
      </c>
      <c r="BB20" s="15">
        <v>4636.4375</v>
      </c>
      <c r="BC20" s="15">
        <v>40.6875</v>
      </c>
      <c r="BD20" s="16">
        <v>0</v>
      </c>
      <c r="BE20" s="15">
        <v>398246.22749999992</v>
      </c>
      <c r="BF20" s="16">
        <v>45973.193750000006</v>
      </c>
      <c r="BG20" s="16">
        <v>6820</v>
      </c>
      <c r="BH20" s="16">
        <v>20300.814999999999</v>
      </c>
      <c r="BI20" s="16">
        <v>8788.5</v>
      </c>
    </row>
    <row r="21" spans="1:61" x14ac:dyDescent="0.2">
      <c r="A21" s="85">
        <v>17</v>
      </c>
      <c r="B21" s="63" t="s">
        <v>74</v>
      </c>
      <c r="C21" s="10"/>
      <c r="D21" s="6"/>
      <c r="E21" s="8"/>
      <c r="F21" s="6"/>
      <c r="G21" s="8"/>
      <c r="H21" s="6"/>
      <c r="I21" s="8"/>
      <c r="J21" s="86"/>
      <c r="K21" s="8"/>
      <c r="L21" s="7"/>
      <c r="M21" s="11"/>
      <c r="N21" s="87"/>
      <c r="O21" s="8"/>
      <c r="P21" s="12"/>
      <c r="Q21" s="8"/>
      <c r="R21" s="12"/>
      <c r="S21" s="8"/>
      <c r="T21" s="12"/>
      <c r="U21" s="8"/>
      <c r="V21" s="13"/>
      <c r="W21" s="8"/>
      <c r="X21" s="79"/>
      <c r="Y21" s="92"/>
      <c r="Z21" s="8"/>
      <c r="AA21" s="79"/>
      <c r="AB21" s="6"/>
      <c r="AC21" s="9"/>
      <c r="AD21" s="79"/>
      <c r="AE21" s="6"/>
      <c r="AF21" s="9"/>
      <c r="AG21" s="79"/>
      <c r="AH21" s="6"/>
      <c r="AI21" s="8"/>
      <c r="AJ21" s="79"/>
      <c r="AK21" s="7"/>
      <c r="AL21" s="6"/>
      <c r="AM21" s="8"/>
      <c r="AN21" s="79"/>
      <c r="AO21" s="7"/>
      <c r="AP21" s="6"/>
      <c r="AQ21" s="8"/>
      <c r="AR21" s="79"/>
      <c r="AS21" s="89"/>
      <c r="AT21" s="14"/>
      <c r="AU21" s="7"/>
      <c r="AV21" s="82"/>
      <c r="AW21" s="91"/>
      <c r="AY21" s="90">
        <v>17</v>
      </c>
      <c r="AZ21" s="15">
        <v>11824.311764706392</v>
      </c>
      <c r="BA21" s="15">
        <v>123.68999999999987</v>
      </c>
      <c r="BB21" s="15">
        <v>4662.7647058823532</v>
      </c>
      <c r="BC21" s="15">
        <v>40.117647058823529</v>
      </c>
      <c r="BD21" s="16">
        <v>0</v>
      </c>
      <c r="BE21" s="15">
        <v>399347.50705882348</v>
      </c>
      <c r="BF21" s="16">
        <v>46173.205294117659</v>
      </c>
      <c r="BG21" s="16">
        <v>6900.2352941176468</v>
      </c>
      <c r="BH21" s="16">
        <v>20301.444117647057</v>
      </c>
      <c r="BI21" s="16">
        <v>8767.5294117647063</v>
      </c>
    </row>
    <row r="22" spans="1:61" x14ac:dyDescent="0.2">
      <c r="A22" s="85">
        <v>18</v>
      </c>
      <c r="B22" s="63" t="s">
        <v>74</v>
      </c>
      <c r="C22" s="10"/>
      <c r="D22" s="6"/>
      <c r="E22" s="8"/>
      <c r="F22" s="6"/>
      <c r="G22" s="8"/>
      <c r="H22" s="6"/>
      <c r="I22" s="8"/>
      <c r="J22" s="86"/>
      <c r="K22" s="8"/>
      <c r="L22" s="7"/>
      <c r="M22" s="11"/>
      <c r="N22" s="87"/>
      <c r="O22" s="8"/>
      <c r="P22" s="12"/>
      <c r="Q22" s="8"/>
      <c r="R22" s="12"/>
      <c r="S22" s="8"/>
      <c r="T22" s="12"/>
      <c r="U22" s="8"/>
      <c r="V22" s="13"/>
      <c r="W22" s="8"/>
      <c r="X22" s="79"/>
      <c r="Y22" s="88"/>
      <c r="Z22" s="8"/>
      <c r="AA22" s="79"/>
      <c r="AB22" s="6"/>
      <c r="AC22" s="9"/>
      <c r="AD22" s="79"/>
      <c r="AE22" s="6"/>
      <c r="AF22" s="9"/>
      <c r="AG22" s="79"/>
      <c r="AH22" s="6"/>
      <c r="AI22" s="8"/>
      <c r="AJ22" s="79"/>
      <c r="AK22" s="7"/>
      <c r="AL22" s="6"/>
      <c r="AM22" s="8"/>
      <c r="AN22" s="79"/>
      <c r="AO22" s="7"/>
      <c r="AP22" s="6"/>
      <c r="AQ22" s="8"/>
      <c r="AR22" s="79"/>
      <c r="AS22" s="89"/>
      <c r="AT22" s="14"/>
      <c r="AU22" s="7"/>
      <c r="AV22" s="82"/>
      <c r="AW22" s="91"/>
      <c r="AY22" s="90">
        <v>18</v>
      </c>
      <c r="AZ22" s="15">
        <v>11507.888888888889</v>
      </c>
      <c r="BA22" s="15">
        <v>123.48333333333302</v>
      </c>
      <c r="BB22" s="15">
        <v>4667.2222222222217</v>
      </c>
      <c r="BC22" s="15">
        <v>37.888888888888893</v>
      </c>
      <c r="BD22" s="16">
        <v>0</v>
      </c>
      <c r="BE22" s="15">
        <v>400194.53444444435</v>
      </c>
      <c r="BF22" s="16">
        <v>46258.527222222227</v>
      </c>
      <c r="BG22" s="16">
        <v>6861.3333333333339</v>
      </c>
      <c r="BH22" s="16">
        <v>20301.641666666666</v>
      </c>
      <c r="BI22" s="16">
        <v>8804</v>
      </c>
    </row>
    <row r="23" spans="1:61" x14ac:dyDescent="0.2">
      <c r="A23" s="85">
        <v>19</v>
      </c>
      <c r="B23" s="63" t="s">
        <v>74</v>
      </c>
      <c r="C23" s="10"/>
      <c r="D23" s="6"/>
      <c r="E23" s="8"/>
      <c r="F23" s="6"/>
      <c r="G23" s="8"/>
      <c r="H23" s="6"/>
      <c r="I23" s="8"/>
      <c r="J23" s="86"/>
      <c r="K23" s="8"/>
      <c r="L23" s="7"/>
      <c r="M23" s="11"/>
      <c r="N23" s="87"/>
      <c r="O23" s="8"/>
      <c r="P23" s="12"/>
      <c r="Q23" s="8"/>
      <c r="R23" s="12"/>
      <c r="S23" s="8"/>
      <c r="T23" s="12"/>
      <c r="U23" s="8"/>
      <c r="V23" s="13"/>
      <c r="W23" s="8"/>
      <c r="X23" s="79"/>
      <c r="Y23" s="88"/>
      <c r="Z23" s="8"/>
      <c r="AA23" s="79"/>
      <c r="AB23" s="6"/>
      <c r="AC23" s="9"/>
      <c r="AD23" s="79"/>
      <c r="AE23" s="6"/>
      <c r="AF23" s="9"/>
      <c r="AG23" s="79"/>
      <c r="AH23" s="6"/>
      <c r="AI23" s="8"/>
      <c r="AJ23" s="79"/>
      <c r="AK23" s="7"/>
      <c r="AL23" s="6"/>
      <c r="AM23" s="8"/>
      <c r="AN23" s="79"/>
      <c r="AO23" s="7"/>
      <c r="AP23" s="6"/>
      <c r="AQ23" s="8"/>
      <c r="AR23" s="79"/>
      <c r="AS23" s="89"/>
      <c r="AT23" s="14"/>
      <c r="AU23" s="7"/>
      <c r="AV23" s="82"/>
      <c r="AW23" s="91"/>
      <c r="AY23" s="90">
        <v>19</v>
      </c>
      <c r="AZ23" s="15">
        <v>11271.600000000608</v>
      </c>
      <c r="BA23" s="15">
        <v>121.35847368421103</v>
      </c>
      <c r="BB23" s="15">
        <v>4656.5263157894742</v>
      </c>
      <c r="BC23" s="15">
        <v>35.894736842105267</v>
      </c>
      <c r="BD23" s="16">
        <v>0</v>
      </c>
      <c r="BE23" s="15">
        <v>400409.08526315785</v>
      </c>
      <c r="BF23" s="16">
        <v>46367.499473684213</v>
      </c>
      <c r="BG23" s="16">
        <v>6774.3157894736842</v>
      </c>
      <c r="BH23" s="16">
        <v>20301.818421052631</v>
      </c>
      <c r="BI23" s="16">
        <v>8836.6315789473683</v>
      </c>
    </row>
    <row r="24" spans="1:61" x14ac:dyDescent="0.2">
      <c r="A24" s="85">
        <v>20</v>
      </c>
      <c r="B24" s="63" t="s">
        <v>74</v>
      </c>
      <c r="C24" s="10"/>
      <c r="D24" s="6"/>
      <c r="E24" s="8"/>
      <c r="F24" s="6"/>
      <c r="G24" s="8"/>
      <c r="H24" s="6"/>
      <c r="I24" s="8"/>
      <c r="J24" s="86"/>
      <c r="K24" s="8"/>
      <c r="L24" s="7"/>
      <c r="M24" s="11"/>
      <c r="N24" s="87"/>
      <c r="O24" s="8"/>
      <c r="P24" s="12"/>
      <c r="Q24" s="8"/>
      <c r="R24" s="12"/>
      <c r="S24" s="8"/>
      <c r="T24" s="12"/>
      <c r="U24" s="8"/>
      <c r="V24" s="13"/>
      <c r="W24" s="8"/>
      <c r="X24" s="79"/>
      <c r="Y24" s="88"/>
      <c r="Z24" s="8"/>
      <c r="AA24" s="79"/>
      <c r="AB24" s="6"/>
      <c r="AC24" s="9"/>
      <c r="AD24" s="79"/>
      <c r="AE24" s="6"/>
      <c r="AF24" s="9"/>
      <c r="AG24" s="79"/>
      <c r="AH24" s="6"/>
      <c r="AI24" s="8"/>
      <c r="AJ24" s="79"/>
      <c r="AK24" s="7"/>
      <c r="AL24" s="6"/>
      <c r="AM24" s="8"/>
      <c r="AN24" s="79"/>
      <c r="AO24" s="7"/>
      <c r="AP24" s="6"/>
      <c r="AQ24" s="8"/>
      <c r="AR24" s="79"/>
      <c r="AS24" s="89"/>
      <c r="AT24" s="14"/>
      <c r="AU24" s="7"/>
      <c r="AV24" s="82"/>
      <c r="AW24" s="91"/>
      <c r="AY24" s="90">
        <v>20</v>
      </c>
      <c r="AZ24" s="15">
        <v>11164.65</v>
      </c>
      <c r="BA24" s="15">
        <v>121.6873999999997</v>
      </c>
      <c r="BB24" s="15">
        <v>4660.8499999999995</v>
      </c>
      <c r="BC24" s="15">
        <v>34.1</v>
      </c>
      <c r="BD24" s="16">
        <v>400572.70000000397</v>
      </c>
      <c r="BE24" s="15">
        <v>400154.23099999991</v>
      </c>
      <c r="BF24" s="16">
        <v>46262.5245</v>
      </c>
      <c r="BG24" s="16">
        <v>6733.2</v>
      </c>
      <c r="BH24" s="16">
        <v>20301.977499999997</v>
      </c>
      <c r="BI24" s="16">
        <v>8791.6</v>
      </c>
    </row>
    <row r="25" spans="1:61" x14ac:dyDescent="0.2">
      <c r="A25" s="85">
        <v>21</v>
      </c>
      <c r="B25" s="63" t="s">
        <v>75</v>
      </c>
      <c r="C25" s="10"/>
      <c r="D25" s="6"/>
      <c r="E25" s="8"/>
      <c r="F25" s="6"/>
      <c r="G25" s="8"/>
      <c r="H25" s="6"/>
      <c r="I25" s="8"/>
      <c r="J25" s="86"/>
      <c r="K25" s="8"/>
      <c r="L25" s="7"/>
      <c r="M25" s="11"/>
      <c r="N25" s="87"/>
      <c r="O25" s="8"/>
      <c r="P25" s="12"/>
      <c r="Q25" s="8"/>
      <c r="R25" s="12"/>
      <c r="S25" s="8"/>
      <c r="T25" s="12"/>
      <c r="U25" s="8"/>
      <c r="V25" s="13"/>
      <c r="W25" s="8"/>
      <c r="X25" s="79"/>
      <c r="Y25" s="88"/>
      <c r="Z25" s="8"/>
      <c r="AA25" s="79"/>
      <c r="AB25" s="6"/>
      <c r="AC25" s="9"/>
      <c r="AD25" s="79"/>
      <c r="AE25" s="6"/>
      <c r="AF25" s="9"/>
      <c r="AG25" s="79"/>
      <c r="AH25" s="6"/>
      <c r="AI25" s="8"/>
      <c r="AJ25" s="79"/>
      <c r="AK25" s="7"/>
      <c r="AL25" s="6"/>
      <c r="AM25" s="8"/>
      <c r="AN25" s="79"/>
      <c r="AO25" s="7"/>
      <c r="AP25" s="6"/>
      <c r="AQ25" s="8"/>
      <c r="AR25" s="79"/>
      <c r="AS25" s="89"/>
      <c r="AT25" s="14"/>
      <c r="AU25" s="7"/>
      <c r="AV25" s="82"/>
      <c r="AW25" s="91"/>
      <c r="AY25" s="90">
        <v>21</v>
      </c>
      <c r="AZ25" s="15">
        <v>11172.695238095375</v>
      </c>
      <c r="BA25" s="15">
        <v>121.04614285714256</v>
      </c>
      <c r="BB25" s="15">
        <v>4675.0952380952376</v>
      </c>
      <c r="BC25" s="15">
        <v>32.476190476190474</v>
      </c>
      <c r="BD25" s="16">
        <v>0</v>
      </c>
      <c r="BE25" s="15">
        <v>399590.0295238095</v>
      </c>
      <c r="BF25" s="16">
        <v>46118.832857142865</v>
      </c>
      <c r="BG25" s="16">
        <v>6743.2380952380954</v>
      </c>
      <c r="BH25" s="16">
        <v>20302.121428571427</v>
      </c>
      <c r="BI25" s="16">
        <v>8798.0952380952385</v>
      </c>
    </row>
    <row r="26" spans="1:61" x14ac:dyDescent="0.2">
      <c r="A26" s="85">
        <v>22</v>
      </c>
      <c r="B26" s="63" t="s">
        <v>74</v>
      </c>
      <c r="C26" s="10"/>
      <c r="D26" s="6"/>
      <c r="E26" s="8"/>
      <c r="F26" s="6"/>
      <c r="G26" s="8"/>
      <c r="H26" s="6"/>
      <c r="I26" s="8"/>
      <c r="J26" s="86"/>
      <c r="K26" s="8"/>
      <c r="L26" s="7"/>
      <c r="M26" s="11"/>
      <c r="N26" s="87"/>
      <c r="O26" s="8"/>
      <c r="P26" s="12"/>
      <c r="Q26" s="8"/>
      <c r="R26" s="12"/>
      <c r="S26" s="8"/>
      <c r="T26" s="12"/>
      <c r="U26" s="8"/>
      <c r="V26" s="13"/>
      <c r="W26" s="8"/>
      <c r="X26" s="79"/>
      <c r="Y26" s="88"/>
      <c r="Z26" s="8"/>
      <c r="AA26" s="79"/>
      <c r="AB26" s="6"/>
      <c r="AC26" s="9"/>
      <c r="AD26" s="79"/>
      <c r="AE26" s="6"/>
      <c r="AF26" s="9"/>
      <c r="AG26" s="79"/>
      <c r="AH26" s="6"/>
      <c r="AI26" s="8"/>
      <c r="AJ26" s="79"/>
      <c r="AK26" s="7"/>
      <c r="AL26" s="6"/>
      <c r="AM26" s="8"/>
      <c r="AN26" s="79"/>
      <c r="AO26" s="7"/>
      <c r="AP26" s="6"/>
      <c r="AQ26" s="8"/>
      <c r="AR26" s="79"/>
      <c r="AS26" s="89"/>
      <c r="AT26" s="14"/>
      <c r="AU26" s="7"/>
      <c r="AV26" s="82"/>
      <c r="AW26" s="91"/>
      <c r="AY26" s="90">
        <v>22</v>
      </c>
      <c r="AZ26" s="15">
        <v>10938.631818182344</v>
      </c>
      <c r="BA26" s="15">
        <v>122.75295454545423</v>
      </c>
      <c r="BB26" s="15">
        <v>4675.363636363636</v>
      </c>
      <c r="BC26" s="15">
        <v>31</v>
      </c>
      <c r="BD26" s="16">
        <v>0</v>
      </c>
      <c r="BE26" s="15">
        <v>399071.11636363628</v>
      </c>
      <c r="BF26" s="16">
        <v>45823.833636363641</v>
      </c>
      <c r="BG26" s="16">
        <v>6673.454545454546</v>
      </c>
      <c r="BH26" s="16">
        <v>20301.012272727272</v>
      </c>
      <c r="BI26" s="16">
        <v>8781.4545454545441</v>
      </c>
    </row>
    <row r="27" spans="1:61" x14ac:dyDescent="0.2">
      <c r="A27" s="85">
        <v>23</v>
      </c>
      <c r="B27" s="63" t="s">
        <v>74</v>
      </c>
      <c r="C27" s="10"/>
      <c r="D27" s="6"/>
      <c r="E27" s="8"/>
      <c r="F27" s="6"/>
      <c r="G27" s="8"/>
      <c r="H27" s="93"/>
      <c r="I27" s="8"/>
      <c r="J27" s="86"/>
      <c r="K27" s="8"/>
      <c r="L27" s="7"/>
      <c r="M27" s="11"/>
      <c r="N27" s="87"/>
      <c r="O27" s="8"/>
      <c r="P27" s="12"/>
      <c r="Q27" s="8"/>
      <c r="R27" s="12"/>
      <c r="S27" s="8"/>
      <c r="T27" s="12"/>
      <c r="U27" s="8"/>
      <c r="V27" s="13"/>
      <c r="W27" s="8"/>
      <c r="X27" s="79"/>
      <c r="Y27" s="88"/>
      <c r="Z27" s="8"/>
      <c r="AA27" s="79"/>
      <c r="AB27" s="6"/>
      <c r="AC27" s="9"/>
      <c r="AD27" s="79"/>
      <c r="AE27" s="6"/>
      <c r="AF27" s="9"/>
      <c r="AG27" s="79"/>
      <c r="AH27" s="6"/>
      <c r="AI27" s="8"/>
      <c r="AJ27" s="79"/>
      <c r="AK27" s="7"/>
      <c r="AL27" s="6"/>
      <c r="AM27" s="8"/>
      <c r="AN27" s="79"/>
      <c r="AO27" s="7"/>
      <c r="AP27" s="6"/>
      <c r="AQ27" s="8"/>
      <c r="AR27" s="79"/>
      <c r="AS27" s="89"/>
      <c r="AT27" s="14"/>
      <c r="AU27" s="7"/>
      <c r="AV27" s="82"/>
      <c r="AW27" s="91"/>
      <c r="AY27" s="90">
        <v>23</v>
      </c>
      <c r="AZ27" s="15">
        <v>10686.373913043604</v>
      </c>
      <c r="BA27" s="15">
        <v>118.70304347826169</v>
      </c>
      <c r="BB27" s="15">
        <v>4681</v>
      </c>
      <c r="BC27" s="15">
        <v>31</v>
      </c>
      <c r="BD27" s="16">
        <v>0</v>
      </c>
      <c r="BE27" s="15">
        <v>398427.41913043469</v>
      </c>
      <c r="BF27" s="16">
        <v>45504.226086956522</v>
      </c>
      <c r="BG27" s="16">
        <v>6652.869565217391</v>
      </c>
      <c r="BH27" s="16">
        <v>20301.347391304349</v>
      </c>
      <c r="BI27" s="16">
        <v>8787.8260869565202</v>
      </c>
    </row>
    <row r="28" spans="1:61" x14ac:dyDescent="0.2">
      <c r="A28" s="85">
        <v>24</v>
      </c>
      <c r="B28" s="63" t="s">
        <v>74</v>
      </c>
      <c r="C28" s="10"/>
      <c r="D28" s="6"/>
      <c r="E28" s="8"/>
      <c r="F28" s="6"/>
      <c r="G28" s="8"/>
      <c r="H28" s="6"/>
      <c r="I28" s="8"/>
      <c r="J28" s="86"/>
      <c r="K28" s="8"/>
      <c r="L28" s="7"/>
      <c r="M28" s="11"/>
      <c r="N28" s="87"/>
      <c r="O28" s="8"/>
      <c r="P28" s="12"/>
      <c r="Q28" s="8"/>
      <c r="R28" s="12"/>
      <c r="S28" s="8"/>
      <c r="T28" s="12"/>
      <c r="U28" s="8"/>
      <c r="V28" s="13"/>
      <c r="W28" s="8"/>
      <c r="X28" s="79"/>
      <c r="Y28" s="88"/>
      <c r="Z28" s="8"/>
      <c r="AA28" s="79"/>
      <c r="AB28" s="6"/>
      <c r="AC28" s="9"/>
      <c r="AD28" s="79"/>
      <c r="AE28" s="6"/>
      <c r="AF28" s="9"/>
      <c r="AG28" s="79"/>
      <c r="AH28" s="6"/>
      <c r="AI28" s="8"/>
      <c r="AJ28" s="79"/>
      <c r="AK28" s="7"/>
      <c r="AL28" s="6"/>
      <c r="AM28" s="8"/>
      <c r="AN28" s="79"/>
      <c r="AO28" s="7"/>
      <c r="AP28" s="6"/>
      <c r="AQ28" s="8"/>
      <c r="AR28" s="79"/>
      <c r="AS28" s="89"/>
      <c r="AT28" s="14"/>
      <c r="AU28" s="7"/>
      <c r="AV28" s="82"/>
      <c r="AW28" s="91"/>
      <c r="AY28" s="90">
        <v>24</v>
      </c>
      <c r="AZ28" s="15">
        <v>10490.658333333693</v>
      </c>
      <c r="BA28" s="15">
        <v>117.54166666666666</v>
      </c>
      <c r="BB28" s="15">
        <v>4699.0833333333339</v>
      </c>
      <c r="BC28" s="15">
        <v>33.583333333333329</v>
      </c>
      <c r="BD28" s="16">
        <v>0</v>
      </c>
      <c r="BE28" s="15">
        <v>399161.0116666666</v>
      </c>
      <c r="BF28" s="16">
        <v>45466.44708333334</v>
      </c>
      <c r="BG28" s="16">
        <v>6696</v>
      </c>
      <c r="BH28" s="16">
        <v>20301.783749999999</v>
      </c>
      <c r="BI28" s="16">
        <v>8804</v>
      </c>
    </row>
    <row r="29" spans="1:61" x14ac:dyDescent="0.2">
      <c r="A29" s="85">
        <v>25</v>
      </c>
      <c r="B29" s="63" t="s">
        <v>74</v>
      </c>
      <c r="C29" s="10"/>
      <c r="D29" s="6"/>
      <c r="E29" s="8"/>
      <c r="F29" s="6"/>
      <c r="G29" s="8"/>
      <c r="H29" s="6"/>
      <c r="I29" s="8"/>
      <c r="J29" s="94"/>
      <c r="K29" s="8"/>
      <c r="L29" s="7"/>
      <c r="M29" s="11"/>
      <c r="N29" s="87"/>
      <c r="O29" s="8"/>
      <c r="P29" s="12"/>
      <c r="Q29" s="8"/>
      <c r="R29" s="12"/>
      <c r="S29" s="8"/>
      <c r="T29" s="12"/>
      <c r="U29" s="8"/>
      <c r="V29" s="13"/>
      <c r="W29" s="8"/>
      <c r="X29" s="79"/>
      <c r="Y29" s="88"/>
      <c r="Z29" s="8"/>
      <c r="AA29" s="79"/>
      <c r="AB29" s="6"/>
      <c r="AC29" s="9"/>
      <c r="AD29" s="79"/>
      <c r="AE29" s="6"/>
      <c r="AF29" s="9"/>
      <c r="AG29" s="79"/>
      <c r="AH29" s="6"/>
      <c r="AI29" s="8"/>
      <c r="AJ29" s="79"/>
      <c r="AK29" s="7"/>
      <c r="AL29" s="6"/>
      <c r="AM29" s="8"/>
      <c r="AN29" s="79"/>
      <c r="AO29" s="7"/>
      <c r="AP29" s="6"/>
      <c r="AQ29" s="8"/>
      <c r="AR29" s="79"/>
      <c r="AS29" s="89"/>
      <c r="AT29" s="14"/>
      <c r="AU29" s="7"/>
      <c r="AV29" s="82"/>
      <c r="AW29" s="91"/>
      <c r="AY29" s="90">
        <v>25</v>
      </c>
      <c r="AZ29" s="15">
        <v>10508.256000000461</v>
      </c>
      <c r="BA29" s="15">
        <v>115.61883999999998</v>
      </c>
      <c r="BB29" s="15">
        <v>4702.08</v>
      </c>
      <c r="BC29" s="15">
        <v>38.44</v>
      </c>
      <c r="BD29" s="16">
        <v>0</v>
      </c>
      <c r="BE29" s="15">
        <v>398943.81119999994</v>
      </c>
      <c r="BF29" s="16">
        <v>45279.629200000003</v>
      </c>
      <c r="BG29" s="16">
        <v>6705.92</v>
      </c>
      <c r="BH29" s="16">
        <v>20301.912400000001</v>
      </c>
      <c r="BI29" s="16">
        <v>8937.92</v>
      </c>
    </row>
    <row r="30" spans="1:61" x14ac:dyDescent="0.2">
      <c r="A30" s="85">
        <v>26</v>
      </c>
      <c r="B30" s="63" t="s">
        <v>74</v>
      </c>
      <c r="C30" s="10"/>
      <c r="D30" s="6"/>
      <c r="E30" s="8"/>
      <c r="F30" s="6"/>
      <c r="G30" s="8"/>
      <c r="H30" s="6"/>
      <c r="I30" s="8"/>
      <c r="J30" s="86"/>
      <c r="K30" s="8"/>
      <c r="L30" s="7"/>
      <c r="M30" s="11"/>
      <c r="N30" s="87"/>
      <c r="O30" s="8"/>
      <c r="P30" s="12"/>
      <c r="Q30" s="8"/>
      <c r="R30" s="12"/>
      <c r="S30" s="8"/>
      <c r="T30" s="12"/>
      <c r="U30" s="8"/>
      <c r="V30" s="13"/>
      <c r="W30" s="8"/>
      <c r="X30" s="79"/>
      <c r="Y30" s="88"/>
      <c r="Z30" s="8"/>
      <c r="AA30" s="79"/>
      <c r="AB30" s="6"/>
      <c r="AC30" s="9"/>
      <c r="AD30" s="79"/>
      <c r="AE30" s="6"/>
      <c r="AF30" s="9"/>
      <c r="AG30" s="79"/>
      <c r="AH30" s="6"/>
      <c r="AI30" s="8"/>
      <c r="AJ30" s="79"/>
      <c r="AK30" s="7"/>
      <c r="AL30" s="6"/>
      <c r="AM30" s="8"/>
      <c r="AN30" s="79"/>
      <c r="AO30" s="7"/>
      <c r="AP30" s="6"/>
      <c r="AQ30" s="8"/>
      <c r="AR30" s="79"/>
      <c r="AS30" s="89"/>
      <c r="AT30" s="14"/>
      <c r="AU30" s="7"/>
      <c r="AV30" s="82"/>
      <c r="AW30" s="91"/>
      <c r="AY30" s="90">
        <v>26</v>
      </c>
      <c r="AZ30" s="15">
        <v>10860.01538461583</v>
      </c>
      <c r="BA30" s="15">
        <v>111.79553846153861</v>
      </c>
      <c r="BB30" s="15">
        <v>4702.4615384615381</v>
      </c>
      <c r="BC30" s="15">
        <v>40.53846153846154</v>
      </c>
      <c r="BD30" s="16">
        <v>0</v>
      </c>
      <c r="BE30" s="15">
        <v>398106.62615384604</v>
      </c>
      <c r="BF30" s="16">
        <v>45057.105000000003</v>
      </c>
      <c r="BG30" s="16">
        <v>6667.3846153846152</v>
      </c>
      <c r="BH30" s="16">
        <v>20302.031153846154</v>
      </c>
      <c r="BI30" s="16">
        <v>9004.3076923076915</v>
      </c>
    </row>
    <row r="31" spans="1:61" x14ac:dyDescent="0.2">
      <c r="A31" s="85">
        <v>27</v>
      </c>
      <c r="B31" s="63" t="s">
        <v>74</v>
      </c>
      <c r="C31" s="10"/>
      <c r="D31" s="6"/>
      <c r="E31" s="8"/>
      <c r="F31" s="6"/>
      <c r="G31" s="8"/>
      <c r="H31" s="6"/>
      <c r="I31" s="8"/>
      <c r="J31" s="86"/>
      <c r="K31" s="8"/>
      <c r="L31" s="7"/>
      <c r="M31" s="11"/>
      <c r="N31" s="87"/>
      <c r="O31" s="8"/>
      <c r="P31" s="12"/>
      <c r="Q31" s="8"/>
      <c r="R31" s="12"/>
      <c r="S31" s="8"/>
      <c r="T31" s="12"/>
      <c r="U31" s="8"/>
      <c r="V31" s="13"/>
      <c r="W31" s="8"/>
      <c r="X31" s="79"/>
      <c r="Y31" s="88"/>
      <c r="Z31" s="8"/>
      <c r="AA31" s="79"/>
      <c r="AB31" s="6"/>
      <c r="AC31" s="9"/>
      <c r="AD31" s="79"/>
      <c r="AE31" s="6"/>
      <c r="AF31" s="9"/>
      <c r="AG31" s="79"/>
      <c r="AH31" s="6"/>
      <c r="AI31" s="8"/>
      <c r="AJ31" s="79"/>
      <c r="AK31" s="7"/>
      <c r="AL31" s="6"/>
      <c r="AM31" s="8"/>
      <c r="AN31" s="79"/>
      <c r="AO31" s="7"/>
      <c r="AP31" s="6"/>
      <c r="AQ31" s="8"/>
      <c r="AR31" s="79"/>
      <c r="AS31" s="95"/>
      <c r="AT31" s="96"/>
      <c r="AU31" s="7"/>
      <c r="AV31" s="82"/>
      <c r="AW31" s="91"/>
      <c r="AY31" s="90">
        <v>27</v>
      </c>
      <c r="AZ31" s="15">
        <v>10707.170370370477</v>
      </c>
      <c r="BA31" s="15">
        <v>109.04651851851916</v>
      </c>
      <c r="BB31" s="15">
        <v>4698.2222222222217</v>
      </c>
      <c r="BC31" s="15">
        <v>39.037037037037038</v>
      </c>
      <c r="BD31" s="16">
        <v>0</v>
      </c>
      <c r="BE31" s="15">
        <v>397969.82518518512</v>
      </c>
      <c r="BF31" s="16">
        <v>44976.212222222224</v>
      </c>
      <c r="BG31" s="16">
        <v>6594.9629629629626</v>
      </c>
      <c r="BH31" s="16">
        <v>20302.141111111112</v>
      </c>
      <c r="BI31" s="16">
        <v>9010.6666666666679</v>
      </c>
    </row>
    <row r="32" spans="1:61" x14ac:dyDescent="0.2">
      <c r="A32" s="85">
        <v>28</v>
      </c>
      <c r="B32" s="63" t="s">
        <v>74</v>
      </c>
      <c r="C32" s="10"/>
      <c r="D32" s="6"/>
      <c r="E32" s="8"/>
      <c r="F32" s="6"/>
      <c r="G32" s="8"/>
      <c r="H32" s="6"/>
      <c r="I32" s="8"/>
      <c r="J32" s="86"/>
      <c r="K32" s="8"/>
      <c r="L32" s="7"/>
      <c r="M32" s="11"/>
      <c r="N32" s="87"/>
      <c r="O32" s="8"/>
      <c r="P32" s="12"/>
      <c r="Q32" s="8"/>
      <c r="R32" s="12"/>
      <c r="S32" s="8"/>
      <c r="T32" s="12"/>
      <c r="U32" s="8"/>
      <c r="V32" s="13"/>
      <c r="W32" s="8"/>
      <c r="X32" s="79"/>
      <c r="Y32" s="88"/>
      <c r="Z32" s="8"/>
      <c r="AA32" s="79"/>
      <c r="AB32" s="6"/>
      <c r="AC32" s="9"/>
      <c r="AD32" s="79"/>
      <c r="AE32" s="6"/>
      <c r="AF32" s="9"/>
      <c r="AG32" s="79"/>
      <c r="AH32" s="6"/>
      <c r="AI32" s="8"/>
      <c r="AJ32" s="79"/>
      <c r="AK32" s="7"/>
      <c r="AL32" s="6"/>
      <c r="AM32" s="8"/>
      <c r="AN32" s="79"/>
      <c r="AO32" s="7"/>
      <c r="AP32" s="6"/>
      <c r="AQ32" s="8"/>
      <c r="AR32" s="79"/>
      <c r="AS32" s="89"/>
      <c r="AT32" s="14"/>
      <c r="AU32" s="7"/>
      <c r="AV32" s="82"/>
      <c r="AW32" s="91"/>
      <c r="AY32" s="90">
        <v>28</v>
      </c>
      <c r="AZ32" s="15">
        <v>10531.585714286128</v>
      </c>
      <c r="BA32" s="15">
        <v>107.57775000000042</v>
      </c>
      <c r="BB32" s="15">
        <v>4694.2857142857138</v>
      </c>
      <c r="BC32" s="15">
        <v>38.75</v>
      </c>
      <c r="BD32" s="16">
        <v>0</v>
      </c>
      <c r="BE32" s="15">
        <v>397926.93857142853</v>
      </c>
      <c r="BF32" s="16">
        <v>45027.311785714293</v>
      </c>
      <c r="BG32" s="16">
        <v>6527.7142857142862</v>
      </c>
      <c r="BH32" s="16">
        <v>20302.243214285718</v>
      </c>
      <c r="BI32" s="16">
        <v>8981.1428571428569</v>
      </c>
    </row>
    <row r="33" spans="1:61" ht="15.75" x14ac:dyDescent="0.25">
      <c r="A33" s="62">
        <v>29</v>
      </c>
      <c r="B33" s="63" t="s">
        <v>74</v>
      </c>
      <c r="C33" s="8"/>
      <c r="D33" s="6"/>
      <c r="E33" s="8"/>
      <c r="F33" s="6"/>
      <c r="G33" s="8"/>
      <c r="H33" s="6"/>
      <c r="I33" s="8"/>
      <c r="J33" s="78"/>
      <c r="K33" s="8"/>
      <c r="L33" s="7"/>
      <c r="M33" s="11"/>
      <c r="N33" s="6"/>
      <c r="O33" s="8"/>
      <c r="P33" s="6"/>
      <c r="Q33" s="8"/>
      <c r="R33" s="6"/>
      <c r="S33" s="8"/>
      <c r="T33" s="6"/>
      <c r="U33" s="8"/>
      <c r="V33" s="13"/>
      <c r="W33" s="8"/>
      <c r="X33" s="78"/>
      <c r="Y33" s="88"/>
      <c r="Z33" s="8"/>
      <c r="AA33" s="78"/>
      <c r="AB33" s="6"/>
      <c r="AC33" s="9"/>
      <c r="AD33" s="78"/>
      <c r="AE33" s="12"/>
      <c r="AF33" s="9"/>
      <c r="AG33" s="78"/>
      <c r="AH33" s="6"/>
      <c r="AI33" s="8"/>
      <c r="AJ33" s="78"/>
      <c r="AK33" s="7"/>
      <c r="AL33" s="6"/>
      <c r="AM33" s="8"/>
      <c r="AN33" s="78"/>
      <c r="AO33" s="7"/>
      <c r="AP33" s="6"/>
      <c r="AQ33" s="8"/>
      <c r="AR33" s="78"/>
      <c r="AS33" s="6"/>
      <c r="AT33" s="14"/>
      <c r="AU33" s="7"/>
      <c r="AV33" s="97"/>
      <c r="AW33" s="91"/>
      <c r="AY33" s="98">
        <v>29</v>
      </c>
      <c r="AZ33" s="15">
        <v>10350.151724138328</v>
      </c>
      <c r="BA33" s="15">
        <v>105.4929999999999</v>
      </c>
      <c r="BB33" s="15">
        <v>4699.1724137931033</v>
      </c>
      <c r="BC33" s="15">
        <v>37.413793103448278</v>
      </c>
      <c r="BD33" s="16">
        <v>0</v>
      </c>
      <c r="BE33" s="99">
        <v>397888.59172413789</v>
      </c>
      <c r="BF33" s="15">
        <v>44889.892068965521</v>
      </c>
      <c r="BG33" s="15">
        <v>6490.7586206896549</v>
      </c>
      <c r="BH33" s="15">
        <v>20301.857241379312</v>
      </c>
      <c r="BI33" s="100">
        <v>8962.2068965517246</v>
      </c>
    </row>
    <row r="34" spans="1:61" ht="15.75" x14ac:dyDescent="0.25">
      <c r="A34" s="62">
        <v>30</v>
      </c>
      <c r="B34" s="63" t="s">
        <v>74</v>
      </c>
      <c r="C34" s="10"/>
      <c r="D34" s="6"/>
      <c r="E34" s="8"/>
      <c r="F34" s="6"/>
      <c r="G34" s="8"/>
      <c r="H34" s="6"/>
      <c r="I34" s="8"/>
      <c r="J34" s="78"/>
      <c r="K34" s="8"/>
      <c r="L34" s="7"/>
      <c r="M34" s="11"/>
      <c r="N34" s="6"/>
      <c r="O34" s="8"/>
      <c r="P34" s="6"/>
      <c r="Q34" s="8"/>
      <c r="R34" s="6"/>
      <c r="S34" s="8"/>
      <c r="T34" s="6"/>
      <c r="U34" s="8"/>
      <c r="V34" s="13"/>
      <c r="W34" s="8"/>
      <c r="X34" s="78"/>
      <c r="Y34" s="88"/>
      <c r="Z34" s="8"/>
      <c r="AA34" s="78"/>
      <c r="AB34" s="6"/>
      <c r="AC34" s="9"/>
      <c r="AD34" s="78"/>
      <c r="AE34" s="12"/>
      <c r="AF34" s="9"/>
      <c r="AG34" s="78"/>
      <c r="AH34" s="6"/>
      <c r="AI34" s="8"/>
      <c r="AJ34" s="78"/>
      <c r="AK34" s="7"/>
      <c r="AL34" s="6"/>
      <c r="AM34" s="8"/>
      <c r="AN34" s="78"/>
      <c r="AO34" s="7"/>
      <c r="AP34" s="6"/>
      <c r="AQ34" s="8"/>
      <c r="AR34" s="78"/>
      <c r="AS34" s="6"/>
      <c r="AT34" s="14"/>
      <c r="AU34" s="101"/>
      <c r="AV34" s="97"/>
      <c r="AW34" s="91"/>
      <c r="AY34" s="98">
        <v>30</v>
      </c>
      <c r="AZ34" s="15">
        <v>10161.283333333335</v>
      </c>
      <c r="BA34" s="15">
        <v>107.3220000000006</v>
      </c>
      <c r="BB34" s="15">
        <v>4700.6333333333332</v>
      </c>
      <c r="BC34" s="15">
        <v>36.166666666666671</v>
      </c>
      <c r="BD34" s="16">
        <v>0</v>
      </c>
      <c r="BE34" s="99">
        <v>397940.32466666662</v>
      </c>
      <c r="BF34" s="15">
        <v>44966.740000000005</v>
      </c>
      <c r="BG34" s="15">
        <v>6464.5333333333328</v>
      </c>
      <c r="BH34" s="15">
        <v>20301.714</v>
      </c>
      <c r="BI34" s="100">
        <v>8928</v>
      </c>
    </row>
    <row r="35" spans="1:61" ht="16.5" customHeight="1" thickBot="1" x14ac:dyDescent="0.3">
      <c r="A35" s="62">
        <v>31</v>
      </c>
      <c r="B35" s="63" t="s">
        <v>74</v>
      </c>
      <c r="C35" s="10"/>
      <c r="D35" s="6"/>
      <c r="E35" s="8"/>
      <c r="F35" s="6"/>
      <c r="G35" s="8"/>
      <c r="H35" s="6"/>
      <c r="I35" s="8"/>
      <c r="J35" s="78"/>
      <c r="K35" s="8"/>
      <c r="L35" s="7"/>
      <c r="M35" s="11"/>
      <c r="N35" s="6"/>
      <c r="O35" s="8"/>
      <c r="P35" s="6"/>
      <c r="Q35" s="8"/>
      <c r="R35" s="6"/>
      <c r="S35" s="8"/>
      <c r="T35" s="6"/>
      <c r="U35" s="8"/>
      <c r="V35" s="13"/>
      <c r="W35" s="8"/>
      <c r="X35" s="78"/>
      <c r="Y35" s="13"/>
      <c r="Z35" s="8"/>
      <c r="AA35" s="78"/>
      <c r="AB35" s="6"/>
      <c r="AC35" s="9"/>
      <c r="AD35" s="78"/>
      <c r="AE35" s="6"/>
      <c r="AF35" s="9"/>
      <c r="AG35" s="78"/>
      <c r="AH35" s="6"/>
      <c r="AI35" s="8"/>
      <c r="AJ35" s="78"/>
      <c r="AK35" s="7"/>
      <c r="AL35" s="6"/>
      <c r="AM35" s="8"/>
      <c r="AN35" s="78"/>
      <c r="AO35" s="7"/>
      <c r="AP35" s="6"/>
      <c r="AQ35" s="8"/>
      <c r="AR35" s="78"/>
      <c r="AS35" s="6"/>
      <c r="AT35" s="14"/>
      <c r="AU35" s="7"/>
      <c r="AV35" s="97"/>
      <c r="AW35" s="91"/>
      <c r="AY35" s="98">
        <v>31</v>
      </c>
      <c r="AZ35" s="15">
        <v>9975.2000000001863</v>
      </c>
      <c r="BA35" s="15">
        <v>105.90999999999985</v>
      </c>
      <c r="BB35" s="15">
        <v>4707</v>
      </c>
      <c r="BC35" s="15">
        <v>37</v>
      </c>
      <c r="BD35" s="16">
        <v>397716.00000000146</v>
      </c>
      <c r="BE35" s="99">
        <v>398044.59999999992</v>
      </c>
      <c r="BF35" s="15">
        <v>44930.040000000008</v>
      </c>
      <c r="BG35" s="15">
        <v>6488</v>
      </c>
      <c r="BH35" s="15">
        <v>20302.05</v>
      </c>
      <c r="BI35" s="100">
        <v>8920</v>
      </c>
    </row>
    <row r="36" spans="1:61" ht="16.5" customHeight="1" thickTop="1" thickBot="1" x14ac:dyDescent="0.3">
      <c r="A36" s="70" t="s">
        <v>30</v>
      </c>
      <c r="C36" s="17"/>
      <c r="D36" s="18">
        <f>D35-D4</f>
        <v>-54972</v>
      </c>
      <c r="F36" s="18">
        <f>F35-F4</f>
        <v>-6634</v>
      </c>
      <c r="G36" s="2"/>
      <c r="H36" s="18">
        <f>H35-H4</f>
        <v>-528204</v>
      </c>
      <c r="I36" s="2"/>
      <c r="J36" s="2"/>
      <c r="K36" s="2"/>
      <c r="L36" s="2"/>
      <c r="M36" s="2"/>
      <c r="N36" s="18">
        <f>N35-N4</f>
        <v>-87313</v>
      </c>
      <c r="O36" s="2"/>
      <c r="P36" s="18">
        <f>P35-P5</f>
        <v>-79200</v>
      </c>
      <c r="Q36" s="2"/>
      <c r="R36" s="18">
        <f>R35-R5</f>
        <v>-14356</v>
      </c>
      <c r="S36" s="2"/>
      <c r="T36" s="18">
        <f>T35-T5</f>
        <v>-169510</v>
      </c>
      <c r="U36" s="2"/>
      <c r="V36" s="18">
        <f>SUM(+V35-V4)*2200</f>
        <v>-2638792.2000000002</v>
      </c>
      <c r="W36" s="2"/>
      <c r="X36" s="102">
        <f>SUM(X5:X35)</f>
        <v>75264.399999999994</v>
      </c>
      <c r="Y36" s="18">
        <f>Y35-Y4</f>
        <v>-225.33199999999999</v>
      </c>
      <c r="Z36" s="2"/>
      <c r="AA36" s="102">
        <f>SUM(AA5:AA35)</f>
        <v>17407</v>
      </c>
      <c r="AB36" s="19">
        <f>SUM(+AB35-AB4)</f>
        <v>-1570021.17</v>
      </c>
      <c r="AC36" s="2"/>
      <c r="AD36" s="102">
        <f>SUM(AD4:AD35)</f>
        <v>2468.1999999999998</v>
      </c>
      <c r="AE36" s="19">
        <f>SUM(+AE35-AE4)</f>
        <v>-297092</v>
      </c>
      <c r="AF36" s="2"/>
      <c r="AG36" s="102">
        <f>SUM(AG4:AG35)</f>
        <v>4589.7</v>
      </c>
      <c r="AH36" s="18">
        <f>SUM(+AH35-AH4)*80</f>
        <v>-2584000</v>
      </c>
      <c r="AI36" s="2"/>
      <c r="AJ36" s="102">
        <f>SUM(AJ4:AJ35)</f>
        <v>1080</v>
      </c>
      <c r="AK36" s="2"/>
      <c r="AL36" s="18">
        <f>SUM(+AL35-AL4)</f>
        <v>-2045278</v>
      </c>
      <c r="AM36" s="2"/>
      <c r="AN36" s="102" t="e">
        <f>SUM(#REF!)</f>
        <v>#REF!</v>
      </c>
      <c r="AO36" s="2"/>
      <c r="AP36" s="18">
        <f>SUM(+AP35-AP4)*80</f>
        <v>-3614144</v>
      </c>
      <c r="AQ36" s="2"/>
      <c r="AR36" s="102">
        <f>SUM(AR5:AR35)</f>
        <v>1600</v>
      </c>
      <c r="AS36" s="103"/>
      <c r="AT36" s="71"/>
      <c r="AU36" s="20"/>
      <c r="AV36" s="97"/>
      <c r="AY36" s="21"/>
      <c r="AZ36" s="22"/>
      <c r="BA36" s="22"/>
      <c r="BB36" s="22"/>
      <c r="BC36" s="22"/>
      <c r="BD36" s="23"/>
      <c r="BE36" s="104"/>
      <c r="BF36" s="40"/>
      <c r="BG36" s="23"/>
      <c r="BH36" s="23"/>
      <c r="BI36" s="105"/>
    </row>
    <row r="37" spans="1:61" ht="16.5" customHeight="1" thickTop="1" thickBot="1" x14ac:dyDescent="0.3">
      <c r="A37" s="56" t="s">
        <v>31</v>
      </c>
      <c r="C37" s="48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6"/>
      <c r="Z37" s="20"/>
      <c r="AA37" s="20"/>
      <c r="AB37" s="57">
        <v>31157.790000000005</v>
      </c>
      <c r="AC37" s="2"/>
      <c r="AD37" s="20"/>
      <c r="AE37" s="20"/>
      <c r="AF37" s="20"/>
      <c r="AG37" s="20">
        <v>31157.790000000005</v>
      </c>
      <c r="AH37" s="20"/>
      <c r="AI37" s="20">
        <v>-2487666.21</v>
      </c>
      <c r="AJ37" s="20">
        <v>35725.790000000008</v>
      </c>
      <c r="AK37" s="20"/>
      <c r="AL37" s="20"/>
      <c r="AM37" s="20"/>
      <c r="AN37" s="20"/>
      <c r="AO37" s="20"/>
      <c r="AP37" s="20"/>
      <c r="AQ37" s="20"/>
      <c r="AR37" s="20"/>
      <c r="AS37" s="20" t="s">
        <v>76</v>
      </c>
      <c r="AT37" s="20"/>
      <c r="AU37" s="20"/>
      <c r="AV37" s="20"/>
      <c r="AW37" s="20"/>
      <c r="AY37" s="58"/>
      <c r="AZ37" s="48"/>
      <c r="BA37" s="48"/>
      <c r="BB37" s="48"/>
      <c r="BC37" s="48"/>
      <c r="BD37" s="48"/>
      <c r="BE37" s="59"/>
      <c r="BF37" s="59"/>
      <c r="BG37" s="59"/>
      <c r="BH37" s="59"/>
      <c r="BI37" s="59"/>
    </row>
    <row r="38" spans="1:61" ht="16.5" thickBot="1" x14ac:dyDescent="0.3">
      <c r="A38" s="56" t="s">
        <v>31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0"/>
      <c r="Q38" s="2"/>
      <c r="R38" s="20"/>
      <c r="S38" s="2"/>
      <c r="T38" s="2"/>
      <c r="U38" s="2"/>
      <c r="V38" s="2"/>
      <c r="W38" s="2"/>
      <c r="X38" s="2"/>
      <c r="Y38" s="60"/>
      <c r="Z38" s="2"/>
      <c r="AA38" s="2"/>
      <c r="AB38" s="106">
        <f>AD36+AG36</f>
        <v>7057.9</v>
      </c>
      <c r="AC38" s="107"/>
      <c r="AD38" s="107"/>
      <c r="AE38" s="108"/>
      <c r="AF38" s="2"/>
      <c r="AG38" s="2"/>
      <c r="AH38" s="2"/>
      <c r="AI38" s="61"/>
      <c r="AJ38" s="24">
        <f>AB38+AJ36</f>
        <v>8137.9</v>
      </c>
      <c r="AK38" s="2"/>
      <c r="AL38" s="2"/>
      <c r="AM38" s="2"/>
      <c r="AN38" s="2"/>
      <c r="AO38" s="2"/>
      <c r="AP38" s="2"/>
      <c r="AQ38" s="2"/>
      <c r="AR38" s="2"/>
      <c r="AS38" s="25"/>
      <c r="AT38" s="2"/>
      <c r="AU38" s="2"/>
    </row>
    <row r="39" spans="1:61" ht="15.75" x14ac:dyDescent="0.25"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60"/>
      <c r="Z39" s="2"/>
      <c r="AA39" s="2"/>
      <c r="AB39" s="109"/>
      <c r="AC39" s="109"/>
      <c r="AD39" s="109"/>
      <c r="AE39" s="109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spans="1:61" ht="15.75" thickBot="1" x14ac:dyDescent="0.25"/>
    <row r="41" spans="1:61" ht="17.25" thickTop="1" thickBot="1" x14ac:dyDescent="0.3">
      <c r="A41" s="55" t="s">
        <v>32</v>
      </c>
      <c r="B41" s="55"/>
      <c r="C41" s="28"/>
      <c r="D41" s="18"/>
      <c r="E41" s="29"/>
      <c r="F41" s="18"/>
      <c r="G41" s="29"/>
      <c r="H41" s="18"/>
      <c r="I41" s="29"/>
      <c r="J41" s="29"/>
      <c r="K41" s="29"/>
      <c r="L41" s="28"/>
      <c r="M41" s="28"/>
      <c r="N41" s="18"/>
      <c r="O41" s="29"/>
      <c r="P41" s="29"/>
      <c r="Q41" s="29"/>
      <c r="R41" s="29"/>
      <c r="S41" s="29"/>
      <c r="T41" s="29"/>
      <c r="U41" s="29"/>
      <c r="V41" s="18"/>
      <c r="Y41" s="1"/>
      <c r="AB41" s="1"/>
      <c r="AS41" s="30"/>
    </row>
    <row r="42" spans="1:61" ht="16.5" thickTop="1" x14ac:dyDescent="0.25">
      <c r="A42" s="2" t="s">
        <v>33</v>
      </c>
      <c r="D42" s="1">
        <v>10577</v>
      </c>
      <c r="F42" s="1">
        <v>83</v>
      </c>
      <c r="H42" s="1">
        <v>6049</v>
      </c>
      <c r="N42" s="1">
        <v>643</v>
      </c>
      <c r="V42" s="1">
        <v>506762</v>
      </c>
    </row>
    <row r="43" spans="1:61" ht="15" customHeight="1" x14ac:dyDescent="0.25">
      <c r="A43" s="2" t="s">
        <v>34</v>
      </c>
      <c r="D43" s="1">
        <v>10290</v>
      </c>
      <c r="F43" s="1">
        <v>200</v>
      </c>
      <c r="H43" s="1">
        <v>5501</v>
      </c>
      <c r="N43" s="1">
        <v>907</v>
      </c>
      <c r="V43" s="1">
        <v>557339</v>
      </c>
    </row>
    <row r="44" spans="1:61" ht="25.5" customHeight="1" x14ac:dyDescent="0.25">
      <c r="A44" s="2" t="s">
        <v>35</v>
      </c>
      <c r="D44" s="1">
        <v>10297</v>
      </c>
      <c r="F44" s="1">
        <v>146</v>
      </c>
      <c r="H44" s="1">
        <v>6626</v>
      </c>
      <c r="N44" s="1">
        <v>885</v>
      </c>
      <c r="V44" s="1">
        <v>517912</v>
      </c>
    </row>
  </sheetData>
  <mergeCells count="32">
    <mergeCell ref="AW1:AW2"/>
    <mergeCell ref="AZ1:AZ3"/>
    <mergeCell ref="BA1:BA3"/>
    <mergeCell ref="BB1:BB3"/>
    <mergeCell ref="BC1:BC3"/>
    <mergeCell ref="BD1:BD3"/>
    <mergeCell ref="V1:X2"/>
    <mergeCell ref="Y1:AA2"/>
    <mergeCell ref="AB1:AD2"/>
    <mergeCell ref="AE1:AG2"/>
    <mergeCell ref="AH1:AK2"/>
    <mergeCell ref="AL1:AO2"/>
    <mergeCell ref="BI1:BI3"/>
    <mergeCell ref="AU3:AV3"/>
    <mergeCell ref="A1:C2"/>
    <mergeCell ref="D1:E2"/>
    <mergeCell ref="F1:G2"/>
    <mergeCell ref="H1:M2"/>
    <mergeCell ref="N1:O2"/>
    <mergeCell ref="P1:Q2"/>
    <mergeCell ref="R1:S2"/>
    <mergeCell ref="T1:U2"/>
    <mergeCell ref="AB38:AE38"/>
    <mergeCell ref="AB39:AE39"/>
    <mergeCell ref="BE1:BE3"/>
    <mergeCell ref="BF1:BF3"/>
    <mergeCell ref="BG1:BG3"/>
    <mergeCell ref="BH1:BH3"/>
    <mergeCell ref="AP1:AR2"/>
    <mergeCell ref="AS1:AT2"/>
    <mergeCell ref="AU1:AU2"/>
    <mergeCell ref="AV1:AV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Hotel Data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Joe El Khoury</cp:lastModifiedBy>
  <dcterms:created xsi:type="dcterms:W3CDTF">2017-05-22T13:08:25Z</dcterms:created>
  <dcterms:modified xsi:type="dcterms:W3CDTF">2020-03-12T11:55:10Z</dcterms:modified>
</cp:coreProperties>
</file>